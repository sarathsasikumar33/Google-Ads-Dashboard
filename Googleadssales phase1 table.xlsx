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sk\Data analytics entri\Mini Project-1\"/>
    </mc:Choice>
  </mc:AlternateContent>
  <xr:revisionPtr revIDLastSave="0" documentId="8_{7BC9541D-E675-4BD9-BBDB-453D82277012}" xr6:coauthVersionLast="47" xr6:coauthVersionMax="47" xr10:uidLastSave="{00000000-0000-0000-0000-000000000000}"/>
  <bookViews>
    <workbookView xWindow="-108" yWindow="-108" windowWidth="23256" windowHeight="12456" xr2:uid="{70B34543-B8A1-4F68-8979-65B70FDF7E4C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601" i="1" l="1"/>
  <c r="L2601" i="1"/>
  <c r="K2601" i="1"/>
  <c r="J2601" i="1"/>
  <c r="I2601" i="1"/>
  <c r="G2601" i="1"/>
  <c r="F2601" i="1"/>
  <c r="E2601" i="1"/>
  <c r="D2601" i="1"/>
  <c r="C2601" i="1"/>
  <c r="M2600" i="1"/>
  <c r="L2600" i="1"/>
  <c r="K2600" i="1"/>
  <c r="J2600" i="1"/>
  <c r="I2600" i="1"/>
  <c r="H2600" i="1"/>
  <c r="G2600" i="1"/>
  <c r="F2600" i="1"/>
  <c r="E2600" i="1"/>
  <c r="D2600" i="1"/>
  <c r="C2600" i="1"/>
  <c r="M2599" i="1"/>
  <c r="L2599" i="1"/>
  <c r="K2599" i="1"/>
  <c r="J2599" i="1"/>
  <c r="I2599" i="1"/>
  <c r="H2599" i="1"/>
  <c r="G2599" i="1"/>
  <c r="F2599" i="1"/>
  <c r="E2599" i="1"/>
  <c r="D2599" i="1"/>
  <c r="C2599" i="1"/>
  <c r="M2598" i="1"/>
  <c r="L2598" i="1"/>
  <c r="K2598" i="1"/>
  <c r="J2598" i="1"/>
  <c r="I2598" i="1"/>
  <c r="G2598" i="1"/>
  <c r="F2598" i="1"/>
  <c r="E2598" i="1"/>
  <c r="D2598" i="1"/>
  <c r="C2598" i="1"/>
  <c r="M2597" i="1"/>
  <c r="L2597" i="1"/>
  <c r="K2597" i="1"/>
  <c r="J2597" i="1"/>
  <c r="I2597" i="1"/>
  <c r="G2597" i="1"/>
  <c r="H2597" i="1" s="1"/>
  <c r="F2597" i="1"/>
  <c r="E2597" i="1"/>
  <c r="D2597" i="1"/>
  <c r="C2597" i="1"/>
  <c r="M2596" i="1"/>
  <c r="L2596" i="1"/>
  <c r="K2596" i="1"/>
  <c r="J2596" i="1"/>
  <c r="I2596" i="1"/>
  <c r="H2596" i="1"/>
  <c r="G2596" i="1"/>
  <c r="F2596" i="1"/>
  <c r="E2596" i="1"/>
  <c r="D2596" i="1"/>
  <c r="C2596" i="1"/>
  <c r="M2595" i="1"/>
  <c r="L2595" i="1"/>
  <c r="K2595" i="1"/>
  <c r="J2595" i="1"/>
  <c r="I2595" i="1"/>
  <c r="G2595" i="1"/>
  <c r="F2595" i="1"/>
  <c r="E2595" i="1"/>
  <c r="D2595" i="1"/>
  <c r="C2595" i="1"/>
  <c r="M2594" i="1"/>
  <c r="L2594" i="1"/>
  <c r="K2594" i="1"/>
  <c r="J2594" i="1"/>
  <c r="I2594" i="1"/>
  <c r="G2594" i="1"/>
  <c r="F2594" i="1"/>
  <c r="E2594" i="1"/>
  <c r="D2594" i="1"/>
  <c r="C2594" i="1"/>
  <c r="H2594" i="1" s="1"/>
  <c r="M2593" i="1"/>
  <c r="L2593" i="1"/>
  <c r="K2593" i="1"/>
  <c r="J2593" i="1"/>
  <c r="I2593" i="1"/>
  <c r="G2593" i="1"/>
  <c r="H2593" i="1" s="1"/>
  <c r="F2593" i="1"/>
  <c r="E2593" i="1"/>
  <c r="D2593" i="1"/>
  <c r="C2593" i="1"/>
  <c r="M2592" i="1"/>
  <c r="L2592" i="1"/>
  <c r="K2592" i="1"/>
  <c r="J2592" i="1"/>
  <c r="I2592" i="1"/>
  <c r="G2592" i="1"/>
  <c r="F2592" i="1"/>
  <c r="E2592" i="1"/>
  <c r="D2592" i="1"/>
  <c r="C2592" i="1"/>
  <c r="M2591" i="1"/>
  <c r="L2591" i="1"/>
  <c r="K2591" i="1"/>
  <c r="J2591" i="1"/>
  <c r="I2591" i="1"/>
  <c r="G2591" i="1"/>
  <c r="H2591" i="1" s="1"/>
  <c r="F2591" i="1"/>
  <c r="E2591" i="1"/>
  <c r="D2591" i="1"/>
  <c r="C2591" i="1"/>
  <c r="M2590" i="1"/>
  <c r="L2590" i="1"/>
  <c r="K2590" i="1"/>
  <c r="J2590" i="1"/>
  <c r="I2590" i="1"/>
  <c r="G2590" i="1"/>
  <c r="H2590" i="1" s="1"/>
  <c r="F2590" i="1"/>
  <c r="E2590" i="1"/>
  <c r="D2590" i="1"/>
  <c r="C2590" i="1"/>
  <c r="M2589" i="1"/>
  <c r="L2589" i="1"/>
  <c r="K2589" i="1"/>
  <c r="J2589" i="1"/>
  <c r="I2589" i="1"/>
  <c r="G2589" i="1"/>
  <c r="F2589" i="1"/>
  <c r="E2589" i="1"/>
  <c r="D2589" i="1"/>
  <c r="C2589" i="1"/>
  <c r="M2588" i="1"/>
  <c r="L2588" i="1"/>
  <c r="K2588" i="1"/>
  <c r="J2588" i="1"/>
  <c r="I2588" i="1"/>
  <c r="G2588" i="1"/>
  <c r="F2588" i="1"/>
  <c r="E2588" i="1"/>
  <c r="D2588" i="1"/>
  <c r="C2588" i="1"/>
  <c r="H2588" i="1" s="1"/>
  <c r="M2587" i="1"/>
  <c r="L2587" i="1"/>
  <c r="K2587" i="1"/>
  <c r="J2587" i="1"/>
  <c r="I2587" i="1"/>
  <c r="G2587" i="1"/>
  <c r="H2587" i="1" s="1"/>
  <c r="F2587" i="1"/>
  <c r="E2587" i="1"/>
  <c r="D2587" i="1"/>
  <c r="C2587" i="1"/>
  <c r="M2586" i="1"/>
  <c r="L2586" i="1"/>
  <c r="K2586" i="1"/>
  <c r="J2586" i="1"/>
  <c r="I2586" i="1"/>
  <c r="G2586" i="1"/>
  <c r="H2586" i="1" s="1"/>
  <c r="F2586" i="1"/>
  <c r="E2586" i="1"/>
  <c r="D2586" i="1"/>
  <c r="C2586" i="1"/>
  <c r="M2585" i="1"/>
  <c r="L2585" i="1"/>
  <c r="K2585" i="1"/>
  <c r="J2585" i="1"/>
  <c r="I2585" i="1"/>
  <c r="G2585" i="1"/>
  <c r="H2585" i="1" s="1"/>
  <c r="F2585" i="1"/>
  <c r="E2585" i="1"/>
  <c r="D2585" i="1"/>
  <c r="C2585" i="1"/>
  <c r="M2584" i="1"/>
  <c r="L2584" i="1"/>
  <c r="K2584" i="1"/>
  <c r="J2584" i="1"/>
  <c r="I2584" i="1"/>
  <c r="H2584" i="1"/>
  <c r="G2584" i="1"/>
  <c r="F2584" i="1"/>
  <c r="E2584" i="1"/>
  <c r="D2584" i="1"/>
  <c r="C2584" i="1"/>
  <c r="M2583" i="1"/>
  <c r="L2583" i="1"/>
  <c r="K2583" i="1"/>
  <c r="J2583" i="1"/>
  <c r="I2583" i="1"/>
  <c r="G2583" i="1"/>
  <c r="H2583" i="1" s="1"/>
  <c r="F2583" i="1"/>
  <c r="E2583" i="1"/>
  <c r="D2583" i="1"/>
  <c r="C2583" i="1"/>
  <c r="M2582" i="1"/>
  <c r="L2582" i="1"/>
  <c r="K2582" i="1"/>
  <c r="J2582" i="1"/>
  <c r="I2582" i="1"/>
  <c r="G2582" i="1"/>
  <c r="H2582" i="1" s="1"/>
  <c r="F2582" i="1"/>
  <c r="E2582" i="1"/>
  <c r="D2582" i="1"/>
  <c r="C2582" i="1"/>
  <c r="M2581" i="1"/>
  <c r="L2581" i="1"/>
  <c r="K2581" i="1"/>
  <c r="J2581" i="1"/>
  <c r="I2581" i="1"/>
  <c r="G2581" i="1"/>
  <c r="H2581" i="1" s="1"/>
  <c r="F2581" i="1"/>
  <c r="E2581" i="1"/>
  <c r="D2581" i="1"/>
  <c r="C2581" i="1"/>
  <c r="M2580" i="1"/>
  <c r="L2580" i="1"/>
  <c r="K2580" i="1"/>
  <c r="J2580" i="1"/>
  <c r="I2580" i="1"/>
  <c r="H2580" i="1"/>
  <c r="G2580" i="1"/>
  <c r="F2580" i="1"/>
  <c r="E2580" i="1"/>
  <c r="D2580" i="1"/>
  <c r="C2580" i="1"/>
  <c r="M2579" i="1"/>
  <c r="L2579" i="1"/>
  <c r="K2579" i="1"/>
  <c r="J2579" i="1"/>
  <c r="I2579" i="1"/>
  <c r="G2579" i="1"/>
  <c r="F2579" i="1"/>
  <c r="E2579" i="1"/>
  <c r="D2579" i="1"/>
  <c r="C2579" i="1"/>
  <c r="M2578" i="1"/>
  <c r="L2578" i="1"/>
  <c r="K2578" i="1"/>
  <c r="J2578" i="1"/>
  <c r="I2578" i="1"/>
  <c r="G2578" i="1"/>
  <c r="F2578" i="1"/>
  <c r="E2578" i="1"/>
  <c r="D2578" i="1"/>
  <c r="C2578" i="1"/>
  <c r="H2578" i="1" s="1"/>
  <c r="M2577" i="1"/>
  <c r="L2577" i="1"/>
  <c r="K2577" i="1"/>
  <c r="J2577" i="1"/>
  <c r="I2577" i="1"/>
  <c r="H2577" i="1"/>
  <c r="G2577" i="1"/>
  <c r="F2577" i="1"/>
  <c r="E2577" i="1"/>
  <c r="D2577" i="1"/>
  <c r="C2577" i="1"/>
  <c r="M2576" i="1"/>
  <c r="L2576" i="1"/>
  <c r="K2576" i="1"/>
  <c r="J2576" i="1"/>
  <c r="I2576" i="1"/>
  <c r="G2576" i="1"/>
  <c r="F2576" i="1"/>
  <c r="E2576" i="1"/>
  <c r="D2576" i="1"/>
  <c r="C2576" i="1"/>
  <c r="M2575" i="1"/>
  <c r="L2575" i="1"/>
  <c r="K2575" i="1"/>
  <c r="J2575" i="1"/>
  <c r="I2575" i="1"/>
  <c r="G2575" i="1"/>
  <c r="H2575" i="1" s="1"/>
  <c r="F2575" i="1"/>
  <c r="E2575" i="1"/>
  <c r="D2575" i="1"/>
  <c r="C2575" i="1"/>
  <c r="M2574" i="1"/>
  <c r="L2574" i="1"/>
  <c r="K2574" i="1"/>
  <c r="J2574" i="1"/>
  <c r="I2574" i="1"/>
  <c r="H2574" i="1"/>
  <c r="G2574" i="1"/>
  <c r="F2574" i="1"/>
  <c r="E2574" i="1"/>
  <c r="D2574" i="1"/>
  <c r="C2574" i="1"/>
  <c r="M2573" i="1"/>
  <c r="L2573" i="1"/>
  <c r="K2573" i="1"/>
  <c r="J2573" i="1"/>
  <c r="I2573" i="1"/>
  <c r="G2573" i="1"/>
  <c r="F2573" i="1"/>
  <c r="E2573" i="1"/>
  <c r="D2573" i="1"/>
  <c r="C2573" i="1"/>
  <c r="M2572" i="1"/>
  <c r="L2572" i="1"/>
  <c r="K2572" i="1"/>
  <c r="J2572" i="1"/>
  <c r="I2572" i="1"/>
  <c r="G2572" i="1"/>
  <c r="F2572" i="1"/>
  <c r="E2572" i="1"/>
  <c r="D2572" i="1"/>
  <c r="C2572" i="1"/>
  <c r="H2572" i="1" s="1"/>
  <c r="M2571" i="1"/>
  <c r="L2571" i="1"/>
  <c r="K2571" i="1"/>
  <c r="J2571" i="1"/>
  <c r="I2571" i="1"/>
  <c r="H2571" i="1"/>
  <c r="G2571" i="1"/>
  <c r="F2571" i="1"/>
  <c r="E2571" i="1"/>
  <c r="D2571" i="1"/>
  <c r="C2571" i="1"/>
  <c r="M2570" i="1"/>
  <c r="L2570" i="1"/>
  <c r="K2570" i="1"/>
  <c r="J2570" i="1"/>
  <c r="I2570" i="1"/>
  <c r="G2570" i="1"/>
  <c r="F2570" i="1"/>
  <c r="E2570" i="1"/>
  <c r="D2570" i="1"/>
  <c r="C2570" i="1"/>
  <c r="M2569" i="1"/>
  <c r="L2569" i="1"/>
  <c r="K2569" i="1"/>
  <c r="J2569" i="1"/>
  <c r="I2569" i="1"/>
  <c r="G2569" i="1"/>
  <c r="F2569" i="1"/>
  <c r="E2569" i="1"/>
  <c r="D2569" i="1"/>
  <c r="C2569" i="1"/>
  <c r="H2569" i="1" s="1"/>
  <c r="M2568" i="1"/>
  <c r="L2568" i="1"/>
  <c r="K2568" i="1"/>
  <c r="J2568" i="1"/>
  <c r="I2568" i="1"/>
  <c r="H2568" i="1"/>
  <c r="G2568" i="1"/>
  <c r="F2568" i="1"/>
  <c r="E2568" i="1"/>
  <c r="D2568" i="1"/>
  <c r="C2568" i="1"/>
  <c r="M2567" i="1"/>
  <c r="L2567" i="1"/>
  <c r="K2567" i="1"/>
  <c r="J2567" i="1"/>
  <c r="I2567" i="1"/>
  <c r="G2567" i="1"/>
  <c r="F2567" i="1"/>
  <c r="E2567" i="1"/>
  <c r="D2567" i="1"/>
  <c r="C2567" i="1"/>
  <c r="M2566" i="1"/>
  <c r="L2566" i="1"/>
  <c r="K2566" i="1"/>
  <c r="J2566" i="1"/>
  <c r="I2566" i="1"/>
  <c r="G2566" i="1"/>
  <c r="F2566" i="1"/>
  <c r="E2566" i="1"/>
  <c r="D2566" i="1"/>
  <c r="C2566" i="1"/>
  <c r="M2565" i="1"/>
  <c r="L2565" i="1"/>
  <c r="K2565" i="1"/>
  <c r="J2565" i="1"/>
  <c r="I2565" i="1"/>
  <c r="H2565" i="1"/>
  <c r="G2565" i="1"/>
  <c r="F2565" i="1"/>
  <c r="E2565" i="1"/>
  <c r="D2565" i="1"/>
  <c r="C2565" i="1"/>
  <c r="M2564" i="1"/>
  <c r="L2564" i="1"/>
  <c r="K2564" i="1"/>
  <c r="J2564" i="1"/>
  <c r="I2564" i="1"/>
  <c r="G2564" i="1"/>
  <c r="F2564" i="1"/>
  <c r="E2564" i="1"/>
  <c r="D2564" i="1"/>
  <c r="C2564" i="1"/>
  <c r="M2563" i="1"/>
  <c r="L2563" i="1"/>
  <c r="K2563" i="1"/>
  <c r="J2563" i="1"/>
  <c r="I2563" i="1"/>
  <c r="G2563" i="1"/>
  <c r="F2563" i="1"/>
  <c r="E2563" i="1"/>
  <c r="D2563" i="1"/>
  <c r="C2563" i="1"/>
  <c r="M2562" i="1"/>
  <c r="L2562" i="1"/>
  <c r="K2562" i="1"/>
  <c r="J2562" i="1"/>
  <c r="I2562" i="1"/>
  <c r="G2562" i="1"/>
  <c r="F2562" i="1"/>
  <c r="E2562" i="1"/>
  <c r="D2562" i="1"/>
  <c r="C2562" i="1"/>
  <c r="H2562" i="1" s="1"/>
  <c r="M2561" i="1"/>
  <c r="L2561" i="1"/>
  <c r="K2561" i="1"/>
  <c r="J2561" i="1"/>
  <c r="I2561" i="1"/>
  <c r="G2561" i="1"/>
  <c r="H2561" i="1" s="1"/>
  <c r="F2561" i="1"/>
  <c r="E2561" i="1"/>
  <c r="D2561" i="1"/>
  <c r="C2561" i="1"/>
  <c r="M2560" i="1"/>
  <c r="L2560" i="1"/>
  <c r="K2560" i="1"/>
  <c r="J2560" i="1"/>
  <c r="I2560" i="1"/>
  <c r="G2560" i="1"/>
  <c r="F2560" i="1"/>
  <c r="E2560" i="1"/>
  <c r="D2560" i="1"/>
  <c r="C2560" i="1"/>
  <c r="M2559" i="1"/>
  <c r="L2559" i="1"/>
  <c r="K2559" i="1"/>
  <c r="J2559" i="1"/>
  <c r="I2559" i="1"/>
  <c r="G2559" i="1"/>
  <c r="H2559" i="1" s="1"/>
  <c r="F2559" i="1"/>
  <c r="E2559" i="1"/>
  <c r="D2559" i="1"/>
  <c r="C2559" i="1"/>
  <c r="M2558" i="1"/>
  <c r="L2558" i="1"/>
  <c r="K2558" i="1"/>
  <c r="J2558" i="1"/>
  <c r="I2558" i="1"/>
  <c r="H2558" i="1"/>
  <c r="G2558" i="1"/>
  <c r="F2558" i="1"/>
  <c r="E2558" i="1"/>
  <c r="D2558" i="1"/>
  <c r="C2558" i="1"/>
  <c r="M2557" i="1"/>
  <c r="L2557" i="1"/>
  <c r="K2557" i="1"/>
  <c r="J2557" i="1"/>
  <c r="I2557" i="1"/>
  <c r="G2557" i="1"/>
  <c r="H2557" i="1" s="1"/>
  <c r="F2557" i="1"/>
  <c r="E2557" i="1"/>
  <c r="D2557" i="1"/>
  <c r="C2557" i="1"/>
  <c r="M2556" i="1"/>
  <c r="L2556" i="1"/>
  <c r="K2556" i="1"/>
  <c r="J2556" i="1"/>
  <c r="I2556" i="1"/>
  <c r="H2556" i="1"/>
  <c r="G2556" i="1"/>
  <c r="F2556" i="1"/>
  <c r="E2556" i="1"/>
  <c r="D2556" i="1"/>
  <c r="C2556" i="1"/>
  <c r="M2555" i="1"/>
  <c r="L2555" i="1"/>
  <c r="K2555" i="1"/>
  <c r="J2555" i="1"/>
  <c r="I2555" i="1"/>
  <c r="G2555" i="1"/>
  <c r="F2555" i="1"/>
  <c r="E2555" i="1"/>
  <c r="D2555" i="1"/>
  <c r="C2555" i="1"/>
  <c r="H2555" i="1" s="1"/>
  <c r="M2554" i="1"/>
  <c r="L2554" i="1"/>
  <c r="K2554" i="1"/>
  <c r="J2554" i="1"/>
  <c r="I2554" i="1"/>
  <c r="G2554" i="1"/>
  <c r="F2554" i="1"/>
  <c r="E2554" i="1"/>
  <c r="D2554" i="1"/>
  <c r="C2554" i="1"/>
  <c r="H2554" i="1" s="1"/>
  <c r="M2553" i="1"/>
  <c r="L2553" i="1"/>
  <c r="K2553" i="1"/>
  <c r="J2553" i="1"/>
  <c r="I2553" i="1"/>
  <c r="G2553" i="1"/>
  <c r="F2553" i="1"/>
  <c r="E2553" i="1"/>
  <c r="D2553" i="1"/>
  <c r="C2553" i="1"/>
  <c r="H2553" i="1" s="1"/>
  <c r="M2552" i="1"/>
  <c r="L2552" i="1"/>
  <c r="K2552" i="1"/>
  <c r="J2552" i="1"/>
  <c r="I2552" i="1"/>
  <c r="G2552" i="1"/>
  <c r="H2552" i="1" s="1"/>
  <c r="F2552" i="1"/>
  <c r="E2552" i="1"/>
  <c r="D2552" i="1"/>
  <c r="C2552" i="1"/>
  <c r="M2551" i="1"/>
  <c r="L2551" i="1"/>
  <c r="K2551" i="1"/>
  <c r="J2551" i="1"/>
  <c r="I2551" i="1"/>
  <c r="G2551" i="1"/>
  <c r="F2551" i="1"/>
  <c r="E2551" i="1"/>
  <c r="D2551" i="1"/>
  <c r="C2551" i="1"/>
  <c r="H2551" i="1" s="1"/>
  <c r="M2550" i="1"/>
  <c r="L2550" i="1"/>
  <c r="K2550" i="1"/>
  <c r="J2550" i="1"/>
  <c r="I2550" i="1"/>
  <c r="G2550" i="1"/>
  <c r="H2550" i="1" s="1"/>
  <c r="F2550" i="1"/>
  <c r="E2550" i="1"/>
  <c r="D2550" i="1"/>
  <c r="C2550" i="1"/>
  <c r="M2549" i="1"/>
  <c r="L2549" i="1"/>
  <c r="K2549" i="1"/>
  <c r="J2549" i="1"/>
  <c r="I2549" i="1"/>
  <c r="H2549" i="1"/>
  <c r="G2549" i="1"/>
  <c r="F2549" i="1"/>
  <c r="E2549" i="1"/>
  <c r="D2549" i="1"/>
  <c r="C2549" i="1"/>
  <c r="M2548" i="1"/>
  <c r="L2548" i="1"/>
  <c r="K2548" i="1"/>
  <c r="J2548" i="1"/>
  <c r="I2548" i="1"/>
  <c r="G2548" i="1"/>
  <c r="F2548" i="1"/>
  <c r="E2548" i="1"/>
  <c r="D2548" i="1"/>
  <c r="C2548" i="1"/>
  <c r="H2548" i="1" s="1"/>
  <c r="M2547" i="1"/>
  <c r="L2547" i="1"/>
  <c r="K2547" i="1"/>
  <c r="J2547" i="1"/>
  <c r="I2547" i="1"/>
  <c r="G2547" i="1"/>
  <c r="H2547" i="1" s="1"/>
  <c r="F2547" i="1"/>
  <c r="E2547" i="1"/>
  <c r="D2547" i="1"/>
  <c r="C2547" i="1"/>
  <c r="M2546" i="1"/>
  <c r="L2546" i="1"/>
  <c r="K2546" i="1"/>
  <c r="J2546" i="1"/>
  <c r="I2546" i="1"/>
  <c r="G2546" i="1"/>
  <c r="F2546" i="1"/>
  <c r="E2546" i="1"/>
  <c r="D2546" i="1"/>
  <c r="C2546" i="1"/>
  <c r="H2546" i="1" s="1"/>
  <c r="M2545" i="1"/>
  <c r="L2545" i="1"/>
  <c r="K2545" i="1"/>
  <c r="J2545" i="1"/>
  <c r="I2545" i="1"/>
  <c r="G2545" i="1"/>
  <c r="H2545" i="1" s="1"/>
  <c r="F2545" i="1"/>
  <c r="E2545" i="1"/>
  <c r="D2545" i="1"/>
  <c r="C2545" i="1"/>
  <c r="M2544" i="1"/>
  <c r="L2544" i="1"/>
  <c r="K2544" i="1"/>
  <c r="J2544" i="1"/>
  <c r="I2544" i="1"/>
  <c r="G2544" i="1"/>
  <c r="H2544" i="1" s="1"/>
  <c r="F2544" i="1"/>
  <c r="E2544" i="1"/>
  <c r="D2544" i="1"/>
  <c r="C2544" i="1"/>
  <c r="M2543" i="1"/>
  <c r="L2543" i="1"/>
  <c r="K2543" i="1"/>
  <c r="J2543" i="1"/>
  <c r="I2543" i="1"/>
  <c r="G2543" i="1"/>
  <c r="H2543" i="1" s="1"/>
  <c r="F2543" i="1"/>
  <c r="E2543" i="1"/>
  <c r="D2543" i="1"/>
  <c r="C2543" i="1"/>
  <c r="M2542" i="1"/>
  <c r="L2542" i="1"/>
  <c r="K2542" i="1"/>
  <c r="J2542" i="1"/>
  <c r="I2542" i="1"/>
  <c r="H2542" i="1"/>
  <c r="G2542" i="1"/>
  <c r="F2542" i="1"/>
  <c r="E2542" i="1"/>
  <c r="D2542" i="1"/>
  <c r="C2542" i="1"/>
  <c r="M2541" i="1"/>
  <c r="L2541" i="1"/>
  <c r="K2541" i="1"/>
  <c r="J2541" i="1"/>
  <c r="I2541" i="1"/>
  <c r="H2541" i="1"/>
  <c r="G2541" i="1"/>
  <c r="F2541" i="1"/>
  <c r="E2541" i="1"/>
  <c r="D2541" i="1"/>
  <c r="C2541" i="1"/>
  <c r="M2540" i="1"/>
  <c r="L2540" i="1"/>
  <c r="K2540" i="1"/>
  <c r="J2540" i="1"/>
  <c r="I2540" i="1"/>
  <c r="H2540" i="1"/>
  <c r="G2540" i="1"/>
  <c r="F2540" i="1"/>
  <c r="E2540" i="1"/>
  <c r="D2540" i="1"/>
  <c r="C2540" i="1"/>
  <c r="M2539" i="1"/>
  <c r="L2539" i="1"/>
  <c r="K2539" i="1"/>
  <c r="J2539" i="1"/>
  <c r="I2539" i="1"/>
  <c r="G2539" i="1"/>
  <c r="F2539" i="1"/>
  <c r="E2539" i="1"/>
  <c r="D2539" i="1"/>
  <c r="C2539" i="1"/>
  <c r="M2538" i="1"/>
  <c r="L2538" i="1"/>
  <c r="K2538" i="1"/>
  <c r="J2538" i="1"/>
  <c r="I2538" i="1"/>
  <c r="H2538" i="1"/>
  <c r="G2538" i="1"/>
  <c r="F2538" i="1"/>
  <c r="E2538" i="1"/>
  <c r="D2538" i="1"/>
  <c r="C2538" i="1"/>
  <c r="M2537" i="1"/>
  <c r="L2537" i="1"/>
  <c r="K2537" i="1"/>
  <c r="J2537" i="1"/>
  <c r="I2537" i="1"/>
  <c r="G2537" i="1"/>
  <c r="F2537" i="1"/>
  <c r="E2537" i="1"/>
  <c r="D2537" i="1"/>
  <c r="C2537" i="1"/>
  <c r="H2537" i="1" s="1"/>
  <c r="M2536" i="1"/>
  <c r="L2536" i="1"/>
  <c r="K2536" i="1"/>
  <c r="J2536" i="1"/>
  <c r="I2536" i="1"/>
  <c r="G2536" i="1"/>
  <c r="H2536" i="1" s="1"/>
  <c r="F2536" i="1"/>
  <c r="E2536" i="1"/>
  <c r="D2536" i="1"/>
  <c r="C2536" i="1"/>
  <c r="M2535" i="1"/>
  <c r="L2535" i="1"/>
  <c r="K2535" i="1"/>
  <c r="J2535" i="1"/>
  <c r="I2535" i="1"/>
  <c r="G2535" i="1"/>
  <c r="H2535" i="1" s="1"/>
  <c r="F2535" i="1"/>
  <c r="E2535" i="1"/>
  <c r="D2535" i="1"/>
  <c r="C2535" i="1"/>
  <c r="M2534" i="1"/>
  <c r="L2534" i="1"/>
  <c r="K2534" i="1"/>
  <c r="J2534" i="1"/>
  <c r="I2534" i="1"/>
  <c r="G2534" i="1"/>
  <c r="F2534" i="1"/>
  <c r="E2534" i="1"/>
  <c r="D2534" i="1"/>
  <c r="C2534" i="1"/>
  <c r="M2533" i="1"/>
  <c r="L2533" i="1"/>
  <c r="K2533" i="1"/>
  <c r="J2533" i="1"/>
  <c r="I2533" i="1"/>
  <c r="H2533" i="1"/>
  <c r="G2533" i="1"/>
  <c r="F2533" i="1"/>
  <c r="E2533" i="1"/>
  <c r="D2533" i="1"/>
  <c r="C2533" i="1"/>
  <c r="M2532" i="1"/>
  <c r="L2532" i="1"/>
  <c r="K2532" i="1"/>
  <c r="J2532" i="1"/>
  <c r="I2532" i="1"/>
  <c r="G2532" i="1"/>
  <c r="H2532" i="1" s="1"/>
  <c r="F2532" i="1"/>
  <c r="E2532" i="1"/>
  <c r="D2532" i="1"/>
  <c r="C2532" i="1"/>
  <c r="M2531" i="1"/>
  <c r="L2531" i="1"/>
  <c r="K2531" i="1"/>
  <c r="J2531" i="1"/>
  <c r="I2531" i="1"/>
  <c r="G2531" i="1"/>
  <c r="F2531" i="1"/>
  <c r="E2531" i="1"/>
  <c r="D2531" i="1"/>
  <c r="C2531" i="1"/>
  <c r="M2530" i="1"/>
  <c r="L2530" i="1"/>
  <c r="K2530" i="1"/>
  <c r="J2530" i="1"/>
  <c r="I2530" i="1"/>
  <c r="G2530" i="1"/>
  <c r="F2530" i="1"/>
  <c r="E2530" i="1"/>
  <c r="D2530" i="1"/>
  <c r="C2530" i="1"/>
  <c r="H2530" i="1" s="1"/>
  <c r="M2529" i="1"/>
  <c r="L2529" i="1"/>
  <c r="K2529" i="1"/>
  <c r="J2529" i="1"/>
  <c r="I2529" i="1"/>
  <c r="H2529" i="1"/>
  <c r="G2529" i="1"/>
  <c r="F2529" i="1"/>
  <c r="E2529" i="1"/>
  <c r="D2529" i="1"/>
  <c r="C2529" i="1"/>
  <c r="M2528" i="1"/>
  <c r="L2528" i="1"/>
  <c r="K2528" i="1"/>
  <c r="J2528" i="1"/>
  <c r="I2528" i="1"/>
  <c r="G2528" i="1"/>
  <c r="H2528" i="1" s="1"/>
  <c r="F2528" i="1"/>
  <c r="E2528" i="1"/>
  <c r="D2528" i="1"/>
  <c r="C2528" i="1"/>
  <c r="M2527" i="1"/>
  <c r="L2527" i="1"/>
  <c r="K2527" i="1"/>
  <c r="J2527" i="1"/>
  <c r="I2527" i="1"/>
  <c r="G2527" i="1"/>
  <c r="H2527" i="1" s="1"/>
  <c r="F2527" i="1"/>
  <c r="E2527" i="1"/>
  <c r="D2527" i="1"/>
  <c r="C2527" i="1"/>
  <c r="M2526" i="1"/>
  <c r="L2526" i="1"/>
  <c r="K2526" i="1"/>
  <c r="J2526" i="1"/>
  <c r="I2526" i="1"/>
  <c r="G2526" i="1"/>
  <c r="H2526" i="1" s="1"/>
  <c r="F2526" i="1"/>
  <c r="E2526" i="1"/>
  <c r="D2526" i="1"/>
  <c r="C2526" i="1"/>
  <c r="M2525" i="1"/>
  <c r="L2525" i="1"/>
  <c r="K2525" i="1"/>
  <c r="J2525" i="1"/>
  <c r="I2525" i="1"/>
  <c r="G2525" i="1"/>
  <c r="F2525" i="1"/>
  <c r="E2525" i="1"/>
  <c r="D2525" i="1"/>
  <c r="C2525" i="1"/>
  <c r="M2524" i="1"/>
  <c r="L2524" i="1"/>
  <c r="K2524" i="1"/>
  <c r="J2524" i="1"/>
  <c r="I2524" i="1"/>
  <c r="G2524" i="1"/>
  <c r="F2524" i="1"/>
  <c r="E2524" i="1"/>
  <c r="D2524" i="1"/>
  <c r="C2524" i="1"/>
  <c r="H2524" i="1" s="1"/>
  <c r="M2523" i="1"/>
  <c r="L2523" i="1"/>
  <c r="K2523" i="1"/>
  <c r="J2523" i="1"/>
  <c r="I2523" i="1"/>
  <c r="H2523" i="1"/>
  <c r="G2523" i="1"/>
  <c r="F2523" i="1"/>
  <c r="E2523" i="1"/>
  <c r="D2523" i="1"/>
  <c r="C2523" i="1"/>
  <c r="M2522" i="1"/>
  <c r="L2522" i="1"/>
  <c r="K2522" i="1"/>
  <c r="J2522" i="1"/>
  <c r="I2522" i="1"/>
  <c r="G2522" i="1"/>
  <c r="F2522" i="1"/>
  <c r="E2522" i="1"/>
  <c r="D2522" i="1"/>
  <c r="C2522" i="1"/>
  <c r="H2522" i="1" s="1"/>
  <c r="M2521" i="1"/>
  <c r="L2521" i="1"/>
  <c r="K2521" i="1"/>
  <c r="J2521" i="1"/>
  <c r="I2521" i="1"/>
  <c r="G2521" i="1"/>
  <c r="F2521" i="1"/>
  <c r="E2521" i="1"/>
  <c r="D2521" i="1"/>
  <c r="C2521" i="1"/>
  <c r="H2521" i="1" s="1"/>
  <c r="M2520" i="1"/>
  <c r="L2520" i="1"/>
  <c r="K2520" i="1"/>
  <c r="J2520" i="1"/>
  <c r="I2520" i="1"/>
  <c r="H2520" i="1"/>
  <c r="G2520" i="1"/>
  <c r="F2520" i="1"/>
  <c r="E2520" i="1"/>
  <c r="D2520" i="1"/>
  <c r="C2520" i="1"/>
  <c r="M2519" i="1"/>
  <c r="L2519" i="1"/>
  <c r="K2519" i="1"/>
  <c r="J2519" i="1"/>
  <c r="I2519" i="1"/>
  <c r="G2519" i="1"/>
  <c r="F2519" i="1"/>
  <c r="E2519" i="1"/>
  <c r="D2519" i="1"/>
  <c r="C2519" i="1"/>
  <c r="H2519" i="1" s="1"/>
  <c r="M2518" i="1"/>
  <c r="L2518" i="1"/>
  <c r="K2518" i="1"/>
  <c r="J2518" i="1"/>
  <c r="I2518" i="1"/>
  <c r="G2518" i="1"/>
  <c r="F2518" i="1"/>
  <c r="E2518" i="1"/>
  <c r="D2518" i="1"/>
  <c r="C2518" i="1"/>
  <c r="M2517" i="1"/>
  <c r="L2517" i="1"/>
  <c r="K2517" i="1"/>
  <c r="J2517" i="1"/>
  <c r="I2517" i="1"/>
  <c r="H2517" i="1"/>
  <c r="G2517" i="1"/>
  <c r="F2517" i="1"/>
  <c r="E2517" i="1"/>
  <c r="D2517" i="1"/>
  <c r="C2517" i="1"/>
  <c r="M2516" i="1"/>
  <c r="L2516" i="1"/>
  <c r="K2516" i="1"/>
  <c r="J2516" i="1"/>
  <c r="I2516" i="1"/>
  <c r="G2516" i="1"/>
  <c r="F2516" i="1"/>
  <c r="E2516" i="1"/>
  <c r="D2516" i="1"/>
  <c r="C2516" i="1"/>
  <c r="H2516" i="1" s="1"/>
  <c r="M2515" i="1"/>
  <c r="L2515" i="1"/>
  <c r="K2515" i="1"/>
  <c r="J2515" i="1"/>
  <c r="I2515" i="1"/>
  <c r="G2515" i="1"/>
  <c r="F2515" i="1"/>
  <c r="E2515" i="1"/>
  <c r="D2515" i="1"/>
  <c r="C2515" i="1"/>
  <c r="M2514" i="1"/>
  <c r="L2514" i="1"/>
  <c r="K2514" i="1"/>
  <c r="J2514" i="1"/>
  <c r="I2514" i="1"/>
  <c r="G2514" i="1"/>
  <c r="F2514" i="1"/>
  <c r="E2514" i="1"/>
  <c r="D2514" i="1"/>
  <c r="C2514" i="1"/>
  <c r="H2514" i="1" s="1"/>
  <c r="M2513" i="1"/>
  <c r="L2513" i="1"/>
  <c r="K2513" i="1"/>
  <c r="J2513" i="1"/>
  <c r="I2513" i="1"/>
  <c r="G2513" i="1"/>
  <c r="H2513" i="1" s="1"/>
  <c r="F2513" i="1"/>
  <c r="E2513" i="1"/>
  <c r="D2513" i="1"/>
  <c r="C2513" i="1"/>
  <c r="M2512" i="1"/>
  <c r="L2512" i="1"/>
  <c r="K2512" i="1"/>
  <c r="J2512" i="1"/>
  <c r="I2512" i="1"/>
  <c r="G2512" i="1"/>
  <c r="F2512" i="1"/>
  <c r="E2512" i="1"/>
  <c r="D2512" i="1"/>
  <c r="C2512" i="1"/>
  <c r="M2511" i="1"/>
  <c r="L2511" i="1"/>
  <c r="K2511" i="1"/>
  <c r="J2511" i="1"/>
  <c r="I2511" i="1"/>
  <c r="G2511" i="1"/>
  <c r="H2511" i="1" s="1"/>
  <c r="F2511" i="1"/>
  <c r="E2511" i="1"/>
  <c r="D2511" i="1"/>
  <c r="C2511" i="1"/>
  <c r="M2510" i="1"/>
  <c r="L2510" i="1"/>
  <c r="K2510" i="1"/>
  <c r="J2510" i="1"/>
  <c r="I2510" i="1"/>
  <c r="G2510" i="1"/>
  <c r="H2510" i="1" s="1"/>
  <c r="F2510" i="1"/>
  <c r="E2510" i="1"/>
  <c r="D2510" i="1"/>
  <c r="C2510" i="1"/>
  <c r="M2509" i="1"/>
  <c r="L2509" i="1"/>
  <c r="K2509" i="1"/>
  <c r="J2509" i="1"/>
  <c r="I2509" i="1"/>
  <c r="H2509" i="1"/>
  <c r="G2509" i="1"/>
  <c r="F2509" i="1"/>
  <c r="E2509" i="1"/>
  <c r="D2509" i="1"/>
  <c r="C2509" i="1"/>
  <c r="M2508" i="1"/>
  <c r="L2508" i="1"/>
  <c r="K2508" i="1"/>
  <c r="J2508" i="1"/>
  <c r="I2508" i="1"/>
  <c r="H2508" i="1"/>
  <c r="G2508" i="1"/>
  <c r="F2508" i="1"/>
  <c r="E2508" i="1"/>
  <c r="D2508" i="1"/>
  <c r="C2508" i="1"/>
  <c r="M2507" i="1"/>
  <c r="L2507" i="1"/>
  <c r="K2507" i="1"/>
  <c r="J2507" i="1"/>
  <c r="I2507" i="1"/>
  <c r="G2507" i="1"/>
  <c r="F2507" i="1"/>
  <c r="E2507" i="1"/>
  <c r="D2507" i="1"/>
  <c r="C2507" i="1"/>
  <c r="M2506" i="1"/>
  <c r="L2506" i="1"/>
  <c r="K2506" i="1"/>
  <c r="J2506" i="1"/>
  <c r="I2506" i="1"/>
  <c r="G2506" i="1"/>
  <c r="F2506" i="1"/>
  <c r="E2506" i="1"/>
  <c r="D2506" i="1"/>
  <c r="C2506" i="1"/>
  <c r="H2506" i="1" s="1"/>
  <c r="M2505" i="1"/>
  <c r="L2505" i="1"/>
  <c r="K2505" i="1"/>
  <c r="J2505" i="1"/>
  <c r="I2505" i="1"/>
  <c r="G2505" i="1"/>
  <c r="F2505" i="1"/>
  <c r="E2505" i="1"/>
  <c r="D2505" i="1"/>
  <c r="C2505" i="1"/>
  <c r="H2505" i="1" s="1"/>
  <c r="M2504" i="1"/>
  <c r="L2504" i="1"/>
  <c r="K2504" i="1"/>
  <c r="J2504" i="1"/>
  <c r="I2504" i="1"/>
  <c r="G2504" i="1"/>
  <c r="H2504" i="1" s="1"/>
  <c r="F2504" i="1"/>
  <c r="E2504" i="1"/>
  <c r="D2504" i="1"/>
  <c r="C2504" i="1"/>
  <c r="M2503" i="1"/>
  <c r="L2503" i="1"/>
  <c r="K2503" i="1"/>
  <c r="J2503" i="1"/>
  <c r="I2503" i="1"/>
  <c r="G2503" i="1"/>
  <c r="F2503" i="1"/>
  <c r="E2503" i="1"/>
  <c r="D2503" i="1"/>
  <c r="C2503" i="1"/>
  <c r="H2503" i="1" s="1"/>
  <c r="M2502" i="1"/>
  <c r="L2502" i="1"/>
  <c r="K2502" i="1"/>
  <c r="J2502" i="1"/>
  <c r="I2502" i="1"/>
  <c r="G2502" i="1"/>
  <c r="H2502" i="1" s="1"/>
  <c r="F2502" i="1"/>
  <c r="E2502" i="1"/>
  <c r="D2502" i="1"/>
  <c r="C2502" i="1"/>
  <c r="M2501" i="1"/>
  <c r="L2501" i="1"/>
  <c r="K2501" i="1"/>
  <c r="J2501" i="1"/>
  <c r="I2501" i="1"/>
  <c r="H2501" i="1"/>
  <c r="G2501" i="1"/>
  <c r="F2501" i="1"/>
  <c r="E2501" i="1"/>
  <c r="D2501" i="1"/>
  <c r="C2501" i="1"/>
  <c r="M2500" i="1"/>
  <c r="L2500" i="1"/>
  <c r="K2500" i="1"/>
  <c r="J2500" i="1"/>
  <c r="I2500" i="1"/>
  <c r="G2500" i="1"/>
  <c r="F2500" i="1"/>
  <c r="E2500" i="1"/>
  <c r="D2500" i="1"/>
  <c r="C2500" i="1"/>
  <c r="H2500" i="1" s="1"/>
  <c r="M2499" i="1"/>
  <c r="L2499" i="1"/>
  <c r="K2499" i="1"/>
  <c r="J2499" i="1"/>
  <c r="I2499" i="1"/>
  <c r="G2499" i="1"/>
  <c r="H2499" i="1" s="1"/>
  <c r="F2499" i="1"/>
  <c r="E2499" i="1"/>
  <c r="D2499" i="1"/>
  <c r="C2499" i="1"/>
  <c r="M2498" i="1"/>
  <c r="L2498" i="1"/>
  <c r="K2498" i="1"/>
  <c r="J2498" i="1"/>
  <c r="I2498" i="1"/>
  <c r="G2498" i="1"/>
  <c r="F2498" i="1"/>
  <c r="E2498" i="1"/>
  <c r="D2498" i="1"/>
  <c r="C2498" i="1"/>
  <c r="H2498" i="1" s="1"/>
  <c r="M2497" i="1"/>
  <c r="L2497" i="1"/>
  <c r="K2497" i="1"/>
  <c r="J2497" i="1"/>
  <c r="I2497" i="1"/>
  <c r="H2497" i="1"/>
  <c r="G2497" i="1"/>
  <c r="F2497" i="1"/>
  <c r="E2497" i="1"/>
  <c r="D2497" i="1"/>
  <c r="C2497" i="1"/>
  <c r="M2496" i="1"/>
  <c r="L2496" i="1"/>
  <c r="K2496" i="1"/>
  <c r="J2496" i="1"/>
  <c r="I2496" i="1"/>
  <c r="G2496" i="1"/>
  <c r="F2496" i="1"/>
  <c r="E2496" i="1"/>
  <c r="D2496" i="1"/>
  <c r="C2496" i="1"/>
  <c r="M2495" i="1"/>
  <c r="L2495" i="1"/>
  <c r="K2495" i="1"/>
  <c r="J2495" i="1"/>
  <c r="I2495" i="1"/>
  <c r="G2495" i="1"/>
  <c r="H2495" i="1" s="1"/>
  <c r="F2495" i="1"/>
  <c r="E2495" i="1"/>
  <c r="D2495" i="1"/>
  <c r="C2495" i="1"/>
  <c r="M2494" i="1"/>
  <c r="L2494" i="1"/>
  <c r="K2494" i="1"/>
  <c r="J2494" i="1"/>
  <c r="I2494" i="1"/>
  <c r="H2494" i="1"/>
  <c r="G2494" i="1"/>
  <c r="F2494" i="1"/>
  <c r="E2494" i="1"/>
  <c r="D2494" i="1"/>
  <c r="C2494" i="1"/>
  <c r="M2493" i="1"/>
  <c r="L2493" i="1"/>
  <c r="K2493" i="1"/>
  <c r="J2493" i="1"/>
  <c r="I2493" i="1"/>
  <c r="G2493" i="1"/>
  <c r="F2493" i="1"/>
  <c r="E2493" i="1"/>
  <c r="D2493" i="1"/>
  <c r="C2493" i="1"/>
  <c r="H2493" i="1" s="1"/>
  <c r="M2492" i="1"/>
  <c r="L2492" i="1"/>
  <c r="K2492" i="1"/>
  <c r="J2492" i="1"/>
  <c r="I2492" i="1"/>
  <c r="G2492" i="1"/>
  <c r="F2492" i="1"/>
  <c r="E2492" i="1"/>
  <c r="D2492" i="1"/>
  <c r="C2492" i="1"/>
  <c r="H2492" i="1" s="1"/>
  <c r="M2491" i="1"/>
  <c r="L2491" i="1"/>
  <c r="K2491" i="1"/>
  <c r="J2491" i="1"/>
  <c r="I2491" i="1"/>
  <c r="H2491" i="1"/>
  <c r="G2491" i="1"/>
  <c r="F2491" i="1"/>
  <c r="E2491" i="1"/>
  <c r="D2491" i="1"/>
  <c r="C2491" i="1"/>
  <c r="M2490" i="1"/>
  <c r="L2490" i="1"/>
  <c r="K2490" i="1"/>
  <c r="J2490" i="1"/>
  <c r="I2490" i="1"/>
  <c r="H2490" i="1"/>
  <c r="G2490" i="1"/>
  <c r="F2490" i="1"/>
  <c r="E2490" i="1"/>
  <c r="D2490" i="1"/>
  <c r="C2490" i="1"/>
  <c r="M2489" i="1"/>
  <c r="L2489" i="1"/>
  <c r="K2489" i="1"/>
  <c r="J2489" i="1"/>
  <c r="I2489" i="1"/>
  <c r="G2489" i="1"/>
  <c r="F2489" i="1"/>
  <c r="E2489" i="1"/>
  <c r="D2489" i="1"/>
  <c r="C2489" i="1"/>
  <c r="H2489" i="1" s="1"/>
  <c r="M2488" i="1"/>
  <c r="L2488" i="1"/>
  <c r="K2488" i="1"/>
  <c r="J2488" i="1"/>
  <c r="I2488" i="1"/>
  <c r="H2488" i="1"/>
  <c r="G2488" i="1"/>
  <c r="F2488" i="1"/>
  <c r="E2488" i="1"/>
  <c r="D2488" i="1"/>
  <c r="C2488" i="1"/>
  <c r="M2487" i="1"/>
  <c r="L2487" i="1"/>
  <c r="K2487" i="1"/>
  <c r="J2487" i="1"/>
  <c r="I2487" i="1"/>
  <c r="H2487" i="1"/>
  <c r="G2487" i="1"/>
  <c r="F2487" i="1"/>
  <c r="E2487" i="1"/>
  <c r="D2487" i="1"/>
  <c r="C2487" i="1"/>
  <c r="M2486" i="1"/>
  <c r="L2486" i="1"/>
  <c r="K2486" i="1"/>
  <c r="J2486" i="1"/>
  <c r="I2486" i="1"/>
  <c r="G2486" i="1"/>
  <c r="F2486" i="1"/>
  <c r="E2486" i="1"/>
  <c r="D2486" i="1"/>
  <c r="C2486" i="1"/>
  <c r="M2485" i="1"/>
  <c r="L2485" i="1"/>
  <c r="K2485" i="1"/>
  <c r="J2485" i="1"/>
  <c r="I2485" i="1"/>
  <c r="H2485" i="1"/>
  <c r="G2485" i="1"/>
  <c r="F2485" i="1"/>
  <c r="E2485" i="1"/>
  <c r="D2485" i="1"/>
  <c r="C2485" i="1"/>
  <c r="M2484" i="1"/>
  <c r="L2484" i="1"/>
  <c r="K2484" i="1"/>
  <c r="J2484" i="1"/>
  <c r="I2484" i="1"/>
  <c r="H2484" i="1"/>
  <c r="G2484" i="1"/>
  <c r="F2484" i="1"/>
  <c r="E2484" i="1"/>
  <c r="D2484" i="1"/>
  <c r="C2484" i="1"/>
  <c r="M2483" i="1"/>
  <c r="L2483" i="1"/>
  <c r="K2483" i="1"/>
  <c r="J2483" i="1"/>
  <c r="I2483" i="1"/>
  <c r="G2483" i="1"/>
  <c r="F2483" i="1"/>
  <c r="E2483" i="1"/>
  <c r="D2483" i="1"/>
  <c r="C2483" i="1"/>
  <c r="M2482" i="1"/>
  <c r="L2482" i="1"/>
  <c r="K2482" i="1"/>
  <c r="J2482" i="1"/>
  <c r="I2482" i="1"/>
  <c r="G2482" i="1"/>
  <c r="F2482" i="1"/>
  <c r="E2482" i="1"/>
  <c r="D2482" i="1"/>
  <c r="C2482" i="1"/>
  <c r="H2482" i="1" s="1"/>
  <c r="M2481" i="1"/>
  <c r="L2481" i="1"/>
  <c r="K2481" i="1"/>
  <c r="J2481" i="1"/>
  <c r="I2481" i="1"/>
  <c r="G2481" i="1"/>
  <c r="H2481" i="1" s="1"/>
  <c r="F2481" i="1"/>
  <c r="E2481" i="1"/>
  <c r="D2481" i="1"/>
  <c r="C2481" i="1"/>
  <c r="M2480" i="1"/>
  <c r="L2480" i="1"/>
  <c r="K2480" i="1"/>
  <c r="J2480" i="1"/>
  <c r="I2480" i="1"/>
  <c r="G2480" i="1"/>
  <c r="F2480" i="1"/>
  <c r="E2480" i="1"/>
  <c r="D2480" i="1"/>
  <c r="C2480" i="1"/>
  <c r="M2479" i="1"/>
  <c r="L2479" i="1"/>
  <c r="K2479" i="1"/>
  <c r="J2479" i="1"/>
  <c r="I2479" i="1"/>
  <c r="G2479" i="1"/>
  <c r="H2479" i="1" s="1"/>
  <c r="F2479" i="1"/>
  <c r="E2479" i="1"/>
  <c r="D2479" i="1"/>
  <c r="C2479" i="1"/>
  <c r="M2478" i="1"/>
  <c r="L2478" i="1"/>
  <c r="K2478" i="1"/>
  <c r="J2478" i="1"/>
  <c r="I2478" i="1"/>
  <c r="H2478" i="1"/>
  <c r="G2478" i="1"/>
  <c r="F2478" i="1"/>
  <c r="E2478" i="1"/>
  <c r="D2478" i="1"/>
  <c r="C2478" i="1"/>
  <c r="M2477" i="1"/>
  <c r="L2477" i="1"/>
  <c r="K2477" i="1"/>
  <c r="J2477" i="1"/>
  <c r="I2477" i="1"/>
  <c r="G2477" i="1"/>
  <c r="H2477" i="1" s="1"/>
  <c r="F2477" i="1"/>
  <c r="E2477" i="1"/>
  <c r="D2477" i="1"/>
  <c r="C2477" i="1"/>
  <c r="M2476" i="1"/>
  <c r="L2476" i="1"/>
  <c r="K2476" i="1"/>
  <c r="J2476" i="1"/>
  <c r="I2476" i="1"/>
  <c r="H2476" i="1"/>
  <c r="G2476" i="1"/>
  <c r="F2476" i="1"/>
  <c r="E2476" i="1"/>
  <c r="D2476" i="1"/>
  <c r="C2476" i="1"/>
  <c r="M2475" i="1"/>
  <c r="L2475" i="1"/>
  <c r="K2475" i="1"/>
  <c r="J2475" i="1"/>
  <c r="I2475" i="1"/>
  <c r="G2475" i="1"/>
  <c r="F2475" i="1"/>
  <c r="E2475" i="1"/>
  <c r="D2475" i="1"/>
  <c r="C2475" i="1"/>
  <c r="H2475" i="1" s="1"/>
  <c r="M2474" i="1"/>
  <c r="L2474" i="1"/>
  <c r="K2474" i="1"/>
  <c r="J2474" i="1"/>
  <c r="I2474" i="1"/>
  <c r="G2474" i="1"/>
  <c r="H2474" i="1" s="1"/>
  <c r="F2474" i="1"/>
  <c r="E2474" i="1"/>
  <c r="D2474" i="1"/>
  <c r="C2474" i="1"/>
  <c r="M2473" i="1"/>
  <c r="L2473" i="1"/>
  <c r="K2473" i="1"/>
  <c r="J2473" i="1"/>
  <c r="I2473" i="1"/>
  <c r="G2473" i="1"/>
  <c r="F2473" i="1"/>
  <c r="E2473" i="1"/>
  <c r="D2473" i="1"/>
  <c r="C2473" i="1"/>
  <c r="H2473" i="1" s="1"/>
  <c r="M2472" i="1"/>
  <c r="L2472" i="1"/>
  <c r="K2472" i="1"/>
  <c r="J2472" i="1"/>
  <c r="I2472" i="1"/>
  <c r="H2472" i="1"/>
  <c r="G2472" i="1"/>
  <c r="F2472" i="1"/>
  <c r="E2472" i="1"/>
  <c r="D2472" i="1"/>
  <c r="C2472" i="1"/>
  <c r="M2471" i="1"/>
  <c r="L2471" i="1"/>
  <c r="K2471" i="1"/>
  <c r="J2471" i="1"/>
  <c r="I2471" i="1"/>
  <c r="G2471" i="1"/>
  <c r="H2471" i="1" s="1"/>
  <c r="F2471" i="1"/>
  <c r="E2471" i="1"/>
  <c r="D2471" i="1"/>
  <c r="C2471" i="1"/>
  <c r="M2470" i="1"/>
  <c r="L2470" i="1"/>
  <c r="K2470" i="1"/>
  <c r="J2470" i="1"/>
  <c r="I2470" i="1"/>
  <c r="G2470" i="1"/>
  <c r="H2470" i="1" s="1"/>
  <c r="F2470" i="1"/>
  <c r="E2470" i="1"/>
  <c r="D2470" i="1"/>
  <c r="C2470" i="1"/>
  <c r="M2469" i="1"/>
  <c r="L2469" i="1"/>
  <c r="K2469" i="1"/>
  <c r="J2469" i="1"/>
  <c r="I2469" i="1"/>
  <c r="H2469" i="1"/>
  <c r="G2469" i="1"/>
  <c r="F2469" i="1"/>
  <c r="E2469" i="1"/>
  <c r="D2469" i="1"/>
  <c r="C2469" i="1"/>
  <c r="M2468" i="1"/>
  <c r="L2468" i="1"/>
  <c r="K2468" i="1"/>
  <c r="J2468" i="1"/>
  <c r="I2468" i="1"/>
  <c r="G2468" i="1"/>
  <c r="F2468" i="1"/>
  <c r="E2468" i="1"/>
  <c r="D2468" i="1"/>
  <c r="C2468" i="1"/>
  <c r="M2467" i="1"/>
  <c r="L2467" i="1"/>
  <c r="K2467" i="1"/>
  <c r="J2467" i="1"/>
  <c r="I2467" i="1"/>
  <c r="H2467" i="1"/>
  <c r="G2467" i="1"/>
  <c r="F2467" i="1"/>
  <c r="E2467" i="1"/>
  <c r="D2467" i="1"/>
  <c r="C2467" i="1"/>
  <c r="M2466" i="1"/>
  <c r="L2466" i="1"/>
  <c r="K2466" i="1"/>
  <c r="J2466" i="1"/>
  <c r="I2466" i="1"/>
  <c r="G2466" i="1"/>
  <c r="F2466" i="1"/>
  <c r="E2466" i="1"/>
  <c r="D2466" i="1"/>
  <c r="C2466" i="1"/>
  <c r="H2466" i="1" s="1"/>
  <c r="M2465" i="1"/>
  <c r="L2465" i="1"/>
  <c r="K2465" i="1"/>
  <c r="J2465" i="1"/>
  <c r="I2465" i="1"/>
  <c r="G2465" i="1"/>
  <c r="H2465" i="1" s="1"/>
  <c r="F2465" i="1"/>
  <c r="E2465" i="1"/>
  <c r="D2465" i="1"/>
  <c r="C2465" i="1"/>
  <c r="M2464" i="1"/>
  <c r="L2464" i="1"/>
  <c r="K2464" i="1"/>
  <c r="J2464" i="1"/>
  <c r="I2464" i="1"/>
  <c r="H2464" i="1"/>
  <c r="G2464" i="1"/>
  <c r="F2464" i="1"/>
  <c r="E2464" i="1"/>
  <c r="D2464" i="1"/>
  <c r="C2464" i="1"/>
  <c r="M2463" i="1"/>
  <c r="L2463" i="1"/>
  <c r="K2463" i="1"/>
  <c r="J2463" i="1"/>
  <c r="I2463" i="1"/>
  <c r="G2463" i="1"/>
  <c r="H2463" i="1" s="1"/>
  <c r="F2463" i="1"/>
  <c r="E2463" i="1"/>
  <c r="D2463" i="1"/>
  <c r="C2463" i="1"/>
  <c r="M2462" i="1"/>
  <c r="L2462" i="1"/>
  <c r="K2462" i="1"/>
  <c r="J2462" i="1"/>
  <c r="I2462" i="1"/>
  <c r="G2462" i="1"/>
  <c r="H2462" i="1" s="1"/>
  <c r="F2462" i="1"/>
  <c r="E2462" i="1"/>
  <c r="D2462" i="1"/>
  <c r="C2462" i="1"/>
  <c r="M2461" i="1"/>
  <c r="L2461" i="1"/>
  <c r="K2461" i="1"/>
  <c r="J2461" i="1"/>
  <c r="I2461" i="1"/>
  <c r="H2461" i="1"/>
  <c r="G2461" i="1"/>
  <c r="F2461" i="1"/>
  <c r="E2461" i="1"/>
  <c r="D2461" i="1"/>
  <c r="C2461" i="1"/>
  <c r="M2460" i="1"/>
  <c r="L2460" i="1"/>
  <c r="K2460" i="1"/>
  <c r="J2460" i="1"/>
  <c r="I2460" i="1"/>
  <c r="H2460" i="1"/>
  <c r="G2460" i="1"/>
  <c r="F2460" i="1"/>
  <c r="E2460" i="1"/>
  <c r="D2460" i="1"/>
  <c r="C2460" i="1"/>
  <c r="M2459" i="1"/>
  <c r="L2459" i="1"/>
  <c r="K2459" i="1"/>
  <c r="J2459" i="1"/>
  <c r="I2459" i="1"/>
  <c r="G2459" i="1"/>
  <c r="H2459" i="1" s="1"/>
  <c r="F2459" i="1"/>
  <c r="E2459" i="1"/>
  <c r="D2459" i="1"/>
  <c r="C2459" i="1"/>
  <c r="M2458" i="1"/>
  <c r="L2458" i="1"/>
  <c r="K2458" i="1"/>
  <c r="J2458" i="1"/>
  <c r="I2458" i="1"/>
  <c r="G2458" i="1"/>
  <c r="F2458" i="1"/>
  <c r="E2458" i="1"/>
  <c r="D2458" i="1"/>
  <c r="C2458" i="1"/>
  <c r="H2458" i="1" s="1"/>
  <c r="M2457" i="1"/>
  <c r="L2457" i="1"/>
  <c r="K2457" i="1"/>
  <c r="J2457" i="1"/>
  <c r="I2457" i="1"/>
  <c r="G2457" i="1"/>
  <c r="F2457" i="1"/>
  <c r="E2457" i="1"/>
  <c r="D2457" i="1"/>
  <c r="C2457" i="1"/>
  <c r="H2457" i="1" s="1"/>
  <c r="M2456" i="1"/>
  <c r="L2456" i="1"/>
  <c r="K2456" i="1"/>
  <c r="J2456" i="1"/>
  <c r="I2456" i="1"/>
  <c r="G2456" i="1"/>
  <c r="H2456" i="1" s="1"/>
  <c r="F2456" i="1"/>
  <c r="E2456" i="1"/>
  <c r="D2456" i="1"/>
  <c r="C2456" i="1"/>
  <c r="M2455" i="1"/>
  <c r="L2455" i="1"/>
  <c r="K2455" i="1"/>
  <c r="J2455" i="1"/>
  <c r="I2455" i="1"/>
  <c r="G2455" i="1"/>
  <c r="F2455" i="1"/>
  <c r="E2455" i="1"/>
  <c r="D2455" i="1"/>
  <c r="C2455" i="1"/>
  <c r="H2455" i="1" s="1"/>
  <c r="M2454" i="1"/>
  <c r="L2454" i="1"/>
  <c r="K2454" i="1"/>
  <c r="J2454" i="1"/>
  <c r="I2454" i="1"/>
  <c r="G2454" i="1"/>
  <c r="H2454" i="1" s="1"/>
  <c r="F2454" i="1"/>
  <c r="E2454" i="1"/>
  <c r="D2454" i="1"/>
  <c r="C2454" i="1"/>
  <c r="M2453" i="1"/>
  <c r="L2453" i="1"/>
  <c r="K2453" i="1"/>
  <c r="J2453" i="1"/>
  <c r="I2453" i="1"/>
  <c r="H2453" i="1"/>
  <c r="G2453" i="1"/>
  <c r="F2453" i="1"/>
  <c r="E2453" i="1"/>
  <c r="D2453" i="1"/>
  <c r="C2453" i="1"/>
  <c r="M2452" i="1"/>
  <c r="L2452" i="1"/>
  <c r="K2452" i="1"/>
  <c r="J2452" i="1"/>
  <c r="I2452" i="1"/>
  <c r="G2452" i="1"/>
  <c r="F2452" i="1"/>
  <c r="E2452" i="1"/>
  <c r="D2452" i="1"/>
  <c r="C2452" i="1"/>
  <c r="H2452" i="1" s="1"/>
  <c r="M2451" i="1"/>
  <c r="L2451" i="1"/>
  <c r="K2451" i="1"/>
  <c r="J2451" i="1"/>
  <c r="I2451" i="1"/>
  <c r="H2451" i="1"/>
  <c r="G2451" i="1"/>
  <c r="F2451" i="1"/>
  <c r="E2451" i="1"/>
  <c r="D2451" i="1"/>
  <c r="C2451" i="1"/>
  <c r="M2450" i="1"/>
  <c r="L2450" i="1"/>
  <c r="K2450" i="1"/>
  <c r="J2450" i="1"/>
  <c r="I2450" i="1"/>
  <c r="G2450" i="1"/>
  <c r="F2450" i="1"/>
  <c r="E2450" i="1"/>
  <c r="D2450" i="1"/>
  <c r="C2450" i="1"/>
  <c r="H2450" i="1" s="1"/>
  <c r="M2449" i="1"/>
  <c r="L2449" i="1"/>
  <c r="K2449" i="1"/>
  <c r="J2449" i="1"/>
  <c r="I2449" i="1"/>
  <c r="H2449" i="1"/>
  <c r="G2449" i="1"/>
  <c r="F2449" i="1"/>
  <c r="E2449" i="1"/>
  <c r="D2449" i="1"/>
  <c r="C2449" i="1"/>
  <c r="M2448" i="1"/>
  <c r="L2448" i="1"/>
  <c r="K2448" i="1"/>
  <c r="J2448" i="1"/>
  <c r="I2448" i="1"/>
  <c r="H2448" i="1"/>
  <c r="G2448" i="1"/>
  <c r="F2448" i="1"/>
  <c r="E2448" i="1"/>
  <c r="D2448" i="1"/>
  <c r="C2448" i="1"/>
  <c r="M2447" i="1"/>
  <c r="L2447" i="1"/>
  <c r="K2447" i="1"/>
  <c r="J2447" i="1"/>
  <c r="I2447" i="1"/>
  <c r="G2447" i="1"/>
  <c r="F2447" i="1"/>
  <c r="E2447" i="1"/>
  <c r="D2447" i="1"/>
  <c r="C2447" i="1"/>
  <c r="M2446" i="1"/>
  <c r="L2446" i="1"/>
  <c r="K2446" i="1"/>
  <c r="J2446" i="1"/>
  <c r="I2446" i="1"/>
  <c r="H2446" i="1"/>
  <c r="G2446" i="1"/>
  <c r="F2446" i="1"/>
  <c r="E2446" i="1"/>
  <c r="D2446" i="1"/>
  <c r="C2446" i="1"/>
  <c r="M2445" i="1"/>
  <c r="L2445" i="1"/>
  <c r="K2445" i="1"/>
  <c r="J2445" i="1"/>
  <c r="I2445" i="1"/>
  <c r="H2445" i="1"/>
  <c r="G2445" i="1"/>
  <c r="F2445" i="1"/>
  <c r="E2445" i="1"/>
  <c r="D2445" i="1"/>
  <c r="C2445" i="1"/>
  <c r="M2444" i="1"/>
  <c r="L2444" i="1"/>
  <c r="K2444" i="1"/>
  <c r="J2444" i="1"/>
  <c r="I2444" i="1"/>
  <c r="G2444" i="1"/>
  <c r="F2444" i="1"/>
  <c r="E2444" i="1"/>
  <c r="D2444" i="1"/>
  <c r="C2444" i="1"/>
  <c r="H2444" i="1" s="1"/>
  <c r="M2443" i="1"/>
  <c r="L2443" i="1"/>
  <c r="K2443" i="1"/>
  <c r="J2443" i="1"/>
  <c r="I2443" i="1"/>
  <c r="G2443" i="1"/>
  <c r="F2443" i="1"/>
  <c r="E2443" i="1"/>
  <c r="D2443" i="1"/>
  <c r="C2443" i="1"/>
  <c r="M2442" i="1"/>
  <c r="L2442" i="1"/>
  <c r="K2442" i="1"/>
  <c r="J2442" i="1"/>
  <c r="I2442" i="1"/>
  <c r="H2442" i="1"/>
  <c r="G2442" i="1"/>
  <c r="F2442" i="1"/>
  <c r="E2442" i="1"/>
  <c r="D2442" i="1"/>
  <c r="C2442" i="1"/>
  <c r="M2441" i="1"/>
  <c r="L2441" i="1"/>
  <c r="K2441" i="1"/>
  <c r="J2441" i="1"/>
  <c r="I2441" i="1"/>
  <c r="G2441" i="1"/>
  <c r="F2441" i="1"/>
  <c r="E2441" i="1"/>
  <c r="D2441" i="1"/>
  <c r="C2441" i="1"/>
  <c r="H2441" i="1" s="1"/>
  <c r="M2440" i="1"/>
  <c r="L2440" i="1"/>
  <c r="K2440" i="1"/>
  <c r="J2440" i="1"/>
  <c r="I2440" i="1"/>
  <c r="G2440" i="1"/>
  <c r="H2440" i="1" s="1"/>
  <c r="F2440" i="1"/>
  <c r="E2440" i="1"/>
  <c r="D2440" i="1"/>
  <c r="C2440" i="1"/>
  <c r="M2439" i="1"/>
  <c r="L2439" i="1"/>
  <c r="K2439" i="1"/>
  <c r="J2439" i="1"/>
  <c r="I2439" i="1"/>
  <c r="H2439" i="1"/>
  <c r="G2439" i="1"/>
  <c r="F2439" i="1"/>
  <c r="E2439" i="1"/>
  <c r="D2439" i="1"/>
  <c r="C2439" i="1"/>
  <c r="M2438" i="1"/>
  <c r="L2438" i="1"/>
  <c r="K2438" i="1"/>
  <c r="J2438" i="1"/>
  <c r="I2438" i="1"/>
  <c r="G2438" i="1"/>
  <c r="F2438" i="1"/>
  <c r="E2438" i="1"/>
  <c r="D2438" i="1"/>
  <c r="C2438" i="1"/>
  <c r="M2437" i="1"/>
  <c r="L2437" i="1"/>
  <c r="K2437" i="1"/>
  <c r="J2437" i="1"/>
  <c r="I2437" i="1"/>
  <c r="H2437" i="1"/>
  <c r="G2437" i="1"/>
  <c r="F2437" i="1"/>
  <c r="E2437" i="1"/>
  <c r="D2437" i="1"/>
  <c r="C2437" i="1"/>
  <c r="M2436" i="1"/>
  <c r="L2436" i="1"/>
  <c r="K2436" i="1"/>
  <c r="J2436" i="1"/>
  <c r="I2436" i="1"/>
  <c r="H2436" i="1"/>
  <c r="G2436" i="1"/>
  <c r="F2436" i="1"/>
  <c r="E2436" i="1"/>
  <c r="D2436" i="1"/>
  <c r="C2436" i="1"/>
  <c r="M2435" i="1"/>
  <c r="L2435" i="1"/>
  <c r="K2435" i="1"/>
  <c r="J2435" i="1"/>
  <c r="I2435" i="1"/>
  <c r="G2435" i="1"/>
  <c r="F2435" i="1"/>
  <c r="E2435" i="1"/>
  <c r="D2435" i="1"/>
  <c r="C2435" i="1"/>
  <c r="H2435" i="1" s="1"/>
  <c r="M2434" i="1"/>
  <c r="L2434" i="1"/>
  <c r="K2434" i="1"/>
  <c r="J2434" i="1"/>
  <c r="I2434" i="1"/>
  <c r="G2434" i="1"/>
  <c r="F2434" i="1"/>
  <c r="E2434" i="1"/>
  <c r="D2434" i="1"/>
  <c r="C2434" i="1"/>
  <c r="H2434" i="1" s="1"/>
  <c r="M2433" i="1"/>
  <c r="L2433" i="1"/>
  <c r="K2433" i="1"/>
  <c r="J2433" i="1"/>
  <c r="I2433" i="1"/>
  <c r="G2433" i="1"/>
  <c r="H2433" i="1" s="1"/>
  <c r="F2433" i="1"/>
  <c r="E2433" i="1"/>
  <c r="D2433" i="1"/>
  <c r="C2433" i="1"/>
  <c r="M2432" i="1"/>
  <c r="L2432" i="1"/>
  <c r="K2432" i="1"/>
  <c r="J2432" i="1"/>
  <c r="I2432" i="1"/>
  <c r="G2432" i="1"/>
  <c r="F2432" i="1"/>
  <c r="E2432" i="1"/>
  <c r="D2432" i="1"/>
  <c r="C2432" i="1"/>
  <c r="M2431" i="1"/>
  <c r="L2431" i="1"/>
  <c r="K2431" i="1"/>
  <c r="J2431" i="1"/>
  <c r="I2431" i="1"/>
  <c r="G2431" i="1"/>
  <c r="F2431" i="1"/>
  <c r="E2431" i="1"/>
  <c r="D2431" i="1"/>
  <c r="C2431" i="1"/>
  <c r="M2430" i="1"/>
  <c r="L2430" i="1"/>
  <c r="K2430" i="1"/>
  <c r="J2430" i="1"/>
  <c r="I2430" i="1"/>
  <c r="G2430" i="1"/>
  <c r="H2430" i="1" s="1"/>
  <c r="F2430" i="1"/>
  <c r="E2430" i="1"/>
  <c r="D2430" i="1"/>
  <c r="C2430" i="1"/>
  <c r="M2429" i="1"/>
  <c r="L2429" i="1"/>
  <c r="K2429" i="1"/>
  <c r="J2429" i="1"/>
  <c r="I2429" i="1"/>
  <c r="G2429" i="1"/>
  <c r="F2429" i="1"/>
  <c r="E2429" i="1"/>
  <c r="D2429" i="1"/>
  <c r="C2429" i="1"/>
  <c r="M2428" i="1"/>
  <c r="L2428" i="1"/>
  <c r="K2428" i="1"/>
  <c r="J2428" i="1"/>
  <c r="I2428" i="1"/>
  <c r="G2428" i="1"/>
  <c r="F2428" i="1"/>
  <c r="E2428" i="1"/>
  <c r="D2428" i="1"/>
  <c r="C2428" i="1"/>
  <c r="H2428" i="1" s="1"/>
  <c r="M2427" i="1"/>
  <c r="L2427" i="1"/>
  <c r="K2427" i="1"/>
  <c r="J2427" i="1"/>
  <c r="I2427" i="1"/>
  <c r="G2427" i="1"/>
  <c r="H2427" i="1" s="1"/>
  <c r="F2427" i="1"/>
  <c r="E2427" i="1"/>
  <c r="D2427" i="1"/>
  <c r="C2427" i="1"/>
  <c r="M2426" i="1"/>
  <c r="L2426" i="1"/>
  <c r="K2426" i="1"/>
  <c r="J2426" i="1"/>
  <c r="I2426" i="1"/>
  <c r="G2426" i="1"/>
  <c r="F2426" i="1"/>
  <c r="E2426" i="1"/>
  <c r="D2426" i="1"/>
  <c r="C2426" i="1"/>
  <c r="M2425" i="1"/>
  <c r="L2425" i="1"/>
  <c r="K2425" i="1"/>
  <c r="J2425" i="1"/>
  <c r="I2425" i="1"/>
  <c r="G2425" i="1"/>
  <c r="F2425" i="1"/>
  <c r="E2425" i="1"/>
  <c r="D2425" i="1"/>
  <c r="C2425" i="1"/>
  <c r="H2425" i="1" s="1"/>
  <c r="M2424" i="1"/>
  <c r="L2424" i="1"/>
  <c r="K2424" i="1"/>
  <c r="J2424" i="1"/>
  <c r="I2424" i="1"/>
  <c r="G2424" i="1"/>
  <c r="H2424" i="1" s="1"/>
  <c r="F2424" i="1"/>
  <c r="E2424" i="1"/>
  <c r="D2424" i="1"/>
  <c r="C2424" i="1"/>
  <c r="M2423" i="1"/>
  <c r="L2423" i="1"/>
  <c r="K2423" i="1"/>
  <c r="J2423" i="1"/>
  <c r="I2423" i="1"/>
  <c r="G2423" i="1"/>
  <c r="F2423" i="1"/>
  <c r="E2423" i="1"/>
  <c r="D2423" i="1"/>
  <c r="C2423" i="1"/>
  <c r="M2422" i="1"/>
  <c r="L2422" i="1"/>
  <c r="K2422" i="1"/>
  <c r="J2422" i="1"/>
  <c r="I2422" i="1"/>
  <c r="G2422" i="1"/>
  <c r="F2422" i="1"/>
  <c r="E2422" i="1"/>
  <c r="D2422" i="1"/>
  <c r="C2422" i="1"/>
  <c r="M2421" i="1"/>
  <c r="L2421" i="1"/>
  <c r="K2421" i="1"/>
  <c r="J2421" i="1"/>
  <c r="I2421" i="1"/>
  <c r="H2421" i="1"/>
  <c r="G2421" i="1"/>
  <c r="F2421" i="1"/>
  <c r="E2421" i="1"/>
  <c r="D2421" i="1"/>
  <c r="C2421" i="1"/>
  <c r="M2420" i="1"/>
  <c r="L2420" i="1"/>
  <c r="K2420" i="1"/>
  <c r="J2420" i="1"/>
  <c r="I2420" i="1"/>
  <c r="G2420" i="1"/>
  <c r="F2420" i="1"/>
  <c r="E2420" i="1"/>
  <c r="D2420" i="1"/>
  <c r="C2420" i="1"/>
  <c r="M2419" i="1"/>
  <c r="L2419" i="1"/>
  <c r="K2419" i="1"/>
  <c r="J2419" i="1"/>
  <c r="I2419" i="1"/>
  <c r="G2419" i="1"/>
  <c r="H2419" i="1" s="1"/>
  <c r="F2419" i="1"/>
  <c r="E2419" i="1"/>
  <c r="D2419" i="1"/>
  <c r="C2419" i="1"/>
  <c r="M2418" i="1"/>
  <c r="L2418" i="1"/>
  <c r="K2418" i="1"/>
  <c r="J2418" i="1"/>
  <c r="I2418" i="1"/>
  <c r="G2418" i="1"/>
  <c r="F2418" i="1"/>
  <c r="E2418" i="1"/>
  <c r="D2418" i="1"/>
  <c r="C2418" i="1"/>
  <c r="H2418" i="1" s="1"/>
  <c r="M2417" i="1"/>
  <c r="L2417" i="1"/>
  <c r="K2417" i="1"/>
  <c r="J2417" i="1"/>
  <c r="I2417" i="1"/>
  <c r="G2417" i="1"/>
  <c r="H2417" i="1" s="1"/>
  <c r="F2417" i="1"/>
  <c r="E2417" i="1"/>
  <c r="D2417" i="1"/>
  <c r="C2417" i="1"/>
  <c r="M2416" i="1"/>
  <c r="L2416" i="1"/>
  <c r="K2416" i="1"/>
  <c r="J2416" i="1"/>
  <c r="I2416" i="1"/>
  <c r="G2416" i="1"/>
  <c r="H2416" i="1" s="1"/>
  <c r="F2416" i="1"/>
  <c r="E2416" i="1"/>
  <c r="D2416" i="1"/>
  <c r="C2416" i="1"/>
  <c r="M2415" i="1"/>
  <c r="L2415" i="1"/>
  <c r="K2415" i="1"/>
  <c r="J2415" i="1"/>
  <c r="I2415" i="1"/>
  <c r="G2415" i="1"/>
  <c r="H2415" i="1" s="1"/>
  <c r="F2415" i="1"/>
  <c r="E2415" i="1"/>
  <c r="D2415" i="1"/>
  <c r="C2415" i="1"/>
  <c r="M2414" i="1"/>
  <c r="L2414" i="1"/>
  <c r="K2414" i="1"/>
  <c r="J2414" i="1"/>
  <c r="I2414" i="1"/>
  <c r="H2414" i="1"/>
  <c r="G2414" i="1"/>
  <c r="F2414" i="1"/>
  <c r="E2414" i="1"/>
  <c r="D2414" i="1"/>
  <c r="C2414" i="1"/>
  <c r="M2413" i="1"/>
  <c r="L2413" i="1"/>
  <c r="K2413" i="1"/>
  <c r="J2413" i="1"/>
  <c r="I2413" i="1"/>
  <c r="G2413" i="1"/>
  <c r="H2413" i="1" s="1"/>
  <c r="F2413" i="1"/>
  <c r="E2413" i="1"/>
  <c r="D2413" i="1"/>
  <c r="C2413" i="1"/>
  <c r="M2412" i="1"/>
  <c r="L2412" i="1"/>
  <c r="K2412" i="1"/>
  <c r="J2412" i="1"/>
  <c r="I2412" i="1"/>
  <c r="H2412" i="1"/>
  <c r="G2412" i="1"/>
  <c r="F2412" i="1"/>
  <c r="E2412" i="1"/>
  <c r="D2412" i="1"/>
  <c r="C2412" i="1"/>
  <c r="M2411" i="1"/>
  <c r="L2411" i="1"/>
  <c r="K2411" i="1"/>
  <c r="J2411" i="1"/>
  <c r="I2411" i="1"/>
  <c r="G2411" i="1"/>
  <c r="F2411" i="1"/>
  <c r="E2411" i="1"/>
  <c r="D2411" i="1"/>
  <c r="C2411" i="1"/>
  <c r="H2411" i="1" s="1"/>
  <c r="M2410" i="1"/>
  <c r="L2410" i="1"/>
  <c r="K2410" i="1"/>
  <c r="J2410" i="1"/>
  <c r="I2410" i="1"/>
  <c r="G2410" i="1"/>
  <c r="H2410" i="1" s="1"/>
  <c r="F2410" i="1"/>
  <c r="E2410" i="1"/>
  <c r="D2410" i="1"/>
  <c r="C2410" i="1"/>
  <c r="M2409" i="1"/>
  <c r="L2409" i="1"/>
  <c r="K2409" i="1"/>
  <c r="J2409" i="1"/>
  <c r="I2409" i="1"/>
  <c r="G2409" i="1"/>
  <c r="F2409" i="1"/>
  <c r="E2409" i="1"/>
  <c r="D2409" i="1"/>
  <c r="C2409" i="1"/>
  <c r="H2409" i="1" s="1"/>
  <c r="M2408" i="1"/>
  <c r="L2408" i="1"/>
  <c r="K2408" i="1"/>
  <c r="J2408" i="1"/>
  <c r="I2408" i="1"/>
  <c r="G2408" i="1"/>
  <c r="H2408" i="1" s="1"/>
  <c r="F2408" i="1"/>
  <c r="E2408" i="1"/>
  <c r="D2408" i="1"/>
  <c r="C2408" i="1"/>
  <c r="M2407" i="1"/>
  <c r="L2407" i="1"/>
  <c r="K2407" i="1"/>
  <c r="J2407" i="1"/>
  <c r="I2407" i="1"/>
  <c r="G2407" i="1"/>
  <c r="H2407" i="1" s="1"/>
  <c r="F2407" i="1"/>
  <c r="E2407" i="1"/>
  <c r="D2407" i="1"/>
  <c r="C2407" i="1"/>
  <c r="M2406" i="1"/>
  <c r="L2406" i="1"/>
  <c r="K2406" i="1"/>
  <c r="J2406" i="1"/>
  <c r="I2406" i="1"/>
  <c r="G2406" i="1"/>
  <c r="H2406" i="1" s="1"/>
  <c r="F2406" i="1"/>
  <c r="E2406" i="1"/>
  <c r="D2406" i="1"/>
  <c r="C2406" i="1"/>
  <c r="M2405" i="1"/>
  <c r="L2405" i="1"/>
  <c r="K2405" i="1"/>
  <c r="J2405" i="1"/>
  <c r="I2405" i="1"/>
  <c r="H2405" i="1"/>
  <c r="G2405" i="1"/>
  <c r="F2405" i="1"/>
  <c r="E2405" i="1"/>
  <c r="D2405" i="1"/>
  <c r="C2405" i="1"/>
  <c r="M2404" i="1"/>
  <c r="L2404" i="1"/>
  <c r="K2404" i="1"/>
  <c r="J2404" i="1"/>
  <c r="I2404" i="1"/>
  <c r="G2404" i="1"/>
  <c r="F2404" i="1"/>
  <c r="E2404" i="1"/>
  <c r="D2404" i="1"/>
  <c r="C2404" i="1"/>
  <c r="H2404" i="1" s="1"/>
  <c r="M2403" i="1"/>
  <c r="L2403" i="1"/>
  <c r="K2403" i="1"/>
  <c r="J2403" i="1"/>
  <c r="I2403" i="1"/>
  <c r="G2403" i="1"/>
  <c r="F2403" i="1"/>
  <c r="E2403" i="1"/>
  <c r="D2403" i="1"/>
  <c r="C2403" i="1"/>
  <c r="H2403" i="1" s="1"/>
  <c r="M2402" i="1"/>
  <c r="L2402" i="1"/>
  <c r="K2402" i="1"/>
  <c r="J2402" i="1"/>
  <c r="I2402" i="1"/>
  <c r="G2402" i="1"/>
  <c r="F2402" i="1"/>
  <c r="E2402" i="1"/>
  <c r="D2402" i="1"/>
  <c r="C2402" i="1"/>
  <c r="H2402" i="1" s="1"/>
  <c r="M2401" i="1"/>
  <c r="L2401" i="1"/>
  <c r="K2401" i="1"/>
  <c r="J2401" i="1"/>
  <c r="I2401" i="1"/>
  <c r="H2401" i="1"/>
  <c r="G2401" i="1"/>
  <c r="F2401" i="1"/>
  <c r="E2401" i="1"/>
  <c r="D2401" i="1"/>
  <c r="C2401" i="1"/>
  <c r="M2400" i="1"/>
  <c r="L2400" i="1"/>
  <c r="K2400" i="1"/>
  <c r="J2400" i="1"/>
  <c r="I2400" i="1"/>
  <c r="G2400" i="1"/>
  <c r="F2400" i="1"/>
  <c r="E2400" i="1"/>
  <c r="D2400" i="1"/>
  <c r="C2400" i="1"/>
  <c r="H2400" i="1" s="1"/>
  <c r="M2399" i="1"/>
  <c r="L2399" i="1"/>
  <c r="K2399" i="1"/>
  <c r="J2399" i="1"/>
  <c r="I2399" i="1"/>
  <c r="G2399" i="1"/>
  <c r="H2399" i="1" s="1"/>
  <c r="F2399" i="1"/>
  <c r="E2399" i="1"/>
  <c r="D2399" i="1"/>
  <c r="C2399" i="1"/>
  <c r="M2398" i="1"/>
  <c r="L2398" i="1"/>
  <c r="K2398" i="1"/>
  <c r="J2398" i="1"/>
  <c r="I2398" i="1"/>
  <c r="H2398" i="1"/>
  <c r="G2398" i="1"/>
  <c r="F2398" i="1"/>
  <c r="E2398" i="1"/>
  <c r="D2398" i="1"/>
  <c r="C2398" i="1"/>
  <c r="M2397" i="1"/>
  <c r="L2397" i="1"/>
  <c r="K2397" i="1"/>
  <c r="J2397" i="1"/>
  <c r="I2397" i="1"/>
  <c r="G2397" i="1"/>
  <c r="F2397" i="1"/>
  <c r="E2397" i="1"/>
  <c r="D2397" i="1"/>
  <c r="C2397" i="1"/>
  <c r="H2397" i="1" s="1"/>
  <c r="M2396" i="1"/>
  <c r="L2396" i="1"/>
  <c r="K2396" i="1"/>
  <c r="J2396" i="1"/>
  <c r="I2396" i="1"/>
  <c r="H2396" i="1"/>
  <c r="G2396" i="1"/>
  <c r="F2396" i="1"/>
  <c r="E2396" i="1"/>
  <c r="D2396" i="1"/>
  <c r="C2396" i="1"/>
  <c r="M2395" i="1"/>
  <c r="L2395" i="1"/>
  <c r="K2395" i="1"/>
  <c r="J2395" i="1"/>
  <c r="I2395" i="1"/>
  <c r="G2395" i="1"/>
  <c r="F2395" i="1"/>
  <c r="E2395" i="1"/>
  <c r="D2395" i="1"/>
  <c r="C2395" i="1"/>
  <c r="M2394" i="1"/>
  <c r="L2394" i="1"/>
  <c r="K2394" i="1"/>
  <c r="J2394" i="1"/>
  <c r="I2394" i="1"/>
  <c r="G2394" i="1"/>
  <c r="F2394" i="1"/>
  <c r="E2394" i="1"/>
  <c r="D2394" i="1"/>
  <c r="C2394" i="1"/>
  <c r="H2394" i="1" s="1"/>
  <c r="M2393" i="1"/>
  <c r="L2393" i="1"/>
  <c r="K2393" i="1"/>
  <c r="J2393" i="1"/>
  <c r="I2393" i="1"/>
  <c r="G2393" i="1"/>
  <c r="F2393" i="1"/>
  <c r="E2393" i="1"/>
  <c r="D2393" i="1"/>
  <c r="C2393" i="1"/>
  <c r="H2393" i="1" s="1"/>
  <c r="M2392" i="1"/>
  <c r="L2392" i="1"/>
  <c r="K2392" i="1"/>
  <c r="J2392" i="1"/>
  <c r="I2392" i="1"/>
  <c r="G2392" i="1"/>
  <c r="H2392" i="1" s="1"/>
  <c r="F2392" i="1"/>
  <c r="E2392" i="1"/>
  <c r="D2392" i="1"/>
  <c r="C2392" i="1"/>
  <c r="M2391" i="1"/>
  <c r="L2391" i="1"/>
  <c r="K2391" i="1"/>
  <c r="J2391" i="1"/>
  <c r="I2391" i="1"/>
  <c r="G2391" i="1"/>
  <c r="F2391" i="1"/>
  <c r="E2391" i="1"/>
  <c r="D2391" i="1"/>
  <c r="C2391" i="1"/>
  <c r="H2391" i="1" s="1"/>
  <c r="M2390" i="1"/>
  <c r="L2390" i="1"/>
  <c r="K2390" i="1"/>
  <c r="J2390" i="1"/>
  <c r="I2390" i="1"/>
  <c r="G2390" i="1"/>
  <c r="H2390" i="1" s="1"/>
  <c r="F2390" i="1"/>
  <c r="E2390" i="1"/>
  <c r="D2390" i="1"/>
  <c r="C2390" i="1"/>
  <c r="M2389" i="1"/>
  <c r="L2389" i="1"/>
  <c r="K2389" i="1"/>
  <c r="J2389" i="1"/>
  <c r="I2389" i="1"/>
  <c r="H2389" i="1"/>
  <c r="G2389" i="1"/>
  <c r="F2389" i="1"/>
  <c r="E2389" i="1"/>
  <c r="D2389" i="1"/>
  <c r="C2389" i="1"/>
  <c r="M2388" i="1"/>
  <c r="L2388" i="1"/>
  <c r="K2388" i="1"/>
  <c r="J2388" i="1"/>
  <c r="I2388" i="1"/>
  <c r="G2388" i="1"/>
  <c r="F2388" i="1"/>
  <c r="E2388" i="1"/>
  <c r="D2388" i="1"/>
  <c r="C2388" i="1"/>
  <c r="H2388" i="1" s="1"/>
  <c r="M2387" i="1"/>
  <c r="L2387" i="1"/>
  <c r="K2387" i="1"/>
  <c r="J2387" i="1"/>
  <c r="I2387" i="1"/>
  <c r="H2387" i="1"/>
  <c r="G2387" i="1"/>
  <c r="F2387" i="1"/>
  <c r="E2387" i="1"/>
  <c r="D2387" i="1"/>
  <c r="C2387" i="1"/>
  <c r="M2386" i="1"/>
  <c r="L2386" i="1"/>
  <c r="K2386" i="1"/>
  <c r="J2386" i="1"/>
  <c r="I2386" i="1"/>
  <c r="G2386" i="1"/>
  <c r="F2386" i="1"/>
  <c r="E2386" i="1"/>
  <c r="D2386" i="1"/>
  <c r="C2386" i="1"/>
  <c r="H2386" i="1" s="1"/>
  <c r="M2385" i="1"/>
  <c r="L2385" i="1"/>
  <c r="K2385" i="1"/>
  <c r="J2385" i="1"/>
  <c r="I2385" i="1"/>
  <c r="H2385" i="1"/>
  <c r="G2385" i="1"/>
  <c r="F2385" i="1"/>
  <c r="E2385" i="1"/>
  <c r="D2385" i="1"/>
  <c r="C2385" i="1"/>
  <c r="M2384" i="1"/>
  <c r="L2384" i="1"/>
  <c r="K2384" i="1"/>
  <c r="J2384" i="1"/>
  <c r="I2384" i="1"/>
  <c r="H2384" i="1"/>
  <c r="G2384" i="1"/>
  <c r="F2384" i="1"/>
  <c r="E2384" i="1"/>
  <c r="D2384" i="1"/>
  <c r="C2384" i="1"/>
  <c r="M2383" i="1"/>
  <c r="L2383" i="1"/>
  <c r="K2383" i="1"/>
  <c r="J2383" i="1"/>
  <c r="I2383" i="1"/>
  <c r="G2383" i="1"/>
  <c r="F2383" i="1"/>
  <c r="E2383" i="1"/>
  <c r="D2383" i="1"/>
  <c r="C2383" i="1"/>
  <c r="M2382" i="1"/>
  <c r="L2382" i="1"/>
  <c r="K2382" i="1"/>
  <c r="J2382" i="1"/>
  <c r="I2382" i="1"/>
  <c r="H2382" i="1"/>
  <c r="G2382" i="1"/>
  <c r="F2382" i="1"/>
  <c r="E2382" i="1"/>
  <c r="D2382" i="1"/>
  <c r="C2382" i="1"/>
  <c r="M2381" i="1"/>
  <c r="L2381" i="1"/>
  <c r="K2381" i="1"/>
  <c r="J2381" i="1"/>
  <c r="I2381" i="1"/>
  <c r="H2381" i="1"/>
  <c r="G2381" i="1"/>
  <c r="F2381" i="1"/>
  <c r="E2381" i="1"/>
  <c r="D2381" i="1"/>
  <c r="C2381" i="1"/>
  <c r="M2380" i="1"/>
  <c r="L2380" i="1"/>
  <c r="K2380" i="1"/>
  <c r="J2380" i="1"/>
  <c r="I2380" i="1"/>
  <c r="G2380" i="1"/>
  <c r="F2380" i="1"/>
  <c r="E2380" i="1"/>
  <c r="D2380" i="1"/>
  <c r="C2380" i="1"/>
  <c r="H2380" i="1" s="1"/>
  <c r="M2379" i="1"/>
  <c r="L2379" i="1"/>
  <c r="K2379" i="1"/>
  <c r="J2379" i="1"/>
  <c r="I2379" i="1"/>
  <c r="G2379" i="1"/>
  <c r="H2379" i="1" s="1"/>
  <c r="F2379" i="1"/>
  <c r="E2379" i="1"/>
  <c r="D2379" i="1"/>
  <c r="C2379" i="1"/>
  <c r="M2378" i="1"/>
  <c r="L2378" i="1"/>
  <c r="K2378" i="1"/>
  <c r="J2378" i="1"/>
  <c r="I2378" i="1"/>
  <c r="G2378" i="1"/>
  <c r="H2378" i="1" s="1"/>
  <c r="F2378" i="1"/>
  <c r="E2378" i="1"/>
  <c r="D2378" i="1"/>
  <c r="C2378" i="1"/>
  <c r="M2377" i="1"/>
  <c r="L2377" i="1"/>
  <c r="K2377" i="1"/>
  <c r="J2377" i="1"/>
  <c r="I2377" i="1"/>
  <c r="G2377" i="1"/>
  <c r="F2377" i="1"/>
  <c r="E2377" i="1"/>
  <c r="D2377" i="1"/>
  <c r="C2377" i="1"/>
  <c r="H2377" i="1" s="1"/>
  <c r="M2376" i="1"/>
  <c r="L2376" i="1"/>
  <c r="K2376" i="1"/>
  <c r="J2376" i="1"/>
  <c r="I2376" i="1"/>
  <c r="G2376" i="1"/>
  <c r="H2376" i="1" s="1"/>
  <c r="F2376" i="1"/>
  <c r="E2376" i="1"/>
  <c r="D2376" i="1"/>
  <c r="C2376" i="1"/>
  <c r="M2375" i="1"/>
  <c r="L2375" i="1"/>
  <c r="K2375" i="1"/>
  <c r="J2375" i="1"/>
  <c r="I2375" i="1"/>
  <c r="H2375" i="1"/>
  <c r="G2375" i="1"/>
  <c r="F2375" i="1"/>
  <c r="E2375" i="1"/>
  <c r="D2375" i="1"/>
  <c r="C2375" i="1"/>
  <c r="M2374" i="1"/>
  <c r="L2374" i="1"/>
  <c r="K2374" i="1"/>
  <c r="J2374" i="1"/>
  <c r="I2374" i="1"/>
  <c r="G2374" i="1"/>
  <c r="F2374" i="1"/>
  <c r="E2374" i="1"/>
  <c r="D2374" i="1"/>
  <c r="C2374" i="1"/>
  <c r="M2373" i="1"/>
  <c r="L2373" i="1"/>
  <c r="K2373" i="1"/>
  <c r="J2373" i="1"/>
  <c r="I2373" i="1"/>
  <c r="H2373" i="1"/>
  <c r="G2373" i="1"/>
  <c r="F2373" i="1"/>
  <c r="E2373" i="1"/>
  <c r="D2373" i="1"/>
  <c r="C2373" i="1"/>
  <c r="M2372" i="1"/>
  <c r="L2372" i="1"/>
  <c r="K2372" i="1"/>
  <c r="J2372" i="1"/>
  <c r="I2372" i="1"/>
  <c r="H2372" i="1"/>
  <c r="G2372" i="1"/>
  <c r="F2372" i="1"/>
  <c r="E2372" i="1"/>
  <c r="D2372" i="1"/>
  <c r="C2372" i="1"/>
  <c r="M2371" i="1"/>
  <c r="L2371" i="1"/>
  <c r="K2371" i="1"/>
  <c r="J2371" i="1"/>
  <c r="I2371" i="1"/>
  <c r="G2371" i="1"/>
  <c r="H2371" i="1" s="1"/>
  <c r="F2371" i="1"/>
  <c r="E2371" i="1"/>
  <c r="D2371" i="1"/>
  <c r="C2371" i="1"/>
  <c r="M2370" i="1"/>
  <c r="L2370" i="1"/>
  <c r="K2370" i="1"/>
  <c r="J2370" i="1"/>
  <c r="I2370" i="1"/>
  <c r="G2370" i="1"/>
  <c r="F2370" i="1"/>
  <c r="E2370" i="1"/>
  <c r="D2370" i="1"/>
  <c r="C2370" i="1"/>
  <c r="H2370" i="1" s="1"/>
  <c r="M2369" i="1"/>
  <c r="L2369" i="1"/>
  <c r="K2369" i="1"/>
  <c r="J2369" i="1"/>
  <c r="I2369" i="1"/>
  <c r="G2369" i="1"/>
  <c r="H2369" i="1" s="1"/>
  <c r="F2369" i="1"/>
  <c r="E2369" i="1"/>
  <c r="D2369" i="1"/>
  <c r="C2369" i="1"/>
  <c r="M2368" i="1"/>
  <c r="L2368" i="1"/>
  <c r="K2368" i="1"/>
  <c r="J2368" i="1"/>
  <c r="I2368" i="1"/>
  <c r="G2368" i="1"/>
  <c r="H2368" i="1" s="1"/>
  <c r="F2368" i="1"/>
  <c r="E2368" i="1"/>
  <c r="D2368" i="1"/>
  <c r="C2368" i="1"/>
  <c r="M2367" i="1"/>
  <c r="L2367" i="1"/>
  <c r="K2367" i="1"/>
  <c r="J2367" i="1"/>
  <c r="I2367" i="1"/>
  <c r="G2367" i="1"/>
  <c r="F2367" i="1"/>
  <c r="E2367" i="1"/>
  <c r="D2367" i="1"/>
  <c r="C2367" i="1"/>
  <c r="M2366" i="1"/>
  <c r="L2366" i="1"/>
  <c r="K2366" i="1"/>
  <c r="J2366" i="1"/>
  <c r="I2366" i="1"/>
  <c r="H2366" i="1"/>
  <c r="G2366" i="1"/>
  <c r="F2366" i="1"/>
  <c r="E2366" i="1"/>
  <c r="D2366" i="1"/>
  <c r="C2366" i="1"/>
  <c r="M2365" i="1"/>
  <c r="L2365" i="1"/>
  <c r="K2365" i="1"/>
  <c r="J2365" i="1"/>
  <c r="I2365" i="1"/>
  <c r="G2365" i="1"/>
  <c r="F2365" i="1"/>
  <c r="E2365" i="1"/>
  <c r="D2365" i="1"/>
  <c r="C2365" i="1"/>
  <c r="M2364" i="1"/>
  <c r="L2364" i="1"/>
  <c r="K2364" i="1"/>
  <c r="J2364" i="1"/>
  <c r="I2364" i="1"/>
  <c r="G2364" i="1"/>
  <c r="F2364" i="1"/>
  <c r="E2364" i="1"/>
  <c r="D2364" i="1"/>
  <c r="C2364" i="1"/>
  <c r="H2364" i="1" s="1"/>
  <c r="M2363" i="1"/>
  <c r="L2363" i="1"/>
  <c r="K2363" i="1"/>
  <c r="J2363" i="1"/>
  <c r="I2363" i="1"/>
  <c r="H2363" i="1"/>
  <c r="G2363" i="1"/>
  <c r="F2363" i="1"/>
  <c r="E2363" i="1"/>
  <c r="D2363" i="1"/>
  <c r="C2363" i="1"/>
  <c r="M2362" i="1"/>
  <c r="L2362" i="1"/>
  <c r="K2362" i="1"/>
  <c r="J2362" i="1"/>
  <c r="I2362" i="1"/>
  <c r="G2362" i="1"/>
  <c r="F2362" i="1"/>
  <c r="E2362" i="1"/>
  <c r="D2362" i="1"/>
  <c r="C2362" i="1"/>
  <c r="M2361" i="1"/>
  <c r="L2361" i="1"/>
  <c r="K2361" i="1"/>
  <c r="J2361" i="1"/>
  <c r="I2361" i="1"/>
  <c r="G2361" i="1"/>
  <c r="F2361" i="1"/>
  <c r="E2361" i="1"/>
  <c r="D2361" i="1"/>
  <c r="C2361" i="1"/>
  <c r="H2361" i="1" s="1"/>
  <c r="M2360" i="1"/>
  <c r="L2360" i="1"/>
  <c r="K2360" i="1"/>
  <c r="J2360" i="1"/>
  <c r="I2360" i="1"/>
  <c r="G2360" i="1"/>
  <c r="H2360" i="1" s="1"/>
  <c r="F2360" i="1"/>
  <c r="E2360" i="1"/>
  <c r="D2360" i="1"/>
  <c r="C2360" i="1"/>
  <c r="M2359" i="1"/>
  <c r="L2359" i="1"/>
  <c r="K2359" i="1"/>
  <c r="J2359" i="1"/>
  <c r="I2359" i="1"/>
  <c r="G2359" i="1"/>
  <c r="F2359" i="1"/>
  <c r="E2359" i="1"/>
  <c r="D2359" i="1"/>
  <c r="C2359" i="1"/>
  <c r="M2358" i="1"/>
  <c r="L2358" i="1"/>
  <c r="K2358" i="1"/>
  <c r="J2358" i="1"/>
  <c r="I2358" i="1"/>
  <c r="G2358" i="1"/>
  <c r="F2358" i="1"/>
  <c r="E2358" i="1"/>
  <c r="D2358" i="1"/>
  <c r="C2358" i="1"/>
  <c r="M2357" i="1"/>
  <c r="L2357" i="1"/>
  <c r="K2357" i="1"/>
  <c r="J2357" i="1"/>
  <c r="I2357" i="1"/>
  <c r="H2357" i="1"/>
  <c r="G2357" i="1"/>
  <c r="F2357" i="1"/>
  <c r="E2357" i="1"/>
  <c r="D2357" i="1"/>
  <c r="C2357" i="1"/>
  <c r="M2356" i="1"/>
  <c r="L2356" i="1"/>
  <c r="K2356" i="1"/>
  <c r="J2356" i="1"/>
  <c r="I2356" i="1"/>
  <c r="G2356" i="1"/>
  <c r="F2356" i="1"/>
  <c r="E2356" i="1"/>
  <c r="D2356" i="1"/>
  <c r="C2356" i="1"/>
  <c r="M2355" i="1"/>
  <c r="L2355" i="1"/>
  <c r="K2355" i="1"/>
  <c r="J2355" i="1"/>
  <c r="I2355" i="1"/>
  <c r="G2355" i="1"/>
  <c r="H2355" i="1" s="1"/>
  <c r="F2355" i="1"/>
  <c r="E2355" i="1"/>
  <c r="D2355" i="1"/>
  <c r="C2355" i="1"/>
  <c r="M2354" i="1"/>
  <c r="L2354" i="1"/>
  <c r="K2354" i="1"/>
  <c r="J2354" i="1"/>
  <c r="I2354" i="1"/>
  <c r="G2354" i="1"/>
  <c r="F2354" i="1"/>
  <c r="E2354" i="1"/>
  <c r="D2354" i="1"/>
  <c r="C2354" i="1"/>
  <c r="H2354" i="1" s="1"/>
  <c r="M2353" i="1"/>
  <c r="L2353" i="1"/>
  <c r="K2353" i="1"/>
  <c r="J2353" i="1"/>
  <c r="I2353" i="1"/>
  <c r="H2353" i="1"/>
  <c r="G2353" i="1"/>
  <c r="F2353" i="1"/>
  <c r="E2353" i="1"/>
  <c r="D2353" i="1"/>
  <c r="C2353" i="1"/>
  <c r="M2352" i="1"/>
  <c r="L2352" i="1"/>
  <c r="K2352" i="1"/>
  <c r="J2352" i="1"/>
  <c r="I2352" i="1"/>
  <c r="G2352" i="1"/>
  <c r="H2352" i="1" s="1"/>
  <c r="F2352" i="1"/>
  <c r="E2352" i="1"/>
  <c r="D2352" i="1"/>
  <c r="C2352" i="1"/>
  <c r="M2351" i="1"/>
  <c r="L2351" i="1"/>
  <c r="K2351" i="1"/>
  <c r="J2351" i="1"/>
  <c r="I2351" i="1"/>
  <c r="G2351" i="1"/>
  <c r="H2351" i="1" s="1"/>
  <c r="F2351" i="1"/>
  <c r="E2351" i="1"/>
  <c r="D2351" i="1"/>
  <c r="C2351" i="1"/>
  <c r="M2350" i="1"/>
  <c r="L2350" i="1"/>
  <c r="K2350" i="1"/>
  <c r="J2350" i="1"/>
  <c r="I2350" i="1"/>
  <c r="G2350" i="1"/>
  <c r="H2350" i="1" s="1"/>
  <c r="F2350" i="1"/>
  <c r="E2350" i="1"/>
  <c r="D2350" i="1"/>
  <c r="C2350" i="1"/>
  <c r="M2349" i="1"/>
  <c r="L2349" i="1"/>
  <c r="K2349" i="1"/>
  <c r="J2349" i="1"/>
  <c r="I2349" i="1"/>
  <c r="G2349" i="1"/>
  <c r="H2349" i="1" s="1"/>
  <c r="F2349" i="1"/>
  <c r="E2349" i="1"/>
  <c r="D2349" i="1"/>
  <c r="C2349" i="1"/>
  <c r="M2348" i="1"/>
  <c r="L2348" i="1"/>
  <c r="K2348" i="1"/>
  <c r="J2348" i="1"/>
  <c r="I2348" i="1"/>
  <c r="H2348" i="1"/>
  <c r="G2348" i="1"/>
  <c r="F2348" i="1"/>
  <c r="E2348" i="1"/>
  <c r="D2348" i="1"/>
  <c r="C2348" i="1"/>
  <c r="M2347" i="1"/>
  <c r="L2347" i="1"/>
  <c r="K2347" i="1"/>
  <c r="J2347" i="1"/>
  <c r="I2347" i="1"/>
  <c r="G2347" i="1"/>
  <c r="F2347" i="1"/>
  <c r="E2347" i="1"/>
  <c r="D2347" i="1"/>
  <c r="C2347" i="1"/>
  <c r="M2346" i="1"/>
  <c r="L2346" i="1"/>
  <c r="K2346" i="1"/>
  <c r="J2346" i="1"/>
  <c r="I2346" i="1"/>
  <c r="H2346" i="1"/>
  <c r="G2346" i="1"/>
  <c r="F2346" i="1"/>
  <c r="E2346" i="1"/>
  <c r="D2346" i="1"/>
  <c r="C2346" i="1"/>
  <c r="M2345" i="1"/>
  <c r="L2345" i="1"/>
  <c r="K2345" i="1"/>
  <c r="J2345" i="1"/>
  <c r="I2345" i="1"/>
  <c r="G2345" i="1"/>
  <c r="F2345" i="1"/>
  <c r="E2345" i="1"/>
  <c r="D2345" i="1"/>
  <c r="C2345" i="1"/>
  <c r="H2345" i="1" s="1"/>
  <c r="M2344" i="1"/>
  <c r="L2344" i="1"/>
  <c r="K2344" i="1"/>
  <c r="J2344" i="1"/>
  <c r="I2344" i="1"/>
  <c r="G2344" i="1"/>
  <c r="F2344" i="1"/>
  <c r="E2344" i="1"/>
  <c r="D2344" i="1"/>
  <c r="C2344" i="1"/>
  <c r="H2344" i="1" s="1"/>
  <c r="M2343" i="1"/>
  <c r="L2343" i="1"/>
  <c r="K2343" i="1"/>
  <c r="J2343" i="1"/>
  <c r="I2343" i="1"/>
  <c r="G2343" i="1"/>
  <c r="H2343" i="1" s="1"/>
  <c r="F2343" i="1"/>
  <c r="E2343" i="1"/>
  <c r="D2343" i="1"/>
  <c r="C2343" i="1"/>
  <c r="M2342" i="1"/>
  <c r="L2342" i="1"/>
  <c r="K2342" i="1"/>
  <c r="J2342" i="1"/>
  <c r="I2342" i="1"/>
  <c r="G2342" i="1"/>
  <c r="F2342" i="1"/>
  <c r="E2342" i="1"/>
  <c r="D2342" i="1"/>
  <c r="C2342" i="1"/>
  <c r="H2342" i="1" s="1"/>
  <c r="M2341" i="1"/>
  <c r="L2341" i="1"/>
  <c r="K2341" i="1"/>
  <c r="J2341" i="1"/>
  <c r="I2341" i="1"/>
  <c r="G2341" i="1"/>
  <c r="H2341" i="1" s="1"/>
  <c r="F2341" i="1"/>
  <c r="E2341" i="1"/>
  <c r="D2341" i="1"/>
  <c r="C2341" i="1"/>
  <c r="M2340" i="1"/>
  <c r="L2340" i="1"/>
  <c r="K2340" i="1"/>
  <c r="J2340" i="1"/>
  <c r="I2340" i="1"/>
  <c r="G2340" i="1"/>
  <c r="H2340" i="1" s="1"/>
  <c r="F2340" i="1"/>
  <c r="E2340" i="1"/>
  <c r="D2340" i="1"/>
  <c r="C2340" i="1"/>
  <c r="M2339" i="1"/>
  <c r="L2339" i="1"/>
  <c r="K2339" i="1"/>
  <c r="J2339" i="1"/>
  <c r="I2339" i="1"/>
  <c r="G2339" i="1"/>
  <c r="F2339" i="1"/>
  <c r="E2339" i="1"/>
  <c r="D2339" i="1"/>
  <c r="C2339" i="1"/>
  <c r="M2338" i="1"/>
  <c r="L2338" i="1"/>
  <c r="K2338" i="1"/>
  <c r="J2338" i="1"/>
  <c r="I2338" i="1"/>
  <c r="H2338" i="1"/>
  <c r="G2338" i="1"/>
  <c r="F2338" i="1"/>
  <c r="E2338" i="1"/>
  <c r="D2338" i="1"/>
  <c r="C2338" i="1"/>
  <c r="M2337" i="1"/>
  <c r="L2337" i="1"/>
  <c r="K2337" i="1"/>
  <c r="J2337" i="1"/>
  <c r="I2337" i="1"/>
  <c r="G2337" i="1"/>
  <c r="H2337" i="1" s="1"/>
  <c r="F2337" i="1"/>
  <c r="E2337" i="1"/>
  <c r="D2337" i="1"/>
  <c r="C2337" i="1"/>
  <c r="M2336" i="1"/>
  <c r="L2336" i="1"/>
  <c r="K2336" i="1"/>
  <c r="J2336" i="1"/>
  <c r="I2336" i="1"/>
  <c r="G2336" i="1"/>
  <c r="F2336" i="1"/>
  <c r="E2336" i="1"/>
  <c r="D2336" i="1"/>
  <c r="C2336" i="1"/>
  <c r="H2336" i="1" s="1"/>
  <c r="M2335" i="1"/>
  <c r="L2335" i="1"/>
  <c r="K2335" i="1"/>
  <c r="J2335" i="1"/>
  <c r="I2335" i="1"/>
  <c r="G2335" i="1"/>
  <c r="H2335" i="1" s="1"/>
  <c r="F2335" i="1"/>
  <c r="E2335" i="1"/>
  <c r="D2335" i="1"/>
  <c r="C2335" i="1"/>
  <c r="M2334" i="1"/>
  <c r="L2334" i="1"/>
  <c r="K2334" i="1"/>
  <c r="J2334" i="1"/>
  <c r="I2334" i="1"/>
  <c r="G2334" i="1"/>
  <c r="H2334" i="1" s="1"/>
  <c r="F2334" i="1"/>
  <c r="E2334" i="1"/>
  <c r="D2334" i="1"/>
  <c r="C2334" i="1"/>
  <c r="M2333" i="1"/>
  <c r="L2333" i="1"/>
  <c r="K2333" i="1"/>
  <c r="J2333" i="1"/>
  <c r="I2333" i="1"/>
  <c r="G2333" i="1"/>
  <c r="F2333" i="1"/>
  <c r="E2333" i="1"/>
  <c r="D2333" i="1"/>
  <c r="C2333" i="1"/>
  <c r="H2333" i="1" s="1"/>
  <c r="M2332" i="1"/>
  <c r="L2332" i="1"/>
  <c r="K2332" i="1"/>
  <c r="J2332" i="1"/>
  <c r="I2332" i="1"/>
  <c r="G2332" i="1"/>
  <c r="F2332" i="1"/>
  <c r="E2332" i="1"/>
  <c r="D2332" i="1"/>
  <c r="C2332" i="1"/>
  <c r="H2332" i="1" s="1"/>
  <c r="M2331" i="1"/>
  <c r="L2331" i="1"/>
  <c r="K2331" i="1"/>
  <c r="J2331" i="1"/>
  <c r="I2331" i="1"/>
  <c r="H2331" i="1"/>
  <c r="G2331" i="1"/>
  <c r="F2331" i="1"/>
  <c r="E2331" i="1"/>
  <c r="D2331" i="1"/>
  <c r="C2331" i="1"/>
  <c r="M2330" i="1"/>
  <c r="L2330" i="1"/>
  <c r="K2330" i="1"/>
  <c r="J2330" i="1"/>
  <c r="I2330" i="1"/>
  <c r="G2330" i="1"/>
  <c r="F2330" i="1"/>
  <c r="E2330" i="1"/>
  <c r="D2330" i="1"/>
  <c r="C2330" i="1"/>
  <c r="M2329" i="1"/>
  <c r="L2329" i="1"/>
  <c r="K2329" i="1"/>
  <c r="J2329" i="1"/>
  <c r="I2329" i="1"/>
  <c r="H2329" i="1"/>
  <c r="G2329" i="1"/>
  <c r="F2329" i="1"/>
  <c r="E2329" i="1"/>
  <c r="D2329" i="1"/>
  <c r="C2329" i="1"/>
  <c r="M2328" i="1"/>
  <c r="L2328" i="1"/>
  <c r="K2328" i="1"/>
  <c r="J2328" i="1"/>
  <c r="I2328" i="1"/>
  <c r="H2328" i="1"/>
  <c r="G2328" i="1"/>
  <c r="F2328" i="1"/>
  <c r="E2328" i="1"/>
  <c r="D2328" i="1"/>
  <c r="C2328" i="1"/>
  <c r="M2327" i="1"/>
  <c r="L2327" i="1"/>
  <c r="K2327" i="1"/>
  <c r="J2327" i="1"/>
  <c r="I2327" i="1"/>
  <c r="G2327" i="1"/>
  <c r="F2327" i="1"/>
  <c r="E2327" i="1"/>
  <c r="D2327" i="1"/>
  <c r="C2327" i="1"/>
  <c r="H2327" i="1" s="1"/>
  <c r="M2326" i="1"/>
  <c r="L2326" i="1"/>
  <c r="K2326" i="1"/>
  <c r="J2326" i="1"/>
  <c r="I2326" i="1"/>
  <c r="G2326" i="1"/>
  <c r="F2326" i="1"/>
  <c r="E2326" i="1"/>
  <c r="D2326" i="1"/>
  <c r="C2326" i="1"/>
  <c r="H2326" i="1" s="1"/>
  <c r="M2325" i="1"/>
  <c r="L2325" i="1"/>
  <c r="K2325" i="1"/>
  <c r="J2325" i="1"/>
  <c r="I2325" i="1"/>
  <c r="G2325" i="1"/>
  <c r="H2325" i="1" s="1"/>
  <c r="F2325" i="1"/>
  <c r="E2325" i="1"/>
  <c r="D2325" i="1"/>
  <c r="C2325" i="1"/>
  <c r="M2324" i="1"/>
  <c r="L2324" i="1"/>
  <c r="K2324" i="1"/>
  <c r="J2324" i="1"/>
  <c r="I2324" i="1"/>
  <c r="G2324" i="1"/>
  <c r="F2324" i="1"/>
  <c r="E2324" i="1"/>
  <c r="D2324" i="1"/>
  <c r="C2324" i="1"/>
  <c r="M2323" i="1"/>
  <c r="L2323" i="1"/>
  <c r="K2323" i="1"/>
  <c r="J2323" i="1"/>
  <c r="I2323" i="1"/>
  <c r="G2323" i="1"/>
  <c r="F2323" i="1"/>
  <c r="E2323" i="1"/>
  <c r="D2323" i="1"/>
  <c r="C2323" i="1"/>
  <c r="H2323" i="1" s="1"/>
  <c r="M2322" i="1"/>
  <c r="L2322" i="1"/>
  <c r="K2322" i="1"/>
  <c r="J2322" i="1"/>
  <c r="I2322" i="1"/>
  <c r="H2322" i="1"/>
  <c r="G2322" i="1"/>
  <c r="F2322" i="1"/>
  <c r="E2322" i="1"/>
  <c r="D2322" i="1"/>
  <c r="C2322" i="1"/>
  <c r="M2321" i="1"/>
  <c r="L2321" i="1"/>
  <c r="K2321" i="1"/>
  <c r="J2321" i="1"/>
  <c r="I2321" i="1"/>
  <c r="G2321" i="1"/>
  <c r="F2321" i="1"/>
  <c r="E2321" i="1"/>
  <c r="D2321" i="1"/>
  <c r="C2321" i="1"/>
  <c r="H2321" i="1" s="1"/>
  <c r="M2320" i="1"/>
  <c r="L2320" i="1"/>
  <c r="K2320" i="1"/>
  <c r="J2320" i="1"/>
  <c r="I2320" i="1"/>
  <c r="G2320" i="1"/>
  <c r="F2320" i="1"/>
  <c r="E2320" i="1"/>
  <c r="D2320" i="1"/>
  <c r="C2320" i="1"/>
  <c r="M2319" i="1"/>
  <c r="L2319" i="1"/>
  <c r="K2319" i="1"/>
  <c r="J2319" i="1"/>
  <c r="I2319" i="1"/>
  <c r="G2319" i="1"/>
  <c r="H2319" i="1" s="1"/>
  <c r="F2319" i="1"/>
  <c r="E2319" i="1"/>
  <c r="D2319" i="1"/>
  <c r="C2319" i="1"/>
  <c r="M2318" i="1"/>
  <c r="L2318" i="1"/>
  <c r="K2318" i="1"/>
  <c r="J2318" i="1"/>
  <c r="I2318" i="1"/>
  <c r="H2318" i="1"/>
  <c r="G2318" i="1"/>
  <c r="F2318" i="1"/>
  <c r="E2318" i="1"/>
  <c r="D2318" i="1"/>
  <c r="C2318" i="1"/>
  <c r="M2317" i="1"/>
  <c r="L2317" i="1"/>
  <c r="K2317" i="1"/>
  <c r="J2317" i="1"/>
  <c r="I2317" i="1"/>
  <c r="G2317" i="1"/>
  <c r="F2317" i="1"/>
  <c r="E2317" i="1"/>
  <c r="D2317" i="1"/>
  <c r="C2317" i="1"/>
  <c r="M2316" i="1"/>
  <c r="L2316" i="1"/>
  <c r="K2316" i="1"/>
  <c r="J2316" i="1"/>
  <c r="I2316" i="1"/>
  <c r="G2316" i="1"/>
  <c r="H2316" i="1" s="1"/>
  <c r="F2316" i="1"/>
  <c r="E2316" i="1"/>
  <c r="D2316" i="1"/>
  <c r="C2316" i="1"/>
  <c r="M2315" i="1"/>
  <c r="L2315" i="1"/>
  <c r="K2315" i="1"/>
  <c r="J2315" i="1"/>
  <c r="I2315" i="1"/>
  <c r="G2315" i="1"/>
  <c r="F2315" i="1"/>
  <c r="E2315" i="1"/>
  <c r="D2315" i="1"/>
  <c r="C2315" i="1"/>
  <c r="H2315" i="1" s="1"/>
  <c r="M2314" i="1"/>
  <c r="L2314" i="1"/>
  <c r="K2314" i="1"/>
  <c r="J2314" i="1"/>
  <c r="I2314" i="1"/>
  <c r="G2314" i="1"/>
  <c r="F2314" i="1"/>
  <c r="E2314" i="1"/>
  <c r="D2314" i="1"/>
  <c r="C2314" i="1"/>
  <c r="H2314" i="1" s="1"/>
  <c r="M2313" i="1"/>
  <c r="L2313" i="1"/>
  <c r="K2313" i="1"/>
  <c r="J2313" i="1"/>
  <c r="I2313" i="1"/>
  <c r="H2313" i="1"/>
  <c r="G2313" i="1"/>
  <c r="F2313" i="1"/>
  <c r="E2313" i="1"/>
  <c r="D2313" i="1"/>
  <c r="C2313" i="1"/>
  <c r="M2312" i="1"/>
  <c r="L2312" i="1"/>
  <c r="K2312" i="1"/>
  <c r="J2312" i="1"/>
  <c r="I2312" i="1"/>
  <c r="G2312" i="1"/>
  <c r="F2312" i="1"/>
  <c r="E2312" i="1"/>
  <c r="D2312" i="1"/>
  <c r="C2312" i="1"/>
  <c r="H2312" i="1" s="1"/>
  <c r="M2311" i="1"/>
  <c r="L2311" i="1"/>
  <c r="K2311" i="1"/>
  <c r="J2311" i="1"/>
  <c r="I2311" i="1"/>
  <c r="G2311" i="1"/>
  <c r="F2311" i="1"/>
  <c r="E2311" i="1"/>
  <c r="D2311" i="1"/>
  <c r="C2311" i="1"/>
  <c r="M2310" i="1"/>
  <c r="L2310" i="1"/>
  <c r="K2310" i="1"/>
  <c r="J2310" i="1"/>
  <c r="I2310" i="1"/>
  <c r="H2310" i="1"/>
  <c r="G2310" i="1"/>
  <c r="F2310" i="1"/>
  <c r="E2310" i="1"/>
  <c r="D2310" i="1"/>
  <c r="C2310" i="1"/>
  <c r="M2309" i="1"/>
  <c r="L2309" i="1"/>
  <c r="K2309" i="1"/>
  <c r="J2309" i="1"/>
  <c r="I2309" i="1"/>
  <c r="G2309" i="1"/>
  <c r="H2309" i="1" s="1"/>
  <c r="F2309" i="1"/>
  <c r="E2309" i="1"/>
  <c r="D2309" i="1"/>
  <c r="C2309" i="1"/>
  <c r="M2308" i="1"/>
  <c r="L2308" i="1"/>
  <c r="K2308" i="1"/>
  <c r="J2308" i="1"/>
  <c r="I2308" i="1"/>
  <c r="G2308" i="1"/>
  <c r="F2308" i="1"/>
  <c r="E2308" i="1"/>
  <c r="D2308" i="1"/>
  <c r="C2308" i="1"/>
  <c r="H2308" i="1" s="1"/>
  <c r="M2307" i="1"/>
  <c r="L2307" i="1"/>
  <c r="K2307" i="1"/>
  <c r="J2307" i="1"/>
  <c r="I2307" i="1"/>
  <c r="H2307" i="1"/>
  <c r="G2307" i="1"/>
  <c r="F2307" i="1"/>
  <c r="E2307" i="1"/>
  <c r="D2307" i="1"/>
  <c r="C2307" i="1"/>
  <c r="M2306" i="1"/>
  <c r="L2306" i="1"/>
  <c r="K2306" i="1"/>
  <c r="J2306" i="1"/>
  <c r="I2306" i="1"/>
  <c r="H2306" i="1"/>
  <c r="G2306" i="1"/>
  <c r="F2306" i="1"/>
  <c r="E2306" i="1"/>
  <c r="D2306" i="1"/>
  <c r="C2306" i="1"/>
  <c r="M2305" i="1"/>
  <c r="L2305" i="1"/>
  <c r="K2305" i="1"/>
  <c r="J2305" i="1"/>
  <c r="I2305" i="1"/>
  <c r="G2305" i="1"/>
  <c r="F2305" i="1"/>
  <c r="E2305" i="1"/>
  <c r="D2305" i="1"/>
  <c r="C2305" i="1"/>
  <c r="M2304" i="1"/>
  <c r="L2304" i="1"/>
  <c r="K2304" i="1"/>
  <c r="J2304" i="1"/>
  <c r="I2304" i="1"/>
  <c r="G2304" i="1"/>
  <c r="F2304" i="1"/>
  <c r="E2304" i="1"/>
  <c r="D2304" i="1"/>
  <c r="C2304" i="1"/>
  <c r="H2304" i="1" s="1"/>
  <c r="M2303" i="1"/>
  <c r="L2303" i="1"/>
  <c r="K2303" i="1"/>
  <c r="J2303" i="1"/>
  <c r="I2303" i="1"/>
  <c r="G2303" i="1"/>
  <c r="F2303" i="1"/>
  <c r="E2303" i="1"/>
  <c r="D2303" i="1"/>
  <c r="C2303" i="1"/>
  <c r="M2302" i="1"/>
  <c r="L2302" i="1"/>
  <c r="K2302" i="1"/>
  <c r="J2302" i="1"/>
  <c r="I2302" i="1"/>
  <c r="G2302" i="1"/>
  <c r="H2302" i="1" s="1"/>
  <c r="F2302" i="1"/>
  <c r="E2302" i="1"/>
  <c r="D2302" i="1"/>
  <c r="C2302" i="1"/>
  <c r="M2301" i="1"/>
  <c r="L2301" i="1"/>
  <c r="K2301" i="1"/>
  <c r="J2301" i="1"/>
  <c r="I2301" i="1"/>
  <c r="G2301" i="1"/>
  <c r="F2301" i="1"/>
  <c r="E2301" i="1"/>
  <c r="D2301" i="1"/>
  <c r="C2301" i="1"/>
  <c r="H2301" i="1" s="1"/>
  <c r="M2300" i="1"/>
  <c r="L2300" i="1"/>
  <c r="K2300" i="1"/>
  <c r="J2300" i="1"/>
  <c r="I2300" i="1"/>
  <c r="G2300" i="1"/>
  <c r="H2300" i="1" s="1"/>
  <c r="F2300" i="1"/>
  <c r="E2300" i="1"/>
  <c r="D2300" i="1"/>
  <c r="C2300" i="1"/>
  <c r="M2299" i="1"/>
  <c r="L2299" i="1"/>
  <c r="K2299" i="1"/>
  <c r="J2299" i="1"/>
  <c r="I2299" i="1"/>
  <c r="G2299" i="1"/>
  <c r="H2299" i="1" s="1"/>
  <c r="F2299" i="1"/>
  <c r="E2299" i="1"/>
  <c r="D2299" i="1"/>
  <c r="C2299" i="1"/>
  <c r="M2298" i="1"/>
  <c r="L2298" i="1"/>
  <c r="K2298" i="1"/>
  <c r="J2298" i="1"/>
  <c r="I2298" i="1"/>
  <c r="G2298" i="1"/>
  <c r="H2298" i="1" s="1"/>
  <c r="F2298" i="1"/>
  <c r="E2298" i="1"/>
  <c r="D2298" i="1"/>
  <c r="C2298" i="1"/>
  <c r="M2297" i="1"/>
  <c r="L2297" i="1"/>
  <c r="K2297" i="1"/>
  <c r="J2297" i="1"/>
  <c r="I2297" i="1"/>
  <c r="G2297" i="1"/>
  <c r="H2297" i="1" s="1"/>
  <c r="F2297" i="1"/>
  <c r="E2297" i="1"/>
  <c r="D2297" i="1"/>
  <c r="C2297" i="1"/>
  <c r="M2296" i="1"/>
  <c r="L2296" i="1"/>
  <c r="K2296" i="1"/>
  <c r="J2296" i="1"/>
  <c r="I2296" i="1"/>
  <c r="G2296" i="1"/>
  <c r="F2296" i="1"/>
  <c r="E2296" i="1"/>
  <c r="D2296" i="1"/>
  <c r="C2296" i="1"/>
  <c r="M2295" i="1"/>
  <c r="L2295" i="1"/>
  <c r="K2295" i="1"/>
  <c r="J2295" i="1"/>
  <c r="I2295" i="1"/>
  <c r="H2295" i="1"/>
  <c r="G2295" i="1"/>
  <c r="F2295" i="1"/>
  <c r="E2295" i="1"/>
  <c r="D2295" i="1"/>
  <c r="C2295" i="1"/>
  <c r="M2294" i="1"/>
  <c r="L2294" i="1"/>
  <c r="K2294" i="1"/>
  <c r="J2294" i="1"/>
  <c r="I2294" i="1"/>
  <c r="G2294" i="1"/>
  <c r="H2294" i="1" s="1"/>
  <c r="F2294" i="1"/>
  <c r="E2294" i="1"/>
  <c r="D2294" i="1"/>
  <c r="C2294" i="1"/>
  <c r="M2293" i="1"/>
  <c r="L2293" i="1"/>
  <c r="K2293" i="1"/>
  <c r="J2293" i="1"/>
  <c r="I2293" i="1"/>
  <c r="G2293" i="1"/>
  <c r="H2293" i="1" s="1"/>
  <c r="F2293" i="1"/>
  <c r="E2293" i="1"/>
  <c r="D2293" i="1"/>
  <c r="C2293" i="1"/>
  <c r="M2292" i="1"/>
  <c r="L2292" i="1"/>
  <c r="K2292" i="1"/>
  <c r="J2292" i="1"/>
  <c r="I2292" i="1"/>
  <c r="G2292" i="1"/>
  <c r="H2292" i="1" s="1"/>
  <c r="F2292" i="1"/>
  <c r="E2292" i="1"/>
  <c r="D2292" i="1"/>
  <c r="C2292" i="1"/>
  <c r="M2291" i="1"/>
  <c r="L2291" i="1"/>
  <c r="K2291" i="1"/>
  <c r="J2291" i="1"/>
  <c r="I2291" i="1"/>
  <c r="H2291" i="1"/>
  <c r="G2291" i="1"/>
  <c r="F2291" i="1"/>
  <c r="E2291" i="1"/>
  <c r="D2291" i="1"/>
  <c r="C2291" i="1"/>
  <c r="M2290" i="1"/>
  <c r="L2290" i="1"/>
  <c r="K2290" i="1"/>
  <c r="J2290" i="1"/>
  <c r="I2290" i="1"/>
  <c r="G2290" i="1"/>
  <c r="F2290" i="1"/>
  <c r="E2290" i="1"/>
  <c r="D2290" i="1"/>
  <c r="C2290" i="1"/>
  <c r="H2290" i="1" s="1"/>
  <c r="M2289" i="1"/>
  <c r="L2289" i="1"/>
  <c r="K2289" i="1"/>
  <c r="J2289" i="1"/>
  <c r="I2289" i="1"/>
  <c r="H2289" i="1"/>
  <c r="G2289" i="1"/>
  <c r="F2289" i="1"/>
  <c r="E2289" i="1"/>
  <c r="D2289" i="1"/>
  <c r="C2289" i="1"/>
  <c r="M2288" i="1"/>
  <c r="L2288" i="1"/>
  <c r="K2288" i="1"/>
  <c r="J2288" i="1"/>
  <c r="I2288" i="1"/>
  <c r="H2288" i="1"/>
  <c r="G2288" i="1"/>
  <c r="F2288" i="1"/>
  <c r="E2288" i="1"/>
  <c r="D2288" i="1"/>
  <c r="C2288" i="1"/>
  <c r="M2287" i="1"/>
  <c r="L2287" i="1"/>
  <c r="K2287" i="1"/>
  <c r="J2287" i="1"/>
  <c r="I2287" i="1"/>
  <c r="G2287" i="1"/>
  <c r="F2287" i="1"/>
  <c r="E2287" i="1"/>
  <c r="D2287" i="1"/>
  <c r="C2287" i="1"/>
  <c r="M2286" i="1"/>
  <c r="L2286" i="1"/>
  <c r="K2286" i="1"/>
  <c r="J2286" i="1"/>
  <c r="I2286" i="1"/>
  <c r="H2286" i="1"/>
  <c r="G2286" i="1"/>
  <c r="F2286" i="1"/>
  <c r="E2286" i="1"/>
  <c r="D2286" i="1"/>
  <c r="C2286" i="1"/>
  <c r="M2285" i="1"/>
  <c r="L2285" i="1"/>
  <c r="K2285" i="1"/>
  <c r="J2285" i="1"/>
  <c r="I2285" i="1"/>
  <c r="H2285" i="1"/>
  <c r="G2285" i="1"/>
  <c r="F2285" i="1"/>
  <c r="E2285" i="1"/>
  <c r="D2285" i="1"/>
  <c r="C2285" i="1"/>
  <c r="M2284" i="1"/>
  <c r="L2284" i="1"/>
  <c r="K2284" i="1"/>
  <c r="J2284" i="1"/>
  <c r="I2284" i="1"/>
  <c r="G2284" i="1"/>
  <c r="F2284" i="1"/>
  <c r="E2284" i="1"/>
  <c r="D2284" i="1"/>
  <c r="C2284" i="1"/>
  <c r="H2284" i="1" s="1"/>
  <c r="M2283" i="1"/>
  <c r="L2283" i="1"/>
  <c r="K2283" i="1"/>
  <c r="J2283" i="1"/>
  <c r="I2283" i="1"/>
  <c r="G2283" i="1"/>
  <c r="H2283" i="1" s="1"/>
  <c r="F2283" i="1"/>
  <c r="E2283" i="1"/>
  <c r="D2283" i="1"/>
  <c r="C2283" i="1"/>
  <c r="M2282" i="1"/>
  <c r="L2282" i="1"/>
  <c r="K2282" i="1"/>
  <c r="J2282" i="1"/>
  <c r="I2282" i="1"/>
  <c r="G2282" i="1"/>
  <c r="F2282" i="1"/>
  <c r="E2282" i="1"/>
  <c r="D2282" i="1"/>
  <c r="C2282" i="1"/>
  <c r="H2282" i="1" s="1"/>
  <c r="M2281" i="1"/>
  <c r="L2281" i="1"/>
  <c r="K2281" i="1"/>
  <c r="J2281" i="1"/>
  <c r="I2281" i="1"/>
  <c r="G2281" i="1"/>
  <c r="H2281" i="1" s="1"/>
  <c r="F2281" i="1"/>
  <c r="E2281" i="1"/>
  <c r="D2281" i="1"/>
  <c r="C2281" i="1"/>
  <c r="M2280" i="1"/>
  <c r="L2280" i="1"/>
  <c r="K2280" i="1"/>
  <c r="J2280" i="1"/>
  <c r="I2280" i="1"/>
  <c r="H2280" i="1"/>
  <c r="G2280" i="1"/>
  <c r="F2280" i="1"/>
  <c r="E2280" i="1"/>
  <c r="D2280" i="1"/>
  <c r="C2280" i="1"/>
  <c r="M2279" i="1"/>
  <c r="L2279" i="1"/>
  <c r="K2279" i="1"/>
  <c r="J2279" i="1"/>
  <c r="I2279" i="1"/>
  <c r="G2279" i="1"/>
  <c r="H2279" i="1" s="1"/>
  <c r="F2279" i="1"/>
  <c r="E2279" i="1"/>
  <c r="D2279" i="1"/>
  <c r="C2279" i="1"/>
  <c r="M2278" i="1"/>
  <c r="L2278" i="1"/>
  <c r="K2278" i="1"/>
  <c r="J2278" i="1"/>
  <c r="I2278" i="1"/>
  <c r="G2278" i="1"/>
  <c r="H2278" i="1" s="1"/>
  <c r="F2278" i="1"/>
  <c r="E2278" i="1"/>
  <c r="D2278" i="1"/>
  <c r="C2278" i="1"/>
  <c r="M2277" i="1"/>
  <c r="L2277" i="1"/>
  <c r="K2277" i="1"/>
  <c r="J2277" i="1"/>
  <c r="I2277" i="1"/>
  <c r="H2277" i="1"/>
  <c r="G2277" i="1"/>
  <c r="F2277" i="1"/>
  <c r="E2277" i="1"/>
  <c r="D2277" i="1"/>
  <c r="C2277" i="1"/>
  <c r="M2276" i="1"/>
  <c r="L2276" i="1"/>
  <c r="K2276" i="1"/>
  <c r="J2276" i="1"/>
  <c r="I2276" i="1"/>
  <c r="H2276" i="1"/>
  <c r="G2276" i="1"/>
  <c r="F2276" i="1"/>
  <c r="E2276" i="1"/>
  <c r="D2276" i="1"/>
  <c r="C2276" i="1"/>
  <c r="M2275" i="1"/>
  <c r="L2275" i="1"/>
  <c r="K2275" i="1"/>
  <c r="J2275" i="1"/>
  <c r="I2275" i="1"/>
  <c r="G2275" i="1"/>
  <c r="F2275" i="1"/>
  <c r="E2275" i="1"/>
  <c r="D2275" i="1"/>
  <c r="C2275" i="1"/>
  <c r="H2275" i="1" s="1"/>
  <c r="M2274" i="1"/>
  <c r="L2274" i="1"/>
  <c r="K2274" i="1"/>
  <c r="J2274" i="1"/>
  <c r="I2274" i="1"/>
  <c r="H2274" i="1"/>
  <c r="G2274" i="1"/>
  <c r="F2274" i="1"/>
  <c r="E2274" i="1"/>
  <c r="D2274" i="1"/>
  <c r="C2274" i="1"/>
  <c r="M2273" i="1"/>
  <c r="L2273" i="1"/>
  <c r="K2273" i="1"/>
  <c r="J2273" i="1"/>
  <c r="I2273" i="1"/>
  <c r="G2273" i="1"/>
  <c r="H2273" i="1" s="1"/>
  <c r="F2273" i="1"/>
  <c r="E2273" i="1"/>
  <c r="D2273" i="1"/>
  <c r="C2273" i="1"/>
  <c r="M2272" i="1"/>
  <c r="L2272" i="1"/>
  <c r="K2272" i="1"/>
  <c r="J2272" i="1"/>
  <c r="I2272" i="1"/>
  <c r="G2272" i="1"/>
  <c r="H2272" i="1" s="1"/>
  <c r="F2272" i="1"/>
  <c r="E2272" i="1"/>
  <c r="D2272" i="1"/>
  <c r="C2272" i="1"/>
  <c r="M2271" i="1"/>
  <c r="L2271" i="1"/>
  <c r="K2271" i="1"/>
  <c r="J2271" i="1"/>
  <c r="I2271" i="1"/>
  <c r="G2271" i="1"/>
  <c r="H2271" i="1" s="1"/>
  <c r="F2271" i="1"/>
  <c r="E2271" i="1"/>
  <c r="D2271" i="1"/>
  <c r="C2271" i="1"/>
  <c r="M2270" i="1"/>
  <c r="L2270" i="1"/>
  <c r="K2270" i="1"/>
  <c r="J2270" i="1"/>
  <c r="I2270" i="1"/>
  <c r="G2270" i="1"/>
  <c r="H2270" i="1" s="1"/>
  <c r="F2270" i="1"/>
  <c r="E2270" i="1"/>
  <c r="D2270" i="1"/>
  <c r="C2270" i="1"/>
  <c r="M2269" i="1"/>
  <c r="L2269" i="1"/>
  <c r="K2269" i="1"/>
  <c r="J2269" i="1"/>
  <c r="I2269" i="1"/>
  <c r="G2269" i="1"/>
  <c r="H2269" i="1" s="1"/>
  <c r="F2269" i="1"/>
  <c r="E2269" i="1"/>
  <c r="D2269" i="1"/>
  <c r="C2269" i="1"/>
  <c r="M2268" i="1"/>
  <c r="L2268" i="1"/>
  <c r="K2268" i="1"/>
  <c r="J2268" i="1"/>
  <c r="I2268" i="1"/>
  <c r="H2268" i="1"/>
  <c r="G2268" i="1"/>
  <c r="F2268" i="1"/>
  <c r="E2268" i="1"/>
  <c r="D2268" i="1"/>
  <c r="C2268" i="1"/>
  <c r="M2267" i="1"/>
  <c r="L2267" i="1"/>
  <c r="K2267" i="1"/>
  <c r="J2267" i="1"/>
  <c r="I2267" i="1"/>
  <c r="H2267" i="1"/>
  <c r="G2267" i="1"/>
  <c r="F2267" i="1"/>
  <c r="E2267" i="1"/>
  <c r="D2267" i="1"/>
  <c r="C2267" i="1"/>
  <c r="M2266" i="1"/>
  <c r="L2266" i="1"/>
  <c r="K2266" i="1"/>
  <c r="J2266" i="1"/>
  <c r="I2266" i="1"/>
  <c r="G2266" i="1"/>
  <c r="F2266" i="1"/>
  <c r="E2266" i="1"/>
  <c r="D2266" i="1"/>
  <c r="C2266" i="1"/>
  <c r="H2266" i="1" s="1"/>
  <c r="M2265" i="1"/>
  <c r="L2265" i="1"/>
  <c r="K2265" i="1"/>
  <c r="J2265" i="1"/>
  <c r="I2265" i="1"/>
  <c r="G2265" i="1"/>
  <c r="H2265" i="1" s="1"/>
  <c r="F2265" i="1"/>
  <c r="E2265" i="1"/>
  <c r="D2265" i="1"/>
  <c r="C2265" i="1"/>
  <c r="M2264" i="1"/>
  <c r="L2264" i="1"/>
  <c r="K2264" i="1"/>
  <c r="J2264" i="1"/>
  <c r="I2264" i="1"/>
  <c r="G2264" i="1"/>
  <c r="H2264" i="1" s="1"/>
  <c r="F2264" i="1"/>
  <c r="E2264" i="1"/>
  <c r="D2264" i="1"/>
  <c r="C2264" i="1"/>
  <c r="M2263" i="1"/>
  <c r="L2263" i="1"/>
  <c r="K2263" i="1"/>
  <c r="J2263" i="1"/>
  <c r="I2263" i="1"/>
  <c r="G2263" i="1"/>
  <c r="F2263" i="1"/>
  <c r="E2263" i="1"/>
  <c r="D2263" i="1"/>
  <c r="C2263" i="1"/>
  <c r="H2263" i="1" s="1"/>
  <c r="M2262" i="1"/>
  <c r="L2262" i="1"/>
  <c r="K2262" i="1"/>
  <c r="J2262" i="1"/>
  <c r="I2262" i="1"/>
  <c r="H2262" i="1"/>
  <c r="G2262" i="1"/>
  <c r="F2262" i="1"/>
  <c r="E2262" i="1"/>
  <c r="D2262" i="1"/>
  <c r="C2262" i="1"/>
  <c r="M2261" i="1"/>
  <c r="L2261" i="1"/>
  <c r="K2261" i="1"/>
  <c r="J2261" i="1"/>
  <c r="I2261" i="1"/>
  <c r="H2261" i="1"/>
  <c r="G2261" i="1"/>
  <c r="F2261" i="1"/>
  <c r="E2261" i="1"/>
  <c r="D2261" i="1"/>
  <c r="C2261" i="1"/>
  <c r="M2260" i="1"/>
  <c r="L2260" i="1"/>
  <c r="K2260" i="1"/>
  <c r="J2260" i="1"/>
  <c r="I2260" i="1"/>
  <c r="G2260" i="1"/>
  <c r="F2260" i="1"/>
  <c r="E2260" i="1"/>
  <c r="D2260" i="1"/>
  <c r="C2260" i="1"/>
  <c r="M2259" i="1"/>
  <c r="L2259" i="1"/>
  <c r="K2259" i="1"/>
  <c r="J2259" i="1"/>
  <c r="I2259" i="1"/>
  <c r="H2259" i="1"/>
  <c r="G2259" i="1"/>
  <c r="F2259" i="1"/>
  <c r="E2259" i="1"/>
  <c r="D2259" i="1"/>
  <c r="C2259" i="1"/>
  <c r="M2258" i="1"/>
  <c r="L2258" i="1"/>
  <c r="K2258" i="1"/>
  <c r="J2258" i="1"/>
  <c r="I2258" i="1"/>
  <c r="H2258" i="1"/>
  <c r="G2258" i="1"/>
  <c r="F2258" i="1"/>
  <c r="E2258" i="1"/>
  <c r="D2258" i="1"/>
  <c r="C2258" i="1"/>
  <c r="M2257" i="1"/>
  <c r="L2257" i="1"/>
  <c r="K2257" i="1"/>
  <c r="J2257" i="1"/>
  <c r="I2257" i="1"/>
  <c r="G2257" i="1"/>
  <c r="F2257" i="1"/>
  <c r="E2257" i="1"/>
  <c r="D2257" i="1"/>
  <c r="C2257" i="1"/>
  <c r="H2257" i="1" s="1"/>
  <c r="M2256" i="1"/>
  <c r="L2256" i="1"/>
  <c r="K2256" i="1"/>
  <c r="J2256" i="1"/>
  <c r="I2256" i="1"/>
  <c r="G2256" i="1"/>
  <c r="H2256" i="1" s="1"/>
  <c r="F2256" i="1"/>
  <c r="E2256" i="1"/>
  <c r="D2256" i="1"/>
  <c r="C2256" i="1"/>
  <c r="M2255" i="1"/>
  <c r="L2255" i="1"/>
  <c r="K2255" i="1"/>
  <c r="J2255" i="1"/>
  <c r="I2255" i="1"/>
  <c r="G2255" i="1"/>
  <c r="F2255" i="1"/>
  <c r="E2255" i="1"/>
  <c r="D2255" i="1"/>
  <c r="C2255" i="1"/>
  <c r="M2254" i="1"/>
  <c r="L2254" i="1"/>
  <c r="K2254" i="1"/>
  <c r="J2254" i="1"/>
  <c r="I2254" i="1"/>
  <c r="H2254" i="1"/>
  <c r="G2254" i="1"/>
  <c r="F2254" i="1"/>
  <c r="E2254" i="1"/>
  <c r="D2254" i="1"/>
  <c r="C2254" i="1"/>
  <c r="M2253" i="1"/>
  <c r="L2253" i="1"/>
  <c r="K2253" i="1"/>
  <c r="J2253" i="1"/>
  <c r="I2253" i="1"/>
  <c r="G2253" i="1"/>
  <c r="H2253" i="1" s="1"/>
  <c r="F2253" i="1"/>
  <c r="E2253" i="1"/>
  <c r="D2253" i="1"/>
  <c r="C2253" i="1"/>
  <c r="M2252" i="1"/>
  <c r="L2252" i="1"/>
  <c r="K2252" i="1"/>
  <c r="J2252" i="1"/>
  <c r="I2252" i="1"/>
  <c r="H2252" i="1"/>
  <c r="G2252" i="1"/>
  <c r="F2252" i="1"/>
  <c r="E2252" i="1"/>
  <c r="D2252" i="1"/>
  <c r="C2252" i="1"/>
  <c r="M2251" i="1"/>
  <c r="L2251" i="1"/>
  <c r="K2251" i="1"/>
  <c r="J2251" i="1"/>
  <c r="I2251" i="1"/>
  <c r="G2251" i="1"/>
  <c r="F2251" i="1"/>
  <c r="E2251" i="1"/>
  <c r="D2251" i="1"/>
  <c r="C2251" i="1"/>
  <c r="M2250" i="1"/>
  <c r="L2250" i="1"/>
  <c r="K2250" i="1"/>
  <c r="J2250" i="1"/>
  <c r="I2250" i="1"/>
  <c r="G2250" i="1"/>
  <c r="H2250" i="1" s="1"/>
  <c r="F2250" i="1"/>
  <c r="E2250" i="1"/>
  <c r="D2250" i="1"/>
  <c r="C2250" i="1"/>
  <c r="M2249" i="1"/>
  <c r="L2249" i="1"/>
  <c r="K2249" i="1"/>
  <c r="J2249" i="1"/>
  <c r="I2249" i="1"/>
  <c r="G2249" i="1"/>
  <c r="H2249" i="1" s="1"/>
  <c r="F2249" i="1"/>
  <c r="E2249" i="1"/>
  <c r="D2249" i="1"/>
  <c r="C2249" i="1"/>
  <c r="M2248" i="1"/>
  <c r="L2248" i="1"/>
  <c r="K2248" i="1"/>
  <c r="J2248" i="1"/>
  <c r="I2248" i="1"/>
  <c r="G2248" i="1"/>
  <c r="F2248" i="1"/>
  <c r="E2248" i="1"/>
  <c r="D2248" i="1"/>
  <c r="C2248" i="1"/>
  <c r="H2248" i="1" s="1"/>
  <c r="M2247" i="1"/>
  <c r="L2247" i="1"/>
  <c r="K2247" i="1"/>
  <c r="J2247" i="1"/>
  <c r="I2247" i="1"/>
  <c r="H2247" i="1"/>
  <c r="G2247" i="1"/>
  <c r="F2247" i="1"/>
  <c r="E2247" i="1"/>
  <c r="D2247" i="1"/>
  <c r="C2247" i="1"/>
  <c r="M2246" i="1"/>
  <c r="L2246" i="1"/>
  <c r="K2246" i="1"/>
  <c r="J2246" i="1"/>
  <c r="I2246" i="1"/>
  <c r="G2246" i="1"/>
  <c r="F2246" i="1"/>
  <c r="E2246" i="1"/>
  <c r="D2246" i="1"/>
  <c r="C2246" i="1"/>
  <c r="M2245" i="1"/>
  <c r="L2245" i="1"/>
  <c r="K2245" i="1"/>
  <c r="J2245" i="1"/>
  <c r="I2245" i="1"/>
  <c r="G2245" i="1"/>
  <c r="H2245" i="1" s="1"/>
  <c r="F2245" i="1"/>
  <c r="E2245" i="1"/>
  <c r="D2245" i="1"/>
  <c r="C2245" i="1"/>
  <c r="M2244" i="1"/>
  <c r="L2244" i="1"/>
  <c r="K2244" i="1"/>
  <c r="J2244" i="1"/>
  <c r="I2244" i="1"/>
  <c r="G2244" i="1"/>
  <c r="F2244" i="1"/>
  <c r="E2244" i="1"/>
  <c r="D2244" i="1"/>
  <c r="C2244" i="1"/>
  <c r="M2243" i="1"/>
  <c r="L2243" i="1"/>
  <c r="K2243" i="1"/>
  <c r="J2243" i="1"/>
  <c r="I2243" i="1"/>
  <c r="G2243" i="1"/>
  <c r="H2243" i="1" s="1"/>
  <c r="F2243" i="1"/>
  <c r="E2243" i="1"/>
  <c r="D2243" i="1"/>
  <c r="C2243" i="1"/>
  <c r="M2242" i="1"/>
  <c r="L2242" i="1"/>
  <c r="K2242" i="1"/>
  <c r="J2242" i="1"/>
  <c r="I2242" i="1"/>
  <c r="G2242" i="1"/>
  <c r="F2242" i="1"/>
  <c r="E2242" i="1"/>
  <c r="D2242" i="1"/>
  <c r="C2242" i="1"/>
  <c r="H2242" i="1" s="1"/>
  <c r="M2241" i="1"/>
  <c r="L2241" i="1"/>
  <c r="K2241" i="1"/>
  <c r="J2241" i="1"/>
  <c r="I2241" i="1"/>
  <c r="G2241" i="1"/>
  <c r="F2241" i="1"/>
  <c r="E2241" i="1"/>
  <c r="D2241" i="1"/>
  <c r="C2241" i="1"/>
  <c r="M2240" i="1"/>
  <c r="L2240" i="1"/>
  <c r="K2240" i="1"/>
  <c r="J2240" i="1"/>
  <c r="I2240" i="1"/>
  <c r="H2240" i="1"/>
  <c r="G2240" i="1"/>
  <c r="F2240" i="1"/>
  <c r="E2240" i="1"/>
  <c r="D2240" i="1"/>
  <c r="C2240" i="1"/>
  <c r="M2239" i="1"/>
  <c r="L2239" i="1"/>
  <c r="K2239" i="1"/>
  <c r="J2239" i="1"/>
  <c r="I2239" i="1"/>
  <c r="G2239" i="1"/>
  <c r="F2239" i="1"/>
  <c r="E2239" i="1"/>
  <c r="D2239" i="1"/>
  <c r="C2239" i="1"/>
  <c r="M2238" i="1"/>
  <c r="L2238" i="1"/>
  <c r="K2238" i="1"/>
  <c r="J2238" i="1"/>
  <c r="I2238" i="1"/>
  <c r="G2238" i="1"/>
  <c r="H2238" i="1" s="1"/>
  <c r="F2238" i="1"/>
  <c r="E2238" i="1"/>
  <c r="D2238" i="1"/>
  <c r="C2238" i="1"/>
  <c r="M2237" i="1"/>
  <c r="L2237" i="1"/>
  <c r="K2237" i="1"/>
  <c r="J2237" i="1"/>
  <c r="I2237" i="1"/>
  <c r="G2237" i="1"/>
  <c r="H2237" i="1" s="1"/>
  <c r="F2237" i="1"/>
  <c r="E2237" i="1"/>
  <c r="D2237" i="1"/>
  <c r="C2237" i="1"/>
  <c r="M2236" i="1"/>
  <c r="L2236" i="1"/>
  <c r="K2236" i="1"/>
  <c r="J2236" i="1"/>
  <c r="I2236" i="1"/>
  <c r="G2236" i="1"/>
  <c r="F2236" i="1"/>
  <c r="E2236" i="1"/>
  <c r="D2236" i="1"/>
  <c r="C2236" i="1"/>
  <c r="H2236" i="1" s="1"/>
  <c r="M2235" i="1"/>
  <c r="L2235" i="1"/>
  <c r="K2235" i="1"/>
  <c r="J2235" i="1"/>
  <c r="I2235" i="1"/>
  <c r="H2235" i="1"/>
  <c r="G2235" i="1"/>
  <c r="F2235" i="1"/>
  <c r="E2235" i="1"/>
  <c r="D2235" i="1"/>
  <c r="C2235" i="1"/>
  <c r="M2234" i="1"/>
  <c r="L2234" i="1"/>
  <c r="K2234" i="1"/>
  <c r="J2234" i="1"/>
  <c r="I2234" i="1"/>
  <c r="G2234" i="1"/>
  <c r="H2234" i="1" s="1"/>
  <c r="F2234" i="1"/>
  <c r="E2234" i="1"/>
  <c r="D2234" i="1"/>
  <c r="C2234" i="1"/>
  <c r="M2233" i="1"/>
  <c r="L2233" i="1"/>
  <c r="K2233" i="1"/>
  <c r="J2233" i="1"/>
  <c r="I2233" i="1"/>
  <c r="G2233" i="1"/>
  <c r="H2233" i="1" s="1"/>
  <c r="F2233" i="1"/>
  <c r="E2233" i="1"/>
  <c r="D2233" i="1"/>
  <c r="C2233" i="1"/>
  <c r="M2232" i="1"/>
  <c r="L2232" i="1"/>
  <c r="K2232" i="1"/>
  <c r="J2232" i="1"/>
  <c r="I2232" i="1"/>
  <c r="G2232" i="1"/>
  <c r="F2232" i="1"/>
  <c r="E2232" i="1"/>
  <c r="D2232" i="1"/>
  <c r="C2232" i="1"/>
  <c r="M2231" i="1"/>
  <c r="L2231" i="1"/>
  <c r="K2231" i="1"/>
  <c r="J2231" i="1"/>
  <c r="I2231" i="1"/>
  <c r="G2231" i="1"/>
  <c r="H2231" i="1" s="1"/>
  <c r="F2231" i="1"/>
  <c r="E2231" i="1"/>
  <c r="D2231" i="1"/>
  <c r="C2231" i="1"/>
  <c r="M2230" i="1"/>
  <c r="L2230" i="1"/>
  <c r="K2230" i="1"/>
  <c r="J2230" i="1"/>
  <c r="I2230" i="1"/>
  <c r="G2230" i="1"/>
  <c r="H2230" i="1" s="1"/>
  <c r="F2230" i="1"/>
  <c r="E2230" i="1"/>
  <c r="D2230" i="1"/>
  <c r="C2230" i="1"/>
  <c r="M2229" i="1"/>
  <c r="L2229" i="1"/>
  <c r="K2229" i="1"/>
  <c r="J2229" i="1"/>
  <c r="I2229" i="1"/>
  <c r="G2229" i="1"/>
  <c r="H2229" i="1" s="1"/>
  <c r="F2229" i="1"/>
  <c r="E2229" i="1"/>
  <c r="D2229" i="1"/>
  <c r="C2229" i="1"/>
  <c r="M2228" i="1"/>
  <c r="L2228" i="1"/>
  <c r="K2228" i="1"/>
  <c r="J2228" i="1"/>
  <c r="I2228" i="1"/>
  <c r="H2228" i="1"/>
  <c r="G2228" i="1"/>
  <c r="F2228" i="1"/>
  <c r="E2228" i="1"/>
  <c r="D2228" i="1"/>
  <c r="C2228" i="1"/>
  <c r="M2227" i="1"/>
  <c r="L2227" i="1"/>
  <c r="K2227" i="1"/>
  <c r="J2227" i="1"/>
  <c r="I2227" i="1"/>
  <c r="H2227" i="1"/>
  <c r="G2227" i="1"/>
  <c r="F2227" i="1"/>
  <c r="E2227" i="1"/>
  <c r="D2227" i="1"/>
  <c r="C2227" i="1"/>
  <c r="M2226" i="1"/>
  <c r="L2226" i="1"/>
  <c r="K2226" i="1"/>
  <c r="J2226" i="1"/>
  <c r="I2226" i="1"/>
  <c r="G2226" i="1"/>
  <c r="F2226" i="1"/>
  <c r="E2226" i="1"/>
  <c r="D2226" i="1"/>
  <c r="C2226" i="1"/>
  <c r="H2226" i="1" s="1"/>
  <c r="M2225" i="1"/>
  <c r="L2225" i="1"/>
  <c r="K2225" i="1"/>
  <c r="J2225" i="1"/>
  <c r="I2225" i="1"/>
  <c r="G2225" i="1"/>
  <c r="H2225" i="1" s="1"/>
  <c r="F2225" i="1"/>
  <c r="E2225" i="1"/>
  <c r="D2225" i="1"/>
  <c r="C2225" i="1"/>
  <c r="M2224" i="1"/>
  <c r="L2224" i="1"/>
  <c r="K2224" i="1"/>
  <c r="J2224" i="1"/>
  <c r="I2224" i="1"/>
  <c r="G2224" i="1"/>
  <c r="H2224" i="1" s="1"/>
  <c r="F2224" i="1"/>
  <c r="E2224" i="1"/>
  <c r="D2224" i="1"/>
  <c r="C2224" i="1"/>
  <c r="M2223" i="1"/>
  <c r="L2223" i="1"/>
  <c r="K2223" i="1"/>
  <c r="J2223" i="1"/>
  <c r="I2223" i="1"/>
  <c r="G2223" i="1"/>
  <c r="F2223" i="1"/>
  <c r="E2223" i="1"/>
  <c r="D2223" i="1"/>
  <c r="C2223" i="1"/>
  <c r="M2222" i="1"/>
  <c r="L2222" i="1"/>
  <c r="K2222" i="1"/>
  <c r="J2222" i="1"/>
  <c r="I2222" i="1"/>
  <c r="G2222" i="1"/>
  <c r="H2222" i="1" s="1"/>
  <c r="F2222" i="1"/>
  <c r="E2222" i="1"/>
  <c r="D2222" i="1"/>
  <c r="C2222" i="1"/>
  <c r="M2221" i="1"/>
  <c r="L2221" i="1"/>
  <c r="K2221" i="1"/>
  <c r="J2221" i="1"/>
  <c r="I2221" i="1"/>
  <c r="G2221" i="1"/>
  <c r="H2221" i="1" s="1"/>
  <c r="F2221" i="1"/>
  <c r="E2221" i="1"/>
  <c r="D2221" i="1"/>
  <c r="C2221" i="1"/>
  <c r="M2220" i="1"/>
  <c r="L2220" i="1"/>
  <c r="K2220" i="1"/>
  <c r="J2220" i="1"/>
  <c r="I2220" i="1"/>
  <c r="G2220" i="1"/>
  <c r="H2220" i="1" s="1"/>
  <c r="F2220" i="1"/>
  <c r="E2220" i="1"/>
  <c r="D2220" i="1"/>
  <c r="C2220" i="1"/>
  <c r="M2219" i="1"/>
  <c r="L2219" i="1"/>
  <c r="K2219" i="1"/>
  <c r="J2219" i="1"/>
  <c r="I2219" i="1"/>
  <c r="G2219" i="1"/>
  <c r="H2219" i="1" s="1"/>
  <c r="F2219" i="1"/>
  <c r="E2219" i="1"/>
  <c r="D2219" i="1"/>
  <c r="C2219" i="1"/>
  <c r="M2218" i="1"/>
  <c r="L2218" i="1"/>
  <c r="K2218" i="1"/>
  <c r="J2218" i="1"/>
  <c r="I2218" i="1"/>
  <c r="G2218" i="1"/>
  <c r="H2218" i="1" s="1"/>
  <c r="F2218" i="1"/>
  <c r="E2218" i="1"/>
  <c r="D2218" i="1"/>
  <c r="C2218" i="1"/>
  <c r="M2217" i="1"/>
  <c r="L2217" i="1"/>
  <c r="K2217" i="1"/>
  <c r="J2217" i="1"/>
  <c r="I2217" i="1"/>
  <c r="G2217" i="1"/>
  <c r="H2217" i="1" s="1"/>
  <c r="F2217" i="1"/>
  <c r="E2217" i="1"/>
  <c r="D2217" i="1"/>
  <c r="C2217" i="1"/>
  <c r="M2216" i="1"/>
  <c r="L2216" i="1"/>
  <c r="K2216" i="1"/>
  <c r="J2216" i="1"/>
  <c r="I2216" i="1"/>
  <c r="H2216" i="1"/>
  <c r="G2216" i="1"/>
  <c r="F2216" i="1"/>
  <c r="E2216" i="1"/>
  <c r="D2216" i="1"/>
  <c r="C2216" i="1"/>
  <c r="M2215" i="1"/>
  <c r="L2215" i="1"/>
  <c r="K2215" i="1"/>
  <c r="J2215" i="1"/>
  <c r="I2215" i="1"/>
  <c r="G2215" i="1"/>
  <c r="F2215" i="1"/>
  <c r="E2215" i="1"/>
  <c r="D2215" i="1"/>
  <c r="C2215" i="1"/>
  <c r="H2215" i="1" s="1"/>
  <c r="M2214" i="1"/>
  <c r="L2214" i="1"/>
  <c r="K2214" i="1"/>
  <c r="J2214" i="1"/>
  <c r="I2214" i="1"/>
  <c r="G2214" i="1"/>
  <c r="F2214" i="1"/>
  <c r="E2214" i="1"/>
  <c r="D2214" i="1"/>
  <c r="C2214" i="1"/>
  <c r="M2213" i="1"/>
  <c r="L2213" i="1"/>
  <c r="K2213" i="1"/>
  <c r="J2213" i="1"/>
  <c r="I2213" i="1"/>
  <c r="G2213" i="1"/>
  <c r="H2213" i="1" s="1"/>
  <c r="F2213" i="1"/>
  <c r="E2213" i="1"/>
  <c r="D2213" i="1"/>
  <c r="C2213" i="1"/>
  <c r="M2212" i="1"/>
  <c r="L2212" i="1"/>
  <c r="K2212" i="1"/>
  <c r="J2212" i="1"/>
  <c r="I2212" i="1"/>
  <c r="G2212" i="1"/>
  <c r="H2212" i="1" s="1"/>
  <c r="F2212" i="1"/>
  <c r="E2212" i="1"/>
  <c r="D2212" i="1"/>
  <c r="C2212" i="1"/>
  <c r="M2211" i="1"/>
  <c r="L2211" i="1"/>
  <c r="K2211" i="1"/>
  <c r="J2211" i="1"/>
  <c r="I2211" i="1"/>
  <c r="G2211" i="1"/>
  <c r="H2211" i="1" s="1"/>
  <c r="F2211" i="1"/>
  <c r="E2211" i="1"/>
  <c r="D2211" i="1"/>
  <c r="C2211" i="1"/>
  <c r="M2210" i="1"/>
  <c r="L2210" i="1"/>
  <c r="K2210" i="1"/>
  <c r="J2210" i="1"/>
  <c r="I2210" i="1"/>
  <c r="H2210" i="1"/>
  <c r="G2210" i="1"/>
  <c r="F2210" i="1"/>
  <c r="E2210" i="1"/>
  <c r="D2210" i="1"/>
  <c r="C2210" i="1"/>
  <c r="M2209" i="1"/>
  <c r="L2209" i="1"/>
  <c r="K2209" i="1"/>
  <c r="J2209" i="1"/>
  <c r="I2209" i="1"/>
  <c r="G2209" i="1"/>
  <c r="F2209" i="1"/>
  <c r="E2209" i="1"/>
  <c r="D2209" i="1"/>
  <c r="C2209" i="1"/>
  <c r="H2209" i="1" s="1"/>
  <c r="M2208" i="1"/>
  <c r="L2208" i="1"/>
  <c r="K2208" i="1"/>
  <c r="J2208" i="1"/>
  <c r="I2208" i="1"/>
  <c r="G2208" i="1"/>
  <c r="H2208" i="1" s="1"/>
  <c r="F2208" i="1"/>
  <c r="E2208" i="1"/>
  <c r="D2208" i="1"/>
  <c r="C2208" i="1"/>
  <c r="M2207" i="1"/>
  <c r="L2207" i="1"/>
  <c r="K2207" i="1"/>
  <c r="J2207" i="1"/>
  <c r="I2207" i="1"/>
  <c r="G2207" i="1"/>
  <c r="H2207" i="1" s="1"/>
  <c r="F2207" i="1"/>
  <c r="E2207" i="1"/>
  <c r="D2207" i="1"/>
  <c r="C2207" i="1"/>
  <c r="M2206" i="1"/>
  <c r="L2206" i="1"/>
  <c r="K2206" i="1"/>
  <c r="J2206" i="1"/>
  <c r="I2206" i="1"/>
  <c r="H2206" i="1"/>
  <c r="G2206" i="1"/>
  <c r="F2206" i="1"/>
  <c r="E2206" i="1"/>
  <c r="D2206" i="1"/>
  <c r="C2206" i="1"/>
  <c r="M2205" i="1"/>
  <c r="L2205" i="1"/>
  <c r="K2205" i="1"/>
  <c r="J2205" i="1"/>
  <c r="I2205" i="1"/>
  <c r="G2205" i="1"/>
  <c r="H2205" i="1" s="1"/>
  <c r="F2205" i="1"/>
  <c r="E2205" i="1"/>
  <c r="D2205" i="1"/>
  <c r="C2205" i="1"/>
  <c r="M2204" i="1"/>
  <c r="L2204" i="1"/>
  <c r="K2204" i="1"/>
  <c r="J2204" i="1"/>
  <c r="I2204" i="1"/>
  <c r="H2204" i="1"/>
  <c r="G2204" i="1"/>
  <c r="F2204" i="1"/>
  <c r="E2204" i="1"/>
  <c r="D2204" i="1"/>
  <c r="C2204" i="1"/>
  <c r="M2203" i="1"/>
  <c r="L2203" i="1"/>
  <c r="K2203" i="1"/>
  <c r="J2203" i="1"/>
  <c r="I2203" i="1"/>
  <c r="G2203" i="1"/>
  <c r="F2203" i="1"/>
  <c r="E2203" i="1"/>
  <c r="D2203" i="1"/>
  <c r="C2203" i="1"/>
  <c r="M2202" i="1"/>
  <c r="L2202" i="1"/>
  <c r="K2202" i="1"/>
  <c r="J2202" i="1"/>
  <c r="I2202" i="1"/>
  <c r="G2202" i="1"/>
  <c r="H2202" i="1" s="1"/>
  <c r="F2202" i="1"/>
  <c r="E2202" i="1"/>
  <c r="D2202" i="1"/>
  <c r="C2202" i="1"/>
  <c r="M2201" i="1"/>
  <c r="L2201" i="1"/>
  <c r="K2201" i="1"/>
  <c r="J2201" i="1"/>
  <c r="I2201" i="1"/>
  <c r="H2201" i="1"/>
  <c r="G2201" i="1"/>
  <c r="F2201" i="1"/>
  <c r="E2201" i="1"/>
  <c r="D2201" i="1"/>
  <c r="C2201" i="1"/>
  <c r="M2200" i="1"/>
  <c r="L2200" i="1"/>
  <c r="K2200" i="1"/>
  <c r="J2200" i="1"/>
  <c r="I2200" i="1"/>
  <c r="G2200" i="1"/>
  <c r="H2200" i="1" s="1"/>
  <c r="F2200" i="1"/>
  <c r="E2200" i="1"/>
  <c r="D2200" i="1"/>
  <c r="C2200" i="1"/>
  <c r="M2199" i="1"/>
  <c r="L2199" i="1"/>
  <c r="K2199" i="1"/>
  <c r="J2199" i="1"/>
  <c r="I2199" i="1"/>
  <c r="G2199" i="1"/>
  <c r="H2199" i="1" s="1"/>
  <c r="F2199" i="1"/>
  <c r="E2199" i="1"/>
  <c r="D2199" i="1"/>
  <c r="C2199" i="1"/>
  <c r="M2198" i="1"/>
  <c r="L2198" i="1"/>
  <c r="K2198" i="1"/>
  <c r="J2198" i="1"/>
  <c r="I2198" i="1"/>
  <c r="H2198" i="1"/>
  <c r="G2198" i="1"/>
  <c r="F2198" i="1"/>
  <c r="E2198" i="1"/>
  <c r="D2198" i="1"/>
  <c r="C2198" i="1"/>
  <c r="M2197" i="1"/>
  <c r="L2197" i="1"/>
  <c r="K2197" i="1"/>
  <c r="J2197" i="1"/>
  <c r="I2197" i="1"/>
  <c r="G2197" i="1"/>
  <c r="F2197" i="1"/>
  <c r="E2197" i="1"/>
  <c r="D2197" i="1"/>
  <c r="C2197" i="1"/>
  <c r="H2197" i="1" s="1"/>
  <c r="M2196" i="1"/>
  <c r="L2196" i="1"/>
  <c r="K2196" i="1"/>
  <c r="J2196" i="1"/>
  <c r="I2196" i="1"/>
  <c r="G2196" i="1"/>
  <c r="H2196" i="1" s="1"/>
  <c r="F2196" i="1"/>
  <c r="E2196" i="1"/>
  <c r="D2196" i="1"/>
  <c r="C2196" i="1"/>
  <c r="M2195" i="1"/>
  <c r="L2195" i="1"/>
  <c r="K2195" i="1"/>
  <c r="J2195" i="1"/>
  <c r="I2195" i="1"/>
  <c r="G2195" i="1"/>
  <c r="H2195" i="1" s="1"/>
  <c r="F2195" i="1"/>
  <c r="E2195" i="1"/>
  <c r="D2195" i="1"/>
  <c r="C2195" i="1"/>
  <c r="M2194" i="1"/>
  <c r="L2194" i="1"/>
  <c r="K2194" i="1"/>
  <c r="J2194" i="1"/>
  <c r="I2194" i="1"/>
  <c r="G2194" i="1"/>
  <c r="F2194" i="1"/>
  <c r="E2194" i="1"/>
  <c r="D2194" i="1"/>
  <c r="C2194" i="1"/>
  <c r="H2194" i="1" s="1"/>
  <c r="M2193" i="1"/>
  <c r="L2193" i="1"/>
  <c r="K2193" i="1"/>
  <c r="J2193" i="1"/>
  <c r="I2193" i="1"/>
  <c r="G2193" i="1"/>
  <c r="H2193" i="1" s="1"/>
  <c r="F2193" i="1"/>
  <c r="E2193" i="1"/>
  <c r="D2193" i="1"/>
  <c r="C2193" i="1"/>
  <c r="M2192" i="1"/>
  <c r="L2192" i="1"/>
  <c r="K2192" i="1"/>
  <c r="J2192" i="1"/>
  <c r="I2192" i="1"/>
  <c r="G2192" i="1"/>
  <c r="H2192" i="1" s="1"/>
  <c r="F2192" i="1"/>
  <c r="E2192" i="1"/>
  <c r="D2192" i="1"/>
  <c r="C2192" i="1"/>
  <c r="M2191" i="1"/>
  <c r="L2191" i="1"/>
  <c r="K2191" i="1"/>
  <c r="J2191" i="1"/>
  <c r="I2191" i="1"/>
  <c r="G2191" i="1"/>
  <c r="H2191" i="1" s="1"/>
  <c r="F2191" i="1"/>
  <c r="E2191" i="1"/>
  <c r="D2191" i="1"/>
  <c r="C2191" i="1"/>
  <c r="M2190" i="1"/>
  <c r="L2190" i="1"/>
  <c r="K2190" i="1"/>
  <c r="J2190" i="1"/>
  <c r="I2190" i="1"/>
  <c r="G2190" i="1"/>
  <c r="H2190" i="1" s="1"/>
  <c r="F2190" i="1"/>
  <c r="E2190" i="1"/>
  <c r="D2190" i="1"/>
  <c r="C2190" i="1"/>
  <c r="M2189" i="1"/>
  <c r="L2189" i="1"/>
  <c r="K2189" i="1"/>
  <c r="J2189" i="1"/>
  <c r="I2189" i="1"/>
  <c r="G2189" i="1"/>
  <c r="H2189" i="1" s="1"/>
  <c r="F2189" i="1"/>
  <c r="E2189" i="1"/>
  <c r="D2189" i="1"/>
  <c r="C2189" i="1"/>
  <c r="M2188" i="1"/>
  <c r="L2188" i="1"/>
  <c r="K2188" i="1"/>
  <c r="J2188" i="1"/>
  <c r="I2188" i="1"/>
  <c r="G2188" i="1"/>
  <c r="H2188" i="1" s="1"/>
  <c r="F2188" i="1"/>
  <c r="E2188" i="1"/>
  <c r="D2188" i="1"/>
  <c r="C2188" i="1"/>
  <c r="M2187" i="1"/>
  <c r="L2187" i="1"/>
  <c r="K2187" i="1"/>
  <c r="J2187" i="1"/>
  <c r="I2187" i="1"/>
  <c r="G2187" i="1"/>
  <c r="F2187" i="1"/>
  <c r="E2187" i="1"/>
  <c r="D2187" i="1"/>
  <c r="C2187" i="1"/>
  <c r="H2187" i="1" s="1"/>
  <c r="M2186" i="1"/>
  <c r="L2186" i="1"/>
  <c r="K2186" i="1"/>
  <c r="J2186" i="1"/>
  <c r="I2186" i="1"/>
  <c r="H2186" i="1"/>
  <c r="G2186" i="1"/>
  <c r="F2186" i="1"/>
  <c r="E2186" i="1"/>
  <c r="D2186" i="1"/>
  <c r="C2186" i="1"/>
  <c r="M2185" i="1"/>
  <c r="L2185" i="1"/>
  <c r="K2185" i="1"/>
  <c r="J2185" i="1"/>
  <c r="I2185" i="1"/>
  <c r="G2185" i="1"/>
  <c r="H2185" i="1" s="1"/>
  <c r="F2185" i="1"/>
  <c r="E2185" i="1"/>
  <c r="D2185" i="1"/>
  <c r="C2185" i="1"/>
  <c r="M2184" i="1"/>
  <c r="L2184" i="1"/>
  <c r="K2184" i="1"/>
  <c r="J2184" i="1"/>
  <c r="I2184" i="1"/>
  <c r="G2184" i="1"/>
  <c r="F2184" i="1"/>
  <c r="E2184" i="1"/>
  <c r="D2184" i="1"/>
  <c r="C2184" i="1"/>
  <c r="M2183" i="1"/>
  <c r="L2183" i="1"/>
  <c r="K2183" i="1"/>
  <c r="J2183" i="1"/>
  <c r="I2183" i="1"/>
  <c r="H2183" i="1"/>
  <c r="G2183" i="1"/>
  <c r="F2183" i="1"/>
  <c r="E2183" i="1"/>
  <c r="D2183" i="1"/>
  <c r="C2183" i="1"/>
  <c r="M2182" i="1"/>
  <c r="L2182" i="1"/>
  <c r="K2182" i="1"/>
  <c r="J2182" i="1"/>
  <c r="I2182" i="1"/>
  <c r="G2182" i="1"/>
  <c r="H2182" i="1" s="1"/>
  <c r="F2182" i="1"/>
  <c r="E2182" i="1"/>
  <c r="D2182" i="1"/>
  <c r="C2182" i="1"/>
  <c r="M2181" i="1"/>
  <c r="L2181" i="1"/>
  <c r="K2181" i="1"/>
  <c r="J2181" i="1"/>
  <c r="I2181" i="1"/>
  <c r="G2181" i="1"/>
  <c r="F2181" i="1"/>
  <c r="E2181" i="1"/>
  <c r="D2181" i="1"/>
  <c r="C2181" i="1"/>
  <c r="M2180" i="1"/>
  <c r="L2180" i="1"/>
  <c r="K2180" i="1"/>
  <c r="J2180" i="1"/>
  <c r="I2180" i="1"/>
  <c r="H2180" i="1"/>
  <c r="G2180" i="1"/>
  <c r="F2180" i="1"/>
  <c r="E2180" i="1"/>
  <c r="D2180" i="1"/>
  <c r="C2180" i="1"/>
  <c r="M2179" i="1"/>
  <c r="L2179" i="1"/>
  <c r="K2179" i="1"/>
  <c r="J2179" i="1"/>
  <c r="I2179" i="1"/>
  <c r="G2179" i="1"/>
  <c r="H2179" i="1" s="1"/>
  <c r="F2179" i="1"/>
  <c r="E2179" i="1"/>
  <c r="D2179" i="1"/>
  <c r="C2179" i="1"/>
  <c r="M2178" i="1"/>
  <c r="L2178" i="1"/>
  <c r="K2178" i="1"/>
  <c r="J2178" i="1"/>
  <c r="I2178" i="1"/>
  <c r="G2178" i="1"/>
  <c r="F2178" i="1"/>
  <c r="E2178" i="1"/>
  <c r="D2178" i="1"/>
  <c r="C2178" i="1"/>
  <c r="H2178" i="1" s="1"/>
  <c r="M2177" i="1"/>
  <c r="L2177" i="1"/>
  <c r="K2177" i="1"/>
  <c r="J2177" i="1"/>
  <c r="I2177" i="1"/>
  <c r="G2177" i="1"/>
  <c r="H2177" i="1" s="1"/>
  <c r="F2177" i="1"/>
  <c r="E2177" i="1"/>
  <c r="D2177" i="1"/>
  <c r="C2177" i="1"/>
  <c r="M2176" i="1"/>
  <c r="L2176" i="1"/>
  <c r="K2176" i="1"/>
  <c r="J2176" i="1"/>
  <c r="I2176" i="1"/>
  <c r="G2176" i="1"/>
  <c r="H2176" i="1" s="1"/>
  <c r="F2176" i="1"/>
  <c r="E2176" i="1"/>
  <c r="D2176" i="1"/>
  <c r="C2176" i="1"/>
  <c r="M2175" i="1"/>
  <c r="L2175" i="1"/>
  <c r="K2175" i="1"/>
  <c r="J2175" i="1"/>
  <c r="I2175" i="1"/>
  <c r="G2175" i="1"/>
  <c r="F2175" i="1"/>
  <c r="E2175" i="1"/>
  <c r="D2175" i="1"/>
  <c r="C2175" i="1"/>
  <c r="M2174" i="1"/>
  <c r="L2174" i="1"/>
  <c r="K2174" i="1"/>
  <c r="J2174" i="1"/>
  <c r="I2174" i="1"/>
  <c r="G2174" i="1"/>
  <c r="H2174" i="1" s="1"/>
  <c r="F2174" i="1"/>
  <c r="E2174" i="1"/>
  <c r="D2174" i="1"/>
  <c r="C2174" i="1"/>
  <c r="M2173" i="1"/>
  <c r="L2173" i="1"/>
  <c r="K2173" i="1"/>
  <c r="J2173" i="1"/>
  <c r="I2173" i="1"/>
  <c r="H2173" i="1"/>
  <c r="G2173" i="1"/>
  <c r="F2173" i="1"/>
  <c r="E2173" i="1"/>
  <c r="D2173" i="1"/>
  <c r="C2173" i="1"/>
  <c r="M2172" i="1"/>
  <c r="L2172" i="1"/>
  <c r="K2172" i="1"/>
  <c r="J2172" i="1"/>
  <c r="I2172" i="1"/>
  <c r="G2172" i="1"/>
  <c r="F2172" i="1"/>
  <c r="E2172" i="1"/>
  <c r="D2172" i="1"/>
  <c r="C2172" i="1"/>
  <c r="M2171" i="1"/>
  <c r="L2171" i="1"/>
  <c r="K2171" i="1"/>
  <c r="J2171" i="1"/>
  <c r="I2171" i="1"/>
  <c r="G2171" i="1"/>
  <c r="H2171" i="1" s="1"/>
  <c r="F2171" i="1"/>
  <c r="E2171" i="1"/>
  <c r="D2171" i="1"/>
  <c r="C2171" i="1"/>
  <c r="M2170" i="1"/>
  <c r="L2170" i="1"/>
  <c r="K2170" i="1"/>
  <c r="J2170" i="1"/>
  <c r="I2170" i="1"/>
  <c r="G2170" i="1"/>
  <c r="H2170" i="1" s="1"/>
  <c r="F2170" i="1"/>
  <c r="E2170" i="1"/>
  <c r="D2170" i="1"/>
  <c r="C2170" i="1"/>
  <c r="M2169" i="1"/>
  <c r="L2169" i="1"/>
  <c r="K2169" i="1"/>
  <c r="J2169" i="1"/>
  <c r="I2169" i="1"/>
  <c r="G2169" i="1"/>
  <c r="H2169" i="1" s="1"/>
  <c r="F2169" i="1"/>
  <c r="E2169" i="1"/>
  <c r="D2169" i="1"/>
  <c r="C2169" i="1"/>
  <c r="M2168" i="1"/>
  <c r="L2168" i="1"/>
  <c r="K2168" i="1"/>
  <c r="J2168" i="1"/>
  <c r="I2168" i="1"/>
  <c r="G2168" i="1"/>
  <c r="F2168" i="1"/>
  <c r="E2168" i="1"/>
  <c r="D2168" i="1"/>
  <c r="C2168" i="1"/>
  <c r="H2168" i="1" s="1"/>
  <c r="M2167" i="1"/>
  <c r="L2167" i="1"/>
  <c r="K2167" i="1"/>
  <c r="J2167" i="1"/>
  <c r="I2167" i="1"/>
  <c r="H2167" i="1"/>
  <c r="G2167" i="1"/>
  <c r="F2167" i="1"/>
  <c r="E2167" i="1"/>
  <c r="D2167" i="1"/>
  <c r="C2167" i="1"/>
  <c r="M2166" i="1"/>
  <c r="L2166" i="1"/>
  <c r="K2166" i="1"/>
  <c r="J2166" i="1"/>
  <c r="I2166" i="1"/>
  <c r="G2166" i="1"/>
  <c r="H2166" i="1" s="1"/>
  <c r="F2166" i="1"/>
  <c r="E2166" i="1"/>
  <c r="D2166" i="1"/>
  <c r="C2166" i="1"/>
  <c r="M2165" i="1"/>
  <c r="L2165" i="1"/>
  <c r="K2165" i="1"/>
  <c r="J2165" i="1"/>
  <c r="I2165" i="1"/>
  <c r="G2165" i="1"/>
  <c r="F2165" i="1"/>
  <c r="E2165" i="1"/>
  <c r="D2165" i="1"/>
  <c r="C2165" i="1"/>
  <c r="M2164" i="1"/>
  <c r="L2164" i="1"/>
  <c r="K2164" i="1"/>
  <c r="J2164" i="1"/>
  <c r="I2164" i="1"/>
  <c r="G2164" i="1"/>
  <c r="H2164" i="1" s="1"/>
  <c r="F2164" i="1"/>
  <c r="E2164" i="1"/>
  <c r="D2164" i="1"/>
  <c r="C2164" i="1"/>
  <c r="M2163" i="1"/>
  <c r="L2163" i="1"/>
  <c r="K2163" i="1"/>
  <c r="J2163" i="1"/>
  <c r="I2163" i="1"/>
  <c r="G2163" i="1"/>
  <c r="H2163" i="1" s="1"/>
  <c r="F2163" i="1"/>
  <c r="E2163" i="1"/>
  <c r="D2163" i="1"/>
  <c r="C2163" i="1"/>
  <c r="M2162" i="1"/>
  <c r="L2162" i="1"/>
  <c r="K2162" i="1"/>
  <c r="J2162" i="1"/>
  <c r="I2162" i="1"/>
  <c r="G2162" i="1"/>
  <c r="F2162" i="1"/>
  <c r="E2162" i="1"/>
  <c r="D2162" i="1"/>
  <c r="C2162" i="1"/>
  <c r="H2162" i="1" s="1"/>
  <c r="M2161" i="1"/>
  <c r="L2161" i="1"/>
  <c r="K2161" i="1"/>
  <c r="J2161" i="1"/>
  <c r="I2161" i="1"/>
  <c r="G2161" i="1"/>
  <c r="H2161" i="1" s="1"/>
  <c r="F2161" i="1"/>
  <c r="E2161" i="1"/>
  <c r="D2161" i="1"/>
  <c r="C2161" i="1"/>
  <c r="M2160" i="1"/>
  <c r="L2160" i="1"/>
  <c r="K2160" i="1"/>
  <c r="J2160" i="1"/>
  <c r="I2160" i="1"/>
  <c r="G2160" i="1"/>
  <c r="F2160" i="1"/>
  <c r="E2160" i="1"/>
  <c r="D2160" i="1"/>
  <c r="C2160" i="1"/>
  <c r="M2159" i="1"/>
  <c r="L2159" i="1"/>
  <c r="K2159" i="1"/>
  <c r="J2159" i="1"/>
  <c r="I2159" i="1"/>
  <c r="G2159" i="1"/>
  <c r="F2159" i="1"/>
  <c r="E2159" i="1"/>
  <c r="D2159" i="1"/>
  <c r="C2159" i="1"/>
  <c r="M2158" i="1"/>
  <c r="L2158" i="1"/>
  <c r="K2158" i="1"/>
  <c r="J2158" i="1"/>
  <c r="I2158" i="1"/>
  <c r="H2158" i="1"/>
  <c r="G2158" i="1"/>
  <c r="F2158" i="1"/>
  <c r="E2158" i="1"/>
  <c r="D2158" i="1"/>
  <c r="C2158" i="1"/>
  <c r="M2157" i="1"/>
  <c r="L2157" i="1"/>
  <c r="K2157" i="1"/>
  <c r="J2157" i="1"/>
  <c r="I2157" i="1"/>
  <c r="G2157" i="1"/>
  <c r="F2157" i="1"/>
  <c r="E2157" i="1"/>
  <c r="D2157" i="1"/>
  <c r="C2157" i="1"/>
  <c r="M2156" i="1"/>
  <c r="L2156" i="1"/>
  <c r="K2156" i="1"/>
  <c r="J2156" i="1"/>
  <c r="I2156" i="1"/>
  <c r="G2156" i="1"/>
  <c r="F2156" i="1"/>
  <c r="E2156" i="1"/>
  <c r="D2156" i="1"/>
  <c r="C2156" i="1"/>
  <c r="H2156" i="1" s="1"/>
  <c r="M2155" i="1"/>
  <c r="L2155" i="1"/>
  <c r="K2155" i="1"/>
  <c r="J2155" i="1"/>
  <c r="I2155" i="1"/>
  <c r="H2155" i="1"/>
  <c r="G2155" i="1"/>
  <c r="F2155" i="1"/>
  <c r="E2155" i="1"/>
  <c r="D2155" i="1"/>
  <c r="C2155" i="1"/>
  <c r="M2154" i="1"/>
  <c r="L2154" i="1"/>
  <c r="K2154" i="1"/>
  <c r="J2154" i="1"/>
  <c r="I2154" i="1"/>
  <c r="G2154" i="1"/>
  <c r="F2154" i="1"/>
  <c r="E2154" i="1"/>
  <c r="D2154" i="1"/>
  <c r="C2154" i="1"/>
  <c r="M2153" i="1"/>
  <c r="L2153" i="1"/>
  <c r="K2153" i="1"/>
  <c r="J2153" i="1"/>
  <c r="I2153" i="1"/>
  <c r="G2153" i="1"/>
  <c r="F2153" i="1"/>
  <c r="E2153" i="1"/>
  <c r="D2153" i="1"/>
  <c r="C2153" i="1"/>
  <c r="M2152" i="1"/>
  <c r="L2152" i="1"/>
  <c r="K2152" i="1"/>
  <c r="J2152" i="1"/>
  <c r="I2152" i="1"/>
  <c r="H2152" i="1"/>
  <c r="G2152" i="1"/>
  <c r="F2152" i="1"/>
  <c r="E2152" i="1"/>
  <c r="D2152" i="1"/>
  <c r="C2152" i="1"/>
  <c r="M2151" i="1"/>
  <c r="L2151" i="1"/>
  <c r="K2151" i="1"/>
  <c r="J2151" i="1"/>
  <c r="I2151" i="1"/>
  <c r="G2151" i="1"/>
  <c r="F2151" i="1"/>
  <c r="E2151" i="1"/>
  <c r="D2151" i="1"/>
  <c r="C2151" i="1"/>
  <c r="M2150" i="1"/>
  <c r="L2150" i="1"/>
  <c r="K2150" i="1"/>
  <c r="J2150" i="1"/>
  <c r="I2150" i="1"/>
  <c r="G2150" i="1"/>
  <c r="H2150" i="1" s="1"/>
  <c r="F2150" i="1"/>
  <c r="E2150" i="1"/>
  <c r="D2150" i="1"/>
  <c r="C2150" i="1"/>
  <c r="M2149" i="1"/>
  <c r="L2149" i="1"/>
  <c r="K2149" i="1"/>
  <c r="J2149" i="1"/>
  <c r="I2149" i="1"/>
  <c r="H2149" i="1"/>
  <c r="G2149" i="1"/>
  <c r="F2149" i="1"/>
  <c r="E2149" i="1"/>
  <c r="D2149" i="1"/>
  <c r="C2149" i="1"/>
  <c r="M2148" i="1"/>
  <c r="L2148" i="1"/>
  <c r="K2148" i="1"/>
  <c r="J2148" i="1"/>
  <c r="I2148" i="1"/>
  <c r="G2148" i="1"/>
  <c r="H2148" i="1" s="1"/>
  <c r="F2148" i="1"/>
  <c r="E2148" i="1"/>
  <c r="D2148" i="1"/>
  <c r="C2148" i="1"/>
  <c r="M2147" i="1"/>
  <c r="L2147" i="1"/>
  <c r="K2147" i="1"/>
  <c r="J2147" i="1"/>
  <c r="I2147" i="1"/>
  <c r="G2147" i="1"/>
  <c r="F2147" i="1"/>
  <c r="E2147" i="1"/>
  <c r="D2147" i="1"/>
  <c r="C2147" i="1"/>
  <c r="H2147" i="1" s="1"/>
  <c r="M2146" i="1"/>
  <c r="L2146" i="1"/>
  <c r="K2146" i="1"/>
  <c r="J2146" i="1"/>
  <c r="I2146" i="1"/>
  <c r="G2146" i="1"/>
  <c r="F2146" i="1"/>
  <c r="E2146" i="1"/>
  <c r="D2146" i="1"/>
  <c r="C2146" i="1"/>
  <c r="H2146" i="1" s="1"/>
  <c r="M2145" i="1"/>
  <c r="L2145" i="1"/>
  <c r="K2145" i="1"/>
  <c r="J2145" i="1"/>
  <c r="I2145" i="1"/>
  <c r="G2145" i="1"/>
  <c r="H2145" i="1" s="1"/>
  <c r="F2145" i="1"/>
  <c r="E2145" i="1"/>
  <c r="D2145" i="1"/>
  <c r="C2145" i="1"/>
  <c r="M2144" i="1"/>
  <c r="L2144" i="1"/>
  <c r="K2144" i="1"/>
  <c r="J2144" i="1"/>
  <c r="I2144" i="1"/>
  <c r="G2144" i="1"/>
  <c r="F2144" i="1"/>
  <c r="E2144" i="1"/>
  <c r="D2144" i="1"/>
  <c r="C2144" i="1"/>
  <c r="H2144" i="1" s="1"/>
  <c r="M2143" i="1"/>
  <c r="L2143" i="1"/>
  <c r="K2143" i="1"/>
  <c r="J2143" i="1"/>
  <c r="I2143" i="1"/>
  <c r="G2143" i="1"/>
  <c r="F2143" i="1"/>
  <c r="E2143" i="1"/>
  <c r="D2143" i="1"/>
  <c r="C2143" i="1"/>
  <c r="M2142" i="1"/>
  <c r="L2142" i="1"/>
  <c r="K2142" i="1"/>
  <c r="J2142" i="1"/>
  <c r="I2142" i="1"/>
  <c r="H2142" i="1"/>
  <c r="G2142" i="1"/>
  <c r="F2142" i="1"/>
  <c r="E2142" i="1"/>
  <c r="D2142" i="1"/>
  <c r="C2142" i="1"/>
  <c r="M2141" i="1"/>
  <c r="L2141" i="1"/>
  <c r="K2141" i="1"/>
  <c r="J2141" i="1"/>
  <c r="I2141" i="1"/>
  <c r="G2141" i="1"/>
  <c r="F2141" i="1"/>
  <c r="E2141" i="1"/>
  <c r="D2141" i="1"/>
  <c r="C2141" i="1"/>
  <c r="H2141" i="1" s="1"/>
  <c r="M2140" i="1"/>
  <c r="L2140" i="1"/>
  <c r="K2140" i="1"/>
  <c r="J2140" i="1"/>
  <c r="I2140" i="1"/>
  <c r="G2140" i="1"/>
  <c r="H2140" i="1" s="1"/>
  <c r="F2140" i="1"/>
  <c r="E2140" i="1"/>
  <c r="D2140" i="1"/>
  <c r="C2140" i="1"/>
  <c r="M2139" i="1"/>
  <c r="L2139" i="1"/>
  <c r="K2139" i="1"/>
  <c r="J2139" i="1"/>
  <c r="I2139" i="1"/>
  <c r="G2139" i="1"/>
  <c r="H2139" i="1" s="1"/>
  <c r="F2139" i="1"/>
  <c r="E2139" i="1"/>
  <c r="D2139" i="1"/>
  <c r="C2139" i="1"/>
  <c r="M2138" i="1"/>
  <c r="L2138" i="1"/>
  <c r="K2138" i="1"/>
  <c r="J2138" i="1"/>
  <c r="I2138" i="1"/>
  <c r="G2138" i="1"/>
  <c r="F2138" i="1"/>
  <c r="E2138" i="1"/>
  <c r="D2138" i="1"/>
  <c r="C2138" i="1"/>
  <c r="H2138" i="1" s="1"/>
  <c r="M2137" i="1"/>
  <c r="L2137" i="1"/>
  <c r="K2137" i="1"/>
  <c r="J2137" i="1"/>
  <c r="I2137" i="1"/>
  <c r="H2137" i="1"/>
  <c r="G2137" i="1"/>
  <c r="F2137" i="1"/>
  <c r="E2137" i="1"/>
  <c r="D2137" i="1"/>
  <c r="C2137" i="1"/>
  <c r="M2136" i="1"/>
  <c r="L2136" i="1"/>
  <c r="K2136" i="1"/>
  <c r="J2136" i="1"/>
  <c r="I2136" i="1"/>
  <c r="G2136" i="1"/>
  <c r="H2136" i="1" s="1"/>
  <c r="F2136" i="1"/>
  <c r="E2136" i="1"/>
  <c r="D2136" i="1"/>
  <c r="C2136" i="1"/>
  <c r="M2135" i="1"/>
  <c r="L2135" i="1"/>
  <c r="K2135" i="1"/>
  <c r="J2135" i="1"/>
  <c r="I2135" i="1"/>
  <c r="G2135" i="1"/>
  <c r="H2135" i="1" s="1"/>
  <c r="F2135" i="1"/>
  <c r="E2135" i="1"/>
  <c r="D2135" i="1"/>
  <c r="C2135" i="1"/>
  <c r="M2134" i="1"/>
  <c r="L2134" i="1"/>
  <c r="K2134" i="1"/>
  <c r="J2134" i="1"/>
  <c r="I2134" i="1"/>
  <c r="G2134" i="1"/>
  <c r="F2134" i="1"/>
  <c r="E2134" i="1"/>
  <c r="D2134" i="1"/>
  <c r="C2134" i="1"/>
  <c r="M2133" i="1"/>
  <c r="L2133" i="1"/>
  <c r="K2133" i="1"/>
  <c r="J2133" i="1"/>
  <c r="I2133" i="1"/>
  <c r="G2133" i="1"/>
  <c r="H2133" i="1" s="1"/>
  <c r="F2133" i="1"/>
  <c r="E2133" i="1"/>
  <c r="D2133" i="1"/>
  <c r="C2133" i="1"/>
  <c r="M2132" i="1"/>
  <c r="L2132" i="1"/>
  <c r="K2132" i="1"/>
  <c r="J2132" i="1"/>
  <c r="I2132" i="1"/>
  <c r="G2132" i="1"/>
  <c r="F2132" i="1"/>
  <c r="E2132" i="1"/>
  <c r="D2132" i="1"/>
  <c r="C2132" i="1"/>
  <c r="M2131" i="1"/>
  <c r="L2131" i="1"/>
  <c r="K2131" i="1"/>
  <c r="J2131" i="1"/>
  <c r="I2131" i="1"/>
  <c r="G2131" i="1"/>
  <c r="H2131" i="1" s="1"/>
  <c r="F2131" i="1"/>
  <c r="E2131" i="1"/>
  <c r="D2131" i="1"/>
  <c r="C2131" i="1"/>
  <c r="M2130" i="1"/>
  <c r="L2130" i="1"/>
  <c r="K2130" i="1"/>
  <c r="J2130" i="1"/>
  <c r="I2130" i="1"/>
  <c r="H2130" i="1"/>
  <c r="G2130" i="1"/>
  <c r="F2130" i="1"/>
  <c r="E2130" i="1"/>
  <c r="D2130" i="1"/>
  <c r="C2130" i="1"/>
  <c r="M2129" i="1"/>
  <c r="L2129" i="1"/>
  <c r="K2129" i="1"/>
  <c r="J2129" i="1"/>
  <c r="I2129" i="1"/>
  <c r="G2129" i="1"/>
  <c r="F2129" i="1"/>
  <c r="E2129" i="1"/>
  <c r="D2129" i="1"/>
  <c r="C2129" i="1"/>
  <c r="H2129" i="1" s="1"/>
  <c r="M2128" i="1"/>
  <c r="L2128" i="1"/>
  <c r="K2128" i="1"/>
  <c r="J2128" i="1"/>
  <c r="I2128" i="1"/>
  <c r="G2128" i="1"/>
  <c r="F2128" i="1"/>
  <c r="E2128" i="1"/>
  <c r="D2128" i="1"/>
  <c r="C2128" i="1"/>
  <c r="M2127" i="1"/>
  <c r="L2127" i="1"/>
  <c r="K2127" i="1"/>
  <c r="J2127" i="1"/>
  <c r="I2127" i="1"/>
  <c r="G2127" i="1"/>
  <c r="F2127" i="1"/>
  <c r="E2127" i="1"/>
  <c r="D2127" i="1"/>
  <c r="C2127" i="1"/>
  <c r="M2126" i="1"/>
  <c r="L2126" i="1"/>
  <c r="K2126" i="1"/>
  <c r="J2126" i="1"/>
  <c r="I2126" i="1"/>
  <c r="G2126" i="1"/>
  <c r="H2126" i="1" s="1"/>
  <c r="F2126" i="1"/>
  <c r="E2126" i="1"/>
  <c r="D2126" i="1"/>
  <c r="C2126" i="1"/>
  <c r="M2125" i="1"/>
  <c r="L2125" i="1"/>
  <c r="K2125" i="1"/>
  <c r="J2125" i="1"/>
  <c r="I2125" i="1"/>
  <c r="G2125" i="1"/>
  <c r="F2125" i="1"/>
  <c r="E2125" i="1"/>
  <c r="D2125" i="1"/>
  <c r="C2125" i="1"/>
  <c r="M2124" i="1"/>
  <c r="L2124" i="1"/>
  <c r="K2124" i="1"/>
  <c r="J2124" i="1"/>
  <c r="I2124" i="1"/>
  <c r="G2124" i="1"/>
  <c r="H2124" i="1" s="1"/>
  <c r="F2124" i="1"/>
  <c r="E2124" i="1"/>
  <c r="D2124" i="1"/>
  <c r="C2124" i="1"/>
  <c r="M2123" i="1"/>
  <c r="L2123" i="1"/>
  <c r="K2123" i="1"/>
  <c r="J2123" i="1"/>
  <c r="I2123" i="1"/>
  <c r="G2123" i="1"/>
  <c r="H2123" i="1" s="1"/>
  <c r="F2123" i="1"/>
  <c r="E2123" i="1"/>
  <c r="D2123" i="1"/>
  <c r="C2123" i="1"/>
  <c r="M2122" i="1"/>
  <c r="L2122" i="1"/>
  <c r="K2122" i="1"/>
  <c r="J2122" i="1"/>
  <c r="I2122" i="1"/>
  <c r="G2122" i="1"/>
  <c r="F2122" i="1"/>
  <c r="E2122" i="1"/>
  <c r="D2122" i="1"/>
  <c r="C2122" i="1"/>
  <c r="M2121" i="1"/>
  <c r="L2121" i="1"/>
  <c r="K2121" i="1"/>
  <c r="J2121" i="1"/>
  <c r="I2121" i="1"/>
  <c r="G2121" i="1"/>
  <c r="H2121" i="1" s="1"/>
  <c r="F2121" i="1"/>
  <c r="E2121" i="1"/>
  <c r="D2121" i="1"/>
  <c r="C2121" i="1"/>
  <c r="M2120" i="1"/>
  <c r="L2120" i="1"/>
  <c r="K2120" i="1"/>
  <c r="J2120" i="1"/>
  <c r="I2120" i="1"/>
  <c r="G2120" i="1"/>
  <c r="H2120" i="1" s="1"/>
  <c r="F2120" i="1"/>
  <c r="E2120" i="1"/>
  <c r="D2120" i="1"/>
  <c r="C2120" i="1"/>
  <c r="M2119" i="1"/>
  <c r="L2119" i="1"/>
  <c r="K2119" i="1"/>
  <c r="J2119" i="1"/>
  <c r="I2119" i="1"/>
  <c r="G2119" i="1"/>
  <c r="H2119" i="1" s="1"/>
  <c r="F2119" i="1"/>
  <c r="E2119" i="1"/>
  <c r="D2119" i="1"/>
  <c r="C2119" i="1"/>
  <c r="M2118" i="1"/>
  <c r="L2118" i="1"/>
  <c r="K2118" i="1"/>
  <c r="J2118" i="1"/>
  <c r="I2118" i="1"/>
  <c r="H2118" i="1"/>
  <c r="G2118" i="1"/>
  <c r="F2118" i="1"/>
  <c r="E2118" i="1"/>
  <c r="D2118" i="1"/>
  <c r="C2118" i="1"/>
  <c r="M2117" i="1"/>
  <c r="L2117" i="1"/>
  <c r="K2117" i="1"/>
  <c r="J2117" i="1"/>
  <c r="I2117" i="1"/>
  <c r="G2117" i="1"/>
  <c r="H2117" i="1" s="1"/>
  <c r="F2117" i="1"/>
  <c r="E2117" i="1"/>
  <c r="D2117" i="1"/>
  <c r="C2117" i="1"/>
  <c r="M2116" i="1"/>
  <c r="L2116" i="1"/>
  <c r="K2116" i="1"/>
  <c r="J2116" i="1"/>
  <c r="I2116" i="1"/>
  <c r="G2116" i="1"/>
  <c r="F2116" i="1"/>
  <c r="E2116" i="1"/>
  <c r="D2116" i="1"/>
  <c r="C2116" i="1"/>
  <c r="H2116" i="1" s="1"/>
  <c r="M2115" i="1"/>
  <c r="L2115" i="1"/>
  <c r="K2115" i="1"/>
  <c r="J2115" i="1"/>
  <c r="I2115" i="1"/>
  <c r="G2115" i="1"/>
  <c r="H2115" i="1" s="1"/>
  <c r="F2115" i="1"/>
  <c r="E2115" i="1"/>
  <c r="D2115" i="1"/>
  <c r="C2115" i="1"/>
  <c r="M2114" i="1"/>
  <c r="L2114" i="1"/>
  <c r="K2114" i="1"/>
  <c r="J2114" i="1"/>
  <c r="I2114" i="1"/>
  <c r="H2114" i="1"/>
  <c r="G2114" i="1"/>
  <c r="F2114" i="1"/>
  <c r="E2114" i="1"/>
  <c r="D2114" i="1"/>
  <c r="C2114" i="1"/>
  <c r="M2113" i="1"/>
  <c r="L2113" i="1"/>
  <c r="K2113" i="1"/>
  <c r="J2113" i="1"/>
  <c r="I2113" i="1"/>
  <c r="G2113" i="1"/>
  <c r="F2113" i="1"/>
  <c r="E2113" i="1"/>
  <c r="D2113" i="1"/>
  <c r="C2113" i="1"/>
  <c r="H2113" i="1" s="1"/>
  <c r="M2112" i="1"/>
  <c r="L2112" i="1"/>
  <c r="K2112" i="1"/>
  <c r="J2112" i="1"/>
  <c r="I2112" i="1"/>
  <c r="H2112" i="1"/>
  <c r="G2112" i="1"/>
  <c r="F2112" i="1"/>
  <c r="E2112" i="1"/>
  <c r="D2112" i="1"/>
  <c r="C2112" i="1"/>
  <c r="M2111" i="1"/>
  <c r="L2111" i="1"/>
  <c r="K2111" i="1"/>
  <c r="J2111" i="1"/>
  <c r="I2111" i="1"/>
  <c r="G2111" i="1"/>
  <c r="H2111" i="1" s="1"/>
  <c r="F2111" i="1"/>
  <c r="E2111" i="1"/>
  <c r="D2111" i="1"/>
  <c r="C2111" i="1"/>
  <c r="M2110" i="1"/>
  <c r="L2110" i="1"/>
  <c r="K2110" i="1"/>
  <c r="J2110" i="1"/>
  <c r="I2110" i="1"/>
  <c r="H2110" i="1"/>
  <c r="G2110" i="1"/>
  <c r="F2110" i="1"/>
  <c r="E2110" i="1"/>
  <c r="D2110" i="1"/>
  <c r="C2110" i="1"/>
  <c r="M2109" i="1"/>
  <c r="L2109" i="1"/>
  <c r="K2109" i="1"/>
  <c r="J2109" i="1"/>
  <c r="I2109" i="1"/>
  <c r="H2109" i="1"/>
  <c r="G2109" i="1"/>
  <c r="F2109" i="1"/>
  <c r="E2109" i="1"/>
  <c r="D2109" i="1"/>
  <c r="C2109" i="1"/>
  <c r="M2108" i="1"/>
  <c r="L2108" i="1"/>
  <c r="K2108" i="1"/>
  <c r="J2108" i="1"/>
  <c r="I2108" i="1"/>
  <c r="G2108" i="1"/>
  <c r="F2108" i="1"/>
  <c r="E2108" i="1"/>
  <c r="D2108" i="1"/>
  <c r="C2108" i="1"/>
  <c r="H2108" i="1" s="1"/>
  <c r="M2107" i="1"/>
  <c r="L2107" i="1"/>
  <c r="K2107" i="1"/>
  <c r="J2107" i="1"/>
  <c r="I2107" i="1"/>
  <c r="G2107" i="1"/>
  <c r="F2107" i="1"/>
  <c r="E2107" i="1"/>
  <c r="D2107" i="1"/>
  <c r="C2107" i="1"/>
  <c r="M2106" i="1"/>
  <c r="L2106" i="1"/>
  <c r="K2106" i="1"/>
  <c r="J2106" i="1"/>
  <c r="I2106" i="1"/>
  <c r="G2106" i="1"/>
  <c r="H2106" i="1" s="1"/>
  <c r="F2106" i="1"/>
  <c r="E2106" i="1"/>
  <c r="D2106" i="1"/>
  <c r="C2106" i="1"/>
  <c r="M2105" i="1"/>
  <c r="L2105" i="1"/>
  <c r="K2105" i="1"/>
  <c r="J2105" i="1"/>
  <c r="I2105" i="1"/>
  <c r="G2105" i="1"/>
  <c r="F2105" i="1"/>
  <c r="E2105" i="1"/>
  <c r="D2105" i="1"/>
  <c r="C2105" i="1"/>
  <c r="M2104" i="1"/>
  <c r="L2104" i="1"/>
  <c r="K2104" i="1"/>
  <c r="J2104" i="1"/>
  <c r="I2104" i="1"/>
  <c r="G2104" i="1"/>
  <c r="H2104" i="1" s="1"/>
  <c r="F2104" i="1"/>
  <c r="E2104" i="1"/>
  <c r="D2104" i="1"/>
  <c r="C2104" i="1"/>
  <c r="M2103" i="1"/>
  <c r="L2103" i="1"/>
  <c r="K2103" i="1"/>
  <c r="J2103" i="1"/>
  <c r="I2103" i="1"/>
  <c r="G2103" i="1"/>
  <c r="H2103" i="1" s="1"/>
  <c r="F2103" i="1"/>
  <c r="E2103" i="1"/>
  <c r="D2103" i="1"/>
  <c r="C2103" i="1"/>
  <c r="M2102" i="1"/>
  <c r="L2102" i="1"/>
  <c r="K2102" i="1"/>
  <c r="J2102" i="1"/>
  <c r="I2102" i="1"/>
  <c r="G2102" i="1"/>
  <c r="F2102" i="1"/>
  <c r="E2102" i="1"/>
  <c r="D2102" i="1"/>
  <c r="C2102" i="1"/>
  <c r="M2101" i="1"/>
  <c r="L2101" i="1"/>
  <c r="K2101" i="1"/>
  <c r="J2101" i="1"/>
  <c r="I2101" i="1"/>
  <c r="G2101" i="1"/>
  <c r="H2101" i="1" s="1"/>
  <c r="F2101" i="1"/>
  <c r="E2101" i="1"/>
  <c r="D2101" i="1"/>
  <c r="C2101" i="1"/>
  <c r="M2100" i="1"/>
  <c r="L2100" i="1"/>
  <c r="K2100" i="1"/>
  <c r="J2100" i="1"/>
  <c r="I2100" i="1"/>
  <c r="G2100" i="1"/>
  <c r="H2100" i="1" s="1"/>
  <c r="F2100" i="1"/>
  <c r="E2100" i="1"/>
  <c r="D2100" i="1"/>
  <c r="C2100" i="1"/>
  <c r="M2099" i="1"/>
  <c r="L2099" i="1"/>
  <c r="K2099" i="1"/>
  <c r="J2099" i="1"/>
  <c r="I2099" i="1"/>
  <c r="H2099" i="1"/>
  <c r="G2099" i="1"/>
  <c r="F2099" i="1"/>
  <c r="E2099" i="1"/>
  <c r="D2099" i="1"/>
  <c r="C2099" i="1"/>
  <c r="M2098" i="1"/>
  <c r="L2098" i="1"/>
  <c r="K2098" i="1"/>
  <c r="J2098" i="1"/>
  <c r="I2098" i="1"/>
  <c r="G2098" i="1"/>
  <c r="F2098" i="1"/>
  <c r="E2098" i="1"/>
  <c r="D2098" i="1"/>
  <c r="C2098" i="1"/>
  <c r="H2098" i="1" s="1"/>
  <c r="M2097" i="1"/>
  <c r="L2097" i="1"/>
  <c r="K2097" i="1"/>
  <c r="J2097" i="1"/>
  <c r="I2097" i="1"/>
  <c r="H2097" i="1"/>
  <c r="G2097" i="1"/>
  <c r="F2097" i="1"/>
  <c r="E2097" i="1"/>
  <c r="D2097" i="1"/>
  <c r="C2097" i="1"/>
  <c r="M2096" i="1"/>
  <c r="L2096" i="1"/>
  <c r="K2096" i="1"/>
  <c r="J2096" i="1"/>
  <c r="I2096" i="1"/>
  <c r="G2096" i="1"/>
  <c r="H2096" i="1" s="1"/>
  <c r="F2096" i="1"/>
  <c r="E2096" i="1"/>
  <c r="D2096" i="1"/>
  <c r="C2096" i="1"/>
  <c r="M2095" i="1"/>
  <c r="L2095" i="1"/>
  <c r="K2095" i="1"/>
  <c r="J2095" i="1"/>
  <c r="I2095" i="1"/>
  <c r="G2095" i="1"/>
  <c r="F2095" i="1"/>
  <c r="E2095" i="1"/>
  <c r="D2095" i="1"/>
  <c r="C2095" i="1"/>
  <c r="M2094" i="1"/>
  <c r="L2094" i="1"/>
  <c r="K2094" i="1"/>
  <c r="J2094" i="1"/>
  <c r="I2094" i="1"/>
  <c r="G2094" i="1"/>
  <c r="H2094" i="1" s="1"/>
  <c r="F2094" i="1"/>
  <c r="E2094" i="1"/>
  <c r="D2094" i="1"/>
  <c r="C2094" i="1"/>
  <c r="M2093" i="1"/>
  <c r="L2093" i="1"/>
  <c r="K2093" i="1"/>
  <c r="J2093" i="1"/>
  <c r="I2093" i="1"/>
  <c r="G2093" i="1"/>
  <c r="H2093" i="1" s="1"/>
  <c r="F2093" i="1"/>
  <c r="E2093" i="1"/>
  <c r="D2093" i="1"/>
  <c r="C2093" i="1"/>
  <c r="M2092" i="1"/>
  <c r="L2092" i="1"/>
  <c r="K2092" i="1"/>
  <c r="J2092" i="1"/>
  <c r="I2092" i="1"/>
  <c r="G2092" i="1"/>
  <c r="H2092" i="1" s="1"/>
  <c r="F2092" i="1"/>
  <c r="E2092" i="1"/>
  <c r="D2092" i="1"/>
  <c r="C2092" i="1"/>
  <c r="M2091" i="1"/>
  <c r="L2091" i="1"/>
  <c r="K2091" i="1"/>
  <c r="J2091" i="1"/>
  <c r="I2091" i="1"/>
  <c r="G2091" i="1"/>
  <c r="H2091" i="1" s="1"/>
  <c r="F2091" i="1"/>
  <c r="E2091" i="1"/>
  <c r="D2091" i="1"/>
  <c r="C2091" i="1"/>
  <c r="M2090" i="1"/>
  <c r="L2090" i="1"/>
  <c r="K2090" i="1"/>
  <c r="J2090" i="1"/>
  <c r="I2090" i="1"/>
  <c r="G2090" i="1"/>
  <c r="H2090" i="1" s="1"/>
  <c r="F2090" i="1"/>
  <c r="E2090" i="1"/>
  <c r="D2090" i="1"/>
  <c r="C2090" i="1"/>
  <c r="M2089" i="1"/>
  <c r="L2089" i="1"/>
  <c r="K2089" i="1"/>
  <c r="J2089" i="1"/>
  <c r="I2089" i="1"/>
  <c r="G2089" i="1"/>
  <c r="F2089" i="1"/>
  <c r="E2089" i="1"/>
  <c r="D2089" i="1"/>
  <c r="C2089" i="1"/>
  <c r="H2089" i="1" s="1"/>
  <c r="M2088" i="1"/>
  <c r="L2088" i="1"/>
  <c r="K2088" i="1"/>
  <c r="J2088" i="1"/>
  <c r="I2088" i="1"/>
  <c r="H2088" i="1"/>
  <c r="G2088" i="1"/>
  <c r="F2088" i="1"/>
  <c r="E2088" i="1"/>
  <c r="D2088" i="1"/>
  <c r="C2088" i="1"/>
  <c r="M2087" i="1"/>
  <c r="L2087" i="1"/>
  <c r="K2087" i="1"/>
  <c r="J2087" i="1"/>
  <c r="I2087" i="1"/>
  <c r="G2087" i="1"/>
  <c r="H2087" i="1" s="1"/>
  <c r="F2087" i="1"/>
  <c r="E2087" i="1"/>
  <c r="D2087" i="1"/>
  <c r="C2087" i="1"/>
  <c r="M2086" i="1"/>
  <c r="L2086" i="1"/>
  <c r="K2086" i="1"/>
  <c r="J2086" i="1"/>
  <c r="I2086" i="1"/>
  <c r="G2086" i="1"/>
  <c r="F2086" i="1"/>
  <c r="E2086" i="1"/>
  <c r="D2086" i="1"/>
  <c r="C2086" i="1"/>
  <c r="M2085" i="1"/>
  <c r="L2085" i="1"/>
  <c r="K2085" i="1"/>
  <c r="J2085" i="1"/>
  <c r="I2085" i="1"/>
  <c r="H2085" i="1"/>
  <c r="G2085" i="1"/>
  <c r="F2085" i="1"/>
  <c r="E2085" i="1"/>
  <c r="D2085" i="1"/>
  <c r="C2085" i="1"/>
  <c r="M2084" i="1"/>
  <c r="L2084" i="1"/>
  <c r="K2084" i="1"/>
  <c r="J2084" i="1"/>
  <c r="I2084" i="1"/>
  <c r="G2084" i="1"/>
  <c r="H2084" i="1" s="1"/>
  <c r="F2084" i="1"/>
  <c r="E2084" i="1"/>
  <c r="D2084" i="1"/>
  <c r="C2084" i="1"/>
  <c r="M2083" i="1"/>
  <c r="L2083" i="1"/>
  <c r="K2083" i="1"/>
  <c r="J2083" i="1"/>
  <c r="I2083" i="1"/>
  <c r="G2083" i="1"/>
  <c r="F2083" i="1"/>
  <c r="E2083" i="1"/>
  <c r="D2083" i="1"/>
  <c r="C2083" i="1"/>
  <c r="M2082" i="1"/>
  <c r="L2082" i="1"/>
  <c r="K2082" i="1"/>
  <c r="J2082" i="1"/>
  <c r="I2082" i="1"/>
  <c r="H2082" i="1"/>
  <c r="G2082" i="1"/>
  <c r="F2082" i="1"/>
  <c r="E2082" i="1"/>
  <c r="D2082" i="1"/>
  <c r="C2082" i="1"/>
  <c r="M2081" i="1"/>
  <c r="L2081" i="1"/>
  <c r="K2081" i="1"/>
  <c r="J2081" i="1"/>
  <c r="I2081" i="1"/>
  <c r="G2081" i="1"/>
  <c r="H2081" i="1" s="1"/>
  <c r="F2081" i="1"/>
  <c r="E2081" i="1"/>
  <c r="D2081" i="1"/>
  <c r="C2081" i="1"/>
  <c r="M2080" i="1"/>
  <c r="L2080" i="1"/>
  <c r="K2080" i="1"/>
  <c r="J2080" i="1"/>
  <c r="I2080" i="1"/>
  <c r="G2080" i="1"/>
  <c r="F2080" i="1"/>
  <c r="E2080" i="1"/>
  <c r="D2080" i="1"/>
  <c r="C2080" i="1"/>
  <c r="H2080" i="1" s="1"/>
  <c r="M2079" i="1"/>
  <c r="L2079" i="1"/>
  <c r="K2079" i="1"/>
  <c r="J2079" i="1"/>
  <c r="I2079" i="1"/>
  <c r="G2079" i="1"/>
  <c r="H2079" i="1" s="1"/>
  <c r="F2079" i="1"/>
  <c r="E2079" i="1"/>
  <c r="D2079" i="1"/>
  <c r="C2079" i="1"/>
  <c r="M2078" i="1"/>
  <c r="L2078" i="1"/>
  <c r="K2078" i="1"/>
  <c r="J2078" i="1"/>
  <c r="I2078" i="1"/>
  <c r="G2078" i="1"/>
  <c r="H2078" i="1" s="1"/>
  <c r="F2078" i="1"/>
  <c r="E2078" i="1"/>
  <c r="D2078" i="1"/>
  <c r="C2078" i="1"/>
  <c r="M2077" i="1"/>
  <c r="L2077" i="1"/>
  <c r="K2077" i="1"/>
  <c r="J2077" i="1"/>
  <c r="I2077" i="1"/>
  <c r="G2077" i="1"/>
  <c r="F2077" i="1"/>
  <c r="E2077" i="1"/>
  <c r="D2077" i="1"/>
  <c r="C2077" i="1"/>
  <c r="H2077" i="1" s="1"/>
  <c r="M2076" i="1"/>
  <c r="L2076" i="1"/>
  <c r="K2076" i="1"/>
  <c r="J2076" i="1"/>
  <c r="I2076" i="1"/>
  <c r="G2076" i="1"/>
  <c r="H2076" i="1" s="1"/>
  <c r="F2076" i="1"/>
  <c r="E2076" i="1"/>
  <c r="D2076" i="1"/>
  <c r="C2076" i="1"/>
  <c r="M2075" i="1"/>
  <c r="L2075" i="1"/>
  <c r="K2075" i="1"/>
  <c r="J2075" i="1"/>
  <c r="I2075" i="1"/>
  <c r="H2075" i="1"/>
  <c r="G2075" i="1"/>
  <c r="F2075" i="1"/>
  <c r="E2075" i="1"/>
  <c r="D2075" i="1"/>
  <c r="C2075" i="1"/>
  <c r="M2074" i="1"/>
  <c r="L2074" i="1"/>
  <c r="K2074" i="1"/>
  <c r="J2074" i="1"/>
  <c r="I2074" i="1"/>
  <c r="G2074" i="1"/>
  <c r="F2074" i="1"/>
  <c r="E2074" i="1"/>
  <c r="D2074" i="1"/>
  <c r="C2074" i="1"/>
  <c r="M2073" i="1"/>
  <c r="L2073" i="1"/>
  <c r="K2073" i="1"/>
  <c r="J2073" i="1"/>
  <c r="I2073" i="1"/>
  <c r="G2073" i="1"/>
  <c r="H2073" i="1" s="1"/>
  <c r="F2073" i="1"/>
  <c r="E2073" i="1"/>
  <c r="D2073" i="1"/>
  <c r="C2073" i="1"/>
  <c r="M2072" i="1"/>
  <c r="L2072" i="1"/>
  <c r="K2072" i="1"/>
  <c r="J2072" i="1"/>
  <c r="I2072" i="1"/>
  <c r="G2072" i="1"/>
  <c r="H2072" i="1" s="1"/>
  <c r="F2072" i="1"/>
  <c r="E2072" i="1"/>
  <c r="D2072" i="1"/>
  <c r="C2072" i="1"/>
  <c r="M2071" i="1"/>
  <c r="L2071" i="1"/>
  <c r="K2071" i="1"/>
  <c r="J2071" i="1"/>
  <c r="I2071" i="1"/>
  <c r="G2071" i="1"/>
  <c r="F2071" i="1"/>
  <c r="E2071" i="1"/>
  <c r="D2071" i="1"/>
  <c r="C2071" i="1"/>
  <c r="H2071" i="1" s="1"/>
  <c r="M2070" i="1"/>
  <c r="L2070" i="1"/>
  <c r="K2070" i="1"/>
  <c r="J2070" i="1"/>
  <c r="I2070" i="1"/>
  <c r="G2070" i="1"/>
  <c r="F2070" i="1"/>
  <c r="E2070" i="1"/>
  <c r="D2070" i="1"/>
  <c r="C2070" i="1"/>
  <c r="H2070" i="1" s="1"/>
  <c r="M2069" i="1"/>
  <c r="L2069" i="1"/>
  <c r="K2069" i="1"/>
  <c r="J2069" i="1"/>
  <c r="I2069" i="1"/>
  <c r="G2069" i="1"/>
  <c r="H2069" i="1" s="1"/>
  <c r="F2069" i="1"/>
  <c r="E2069" i="1"/>
  <c r="D2069" i="1"/>
  <c r="C2069" i="1"/>
  <c r="M2068" i="1"/>
  <c r="L2068" i="1"/>
  <c r="K2068" i="1"/>
  <c r="J2068" i="1"/>
  <c r="I2068" i="1"/>
  <c r="G2068" i="1"/>
  <c r="F2068" i="1"/>
  <c r="E2068" i="1"/>
  <c r="D2068" i="1"/>
  <c r="C2068" i="1"/>
  <c r="H2068" i="1" s="1"/>
  <c r="M2067" i="1"/>
  <c r="L2067" i="1"/>
  <c r="K2067" i="1"/>
  <c r="J2067" i="1"/>
  <c r="I2067" i="1"/>
  <c r="G2067" i="1"/>
  <c r="F2067" i="1"/>
  <c r="E2067" i="1"/>
  <c r="D2067" i="1"/>
  <c r="C2067" i="1"/>
  <c r="M2066" i="1"/>
  <c r="L2066" i="1"/>
  <c r="K2066" i="1"/>
  <c r="J2066" i="1"/>
  <c r="I2066" i="1"/>
  <c r="H2066" i="1"/>
  <c r="G2066" i="1"/>
  <c r="F2066" i="1"/>
  <c r="E2066" i="1"/>
  <c r="D2066" i="1"/>
  <c r="C2066" i="1"/>
  <c r="M2065" i="1"/>
  <c r="L2065" i="1"/>
  <c r="K2065" i="1"/>
  <c r="J2065" i="1"/>
  <c r="I2065" i="1"/>
  <c r="G2065" i="1"/>
  <c r="F2065" i="1"/>
  <c r="E2065" i="1"/>
  <c r="D2065" i="1"/>
  <c r="C2065" i="1"/>
  <c r="H2065" i="1" s="1"/>
  <c r="M2064" i="1"/>
  <c r="L2064" i="1"/>
  <c r="K2064" i="1"/>
  <c r="J2064" i="1"/>
  <c r="I2064" i="1"/>
  <c r="G2064" i="1"/>
  <c r="F2064" i="1"/>
  <c r="E2064" i="1"/>
  <c r="D2064" i="1"/>
  <c r="C2064" i="1"/>
  <c r="M2063" i="1"/>
  <c r="L2063" i="1"/>
  <c r="K2063" i="1"/>
  <c r="J2063" i="1"/>
  <c r="I2063" i="1"/>
  <c r="G2063" i="1"/>
  <c r="H2063" i="1" s="1"/>
  <c r="F2063" i="1"/>
  <c r="E2063" i="1"/>
  <c r="D2063" i="1"/>
  <c r="C2063" i="1"/>
  <c r="M2062" i="1"/>
  <c r="L2062" i="1"/>
  <c r="K2062" i="1"/>
  <c r="J2062" i="1"/>
  <c r="I2062" i="1"/>
  <c r="G2062" i="1"/>
  <c r="H2062" i="1" s="1"/>
  <c r="F2062" i="1"/>
  <c r="E2062" i="1"/>
  <c r="D2062" i="1"/>
  <c r="C2062" i="1"/>
  <c r="M2061" i="1"/>
  <c r="L2061" i="1"/>
  <c r="K2061" i="1"/>
  <c r="J2061" i="1"/>
  <c r="I2061" i="1"/>
  <c r="G2061" i="1"/>
  <c r="F2061" i="1"/>
  <c r="E2061" i="1"/>
  <c r="D2061" i="1"/>
  <c r="C2061" i="1"/>
  <c r="M2060" i="1"/>
  <c r="L2060" i="1"/>
  <c r="K2060" i="1"/>
  <c r="J2060" i="1"/>
  <c r="I2060" i="1"/>
  <c r="H2060" i="1"/>
  <c r="G2060" i="1"/>
  <c r="F2060" i="1"/>
  <c r="E2060" i="1"/>
  <c r="D2060" i="1"/>
  <c r="C2060" i="1"/>
  <c r="M2059" i="1"/>
  <c r="L2059" i="1"/>
  <c r="K2059" i="1"/>
  <c r="J2059" i="1"/>
  <c r="I2059" i="1"/>
  <c r="G2059" i="1"/>
  <c r="H2059" i="1" s="1"/>
  <c r="F2059" i="1"/>
  <c r="E2059" i="1"/>
  <c r="D2059" i="1"/>
  <c r="C2059" i="1"/>
  <c r="M2058" i="1"/>
  <c r="L2058" i="1"/>
  <c r="K2058" i="1"/>
  <c r="J2058" i="1"/>
  <c r="I2058" i="1"/>
  <c r="G2058" i="1"/>
  <c r="F2058" i="1"/>
  <c r="E2058" i="1"/>
  <c r="D2058" i="1"/>
  <c r="C2058" i="1"/>
  <c r="H2058" i="1" s="1"/>
  <c r="M2057" i="1"/>
  <c r="L2057" i="1"/>
  <c r="K2057" i="1"/>
  <c r="J2057" i="1"/>
  <c r="I2057" i="1"/>
  <c r="G2057" i="1"/>
  <c r="H2057" i="1" s="1"/>
  <c r="F2057" i="1"/>
  <c r="E2057" i="1"/>
  <c r="D2057" i="1"/>
  <c r="C2057" i="1"/>
  <c r="M2056" i="1"/>
  <c r="L2056" i="1"/>
  <c r="K2056" i="1"/>
  <c r="J2056" i="1"/>
  <c r="I2056" i="1"/>
  <c r="G2056" i="1"/>
  <c r="H2056" i="1" s="1"/>
  <c r="F2056" i="1"/>
  <c r="E2056" i="1"/>
  <c r="D2056" i="1"/>
  <c r="C2056" i="1"/>
  <c r="M2055" i="1"/>
  <c r="L2055" i="1"/>
  <c r="K2055" i="1"/>
  <c r="J2055" i="1"/>
  <c r="I2055" i="1"/>
  <c r="G2055" i="1"/>
  <c r="F2055" i="1"/>
  <c r="E2055" i="1"/>
  <c r="D2055" i="1"/>
  <c r="C2055" i="1"/>
  <c r="M2054" i="1"/>
  <c r="L2054" i="1"/>
  <c r="K2054" i="1"/>
  <c r="J2054" i="1"/>
  <c r="I2054" i="1"/>
  <c r="H2054" i="1"/>
  <c r="G2054" i="1"/>
  <c r="F2054" i="1"/>
  <c r="E2054" i="1"/>
  <c r="D2054" i="1"/>
  <c r="C2054" i="1"/>
  <c r="M2053" i="1"/>
  <c r="L2053" i="1"/>
  <c r="K2053" i="1"/>
  <c r="J2053" i="1"/>
  <c r="I2053" i="1"/>
  <c r="G2053" i="1"/>
  <c r="F2053" i="1"/>
  <c r="E2053" i="1"/>
  <c r="D2053" i="1"/>
  <c r="C2053" i="1"/>
  <c r="M2052" i="1"/>
  <c r="L2052" i="1"/>
  <c r="K2052" i="1"/>
  <c r="J2052" i="1"/>
  <c r="I2052" i="1"/>
  <c r="G2052" i="1"/>
  <c r="F2052" i="1"/>
  <c r="E2052" i="1"/>
  <c r="D2052" i="1"/>
  <c r="C2052" i="1"/>
  <c r="H2052" i="1" s="1"/>
  <c r="M2051" i="1"/>
  <c r="L2051" i="1"/>
  <c r="K2051" i="1"/>
  <c r="J2051" i="1"/>
  <c r="I2051" i="1"/>
  <c r="H2051" i="1"/>
  <c r="G2051" i="1"/>
  <c r="F2051" i="1"/>
  <c r="E2051" i="1"/>
  <c r="D2051" i="1"/>
  <c r="C2051" i="1"/>
  <c r="M2050" i="1"/>
  <c r="L2050" i="1"/>
  <c r="K2050" i="1"/>
  <c r="J2050" i="1"/>
  <c r="I2050" i="1"/>
  <c r="G2050" i="1"/>
  <c r="F2050" i="1"/>
  <c r="E2050" i="1"/>
  <c r="D2050" i="1"/>
  <c r="C2050" i="1"/>
  <c r="H2050" i="1" s="1"/>
  <c r="M2049" i="1"/>
  <c r="L2049" i="1"/>
  <c r="K2049" i="1"/>
  <c r="J2049" i="1"/>
  <c r="I2049" i="1"/>
  <c r="G2049" i="1"/>
  <c r="H2049" i="1" s="1"/>
  <c r="F2049" i="1"/>
  <c r="E2049" i="1"/>
  <c r="D2049" i="1"/>
  <c r="C2049" i="1"/>
  <c r="M2048" i="1"/>
  <c r="L2048" i="1"/>
  <c r="K2048" i="1"/>
  <c r="J2048" i="1"/>
  <c r="I2048" i="1"/>
  <c r="G2048" i="1"/>
  <c r="H2048" i="1" s="1"/>
  <c r="F2048" i="1"/>
  <c r="E2048" i="1"/>
  <c r="D2048" i="1"/>
  <c r="C2048" i="1"/>
  <c r="M2047" i="1"/>
  <c r="L2047" i="1"/>
  <c r="K2047" i="1"/>
  <c r="J2047" i="1"/>
  <c r="I2047" i="1"/>
  <c r="G2047" i="1"/>
  <c r="F2047" i="1"/>
  <c r="E2047" i="1"/>
  <c r="D2047" i="1"/>
  <c r="C2047" i="1"/>
  <c r="M2046" i="1"/>
  <c r="L2046" i="1"/>
  <c r="K2046" i="1"/>
  <c r="J2046" i="1"/>
  <c r="I2046" i="1"/>
  <c r="H2046" i="1"/>
  <c r="G2046" i="1"/>
  <c r="F2046" i="1"/>
  <c r="E2046" i="1"/>
  <c r="D2046" i="1"/>
  <c r="C2046" i="1"/>
  <c r="M2045" i="1"/>
  <c r="L2045" i="1"/>
  <c r="K2045" i="1"/>
  <c r="J2045" i="1"/>
  <c r="I2045" i="1"/>
  <c r="G2045" i="1"/>
  <c r="H2045" i="1" s="1"/>
  <c r="F2045" i="1"/>
  <c r="E2045" i="1"/>
  <c r="D2045" i="1"/>
  <c r="C2045" i="1"/>
  <c r="M2044" i="1"/>
  <c r="L2044" i="1"/>
  <c r="K2044" i="1"/>
  <c r="J2044" i="1"/>
  <c r="I2044" i="1"/>
  <c r="H2044" i="1"/>
  <c r="G2044" i="1"/>
  <c r="F2044" i="1"/>
  <c r="E2044" i="1"/>
  <c r="D2044" i="1"/>
  <c r="C2044" i="1"/>
  <c r="M2043" i="1"/>
  <c r="L2043" i="1"/>
  <c r="K2043" i="1"/>
  <c r="J2043" i="1"/>
  <c r="I2043" i="1"/>
  <c r="G2043" i="1"/>
  <c r="F2043" i="1"/>
  <c r="E2043" i="1"/>
  <c r="D2043" i="1"/>
  <c r="C2043" i="1"/>
  <c r="H2043" i="1" s="1"/>
  <c r="M2042" i="1"/>
  <c r="L2042" i="1"/>
  <c r="K2042" i="1"/>
  <c r="J2042" i="1"/>
  <c r="I2042" i="1"/>
  <c r="G2042" i="1"/>
  <c r="H2042" i="1" s="1"/>
  <c r="F2042" i="1"/>
  <c r="E2042" i="1"/>
  <c r="D2042" i="1"/>
  <c r="C2042" i="1"/>
  <c r="M2041" i="1"/>
  <c r="L2041" i="1"/>
  <c r="K2041" i="1"/>
  <c r="J2041" i="1"/>
  <c r="I2041" i="1"/>
  <c r="G2041" i="1"/>
  <c r="H2041" i="1" s="1"/>
  <c r="F2041" i="1"/>
  <c r="E2041" i="1"/>
  <c r="D2041" i="1"/>
  <c r="C2041" i="1"/>
  <c r="M2040" i="1"/>
  <c r="L2040" i="1"/>
  <c r="K2040" i="1"/>
  <c r="J2040" i="1"/>
  <c r="I2040" i="1"/>
  <c r="G2040" i="1"/>
  <c r="F2040" i="1"/>
  <c r="E2040" i="1"/>
  <c r="D2040" i="1"/>
  <c r="C2040" i="1"/>
  <c r="H2040" i="1" s="1"/>
  <c r="M2039" i="1"/>
  <c r="L2039" i="1"/>
  <c r="K2039" i="1"/>
  <c r="J2039" i="1"/>
  <c r="I2039" i="1"/>
  <c r="H2039" i="1"/>
  <c r="G2039" i="1"/>
  <c r="F2039" i="1"/>
  <c r="E2039" i="1"/>
  <c r="D2039" i="1"/>
  <c r="C2039" i="1"/>
  <c r="M2038" i="1"/>
  <c r="L2038" i="1"/>
  <c r="K2038" i="1"/>
  <c r="J2038" i="1"/>
  <c r="I2038" i="1"/>
  <c r="G2038" i="1"/>
  <c r="H2038" i="1" s="1"/>
  <c r="F2038" i="1"/>
  <c r="E2038" i="1"/>
  <c r="D2038" i="1"/>
  <c r="C2038" i="1"/>
  <c r="M2037" i="1"/>
  <c r="L2037" i="1"/>
  <c r="K2037" i="1"/>
  <c r="J2037" i="1"/>
  <c r="I2037" i="1"/>
  <c r="G2037" i="1"/>
  <c r="H2037" i="1" s="1"/>
  <c r="F2037" i="1"/>
  <c r="E2037" i="1"/>
  <c r="D2037" i="1"/>
  <c r="C2037" i="1"/>
  <c r="M2036" i="1"/>
  <c r="L2036" i="1"/>
  <c r="K2036" i="1"/>
  <c r="J2036" i="1"/>
  <c r="I2036" i="1"/>
  <c r="G2036" i="1"/>
  <c r="H2036" i="1" s="1"/>
  <c r="F2036" i="1"/>
  <c r="E2036" i="1"/>
  <c r="D2036" i="1"/>
  <c r="C2036" i="1"/>
  <c r="M2035" i="1"/>
  <c r="L2035" i="1"/>
  <c r="K2035" i="1"/>
  <c r="J2035" i="1"/>
  <c r="I2035" i="1"/>
  <c r="H2035" i="1"/>
  <c r="G2035" i="1"/>
  <c r="F2035" i="1"/>
  <c r="E2035" i="1"/>
  <c r="D2035" i="1"/>
  <c r="C2035" i="1"/>
  <c r="M2034" i="1"/>
  <c r="L2034" i="1"/>
  <c r="K2034" i="1"/>
  <c r="J2034" i="1"/>
  <c r="I2034" i="1"/>
  <c r="G2034" i="1"/>
  <c r="F2034" i="1"/>
  <c r="E2034" i="1"/>
  <c r="D2034" i="1"/>
  <c r="C2034" i="1"/>
  <c r="H2034" i="1" s="1"/>
  <c r="M2033" i="1"/>
  <c r="L2033" i="1"/>
  <c r="K2033" i="1"/>
  <c r="J2033" i="1"/>
  <c r="I2033" i="1"/>
  <c r="G2033" i="1"/>
  <c r="H2033" i="1" s="1"/>
  <c r="F2033" i="1"/>
  <c r="E2033" i="1"/>
  <c r="D2033" i="1"/>
  <c r="C2033" i="1"/>
  <c r="M2032" i="1"/>
  <c r="L2032" i="1"/>
  <c r="K2032" i="1"/>
  <c r="J2032" i="1"/>
  <c r="I2032" i="1"/>
  <c r="G2032" i="1"/>
  <c r="F2032" i="1"/>
  <c r="E2032" i="1"/>
  <c r="D2032" i="1"/>
  <c r="C2032" i="1"/>
  <c r="H2032" i="1" s="1"/>
  <c r="M2031" i="1"/>
  <c r="L2031" i="1"/>
  <c r="K2031" i="1"/>
  <c r="J2031" i="1"/>
  <c r="I2031" i="1"/>
  <c r="G2031" i="1"/>
  <c r="F2031" i="1"/>
  <c r="E2031" i="1"/>
  <c r="D2031" i="1"/>
  <c r="C2031" i="1"/>
  <c r="M2030" i="1"/>
  <c r="L2030" i="1"/>
  <c r="K2030" i="1"/>
  <c r="J2030" i="1"/>
  <c r="I2030" i="1"/>
  <c r="G2030" i="1"/>
  <c r="H2030" i="1" s="1"/>
  <c r="F2030" i="1"/>
  <c r="E2030" i="1"/>
  <c r="D2030" i="1"/>
  <c r="C2030" i="1"/>
  <c r="M2029" i="1"/>
  <c r="L2029" i="1"/>
  <c r="K2029" i="1"/>
  <c r="J2029" i="1"/>
  <c r="I2029" i="1"/>
  <c r="G2029" i="1"/>
  <c r="F2029" i="1"/>
  <c r="E2029" i="1"/>
  <c r="D2029" i="1"/>
  <c r="C2029" i="1"/>
  <c r="H2029" i="1" s="1"/>
  <c r="M2028" i="1"/>
  <c r="L2028" i="1"/>
  <c r="K2028" i="1"/>
  <c r="J2028" i="1"/>
  <c r="I2028" i="1"/>
  <c r="G2028" i="1"/>
  <c r="F2028" i="1"/>
  <c r="E2028" i="1"/>
  <c r="D2028" i="1"/>
  <c r="C2028" i="1"/>
  <c r="H2028" i="1" s="1"/>
  <c r="M2027" i="1"/>
  <c r="L2027" i="1"/>
  <c r="K2027" i="1"/>
  <c r="J2027" i="1"/>
  <c r="I2027" i="1"/>
  <c r="H2027" i="1"/>
  <c r="G2027" i="1"/>
  <c r="F2027" i="1"/>
  <c r="E2027" i="1"/>
  <c r="D2027" i="1"/>
  <c r="C2027" i="1"/>
  <c r="M2026" i="1"/>
  <c r="L2026" i="1"/>
  <c r="K2026" i="1"/>
  <c r="J2026" i="1"/>
  <c r="I2026" i="1"/>
  <c r="G2026" i="1"/>
  <c r="F2026" i="1"/>
  <c r="E2026" i="1"/>
  <c r="D2026" i="1"/>
  <c r="C2026" i="1"/>
  <c r="M2025" i="1"/>
  <c r="L2025" i="1"/>
  <c r="K2025" i="1"/>
  <c r="J2025" i="1"/>
  <c r="I2025" i="1"/>
  <c r="H2025" i="1"/>
  <c r="G2025" i="1"/>
  <c r="F2025" i="1"/>
  <c r="E2025" i="1"/>
  <c r="D2025" i="1"/>
  <c r="C2025" i="1"/>
  <c r="M2024" i="1"/>
  <c r="L2024" i="1"/>
  <c r="K2024" i="1"/>
  <c r="J2024" i="1"/>
  <c r="I2024" i="1"/>
  <c r="H2024" i="1"/>
  <c r="G2024" i="1"/>
  <c r="F2024" i="1"/>
  <c r="E2024" i="1"/>
  <c r="D2024" i="1"/>
  <c r="C2024" i="1"/>
  <c r="M2023" i="1"/>
  <c r="L2023" i="1"/>
  <c r="K2023" i="1"/>
  <c r="J2023" i="1"/>
  <c r="I2023" i="1"/>
  <c r="G2023" i="1"/>
  <c r="F2023" i="1"/>
  <c r="E2023" i="1"/>
  <c r="D2023" i="1"/>
  <c r="C2023" i="1"/>
  <c r="M2022" i="1"/>
  <c r="L2022" i="1"/>
  <c r="K2022" i="1"/>
  <c r="J2022" i="1"/>
  <c r="I2022" i="1"/>
  <c r="H2022" i="1"/>
  <c r="G2022" i="1"/>
  <c r="F2022" i="1"/>
  <c r="E2022" i="1"/>
  <c r="D2022" i="1"/>
  <c r="C2022" i="1"/>
  <c r="M2021" i="1"/>
  <c r="L2021" i="1"/>
  <c r="K2021" i="1"/>
  <c r="J2021" i="1"/>
  <c r="I2021" i="1"/>
  <c r="H2021" i="1"/>
  <c r="G2021" i="1"/>
  <c r="F2021" i="1"/>
  <c r="E2021" i="1"/>
  <c r="D2021" i="1"/>
  <c r="C2021" i="1"/>
  <c r="M2020" i="1"/>
  <c r="L2020" i="1"/>
  <c r="K2020" i="1"/>
  <c r="J2020" i="1"/>
  <c r="I2020" i="1"/>
  <c r="G2020" i="1"/>
  <c r="F2020" i="1"/>
  <c r="E2020" i="1"/>
  <c r="D2020" i="1"/>
  <c r="C2020" i="1"/>
  <c r="H2020" i="1" s="1"/>
  <c r="M2019" i="1"/>
  <c r="L2019" i="1"/>
  <c r="K2019" i="1"/>
  <c r="J2019" i="1"/>
  <c r="I2019" i="1"/>
  <c r="G2019" i="1"/>
  <c r="H2019" i="1" s="1"/>
  <c r="F2019" i="1"/>
  <c r="E2019" i="1"/>
  <c r="D2019" i="1"/>
  <c r="C2019" i="1"/>
  <c r="M2018" i="1"/>
  <c r="L2018" i="1"/>
  <c r="K2018" i="1"/>
  <c r="J2018" i="1"/>
  <c r="I2018" i="1"/>
  <c r="G2018" i="1"/>
  <c r="F2018" i="1"/>
  <c r="E2018" i="1"/>
  <c r="D2018" i="1"/>
  <c r="C2018" i="1"/>
  <c r="H2018" i="1" s="1"/>
  <c r="M2017" i="1"/>
  <c r="L2017" i="1"/>
  <c r="K2017" i="1"/>
  <c r="J2017" i="1"/>
  <c r="I2017" i="1"/>
  <c r="G2017" i="1"/>
  <c r="H2017" i="1" s="1"/>
  <c r="F2017" i="1"/>
  <c r="E2017" i="1"/>
  <c r="D2017" i="1"/>
  <c r="C2017" i="1"/>
  <c r="M2016" i="1"/>
  <c r="L2016" i="1"/>
  <c r="K2016" i="1"/>
  <c r="J2016" i="1"/>
  <c r="I2016" i="1"/>
  <c r="G2016" i="1"/>
  <c r="H2016" i="1" s="1"/>
  <c r="F2016" i="1"/>
  <c r="E2016" i="1"/>
  <c r="D2016" i="1"/>
  <c r="C2016" i="1"/>
  <c r="M2015" i="1"/>
  <c r="L2015" i="1"/>
  <c r="K2015" i="1"/>
  <c r="J2015" i="1"/>
  <c r="I2015" i="1"/>
  <c r="G2015" i="1"/>
  <c r="F2015" i="1"/>
  <c r="E2015" i="1"/>
  <c r="D2015" i="1"/>
  <c r="C2015" i="1"/>
  <c r="M2014" i="1"/>
  <c r="L2014" i="1"/>
  <c r="K2014" i="1"/>
  <c r="J2014" i="1"/>
  <c r="I2014" i="1"/>
  <c r="G2014" i="1"/>
  <c r="H2014" i="1" s="1"/>
  <c r="F2014" i="1"/>
  <c r="E2014" i="1"/>
  <c r="D2014" i="1"/>
  <c r="C2014" i="1"/>
  <c r="M2013" i="1"/>
  <c r="L2013" i="1"/>
  <c r="K2013" i="1"/>
  <c r="J2013" i="1"/>
  <c r="I2013" i="1"/>
  <c r="H2013" i="1"/>
  <c r="G2013" i="1"/>
  <c r="F2013" i="1"/>
  <c r="E2013" i="1"/>
  <c r="D2013" i="1"/>
  <c r="C2013" i="1"/>
  <c r="M2012" i="1"/>
  <c r="L2012" i="1"/>
  <c r="K2012" i="1"/>
  <c r="J2012" i="1"/>
  <c r="I2012" i="1"/>
  <c r="H2012" i="1"/>
  <c r="G2012" i="1"/>
  <c r="F2012" i="1"/>
  <c r="E2012" i="1"/>
  <c r="D2012" i="1"/>
  <c r="C2012" i="1"/>
  <c r="M2011" i="1"/>
  <c r="L2011" i="1"/>
  <c r="K2011" i="1"/>
  <c r="J2011" i="1"/>
  <c r="I2011" i="1"/>
  <c r="G2011" i="1"/>
  <c r="H2011" i="1" s="1"/>
  <c r="F2011" i="1"/>
  <c r="E2011" i="1"/>
  <c r="D2011" i="1"/>
  <c r="C2011" i="1"/>
  <c r="M2010" i="1"/>
  <c r="L2010" i="1"/>
  <c r="K2010" i="1"/>
  <c r="J2010" i="1"/>
  <c r="I2010" i="1"/>
  <c r="G2010" i="1"/>
  <c r="F2010" i="1"/>
  <c r="E2010" i="1"/>
  <c r="D2010" i="1"/>
  <c r="C2010" i="1"/>
  <c r="H2010" i="1" s="1"/>
  <c r="M2009" i="1"/>
  <c r="L2009" i="1"/>
  <c r="K2009" i="1"/>
  <c r="J2009" i="1"/>
  <c r="I2009" i="1"/>
  <c r="G2009" i="1"/>
  <c r="F2009" i="1"/>
  <c r="E2009" i="1"/>
  <c r="D2009" i="1"/>
  <c r="C2009" i="1"/>
  <c r="H2009" i="1" s="1"/>
  <c r="M2008" i="1"/>
  <c r="L2008" i="1"/>
  <c r="K2008" i="1"/>
  <c r="J2008" i="1"/>
  <c r="I2008" i="1"/>
  <c r="G2008" i="1"/>
  <c r="H2008" i="1" s="1"/>
  <c r="F2008" i="1"/>
  <c r="E2008" i="1"/>
  <c r="D2008" i="1"/>
  <c r="C2008" i="1"/>
  <c r="M2007" i="1"/>
  <c r="L2007" i="1"/>
  <c r="K2007" i="1"/>
  <c r="J2007" i="1"/>
  <c r="I2007" i="1"/>
  <c r="G2007" i="1"/>
  <c r="F2007" i="1"/>
  <c r="E2007" i="1"/>
  <c r="D2007" i="1"/>
  <c r="C2007" i="1"/>
  <c r="H2007" i="1" s="1"/>
  <c r="M2006" i="1"/>
  <c r="L2006" i="1"/>
  <c r="K2006" i="1"/>
  <c r="J2006" i="1"/>
  <c r="I2006" i="1"/>
  <c r="H2006" i="1"/>
  <c r="G2006" i="1"/>
  <c r="F2006" i="1"/>
  <c r="E2006" i="1"/>
  <c r="D2006" i="1"/>
  <c r="C2006" i="1"/>
  <c r="M2005" i="1"/>
  <c r="L2005" i="1"/>
  <c r="K2005" i="1"/>
  <c r="J2005" i="1"/>
  <c r="I2005" i="1"/>
  <c r="G2005" i="1"/>
  <c r="H2005" i="1" s="1"/>
  <c r="F2005" i="1"/>
  <c r="E2005" i="1"/>
  <c r="D2005" i="1"/>
  <c r="C2005" i="1"/>
  <c r="M2004" i="1"/>
  <c r="L2004" i="1"/>
  <c r="K2004" i="1"/>
  <c r="J2004" i="1"/>
  <c r="I2004" i="1"/>
  <c r="G2004" i="1"/>
  <c r="F2004" i="1"/>
  <c r="E2004" i="1"/>
  <c r="D2004" i="1"/>
  <c r="C2004" i="1"/>
  <c r="M2003" i="1"/>
  <c r="L2003" i="1"/>
  <c r="K2003" i="1"/>
  <c r="J2003" i="1"/>
  <c r="I2003" i="1"/>
  <c r="H2003" i="1"/>
  <c r="G2003" i="1"/>
  <c r="F2003" i="1"/>
  <c r="E2003" i="1"/>
  <c r="D2003" i="1"/>
  <c r="C2003" i="1"/>
  <c r="M2002" i="1"/>
  <c r="L2002" i="1"/>
  <c r="K2002" i="1"/>
  <c r="J2002" i="1"/>
  <c r="I2002" i="1"/>
  <c r="H2002" i="1"/>
  <c r="G2002" i="1"/>
  <c r="F2002" i="1"/>
  <c r="E2002" i="1"/>
  <c r="D2002" i="1"/>
  <c r="C2002" i="1"/>
  <c r="M2001" i="1"/>
  <c r="L2001" i="1"/>
  <c r="K2001" i="1"/>
  <c r="J2001" i="1"/>
  <c r="I2001" i="1"/>
  <c r="G2001" i="1"/>
  <c r="F2001" i="1"/>
  <c r="E2001" i="1"/>
  <c r="D2001" i="1"/>
  <c r="C2001" i="1"/>
  <c r="H2001" i="1" s="1"/>
  <c r="M2000" i="1"/>
  <c r="L2000" i="1"/>
  <c r="K2000" i="1"/>
  <c r="J2000" i="1"/>
  <c r="I2000" i="1"/>
  <c r="G2000" i="1"/>
  <c r="F2000" i="1"/>
  <c r="E2000" i="1"/>
  <c r="D2000" i="1"/>
  <c r="C2000" i="1"/>
  <c r="M1999" i="1"/>
  <c r="L1999" i="1"/>
  <c r="K1999" i="1"/>
  <c r="J1999" i="1"/>
  <c r="I1999" i="1"/>
  <c r="G1999" i="1"/>
  <c r="H1999" i="1" s="1"/>
  <c r="F1999" i="1"/>
  <c r="E1999" i="1"/>
  <c r="D1999" i="1"/>
  <c r="C1999" i="1"/>
  <c r="M1998" i="1"/>
  <c r="L1998" i="1"/>
  <c r="K1998" i="1"/>
  <c r="J1998" i="1"/>
  <c r="I1998" i="1"/>
  <c r="H1998" i="1"/>
  <c r="G1998" i="1"/>
  <c r="F1998" i="1"/>
  <c r="E1998" i="1"/>
  <c r="D1998" i="1"/>
  <c r="C1998" i="1"/>
  <c r="M1997" i="1"/>
  <c r="L1997" i="1"/>
  <c r="K1997" i="1"/>
  <c r="J1997" i="1"/>
  <c r="I1997" i="1"/>
  <c r="G1997" i="1"/>
  <c r="F1997" i="1"/>
  <c r="E1997" i="1"/>
  <c r="D1997" i="1"/>
  <c r="C1997" i="1"/>
  <c r="M1996" i="1"/>
  <c r="L1996" i="1"/>
  <c r="K1996" i="1"/>
  <c r="J1996" i="1"/>
  <c r="I1996" i="1"/>
  <c r="H1996" i="1"/>
  <c r="G1996" i="1"/>
  <c r="F1996" i="1"/>
  <c r="E1996" i="1"/>
  <c r="D1996" i="1"/>
  <c r="C1996" i="1"/>
  <c r="M1995" i="1"/>
  <c r="L1995" i="1"/>
  <c r="K1995" i="1"/>
  <c r="J1995" i="1"/>
  <c r="I1995" i="1"/>
  <c r="G1995" i="1"/>
  <c r="F1995" i="1"/>
  <c r="E1995" i="1"/>
  <c r="D1995" i="1"/>
  <c r="C1995" i="1"/>
  <c r="M1994" i="1"/>
  <c r="L1994" i="1"/>
  <c r="K1994" i="1"/>
  <c r="J1994" i="1"/>
  <c r="I1994" i="1"/>
  <c r="G1994" i="1"/>
  <c r="H1994" i="1" s="1"/>
  <c r="F1994" i="1"/>
  <c r="E1994" i="1"/>
  <c r="D1994" i="1"/>
  <c r="C1994" i="1"/>
  <c r="M1993" i="1"/>
  <c r="L1993" i="1"/>
  <c r="K1993" i="1"/>
  <c r="J1993" i="1"/>
  <c r="I1993" i="1"/>
  <c r="H1993" i="1"/>
  <c r="G1993" i="1"/>
  <c r="F1993" i="1"/>
  <c r="E1993" i="1"/>
  <c r="D1993" i="1"/>
  <c r="C1993" i="1"/>
  <c r="M1992" i="1"/>
  <c r="L1992" i="1"/>
  <c r="K1992" i="1"/>
  <c r="J1992" i="1"/>
  <c r="I1992" i="1"/>
  <c r="G1992" i="1"/>
  <c r="F1992" i="1"/>
  <c r="E1992" i="1"/>
  <c r="D1992" i="1"/>
  <c r="C1992" i="1"/>
  <c r="M1991" i="1"/>
  <c r="L1991" i="1"/>
  <c r="K1991" i="1"/>
  <c r="J1991" i="1"/>
  <c r="I1991" i="1"/>
  <c r="G1991" i="1"/>
  <c r="F1991" i="1"/>
  <c r="E1991" i="1"/>
  <c r="D1991" i="1"/>
  <c r="C1991" i="1"/>
  <c r="H1991" i="1" s="1"/>
  <c r="M1990" i="1"/>
  <c r="L1990" i="1"/>
  <c r="K1990" i="1"/>
  <c r="J1990" i="1"/>
  <c r="I1990" i="1"/>
  <c r="G1990" i="1"/>
  <c r="H1990" i="1" s="1"/>
  <c r="F1990" i="1"/>
  <c r="E1990" i="1"/>
  <c r="D1990" i="1"/>
  <c r="C1990" i="1"/>
  <c r="M1989" i="1"/>
  <c r="L1989" i="1"/>
  <c r="K1989" i="1"/>
  <c r="J1989" i="1"/>
  <c r="I1989" i="1"/>
  <c r="G1989" i="1"/>
  <c r="F1989" i="1"/>
  <c r="E1989" i="1"/>
  <c r="D1989" i="1"/>
  <c r="C1989" i="1"/>
  <c r="M1988" i="1"/>
  <c r="L1988" i="1"/>
  <c r="K1988" i="1"/>
  <c r="J1988" i="1"/>
  <c r="I1988" i="1"/>
  <c r="G1988" i="1"/>
  <c r="F1988" i="1"/>
  <c r="E1988" i="1"/>
  <c r="D1988" i="1"/>
  <c r="C1988" i="1"/>
  <c r="H1988" i="1" s="1"/>
  <c r="M1987" i="1"/>
  <c r="L1987" i="1"/>
  <c r="K1987" i="1"/>
  <c r="J1987" i="1"/>
  <c r="I1987" i="1"/>
  <c r="G1987" i="1"/>
  <c r="H1987" i="1" s="1"/>
  <c r="F1987" i="1"/>
  <c r="E1987" i="1"/>
  <c r="D1987" i="1"/>
  <c r="C1987" i="1"/>
  <c r="M1986" i="1"/>
  <c r="L1986" i="1"/>
  <c r="K1986" i="1"/>
  <c r="J1986" i="1"/>
  <c r="I1986" i="1"/>
  <c r="G1986" i="1"/>
  <c r="F1986" i="1"/>
  <c r="E1986" i="1"/>
  <c r="D1986" i="1"/>
  <c r="C1986" i="1"/>
  <c r="H1986" i="1" s="1"/>
  <c r="M1985" i="1"/>
  <c r="L1985" i="1"/>
  <c r="K1985" i="1"/>
  <c r="J1985" i="1"/>
  <c r="I1985" i="1"/>
  <c r="G1985" i="1"/>
  <c r="F1985" i="1"/>
  <c r="E1985" i="1"/>
  <c r="D1985" i="1"/>
  <c r="C1985" i="1"/>
  <c r="M1984" i="1"/>
  <c r="L1984" i="1"/>
  <c r="K1984" i="1"/>
  <c r="J1984" i="1"/>
  <c r="I1984" i="1"/>
  <c r="G1984" i="1"/>
  <c r="H1984" i="1" s="1"/>
  <c r="F1984" i="1"/>
  <c r="E1984" i="1"/>
  <c r="D1984" i="1"/>
  <c r="C1984" i="1"/>
  <c r="M1983" i="1"/>
  <c r="L1983" i="1"/>
  <c r="K1983" i="1"/>
  <c r="J1983" i="1"/>
  <c r="I1983" i="1"/>
  <c r="G1983" i="1"/>
  <c r="F1983" i="1"/>
  <c r="E1983" i="1"/>
  <c r="D1983" i="1"/>
  <c r="C1983" i="1"/>
  <c r="M1982" i="1"/>
  <c r="L1982" i="1"/>
  <c r="K1982" i="1"/>
  <c r="J1982" i="1"/>
  <c r="I1982" i="1"/>
  <c r="G1982" i="1"/>
  <c r="H1982" i="1" s="1"/>
  <c r="F1982" i="1"/>
  <c r="E1982" i="1"/>
  <c r="D1982" i="1"/>
  <c r="C1982" i="1"/>
  <c r="M1981" i="1"/>
  <c r="L1981" i="1"/>
  <c r="K1981" i="1"/>
  <c r="J1981" i="1"/>
  <c r="I1981" i="1"/>
  <c r="H1981" i="1"/>
  <c r="G1981" i="1"/>
  <c r="F1981" i="1"/>
  <c r="E1981" i="1"/>
  <c r="D1981" i="1"/>
  <c r="C1981" i="1"/>
  <c r="M1980" i="1"/>
  <c r="L1980" i="1"/>
  <c r="K1980" i="1"/>
  <c r="J1980" i="1"/>
  <c r="I1980" i="1"/>
  <c r="G1980" i="1"/>
  <c r="H1980" i="1" s="1"/>
  <c r="F1980" i="1"/>
  <c r="E1980" i="1"/>
  <c r="D1980" i="1"/>
  <c r="C1980" i="1"/>
  <c r="M1979" i="1"/>
  <c r="L1979" i="1"/>
  <c r="K1979" i="1"/>
  <c r="J1979" i="1"/>
  <c r="I1979" i="1"/>
  <c r="G1979" i="1"/>
  <c r="F1979" i="1"/>
  <c r="E1979" i="1"/>
  <c r="D1979" i="1"/>
  <c r="C1979" i="1"/>
  <c r="H1979" i="1" s="1"/>
  <c r="M1978" i="1"/>
  <c r="L1978" i="1"/>
  <c r="K1978" i="1"/>
  <c r="J1978" i="1"/>
  <c r="I1978" i="1"/>
  <c r="G1978" i="1"/>
  <c r="H1978" i="1" s="1"/>
  <c r="F1978" i="1"/>
  <c r="E1978" i="1"/>
  <c r="D1978" i="1"/>
  <c r="C1978" i="1"/>
  <c r="M1977" i="1"/>
  <c r="L1977" i="1"/>
  <c r="K1977" i="1"/>
  <c r="J1977" i="1"/>
  <c r="I1977" i="1"/>
  <c r="G1977" i="1"/>
  <c r="H1977" i="1" s="1"/>
  <c r="F1977" i="1"/>
  <c r="E1977" i="1"/>
  <c r="D1977" i="1"/>
  <c r="C1977" i="1"/>
  <c r="M1976" i="1"/>
  <c r="L1976" i="1"/>
  <c r="K1976" i="1"/>
  <c r="J1976" i="1"/>
  <c r="I1976" i="1"/>
  <c r="G1976" i="1"/>
  <c r="F1976" i="1"/>
  <c r="E1976" i="1"/>
  <c r="D1976" i="1"/>
  <c r="C1976" i="1"/>
  <c r="M1975" i="1"/>
  <c r="L1975" i="1"/>
  <c r="K1975" i="1"/>
  <c r="J1975" i="1"/>
  <c r="I1975" i="1"/>
  <c r="H1975" i="1"/>
  <c r="G1975" i="1"/>
  <c r="F1975" i="1"/>
  <c r="E1975" i="1"/>
  <c r="D1975" i="1"/>
  <c r="C1975" i="1"/>
  <c r="M1974" i="1"/>
  <c r="L1974" i="1"/>
  <c r="K1974" i="1"/>
  <c r="J1974" i="1"/>
  <c r="I1974" i="1"/>
  <c r="G1974" i="1"/>
  <c r="H1974" i="1" s="1"/>
  <c r="F1974" i="1"/>
  <c r="E1974" i="1"/>
  <c r="D1974" i="1"/>
  <c r="C1974" i="1"/>
  <c r="M1973" i="1"/>
  <c r="L1973" i="1"/>
  <c r="K1973" i="1"/>
  <c r="J1973" i="1"/>
  <c r="I1973" i="1"/>
  <c r="G1973" i="1"/>
  <c r="H1973" i="1" s="1"/>
  <c r="F1973" i="1"/>
  <c r="E1973" i="1"/>
  <c r="D1973" i="1"/>
  <c r="C1973" i="1"/>
  <c r="M1972" i="1"/>
  <c r="L1972" i="1"/>
  <c r="K1972" i="1"/>
  <c r="J1972" i="1"/>
  <c r="I1972" i="1"/>
  <c r="H1972" i="1"/>
  <c r="G1972" i="1"/>
  <c r="F1972" i="1"/>
  <c r="E1972" i="1"/>
  <c r="D1972" i="1"/>
  <c r="C1972" i="1"/>
  <c r="M1971" i="1"/>
  <c r="L1971" i="1"/>
  <c r="K1971" i="1"/>
  <c r="J1971" i="1"/>
  <c r="I1971" i="1"/>
  <c r="G1971" i="1"/>
  <c r="H1971" i="1" s="1"/>
  <c r="F1971" i="1"/>
  <c r="E1971" i="1"/>
  <c r="D1971" i="1"/>
  <c r="C1971" i="1"/>
  <c r="M1970" i="1"/>
  <c r="L1970" i="1"/>
  <c r="K1970" i="1"/>
  <c r="J1970" i="1"/>
  <c r="I1970" i="1"/>
  <c r="G1970" i="1"/>
  <c r="F1970" i="1"/>
  <c r="E1970" i="1"/>
  <c r="D1970" i="1"/>
  <c r="C1970" i="1"/>
  <c r="H1970" i="1" s="1"/>
  <c r="M1969" i="1"/>
  <c r="L1969" i="1"/>
  <c r="K1969" i="1"/>
  <c r="J1969" i="1"/>
  <c r="I1969" i="1"/>
  <c r="G1969" i="1"/>
  <c r="F1969" i="1"/>
  <c r="E1969" i="1"/>
  <c r="D1969" i="1"/>
  <c r="C1969" i="1"/>
  <c r="H1969" i="1" s="1"/>
  <c r="M1968" i="1"/>
  <c r="L1968" i="1"/>
  <c r="K1968" i="1"/>
  <c r="J1968" i="1"/>
  <c r="I1968" i="1"/>
  <c r="G1968" i="1"/>
  <c r="H1968" i="1" s="1"/>
  <c r="F1968" i="1"/>
  <c r="E1968" i="1"/>
  <c r="D1968" i="1"/>
  <c r="C1968" i="1"/>
  <c r="M1967" i="1"/>
  <c r="L1967" i="1"/>
  <c r="K1967" i="1"/>
  <c r="J1967" i="1"/>
  <c r="I1967" i="1"/>
  <c r="G1967" i="1"/>
  <c r="F1967" i="1"/>
  <c r="E1967" i="1"/>
  <c r="D1967" i="1"/>
  <c r="C1967" i="1"/>
  <c r="M1966" i="1"/>
  <c r="L1966" i="1"/>
  <c r="K1966" i="1"/>
  <c r="J1966" i="1"/>
  <c r="I1966" i="1"/>
  <c r="H1966" i="1"/>
  <c r="G1966" i="1"/>
  <c r="F1966" i="1"/>
  <c r="E1966" i="1"/>
  <c r="D1966" i="1"/>
  <c r="C1966" i="1"/>
  <c r="M1965" i="1"/>
  <c r="L1965" i="1"/>
  <c r="K1965" i="1"/>
  <c r="J1965" i="1"/>
  <c r="I1965" i="1"/>
  <c r="G1965" i="1"/>
  <c r="H1965" i="1" s="1"/>
  <c r="F1965" i="1"/>
  <c r="E1965" i="1"/>
  <c r="D1965" i="1"/>
  <c r="C1965" i="1"/>
  <c r="M1964" i="1"/>
  <c r="L1964" i="1"/>
  <c r="K1964" i="1"/>
  <c r="J1964" i="1"/>
  <c r="I1964" i="1"/>
  <c r="G1964" i="1"/>
  <c r="F1964" i="1"/>
  <c r="E1964" i="1"/>
  <c r="D1964" i="1"/>
  <c r="C1964" i="1"/>
  <c r="H1964" i="1" s="1"/>
  <c r="M1963" i="1"/>
  <c r="L1963" i="1"/>
  <c r="K1963" i="1"/>
  <c r="J1963" i="1"/>
  <c r="I1963" i="1"/>
  <c r="G1963" i="1"/>
  <c r="H1963" i="1" s="1"/>
  <c r="F1963" i="1"/>
  <c r="E1963" i="1"/>
  <c r="D1963" i="1"/>
  <c r="C1963" i="1"/>
  <c r="M1962" i="1"/>
  <c r="L1962" i="1"/>
  <c r="K1962" i="1"/>
  <c r="J1962" i="1"/>
  <c r="I1962" i="1"/>
  <c r="H1962" i="1"/>
  <c r="G1962" i="1"/>
  <c r="F1962" i="1"/>
  <c r="E1962" i="1"/>
  <c r="D1962" i="1"/>
  <c r="C1962" i="1"/>
  <c r="M1961" i="1"/>
  <c r="L1961" i="1"/>
  <c r="K1961" i="1"/>
  <c r="J1961" i="1"/>
  <c r="I1961" i="1"/>
  <c r="G1961" i="1"/>
  <c r="F1961" i="1"/>
  <c r="E1961" i="1"/>
  <c r="D1961" i="1"/>
  <c r="C1961" i="1"/>
  <c r="H1961" i="1" s="1"/>
  <c r="M1960" i="1"/>
  <c r="L1960" i="1"/>
  <c r="K1960" i="1"/>
  <c r="J1960" i="1"/>
  <c r="I1960" i="1"/>
  <c r="H1960" i="1"/>
  <c r="G1960" i="1"/>
  <c r="F1960" i="1"/>
  <c r="E1960" i="1"/>
  <c r="D1960" i="1"/>
  <c r="C1960" i="1"/>
  <c r="M1959" i="1"/>
  <c r="L1959" i="1"/>
  <c r="K1959" i="1"/>
  <c r="J1959" i="1"/>
  <c r="I1959" i="1"/>
  <c r="G1959" i="1"/>
  <c r="F1959" i="1"/>
  <c r="E1959" i="1"/>
  <c r="D1959" i="1"/>
  <c r="C1959" i="1"/>
  <c r="M1958" i="1"/>
  <c r="L1958" i="1"/>
  <c r="K1958" i="1"/>
  <c r="J1958" i="1"/>
  <c r="I1958" i="1"/>
  <c r="G1958" i="1"/>
  <c r="H1958" i="1" s="1"/>
  <c r="F1958" i="1"/>
  <c r="E1958" i="1"/>
  <c r="D1958" i="1"/>
  <c r="C1958" i="1"/>
  <c r="M1957" i="1"/>
  <c r="L1957" i="1"/>
  <c r="K1957" i="1"/>
  <c r="J1957" i="1"/>
  <c r="I1957" i="1"/>
  <c r="G1957" i="1"/>
  <c r="F1957" i="1"/>
  <c r="E1957" i="1"/>
  <c r="D1957" i="1"/>
  <c r="C1957" i="1"/>
  <c r="M1956" i="1"/>
  <c r="L1956" i="1"/>
  <c r="K1956" i="1"/>
  <c r="J1956" i="1"/>
  <c r="I1956" i="1"/>
  <c r="G1956" i="1"/>
  <c r="H1956" i="1" s="1"/>
  <c r="F1956" i="1"/>
  <c r="E1956" i="1"/>
  <c r="D1956" i="1"/>
  <c r="C1956" i="1"/>
  <c r="M1955" i="1"/>
  <c r="L1955" i="1"/>
  <c r="K1955" i="1"/>
  <c r="J1955" i="1"/>
  <c r="I1955" i="1"/>
  <c r="G1955" i="1"/>
  <c r="H1955" i="1" s="1"/>
  <c r="F1955" i="1"/>
  <c r="E1955" i="1"/>
  <c r="D1955" i="1"/>
  <c r="C1955" i="1"/>
  <c r="M1954" i="1"/>
  <c r="L1954" i="1"/>
  <c r="K1954" i="1"/>
  <c r="J1954" i="1"/>
  <c r="I1954" i="1"/>
  <c r="G1954" i="1"/>
  <c r="F1954" i="1"/>
  <c r="E1954" i="1"/>
  <c r="D1954" i="1"/>
  <c r="C1954" i="1"/>
  <c r="H1954" i="1" s="1"/>
  <c r="M1953" i="1"/>
  <c r="L1953" i="1"/>
  <c r="K1953" i="1"/>
  <c r="J1953" i="1"/>
  <c r="I1953" i="1"/>
  <c r="H1953" i="1"/>
  <c r="G1953" i="1"/>
  <c r="F1953" i="1"/>
  <c r="E1953" i="1"/>
  <c r="D1953" i="1"/>
  <c r="C1953" i="1"/>
  <c r="M1952" i="1"/>
  <c r="L1952" i="1"/>
  <c r="K1952" i="1"/>
  <c r="J1952" i="1"/>
  <c r="I1952" i="1"/>
  <c r="H1952" i="1"/>
  <c r="G1952" i="1"/>
  <c r="F1952" i="1"/>
  <c r="E1952" i="1"/>
  <c r="D1952" i="1"/>
  <c r="C1952" i="1"/>
  <c r="M1951" i="1"/>
  <c r="L1951" i="1"/>
  <c r="K1951" i="1"/>
  <c r="J1951" i="1"/>
  <c r="I1951" i="1"/>
  <c r="G1951" i="1"/>
  <c r="F1951" i="1"/>
  <c r="E1951" i="1"/>
  <c r="D1951" i="1"/>
  <c r="C1951" i="1"/>
  <c r="M1950" i="1"/>
  <c r="L1950" i="1"/>
  <c r="K1950" i="1"/>
  <c r="J1950" i="1"/>
  <c r="I1950" i="1"/>
  <c r="H1950" i="1"/>
  <c r="G1950" i="1"/>
  <c r="F1950" i="1"/>
  <c r="E1950" i="1"/>
  <c r="D1950" i="1"/>
  <c r="C1950" i="1"/>
  <c r="M1949" i="1"/>
  <c r="L1949" i="1"/>
  <c r="K1949" i="1"/>
  <c r="J1949" i="1"/>
  <c r="I1949" i="1"/>
  <c r="H1949" i="1"/>
  <c r="G1949" i="1"/>
  <c r="F1949" i="1"/>
  <c r="E1949" i="1"/>
  <c r="D1949" i="1"/>
  <c r="C1949" i="1"/>
  <c r="M1948" i="1"/>
  <c r="L1948" i="1"/>
  <c r="K1948" i="1"/>
  <c r="J1948" i="1"/>
  <c r="I1948" i="1"/>
  <c r="G1948" i="1"/>
  <c r="F1948" i="1"/>
  <c r="E1948" i="1"/>
  <c r="D1948" i="1"/>
  <c r="C1948" i="1"/>
  <c r="M1947" i="1"/>
  <c r="L1947" i="1"/>
  <c r="K1947" i="1"/>
  <c r="J1947" i="1"/>
  <c r="I1947" i="1"/>
  <c r="G1947" i="1"/>
  <c r="F1947" i="1"/>
  <c r="E1947" i="1"/>
  <c r="D1947" i="1"/>
  <c r="C1947" i="1"/>
  <c r="H1947" i="1" s="1"/>
  <c r="M1946" i="1"/>
  <c r="L1946" i="1"/>
  <c r="K1946" i="1"/>
  <c r="J1946" i="1"/>
  <c r="I1946" i="1"/>
  <c r="G1946" i="1"/>
  <c r="H1946" i="1" s="1"/>
  <c r="F1946" i="1"/>
  <c r="E1946" i="1"/>
  <c r="D1946" i="1"/>
  <c r="C1946" i="1"/>
  <c r="M1945" i="1"/>
  <c r="L1945" i="1"/>
  <c r="K1945" i="1"/>
  <c r="J1945" i="1"/>
  <c r="I1945" i="1"/>
  <c r="G1945" i="1"/>
  <c r="F1945" i="1"/>
  <c r="E1945" i="1"/>
  <c r="D1945" i="1"/>
  <c r="C1945" i="1"/>
  <c r="M1944" i="1"/>
  <c r="L1944" i="1"/>
  <c r="K1944" i="1"/>
  <c r="J1944" i="1"/>
  <c r="I1944" i="1"/>
  <c r="G1944" i="1"/>
  <c r="H1944" i="1" s="1"/>
  <c r="F1944" i="1"/>
  <c r="E1944" i="1"/>
  <c r="D1944" i="1"/>
  <c r="C1944" i="1"/>
  <c r="M1943" i="1"/>
  <c r="L1943" i="1"/>
  <c r="K1943" i="1"/>
  <c r="J1943" i="1"/>
  <c r="I1943" i="1"/>
  <c r="H1943" i="1"/>
  <c r="G1943" i="1"/>
  <c r="F1943" i="1"/>
  <c r="E1943" i="1"/>
  <c r="D1943" i="1"/>
  <c r="C1943" i="1"/>
  <c r="M1942" i="1"/>
  <c r="L1942" i="1"/>
  <c r="K1942" i="1"/>
  <c r="J1942" i="1"/>
  <c r="I1942" i="1"/>
  <c r="G1942" i="1"/>
  <c r="F1942" i="1"/>
  <c r="E1942" i="1"/>
  <c r="D1942" i="1"/>
  <c r="C1942" i="1"/>
  <c r="M1941" i="1"/>
  <c r="L1941" i="1"/>
  <c r="K1941" i="1"/>
  <c r="J1941" i="1"/>
  <c r="I1941" i="1"/>
  <c r="H1941" i="1"/>
  <c r="G1941" i="1"/>
  <c r="F1941" i="1"/>
  <c r="E1941" i="1"/>
  <c r="D1941" i="1"/>
  <c r="C1941" i="1"/>
  <c r="M1940" i="1"/>
  <c r="L1940" i="1"/>
  <c r="K1940" i="1"/>
  <c r="J1940" i="1"/>
  <c r="I1940" i="1"/>
  <c r="H1940" i="1"/>
  <c r="G1940" i="1"/>
  <c r="F1940" i="1"/>
  <c r="E1940" i="1"/>
  <c r="D1940" i="1"/>
  <c r="C1940" i="1"/>
  <c r="M1939" i="1"/>
  <c r="L1939" i="1"/>
  <c r="K1939" i="1"/>
  <c r="J1939" i="1"/>
  <c r="I1939" i="1"/>
  <c r="G1939" i="1"/>
  <c r="F1939" i="1"/>
  <c r="E1939" i="1"/>
  <c r="D1939" i="1"/>
  <c r="C1939" i="1"/>
  <c r="H1939" i="1" s="1"/>
  <c r="M1938" i="1"/>
  <c r="L1938" i="1"/>
  <c r="K1938" i="1"/>
  <c r="J1938" i="1"/>
  <c r="I1938" i="1"/>
  <c r="G1938" i="1"/>
  <c r="F1938" i="1"/>
  <c r="E1938" i="1"/>
  <c r="D1938" i="1"/>
  <c r="C1938" i="1"/>
  <c r="H1938" i="1" s="1"/>
  <c r="M1937" i="1"/>
  <c r="L1937" i="1"/>
  <c r="K1937" i="1"/>
  <c r="J1937" i="1"/>
  <c r="I1937" i="1"/>
  <c r="H1937" i="1"/>
  <c r="G1937" i="1"/>
  <c r="F1937" i="1"/>
  <c r="E1937" i="1"/>
  <c r="D1937" i="1"/>
  <c r="C1937" i="1"/>
  <c r="M1936" i="1"/>
  <c r="L1936" i="1"/>
  <c r="K1936" i="1"/>
  <c r="J1936" i="1"/>
  <c r="I1936" i="1"/>
  <c r="G1936" i="1"/>
  <c r="F1936" i="1"/>
  <c r="E1936" i="1"/>
  <c r="D1936" i="1"/>
  <c r="C1936" i="1"/>
  <c r="H1936" i="1" s="1"/>
  <c r="M1935" i="1"/>
  <c r="L1935" i="1"/>
  <c r="K1935" i="1"/>
  <c r="J1935" i="1"/>
  <c r="I1935" i="1"/>
  <c r="G1935" i="1"/>
  <c r="H1935" i="1" s="1"/>
  <c r="F1935" i="1"/>
  <c r="E1935" i="1"/>
  <c r="D1935" i="1"/>
  <c r="C1935" i="1"/>
  <c r="M1934" i="1"/>
  <c r="L1934" i="1"/>
  <c r="K1934" i="1"/>
  <c r="J1934" i="1"/>
  <c r="I1934" i="1"/>
  <c r="H1934" i="1"/>
  <c r="G1934" i="1"/>
  <c r="F1934" i="1"/>
  <c r="E1934" i="1"/>
  <c r="D1934" i="1"/>
  <c r="C1934" i="1"/>
  <c r="M1933" i="1"/>
  <c r="L1933" i="1"/>
  <c r="K1933" i="1"/>
  <c r="J1933" i="1"/>
  <c r="I1933" i="1"/>
  <c r="G1933" i="1"/>
  <c r="F1933" i="1"/>
  <c r="E1933" i="1"/>
  <c r="D1933" i="1"/>
  <c r="C1933" i="1"/>
  <c r="H1933" i="1" s="1"/>
  <c r="M1932" i="1"/>
  <c r="L1932" i="1"/>
  <c r="K1932" i="1"/>
  <c r="J1932" i="1"/>
  <c r="I1932" i="1"/>
  <c r="H1932" i="1"/>
  <c r="G1932" i="1"/>
  <c r="F1932" i="1"/>
  <c r="E1932" i="1"/>
  <c r="D1932" i="1"/>
  <c r="C1932" i="1"/>
  <c r="M1931" i="1"/>
  <c r="L1931" i="1"/>
  <c r="K1931" i="1"/>
  <c r="J1931" i="1"/>
  <c r="I1931" i="1"/>
  <c r="H1931" i="1"/>
  <c r="G1931" i="1"/>
  <c r="F1931" i="1"/>
  <c r="E1931" i="1"/>
  <c r="D1931" i="1"/>
  <c r="C1931" i="1"/>
  <c r="M1930" i="1"/>
  <c r="L1930" i="1"/>
  <c r="K1930" i="1"/>
  <c r="J1930" i="1"/>
  <c r="I1930" i="1"/>
  <c r="G1930" i="1"/>
  <c r="F1930" i="1"/>
  <c r="E1930" i="1"/>
  <c r="D1930" i="1"/>
  <c r="C1930" i="1"/>
  <c r="M1929" i="1"/>
  <c r="L1929" i="1"/>
  <c r="K1929" i="1"/>
  <c r="J1929" i="1"/>
  <c r="I1929" i="1"/>
  <c r="H1929" i="1"/>
  <c r="G1929" i="1"/>
  <c r="F1929" i="1"/>
  <c r="E1929" i="1"/>
  <c r="D1929" i="1"/>
  <c r="C1929" i="1"/>
  <c r="M1928" i="1"/>
  <c r="L1928" i="1"/>
  <c r="K1928" i="1"/>
  <c r="J1928" i="1"/>
  <c r="I1928" i="1"/>
  <c r="G1928" i="1"/>
  <c r="F1928" i="1"/>
  <c r="E1928" i="1"/>
  <c r="D1928" i="1"/>
  <c r="C1928" i="1"/>
  <c r="H1928" i="1" s="1"/>
  <c r="M1927" i="1"/>
  <c r="L1927" i="1"/>
  <c r="K1927" i="1"/>
  <c r="J1927" i="1"/>
  <c r="I1927" i="1"/>
  <c r="G1927" i="1"/>
  <c r="H1927" i="1" s="1"/>
  <c r="F1927" i="1"/>
  <c r="E1927" i="1"/>
  <c r="D1927" i="1"/>
  <c r="C1927" i="1"/>
  <c r="M1926" i="1"/>
  <c r="L1926" i="1"/>
  <c r="K1926" i="1"/>
  <c r="J1926" i="1"/>
  <c r="I1926" i="1"/>
  <c r="H1926" i="1"/>
  <c r="G1926" i="1"/>
  <c r="F1926" i="1"/>
  <c r="E1926" i="1"/>
  <c r="D1926" i="1"/>
  <c r="C1926" i="1"/>
  <c r="M1925" i="1"/>
  <c r="L1925" i="1"/>
  <c r="K1925" i="1"/>
  <c r="J1925" i="1"/>
  <c r="I1925" i="1"/>
  <c r="G1925" i="1"/>
  <c r="F1925" i="1"/>
  <c r="E1925" i="1"/>
  <c r="D1925" i="1"/>
  <c r="C1925" i="1"/>
  <c r="M1924" i="1"/>
  <c r="L1924" i="1"/>
  <c r="K1924" i="1"/>
  <c r="J1924" i="1"/>
  <c r="I1924" i="1"/>
  <c r="G1924" i="1"/>
  <c r="H1924" i="1" s="1"/>
  <c r="F1924" i="1"/>
  <c r="E1924" i="1"/>
  <c r="D1924" i="1"/>
  <c r="C1924" i="1"/>
  <c r="M1923" i="1"/>
  <c r="L1923" i="1"/>
  <c r="K1923" i="1"/>
  <c r="J1923" i="1"/>
  <c r="I1923" i="1"/>
  <c r="H1923" i="1"/>
  <c r="G1923" i="1"/>
  <c r="F1923" i="1"/>
  <c r="E1923" i="1"/>
  <c r="D1923" i="1"/>
  <c r="C1923" i="1"/>
  <c r="M1922" i="1"/>
  <c r="L1922" i="1"/>
  <c r="K1922" i="1"/>
  <c r="J1922" i="1"/>
  <c r="I1922" i="1"/>
  <c r="G1922" i="1"/>
  <c r="F1922" i="1"/>
  <c r="E1922" i="1"/>
  <c r="D1922" i="1"/>
  <c r="C1922" i="1"/>
  <c r="H1922" i="1" s="1"/>
  <c r="M1921" i="1"/>
  <c r="L1921" i="1"/>
  <c r="K1921" i="1"/>
  <c r="J1921" i="1"/>
  <c r="I1921" i="1"/>
  <c r="G1921" i="1"/>
  <c r="F1921" i="1"/>
  <c r="E1921" i="1"/>
  <c r="D1921" i="1"/>
  <c r="C1921" i="1"/>
  <c r="H1921" i="1" s="1"/>
  <c r="M1920" i="1"/>
  <c r="L1920" i="1"/>
  <c r="K1920" i="1"/>
  <c r="J1920" i="1"/>
  <c r="I1920" i="1"/>
  <c r="H1920" i="1"/>
  <c r="G1920" i="1"/>
  <c r="F1920" i="1"/>
  <c r="E1920" i="1"/>
  <c r="D1920" i="1"/>
  <c r="C1920" i="1"/>
  <c r="M1919" i="1"/>
  <c r="L1919" i="1"/>
  <c r="K1919" i="1"/>
  <c r="J1919" i="1"/>
  <c r="I1919" i="1"/>
  <c r="G1919" i="1"/>
  <c r="F1919" i="1"/>
  <c r="E1919" i="1"/>
  <c r="D1919" i="1"/>
  <c r="C1919" i="1"/>
  <c r="M1918" i="1"/>
  <c r="L1918" i="1"/>
  <c r="K1918" i="1"/>
  <c r="J1918" i="1"/>
  <c r="I1918" i="1"/>
  <c r="H1918" i="1"/>
  <c r="G1918" i="1"/>
  <c r="F1918" i="1"/>
  <c r="E1918" i="1"/>
  <c r="D1918" i="1"/>
  <c r="C1918" i="1"/>
  <c r="M1917" i="1"/>
  <c r="L1917" i="1"/>
  <c r="K1917" i="1"/>
  <c r="J1917" i="1"/>
  <c r="I1917" i="1"/>
  <c r="H1917" i="1"/>
  <c r="G1917" i="1"/>
  <c r="F1917" i="1"/>
  <c r="E1917" i="1"/>
  <c r="D1917" i="1"/>
  <c r="C1917" i="1"/>
  <c r="M1916" i="1"/>
  <c r="L1916" i="1"/>
  <c r="K1916" i="1"/>
  <c r="J1916" i="1"/>
  <c r="I1916" i="1"/>
  <c r="G1916" i="1"/>
  <c r="F1916" i="1"/>
  <c r="E1916" i="1"/>
  <c r="D1916" i="1"/>
  <c r="C1916" i="1"/>
  <c r="M1915" i="1"/>
  <c r="L1915" i="1"/>
  <c r="K1915" i="1"/>
  <c r="J1915" i="1"/>
  <c r="I1915" i="1"/>
  <c r="H1915" i="1"/>
  <c r="G1915" i="1"/>
  <c r="F1915" i="1"/>
  <c r="E1915" i="1"/>
  <c r="D1915" i="1"/>
  <c r="C1915" i="1"/>
  <c r="M1914" i="1"/>
  <c r="L1914" i="1"/>
  <c r="K1914" i="1"/>
  <c r="J1914" i="1"/>
  <c r="I1914" i="1"/>
  <c r="H1914" i="1"/>
  <c r="G1914" i="1"/>
  <c r="F1914" i="1"/>
  <c r="E1914" i="1"/>
  <c r="D1914" i="1"/>
  <c r="C1914" i="1"/>
  <c r="M1913" i="1"/>
  <c r="L1913" i="1"/>
  <c r="K1913" i="1"/>
  <c r="J1913" i="1"/>
  <c r="I1913" i="1"/>
  <c r="G1913" i="1"/>
  <c r="F1913" i="1"/>
  <c r="E1913" i="1"/>
  <c r="D1913" i="1"/>
  <c r="C1913" i="1"/>
  <c r="M1912" i="1"/>
  <c r="L1912" i="1"/>
  <c r="K1912" i="1"/>
  <c r="J1912" i="1"/>
  <c r="I1912" i="1"/>
  <c r="G1912" i="1"/>
  <c r="F1912" i="1"/>
  <c r="E1912" i="1"/>
  <c r="D1912" i="1"/>
  <c r="C1912" i="1"/>
  <c r="H1912" i="1" s="1"/>
  <c r="M1911" i="1"/>
  <c r="L1911" i="1"/>
  <c r="K1911" i="1"/>
  <c r="J1911" i="1"/>
  <c r="I1911" i="1"/>
  <c r="G1911" i="1"/>
  <c r="F1911" i="1"/>
  <c r="E1911" i="1"/>
  <c r="D1911" i="1"/>
  <c r="C1911" i="1"/>
  <c r="H1911" i="1" s="1"/>
  <c r="M1910" i="1"/>
  <c r="L1910" i="1"/>
  <c r="K1910" i="1"/>
  <c r="J1910" i="1"/>
  <c r="I1910" i="1"/>
  <c r="G1910" i="1"/>
  <c r="H1910" i="1" s="1"/>
  <c r="F1910" i="1"/>
  <c r="E1910" i="1"/>
  <c r="D1910" i="1"/>
  <c r="C1910" i="1"/>
  <c r="M1909" i="1"/>
  <c r="L1909" i="1"/>
  <c r="K1909" i="1"/>
  <c r="J1909" i="1"/>
  <c r="I1909" i="1"/>
  <c r="G1909" i="1"/>
  <c r="F1909" i="1"/>
  <c r="E1909" i="1"/>
  <c r="D1909" i="1"/>
  <c r="C1909" i="1"/>
  <c r="H1909" i="1" s="1"/>
  <c r="M1908" i="1"/>
  <c r="L1908" i="1"/>
  <c r="K1908" i="1"/>
  <c r="J1908" i="1"/>
  <c r="I1908" i="1"/>
  <c r="H1908" i="1"/>
  <c r="G1908" i="1"/>
  <c r="F1908" i="1"/>
  <c r="E1908" i="1"/>
  <c r="D1908" i="1"/>
  <c r="C1908" i="1"/>
  <c r="M1907" i="1"/>
  <c r="L1907" i="1"/>
  <c r="K1907" i="1"/>
  <c r="J1907" i="1"/>
  <c r="I1907" i="1"/>
  <c r="G1907" i="1"/>
  <c r="H1907" i="1" s="1"/>
  <c r="F1907" i="1"/>
  <c r="E1907" i="1"/>
  <c r="D1907" i="1"/>
  <c r="C1907" i="1"/>
  <c r="M1906" i="1"/>
  <c r="L1906" i="1"/>
  <c r="K1906" i="1"/>
  <c r="J1906" i="1"/>
  <c r="I1906" i="1"/>
  <c r="G1906" i="1"/>
  <c r="F1906" i="1"/>
  <c r="E1906" i="1"/>
  <c r="D1906" i="1"/>
  <c r="C1906" i="1"/>
  <c r="H1906" i="1" s="1"/>
  <c r="M1905" i="1"/>
  <c r="L1905" i="1"/>
  <c r="K1905" i="1"/>
  <c r="J1905" i="1"/>
  <c r="I1905" i="1"/>
  <c r="H1905" i="1"/>
  <c r="G1905" i="1"/>
  <c r="F1905" i="1"/>
  <c r="E1905" i="1"/>
  <c r="D1905" i="1"/>
  <c r="C1905" i="1"/>
  <c r="M1904" i="1"/>
  <c r="L1904" i="1"/>
  <c r="K1904" i="1"/>
  <c r="J1904" i="1"/>
  <c r="I1904" i="1"/>
  <c r="G1904" i="1"/>
  <c r="H1904" i="1" s="1"/>
  <c r="F1904" i="1"/>
  <c r="E1904" i="1"/>
  <c r="D1904" i="1"/>
  <c r="C1904" i="1"/>
  <c r="M1903" i="1"/>
  <c r="L1903" i="1"/>
  <c r="K1903" i="1"/>
  <c r="J1903" i="1"/>
  <c r="I1903" i="1"/>
  <c r="G1903" i="1"/>
  <c r="H1903" i="1" s="1"/>
  <c r="F1903" i="1"/>
  <c r="E1903" i="1"/>
  <c r="D1903" i="1"/>
  <c r="C1903" i="1"/>
  <c r="M1902" i="1"/>
  <c r="L1902" i="1"/>
  <c r="K1902" i="1"/>
  <c r="J1902" i="1"/>
  <c r="I1902" i="1"/>
  <c r="H1902" i="1"/>
  <c r="G1902" i="1"/>
  <c r="F1902" i="1"/>
  <c r="E1902" i="1"/>
  <c r="D1902" i="1"/>
  <c r="C1902" i="1"/>
  <c r="M1901" i="1"/>
  <c r="L1901" i="1"/>
  <c r="K1901" i="1"/>
  <c r="J1901" i="1"/>
  <c r="I1901" i="1"/>
  <c r="G1901" i="1"/>
  <c r="H1901" i="1" s="1"/>
  <c r="F1901" i="1"/>
  <c r="E1901" i="1"/>
  <c r="D1901" i="1"/>
  <c r="C1901" i="1"/>
  <c r="M1900" i="1"/>
  <c r="L1900" i="1"/>
  <c r="K1900" i="1"/>
  <c r="J1900" i="1"/>
  <c r="I1900" i="1"/>
  <c r="H1900" i="1"/>
  <c r="G1900" i="1"/>
  <c r="F1900" i="1"/>
  <c r="E1900" i="1"/>
  <c r="D1900" i="1"/>
  <c r="C1900" i="1"/>
  <c r="M1899" i="1"/>
  <c r="L1899" i="1"/>
  <c r="K1899" i="1"/>
  <c r="J1899" i="1"/>
  <c r="I1899" i="1"/>
  <c r="G1899" i="1"/>
  <c r="F1899" i="1"/>
  <c r="E1899" i="1"/>
  <c r="D1899" i="1"/>
  <c r="C1899" i="1"/>
  <c r="M1898" i="1"/>
  <c r="L1898" i="1"/>
  <c r="K1898" i="1"/>
  <c r="J1898" i="1"/>
  <c r="I1898" i="1"/>
  <c r="G1898" i="1"/>
  <c r="H1898" i="1" s="1"/>
  <c r="F1898" i="1"/>
  <c r="E1898" i="1"/>
  <c r="D1898" i="1"/>
  <c r="C1898" i="1"/>
  <c r="M1897" i="1"/>
  <c r="L1897" i="1"/>
  <c r="K1897" i="1"/>
  <c r="J1897" i="1"/>
  <c r="I1897" i="1"/>
  <c r="G1897" i="1"/>
  <c r="H1897" i="1" s="1"/>
  <c r="F1897" i="1"/>
  <c r="E1897" i="1"/>
  <c r="D1897" i="1"/>
  <c r="C1897" i="1"/>
  <c r="M1896" i="1"/>
  <c r="L1896" i="1"/>
  <c r="K1896" i="1"/>
  <c r="J1896" i="1"/>
  <c r="I1896" i="1"/>
  <c r="G1896" i="1"/>
  <c r="H1896" i="1" s="1"/>
  <c r="F1896" i="1"/>
  <c r="E1896" i="1"/>
  <c r="D1896" i="1"/>
  <c r="C1896" i="1"/>
  <c r="M1895" i="1"/>
  <c r="L1895" i="1"/>
  <c r="K1895" i="1"/>
  <c r="J1895" i="1"/>
  <c r="I1895" i="1"/>
  <c r="H1895" i="1"/>
  <c r="G1895" i="1"/>
  <c r="F1895" i="1"/>
  <c r="E1895" i="1"/>
  <c r="D1895" i="1"/>
  <c r="C1895" i="1"/>
  <c r="M1894" i="1"/>
  <c r="L1894" i="1"/>
  <c r="K1894" i="1"/>
  <c r="J1894" i="1"/>
  <c r="I1894" i="1"/>
  <c r="H1894" i="1"/>
  <c r="G1894" i="1"/>
  <c r="F1894" i="1"/>
  <c r="E1894" i="1"/>
  <c r="D1894" i="1"/>
  <c r="C1894" i="1"/>
  <c r="M1893" i="1"/>
  <c r="L1893" i="1"/>
  <c r="K1893" i="1"/>
  <c r="J1893" i="1"/>
  <c r="I1893" i="1"/>
  <c r="G1893" i="1"/>
  <c r="F1893" i="1"/>
  <c r="E1893" i="1"/>
  <c r="D1893" i="1"/>
  <c r="C1893" i="1"/>
  <c r="H1893" i="1" s="1"/>
  <c r="M1892" i="1"/>
  <c r="L1892" i="1"/>
  <c r="K1892" i="1"/>
  <c r="J1892" i="1"/>
  <c r="I1892" i="1"/>
  <c r="H1892" i="1"/>
  <c r="G1892" i="1"/>
  <c r="F1892" i="1"/>
  <c r="E1892" i="1"/>
  <c r="D1892" i="1"/>
  <c r="C1892" i="1"/>
  <c r="M1891" i="1"/>
  <c r="L1891" i="1"/>
  <c r="K1891" i="1"/>
  <c r="J1891" i="1"/>
  <c r="I1891" i="1"/>
  <c r="H1891" i="1"/>
  <c r="G1891" i="1"/>
  <c r="F1891" i="1"/>
  <c r="E1891" i="1"/>
  <c r="D1891" i="1"/>
  <c r="C1891" i="1"/>
  <c r="M1890" i="1"/>
  <c r="L1890" i="1"/>
  <c r="K1890" i="1"/>
  <c r="J1890" i="1"/>
  <c r="I1890" i="1"/>
  <c r="G1890" i="1"/>
  <c r="F1890" i="1"/>
  <c r="E1890" i="1"/>
  <c r="D1890" i="1"/>
  <c r="C1890" i="1"/>
  <c r="H1890" i="1" s="1"/>
  <c r="M1889" i="1"/>
  <c r="L1889" i="1"/>
  <c r="K1889" i="1"/>
  <c r="J1889" i="1"/>
  <c r="I1889" i="1"/>
  <c r="G1889" i="1"/>
  <c r="H1889" i="1" s="1"/>
  <c r="F1889" i="1"/>
  <c r="E1889" i="1"/>
  <c r="D1889" i="1"/>
  <c r="C1889" i="1"/>
  <c r="M1888" i="1"/>
  <c r="L1888" i="1"/>
  <c r="K1888" i="1"/>
  <c r="J1888" i="1"/>
  <c r="I1888" i="1"/>
  <c r="H1888" i="1"/>
  <c r="G1888" i="1"/>
  <c r="F1888" i="1"/>
  <c r="E1888" i="1"/>
  <c r="D1888" i="1"/>
  <c r="C1888" i="1"/>
  <c r="M1887" i="1"/>
  <c r="L1887" i="1"/>
  <c r="K1887" i="1"/>
  <c r="J1887" i="1"/>
  <c r="I1887" i="1"/>
  <c r="G1887" i="1"/>
  <c r="F1887" i="1"/>
  <c r="E1887" i="1"/>
  <c r="D1887" i="1"/>
  <c r="C1887" i="1"/>
  <c r="M1886" i="1"/>
  <c r="L1886" i="1"/>
  <c r="K1886" i="1"/>
  <c r="J1886" i="1"/>
  <c r="I1886" i="1"/>
  <c r="G1886" i="1"/>
  <c r="H1886" i="1" s="1"/>
  <c r="F1886" i="1"/>
  <c r="E1886" i="1"/>
  <c r="D1886" i="1"/>
  <c r="C1886" i="1"/>
  <c r="M1885" i="1"/>
  <c r="L1885" i="1"/>
  <c r="K1885" i="1"/>
  <c r="J1885" i="1"/>
  <c r="I1885" i="1"/>
  <c r="G1885" i="1"/>
  <c r="H1885" i="1" s="1"/>
  <c r="F1885" i="1"/>
  <c r="E1885" i="1"/>
  <c r="D1885" i="1"/>
  <c r="C1885" i="1"/>
  <c r="M1884" i="1"/>
  <c r="L1884" i="1"/>
  <c r="K1884" i="1"/>
  <c r="J1884" i="1"/>
  <c r="I1884" i="1"/>
  <c r="G1884" i="1"/>
  <c r="F1884" i="1"/>
  <c r="E1884" i="1"/>
  <c r="D1884" i="1"/>
  <c r="C1884" i="1"/>
  <c r="M1883" i="1"/>
  <c r="L1883" i="1"/>
  <c r="K1883" i="1"/>
  <c r="J1883" i="1"/>
  <c r="I1883" i="1"/>
  <c r="G1883" i="1"/>
  <c r="H1883" i="1" s="1"/>
  <c r="F1883" i="1"/>
  <c r="E1883" i="1"/>
  <c r="D1883" i="1"/>
  <c r="C1883" i="1"/>
  <c r="M1882" i="1"/>
  <c r="L1882" i="1"/>
  <c r="K1882" i="1"/>
  <c r="J1882" i="1"/>
  <c r="I1882" i="1"/>
  <c r="G1882" i="1"/>
  <c r="H1882" i="1" s="1"/>
  <c r="F1882" i="1"/>
  <c r="E1882" i="1"/>
  <c r="D1882" i="1"/>
  <c r="C1882" i="1"/>
  <c r="M1881" i="1"/>
  <c r="L1881" i="1"/>
  <c r="K1881" i="1"/>
  <c r="J1881" i="1"/>
  <c r="I1881" i="1"/>
  <c r="G1881" i="1"/>
  <c r="F1881" i="1"/>
  <c r="E1881" i="1"/>
  <c r="D1881" i="1"/>
  <c r="C1881" i="1"/>
  <c r="H1881" i="1" s="1"/>
  <c r="M1880" i="1"/>
  <c r="L1880" i="1"/>
  <c r="K1880" i="1"/>
  <c r="J1880" i="1"/>
  <c r="I1880" i="1"/>
  <c r="G1880" i="1"/>
  <c r="H1880" i="1" s="1"/>
  <c r="F1880" i="1"/>
  <c r="E1880" i="1"/>
  <c r="D1880" i="1"/>
  <c r="C1880" i="1"/>
  <c r="M1879" i="1"/>
  <c r="L1879" i="1"/>
  <c r="K1879" i="1"/>
  <c r="J1879" i="1"/>
  <c r="I1879" i="1"/>
  <c r="G1879" i="1"/>
  <c r="H1879" i="1" s="1"/>
  <c r="F1879" i="1"/>
  <c r="E1879" i="1"/>
  <c r="D1879" i="1"/>
  <c r="C1879" i="1"/>
  <c r="M1878" i="1"/>
  <c r="L1878" i="1"/>
  <c r="K1878" i="1"/>
  <c r="J1878" i="1"/>
  <c r="I1878" i="1"/>
  <c r="G1878" i="1"/>
  <c r="F1878" i="1"/>
  <c r="E1878" i="1"/>
  <c r="D1878" i="1"/>
  <c r="C1878" i="1"/>
  <c r="M1877" i="1"/>
  <c r="L1877" i="1"/>
  <c r="K1877" i="1"/>
  <c r="J1877" i="1"/>
  <c r="I1877" i="1"/>
  <c r="G1877" i="1"/>
  <c r="H1877" i="1" s="1"/>
  <c r="F1877" i="1"/>
  <c r="E1877" i="1"/>
  <c r="D1877" i="1"/>
  <c r="C1877" i="1"/>
  <c r="M1876" i="1"/>
  <c r="L1876" i="1"/>
  <c r="K1876" i="1"/>
  <c r="J1876" i="1"/>
  <c r="I1876" i="1"/>
  <c r="G1876" i="1"/>
  <c r="H1876" i="1" s="1"/>
  <c r="F1876" i="1"/>
  <c r="E1876" i="1"/>
  <c r="D1876" i="1"/>
  <c r="C1876" i="1"/>
  <c r="M1875" i="1"/>
  <c r="L1875" i="1"/>
  <c r="K1875" i="1"/>
  <c r="J1875" i="1"/>
  <c r="I1875" i="1"/>
  <c r="G1875" i="1"/>
  <c r="F1875" i="1"/>
  <c r="E1875" i="1"/>
  <c r="D1875" i="1"/>
  <c r="C1875" i="1"/>
  <c r="H1875" i="1" s="1"/>
  <c r="M1874" i="1"/>
  <c r="L1874" i="1"/>
  <c r="K1874" i="1"/>
  <c r="J1874" i="1"/>
  <c r="I1874" i="1"/>
  <c r="H1874" i="1"/>
  <c r="G1874" i="1"/>
  <c r="F1874" i="1"/>
  <c r="E1874" i="1"/>
  <c r="D1874" i="1"/>
  <c r="C1874" i="1"/>
  <c r="M1873" i="1"/>
  <c r="L1873" i="1"/>
  <c r="K1873" i="1"/>
  <c r="J1873" i="1"/>
  <c r="I1873" i="1"/>
  <c r="G1873" i="1"/>
  <c r="H1873" i="1" s="1"/>
  <c r="F1873" i="1"/>
  <c r="E1873" i="1"/>
  <c r="D1873" i="1"/>
  <c r="C1873" i="1"/>
  <c r="M1872" i="1"/>
  <c r="L1872" i="1"/>
  <c r="K1872" i="1"/>
  <c r="J1872" i="1"/>
  <c r="I1872" i="1"/>
  <c r="G1872" i="1"/>
  <c r="F1872" i="1"/>
  <c r="E1872" i="1"/>
  <c r="D1872" i="1"/>
  <c r="C1872" i="1"/>
  <c r="M1871" i="1"/>
  <c r="L1871" i="1"/>
  <c r="K1871" i="1"/>
  <c r="J1871" i="1"/>
  <c r="I1871" i="1"/>
  <c r="G1871" i="1"/>
  <c r="F1871" i="1"/>
  <c r="E1871" i="1"/>
  <c r="D1871" i="1"/>
  <c r="C1871" i="1"/>
  <c r="M1870" i="1"/>
  <c r="L1870" i="1"/>
  <c r="K1870" i="1"/>
  <c r="J1870" i="1"/>
  <c r="I1870" i="1"/>
  <c r="H1870" i="1"/>
  <c r="G1870" i="1"/>
  <c r="F1870" i="1"/>
  <c r="E1870" i="1"/>
  <c r="D1870" i="1"/>
  <c r="C1870" i="1"/>
  <c r="M1869" i="1"/>
  <c r="L1869" i="1"/>
  <c r="K1869" i="1"/>
  <c r="J1869" i="1"/>
  <c r="I1869" i="1"/>
  <c r="G1869" i="1"/>
  <c r="H1869" i="1" s="1"/>
  <c r="F1869" i="1"/>
  <c r="E1869" i="1"/>
  <c r="D1869" i="1"/>
  <c r="C1869" i="1"/>
  <c r="M1868" i="1"/>
  <c r="L1868" i="1"/>
  <c r="K1868" i="1"/>
  <c r="J1868" i="1"/>
  <c r="I1868" i="1"/>
  <c r="G1868" i="1"/>
  <c r="F1868" i="1"/>
  <c r="E1868" i="1"/>
  <c r="D1868" i="1"/>
  <c r="C1868" i="1"/>
  <c r="H1868" i="1" s="1"/>
  <c r="M1867" i="1"/>
  <c r="L1867" i="1"/>
  <c r="K1867" i="1"/>
  <c r="J1867" i="1"/>
  <c r="I1867" i="1"/>
  <c r="G1867" i="1"/>
  <c r="H1867" i="1" s="1"/>
  <c r="F1867" i="1"/>
  <c r="E1867" i="1"/>
  <c r="D1867" i="1"/>
  <c r="C1867" i="1"/>
  <c r="M1866" i="1"/>
  <c r="L1866" i="1"/>
  <c r="K1866" i="1"/>
  <c r="J1866" i="1"/>
  <c r="I1866" i="1"/>
  <c r="G1866" i="1"/>
  <c r="H1866" i="1" s="1"/>
  <c r="F1866" i="1"/>
  <c r="E1866" i="1"/>
  <c r="D1866" i="1"/>
  <c r="C1866" i="1"/>
  <c r="M1865" i="1"/>
  <c r="L1865" i="1"/>
  <c r="K1865" i="1"/>
  <c r="J1865" i="1"/>
  <c r="I1865" i="1"/>
  <c r="G1865" i="1"/>
  <c r="F1865" i="1"/>
  <c r="E1865" i="1"/>
  <c r="D1865" i="1"/>
  <c r="C1865" i="1"/>
  <c r="M1864" i="1"/>
  <c r="L1864" i="1"/>
  <c r="K1864" i="1"/>
  <c r="J1864" i="1"/>
  <c r="I1864" i="1"/>
  <c r="H1864" i="1"/>
  <c r="G1864" i="1"/>
  <c r="F1864" i="1"/>
  <c r="E1864" i="1"/>
  <c r="D1864" i="1"/>
  <c r="C1864" i="1"/>
  <c r="M1863" i="1"/>
  <c r="L1863" i="1"/>
  <c r="K1863" i="1"/>
  <c r="J1863" i="1"/>
  <c r="I1863" i="1"/>
  <c r="G1863" i="1"/>
  <c r="F1863" i="1"/>
  <c r="E1863" i="1"/>
  <c r="D1863" i="1"/>
  <c r="C1863" i="1"/>
  <c r="M1862" i="1"/>
  <c r="L1862" i="1"/>
  <c r="K1862" i="1"/>
  <c r="J1862" i="1"/>
  <c r="I1862" i="1"/>
  <c r="G1862" i="1"/>
  <c r="F1862" i="1"/>
  <c r="E1862" i="1"/>
  <c r="D1862" i="1"/>
  <c r="C1862" i="1"/>
  <c r="H1862" i="1" s="1"/>
  <c r="M1861" i="1"/>
  <c r="L1861" i="1"/>
  <c r="K1861" i="1"/>
  <c r="J1861" i="1"/>
  <c r="I1861" i="1"/>
  <c r="G1861" i="1"/>
  <c r="H1861" i="1" s="1"/>
  <c r="F1861" i="1"/>
  <c r="E1861" i="1"/>
  <c r="D1861" i="1"/>
  <c r="C1861" i="1"/>
  <c r="M1860" i="1"/>
  <c r="L1860" i="1"/>
  <c r="K1860" i="1"/>
  <c r="J1860" i="1"/>
  <c r="I1860" i="1"/>
  <c r="G1860" i="1"/>
  <c r="H1860" i="1" s="1"/>
  <c r="F1860" i="1"/>
  <c r="E1860" i="1"/>
  <c r="D1860" i="1"/>
  <c r="C1860" i="1"/>
  <c r="M1859" i="1"/>
  <c r="L1859" i="1"/>
  <c r="K1859" i="1"/>
  <c r="J1859" i="1"/>
  <c r="I1859" i="1"/>
  <c r="G1859" i="1"/>
  <c r="F1859" i="1"/>
  <c r="E1859" i="1"/>
  <c r="D1859" i="1"/>
  <c r="C1859" i="1"/>
  <c r="M1858" i="1"/>
  <c r="L1858" i="1"/>
  <c r="K1858" i="1"/>
  <c r="J1858" i="1"/>
  <c r="I1858" i="1"/>
  <c r="H1858" i="1"/>
  <c r="G1858" i="1"/>
  <c r="F1858" i="1"/>
  <c r="E1858" i="1"/>
  <c r="D1858" i="1"/>
  <c r="C1858" i="1"/>
  <c r="M1857" i="1"/>
  <c r="L1857" i="1"/>
  <c r="K1857" i="1"/>
  <c r="J1857" i="1"/>
  <c r="I1857" i="1"/>
  <c r="G1857" i="1"/>
  <c r="F1857" i="1"/>
  <c r="E1857" i="1"/>
  <c r="D1857" i="1"/>
  <c r="C1857" i="1"/>
  <c r="M1856" i="1"/>
  <c r="L1856" i="1"/>
  <c r="K1856" i="1"/>
  <c r="J1856" i="1"/>
  <c r="I1856" i="1"/>
  <c r="G1856" i="1"/>
  <c r="F1856" i="1"/>
  <c r="E1856" i="1"/>
  <c r="D1856" i="1"/>
  <c r="C1856" i="1"/>
  <c r="M1855" i="1"/>
  <c r="L1855" i="1"/>
  <c r="K1855" i="1"/>
  <c r="J1855" i="1"/>
  <c r="I1855" i="1"/>
  <c r="G1855" i="1"/>
  <c r="H1855" i="1" s="1"/>
  <c r="F1855" i="1"/>
  <c r="E1855" i="1"/>
  <c r="D1855" i="1"/>
  <c r="C1855" i="1"/>
  <c r="M1854" i="1"/>
  <c r="L1854" i="1"/>
  <c r="K1854" i="1"/>
  <c r="J1854" i="1"/>
  <c r="I1854" i="1"/>
  <c r="G1854" i="1"/>
  <c r="H1854" i="1" s="1"/>
  <c r="F1854" i="1"/>
  <c r="E1854" i="1"/>
  <c r="D1854" i="1"/>
  <c r="C1854" i="1"/>
  <c r="M1853" i="1"/>
  <c r="L1853" i="1"/>
  <c r="K1853" i="1"/>
  <c r="J1853" i="1"/>
  <c r="I1853" i="1"/>
  <c r="G1853" i="1"/>
  <c r="H1853" i="1" s="1"/>
  <c r="F1853" i="1"/>
  <c r="E1853" i="1"/>
  <c r="D1853" i="1"/>
  <c r="C1853" i="1"/>
  <c r="M1852" i="1"/>
  <c r="L1852" i="1"/>
  <c r="K1852" i="1"/>
  <c r="J1852" i="1"/>
  <c r="I1852" i="1"/>
  <c r="H1852" i="1"/>
  <c r="G1852" i="1"/>
  <c r="F1852" i="1"/>
  <c r="E1852" i="1"/>
  <c r="D1852" i="1"/>
  <c r="C1852" i="1"/>
  <c r="M1851" i="1"/>
  <c r="L1851" i="1"/>
  <c r="K1851" i="1"/>
  <c r="J1851" i="1"/>
  <c r="I1851" i="1"/>
  <c r="G1851" i="1"/>
  <c r="H1851" i="1" s="1"/>
  <c r="F1851" i="1"/>
  <c r="E1851" i="1"/>
  <c r="D1851" i="1"/>
  <c r="C1851" i="1"/>
  <c r="M1850" i="1"/>
  <c r="L1850" i="1"/>
  <c r="K1850" i="1"/>
  <c r="J1850" i="1"/>
  <c r="I1850" i="1"/>
  <c r="G1850" i="1"/>
  <c r="F1850" i="1"/>
  <c r="E1850" i="1"/>
  <c r="D1850" i="1"/>
  <c r="C1850" i="1"/>
  <c r="H1850" i="1" s="1"/>
  <c r="M1849" i="1"/>
  <c r="L1849" i="1"/>
  <c r="K1849" i="1"/>
  <c r="J1849" i="1"/>
  <c r="I1849" i="1"/>
  <c r="G1849" i="1"/>
  <c r="F1849" i="1"/>
  <c r="E1849" i="1"/>
  <c r="D1849" i="1"/>
  <c r="C1849" i="1"/>
  <c r="H1849" i="1" s="1"/>
  <c r="M1848" i="1"/>
  <c r="L1848" i="1"/>
  <c r="K1848" i="1"/>
  <c r="J1848" i="1"/>
  <c r="I1848" i="1"/>
  <c r="G1848" i="1"/>
  <c r="H1848" i="1" s="1"/>
  <c r="F1848" i="1"/>
  <c r="E1848" i="1"/>
  <c r="D1848" i="1"/>
  <c r="C1848" i="1"/>
  <c r="M1847" i="1"/>
  <c r="L1847" i="1"/>
  <c r="K1847" i="1"/>
  <c r="J1847" i="1"/>
  <c r="I1847" i="1"/>
  <c r="G1847" i="1"/>
  <c r="F1847" i="1"/>
  <c r="E1847" i="1"/>
  <c r="D1847" i="1"/>
  <c r="C1847" i="1"/>
  <c r="H1847" i="1" s="1"/>
  <c r="M1846" i="1"/>
  <c r="L1846" i="1"/>
  <c r="K1846" i="1"/>
  <c r="J1846" i="1"/>
  <c r="I1846" i="1"/>
  <c r="G1846" i="1"/>
  <c r="H1846" i="1" s="1"/>
  <c r="F1846" i="1"/>
  <c r="E1846" i="1"/>
  <c r="D1846" i="1"/>
  <c r="C1846" i="1"/>
  <c r="M1845" i="1"/>
  <c r="L1845" i="1"/>
  <c r="K1845" i="1"/>
  <c r="J1845" i="1"/>
  <c r="I1845" i="1"/>
  <c r="H1845" i="1"/>
  <c r="G1845" i="1"/>
  <c r="F1845" i="1"/>
  <c r="E1845" i="1"/>
  <c r="D1845" i="1"/>
  <c r="C1845" i="1"/>
  <c r="M1844" i="1"/>
  <c r="L1844" i="1"/>
  <c r="K1844" i="1"/>
  <c r="J1844" i="1"/>
  <c r="I1844" i="1"/>
  <c r="G1844" i="1"/>
  <c r="F1844" i="1"/>
  <c r="E1844" i="1"/>
  <c r="D1844" i="1"/>
  <c r="C1844" i="1"/>
  <c r="H1844" i="1" s="1"/>
  <c r="M1843" i="1"/>
  <c r="L1843" i="1"/>
  <c r="K1843" i="1"/>
  <c r="J1843" i="1"/>
  <c r="I1843" i="1"/>
  <c r="H1843" i="1"/>
  <c r="G1843" i="1"/>
  <c r="F1843" i="1"/>
  <c r="E1843" i="1"/>
  <c r="D1843" i="1"/>
  <c r="C1843" i="1"/>
  <c r="M1842" i="1"/>
  <c r="L1842" i="1"/>
  <c r="K1842" i="1"/>
  <c r="J1842" i="1"/>
  <c r="I1842" i="1"/>
  <c r="G1842" i="1"/>
  <c r="F1842" i="1"/>
  <c r="E1842" i="1"/>
  <c r="D1842" i="1"/>
  <c r="C1842" i="1"/>
  <c r="H1842" i="1" s="1"/>
  <c r="M1841" i="1"/>
  <c r="L1841" i="1"/>
  <c r="K1841" i="1"/>
  <c r="J1841" i="1"/>
  <c r="I1841" i="1"/>
  <c r="G1841" i="1"/>
  <c r="H1841" i="1" s="1"/>
  <c r="F1841" i="1"/>
  <c r="E1841" i="1"/>
  <c r="D1841" i="1"/>
  <c r="C1841" i="1"/>
  <c r="M1840" i="1"/>
  <c r="L1840" i="1"/>
  <c r="K1840" i="1"/>
  <c r="J1840" i="1"/>
  <c r="I1840" i="1"/>
  <c r="G1840" i="1"/>
  <c r="H1840" i="1" s="1"/>
  <c r="F1840" i="1"/>
  <c r="E1840" i="1"/>
  <c r="D1840" i="1"/>
  <c r="C1840" i="1"/>
  <c r="M1839" i="1"/>
  <c r="L1839" i="1"/>
  <c r="K1839" i="1"/>
  <c r="J1839" i="1"/>
  <c r="I1839" i="1"/>
  <c r="G1839" i="1"/>
  <c r="F1839" i="1"/>
  <c r="E1839" i="1"/>
  <c r="D1839" i="1"/>
  <c r="C1839" i="1"/>
  <c r="M1838" i="1"/>
  <c r="L1838" i="1"/>
  <c r="K1838" i="1"/>
  <c r="J1838" i="1"/>
  <c r="I1838" i="1"/>
  <c r="H1838" i="1"/>
  <c r="G1838" i="1"/>
  <c r="F1838" i="1"/>
  <c r="E1838" i="1"/>
  <c r="D1838" i="1"/>
  <c r="C1838" i="1"/>
  <c r="M1837" i="1"/>
  <c r="L1837" i="1"/>
  <c r="K1837" i="1"/>
  <c r="J1837" i="1"/>
  <c r="I1837" i="1"/>
  <c r="G1837" i="1"/>
  <c r="H1837" i="1" s="1"/>
  <c r="F1837" i="1"/>
  <c r="E1837" i="1"/>
  <c r="D1837" i="1"/>
  <c r="C1837" i="1"/>
  <c r="M1836" i="1"/>
  <c r="L1836" i="1"/>
  <c r="K1836" i="1"/>
  <c r="J1836" i="1"/>
  <c r="I1836" i="1"/>
  <c r="G1836" i="1"/>
  <c r="H1836" i="1" s="1"/>
  <c r="F1836" i="1"/>
  <c r="E1836" i="1"/>
  <c r="D1836" i="1"/>
  <c r="C1836" i="1"/>
  <c r="M1835" i="1"/>
  <c r="L1835" i="1"/>
  <c r="K1835" i="1"/>
  <c r="J1835" i="1"/>
  <c r="I1835" i="1"/>
  <c r="G1835" i="1"/>
  <c r="F1835" i="1"/>
  <c r="E1835" i="1"/>
  <c r="D1835" i="1"/>
  <c r="C1835" i="1"/>
  <c r="H1835" i="1" s="1"/>
  <c r="M1834" i="1"/>
  <c r="L1834" i="1"/>
  <c r="K1834" i="1"/>
  <c r="J1834" i="1"/>
  <c r="I1834" i="1"/>
  <c r="G1834" i="1"/>
  <c r="H1834" i="1" s="1"/>
  <c r="F1834" i="1"/>
  <c r="E1834" i="1"/>
  <c r="D1834" i="1"/>
  <c r="C1834" i="1"/>
  <c r="M1833" i="1"/>
  <c r="L1833" i="1"/>
  <c r="K1833" i="1"/>
  <c r="J1833" i="1"/>
  <c r="I1833" i="1"/>
  <c r="G1833" i="1"/>
  <c r="F1833" i="1"/>
  <c r="E1833" i="1"/>
  <c r="D1833" i="1"/>
  <c r="C1833" i="1"/>
  <c r="H1833" i="1" s="1"/>
  <c r="M1832" i="1"/>
  <c r="L1832" i="1"/>
  <c r="K1832" i="1"/>
  <c r="J1832" i="1"/>
  <c r="I1832" i="1"/>
  <c r="G1832" i="1"/>
  <c r="H1832" i="1" s="1"/>
  <c r="F1832" i="1"/>
  <c r="E1832" i="1"/>
  <c r="D1832" i="1"/>
  <c r="C1832" i="1"/>
  <c r="M1831" i="1"/>
  <c r="L1831" i="1"/>
  <c r="K1831" i="1"/>
  <c r="J1831" i="1"/>
  <c r="I1831" i="1"/>
  <c r="G1831" i="1"/>
  <c r="H1831" i="1" s="1"/>
  <c r="F1831" i="1"/>
  <c r="E1831" i="1"/>
  <c r="D1831" i="1"/>
  <c r="C1831" i="1"/>
  <c r="M1830" i="1"/>
  <c r="L1830" i="1"/>
  <c r="K1830" i="1"/>
  <c r="J1830" i="1"/>
  <c r="I1830" i="1"/>
  <c r="G1830" i="1"/>
  <c r="F1830" i="1"/>
  <c r="E1830" i="1"/>
  <c r="D1830" i="1"/>
  <c r="C1830" i="1"/>
  <c r="H1830" i="1" s="1"/>
  <c r="M1829" i="1"/>
  <c r="L1829" i="1"/>
  <c r="K1829" i="1"/>
  <c r="J1829" i="1"/>
  <c r="I1829" i="1"/>
  <c r="G1829" i="1"/>
  <c r="H1829" i="1" s="1"/>
  <c r="F1829" i="1"/>
  <c r="E1829" i="1"/>
  <c r="D1829" i="1"/>
  <c r="C1829" i="1"/>
  <c r="M1828" i="1"/>
  <c r="L1828" i="1"/>
  <c r="K1828" i="1"/>
  <c r="J1828" i="1"/>
  <c r="I1828" i="1"/>
  <c r="G1828" i="1"/>
  <c r="H1828" i="1" s="1"/>
  <c r="F1828" i="1"/>
  <c r="E1828" i="1"/>
  <c r="D1828" i="1"/>
  <c r="C1828" i="1"/>
  <c r="M1827" i="1"/>
  <c r="L1827" i="1"/>
  <c r="K1827" i="1"/>
  <c r="J1827" i="1"/>
  <c r="I1827" i="1"/>
  <c r="G1827" i="1"/>
  <c r="H1827" i="1" s="1"/>
  <c r="F1827" i="1"/>
  <c r="E1827" i="1"/>
  <c r="D1827" i="1"/>
  <c r="C1827" i="1"/>
  <c r="M1826" i="1"/>
  <c r="L1826" i="1"/>
  <c r="K1826" i="1"/>
  <c r="J1826" i="1"/>
  <c r="I1826" i="1"/>
  <c r="H1826" i="1"/>
  <c r="G1826" i="1"/>
  <c r="F1826" i="1"/>
  <c r="E1826" i="1"/>
  <c r="D1826" i="1"/>
  <c r="C1826" i="1"/>
  <c r="M1825" i="1"/>
  <c r="L1825" i="1"/>
  <c r="K1825" i="1"/>
  <c r="J1825" i="1"/>
  <c r="I1825" i="1"/>
  <c r="G1825" i="1"/>
  <c r="H1825" i="1" s="1"/>
  <c r="F1825" i="1"/>
  <c r="E1825" i="1"/>
  <c r="D1825" i="1"/>
  <c r="C1825" i="1"/>
  <c r="M1824" i="1"/>
  <c r="L1824" i="1"/>
  <c r="K1824" i="1"/>
  <c r="J1824" i="1"/>
  <c r="I1824" i="1"/>
  <c r="H1824" i="1"/>
  <c r="G1824" i="1"/>
  <c r="F1824" i="1"/>
  <c r="E1824" i="1"/>
  <c r="D1824" i="1"/>
  <c r="C1824" i="1"/>
  <c r="M1823" i="1"/>
  <c r="L1823" i="1"/>
  <c r="K1823" i="1"/>
  <c r="J1823" i="1"/>
  <c r="I1823" i="1"/>
  <c r="G1823" i="1"/>
  <c r="H1823" i="1" s="1"/>
  <c r="F1823" i="1"/>
  <c r="E1823" i="1"/>
  <c r="D1823" i="1"/>
  <c r="C1823" i="1"/>
  <c r="M1822" i="1"/>
  <c r="L1822" i="1"/>
  <c r="K1822" i="1"/>
  <c r="J1822" i="1"/>
  <c r="I1822" i="1"/>
  <c r="G1822" i="1"/>
  <c r="H1822" i="1" s="1"/>
  <c r="F1822" i="1"/>
  <c r="E1822" i="1"/>
  <c r="D1822" i="1"/>
  <c r="C1822" i="1"/>
  <c r="M1821" i="1"/>
  <c r="L1821" i="1"/>
  <c r="K1821" i="1"/>
  <c r="J1821" i="1"/>
  <c r="I1821" i="1"/>
  <c r="H1821" i="1"/>
  <c r="G1821" i="1"/>
  <c r="F1821" i="1"/>
  <c r="E1821" i="1"/>
  <c r="D1821" i="1"/>
  <c r="C1821" i="1"/>
  <c r="M1820" i="1"/>
  <c r="L1820" i="1"/>
  <c r="K1820" i="1"/>
  <c r="J1820" i="1"/>
  <c r="I1820" i="1"/>
  <c r="G1820" i="1"/>
  <c r="F1820" i="1"/>
  <c r="E1820" i="1"/>
  <c r="D1820" i="1"/>
  <c r="C1820" i="1"/>
  <c r="H1820" i="1" s="1"/>
  <c r="M1819" i="1"/>
  <c r="L1819" i="1"/>
  <c r="K1819" i="1"/>
  <c r="J1819" i="1"/>
  <c r="I1819" i="1"/>
  <c r="H1819" i="1"/>
  <c r="G1819" i="1"/>
  <c r="F1819" i="1"/>
  <c r="E1819" i="1"/>
  <c r="D1819" i="1"/>
  <c r="C1819" i="1"/>
  <c r="M1818" i="1"/>
  <c r="L1818" i="1"/>
  <c r="K1818" i="1"/>
  <c r="J1818" i="1"/>
  <c r="I1818" i="1"/>
  <c r="G1818" i="1"/>
  <c r="H1818" i="1" s="1"/>
  <c r="F1818" i="1"/>
  <c r="E1818" i="1"/>
  <c r="D1818" i="1"/>
  <c r="C1818" i="1"/>
  <c r="M1817" i="1"/>
  <c r="L1817" i="1"/>
  <c r="K1817" i="1"/>
  <c r="J1817" i="1"/>
  <c r="I1817" i="1"/>
  <c r="H1817" i="1"/>
  <c r="G1817" i="1"/>
  <c r="F1817" i="1"/>
  <c r="E1817" i="1"/>
  <c r="D1817" i="1"/>
  <c r="C1817" i="1"/>
  <c r="M1816" i="1"/>
  <c r="L1816" i="1"/>
  <c r="K1816" i="1"/>
  <c r="J1816" i="1"/>
  <c r="I1816" i="1"/>
  <c r="H1816" i="1"/>
  <c r="G1816" i="1"/>
  <c r="F1816" i="1"/>
  <c r="E1816" i="1"/>
  <c r="D1816" i="1"/>
  <c r="C1816" i="1"/>
  <c r="M1815" i="1"/>
  <c r="L1815" i="1"/>
  <c r="K1815" i="1"/>
  <c r="J1815" i="1"/>
  <c r="I1815" i="1"/>
  <c r="H1815" i="1"/>
  <c r="G1815" i="1"/>
  <c r="F1815" i="1"/>
  <c r="E1815" i="1"/>
  <c r="D1815" i="1"/>
  <c r="C1815" i="1"/>
  <c r="M1814" i="1"/>
  <c r="L1814" i="1"/>
  <c r="K1814" i="1"/>
  <c r="J1814" i="1"/>
  <c r="I1814" i="1"/>
  <c r="G1814" i="1"/>
  <c r="F1814" i="1"/>
  <c r="E1814" i="1"/>
  <c r="D1814" i="1"/>
  <c r="C1814" i="1"/>
  <c r="H1814" i="1" s="1"/>
  <c r="M1813" i="1"/>
  <c r="L1813" i="1"/>
  <c r="K1813" i="1"/>
  <c r="J1813" i="1"/>
  <c r="I1813" i="1"/>
  <c r="G1813" i="1"/>
  <c r="F1813" i="1"/>
  <c r="E1813" i="1"/>
  <c r="D1813" i="1"/>
  <c r="C1813" i="1"/>
  <c r="H1813" i="1" s="1"/>
  <c r="M1812" i="1"/>
  <c r="L1812" i="1"/>
  <c r="K1812" i="1"/>
  <c r="J1812" i="1"/>
  <c r="I1812" i="1"/>
  <c r="G1812" i="1"/>
  <c r="H1812" i="1" s="1"/>
  <c r="F1812" i="1"/>
  <c r="E1812" i="1"/>
  <c r="D1812" i="1"/>
  <c r="C1812" i="1"/>
  <c r="M1811" i="1"/>
  <c r="L1811" i="1"/>
  <c r="K1811" i="1"/>
  <c r="J1811" i="1"/>
  <c r="I1811" i="1"/>
  <c r="G1811" i="1"/>
  <c r="F1811" i="1"/>
  <c r="E1811" i="1"/>
  <c r="D1811" i="1"/>
  <c r="C1811" i="1"/>
  <c r="H1811" i="1" s="1"/>
  <c r="M1810" i="1"/>
  <c r="L1810" i="1"/>
  <c r="K1810" i="1"/>
  <c r="J1810" i="1"/>
  <c r="I1810" i="1"/>
  <c r="H1810" i="1"/>
  <c r="G1810" i="1"/>
  <c r="F1810" i="1"/>
  <c r="E1810" i="1"/>
  <c r="D1810" i="1"/>
  <c r="C1810" i="1"/>
  <c r="M1809" i="1"/>
  <c r="L1809" i="1"/>
  <c r="K1809" i="1"/>
  <c r="J1809" i="1"/>
  <c r="I1809" i="1"/>
  <c r="G1809" i="1"/>
  <c r="H1809" i="1" s="1"/>
  <c r="F1809" i="1"/>
  <c r="E1809" i="1"/>
  <c r="D1809" i="1"/>
  <c r="C1809" i="1"/>
  <c r="M1808" i="1"/>
  <c r="L1808" i="1"/>
  <c r="K1808" i="1"/>
  <c r="J1808" i="1"/>
  <c r="I1808" i="1"/>
  <c r="G1808" i="1"/>
  <c r="F1808" i="1"/>
  <c r="E1808" i="1"/>
  <c r="D1808" i="1"/>
  <c r="C1808" i="1"/>
  <c r="M1807" i="1"/>
  <c r="L1807" i="1"/>
  <c r="K1807" i="1"/>
  <c r="J1807" i="1"/>
  <c r="I1807" i="1"/>
  <c r="G1807" i="1"/>
  <c r="H1807" i="1" s="1"/>
  <c r="F1807" i="1"/>
  <c r="E1807" i="1"/>
  <c r="D1807" i="1"/>
  <c r="C1807" i="1"/>
  <c r="M1806" i="1"/>
  <c r="L1806" i="1"/>
  <c r="K1806" i="1"/>
  <c r="J1806" i="1"/>
  <c r="I1806" i="1"/>
  <c r="G1806" i="1"/>
  <c r="H1806" i="1" s="1"/>
  <c r="F1806" i="1"/>
  <c r="E1806" i="1"/>
  <c r="D1806" i="1"/>
  <c r="C1806" i="1"/>
  <c r="M1805" i="1"/>
  <c r="L1805" i="1"/>
  <c r="K1805" i="1"/>
  <c r="J1805" i="1"/>
  <c r="I1805" i="1"/>
  <c r="G1805" i="1"/>
  <c r="F1805" i="1"/>
  <c r="E1805" i="1"/>
  <c r="D1805" i="1"/>
  <c r="C1805" i="1"/>
  <c r="M1804" i="1"/>
  <c r="L1804" i="1"/>
  <c r="K1804" i="1"/>
  <c r="J1804" i="1"/>
  <c r="I1804" i="1"/>
  <c r="H1804" i="1"/>
  <c r="G1804" i="1"/>
  <c r="F1804" i="1"/>
  <c r="E1804" i="1"/>
  <c r="D1804" i="1"/>
  <c r="C1804" i="1"/>
  <c r="M1803" i="1"/>
  <c r="L1803" i="1"/>
  <c r="K1803" i="1"/>
  <c r="J1803" i="1"/>
  <c r="I1803" i="1"/>
  <c r="G1803" i="1"/>
  <c r="H1803" i="1" s="1"/>
  <c r="F1803" i="1"/>
  <c r="E1803" i="1"/>
  <c r="D1803" i="1"/>
  <c r="C1803" i="1"/>
  <c r="M1802" i="1"/>
  <c r="L1802" i="1"/>
  <c r="K1802" i="1"/>
  <c r="J1802" i="1"/>
  <c r="I1802" i="1"/>
  <c r="G1802" i="1"/>
  <c r="F1802" i="1"/>
  <c r="E1802" i="1"/>
  <c r="D1802" i="1"/>
  <c r="C1802" i="1"/>
  <c r="H1802" i="1" s="1"/>
  <c r="M1801" i="1"/>
  <c r="L1801" i="1"/>
  <c r="K1801" i="1"/>
  <c r="J1801" i="1"/>
  <c r="I1801" i="1"/>
  <c r="G1801" i="1"/>
  <c r="F1801" i="1"/>
  <c r="E1801" i="1"/>
  <c r="D1801" i="1"/>
  <c r="C1801" i="1"/>
  <c r="H1801" i="1" s="1"/>
  <c r="M1800" i="1"/>
  <c r="L1800" i="1"/>
  <c r="K1800" i="1"/>
  <c r="J1800" i="1"/>
  <c r="I1800" i="1"/>
  <c r="G1800" i="1"/>
  <c r="H1800" i="1" s="1"/>
  <c r="F1800" i="1"/>
  <c r="E1800" i="1"/>
  <c r="D1800" i="1"/>
  <c r="C1800" i="1"/>
  <c r="M1799" i="1"/>
  <c r="L1799" i="1"/>
  <c r="K1799" i="1"/>
  <c r="J1799" i="1"/>
  <c r="I1799" i="1"/>
  <c r="G1799" i="1"/>
  <c r="F1799" i="1"/>
  <c r="E1799" i="1"/>
  <c r="D1799" i="1"/>
  <c r="C1799" i="1"/>
  <c r="M1798" i="1"/>
  <c r="L1798" i="1"/>
  <c r="K1798" i="1"/>
  <c r="J1798" i="1"/>
  <c r="I1798" i="1"/>
  <c r="H1798" i="1"/>
  <c r="G1798" i="1"/>
  <c r="F1798" i="1"/>
  <c r="E1798" i="1"/>
  <c r="D1798" i="1"/>
  <c r="C1798" i="1"/>
  <c r="M1797" i="1"/>
  <c r="L1797" i="1"/>
  <c r="K1797" i="1"/>
  <c r="J1797" i="1"/>
  <c r="I1797" i="1"/>
  <c r="G1797" i="1"/>
  <c r="H1797" i="1" s="1"/>
  <c r="F1797" i="1"/>
  <c r="E1797" i="1"/>
  <c r="D1797" i="1"/>
  <c r="C1797" i="1"/>
  <c r="M1796" i="1"/>
  <c r="L1796" i="1"/>
  <c r="K1796" i="1"/>
  <c r="J1796" i="1"/>
  <c r="I1796" i="1"/>
  <c r="G1796" i="1"/>
  <c r="H1796" i="1" s="1"/>
  <c r="F1796" i="1"/>
  <c r="E1796" i="1"/>
  <c r="D1796" i="1"/>
  <c r="C1796" i="1"/>
  <c r="M1795" i="1"/>
  <c r="L1795" i="1"/>
  <c r="K1795" i="1"/>
  <c r="J1795" i="1"/>
  <c r="I1795" i="1"/>
  <c r="G1795" i="1"/>
  <c r="F1795" i="1"/>
  <c r="E1795" i="1"/>
  <c r="D1795" i="1"/>
  <c r="C1795" i="1"/>
  <c r="H1795" i="1" s="1"/>
  <c r="M1794" i="1"/>
  <c r="L1794" i="1"/>
  <c r="K1794" i="1"/>
  <c r="J1794" i="1"/>
  <c r="I1794" i="1"/>
  <c r="H1794" i="1"/>
  <c r="G1794" i="1"/>
  <c r="F1794" i="1"/>
  <c r="E1794" i="1"/>
  <c r="D1794" i="1"/>
  <c r="C1794" i="1"/>
  <c r="M1793" i="1"/>
  <c r="L1793" i="1"/>
  <c r="K1793" i="1"/>
  <c r="J1793" i="1"/>
  <c r="I1793" i="1"/>
  <c r="G1793" i="1"/>
  <c r="H1793" i="1" s="1"/>
  <c r="F1793" i="1"/>
  <c r="E1793" i="1"/>
  <c r="D1793" i="1"/>
  <c r="C1793" i="1"/>
  <c r="M1792" i="1"/>
  <c r="L1792" i="1"/>
  <c r="K1792" i="1"/>
  <c r="J1792" i="1"/>
  <c r="I1792" i="1"/>
  <c r="G1792" i="1"/>
  <c r="F1792" i="1"/>
  <c r="E1792" i="1"/>
  <c r="D1792" i="1"/>
  <c r="C1792" i="1"/>
  <c r="H1792" i="1" s="1"/>
  <c r="M1791" i="1"/>
  <c r="L1791" i="1"/>
  <c r="K1791" i="1"/>
  <c r="J1791" i="1"/>
  <c r="I1791" i="1"/>
  <c r="G1791" i="1"/>
  <c r="H1791" i="1" s="1"/>
  <c r="F1791" i="1"/>
  <c r="E1791" i="1"/>
  <c r="D1791" i="1"/>
  <c r="C1791" i="1"/>
  <c r="M1790" i="1"/>
  <c r="L1790" i="1"/>
  <c r="K1790" i="1"/>
  <c r="J1790" i="1"/>
  <c r="I1790" i="1"/>
  <c r="G1790" i="1"/>
  <c r="H1790" i="1" s="1"/>
  <c r="F1790" i="1"/>
  <c r="E1790" i="1"/>
  <c r="D1790" i="1"/>
  <c r="C1790" i="1"/>
  <c r="M1789" i="1"/>
  <c r="L1789" i="1"/>
  <c r="K1789" i="1"/>
  <c r="J1789" i="1"/>
  <c r="I1789" i="1"/>
  <c r="G1789" i="1"/>
  <c r="F1789" i="1"/>
  <c r="E1789" i="1"/>
  <c r="D1789" i="1"/>
  <c r="C1789" i="1"/>
  <c r="H1789" i="1" s="1"/>
  <c r="M1788" i="1"/>
  <c r="L1788" i="1"/>
  <c r="K1788" i="1"/>
  <c r="J1788" i="1"/>
  <c r="I1788" i="1"/>
  <c r="H1788" i="1"/>
  <c r="G1788" i="1"/>
  <c r="F1788" i="1"/>
  <c r="E1788" i="1"/>
  <c r="D1788" i="1"/>
  <c r="C1788" i="1"/>
  <c r="M1787" i="1"/>
  <c r="L1787" i="1"/>
  <c r="K1787" i="1"/>
  <c r="J1787" i="1"/>
  <c r="I1787" i="1"/>
  <c r="G1787" i="1"/>
  <c r="H1787" i="1" s="1"/>
  <c r="F1787" i="1"/>
  <c r="E1787" i="1"/>
  <c r="D1787" i="1"/>
  <c r="C1787" i="1"/>
  <c r="M1786" i="1"/>
  <c r="L1786" i="1"/>
  <c r="K1786" i="1"/>
  <c r="J1786" i="1"/>
  <c r="I1786" i="1"/>
  <c r="G1786" i="1"/>
  <c r="F1786" i="1"/>
  <c r="E1786" i="1"/>
  <c r="D1786" i="1"/>
  <c r="C1786" i="1"/>
  <c r="M1785" i="1"/>
  <c r="L1785" i="1"/>
  <c r="K1785" i="1"/>
  <c r="J1785" i="1"/>
  <c r="I1785" i="1"/>
  <c r="G1785" i="1"/>
  <c r="H1785" i="1" s="1"/>
  <c r="F1785" i="1"/>
  <c r="E1785" i="1"/>
  <c r="D1785" i="1"/>
  <c r="C1785" i="1"/>
  <c r="M1784" i="1"/>
  <c r="L1784" i="1"/>
  <c r="K1784" i="1"/>
  <c r="J1784" i="1"/>
  <c r="I1784" i="1"/>
  <c r="G1784" i="1"/>
  <c r="H1784" i="1" s="1"/>
  <c r="F1784" i="1"/>
  <c r="E1784" i="1"/>
  <c r="D1784" i="1"/>
  <c r="C1784" i="1"/>
  <c r="M1783" i="1"/>
  <c r="L1783" i="1"/>
  <c r="K1783" i="1"/>
  <c r="J1783" i="1"/>
  <c r="I1783" i="1"/>
  <c r="G1783" i="1"/>
  <c r="F1783" i="1"/>
  <c r="E1783" i="1"/>
  <c r="D1783" i="1"/>
  <c r="C1783" i="1"/>
  <c r="H1783" i="1" s="1"/>
  <c r="M1782" i="1"/>
  <c r="L1782" i="1"/>
  <c r="K1782" i="1"/>
  <c r="J1782" i="1"/>
  <c r="I1782" i="1"/>
  <c r="H1782" i="1"/>
  <c r="G1782" i="1"/>
  <c r="F1782" i="1"/>
  <c r="E1782" i="1"/>
  <c r="D1782" i="1"/>
  <c r="C1782" i="1"/>
  <c r="M1781" i="1"/>
  <c r="L1781" i="1"/>
  <c r="K1781" i="1"/>
  <c r="J1781" i="1"/>
  <c r="I1781" i="1"/>
  <c r="G1781" i="1"/>
  <c r="H1781" i="1" s="1"/>
  <c r="F1781" i="1"/>
  <c r="E1781" i="1"/>
  <c r="D1781" i="1"/>
  <c r="C1781" i="1"/>
  <c r="M1780" i="1"/>
  <c r="L1780" i="1"/>
  <c r="K1780" i="1"/>
  <c r="J1780" i="1"/>
  <c r="I1780" i="1"/>
  <c r="G1780" i="1"/>
  <c r="F1780" i="1"/>
  <c r="E1780" i="1"/>
  <c r="D1780" i="1"/>
  <c r="C1780" i="1"/>
  <c r="M1779" i="1"/>
  <c r="L1779" i="1"/>
  <c r="K1779" i="1"/>
  <c r="J1779" i="1"/>
  <c r="I1779" i="1"/>
  <c r="G1779" i="1"/>
  <c r="H1779" i="1" s="1"/>
  <c r="F1779" i="1"/>
  <c r="E1779" i="1"/>
  <c r="D1779" i="1"/>
  <c r="C1779" i="1"/>
  <c r="M1778" i="1"/>
  <c r="L1778" i="1"/>
  <c r="K1778" i="1"/>
  <c r="J1778" i="1"/>
  <c r="I1778" i="1"/>
  <c r="G1778" i="1"/>
  <c r="F1778" i="1"/>
  <c r="E1778" i="1"/>
  <c r="D1778" i="1"/>
  <c r="C1778" i="1"/>
  <c r="H1778" i="1" s="1"/>
  <c r="M1777" i="1"/>
  <c r="L1777" i="1"/>
  <c r="K1777" i="1"/>
  <c r="J1777" i="1"/>
  <c r="I1777" i="1"/>
  <c r="G1777" i="1"/>
  <c r="F1777" i="1"/>
  <c r="E1777" i="1"/>
  <c r="D1777" i="1"/>
  <c r="C1777" i="1"/>
  <c r="M1776" i="1"/>
  <c r="L1776" i="1"/>
  <c r="K1776" i="1"/>
  <c r="J1776" i="1"/>
  <c r="I1776" i="1"/>
  <c r="H1776" i="1"/>
  <c r="G1776" i="1"/>
  <c r="F1776" i="1"/>
  <c r="E1776" i="1"/>
  <c r="D1776" i="1"/>
  <c r="C1776" i="1"/>
  <c r="M1775" i="1"/>
  <c r="L1775" i="1"/>
  <c r="K1775" i="1"/>
  <c r="J1775" i="1"/>
  <c r="I1775" i="1"/>
  <c r="G1775" i="1"/>
  <c r="F1775" i="1"/>
  <c r="E1775" i="1"/>
  <c r="D1775" i="1"/>
  <c r="C1775" i="1"/>
  <c r="M1774" i="1"/>
  <c r="L1774" i="1"/>
  <c r="K1774" i="1"/>
  <c r="J1774" i="1"/>
  <c r="I1774" i="1"/>
  <c r="G1774" i="1"/>
  <c r="H1774" i="1" s="1"/>
  <c r="F1774" i="1"/>
  <c r="E1774" i="1"/>
  <c r="D1774" i="1"/>
  <c r="C1774" i="1"/>
  <c r="M1773" i="1"/>
  <c r="L1773" i="1"/>
  <c r="K1773" i="1"/>
  <c r="J1773" i="1"/>
  <c r="I1773" i="1"/>
  <c r="H1773" i="1"/>
  <c r="G1773" i="1"/>
  <c r="F1773" i="1"/>
  <c r="E1773" i="1"/>
  <c r="D1773" i="1"/>
  <c r="C1773" i="1"/>
  <c r="M1772" i="1"/>
  <c r="L1772" i="1"/>
  <c r="K1772" i="1"/>
  <c r="J1772" i="1"/>
  <c r="I1772" i="1"/>
  <c r="G1772" i="1"/>
  <c r="H1772" i="1" s="1"/>
  <c r="F1772" i="1"/>
  <c r="E1772" i="1"/>
  <c r="D1772" i="1"/>
  <c r="C1772" i="1"/>
  <c r="M1771" i="1"/>
  <c r="L1771" i="1"/>
  <c r="K1771" i="1"/>
  <c r="J1771" i="1"/>
  <c r="I1771" i="1"/>
  <c r="G1771" i="1"/>
  <c r="F1771" i="1"/>
  <c r="E1771" i="1"/>
  <c r="D1771" i="1"/>
  <c r="C1771" i="1"/>
  <c r="M1770" i="1"/>
  <c r="L1770" i="1"/>
  <c r="K1770" i="1"/>
  <c r="J1770" i="1"/>
  <c r="I1770" i="1"/>
  <c r="G1770" i="1"/>
  <c r="F1770" i="1"/>
  <c r="E1770" i="1"/>
  <c r="D1770" i="1"/>
  <c r="C1770" i="1"/>
  <c r="H1770" i="1" s="1"/>
  <c r="M1769" i="1"/>
  <c r="L1769" i="1"/>
  <c r="K1769" i="1"/>
  <c r="J1769" i="1"/>
  <c r="I1769" i="1"/>
  <c r="G1769" i="1"/>
  <c r="H1769" i="1" s="1"/>
  <c r="F1769" i="1"/>
  <c r="E1769" i="1"/>
  <c r="D1769" i="1"/>
  <c r="C1769" i="1"/>
  <c r="M1768" i="1"/>
  <c r="L1768" i="1"/>
  <c r="K1768" i="1"/>
  <c r="J1768" i="1"/>
  <c r="I1768" i="1"/>
  <c r="G1768" i="1"/>
  <c r="H1768" i="1" s="1"/>
  <c r="F1768" i="1"/>
  <c r="E1768" i="1"/>
  <c r="D1768" i="1"/>
  <c r="C1768" i="1"/>
  <c r="M1767" i="1"/>
  <c r="L1767" i="1"/>
  <c r="K1767" i="1"/>
  <c r="J1767" i="1"/>
  <c r="I1767" i="1"/>
  <c r="G1767" i="1"/>
  <c r="H1767" i="1" s="1"/>
  <c r="F1767" i="1"/>
  <c r="E1767" i="1"/>
  <c r="D1767" i="1"/>
  <c r="C1767" i="1"/>
  <c r="M1766" i="1"/>
  <c r="L1766" i="1"/>
  <c r="K1766" i="1"/>
  <c r="J1766" i="1"/>
  <c r="I1766" i="1"/>
  <c r="H1766" i="1"/>
  <c r="G1766" i="1"/>
  <c r="F1766" i="1"/>
  <c r="E1766" i="1"/>
  <c r="D1766" i="1"/>
  <c r="C1766" i="1"/>
  <c r="M1765" i="1"/>
  <c r="L1765" i="1"/>
  <c r="K1765" i="1"/>
  <c r="J1765" i="1"/>
  <c r="I1765" i="1"/>
  <c r="G1765" i="1"/>
  <c r="H1765" i="1" s="1"/>
  <c r="F1765" i="1"/>
  <c r="E1765" i="1"/>
  <c r="D1765" i="1"/>
  <c r="C1765" i="1"/>
  <c r="M1764" i="1"/>
  <c r="L1764" i="1"/>
  <c r="K1764" i="1"/>
  <c r="J1764" i="1"/>
  <c r="I1764" i="1"/>
  <c r="H1764" i="1"/>
  <c r="G1764" i="1"/>
  <c r="F1764" i="1"/>
  <c r="E1764" i="1"/>
  <c r="D1764" i="1"/>
  <c r="C1764" i="1"/>
  <c r="M1763" i="1"/>
  <c r="L1763" i="1"/>
  <c r="K1763" i="1"/>
  <c r="J1763" i="1"/>
  <c r="I1763" i="1"/>
  <c r="G1763" i="1"/>
  <c r="F1763" i="1"/>
  <c r="E1763" i="1"/>
  <c r="D1763" i="1"/>
  <c r="C1763" i="1"/>
  <c r="M1762" i="1"/>
  <c r="L1762" i="1"/>
  <c r="K1762" i="1"/>
  <c r="J1762" i="1"/>
  <c r="I1762" i="1"/>
  <c r="G1762" i="1"/>
  <c r="F1762" i="1"/>
  <c r="E1762" i="1"/>
  <c r="D1762" i="1"/>
  <c r="C1762" i="1"/>
  <c r="H1762" i="1" s="1"/>
  <c r="M1761" i="1"/>
  <c r="L1761" i="1"/>
  <c r="K1761" i="1"/>
  <c r="J1761" i="1"/>
  <c r="I1761" i="1"/>
  <c r="G1761" i="1"/>
  <c r="H1761" i="1" s="1"/>
  <c r="F1761" i="1"/>
  <c r="E1761" i="1"/>
  <c r="D1761" i="1"/>
  <c r="C1761" i="1"/>
  <c r="M1760" i="1"/>
  <c r="L1760" i="1"/>
  <c r="K1760" i="1"/>
  <c r="J1760" i="1"/>
  <c r="I1760" i="1"/>
  <c r="H1760" i="1"/>
  <c r="G1760" i="1"/>
  <c r="F1760" i="1"/>
  <c r="E1760" i="1"/>
  <c r="D1760" i="1"/>
  <c r="C1760" i="1"/>
  <c r="M1759" i="1"/>
  <c r="L1759" i="1"/>
  <c r="K1759" i="1"/>
  <c r="J1759" i="1"/>
  <c r="I1759" i="1"/>
  <c r="G1759" i="1"/>
  <c r="F1759" i="1"/>
  <c r="E1759" i="1"/>
  <c r="D1759" i="1"/>
  <c r="C1759" i="1"/>
  <c r="M1758" i="1"/>
  <c r="L1758" i="1"/>
  <c r="K1758" i="1"/>
  <c r="J1758" i="1"/>
  <c r="I1758" i="1"/>
  <c r="G1758" i="1"/>
  <c r="H1758" i="1" s="1"/>
  <c r="F1758" i="1"/>
  <c r="E1758" i="1"/>
  <c r="D1758" i="1"/>
  <c r="C1758" i="1"/>
  <c r="M1757" i="1"/>
  <c r="L1757" i="1"/>
  <c r="K1757" i="1"/>
  <c r="J1757" i="1"/>
  <c r="I1757" i="1"/>
  <c r="G1757" i="1"/>
  <c r="H1757" i="1" s="1"/>
  <c r="F1757" i="1"/>
  <c r="E1757" i="1"/>
  <c r="D1757" i="1"/>
  <c r="C1757" i="1"/>
  <c r="M1756" i="1"/>
  <c r="L1756" i="1"/>
  <c r="K1756" i="1"/>
  <c r="J1756" i="1"/>
  <c r="I1756" i="1"/>
  <c r="G1756" i="1"/>
  <c r="H1756" i="1" s="1"/>
  <c r="F1756" i="1"/>
  <c r="E1756" i="1"/>
  <c r="D1756" i="1"/>
  <c r="C1756" i="1"/>
  <c r="M1755" i="1"/>
  <c r="L1755" i="1"/>
  <c r="K1755" i="1"/>
  <c r="J1755" i="1"/>
  <c r="I1755" i="1"/>
  <c r="G1755" i="1"/>
  <c r="H1755" i="1" s="1"/>
  <c r="F1755" i="1"/>
  <c r="E1755" i="1"/>
  <c r="D1755" i="1"/>
  <c r="C1755" i="1"/>
  <c r="M1754" i="1"/>
  <c r="L1754" i="1"/>
  <c r="K1754" i="1"/>
  <c r="J1754" i="1"/>
  <c r="I1754" i="1"/>
  <c r="G1754" i="1"/>
  <c r="F1754" i="1"/>
  <c r="E1754" i="1"/>
  <c r="D1754" i="1"/>
  <c r="C1754" i="1"/>
  <c r="H1754" i="1" s="1"/>
  <c r="M1753" i="1"/>
  <c r="L1753" i="1"/>
  <c r="K1753" i="1"/>
  <c r="J1753" i="1"/>
  <c r="I1753" i="1"/>
  <c r="G1753" i="1"/>
  <c r="F1753" i="1"/>
  <c r="E1753" i="1"/>
  <c r="D1753" i="1"/>
  <c r="C1753" i="1"/>
  <c r="H1753" i="1" s="1"/>
  <c r="M1752" i="1"/>
  <c r="L1752" i="1"/>
  <c r="K1752" i="1"/>
  <c r="J1752" i="1"/>
  <c r="I1752" i="1"/>
  <c r="H1752" i="1"/>
  <c r="G1752" i="1"/>
  <c r="F1752" i="1"/>
  <c r="E1752" i="1"/>
  <c r="D1752" i="1"/>
  <c r="C1752" i="1"/>
  <c r="M1751" i="1"/>
  <c r="L1751" i="1"/>
  <c r="K1751" i="1"/>
  <c r="J1751" i="1"/>
  <c r="I1751" i="1"/>
  <c r="G1751" i="1"/>
  <c r="F1751" i="1"/>
  <c r="E1751" i="1"/>
  <c r="D1751" i="1"/>
  <c r="C1751" i="1"/>
  <c r="H1751" i="1" s="1"/>
  <c r="M1750" i="1"/>
  <c r="L1750" i="1"/>
  <c r="K1750" i="1"/>
  <c r="J1750" i="1"/>
  <c r="I1750" i="1"/>
  <c r="H1750" i="1"/>
  <c r="G1750" i="1"/>
  <c r="F1750" i="1"/>
  <c r="E1750" i="1"/>
  <c r="D1750" i="1"/>
  <c r="C1750" i="1"/>
  <c r="M1749" i="1"/>
  <c r="L1749" i="1"/>
  <c r="K1749" i="1"/>
  <c r="J1749" i="1"/>
  <c r="I1749" i="1"/>
  <c r="H1749" i="1"/>
  <c r="G1749" i="1"/>
  <c r="F1749" i="1"/>
  <c r="E1749" i="1"/>
  <c r="D1749" i="1"/>
  <c r="C1749" i="1"/>
  <c r="M1748" i="1"/>
  <c r="L1748" i="1"/>
  <c r="K1748" i="1"/>
  <c r="J1748" i="1"/>
  <c r="I1748" i="1"/>
  <c r="G1748" i="1"/>
  <c r="F1748" i="1"/>
  <c r="E1748" i="1"/>
  <c r="D1748" i="1"/>
  <c r="C1748" i="1"/>
  <c r="M1747" i="1"/>
  <c r="L1747" i="1"/>
  <c r="K1747" i="1"/>
  <c r="J1747" i="1"/>
  <c r="I1747" i="1"/>
  <c r="H1747" i="1"/>
  <c r="G1747" i="1"/>
  <c r="F1747" i="1"/>
  <c r="E1747" i="1"/>
  <c r="D1747" i="1"/>
  <c r="C1747" i="1"/>
  <c r="M1746" i="1"/>
  <c r="L1746" i="1"/>
  <c r="K1746" i="1"/>
  <c r="J1746" i="1"/>
  <c r="I1746" i="1"/>
  <c r="H1746" i="1"/>
  <c r="G1746" i="1"/>
  <c r="F1746" i="1"/>
  <c r="E1746" i="1"/>
  <c r="D1746" i="1"/>
  <c r="C1746" i="1"/>
  <c r="M1745" i="1"/>
  <c r="L1745" i="1"/>
  <c r="K1745" i="1"/>
  <c r="J1745" i="1"/>
  <c r="I1745" i="1"/>
  <c r="G1745" i="1"/>
  <c r="F1745" i="1"/>
  <c r="E1745" i="1"/>
  <c r="D1745" i="1"/>
  <c r="C1745" i="1"/>
  <c r="H1745" i="1" s="1"/>
  <c r="M1744" i="1"/>
  <c r="L1744" i="1"/>
  <c r="K1744" i="1"/>
  <c r="J1744" i="1"/>
  <c r="I1744" i="1"/>
  <c r="G1744" i="1"/>
  <c r="H1744" i="1" s="1"/>
  <c r="F1744" i="1"/>
  <c r="E1744" i="1"/>
  <c r="D1744" i="1"/>
  <c r="C1744" i="1"/>
  <c r="M1743" i="1"/>
  <c r="L1743" i="1"/>
  <c r="K1743" i="1"/>
  <c r="J1743" i="1"/>
  <c r="I1743" i="1"/>
  <c r="G1743" i="1"/>
  <c r="F1743" i="1"/>
  <c r="E1743" i="1"/>
  <c r="D1743" i="1"/>
  <c r="C1743" i="1"/>
  <c r="M1742" i="1"/>
  <c r="L1742" i="1"/>
  <c r="K1742" i="1"/>
  <c r="J1742" i="1"/>
  <c r="I1742" i="1"/>
  <c r="H1742" i="1"/>
  <c r="G1742" i="1"/>
  <c r="F1742" i="1"/>
  <c r="E1742" i="1"/>
  <c r="D1742" i="1"/>
  <c r="C1742" i="1"/>
  <c r="M1741" i="1"/>
  <c r="L1741" i="1"/>
  <c r="K1741" i="1"/>
  <c r="J1741" i="1"/>
  <c r="I1741" i="1"/>
  <c r="G1741" i="1"/>
  <c r="H1741" i="1" s="1"/>
  <c r="F1741" i="1"/>
  <c r="E1741" i="1"/>
  <c r="D1741" i="1"/>
  <c r="C1741" i="1"/>
  <c r="M1740" i="1"/>
  <c r="L1740" i="1"/>
  <c r="K1740" i="1"/>
  <c r="J1740" i="1"/>
  <c r="I1740" i="1"/>
  <c r="G1740" i="1"/>
  <c r="F1740" i="1"/>
  <c r="E1740" i="1"/>
  <c r="D1740" i="1"/>
  <c r="C1740" i="1"/>
  <c r="H1740" i="1" s="1"/>
  <c r="M1739" i="1"/>
  <c r="L1739" i="1"/>
  <c r="K1739" i="1"/>
  <c r="J1739" i="1"/>
  <c r="I1739" i="1"/>
  <c r="G1739" i="1"/>
  <c r="H1739" i="1" s="1"/>
  <c r="F1739" i="1"/>
  <c r="E1739" i="1"/>
  <c r="D1739" i="1"/>
  <c r="C1739" i="1"/>
  <c r="M1738" i="1"/>
  <c r="L1738" i="1"/>
  <c r="K1738" i="1"/>
  <c r="J1738" i="1"/>
  <c r="I1738" i="1"/>
  <c r="G1738" i="1"/>
  <c r="H1738" i="1" s="1"/>
  <c r="F1738" i="1"/>
  <c r="E1738" i="1"/>
  <c r="D1738" i="1"/>
  <c r="C1738" i="1"/>
  <c r="M1737" i="1"/>
  <c r="L1737" i="1"/>
  <c r="K1737" i="1"/>
  <c r="J1737" i="1"/>
  <c r="I1737" i="1"/>
  <c r="G1737" i="1"/>
  <c r="F1737" i="1"/>
  <c r="E1737" i="1"/>
  <c r="D1737" i="1"/>
  <c r="C1737" i="1"/>
  <c r="H1737" i="1" s="1"/>
  <c r="M1736" i="1"/>
  <c r="L1736" i="1"/>
  <c r="K1736" i="1"/>
  <c r="J1736" i="1"/>
  <c r="I1736" i="1"/>
  <c r="G1736" i="1"/>
  <c r="H1736" i="1" s="1"/>
  <c r="F1736" i="1"/>
  <c r="E1736" i="1"/>
  <c r="D1736" i="1"/>
  <c r="C1736" i="1"/>
  <c r="M1735" i="1"/>
  <c r="L1735" i="1"/>
  <c r="K1735" i="1"/>
  <c r="J1735" i="1"/>
  <c r="I1735" i="1"/>
  <c r="G1735" i="1"/>
  <c r="F1735" i="1"/>
  <c r="E1735" i="1"/>
  <c r="D1735" i="1"/>
  <c r="C1735" i="1"/>
  <c r="H1735" i="1" s="1"/>
  <c r="M1734" i="1"/>
  <c r="L1734" i="1"/>
  <c r="K1734" i="1"/>
  <c r="J1734" i="1"/>
  <c r="I1734" i="1"/>
  <c r="G1734" i="1"/>
  <c r="F1734" i="1"/>
  <c r="E1734" i="1"/>
  <c r="D1734" i="1"/>
  <c r="C1734" i="1"/>
  <c r="M1733" i="1"/>
  <c r="L1733" i="1"/>
  <c r="K1733" i="1"/>
  <c r="J1733" i="1"/>
  <c r="I1733" i="1"/>
  <c r="H1733" i="1"/>
  <c r="G1733" i="1"/>
  <c r="F1733" i="1"/>
  <c r="E1733" i="1"/>
  <c r="D1733" i="1"/>
  <c r="C1733" i="1"/>
  <c r="M1732" i="1"/>
  <c r="L1732" i="1"/>
  <c r="K1732" i="1"/>
  <c r="J1732" i="1"/>
  <c r="I1732" i="1"/>
  <c r="G1732" i="1"/>
  <c r="F1732" i="1"/>
  <c r="E1732" i="1"/>
  <c r="D1732" i="1"/>
  <c r="C1732" i="1"/>
  <c r="H1732" i="1" s="1"/>
  <c r="M1731" i="1"/>
  <c r="L1731" i="1"/>
  <c r="K1731" i="1"/>
  <c r="J1731" i="1"/>
  <c r="I1731" i="1"/>
  <c r="G1731" i="1"/>
  <c r="H1731" i="1" s="1"/>
  <c r="F1731" i="1"/>
  <c r="E1731" i="1"/>
  <c r="D1731" i="1"/>
  <c r="C1731" i="1"/>
  <c r="M1730" i="1"/>
  <c r="L1730" i="1"/>
  <c r="K1730" i="1"/>
  <c r="J1730" i="1"/>
  <c r="I1730" i="1"/>
  <c r="H1730" i="1"/>
  <c r="G1730" i="1"/>
  <c r="F1730" i="1"/>
  <c r="E1730" i="1"/>
  <c r="D1730" i="1"/>
  <c r="C1730" i="1"/>
  <c r="M1729" i="1"/>
  <c r="L1729" i="1"/>
  <c r="K1729" i="1"/>
  <c r="J1729" i="1"/>
  <c r="I1729" i="1"/>
  <c r="G1729" i="1"/>
  <c r="F1729" i="1"/>
  <c r="E1729" i="1"/>
  <c r="D1729" i="1"/>
  <c r="C1729" i="1"/>
  <c r="M1728" i="1"/>
  <c r="L1728" i="1"/>
  <c r="K1728" i="1"/>
  <c r="J1728" i="1"/>
  <c r="I1728" i="1"/>
  <c r="G1728" i="1"/>
  <c r="H1728" i="1" s="1"/>
  <c r="F1728" i="1"/>
  <c r="E1728" i="1"/>
  <c r="D1728" i="1"/>
  <c r="C1728" i="1"/>
  <c r="M1727" i="1"/>
  <c r="L1727" i="1"/>
  <c r="K1727" i="1"/>
  <c r="J1727" i="1"/>
  <c r="I1727" i="1"/>
  <c r="G1727" i="1"/>
  <c r="H1727" i="1" s="1"/>
  <c r="F1727" i="1"/>
  <c r="E1727" i="1"/>
  <c r="D1727" i="1"/>
  <c r="C1727" i="1"/>
  <c r="M1726" i="1"/>
  <c r="L1726" i="1"/>
  <c r="K1726" i="1"/>
  <c r="J1726" i="1"/>
  <c r="I1726" i="1"/>
  <c r="G1726" i="1"/>
  <c r="H1726" i="1" s="1"/>
  <c r="F1726" i="1"/>
  <c r="E1726" i="1"/>
  <c r="D1726" i="1"/>
  <c r="C1726" i="1"/>
  <c r="M1725" i="1"/>
  <c r="L1725" i="1"/>
  <c r="K1725" i="1"/>
  <c r="J1725" i="1"/>
  <c r="I1725" i="1"/>
  <c r="H1725" i="1"/>
  <c r="G1725" i="1"/>
  <c r="F1725" i="1"/>
  <c r="E1725" i="1"/>
  <c r="D1725" i="1"/>
  <c r="C1725" i="1"/>
  <c r="M1724" i="1"/>
  <c r="L1724" i="1"/>
  <c r="K1724" i="1"/>
  <c r="J1724" i="1"/>
  <c r="I1724" i="1"/>
  <c r="H1724" i="1"/>
  <c r="G1724" i="1"/>
  <c r="F1724" i="1"/>
  <c r="E1724" i="1"/>
  <c r="D1724" i="1"/>
  <c r="C1724" i="1"/>
  <c r="M1723" i="1"/>
  <c r="L1723" i="1"/>
  <c r="K1723" i="1"/>
  <c r="J1723" i="1"/>
  <c r="I1723" i="1"/>
  <c r="G1723" i="1"/>
  <c r="F1723" i="1"/>
  <c r="E1723" i="1"/>
  <c r="D1723" i="1"/>
  <c r="C1723" i="1"/>
  <c r="H1723" i="1" s="1"/>
  <c r="M1722" i="1"/>
  <c r="L1722" i="1"/>
  <c r="K1722" i="1"/>
  <c r="J1722" i="1"/>
  <c r="I1722" i="1"/>
  <c r="G1722" i="1"/>
  <c r="F1722" i="1"/>
  <c r="E1722" i="1"/>
  <c r="D1722" i="1"/>
  <c r="C1722" i="1"/>
  <c r="M1721" i="1"/>
  <c r="L1721" i="1"/>
  <c r="K1721" i="1"/>
  <c r="J1721" i="1"/>
  <c r="I1721" i="1"/>
  <c r="G1721" i="1"/>
  <c r="H1721" i="1" s="1"/>
  <c r="F1721" i="1"/>
  <c r="E1721" i="1"/>
  <c r="D1721" i="1"/>
  <c r="C1721" i="1"/>
  <c r="M1720" i="1"/>
  <c r="L1720" i="1"/>
  <c r="K1720" i="1"/>
  <c r="J1720" i="1"/>
  <c r="I1720" i="1"/>
  <c r="G1720" i="1"/>
  <c r="F1720" i="1"/>
  <c r="E1720" i="1"/>
  <c r="D1720" i="1"/>
  <c r="C1720" i="1"/>
  <c r="M1719" i="1"/>
  <c r="L1719" i="1"/>
  <c r="K1719" i="1"/>
  <c r="J1719" i="1"/>
  <c r="I1719" i="1"/>
  <c r="G1719" i="1"/>
  <c r="H1719" i="1" s="1"/>
  <c r="F1719" i="1"/>
  <c r="E1719" i="1"/>
  <c r="D1719" i="1"/>
  <c r="C1719" i="1"/>
  <c r="M1718" i="1"/>
  <c r="L1718" i="1"/>
  <c r="K1718" i="1"/>
  <c r="J1718" i="1"/>
  <c r="I1718" i="1"/>
  <c r="G1718" i="1"/>
  <c r="H1718" i="1" s="1"/>
  <c r="F1718" i="1"/>
  <c r="E1718" i="1"/>
  <c r="D1718" i="1"/>
  <c r="C1718" i="1"/>
  <c r="M1717" i="1"/>
  <c r="L1717" i="1"/>
  <c r="K1717" i="1"/>
  <c r="J1717" i="1"/>
  <c r="I1717" i="1"/>
  <c r="G1717" i="1"/>
  <c r="F1717" i="1"/>
  <c r="E1717" i="1"/>
  <c r="D1717" i="1"/>
  <c r="C1717" i="1"/>
  <c r="M1716" i="1"/>
  <c r="L1716" i="1"/>
  <c r="K1716" i="1"/>
  <c r="J1716" i="1"/>
  <c r="I1716" i="1"/>
  <c r="G1716" i="1"/>
  <c r="F1716" i="1"/>
  <c r="E1716" i="1"/>
  <c r="D1716" i="1"/>
  <c r="C1716" i="1"/>
  <c r="H1716" i="1" s="1"/>
  <c r="M1715" i="1"/>
  <c r="L1715" i="1"/>
  <c r="K1715" i="1"/>
  <c r="J1715" i="1"/>
  <c r="I1715" i="1"/>
  <c r="G1715" i="1"/>
  <c r="H1715" i="1" s="1"/>
  <c r="F1715" i="1"/>
  <c r="E1715" i="1"/>
  <c r="D1715" i="1"/>
  <c r="C1715" i="1"/>
  <c r="M1714" i="1"/>
  <c r="L1714" i="1"/>
  <c r="K1714" i="1"/>
  <c r="J1714" i="1"/>
  <c r="I1714" i="1"/>
  <c r="G1714" i="1"/>
  <c r="F1714" i="1"/>
  <c r="E1714" i="1"/>
  <c r="D1714" i="1"/>
  <c r="C1714" i="1"/>
  <c r="H1714" i="1" s="1"/>
  <c r="M1713" i="1"/>
  <c r="L1713" i="1"/>
  <c r="K1713" i="1"/>
  <c r="J1713" i="1"/>
  <c r="I1713" i="1"/>
  <c r="G1713" i="1"/>
  <c r="F1713" i="1"/>
  <c r="E1713" i="1"/>
  <c r="D1713" i="1"/>
  <c r="C1713" i="1"/>
  <c r="H1713" i="1" s="1"/>
  <c r="M1712" i="1"/>
  <c r="L1712" i="1"/>
  <c r="K1712" i="1"/>
  <c r="J1712" i="1"/>
  <c r="I1712" i="1"/>
  <c r="H1712" i="1"/>
  <c r="G1712" i="1"/>
  <c r="F1712" i="1"/>
  <c r="E1712" i="1"/>
  <c r="D1712" i="1"/>
  <c r="C1712" i="1"/>
  <c r="M1711" i="1"/>
  <c r="L1711" i="1"/>
  <c r="K1711" i="1"/>
  <c r="J1711" i="1"/>
  <c r="I1711" i="1"/>
  <c r="G1711" i="1"/>
  <c r="F1711" i="1"/>
  <c r="E1711" i="1"/>
  <c r="D1711" i="1"/>
  <c r="C1711" i="1"/>
  <c r="M1710" i="1"/>
  <c r="L1710" i="1"/>
  <c r="K1710" i="1"/>
  <c r="J1710" i="1"/>
  <c r="I1710" i="1"/>
  <c r="H1710" i="1"/>
  <c r="G1710" i="1"/>
  <c r="F1710" i="1"/>
  <c r="E1710" i="1"/>
  <c r="D1710" i="1"/>
  <c r="C1710" i="1"/>
  <c r="M1709" i="1"/>
  <c r="L1709" i="1"/>
  <c r="K1709" i="1"/>
  <c r="J1709" i="1"/>
  <c r="I1709" i="1"/>
  <c r="H1709" i="1"/>
  <c r="G1709" i="1"/>
  <c r="F1709" i="1"/>
  <c r="E1709" i="1"/>
  <c r="D1709" i="1"/>
  <c r="C1709" i="1"/>
  <c r="M1708" i="1"/>
  <c r="L1708" i="1"/>
  <c r="K1708" i="1"/>
  <c r="J1708" i="1"/>
  <c r="I1708" i="1"/>
  <c r="G1708" i="1"/>
  <c r="H1708" i="1" s="1"/>
  <c r="F1708" i="1"/>
  <c r="E1708" i="1"/>
  <c r="D1708" i="1"/>
  <c r="C1708" i="1"/>
  <c r="M1707" i="1"/>
  <c r="L1707" i="1"/>
  <c r="K1707" i="1"/>
  <c r="J1707" i="1"/>
  <c r="I1707" i="1"/>
  <c r="G1707" i="1"/>
  <c r="F1707" i="1"/>
  <c r="E1707" i="1"/>
  <c r="D1707" i="1"/>
  <c r="C1707" i="1"/>
  <c r="M1706" i="1"/>
  <c r="L1706" i="1"/>
  <c r="K1706" i="1"/>
  <c r="J1706" i="1"/>
  <c r="I1706" i="1"/>
  <c r="G1706" i="1"/>
  <c r="H1706" i="1" s="1"/>
  <c r="F1706" i="1"/>
  <c r="E1706" i="1"/>
  <c r="D1706" i="1"/>
  <c r="C1706" i="1"/>
  <c r="M1705" i="1"/>
  <c r="L1705" i="1"/>
  <c r="K1705" i="1"/>
  <c r="J1705" i="1"/>
  <c r="I1705" i="1"/>
  <c r="G1705" i="1"/>
  <c r="H1705" i="1" s="1"/>
  <c r="F1705" i="1"/>
  <c r="E1705" i="1"/>
  <c r="D1705" i="1"/>
  <c r="C1705" i="1"/>
  <c r="M1704" i="1"/>
  <c r="L1704" i="1"/>
  <c r="K1704" i="1"/>
  <c r="J1704" i="1"/>
  <c r="I1704" i="1"/>
  <c r="G1704" i="1"/>
  <c r="F1704" i="1"/>
  <c r="E1704" i="1"/>
  <c r="D1704" i="1"/>
  <c r="C1704" i="1"/>
  <c r="H1704" i="1" s="1"/>
  <c r="M1703" i="1"/>
  <c r="L1703" i="1"/>
  <c r="K1703" i="1"/>
  <c r="J1703" i="1"/>
  <c r="I1703" i="1"/>
  <c r="H1703" i="1"/>
  <c r="G1703" i="1"/>
  <c r="F1703" i="1"/>
  <c r="E1703" i="1"/>
  <c r="D1703" i="1"/>
  <c r="C1703" i="1"/>
  <c r="M1702" i="1"/>
  <c r="L1702" i="1"/>
  <c r="K1702" i="1"/>
  <c r="J1702" i="1"/>
  <c r="I1702" i="1"/>
  <c r="G1702" i="1"/>
  <c r="H1702" i="1" s="1"/>
  <c r="F1702" i="1"/>
  <c r="E1702" i="1"/>
  <c r="D1702" i="1"/>
  <c r="C1702" i="1"/>
  <c r="M1701" i="1"/>
  <c r="L1701" i="1"/>
  <c r="K1701" i="1"/>
  <c r="J1701" i="1"/>
  <c r="I1701" i="1"/>
  <c r="G1701" i="1"/>
  <c r="F1701" i="1"/>
  <c r="E1701" i="1"/>
  <c r="D1701" i="1"/>
  <c r="C1701" i="1"/>
  <c r="M1700" i="1"/>
  <c r="L1700" i="1"/>
  <c r="K1700" i="1"/>
  <c r="J1700" i="1"/>
  <c r="I1700" i="1"/>
  <c r="G1700" i="1"/>
  <c r="H1700" i="1" s="1"/>
  <c r="F1700" i="1"/>
  <c r="E1700" i="1"/>
  <c r="D1700" i="1"/>
  <c r="C1700" i="1"/>
  <c r="M1699" i="1"/>
  <c r="L1699" i="1"/>
  <c r="K1699" i="1"/>
  <c r="J1699" i="1"/>
  <c r="I1699" i="1"/>
  <c r="G1699" i="1"/>
  <c r="H1699" i="1" s="1"/>
  <c r="F1699" i="1"/>
  <c r="E1699" i="1"/>
  <c r="D1699" i="1"/>
  <c r="C1699" i="1"/>
  <c r="M1698" i="1"/>
  <c r="L1698" i="1"/>
  <c r="K1698" i="1"/>
  <c r="J1698" i="1"/>
  <c r="I1698" i="1"/>
  <c r="G1698" i="1"/>
  <c r="F1698" i="1"/>
  <c r="E1698" i="1"/>
  <c r="D1698" i="1"/>
  <c r="C1698" i="1"/>
  <c r="H1698" i="1" s="1"/>
  <c r="M1697" i="1"/>
  <c r="L1697" i="1"/>
  <c r="K1697" i="1"/>
  <c r="J1697" i="1"/>
  <c r="I1697" i="1"/>
  <c r="H1697" i="1"/>
  <c r="G1697" i="1"/>
  <c r="F1697" i="1"/>
  <c r="E1697" i="1"/>
  <c r="D1697" i="1"/>
  <c r="C1697" i="1"/>
  <c r="M1696" i="1"/>
  <c r="L1696" i="1"/>
  <c r="K1696" i="1"/>
  <c r="J1696" i="1"/>
  <c r="I1696" i="1"/>
  <c r="G1696" i="1"/>
  <c r="F1696" i="1"/>
  <c r="E1696" i="1"/>
  <c r="D1696" i="1"/>
  <c r="C1696" i="1"/>
  <c r="M1695" i="1"/>
  <c r="L1695" i="1"/>
  <c r="K1695" i="1"/>
  <c r="J1695" i="1"/>
  <c r="I1695" i="1"/>
  <c r="G1695" i="1"/>
  <c r="F1695" i="1"/>
  <c r="E1695" i="1"/>
  <c r="D1695" i="1"/>
  <c r="C1695" i="1"/>
  <c r="M1694" i="1"/>
  <c r="L1694" i="1"/>
  <c r="K1694" i="1"/>
  <c r="J1694" i="1"/>
  <c r="I1694" i="1"/>
  <c r="H1694" i="1"/>
  <c r="G1694" i="1"/>
  <c r="F1694" i="1"/>
  <c r="E1694" i="1"/>
  <c r="D1694" i="1"/>
  <c r="C1694" i="1"/>
  <c r="M1693" i="1"/>
  <c r="L1693" i="1"/>
  <c r="K1693" i="1"/>
  <c r="J1693" i="1"/>
  <c r="I1693" i="1"/>
  <c r="G1693" i="1"/>
  <c r="F1693" i="1"/>
  <c r="E1693" i="1"/>
  <c r="D1693" i="1"/>
  <c r="C1693" i="1"/>
  <c r="M1692" i="1"/>
  <c r="L1692" i="1"/>
  <c r="K1692" i="1"/>
  <c r="J1692" i="1"/>
  <c r="I1692" i="1"/>
  <c r="G1692" i="1"/>
  <c r="H1692" i="1" s="1"/>
  <c r="F1692" i="1"/>
  <c r="E1692" i="1"/>
  <c r="D1692" i="1"/>
  <c r="C1692" i="1"/>
  <c r="M1691" i="1"/>
  <c r="L1691" i="1"/>
  <c r="K1691" i="1"/>
  <c r="J1691" i="1"/>
  <c r="I1691" i="1"/>
  <c r="G1691" i="1"/>
  <c r="F1691" i="1"/>
  <c r="E1691" i="1"/>
  <c r="D1691" i="1"/>
  <c r="C1691" i="1"/>
  <c r="H1691" i="1" s="1"/>
  <c r="M1690" i="1"/>
  <c r="L1690" i="1"/>
  <c r="K1690" i="1"/>
  <c r="J1690" i="1"/>
  <c r="I1690" i="1"/>
  <c r="G1690" i="1"/>
  <c r="H1690" i="1" s="1"/>
  <c r="F1690" i="1"/>
  <c r="E1690" i="1"/>
  <c r="D1690" i="1"/>
  <c r="C1690" i="1"/>
  <c r="M1689" i="1"/>
  <c r="L1689" i="1"/>
  <c r="K1689" i="1"/>
  <c r="J1689" i="1"/>
  <c r="I1689" i="1"/>
  <c r="G1689" i="1"/>
  <c r="H1689" i="1" s="1"/>
  <c r="F1689" i="1"/>
  <c r="E1689" i="1"/>
  <c r="D1689" i="1"/>
  <c r="C1689" i="1"/>
  <c r="M1688" i="1"/>
  <c r="L1688" i="1"/>
  <c r="K1688" i="1"/>
  <c r="J1688" i="1"/>
  <c r="I1688" i="1"/>
  <c r="G1688" i="1"/>
  <c r="F1688" i="1"/>
  <c r="E1688" i="1"/>
  <c r="D1688" i="1"/>
  <c r="C1688" i="1"/>
  <c r="M1687" i="1"/>
  <c r="L1687" i="1"/>
  <c r="K1687" i="1"/>
  <c r="J1687" i="1"/>
  <c r="I1687" i="1"/>
  <c r="H1687" i="1"/>
  <c r="G1687" i="1"/>
  <c r="F1687" i="1"/>
  <c r="E1687" i="1"/>
  <c r="D1687" i="1"/>
  <c r="C1687" i="1"/>
  <c r="M1686" i="1"/>
  <c r="L1686" i="1"/>
  <c r="K1686" i="1"/>
  <c r="J1686" i="1"/>
  <c r="I1686" i="1"/>
  <c r="G1686" i="1"/>
  <c r="H1686" i="1" s="1"/>
  <c r="F1686" i="1"/>
  <c r="E1686" i="1"/>
  <c r="D1686" i="1"/>
  <c r="C1686" i="1"/>
  <c r="M1685" i="1"/>
  <c r="L1685" i="1"/>
  <c r="K1685" i="1"/>
  <c r="J1685" i="1"/>
  <c r="I1685" i="1"/>
  <c r="G1685" i="1"/>
  <c r="F1685" i="1"/>
  <c r="E1685" i="1"/>
  <c r="D1685" i="1"/>
  <c r="C1685" i="1"/>
  <c r="H1685" i="1" s="1"/>
  <c r="M1684" i="1"/>
  <c r="L1684" i="1"/>
  <c r="K1684" i="1"/>
  <c r="J1684" i="1"/>
  <c r="I1684" i="1"/>
  <c r="G1684" i="1"/>
  <c r="H1684" i="1" s="1"/>
  <c r="F1684" i="1"/>
  <c r="E1684" i="1"/>
  <c r="D1684" i="1"/>
  <c r="C1684" i="1"/>
  <c r="M1683" i="1"/>
  <c r="L1683" i="1"/>
  <c r="K1683" i="1"/>
  <c r="J1683" i="1"/>
  <c r="I1683" i="1"/>
  <c r="H1683" i="1"/>
  <c r="G1683" i="1"/>
  <c r="F1683" i="1"/>
  <c r="E1683" i="1"/>
  <c r="D1683" i="1"/>
  <c r="C1683" i="1"/>
  <c r="M1682" i="1"/>
  <c r="L1682" i="1"/>
  <c r="K1682" i="1"/>
  <c r="J1682" i="1"/>
  <c r="I1682" i="1"/>
  <c r="G1682" i="1"/>
  <c r="F1682" i="1"/>
  <c r="E1682" i="1"/>
  <c r="D1682" i="1"/>
  <c r="C1682" i="1"/>
  <c r="H1682" i="1" s="1"/>
  <c r="M1681" i="1"/>
  <c r="L1681" i="1"/>
  <c r="K1681" i="1"/>
  <c r="J1681" i="1"/>
  <c r="I1681" i="1"/>
  <c r="G1681" i="1"/>
  <c r="H1681" i="1" s="1"/>
  <c r="F1681" i="1"/>
  <c r="E1681" i="1"/>
  <c r="D1681" i="1"/>
  <c r="C1681" i="1"/>
  <c r="M1680" i="1"/>
  <c r="L1680" i="1"/>
  <c r="K1680" i="1"/>
  <c r="J1680" i="1"/>
  <c r="I1680" i="1"/>
  <c r="H1680" i="1"/>
  <c r="G1680" i="1"/>
  <c r="F1680" i="1"/>
  <c r="E1680" i="1"/>
  <c r="D1680" i="1"/>
  <c r="C1680" i="1"/>
  <c r="M1679" i="1"/>
  <c r="L1679" i="1"/>
  <c r="K1679" i="1"/>
  <c r="J1679" i="1"/>
  <c r="I1679" i="1"/>
  <c r="G1679" i="1"/>
  <c r="F1679" i="1"/>
  <c r="E1679" i="1"/>
  <c r="D1679" i="1"/>
  <c r="C1679" i="1"/>
  <c r="M1678" i="1"/>
  <c r="L1678" i="1"/>
  <c r="K1678" i="1"/>
  <c r="J1678" i="1"/>
  <c r="I1678" i="1"/>
  <c r="G1678" i="1"/>
  <c r="H1678" i="1" s="1"/>
  <c r="F1678" i="1"/>
  <c r="E1678" i="1"/>
  <c r="D1678" i="1"/>
  <c r="C1678" i="1"/>
  <c r="M1677" i="1"/>
  <c r="L1677" i="1"/>
  <c r="K1677" i="1"/>
  <c r="J1677" i="1"/>
  <c r="I1677" i="1"/>
  <c r="H1677" i="1"/>
  <c r="G1677" i="1"/>
  <c r="F1677" i="1"/>
  <c r="E1677" i="1"/>
  <c r="D1677" i="1"/>
  <c r="C1677" i="1"/>
  <c r="M1676" i="1"/>
  <c r="L1676" i="1"/>
  <c r="K1676" i="1"/>
  <c r="J1676" i="1"/>
  <c r="I1676" i="1"/>
  <c r="G1676" i="1"/>
  <c r="F1676" i="1"/>
  <c r="E1676" i="1"/>
  <c r="D1676" i="1"/>
  <c r="C1676" i="1"/>
  <c r="M1675" i="1"/>
  <c r="L1675" i="1"/>
  <c r="K1675" i="1"/>
  <c r="J1675" i="1"/>
  <c r="I1675" i="1"/>
  <c r="H1675" i="1"/>
  <c r="G1675" i="1"/>
  <c r="F1675" i="1"/>
  <c r="E1675" i="1"/>
  <c r="D1675" i="1"/>
  <c r="C1675" i="1"/>
  <c r="M1674" i="1"/>
  <c r="L1674" i="1"/>
  <c r="K1674" i="1"/>
  <c r="J1674" i="1"/>
  <c r="I1674" i="1"/>
  <c r="H1674" i="1"/>
  <c r="G1674" i="1"/>
  <c r="F1674" i="1"/>
  <c r="E1674" i="1"/>
  <c r="D1674" i="1"/>
  <c r="C1674" i="1"/>
  <c r="M1673" i="1"/>
  <c r="L1673" i="1"/>
  <c r="K1673" i="1"/>
  <c r="J1673" i="1"/>
  <c r="I1673" i="1"/>
  <c r="G1673" i="1"/>
  <c r="F1673" i="1"/>
  <c r="E1673" i="1"/>
  <c r="D1673" i="1"/>
  <c r="C1673" i="1"/>
  <c r="M1672" i="1"/>
  <c r="L1672" i="1"/>
  <c r="K1672" i="1"/>
  <c r="J1672" i="1"/>
  <c r="I1672" i="1"/>
  <c r="G1672" i="1"/>
  <c r="F1672" i="1"/>
  <c r="E1672" i="1"/>
  <c r="D1672" i="1"/>
  <c r="C1672" i="1"/>
  <c r="H1672" i="1" s="1"/>
  <c r="M1671" i="1"/>
  <c r="L1671" i="1"/>
  <c r="K1671" i="1"/>
  <c r="J1671" i="1"/>
  <c r="I1671" i="1"/>
  <c r="G1671" i="1"/>
  <c r="H1671" i="1" s="1"/>
  <c r="F1671" i="1"/>
  <c r="E1671" i="1"/>
  <c r="D1671" i="1"/>
  <c r="C1671" i="1"/>
  <c r="M1670" i="1"/>
  <c r="L1670" i="1"/>
  <c r="K1670" i="1"/>
  <c r="J1670" i="1"/>
  <c r="I1670" i="1"/>
  <c r="G1670" i="1"/>
  <c r="F1670" i="1"/>
  <c r="E1670" i="1"/>
  <c r="D1670" i="1"/>
  <c r="C1670" i="1"/>
  <c r="M1669" i="1"/>
  <c r="L1669" i="1"/>
  <c r="K1669" i="1"/>
  <c r="J1669" i="1"/>
  <c r="I1669" i="1"/>
  <c r="G1669" i="1"/>
  <c r="H1669" i="1" s="1"/>
  <c r="F1669" i="1"/>
  <c r="E1669" i="1"/>
  <c r="D1669" i="1"/>
  <c r="C1669" i="1"/>
  <c r="M1668" i="1"/>
  <c r="L1668" i="1"/>
  <c r="K1668" i="1"/>
  <c r="J1668" i="1"/>
  <c r="I1668" i="1"/>
  <c r="G1668" i="1"/>
  <c r="H1668" i="1" s="1"/>
  <c r="F1668" i="1"/>
  <c r="E1668" i="1"/>
  <c r="D1668" i="1"/>
  <c r="C1668" i="1"/>
  <c r="M1667" i="1"/>
  <c r="L1667" i="1"/>
  <c r="K1667" i="1"/>
  <c r="J1667" i="1"/>
  <c r="I1667" i="1"/>
  <c r="G1667" i="1"/>
  <c r="F1667" i="1"/>
  <c r="E1667" i="1"/>
  <c r="D1667" i="1"/>
  <c r="C1667" i="1"/>
  <c r="M1666" i="1"/>
  <c r="L1666" i="1"/>
  <c r="K1666" i="1"/>
  <c r="J1666" i="1"/>
  <c r="I1666" i="1"/>
  <c r="H1666" i="1"/>
  <c r="G1666" i="1"/>
  <c r="F1666" i="1"/>
  <c r="E1666" i="1"/>
  <c r="D1666" i="1"/>
  <c r="C1666" i="1"/>
  <c r="M1665" i="1"/>
  <c r="L1665" i="1"/>
  <c r="K1665" i="1"/>
  <c r="J1665" i="1"/>
  <c r="I1665" i="1"/>
  <c r="G1665" i="1"/>
  <c r="H1665" i="1" s="1"/>
  <c r="F1665" i="1"/>
  <c r="E1665" i="1"/>
  <c r="D1665" i="1"/>
  <c r="C1665" i="1"/>
  <c r="M1664" i="1"/>
  <c r="L1664" i="1"/>
  <c r="K1664" i="1"/>
  <c r="J1664" i="1"/>
  <c r="I1664" i="1"/>
  <c r="G1664" i="1"/>
  <c r="F1664" i="1"/>
  <c r="E1664" i="1"/>
  <c r="D1664" i="1"/>
  <c r="C1664" i="1"/>
  <c r="M1663" i="1"/>
  <c r="L1663" i="1"/>
  <c r="K1663" i="1"/>
  <c r="J1663" i="1"/>
  <c r="I1663" i="1"/>
  <c r="G1663" i="1"/>
  <c r="F1663" i="1"/>
  <c r="E1663" i="1"/>
  <c r="D1663" i="1"/>
  <c r="C1663" i="1"/>
  <c r="M1662" i="1"/>
  <c r="L1662" i="1"/>
  <c r="K1662" i="1"/>
  <c r="J1662" i="1"/>
  <c r="I1662" i="1"/>
  <c r="G1662" i="1"/>
  <c r="H1662" i="1" s="1"/>
  <c r="F1662" i="1"/>
  <c r="E1662" i="1"/>
  <c r="D1662" i="1"/>
  <c r="C1662" i="1"/>
  <c r="M1661" i="1"/>
  <c r="L1661" i="1"/>
  <c r="K1661" i="1"/>
  <c r="J1661" i="1"/>
  <c r="I1661" i="1"/>
  <c r="G1661" i="1"/>
  <c r="F1661" i="1"/>
  <c r="E1661" i="1"/>
  <c r="D1661" i="1"/>
  <c r="C1661" i="1"/>
  <c r="M1660" i="1"/>
  <c r="L1660" i="1"/>
  <c r="K1660" i="1"/>
  <c r="J1660" i="1"/>
  <c r="I1660" i="1"/>
  <c r="G1660" i="1"/>
  <c r="H1660" i="1" s="1"/>
  <c r="F1660" i="1"/>
  <c r="E1660" i="1"/>
  <c r="D1660" i="1"/>
  <c r="C1660" i="1"/>
  <c r="M1659" i="1"/>
  <c r="L1659" i="1"/>
  <c r="K1659" i="1"/>
  <c r="J1659" i="1"/>
  <c r="I1659" i="1"/>
  <c r="G1659" i="1"/>
  <c r="H1659" i="1" s="1"/>
  <c r="F1659" i="1"/>
  <c r="E1659" i="1"/>
  <c r="D1659" i="1"/>
  <c r="C1659" i="1"/>
  <c r="M1658" i="1"/>
  <c r="L1658" i="1"/>
  <c r="K1658" i="1"/>
  <c r="J1658" i="1"/>
  <c r="I1658" i="1"/>
  <c r="G1658" i="1"/>
  <c r="F1658" i="1"/>
  <c r="E1658" i="1"/>
  <c r="D1658" i="1"/>
  <c r="C1658" i="1"/>
  <c r="M1657" i="1"/>
  <c r="L1657" i="1"/>
  <c r="K1657" i="1"/>
  <c r="J1657" i="1"/>
  <c r="I1657" i="1"/>
  <c r="H1657" i="1"/>
  <c r="G1657" i="1"/>
  <c r="F1657" i="1"/>
  <c r="E1657" i="1"/>
  <c r="D1657" i="1"/>
  <c r="C1657" i="1"/>
  <c r="M1656" i="1"/>
  <c r="L1656" i="1"/>
  <c r="K1656" i="1"/>
  <c r="J1656" i="1"/>
  <c r="I1656" i="1"/>
  <c r="G1656" i="1"/>
  <c r="F1656" i="1"/>
  <c r="E1656" i="1"/>
  <c r="D1656" i="1"/>
  <c r="C1656" i="1"/>
  <c r="H1656" i="1" s="1"/>
  <c r="M1655" i="1"/>
  <c r="L1655" i="1"/>
  <c r="K1655" i="1"/>
  <c r="J1655" i="1"/>
  <c r="I1655" i="1"/>
  <c r="G1655" i="1"/>
  <c r="F1655" i="1"/>
  <c r="E1655" i="1"/>
  <c r="D1655" i="1"/>
  <c r="C1655" i="1"/>
  <c r="H1655" i="1" s="1"/>
  <c r="M1654" i="1"/>
  <c r="L1654" i="1"/>
  <c r="K1654" i="1"/>
  <c r="J1654" i="1"/>
  <c r="I1654" i="1"/>
  <c r="H1654" i="1"/>
  <c r="G1654" i="1"/>
  <c r="F1654" i="1"/>
  <c r="E1654" i="1"/>
  <c r="D1654" i="1"/>
  <c r="C1654" i="1"/>
  <c r="M1653" i="1"/>
  <c r="L1653" i="1"/>
  <c r="K1653" i="1"/>
  <c r="J1653" i="1"/>
  <c r="I1653" i="1"/>
  <c r="G1653" i="1"/>
  <c r="F1653" i="1"/>
  <c r="E1653" i="1"/>
  <c r="D1653" i="1"/>
  <c r="C1653" i="1"/>
  <c r="H1653" i="1" s="1"/>
  <c r="M1652" i="1"/>
  <c r="L1652" i="1"/>
  <c r="K1652" i="1"/>
  <c r="J1652" i="1"/>
  <c r="I1652" i="1"/>
  <c r="H1652" i="1"/>
  <c r="G1652" i="1"/>
  <c r="F1652" i="1"/>
  <c r="E1652" i="1"/>
  <c r="D1652" i="1"/>
  <c r="C1652" i="1"/>
  <c r="M1651" i="1"/>
  <c r="L1651" i="1"/>
  <c r="K1651" i="1"/>
  <c r="J1651" i="1"/>
  <c r="I1651" i="1"/>
  <c r="H1651" i="1"/>
  <c r="G1651" i="1"/>
  <c r="F1651" i="1"/>
  <c r="E1651" i="1"/>
  <c r="D1651" i="1"/>
  <c r="C1651" i="1"/>
  <c r="M1650" i="1"/>
  <c r="L1650" i="1"/>
  <c r="K1650" i="1"/>
  <c r="J1650" i="1"/>
  <c r="I1650" i="1"/>
  <c r="G1650" i="1"/>
  <c r="F1650" i="1"/>
  <c r="E1650" i="1"/>
  <c r="D1650" i="1"/>
  <c r="C1650" i="1"/>
  <c r="H1650" i="1" s="1"/>
  <c r="M1649" i="1"/>
  <c r="L1649" i="1"/>
  <c r="K1649" i="1"/>
  <c r="J1649" i="1"/>
  <c r="I1649" i="1"/>
  <c r="H1649" i="1"/>
  <c r="G1649" i="1"/>
  <c r="F1649" i="1"/>
  <c r="E1649" i="1"/>
  <c r="D1649" i="1"/>
  <c r="C1649" i="1"/>
  <c r="M1648" i="1"/>
  <c r="L1648" i="1"/>
  <c r="K1648" i="1"/>
  <c r="J1648" i="1"/>
  <c r="I1648" i="1"/>
  <c r="H1648" i="1"/>
  <c r="G1648" i="1"/>
  <c r="F1648" i="1"/>
  <c r="E1648" i="1"/>
  <c r="D1648" i="1"/>
  <c r="C1648" i="1"/>
  <c r="M1647" i="1"/>
  <c r="L1647" i="1"/>
  <c r="K1647" i="1"/>
  <c r="J1647" i="1"/>
  <c r="I1647" i="1"/>
  <c r="G1647" i="1"/>
  <c r="F1647" i="1"/>
  <c r="E1647" i="1"/>
  <c r="D1647" i="1"/>
  <c r="C1647" i="1"/>
  <c r="M1646" i="1"/>
  <c r="L1646" i="1"/>
  <c r="K1646" i="1"/>
  <c r="J1646" i="1"/>
  <c r="I1646" i="1"/>
  <c r="H1646" i="1"/>
  <c r="G1646" i="1"/>
  <c r="F1646" i="1"/>
  <c r="E1646" i="1"/>
  <c r="D1646" i="1"/>
  <c r="C1646" i="1"/>
  <c r="M1645" i="1"/>
  <c r="L1645" i="1"/>
  <c r="K1645" i="1"/>
  <c r="J1645" i="1"/>
  <c r="I1645" i="1"/>
  <c r="H1645" i="1"/>
  <c r="G1645" i="1"/>
  <c r="F1645" i="1"/>
  <c r="E1645" i="1"/>
  <c r="D1645" i="1"/>
  <c r="C1645" i="1"/>
  <c r="M1644" i="1"/>
  <c r="L1644" i="1"/>
  <c r="K1644" i="1"/>
  <c r="J1644" i="1"/>
  <c r="I1644" i="1"/>
  <c r="G1644" i="1"/>
  <c r="F1644" i="1"/>
  <c r="E1644" i="1"/>
  <c r="D1644" i="1"/>
  <c r="C1644" i="1"/>
  <c r="H1644" i="1" s="1"/>
  <c r="M1643" i="1"/>
  <c r="L1643" i="1"/>
  <c r="K1643" i="1"/>
  <c r="J1643" i="1"/>
  <c r="I1643" i="1"/>
  <c r="G1643" i="1"/>
  <c r="F1643" i="1"/>
  <c r="E1643" i="1"/>
  <c r="D1643" i="1"/>
  <c r="C1643" i="1"/>
  <c r="M1642" i="1"/>
  <c r="L1642" i="1"/>
  <c r="K1642" i="1"/>
  <c r="J1642" i="1"/>
  <c r="I1642" i="1"/>
  <c r="G1642" i="1"/>
  <c r="F1642" i="1"/>
  <c r="E1642" i="1"/>
  <c r="D1642" i="1"/>
  <c r="C1642" i="1"/>
  <c r="H1642" i="1" s="1"/>
  <c r="M1641" i="1"/>
  <c r="L1641" i="1"/>
  <c r="K1641" i="1"/>
  <c r="J1641" i="1"/>
  <c r="I1641" i="1"/>
  <c r="G1641" i="1"/>
  <c r="F1641" i="1"/>
  <c r="E1641" i="1"/>
  <c r="D1641" i="1"/>
  <c r="C1641" i="1"/>
  <c r="M1640" i="1"/>
  <c r="L1640" i="1"/>
  <c r="K1640" i="1"/>
  <c r="J1640" i="1"/>
  <c r="I1640" i="1"/>
  <c r="G1640" i="1"/>
  <c r="H1640" i="1" s="1"/>
  <c r="F1640" i="1"/>
  <c r="E1640" i="1"/>
  <c r="D1640" i="1"/>
  <c r="C1640" i="1"/>
  <c r="M1639" i="1"/>
  <c r="L1639" i="1"/>
  <c r="K1639" i="1"/>
  <c r="J1639" i="1"/>
  <c r="I1639" i="1"/>
  <c r="G1639" i="1"/>
  <c r="F1639" i="1"/>
  <c r="E1639" i="1"/>
  <c r="D1639" i="1"/>
  <c r="C1639" i="1"/>
  <c r="H1639" i="1" s="1"/>
  <c r="M1638" i="1"/>
  <c r="L1638" i="1"/>
  <c r="K1638" i="1"/>
  <c r="J1638" i="1"/>
  <c r="I1638" i="1"/>
  <c r="G1638" i="1"/>
  <c r="H1638" i="1" s="1"/>
  <c r="F1638" i="1"/>
  <c r="E1638" i="1"/>
  <c r="D1638" i="1"/>
  <c r="C1638" i="1"/>
  <c r="M1637" i="1"/>
  <c r="L1637" i="1"/>
  <c r="K1637" i="1"/>
  <c r="J1637" i="1"/>
  <c r="I1637" i="1"/>
  <c r="G1637" i="1"/>
  <c r="F1637" i="1"/>
  <c r="E1637" i="1"/>
  <c r="D1637" i="1"/>
  <c r="C1637" i="1"/>
  <c r="H1637" i="1" s="1"/>
  <c r="M1636" i="1"/>
  <c r="L1636" i="1"/>
  <c r="K1636" i="1"/>
  <c r="J1636" i="1"/>
  <c r="I1636" i="1"/>
  <c r="G1636" i="1"/>
  <c r="F1636" i="1"/>
  <c r="E1636" i="1"/>
  <c r="D1636" i="1"/>
  <c r="C1636" i="1"/>
  <c r="M1635" i="1"/>
  <c r="L1635" i="1"/>
  <c r="K1635" i="1"/>
  <c r="J1635" i="1"/>
  <c r="I1635" i="1"/>
  <c r="G1635" i="1"/>
  <c r="H1635" i="1" s="1"/>
  <c r="F1635" i="1"/>
  <c r="E1635" i="1"/>
  <c r="D1635" i="1"/>
  <c r="C1635" i="1"/>
  <c r="M1634" i="1"/>
  <c r="L1634" i="1"/>
  <c r="K1634" i="1"/>
  <c r="J1634" i="1"/>
  <c r="I1634" i="1"/>
  <c r="G1634" i="1"/>
  <c r="F1634" i="1"/>
  <c r="E1634" i="1"/>
  <c r="D1634" i="1"/>
  <c r="C1634" i="1"/>
  <c r="H1634" i="1" s="1"/>
  <c r="M1633" i="1"/>
  <c r="L1633" i="1"/>
  <c r="K1633" i="1"/>
  <c r="J1633" i="1"/>
  <c r="I1633" i="1"/>
  <c r="G1633" i="1"/>
  <c r="H1633" i="1" s="1"/>
  <c r="F1633" i="1"/>
  <c r="E1633" i="1"/>
  <c r="D1633" i="1"/>
  <c r="C1633" i="1"/>
  <c r="M1632" i="1"/>
  <c r="L1632" i="1"/>
  <c r="K1632" i="1"/>
  <c r="J1632" i="1"/>
  <c r="I1632" i="1"/>
  <c r="G1632" i="1"/>
  <c r="H1632" i="1" s="1"/>
  <c r="F1632" i="1"/>
  <c r="E1632" i="1"/>
  <c r="D1632" i="1"/>
  <c r="C1632" i="1"/>
  <c r="M1631" i="1"/>
  <c r="L1631" i="1"/>
  <c r="K1631" i="1"/>
  <c r="J1631" i="1"/>
  <c r="I1631" i="1"/>
  <c r="G1631" i="1"/>
  <c r="F1631" i="1"/>
  <c r="E1631" i="1"/>
  <c r="D1631" i="1"/>
  <c r="C1631" i="1"/>
  <c r="M1630" i="1"/>
  <c r="L1630" i="1"/>
  <c r="K1630" i="1"/>
  <c r="J1630" i="1"/>
  <c r="I1630" i="1"/>
  <c r="G1630" i="1"/>
  <c r="H1630" i="1" s="1"/>
  <c r="F1630" i="1"/>
  <c r="E1630" i="1"/>
  <c r="D1630" i="1"/>
  <c r="C1630" i="1"/>
  <c r="M1629" i="1"/>
  <c r="L1629" i="1"/>
  <c r="K1629" i="1"/>
  <c r="J1629" i="1"/>
  <c r="I1629" i="1"/>
  <c r="G1629" i="1"/>
  <c r="H1629" i="1" s="1"/>
  <c r="F1629" i="1"/>
  <c r="E1629" i="1"/>
  <c r="D1629" i="1"/>
  <c r="C1629" i="1"/>
  <c r="M1628" i="1"/>
  <c r="L1628" i="1"/>
  <c r="K1628" i="1"/>
  <c r="J1628" i="1"/>
  <c r="I1628" i="1"/>
  <c r="G1628" i="1"/>
  <c r="H1628" i="1" s="1"/>
  <c r="F1628" i="1"/>
  <c r="E1628" i="1"/>
  <c r="D1628" i="1"/>
  <c r="C1628" i="1"/>
  <c r="M1627" i="1"/>
  <c r="L1627" i="1"/>
  <c r="K1627" i="1"/>
  <c r="J1627" i="1"/>
  <c r="I1627" i="1"/>
  <c r="G1627" i="1"/>
  <c r="H1627" i="1" s="1"/>
  <c r="F1627" i="1"/>
  <c r="E1627" i="1"/>
  <c r="D1627" i="1"/>
  <c r="C1627" i="1"/>
  <c r="M1626" i="1"/>
  <c r="L1626" i="1"/>
  <c r="K1626" i="1"/>
  <c r="J1626" i="1"/>
  <c r="I1626" i="1"/>
  <c r="H1626" i="1"/>
  <c r="G1626" i="1"/>
  <c r="F1626" i="1"/>
  <c r="E1626" i="1"/>
  <c r="D1626" i="1"/>
  <c r="C1626" i="1"/>
  <c r="M1625" i="1"/>
  <c r="L1625" i="1"/>
  <c r="K1625" i="1"/>
  <c r="J1625" i="1"/>
  <c r="I1625" i="1"/>
  <c r="H1625" i="1"/>
  <c r="G1625" i="1"/>
  <c r="F1625" i="1"/>
  <c r="E1625" i="1"/>
  <c r="D1625" i="1"/>
  <c r="C1625" i="1"/>
  <c r="M1624" i="1"/>
  <c r="L1624" i="1"/>
  <c r="K1624" i="1"/>
  <c r="J1624" i="1"/>
  <c r="I1624" i="1"/>
  <c r="G1624" i="1"/>
  <c r="F1624" i="1"/>
  <c r="E1624" i="1"/>
  <c r="D1624" i="1"/>
  <c r="C1624" i="1"/>
  <c r="M1623" i="1"/>
  <c r="L1623" i="1"/>
  <c r="K1623" i="1"/>
  <c r="J1623" i="1"/>
  <c r="I1623" i="1"/>
  <c r="H1623" i="1"/>
  <c r="G1623" i="1"/>
  <c r="F1623" i="1"/>
  <c r="E1623" i="1"/>
  <c r="D1623" i="1"/>
  <c r="C1623" i="1"/>
  <c r="M1622" i="1"/>
  <c r="L1622" i="1"/>
  <c r="K1622" i="1"/>
  <c r="J1622" i="1"/>
  <c r="I1622" i="1"/>
  <c r="G1622" i="1"/>
  <c r="H1622" i="1" s="1"/>
  <c r="F1622" i="1"/>
  <c r="E1622" i="1"/>
  <c r="D1622" i="1"/>
  <c r="C1622" i="1"/>
  <c r="M1621" i="1"/>
  <c r="L1621" i="1"/>
  <c r="K1621" i="1"/>
  <c r="J1621" i="1"/>
  <c r="I1621" i="1"/>
  <c r="G1621" i="1"/>
  <c r="H1621" i="1" s="1"/>
  <c r="F1621" i="1"/>
  <c r="E1621" i="1"/>
  <c r="D1621" i="1"/>
  <c r="C1621" i="1"/>
  <c r="M1620" i="1"/>
  <c r="L1620" i="1"/>
  <c r="K1620" i="1"/>
  <c r="J1620" i="1"/>
  <c r="I1620" i="1"/>
  <c r="G1620" i="1"/>
  <c r="H1620" i="1" s="1"/>
  <c r="F1620" i="1"/>
  <c r="E1620" i="1"/>
  <c r="D1620" i="1"/>
  <c r="C1620" i="1"/>
  <c r="M1619" i="1"/>
  <c r="L1619" i="1"/>
  <c r="K1619" i="1"/>
  <c r="J1619" i="1"/>
  <c r="I1619" i="1"/>
  <c r="G1619" i="1"/>
  <c r="H1619" i="1" s="1"/>
  <c r="F1619" i="1"/>
  <c r="E1619" i="1"/>
  <c r="D1619" i="1"/>
  <c r="C1619" i="1"/>
  <c r="M1618" i="1"/>
  <c r="L1618" i="1"/>
  <c r="K1618" i="1"/>
  <c r="J1618" i="1"/>
  <c r="I1618" i="1"/>
  <c r="G1618" i="1"/>
  <c r="F1618" i="1"/>
  <c r="E1618" i="1"/>
  <c r="D1618" i="1"/>
  <c r="C1618" i="1"/>
  <c r="H1618" i="1" s="1"/>
  <c r="M1617" i="1"/>
  <c r="L1617" i="1"/>
  <c r="K1617" i="1"/>
  <c r="J1617" i="1"/>
  <c r="I1617" i="1"/>
  <c r="G1617" i="1"/>
  <c r="H1617" i="1" s="1"/>
  <c r="F1617" i="1"/>
  <c r="E1617" i="1"/>
  <c r="D1617" i="1"/>
  <c r="C1617" i="1"/>
  <c r="M1616" i="1"/>
  <c r="L1616" i="1"/>
  <c r="K1616" i="1"/>
  <c r="J1616" i="1"/>
  <c r="I1616" i="1"/>
  <c r="G1616" i="1"/>
  <c r="H1616" i="1" s="1"/>
  <c r="F1616" i="1"/>
  <c r="E1616" i="1"/>
  <c r="D1616" i="1"/>
  <c r="C1616" i="1"/>
  <c r="M1615" i="1"/>
  <c r="L1615" i="1"/>
  <c r="K1615" i="1"/>
  <c r="J1615" i="1"/>
  <c r="I1615" i="1"/>
  <c r="G1615" i="1"/>
  <c r="F1615" i="1"/>
  <c r="E1615" i="1"/>
  <c r="D1615" i="1"/>
  <c r="C1615" i="1"/>
  <c r="M1614" i="1"/>
  <c r="L1614" i="1"/>
  <c r="K1614" i="1"/>
  <c r="J1614" i="1"/>
  <c r="I1614" i="1"/>
  <c r="G1614" i="1"/>
  <c r="H1614" i="1" s="1"/>
  <c r="F1614" i="1"/>
  <c r="E1614" i="1"/>
  <c r="D1614" i="1"/>
  <c r="C1614" i="1"/>
  <c r="M1613" i="1"/>
  <c r="L1613" i="1"/>
  <c r="K1613" i="1"/>
  <c r="J1613" i="1"/>
  <c r="I1613" i="1"/>
  <c r="G1613" i="1"/>
  <c r="H1613" i="1" s="1"/>
  <c r="F1613" i="1"/>
  <c r="E1613" i="1"/>
  <c r="D1613" i="1"/>
  <c r="C1613" i="1"/>
  <c r="M1612" i="1"/>
  <c r="L1612" i="1"/>
  <c r="K1612" i="1"/>
  <c r="J1612" i="1"/>
  <c r="I1612" i="1"/>
  <c r="G1612" i="1"/>
  <c r="F1612" i="1"/>
  <c r="E1612" i="1"/>
  <c r="D1612" i="1"/>
  <c r="C1612" i="1"/>
  <c r="H1612" i="1" s="1"/>
  <c r="M1611" i="1"/>
  <c r="L1611" i="1"/>
  <c r="K1611" i="1"/>
  <c r="J1611" i="1"/>
  <c r="I1611" i="1"/>
  <c r="G1611" i="1"/>
  <c r="H1611" i="1" s="1"/>
  <c r="F1611" i="1"/>
  <c r="E1611" i="1"/>
  <c r="D1611" i="1"/>
  <c r="C1611" i="1"/>
  <c r="M1610" i="1"/>
  <c r="L1610" i="1"/>
  <c r="K1610" i="1"/>
  <c r="J1610" i="1"/>
  <c r="I1610" i="1"/>
  <c r="H1610" i="1"/>
  <c r="G1610" i="1"/>
  <c r="F1610" i="1"/>
  <c r="E1610" i="1"/>
  <c r="D1610" i="1"/>
  <c r="C1610" i="1"/>
  <c r="M1609" i="1"/>
  <c r="L1609" i="1"/>
  <c r="K1609" i="1"/>
  <c r="J1609" i="1"/>
  <c r="I1609" i="1"/>
  <c r="G1609" i="1"/>
  <c r="F1609" i="1"/>
  <c r="E1609" i="1"/>
  <c r="D1609" i="1"/>
  <c r="C1609" i="1"/>
  <c r="M1608" i="1"/>
  <c r="L1608" i="1"/>
  <c r="K1608" i="1"/>
  <c r="J1608" i="1"/>
  <c r="I1608" i="1"/>
  <c r="G1608" i="1"/>
  <c r="H1608" i="1" s="1"/>
  <c r="F1608" i="1"/>
  <c r="E1608" i="1"/>
  <c r="D1608" i="1"/>
  <c r="C1608" i="1"/>
  <c r="M1607" i="1"/>
  <c r="L1607" i="1"/>
  <c r="K1607" i="1"/>
  <c r="J1607" i="1"/>
  <c r="I1607" i="1"/>
  <c r="G1607" i="1"/>
  <c r="H1607" i="1" s="1"/>
  <c r="F1607" i="1"/>
  <c r="E1607" i="1"/>
  <c r="D1607" i="1"/>
  <c r="C1607" i="1"/>
  <c r="M1606" i="1"/>
  <c r="L1606" i="1"/>
  <c r="K1606" i="1"/>
  <c r="J1606" i="1"/>
  <c r="I1606" i="1"/>
  <c r="G1606" i="1"/>
  <c r="F1606" i="1"/>
  <c r="E1606" i="1"/>
  <c r="D1606" i="1"/>
  <c r="C1606" i="1"/>
  <c r="H1606" i="1" s="1"/>
  <c r="M1605" i="1"/>
  <c r="L1605" i="1"/>
  <c r="K1605" i="1"/>
  <c r="J1605" i="1"/>
  <c r="I1605" i="1"/>
  <c r="H1605" i="1"/>
  <c r="G1605" i="1"/>
  <c r="F1605" i="1"/>
  <c r="E1605" i="1"/>
  <c r="D1605" i="1"/>
  <c r="C1605" i="1"/>
  <c r="M1604" i="1"/>
  <c r="L1604" i="1"/>
  <c r="K1604" i="1"/>
  <c r="J1604" i="1"/>
  <c r="I1604" i="1"/>
  <c r="G1604" i="1"/>
  <c r="H1604" i="1" s="1"/>
  <c r="F1604" i="1"/>
  <c r="E1604" i="1"/>
  <c r="D1604" i="1"/>
  <c r="C1604" i="1"/>
  <c r="M1603" i="1"/>
  <c r="L1603" i="1"/>
  <c r="K1603" i="1"/>
  <c r="J1603" i="1"/>
  <c r="I1603" i="1"/>
  <c r="G1603" i="1"/>
  <c r="F1603" i="1"/>
  <c r="E1603" i="1"/>
  <c r="D1603" i="1"/>
  <c r="C1603" i="1"/>
  <c r="M1602" i="1"/>
  <c r="L1602" i="1"/>
  <c r="K1602" i="1"/>
  <c r="J1602" i="1"/>
  <c r="I1602" i="1"/>
  <c r="H1602" i="1"/>
  <c r="G1602" i="1"/>
  <c r="F1602" i="1"/>
  <c r="E1602" i="1"/>
  <c r="D1602" i="1"/>
  <c r="C1602" i="1"/>
  <c r="M1601" i="1"/>
  <c r="L1601" i="1"/>
  <c r="K1601" i="1"/>
  <c r="J1601" i="1"/>
  <c r="I1601" i="1"/>
  <c r="G1601" i="1"/>
  <c r="H1601" i="1" s="1"/>
  <c r="F1601" i="1"/>
  <c r="E1601" i="1"/>
  <c r="D1601" i="1"/>
  <c r="C1601" i="1"/>
  <c r="M1600" i="1"/>
  <c r="L1600" i="1"/>
  <c r="K1600" i="1"/>
  <c r="J1600" i="1"/>
  <c r="I1600" i="1"/>
  <c r="G1600" i="1"/>
  <c r="H1600" i="1" s="1"/>
  <c r="F1600" i="1"/>
  <c r="E1600" i="1"/>
  <c r="D1600" i="1"/>
  <c r="C1600" i="1"/>
  <c r="M1599" i="1"/>
  <c r="L1599" i="1"/>
  <c r="K1599" i="1"/>
  <c r="J1599" i="1"/>
  <c r="I1599" i="1"/>
  <c r="G1599" i="1"/>
  <c r="H1599" i="1" s="1"/>
  <c r="F1599" i="1"/>
  <c r="E1599" i="1"/>
  <c r="D1599" i="1"/>
  <c r="C1599" i="1"/>
  <c r="M1598" i="1"/>
  <c r="L1598" i="1"/>
  <c r="K1598" i="1"/>
  <c r="J1598" i="1"/>
  <c r="I1598" i="1"/>
  <c r="H1598" i="1"/>
  <c r="G1598" i="1"/>
  <c r="F1598" i="1"/>
  <c r="E1598" i="1"/>
  <c r="D1598" i="1"/>
  <c r="C1598" i="1"/>
  <c r="M1597" i="1"/>
  <c r="L1597" i="1"/>
  <c r="K1597" i="1"/>
  <c r="J1597" i="1"/>
  <c r="I1597" i="1"/>
  <c r="G1597" i="1"/>
  <c r="F1597" i="1"/>
  <c r="E1597" i="1"/>
  <c r="D1597" i="1"/>
  <c r="C1597" i="1"/>
  <c r="M1596" i="1"/>
  <c r="L1596" i="1"/>
  <c r="K1596" i="1"/>
  <c r="J1596" i="1"/>
  <c r="I1596" i="1"/>
  <c r="G1596" i="1"/>
  <c r="F1596" i="1"/>
  <c r="E1596" i="1"/>
  <c r="D1596" i="1"/>
  <c r="C1596" i="1"/>
  <c r="H1596" i="1" s="1"/>
  <c r="M1595" i="1"/>
  <c r="L1595" i="1"/>
  <c r="K1595" i="1"/>
  <c r="J1595" i="1"/>
  <c r="I1595" i="1"/>
  <c r="G1595" i="1"/>
  <c r="H1595" i="1" s="1"/>
  <c r="F1595" i="1"/>
  <c r="E1595" i="1"/>
  <c r="D1595" i="1"/>
  <c r="C1595" i="1"/>
  <c r="M1594" i="1"/>
  <c r="L1594" i="1"/>
  <c r="K1594" i="1"/>
  <c r="J1594" i="1"/>
  <c r="I1594" i="1"/>
  <c r="G1594" i="1"/>
  <c r="H1594" i="1" s="1"/>
  <c r="F1594" i="1"/>
  <c r="E1594" i="1"/>
  <c r="D1594" i="1"/>
  <c r="C1594" i="1"/>
  <c r="M1593" i="1"/>
  <c r="L1593" i="1"/>
  <c r="K1593" i="1"/>
  <c r="J1593" i="1"/>
  <c r="I1593" i="1"/>
  <c r="G1593" i="1"/>
  <c r="F1593" i="1"/>
  <c r="E1593" i="1"/>
  <c r="D1593" i="1"/>
  <c r="C1593" i="1"/>
  <c r="H1593" i="1" s="1"/>
  <c r="M1592" i="1"/>
  <c r="L1592" i="1"/>
  <c r="K1592" i="1"/>
  <c r="J1592" i="1"/>
  <c r="I1592" i="1"/>
  <c r="H1592" i="1"/>
  <c r="G1592" i="1"/>
  <c r="F1592" i="1"/>
  <c r="E1592" i="1"/>
  <c r="D1592" i="1"/>
  <c r="C1592" i="1"/>
  <c r="M1591" i="1"/>
  <c r="L1591" i="1"/>
  <c r="K1591" i="1"/>
  <c r="J1591" i="1"/>
  <c r="I1591" i="1"/>
  <c r="G1591" i="1"/>
  <c r="F1591" i="1"/>
  <c r="E1591" i="1"/>
  <c r="D1591" i="1"/>
  <c r="C1591" i="1"/>
  <c r="M1590" i="1"/>
  <c r="L1590" i="1"/>
  <c r="K1590" i="1"/>
  <c r="J1590" i="1"/>
  <c r="I1590" i="1"/>
  <c r="G1590" i="1"/>
  <c r="F1590" i="1"/>
  <c r="E1590" i="1"/>
  <c r="D1590" i="1"/>
  <c r="C1590" i="1"/>
  <c r="M1589" i="1"/>
  <c r="L1589" i="1"/>
  <c r="K1589" i="1"/>
  <c r="J1589" i="1"/>
  <c r="I1589" i="1"/>
  <c r="H1589" i="1"/>
  <c r="G1589" i="1"/>
  <c r="F1589" i="1"/>
  <c r="E1589" i="1"/>
  <c r="D1589" i="1"/>
  <c r="C1589" i="1"/>
  <c r="M1588" i="1"/>
  <c r="L1588" i="1"/>
  <c r="K1588" i="1"/>
  <c r="J1588" i="1"/>
  <c r="I1588" i="1"/>
  <c r="G1588" i="1"/>
  <c r="F1588" i="1"/>
  <c r="E1588" i="1"/>
  <c r="D1588" i="1"/>
  <c r="C1588" i="1"/>
  <c r="M1587" i="1"/>
  <c r="L1587" i="1"/>
  <c r="K1587" i="1"/>
  <c r="J1587" i="1"/>
  <c r="I1587" i="1"/>
  <c r="G1587" i="1"/>
  <c r="F1587" i="1"/>
  <c r="E1587" i="1"/>
  <c r="D1587" i="1"/>
  <c r="C1587" i="1"/>
  <c r="H1587" i="1" s="1"/>
  <c r="M1586" i="1"/>
  <c r="L1586" i="1"/>
  <c r="K1586" i="1"/>
  <c r="J1586" i="1"/>
  <c r="I1586" i="1"/>
  <c r="H1586" i="1"/>
  <c r="G1586" i="1"/>
  <c r="F1586" i="1"/>
  <c r="E1586" i="1"/>
  <c r="D1586" i="1"/>
  <c r="C1586" i="1"/>
  <c r="M1585" i="1"/>
  <c r="L1585" i="1"/>
  <c r="K1585" i="1"/>
  <c r="J1585" i="1"/>
  <c r="I1585" i="1"/>
  <c r="G1585" i="1"/>
  <c r="H1585" i="1" s="1"/>
  <c r="F1585" i="1"/>
  <c r="E1585" i="1"/>
  <c r="D1585" i="1"/>
  <c r="C1585" i="1"/>
  <c r="M1584" i="1"/>
  <c r="L1584" i="1"/>
  <c r="K1584" i="1"/>
  <c r="J1584" i="1"/>
  <c r="I1584" i="1"/>
  <c r="G1584" i="1"/>
  <c r="F1584" i="1"/>
  <c r="E1584" i="1"/>
  <c r="D1584" i="1"/>
  <c r="C1584" i="1"/>
  <c r="M1583" i="1"/>
  <c r="L1583" i="1"/>
  <c r="K1583" i="1"/>
  <c r="J1583" i="1"/>
  <c r="I1583" i="1"/>
  <c r="G1583" i="1"/>
  <c r="H1583" i="1" s="1"/>
  <c r="F1583" i="1"/>
  <c r="E1583" i="1"/>
  <c r="D1583" i="1"/>
  <c r="C1583" i="1"/>
  <c r="M1582" i="1"/>
  <c r="L1582" i="1"/>
  <c r="K1582" i="1"/>
  <c r="J1582" i="1"/>
  <c r="I1582" i="1"/>
  <c r="G1582" i="1"/>
  <c r="H1582" i="1" s="1"/>
  <c r="F1582" i="1"/>
  <c r="E1582" i="1"/>
  <c r="D1582" i="1"/>
  <c r="C1582" i="1"/>
  <c r="M1581" i="1"/>
  <c r="L1581" i="1"/>
  <c r="K1581" i="1"/>
  <c r="J1581" i="1"/>
  <c r="I1581" i="1"/>
  <c r="G1581" i="1"/>
  <c r="F1581" i="1"/>
  <c r="E1581" i="1"/>
  <c r="D1581" i="1"/>
  <c r="C1581" i="1"/>
  <c r="M1580" i="1"/>
  <c r="L1580" i="1"/>
  <c r="K1580" i="1"/>
  <c r="J1580" i="1"/>
  <c r="I1580" i="1"/>
  <c r="G1580" i="1"/>
  <c r="H1580" i="1" s="1"/>
  <c r="F1580" i="1"/>
  <c r="E1580" i="1"/>
  <c r="D1580" i="1"/>
  <c r="C1580" i="1"/>
  <c r="M1579" i="1"/>
  <c r="L1579" i="1"/>
  <c r="K1579" i="1"/>
  <c r="J1579" i="1"/>
  <c r="I1579" i="1"/>
  <c r="G1579" i="1"/>
  <c r="F1579" i="1"/>
  <c r="E1579" i="1"/>
  <c r="D1579" i="1"/>
  <c r="C1579" i="1"/>
  <c r="M1578" i="1"/>
  <c r="L1578" i="1"/>
  <c r="K1578" i="1"/>
  <c r="J1578" i="1"/>
  <c r="I1578" i="1"/>
  <c r="G1578" i="1"/>
  <c r="H1578" i="1" s="1"/>
  <c r="F1578" i="1"/>
  <c r="E1578" i="1"/>
  <c r="D1578" i="1"/>
  <c r="C1578" i="1"/>
  <c r="M1577" i="1"/>
  <c r="L1577" i="1"/>
  <c r="K1577" i="1"/>
  <c r="J1577" i="1"/>
  <c r="I1577" i="1"/>
  <c r="H1577" i="1"/>
  <c r="G1577" i="1"/>
  <c r="F1577" i="1"/>
  <c r="E1577" i="1"/>
  <c r="D1577" i="1"/>
  <c r="C1577" i="1"/>
  <c r="M1576" i="1"/>
  <c r="L1576" i="1"/>
  <c r="K1576" i="1"/>
  <c r="J1576" i="1"/>
  <c r="I1576" i="1"/>
  <c r="G1576" i="1"/>
  <c r="F1576" i="1"/>
  <c r="E1576" i="1"/>
  <c r="D1576" i="1"/>
  <c r="C1576" i="1"/>
  <c r="M1575" i="1"/>
  <c r="L1575" i="1"/>
  <c r="K1575" i="1"/>
  <c r="J1575" i="1"/>
  <c r="I1575" i="1"/>
  <c r="G1575" i="1"/>
  <c r="H1575" i="1" s="1"/>
  <c r="F1575" i="1"/>
  <c r="E1575" i="1"/>
  <c r="D1575" i="1"/>
  <c r="C1575" i="1"/>
  <c r="M1574" i="1"/>
  <c r="L1574" i="1"/>
  <c r="K1574" i="1"/>
  <c r="J1574" i="1"/>
  <c r="I1574" i="1"/>
  <c r="G1574" i="1"/>
  <c r="F1574" i="1"/>
  <c r="E1574" i="1"/>
  <c r="D1574" i="1"/>
  <c r="C1574" i="1"/>
  <c r="H1574" i="1" s="1"/>
  <c r="M1573" i="1"/>
  <c r="L1573" i="1"/>
  <c r="K1573" i="1"/>
  <c r="J1573" i="1"/>
  <c r="I1573" i="1"/>
  <c r="G1573" i="1"/>
  <c r="H1573" i="1" s="1"/>
  <c r="F1573" i="1"/>
  <c r="E1573" i="1"/>
  <c r="D1573" i="1"/>
  <c r="C1573" i="1"/>
  <c r="M1572" i="1"/>
  <c r="L1572" i="1"/>
  <c r="K1572" i="1"/>
  <c r="J1572" i="1"/>
  <c r="I1572" i="1"/>
  <c r="G1572" i="1"/>
  <c r="H1572" i="1" s="1"/>
  <c r="F1572" i="1"/>
  <c r="E1572" i="1"/>
  <c r="D1572" i="1"/>
  <c r="C1572" i="1"/>
  <c r="M1571" i="1"/>
  <c r="L1571" i="1"/>
  <c r="K1571" i="1"/>
  <c r="J1571" i="1"/>
  <c r="I1571" i="1"/>
  <c r="G1571" i="1"/>
  <c r="H1571" i="1" s="1"/>
  <c r="F1571" i="1"/>
  <c r="E1571" i="1"/>
  <c r="D1571" i="1"/>
  <c r="C1571" i="1"/>
  <c r="M1570" i="1"/>
  <c r="L1570" i="1"/>
  <c r="K1570" i="1"/>
  <c r="J1570" i="1"/>
  <c r="I1570" i="1"/>
  <c r="H1570" i="1"/>
  <c r="G1570" i="1"/>
  <c r="F1570" i="1"/>
  <c r="E1570" i="1"/>
  <c r="D1570" i="1"/>
  <c r="C1570" i="1"/>
  <c r="M1569" i="1"/>
  <c r="L1569" i="1"/>
  <c r="K1569" i="1"/>
  <c r="J1569" i="1"/>
  <c r="I1569" i="1"/>
  <c r="G1569" i="1"/>
  <c r="H1569" i="1" s="1"/>
  <c r="F1569" i="1"/>
  <c r="E1569" i="1"/>
  <c r="D1569" i="1"/>
  <c r="C1569" i="1"/>
  <c r="M1568" i="1"/>
  <c r="L1568" i="1"/>
  <c r="K1568" i="1"/>
  <c r="J1568" i="1"/>
  <c r="I1568" i="1"/>
  <c r="H1568" i="1"/>
  <c r="G1568" i="1"/>
  <c r="F1568" i="1"/>
  <c r="E1568" i="1"/>
  <c r="D1568" i="1"/>
  <c r="C1568" i="1"/>
  <c r="M1567" i="1"/>
  <c r="L1567" i="1"/>
  <c r="K1567" i="1"/>
  <c r="J1567" i="1"/>
  <c r="I1567" i="1"/>
  <c r="G1567" i="1"/>
  <c r="H1567" i="1" s="1"/>
  <c r="F1567" i="1"/>
  <c r="E1567" i="1"/>
  <c r="D1567" i="1"/>
  <c r="C1567" i="1"/>
  <c r="M1566" i="1"/>
  <c r="L1566" i="1"/>
  <c r="K1566" i="1"/>
  <c r="J1566" i="1"/>
  <c r="I1566" i="1"/>
  <c r="G1566" i="1"/>
  <c r="H1566" i="1" s="1"/>
  <c r="F1566" i="1"/>
  <c r="E1566" i="1"/>
  <c r="D1566" i="1"/>
  <c r="C1566" i="1"/>
  <c r="M1565" i="1"/>
  <c r="L1565" i="1"/>
  <c r="K1565" i="1"/>
  <c r="J1565" i="1"/>
  <c r="I1565" i="1"/>
  <c r="H1565" i="1"/>
  <c r="G1565" i="1"/>
  <c r="F1565" i="1"/>
  <c r="E1565" i="1"/>
  <c r="D1565" i="1"/>
  <c r="C1565" i="1"/>
  <c r="M1564" i="1"/>
  <c r="L1564" i="1"/>
  <c r="K1564" i="1"/>
  <c r="J1564" i="1"/>
  <c r="I1564" i="1"/>
  <c r="G1564" i="1"/>
  <c r="H1564" i="1" s="1"/>
  <c r="F1564" i="1"/>
  <c r="E1564" i="1"/>
  <c r="D1564" i="1"/>
  <c r="C1564" i="1"/>
  <c r="M1563" i="1"/>
  <c r="L1563" i="1"/>
  <c r="K1563" i="1"/>
  <c r="J1563" i="1"/>
  <c r="I1563" i="1"/>
  <c r="G1563" i="1"/>
  <c r="H1563" i="1" s="1"/>
  <c r="F1563" i="1"/>
  <c r="E1563" i="1"/>
  <c r="D1563" i="1"/>
  <c r="C1563" i="1"/>
  <c r="M1562" i="1"/>
  <c r="L1562" i="1"/>
  <c r="K1562" i="1"/>
  <c r="J1562" i="1"/>
  <c r="I1562" i="1"/>
  <c r="G1562" i="1"/>
  <c r="H1562" i="1" s="1"/>
  <c r="F1562" i="1"/>
  <c r="E1562" i="1"/>
  <c r="D1562" i="1"/>
  <c r="C1562" i="1"/>
  <c r="M1561" i="1"/>
  <c r="L1561" i="1"/>
  <c r="K1561" i="1"/>
  <c r="J1561" i="1"/>
  <c r="I1561" i="1"/>
  <c r="H1561" i="1"/>
  <c r="G1561" i="1"/>
  <c r="F1561" i="1"/>
  <c r="E1561" i="1"/>
  <c r="D1561" i="1"/>
  <c r="C1561" i="1"/>
  <c r="M1560" i="1"/>
  <c r="L1560" i="1"/>
  <c r="K1560" i="1"/>
  <c r="J1560" i="1"/>
  <c r="I1560" i="1"/>
  <c r="G1560" i="1"/>
  <c r="H1560" i="1" s="1"/>
  <c r="F1560" i="1"/>
  <c r="E1560" i="1"/>
  <c r="D1560" i="1"/>
  <c r="C1560" i="1"/>
  <c r="M1559" i="1"/>
  <c r="L1559" i="1"/>
  <c r="K1559" i="1"/>
  <c r="J1559" i="1"/>
  <c r="I1559" i="1"/>
  <c r="G1559" i="1"/>
  <c r="H1559" i="1" s="1"/>
  <c r="F1559" i="1"/>
  <c r="E1559" i="1"/>
  <c r="D1559" i="1"/>
  <c r="C1559" i="1"/>
  <c r="M1558" i="1"/>
  <c r="L1558" i="1"/>
  <c r="K1558" i="1"/>
  <c r="J1558" i="1"/>
  <c r="I1558" i="1"/>
  <c r="G1558" i="1"/>
  <c r="F1558" i="1"/>
  <c r="E1558" i="1"/>
  <c r="D1558" i="1"/>
  <c r="C1558" i="1"/>
  <c r="H1558" i="1" s="1"/>
  <c r="M1557" i="1"/>
  <c r="L1557" i="1"/>
  <c r="K1557" i="1"/>
  <c r="J1557" i="1"/>
  <c r="I1557" i="1"/>
  <c r="G1557" i="1"/>
  <c r="F1557" i="1"/>
  <c r="E1557" i="1"/>
  <c r="D1557" i="1"/>
  <c r="C1557" i="1"/>
  <c r="H1557" i="1" s="1"/>
  <c r="M1556" i="1"/>
  <c r="L1556" i="1"/>
  <c r="K1556" i="1"/>
  <c r="J1556" i="1"/>
  <c r="I1556" i="1"/>
  <c r="H1556" i="1"/>
  <c r="G1556" i="1"/>
  <c r="F1556" i="1"/>
  <c r="E1556" i="1"/>
  <c r="D1556" i="1"/>
  <c r="C1556" i="1"/>
  <c r="M1555" i="1"/>
  <c r="L1555" i="1"/>
  <c r="K1555" i="1"/>
  <c r="J1555" i="1"/>
  <c r="I1555" i="1"/>
  <c r="G1555" i="1"/>
  <c r="F1555" i="1"/>
  <c r="E1555" i="1"/>
  <c r="D1555" i="1"/>
  <c r="C1555" i="1"/>
  <c r="H1555" i="1" s="1"/>
  <c r="M1554" i="1"/>
  <c r="L1554" i="1"/>
  <c r="K1554" i="1"/>
  <c r="J1554" i="1"/>
  <c r="I1554" i="1"/>
  <c r="H1554" i="1"/>
  <c r="G1554" i="1"/>
  <c r="F1554" i="1"/>
  <c r="E1554" i="1"/>
  <c r="D1554" i="1"/>
  <c r="C1554" i="1"/>
  <c r="M1553" i="1"/>
  <c r="L1553" i="1"/>
  <c r="K1553" i="1"/>
  <c r="J1553" i="1"/>
  <c r="I1553" i="1"/>
  <c r="H1553" i="1"/>
  <c r="G1553" i="1"/>
  <c r="F1553" i="1"/>
  <c r="E1553" i="1"/>
  <c r="D1553" i="1"/>
  <c r="C1553" i="1"/>
  <c r="M1552" i="1"/>
  <c r="L1552" i="1"/>
  <c r="K1552" i="1"/>
  <c r="J1552" i="1"/>
  <c r="I1552" i="1"/>
  <c r="G1552" i="1"/>
  <c r="F1552" i="1"/>
  <c r="E1552" i="1"/>
  <c r="D1552" i="1"/>
  <c r="C1552" i="1"/>
  <c r="M1551" i="1"/>
  <c r="L1551" i="1"/>
  <c r="K1551" i="1"/>
  <c r="J1551" i="1"/>
  <c r="I1551" i="1"/>
  <c r="G1551" i="1"/>
  <c r="H1551" i="1" s="1"/>
  <c r="F1551" i="1"/>
  <c r="E1551" i="1"/>
  <c r="D1551" i="1"/>
  <c r="C1551" i="1"/>
  <c r="M1550" i="1"/>
  <c r="L1550" i="1"/>
  <c r="K1550" i="1"/>
  <c r="J1550" i="1"/>
  <c r="I1550" i="1"/>
  <c r="G1550" i="1"/>
  <c r="H1550" i="1" s="1"/>
  <c r="F1550" i="1"/>
  <c r="E1550" i="1"/>
  <c r="D1550" i="1"/>
  <c r="C1550" i="1"/>
  <c r="M1549" i="1"/>
  <c r="L1549" i="1"/>
  <c r="K1549" i="1"/>
  <c r="J1549" i="1"/>
  <c r="I1549" i="1"/>
  <c r="G1549" i="1"/>
  <c r="H1549" i="1" s="1"/>
  <c r="F1549" i="1"/>
  <c r="E1549" i="1"/>
  <c r="D1549" i="1"/>
  <c r="C1549" i="1"/>
  <c r="M1548" i="1"/>
  <c r="L1548" i="1"/>
  <c r="K1548" i="1"/>
  <c r="J1548" i="1"/>
  <c r="I1548" i="1"/>
  <c r="G1548" i="1"/>
  <c r="H1548" i="1" s="1"/>
  <c r="F1548" i="1"/>
  <c r="E1548" i="1"/>
  <c r="D1548" i="1"/>
  <c r="C1548" i="1"/>
  <c r="M1547" i="1"/>
  <c r="L1547" i="1"/>
  <c r="K1547" i="1"/>
  <c r="J1547" i="1"/>
  <c r="I1547" i="1"/>
  <c r="G1547" i="1"/>
  <c r="H1547" i="1" s="1"/>
  <c r="F1547" i="1"/>
  <c r="E1547" i="1"/>
  <c r="D1547" i="1"/>
  <c r="C1547" i="1"/>
  <c r="M1546" i="1"/>
  <c r="L1546" i="1"/>
  <c r="K1546" i="1"/>
  <c r="J1546" i="1"/>
  <c r="I1546" i="1"/>
  <c r="H1546" i="1"/>
  <c r="G1546" i="1"/>
  <c r="F1546" i="1"/>
  <c r="E1546" i="1"/>
  <c r="D1546" i="1"/>
  <c r="C1546" i="1"/>
  <c r="M1545" i="1"/>
  <c r="L1545" i="1"/>
  <c r="K1545" i="1"/>
  <c r="J1545" i="1"/>
  <c r="I1545" i="1"/>
  <c r="G1545" i="1"/>
  <c r="F1545" i="1"/>
  <c r="E1545" i="1"/>
  <c r="D1545" i="1"/>
  <c r="C1545" i="1"/>
  <c r="H1545" i="1" s="1"/>
  <c r="M1544" i="1"/>
  <c r="L1544" i="1"/>
  <c r="K1544" i="1"/>
  <c r="J1544" i="1"/>
  <c r="I1544" i="1"/>
  <c r="H1544" i="1"/>
  <c r="G1544" i="1"/>
  <c r="F1544" i="1"/>
  <c r="E1544" i="1"/>
  <c r="D1544" i="1"/>
  <c r="C1544" i="1"/>
  <c r="M1543" i="1"/>
  <c r="L1543" i="1"/>
  <c r="K1543" i="1"/>
  <c r="J1543" i="1"/>
  <c r="I1543" i="1"/>
  <c r="G1543" i="1"/>
  <c r="H1543" i="1" s="1"/>
  <c r="F1543" i="1"/>
  <c r="E1543" i="1"/>
  <c r="D1543" i="1"/>
  <c r="C1543" i="1"/>
  <c r="M1542" i="1"/>
  <c r="L1542" i="1"/>
  <c r="K1542" i="1"/>
  <c r="J1542" i="1"/>
  <c r="I1542" i="1"/>
  <c r="H1542" i="1"/>
  <c r="G1542" i="1"/>
  <c r="F1542" i="1"/>
  <c r="E1542" i="1"/>
  <c r="D1542" i="1"/>
  <c r="C1542" i="1"/>
  <c r="M1541" i="1"/>
  <c r="L1541" i="1"/>
  <c r="K1541" i="1"/>
  <c r="J1541" i="1"/>
  <c r="I1541" i="1"/>
  <c r="H1541" i="1"/>
  <c r="G1541" i="1"/>
  <c r="F1541" i="1"/>
  <c r="E1541" i="1"/>
  <c r="D1541" i="1"/>
  <c r="C1541" i="1"/>
  <c r="M1540" i="1"/>
  <c r="L1540" i="1"/>
  <c r="K1540" i="1"/>
  <c r="J1540" i="1"/>
  <c r="I1540" i="1"/>
  <c r="G1540" i="1"/>
  <c r="H1540" i="1" s="1"/>
  <c r="F1540" i="1"/>
  <c r="E1540" i="1"/>
  <c r="D1540" i="1"/>
  <c r="C1540" i="1"/>
  <c r="M1539" i="1"/>
  <c r="L1539" i="1"/>
  <c r="K1539" i="1"/>
  <c r="J1539" i="1"/>
  <c r="I1539" i="1"/>
  <c r="G1539" i="1"/>
  <c r="F1539" i="1"/>
  <c r="E1539" i="1"/>
  <c r="D1539" i="1"/>
  <c r="C1539" i="1"/>
  <c r="H1539" i="1" s="1"/>
  <c r="M1538" i="1"/>
  <c r="L1538" i="1"/>
  <c r="K1538" i="1"/>
  <c r="J1538" i="1"/>
  <c r="I1538" i="1"/>
  <c r="G1538" i="1"/>
  <c r="F1538" i="1"/>
  <c r="E1538" i="1"/>
  <c r="D1538" i="1"/>
  <c r="C1538" i="1"/>
  <c r="H1538" i="1" s="1"/>
  <c r="M1537" i="1"/>
  <c r="L1537" i="1"/>
  <c r="K1537" i="1"/>
  <c r="J1537" i="1"/>
  <c r="I1537" i="1"/>
  <c r="G1537" i="1"/>
  <c r="H1537" i="1" s="1"/>
  <c r="F1537" i="1"/>
  <c r="E1537" i="1"/>
  <c r="D1537" i="1"/>
  <c r="C1537" i="1"/>
  <c r="M1536" i="1"/>
  <c r="L1536" i="1"/>
  <c r="K1536" i="1"/>
  <c r="J1536" i="1"/>
  <c r="I1536" i="1"/>
  <c r="G1536" i="1"/>
  <c r="F1536" i="1"/>
  <c r="E1536" i="1"/>
  <c r="D1536" i="1"/>
  <c r="C1536" i="1"/>
  <c r="H1536" i="1" s="1"/>
  <c r="M1535" i="1"/>
  <c r="L1535" i="1"/>
  <c r="K1535" i="1"/>
  <c r="J1535" i="1"/>
  <c r="I1535" i="1"/>
  <c r="G1535" i="1"/>
  <c r="F1535" i="1"/>
  <c r="E1535" i="1"/>
  <c r="D1535" i="1"/>
  <c r="C1535" i="1"/>
  <c r="M1534" i="1"/>
  <c r="L1534" i="1"/>
  <c r="K1534" i="1"/>
  <c r="J1534" i="1"/>
  <c r="I1534" i="1"/>
  <c r="G1534" i="1"/>
  <c r="H1534" i="1" s="1"/>
  <c r="F1534" i="1"/>
  <c r="E1534" i="1"/>
  <c r="D1534" i="1"/>
  <c r="C1534" i="1"/>
  <c r="M1533" i="1"/>
  <c r="L1533" i="1"/>
  <c r="K1533" i="1"/>
  <c r="J1533" i="1"/>
  <c r="I1533" i="1"/>
  <c r="G1533" i="1"/>
  <c r="F1533" i="1"/>
  <c r="E1533" i="1"/>
  <c r="D1533" i="1"/>
  <c r="C1533" i="1"/>
  <c r="H1533" i="1" s="1"/>
  <c r="M1532" i="1"/>
  <c r="L1532" i="1"/>
  <c r="K1532" i="1"/>
  <c r="J1532" i="1"/>
  <c r="I1532" i="1"/>
  <c r="H1532" i="1"/>
  <c r="G1532" i="1"/>
  <c r="F1532" i="1"/>
  <c r="E1532" i="1"/>
  <c r="D1532" i="1"/>
  <c r="C1532" i="1"/>
  <c r="M1531" i="1"/>
  <c r="L1531" i="1"/>
  <c r="K1531" i="1"/>
  <c r="J1531" i="1"/>
  <c r="I1531" i="1"/>
  <c r="G1531" i="1"/>
  <c r="H1531" i="1" s="1"/>
  <c r="F1531" i="1"/>
  <c r="E1531" i="1"/>
  <c r="D1531" i="1"/>
  <c r="C1531" i="1"/>
  <c r="M1530" i="1"/>
  <c r="L1530" i="1"/>
  <c r="K1530" i="1"/>
  <c r="J1530" i="1"/>
  <c r="I1530" i="1"/>
  <c r="G1530" i="1"/>
  <c r="F1530" i="1"/>
  <c r="E1530" i="1"/>
  <c r="D1530" i="1"/>
  <c r="C1530" i="1"/>
  <c r="M1529" i="1"/>
  <c r="L1529" i="1"/>
  <c r="K1529" i="1"/>
  <c r="J1529" i="1"/>
  <c r="I1529" i="1"/>
  <c r="H1529" i="1"/>
  <c r="G1529" i="1"/>
  <c r="F1529" i="1"/>
  <c r="E1529" i="1"/>
  <c r="D1529" i="1"/>
  <c r="C1529" i="1"/>
  <c r="M1528" i="1"/>
  <c r="L1528" i="1"/>
  <c r="K1528" i="1"/>
  <c r="J1528" i="1"/>
  <c r="I1528" i="1"/>
  <c r="G1528" i="1"/>
  <c r="H1528" i="1" s="1"/>
  <c r="F1528" i="1"/>
  <c r="E1528" i="1"/>
  <c r="D1528" i="1"/>
  <c r="C1528" i="1"/>
  <c r="M1527" i="1"/>
  <c r="L1527" i="1"/>
  <c r="K1527" i="1"/>
  <c r="J1527" i="1"/>
  <c r="I1527" i="1"/>
  <c r="G1527" i="1"/>
  <c r="F1527" i="1"/>
  <c r="E1527" i="1"/>
  <c r="D1527" i="1"/>
  <c r="C1527" i="1"/>
  <c r="H1527" i="1" s="1"/>
  <c r="M1526" i="1"/>
  <c r="L1526" i="1"/>
  <c r="K1526" i="1"/>
  <c r="J1526" i="1"/>
  <c r="I1526" i="1"/>
  <c r="G1526" i="1"/>
  <c r="F1526" i="1"/>
  <c r="E1526" i="1"/>
  <c r="D1526" i="1"/>
  <c r="C1526" i="1"/>
  <c r="H1526" i="1" s="1"/>
  <c r="M1525" i="1"/>
  <c r="L1525" i="1"/>
  <c r="K1525" i="1"/>
  <c r="J1525" i="1"/>
  <c r="I1525" i="1"/>
  <c r="G1525" i="1"/>
  <c r="H1525" i="1" s="1"/>
  <c r="F1525" i="1"/>
  <c r="E1525" i="1"/>
  <c r="D1525" i="1"/>
  <c r="C1525" i="1"/>
  <c r="M1524" i="1"/>
  <c r="L1524" i="1"/>
  <c r="K1524" i="1"/>
  <c r="J1524" i="1"/>
  <c r="I1524" i="1"/>
  <c r="G1524" i="1"/>
  <c r="F1524" i="1"/>
  <c r="E1524" i="1"/>
  <c r="D1524" i="1"/>
  <c r="C1524" i="1"/>
  <c r="M1523" i="1"/>
  <c r="L1523" i="1"/>
  <c r="K1523" i="1"/>
  <c r="J1523" i="1"/>
  <c r="I1523" i="1"/>
  <c r="H1523" i="1"/>
  <c r="G1523" i="1"/>
  <c r="F1523" i="1"/>
  <c r="E1523" i="1"/>
  <c r="D1523" i="1"/>
  <c r="C1523" i="1"/>
  <c r="M1522" i="1"/>
  <c r="L1522" i="1"/>
  <c r="K1522" i="1"/>
  <c r="J1522" i="1"/>
  <c r="I1522" i="1"/>
  <c r="H1522" i="1"/>
  <c r="G1522" i="1"/>
  <c r="F1522" i="1"/>
  <c r="E1522" i="1"/>
  <c r="D1522" i="1"/>
  <c r="C1522" i="1"/>
  <c r="M1521" i="1"/>
  <c r="L1521" i="1"/>
  <c r="K1521" i="1"/>
  <c r="J1521" i="1"/>
  <c r="I1521" i="1"/>
  <c r="G1521" i="1"/>
  <c r="F1521" i="1"/>
  <c r="E1521" i="1"/>
  <c r="D1521" i="1"/>
  <c r="C1521" i="1"/>
  <c r="M1520" i="1"/>
  <c r="L1520" i="1"/>
  <c r="K1520" i="1"/>
  <c r="J1520" i="1"/>
  <c r="I1520" i="1"/>
  <c r="G1520" i="1"/>
  <c r="F1520" i="1"/>
  <c r="E1520" i="1"/>
  <c r="D1520" i="1"/>
  <c r="C1520" i="1"/>
  <c r="H1520" i="1" s="1"/>
  <c r="M1519" i="1"/>
  <c r="L1519" i="1"/>
  <c r="K1519" i="1"/>
  <c r="J1519" i="1"/>
  <c r="I1519" i="1"/>
  <c r="G1519" i="1"/>
  <c r="H1519" i="1" s="1"/>
  <c r="F1519" i="1"/>
  <c r="E1519" i="1"/>
  <c r="D1519" i="1"/>
  <c r="C1519" i="1"/>
  <c r="M1518" i="1"/>
  <c r="L1518" i="1"/>
  <c r="K1518" i="1"/>
  <c r="J1518" i="1"/>
  <c r="I1518" i="1"/>
  <c r="G1518" i="1"/>
  <c r="H1518" i="1" s="1"/>
  <c r="F1518" i="1"/>
  <c r="E1518" i="1"/>
  <c r="D1518" i="1"/>
  <c r="C1518" i="1"/>
  <c r="M1517" i="1"/>
  <c r="L1517" i="1"/>
  <c r="K1517" i="1"/>
  <c r="J1517" i="1"/>
  <c r="I1517" i="1"/>
  <c r="G1517" i="1"/>
  <c r="F1517" i="1"/>
  <c r="E1517" i="1"/>
  <c r="D1517" i="1"/>
  <c r="C1517" i="1"/>
  <c r="H1517" i="1" s="1"/>
  <c r="M1516" i="1"/>
  <c r="L1516" i="1"/>
  <c r="K1516" i="1"/>
  <c r="J1516" i="1"/>
  <c r="I1516" i="1"/>
  <c r="H1516" i="1"/>
  <c r="G1516" i="1"/>
  <c r="F1516" i="1"/>
  <c r="E1516" i="1"/>
  <c r="D1516" i="1"/>
  <c r="C1516" i="1"/>
  <c r="M1515" i="1"/>
  <c r="L1515" i="1"/>
  <c r="K1515" i="1"/>
  <c r="J1515" i="1"/>
  <c r="I1515" i="1"/>
  <c r="G1515" i="1"/>
  <c r="H1515" i="1" s="1"/>
  <c r="F1515" i="1"/>
  <c r="E1515" i="1"/>
  <c r="D1515" i="1"/>
  <c r="C1515" i="1"/>
  <c r="M1514" i="1"/>
  <c r="L1514" i="1"/>
  <c r="K1514" i="1"/>
  <c r="J1514" i="1"/>
  <c r="I1514" i="1"/>
  <c r="G1514" i="1"/>
  <c r="F1514" i="1"/>
  <c r="E1514" i="1"/>
  <c r="D1514" i="1"/>
  <c r="C1514" i="1"/>
  <c r="H1514" i="1" s="1"/>
  <c r="M1513" i="1"/>
  <c r="L1513" i="1"/>
  <c r="K1513" i="1"/>
  <c r="J1513" i="1"/>
  <c r="I1513" i="1"/>
  <c r="G1513" i="1"/>
  <c r="H1513" i="1" s="1"/>
  <c r="F1513" i="1"/>
  <c r="E1513" i="1"/>
  <c r="D1513" i="1"/>
  <c r="C1513" i="1"/>
  <c r="M1512" i="1"/>
  <c r="L1512" i="1"/>
  <c r="K1512" i="1"/>
  <c r="J1512" i="1"/>
  <c r="I1512" i="1"/>
  <c r="G1512" i="1"/>
  <c r="H1512" i="1" s="1"/>
  <c r="F1512" i="1"/>
  <c r="E1512" i="1"/>
  <c r="D1512" i="1"/>
  <c r="C1512" i="1"/>
  <c r="M1511" i="1"/>
  <c r="L1511" i="1"/>
  <c r="K1511" i="1"/>
  <c r="J1511" i="1"/>
  <c r="I1511" i="1"/>
  <c r="G1511" i="1"/>
  <c r="F1511" i="1"/>
  <c r="E1511" i="1"/>
  <c r="D1511" i="1"/>
  <c r="C1511" i="1"/>
  <c r="M1510" i="1"/>
  <c r="L1510" i="1"/>
  <c r="K1510" i="1"/>
  <c r="J1510" i="1"/>
  <c r="I1510" i="1"/>
  <c r="H1510" i="1"/>
  <c r="G1510" i="1"/>
  <c r="F1510" i="1"/>
  <c r="E1510" i="1"/>
  <c r="D1510" i="1"/>
  <c r="C1510" i="1"/>
  <c r="M1509" i="1"/>
  <c r="L1509" i="1"/>
  <c r="K1509" i="1"/>
  <c r="J1509" i="1"/>
  <c r="I1509" i="1"/>
  <c r="G1509" i="1"/>
  <c r="H1509" i="1" s="1"/>
  <c r="F1509" i="1"/>
  <c r="E1509" i="1"/>
  <c r="D1509" i="1"/>
  <c r="C1509" i="1"/>
  <c r="M1508" i="1"/>
  <c r="L1508" i="1"/>
  <c r="K1508" i="1"/>
  <c r="J1508" i="1"/>
  <c r="I1508" i="1"/>
  <c r="G1508" i="1"/>
  <c r="F1508" i="1"/>
  <c r="E1508" i="1"/>
  <c r="D1508" i="1"/>
  <c r="C1508" i="1"/>
  <c r="H1508" i="1" s="1"/>
  <c r="M1507" i="1"/>
  <c r="L1507" i="1"/>
  <c r="K1507" i="1"/>
  <c r="J1507" i="1"/>
  <c r="I1507" i="1"/>
  <c r="H1507" i="1"/>
  <c r="G1507" i="1"/>
  <c r="F1507" i="1"/>
  <c r="E1507" i="1"/>
  <c r="D1507" i="1"/>
  <c r="C1507" i="1"/>
  <c r="M1506" i="1"/>
  <c r="L1506" i="1"/>
  <c r="K1506" i="1"/>
  <c r="J1506" i="1"/>
  <c r="I1506" i="1"/>
  <c r="G1506" i="1"/>
  <c r="F1506" i="1"/>
  <c r="E1506" i="1"/>
  <c r="D1506" i="1"/>
  <c r="C1506" i="1"/>
  <c r="H1506" i="1" s="1"/>
  <c r="M1505" i="1"/>
  <c r="L1505" i="1"/>
  <c r="K1505" i="1"/>
  <c r="J1505" i="1"/>
  <c r="I1505" i="1"/>
  <c r="G1505" i="1"/>
  <c r="F1505" i="1"/>
  <c r="E1505" i="1"/>
  <c r="D1505" i="1"/>
  <c r="C1505" i="1"/>
  <c r="M1504" i="1"/>
  <c r="L1504" i="1"/>
  <c r="K1504" i="1"/>
  <c r="J1504" i="1"/>
  <c r="I1504" i="1"/>
  <c r="G1504" i="1"/>
  <c r="H1504" i="1" s="1"/>
  <c r="F1504" i="1"/>
  <c r="E1504" i="1"/>
  <c r="D1504" i="1"/>
  <c r="C1504" i="1"/>
  <c r="M1503" i="1"/>
  <c r="L1503" i="1"/>
  <c r="K1503" i="1"/>
  <c r="J1503" i="1"/>
  <c r="I1503" i="1"/>
  <c r="G1503" i="1"/>
  <c r="F1503" i="1"/>
  <c r="E1503" i="1"/>
  <c r="D1503" i="1"/>
  <c r="C1503" i="1"/>
  <c r="M1502" i="1"/>
  <c r="L1502" i="1"/>
  <c r="K1502" i="1"/>
  <c r="J1502" i="1"/>
  <c r="I1502" i="1"/>
  <c r="G1502" i="1"/>
  <c r="H1502" i="1" s="1"/>
  <c r="F1502" i="1"/>
  <c r="E1502" i="1"/>
  <c r="D1502" i="1"/>
  <c r="C1502" i="1"/>
  <c r="M1501" i="1"/>
  <c r="L1501" i="1"/>
  <c r="K1501" i="1"/>
  <c r="J1501" i="1"/>
  <c r="I1501" i="1"/>
  <c r="H1501" i="1"/>
  <c r="G1501" i="1"/>
  <c r="F1501" i="1"/>
  <c r="E1501" i="1"/>
  <c r="D1501" i="1"/>
  <c r="C1501" i="1"/>
  <c r="M1500" i="1"/>
  <c r="L1500" i="1"/>
  <c r="K1500" i="1"/>
  <c r="J1500" i="1"/>
  <c r="I1500" i="1"/>
  <c r="G1500" i="1"/>
  <c r="F1500" i="1"/>
  <c r="E1500" i="1"/>
  <c r="D1500" i="1"/>
  <c r="C1500" i="1"/>
  <c r="M1499" i="1"/>
  <c r="L1499" i="1"/>
  <c r="K1499" i="1"/>
  <c r="J1499" i="1"/>
  <c r="I1499" i="1"/>
  <c r="G1499" i="1"/>
  <c r="H1499" i="1" s="1"/>
  <c r="F1499" i="1"/>
  <c r="E1499" i="1"/>
  <c r="D1499" i="1"/>
  <c r="C1499" i="1"/>
  <c r="M1498" i="1"/>
  <c r="L1498" i="1"/>
  <c r="K1498" i="1"/>
  <c r="J1498" i="1"/>
  <c r="I1498" i="1"/>
  <c r="H1498" i="1"/>
  <c r="G1498" i="1"/>
  <c r="F1498" i="1"/>
  <c r="E1498" i="1"/>
  <c r="D1498" i="1"/>
  <c r="C1498" i="1"/>
  <c r="M1497" i="1"/>
  <c r="L1497" i="1"/>
  <c r="K1497" i="1"/>
  <c r="J1497" i="1"/>
  <c r="I1497" i="1"/>
  <c r="G1497" i="1"/>
  <c r="F1497" i="1"/>
  <c r="E1497" i="1"/>
  <c r="D1497" i="1"/>
  <c r="C1497" i="1"/>
  <c r="M1496" i="1"/>
  <c r="L1496" i="1"/>
  <c r="K1496" i="1"/>
  <c r="J1496" i="1"/>
  <c r="I1496" i="1"/>
  <c r="G1496" i="1"/>
  <c r="H1496" i="1" s="1"/>
  <c r="F1496" i="1"/>
  <c r="E1496" i="1"/>
  <c r="D1496" i="1"/>
  <c r="C1496" i="1"/>
  <c r="M1495" i="1"/>
  <c r="L1495" i="1"/>
  <c r="K1495" i="1"/>
  <c r="J1495" i="1"/>
  <c r="I1495" i="1"/>
  <c r="G1495" i="1"/>
  <c r="F1495" i="1"/>
  <c r="E1495" i="1"/>
  <c r="D1495" i="1"/>
  <c r="C1495" i="1"/>
  <c r="H1495" i="1" s="1"/>
  <c r="M1494" i="1"/>
  <c r="L1494" i="1"/>
  <c r="K1494" i="1"/>
  <c r="J1494" i="1"/>
  <c r="I1494" i="1"/>
  <c r="G1494" i="1"/>
  <c r="H1494" i="1" s="1"/>
  <c r="F1494" i="1"/>
  <c r="E1494" i="1"/>
  <c r="D1494" i="1"/>
  <c r="C1494" i="1"/>
  <c r="M1493" i="1"/>
  <c r="L1493" i="1"/>
  <c r="K1493" i="1"/>
  <c r="J1493" i="1"/>
  <c r="I1493" i="1"/>
  <c r="G1493" i="1"/>
  <c r="H1493" i="1" s="1"/>
  <c r="F1493" i="1"/>
  <c r="E1493" i="1"/>
  <c r="D1493" i="1"/>
  <c r="C1493" i="1"/>
  <c r="M1492" i="1"/>
  <c r="L1492" i="1"/>
  <c r="K1492" i="1"/>
  <c r="J1492" i="1"/>
  <c r="I1492" i="1"/>
  <c r="G1492" i="1"/>
  <c r="H1492" i="1" s="1"/>
  <c r="F1492" i="1"/>
  <c r="E1492" i="1"/>
  <c r="D1492" i="1"/>
  <c r="C1492" i="1"/>
  <c r="M1491" i="1"/>
  <c r="L1491" i="1"/>
  <c r="K1491" i="1"/>
  <c r="J1491" i="1"/>
  <c r="I1491" i="1"/>
  <c r="H1491" i="1"/>
  <c r="G1491" i="1"/>
  <c r="F1491" i="1"/>
  <c r="E1491" i="1"/>
  <c r="D1491" i="1"/>
  <c r="C1491" i="1"/>
  <c r="M1490" i="1"/>
  <c r="L1490" i="1"/>
  <c r="K1490" i="1"/>
  <c r="J1490" i="1"/>
  <c r="I1490" i="1"/>
  <c r="G1490" i="1"/>
  <c r="F1490" i="1"/>
  <c r="E1490" i="1"/>
  <c r="D1490" i="1"/>
  <c r="C1490" i="1"/>
  <c r="H1490" i="1" s="1"/>
  <c r="M1489" i="1"/>
  <c r="L1489" i="1"/>
  <c r="K1489" i="1"/>
  <c r="J1489" i="1"/>
  <c r="I1489" i="1"/>
  <c r="H1489" i="1"/>
  <c r="G1489" i="1"/>
  <c r="F1489" i="1"/>
  <c r="E1489" i="1"/>
  <c r="D1489" i="1"/>
  <c r="C1489" i="1"/>
  <c r="M1488" i="1"/>
  <c r="L1488" i="1"/>
  <c r="K1488" i="1"/>
  <c r="J1488" i="1"/>
  <c r="I1488" i="1"/>
  <c r="G1488" i="1"/>
  <c r="F1488" i="1"/>
  <c r="E1488" i="1"/>
  <c r="D1488" i="1"/>
  <c r="C1488" i="1"/>
  <c r="H1488" i="1" s="1"/>
  <c r="M1487" i="1"/>
  <c r="L1487" i="1"/>
  <c r="K1487" i="1"/>
  <c r="J1487" i="1"/>
  <c r="I1487" i="1"/>
  <c r="G1487" i="1"/>
  <c r="F1487" i="1"/>
  <c r="E1487" i="1"/>
  <c r="D1487" i="1"/>
  <c r="C1487" i="1"/>
  <c r="M1486" i="1"/>
  <c r="L1486" i="1"/>
  <c r="K1486" i="1"/>
  <c r="J1486" i="1"/>
  <c r="I1486" i="1"/>
  <c r="H1486" i="1"/>
  <c r="G1486" i="1"/>
  <c r="F1486" i="1"/>
  <c r="E1486" i="1"/>
  <c r="D1486" i="1"/>
  <c r="C1486" i="1"/>
  <c r="M1485" i="1"/>
  <c r="L1485" i="1"/>
  <c r="K1485" i="1"/>
  <c r="J1485" i="1"/>
  <c r="I1485" i="1"/>
  <c r="G1485" i="1"/>
  <c r="F1485" i="1"/>
  <c r="E1485" i="1"/>
  <c r="D1485" i="1"/>
  <c r="C1485" i="1"/>
  <c r="H1485" i="1" s="1"/>
  <c r="M1484" i="1"/>
  <c r="L1484" i="1"/>
  <c r="K1484" i="1"/>
  <c r="J1484" i="1"/>
  <c r="I1484" i="1"/>
  <c r="G1484" i="1"/>
  <c r="F1484" i="1"/>
  <c r="E1484" i="1"/>
  <c r="D1484" i="1"/>
  <c r="C1484" i="1"/>
  <c r="H1484" i="1" s="1"/>
  <c r="M1483" i="1"/>
  <c r="L1483" i="1"/>
  <c r="K1483" i="1"/>
  <c r="J1483" i="1"/>
  <c r="I1483" i="1"/>
  <c r="G1483" i="1"/>
  <c r="H1483" i="1" s="1"/>
  <c r="F1483" i="1"/>
  <c r="E1483" i="1"/>
  <c r="D1483" i="1"/>
  <c r="C1483" i="1"/>
  <c r="M1482" i="1"/>
  <c r="L1482" i="1"/>
  <c r="K1482" i="1"/>
  <c r="J1482" i="1"/>
  <c r="I1482" i="1"/>
  <c r="G1482" i="1"/>
  <c r="H1482" i="1" s="1"/>
  <c r="F1482" i="1"/>
  <c r="E1482" i="1"/>
  <c r="D1482" i="1"/>
  <c r="C1482" i="1"/>
  <c r="M1481" i="1"/>
  <c r="L1481" i="1"/>
  <c r="K1481" i="1"/>
  <c r="J1481" i="1"/>
  <c r="I1481" i="1"/>
  <c r="G1481" i="1"/>
  <c r="F1481" i="1"/>
  <c r="E1481" i="1"/>
  <c r="D1481" i="1"/>
  <c r="C1481" i="1"/>
  <c r="H1481" i="1" s="1"/>
  <c r="M1480" i="1"/>
  <c r="L1480" i="1"/>
  <c r="K1480" i="1"/>
  <c r="J1480" i="1"/>
  <c r="I1480" i="1"/>
  <c r="H1480" i="1"/>
  <c r="G1480" i="1"/>
  <c r="F1480" i="1"/>
  <c r="E1480" i="1"/>
  <c r="D1480" i="1"/>
  <c r="C1480" i="1"/>
  <c r="M1479" i="1"/>
  <c r="L1479" i="1"/>
  <c r="K1479" i="1"/>
  <c r="J1479" i="1"/>
  <c r="I1479" i="1"/>
  <c r="G1479" i="1"/>
  <c r="F1479" i="1"/>
  <c r="E1479" i="1"/>
  <c r="D1479" i="1"/>
  <c r="C1479" i="1"/>
  <c r="H1479" i="1" s="1"/>
  <c r="M1478" i="1"/>
  <c r="L1478" i="1"/>
  <c r="K1478" i="1"/>
  <c r="J1478" i="1"/>
  <c r="I1478" i="1"/>
  <c r="G1478" i="1"/>
  <c r="H1478" i="1" s="1"/>
  <c r="F1478" i="1"/>
  <c r="E1478" i="1"/>
  <c r="D1478" i="1"/>
  <c r="C1478" i="1"/>
  <c r="M1477" i="1"/>
  <c r="L1477" i="1"/>
  <c r="K1477" i="1"/>
  <c r="J1477" i="1"/>
  <c r="I1477" i="1"/>
  <c r="G1477" i="1"/>
  <c r="F1477" i="1"/>
  <c r="E1477" i="1"/>
  <c r="D1477" i="1"/>
  <c r="C1477" i="1"/>
  <c r="H1477" i="1" s="1"/>
  <c r="M1476" i="1"/>
  <c r="L1476" i="1"/>
  <c r="K1476" i="1"/>
  <c r="J1476" i="1"/>
  <c r="I1476" i="1"/>
  <c r="G1476" i="1"/>
  <c r="F1476" i="1"/>
  <c r="E1476" i="1"/>
  <c r="D1476" i="1"/>
  <c r="C1476" i="1"/>
  <c r="H1476" i="1" s="1"/>
  <c r="M1475" i="1"/>
  <c r="L1475" i="1"/>
  <c r="K1475" i="1"/>
  <c r="J1475" i="1"/>
  <c r="I1475" i="1"/>
  <c r="G1475" i="1"/>
  <c r="H1475" i="1" s="1"/>
  <c r="F1475" i="1"/>
  <c r="E1475" i="1"/>
  <c r="D1475" i="1"/>
  <c r="C1475" i="1"/>
  <c r="M1474" i="1"/>
  <c r="L1474" i="1"/>
  <c r="K1474" i="1"/>
  <c r="J1474" i="1"/>
  <c r="I1474" i="1"/>
  <c r="G1474" i="1"/>
  <c r="F1474" i="1"/>
  <c r="E1474" i="1"/>
  <c r="D1474" i="1"/>
  <c r="C1474" i="1"/>
  <c r="H1474" i="1" s="1"/>
  <c r="M1473" i="1"/>
  <c r="L1473" i="1"/>
  <c r="K1473" i="1"/>
  <c r="J1473" i="1"/>
  <c r="I1473" i="1"/>
  <c r="G1473" i="1"/>
  <c r="H1473" i="1" s="1"/>
  <c r="F1473" i="1"/>
  <c r="E1473" i="1"/>
  <c r="D1473" i="1"/>
  <c r="C1473" i="1"/>
  <c r="M1472" i="1"/>
  <c r="L1472" i="1"/>
  <c r="K1472" i="1"/>
  <c r="J1472" i="1"/>
  <c r="I1472" i="1"/>
  <c r="G1472" i="1"/>
  <c r="H1472" i="1" s="1"/>
  <c r="F1472" i="1"/>
  <c r="E1472" i="1"/>
  <c r="D1472" i="1"/>
  <c r="C1472" i="1"/>
  <c r="M1471" i="1"/>
  <c r="L1471" i="1"/>
  <c r="K1471" i="1"/>
  <c r="J1471" i="1"/>
  <c r="I1471" i="1"/>
  <c r="G1471" i="1"/>
  <c r="F1471" i="1"/>
  <c r="E1471" i="1"/>
  <c r="D1471" i="1"/>
  <c r="C1471" i="1"/>
  <c r="M1470" i="1"/>
  <c r="L1470" i="1"/>
  <c r="K1470" i="1"/>
  <c r="J1470" i="1"/>
  <c r="I1470" i="1"/>
  <c r="G1470" i="1"/>
  <c r="H1470" i="1" s="1"/>
  <c r="F1470" i="1"/>
  <c r="E1470" i="1"/>
  <c r="D1470" i="1"/>
  <c r="C1470" i="1"/>
  <c r="M1469" i="1"/>
  <c r="L1469" i="1"/>
  <c r="K1469" i="1"/>
  <c r="J1469" i="1"/>
  <c r="I1469" i="1"/>
  <c r="H1469" i="1"/>
  <c r="G1469" i="1"/>
  <c r="F1469" i="1"/>
  <c r="E1469" i="1"/>
  <c r="D1469" i="1"/>
  <c r="C1469" i="1"/>
  <c r="M1468" i="1"/>
  <c r="L1468" i="1"/>
  <c r="K1468" i="1"/>
  <c r="J1468" i="1"/>
  <c r="I1468" i="1"/>
  <c r="H1468" i="1"/>
  <c r="G1468" i="1"/>
  <c r="F1468" i="1"/>
  <c r="E1468" i="1"/>
  <c r="D1468" i="1"/>
  <c r="C1468" i="1"/>
  <c r="M1467" i="1"/>
  <c r="L1467" i="1"/>
  <c r="K1467" i="1"/>
  <c r="J1467" i="1"/>
  <c r="I1467" i="1"/>
  <c r="H1467" i="1"/>
  <c r="G1467" i="1"/>
  <c r="F1467" i="1"/>
  <c r="E1467" i="1"/>
  <c r="D1467" i="1"/>
  <c r="C1467" i="1"/>
  <c r="M1466" i="1"/>
  <c r="L1466" i="1"/>
  <c r="K1466" i="1"/>
  <c r="J1466" i="1"/>
  <c r="I1466" i="1"/>
  <c r="G1466" i="1"/>
  <c r="F1466" i="1"/>
  <c r="E1466" i="1"/>
  <c r="D1466" i="1"/>
  <c r="C1466" i="1"/>
  <c r="M1465" i="1"/>
  <c r="L1465" i="1"/>
  <c r="K1465" i="1"/>
  <c r="J1465" i="1"/>
  <c r="I1465" i="1"/>
  <c r="G1465" i="1"/>
  <c r="F1465" i="1"/>
  <c r="E1465" i="1"/>
  <c r="D1465" i="1"/>
  <c r="C1465" i="1"/>
  <c r="H1465" i="1" s="1"/>
  <c r="M1464" i="1"/>
  <c r="L1464" i="1"/>
  <c r="K1464" i="1"/>
  <c r="J1464" i="1"/>
  <c r="I1464" i="1"/>
  <c r="G1464" i="1"/>
  <c r="F1464" i="1"/>
  <c r="E1464" i="1"/>
  <c r="D1464" i="1"/>
  <c r="C1464" i="1"/>
  <c r="M1463" i="1"/>
  <c r="L1463" i="1"/>
  <c r="K1463" i="1"/>
  <c r="J1463" i="1"/>
  <c r="I1463" i="1"/>
  <c r="G1463" i="1"/>
  <c r="H1463" i="1" s="1"/>
  <c r="F1463" i="1"/>
  <c r="E1463" i="1"/>
  <c r="D1463" i="1"/>
  <c r="C1463" i="1"/>
  <c r="M1462" i="1"/>
  <c r="L1462" i="1"/>
  <c r="K1462" i="1"/>
  <c r="J1462" i="1"/>
  <c r="I1462" i="1"/>
  <c r="G1462" i="1"/>
  <c r="F1462" i="1"/>
  <c r="E1462" i="1"/>
  <c r="D1462" i="1"/>
  <c r="C1462" i="1"/>
  <c r="H1462" i="1" s="1"/>
  <c r="M1461" i="1"/>
  <c r="L1461" i="1"/>
  <c r="K1461" i="1"/>
  <c r="J1461" i="1"/>
  <c r="I1461" i="1"/>
  <c r="G1461" i="1"/>
  <c r="H1461" i="1" s="1"/>
  <c r="F1461" i="1"/>
  <c r="E1461" i="1"/>
  <c r="D1461" i="1"/>
  <c r="C1461" i="1"/>
  <c r="M1460" i="1"/>
  <c r="L1460" i="1"/>
  <c r="K1460" i="1"/>
  <c r="J1460" i="1"/>
  <c r="I1460" i="1"/>
  <c r="G1460" i="1"/>
  <c r="F1460" i="1"/>
  <c r="E1460" i="1"/>
  <c r="D1460" i="1"/>
  <c r="C1460" i="1"/>
  <c r="H1460" i="1" s="1"/>
  <c r="M1459" i="1"/>
  <c r="L1459" i="1"/>
  <c r="K1459" i="1"/>
  <c r="J1459" i="1"/>
  <c r="I1459" i="1"/>
  <c r="G1459" i="1"/>
  <c r="H1459" i="1" s="1"/>
  <c r="F1459" i="1"/>
  <c r="E1459" i="1"/>
  <c r="D1459" i="1"/>
  <c r="C1459" i="1"/>
  <c r="M1458" i="1"/>
  <c r="L1458" i="1"/>
  <c r="K1458" i="1"/>
  <c r="J1458" i="1"/>
  <c r="I1458" i="1"/>
  <c r="H1458" i="1"/>
  <c r="G1458" i="1"/>
  <c r="F1458" i="1"/>
  <c r="E1458" i="1"/>
  <c r="D1458" i="1"/>
  <c r="C1458" i="1"/>
  <c r="M1457" i="1"/>
  <c r="L1457" i="1"/>
  <c r="K1457" i="1"/>
  <c r="J1457" i="1"/>
  <c r="I1457" i="1"/>
  <c r="G1457" i="1"/>
  <c r="F1457" i="1"/>
  <c r="E1457" i="1"/>
  <c r="D1457" i="1"/>
  <c r="C1457" i="1"/>
  <c r="H1457" i="1" s="1"/>
  <c r="M1456" i="1"/>
  <c r="L1456" i="1"/>
  <c r="K1456" i="1"/>
  <c r="J1456" i="1"/>
  <c r="I1456" i="1"/>
  <c r="G1456" i="1"/>
  <c r="H1456" i="1" s="1"/>
  <c r="F1456" i="1"/>
  <c r="E1456" i="1"/>
  <c r="D1456" i="1"/>
  <c r="C1456" i="1"/>
  <c r="M1455" i="1"/>
  <c r="L1455" i="1"/>
  <c r="K1455" i="1"/>
  <c r="J1455" i="1"/>
  <c r="I1455" i="1"/>
  <c r="G1455" i="1"/>
  <c r="H1455" i="1" s="1"/>
  <c r="F1455" i="1"/>
  <c r="E1455" i="1"/>
  <c r="D1455" i="1"/>
  <c r="C1455" i="1"/>
  <c r="M1454" i="1"/>
  <c r="L1454" i="1"/>
  <c r="K1454" i="1"/>
  <c r="J1454" i="1"/>
  <c r="I1454" i="1"/>
  <c r="H1454" i="1"/>
  <c r="G1454" i="1"/>
  <c r="F1454" i="1"/>
  <c r="E1454" i="1"/>
  <c r="D1454" i="1"/>
  <c r="C1454" i="1"/>
  <c r="M1453" i="1"/>
  <c r="L1453" i="1"/>
  <c r="K1453" i="1"/>
  <c r="J1453" i="1"/>
  <c r="I1453" i="1"/>
  <c r="G1453" i="1"/>
  <c r="H1453" i="1" s="1"/>
  <c r="F1453" i="1"/>
  <c r="E1453" i="1"/>
  <c r="D1453" i="1"/>
  <c r="C1453" i="1"/>
  <c r="M1452" i="1"/>
  <c r="L1452" i="1"/>
  <c r="K1452" i="1"/>
  <c r="J1452" i="1"/>
  <c r="I1452" i="1"/>
  <c r="G1452" i="1"/>
  <c r="H1452" i="1" s="1"/>
  <c r="F1452" i="1"/>
  <c r="E1452" i="1"/>
  <c r="D1452" i="1"/>
  <c r="C1452" i="1"/>
  <c r="M1451" i="1"/>
  <c r="L1451" i="1"/>
  <c r="K1451" i="1"/>
  <c r="J1451" i="1"/>
  <c r="I1451" i="1"/>
  <c r="G1451" i="1"/>
  <c r="F1451" i="1"/>
  <c r="E1451" i="1"/>
  <c r="D1451" i="1"/>
  <c r="C1451" i="1"/>
  <c r="M1450" i="1"/>
  <c r="L1450" i="1"/>
  <c r="K1450" i="1"/>
  <c r="J1450" i="1"/>
  <c r="I1450" i="1"/>
  <c r="G1450" i="1"/>
  <c r="H1450" i="1" s="1"/>
  <c r="F1450" i="1"/>
  <c r="E1450" i="1"/>
  <c r="D1450" i="1"/>
  <c r="C1450" i="1"/>
  <c r="M1449" i="1"/>
  <c r="L1449" i="1"/>
  <c r="K1449" i="1"/>
  <c r="J1449" i="1"/>
  <c r="I1449" i="1"/>
  <c r="G1449" i="1"/>
  <c r="H1449" i="1" s="1"/>
  <c r="F1449" i="1"/>
  <c r="E1449" i="1"/>
  <c r="D1449" i="1"/>
  <c r="C1449" i="1"/>
  <c r="M1448" i="1"/>
  <c r="L1448" i="1"/>
  <c r="K1448" i="1"/>
  <c r="J1448" i="1"/>
  <c r="I1448" i="1"/>
  <c r="G1448" i="1"/>
  <c r="F1448" i="1"/>
  <c r="E1448" i="1"/>
  <c r="D1448" i="1"/>
  <c r="C1448" i="1"/>
  <c r="H1448" i="1" s="1"/>
  <c r="M1447" i="1"/>
  <c r="L1447" i="1"/>
  <c r="K1447" i="1"/>
  <c r="J1447" i="1"/>
  <c r="I1447" i="1"/>
  <c r="G1447" i="1"/>
  <c r="H1447" i="1" s="1"/>
  <c r="F1447" i="1"/>
  <c r="E1447" i="1"/>
  <c r="D1447" i="1"/>
  <c r="C1447" i="1"/>
  <c r="M1446" i="1"/>
  <c r="L1446" i="1"/>
  <c r="K1446" i="1"/>
  <c r="J1446" i="1"/>
  <c r="I1446" i="1"/>
  <c r="G1446" i="1"/>
  <c r="H1446" i="1" s="1"/>
  <c r="F1446" i="1"/>
  <c r="E1446" i="1"/>
  <c r="D1446" i="1"/>
  <c r="C1446" i="1"/>
  <c r="M1445" i="1"/>
  <c r="L1445" i="1"/>
  <c r="K1445" i="1"/>
  <c r="J1445" i="1"/>
  <c r="I1445" i="1"/>
  <c r="G1445" i="1"/>
  <c r="F1445" i="1"/>
  <c r="E1445" i="1"/>
  <c r="D1445" i="1"/>
  <c r="C1445" i="1"/>
  <c r="M1444" i="1"/>
  <c r="L1444" i="1"/>
  <c r="K1444" i="1"/>
  <c r="J1444" i="1"/>
  <c r="I1444" i="1"/>
  <c r="G1444" i="1"/>
  <c r="H1444" i="1" s="1"/>
  <c r="F1444" i="1"/>
  <c r="E1444" i="1"/>
  <c r="D1444" i="1"/>
  <c r="C1444" i="1"/>
  <c r="M1443" i="1"/>
  <c r="L1443" i="1"/>
  <c r="K1443" i="1"/>
  <c r="J1443" i="1"/>
  <c r="I1443" i="1"/>
  <c r="G1443" i="1"/>
  <c r="H1443" i="1" s="1"/>
  <c r="F1443" i="1"/>
  <c r="E1443" i="1"/>
  <c r="D1443" i="1"/>
  <c r="C1443" i="1"/>
  <c r="M1442" i="1"/>
  <c r="L1442" i="1"/>
  <c r="K1442" i="1"/>
  <c r="J1442" i="1"/>
  <c r="I1442" i="1"/>
  <c r="G1442" i="1"/>
  <c r="F1442" i="1"/>
  <c r="E1442" i="1"/>
  <c r="D1442" i="1"/>
  <c r="C1442" i="1"/>
  <c r="H1442" i="1" s="1"/>
  <c r="M1441" i="1"/>
  <c r="L1441" i="1"/>
  <c r="K1441" i="1"/>
  <c r="J1441" i="1"/>
  <c r="I1441" i="1"/>
  <c r="G1441" i="1"/>
  <c r="F1441" i="1"/>
  <c r="E1441" i="1"/>
  <c r="D1441" i="1"/>
  <c r="C1441" i="1"/>
  <c r="H1441" i="1" s="1"/>
  <c r="M1440" i="1"/>
  <c r="L1440" i="1"/>
  <c r="K1440" i="1"/>
  <c r="J1440" i="1"/>
  <c r="I1440" i="1"/>
  <c r="G1440" i="1"/>
  <c r="H1440" i="1" s="1"/>
  <c r="F1440" i="1"/>
  <c r="E1440" i="1"/>
  <c r="D1440" i="1"/>
  <c r="C1440" i="1"/>
  <c r="M1439" i="1"/>
  <c r="L1439" i="1"/>
  <c r="K1439" i="1"/>
  <c r="J1439" i="1"/>
  <c r="I1439" i="1"/>
  <c r="G1439" i="1"/>
  <c r="F1439" i="1"/>
  <c r="E1439" i="1"/>
  <c r="D1439" i="1"/>
  <c r="C1439" i="1"/>
  <c r="M1438" i="1"/>
  <c r="L1438" i="1"/>
  <c r="K1438" i="1"/>
  <c r="J1438" i="1"/>
  <c r="I1438" i="1"/>
  <c r="H1438" i="1"/>
  <c r="G1438" i="1"/>
  <c r="F1438" i="1"/>
  <c r="E1438" i="1"/>
  <c r="D1438" i="1"/>
  <c r="C1438" i="1"/>
  <c r="M1437" i="1"/>
  <c r="L1437" i="1"/>
  <c r="K1437" i="1"/>
  <c r="J1437" i="1"/>
  <c r="I1437" i="1"/>
  <c r="G1437" i="1"/>
  <c r="H1437" i="1" s="1"/>
  <c r="F1437" i="1"/>
  <c r="E1437" i="1"/>
  <c r="D1437" i="1"/>
  <c r="C1437" i="1"/>
  <c r="M1436" i="1"/>
  <c r="L1436" i="1"/>
  <c r="K1436" i="1"/>
  <c r="J1436" i="1"/>
  <c r="I1436" i="1"/>
  <c r="G1436" i="1"/>
  <c r="F1436" i="1"/>
  <c r="E1436" i="1"/>
  <c r="D1436" i="1"/>
  <c r="C1436" i="1"/>
  <c r="H1436" i="1" s="1"/>
  <c r="M1435" i="1"/>
  <c r="L1435" i="1"/>
  <c r="K1435" i="1"/>
  <c r="J1435" i="1"/>
  <c r="I1435" i="1"/>
  <c r="G1435" i="1"/>
  <c r="F1435" i="1"/>
  <c r="E1435" i="1"/>
  <c r="D1435" i="1"/>
  <c r="C1435" i="1"/>
  <c r="H1435" i="1" s="1"/>
  <c r="M1434" i="1"/>
  <c r="L1434" i="1"/>
  <c r="K1434" i="1"/>
  <c r="J1434" i="1"/>
  <c r="I1434" i="1"/>
  <c r="G1434" i="1"/>
  <c r="H1434" i="1" s="1"/>
  <c r="F1434" i="1"/>
  <c r="E1434" i="1"/>
  <c r="D1434" i="1"/>
  <c r="C1434" i="1"/>
  <c r="M1433" i="1"/>
  <c r="L1433" i="1"/>
  <c r="K1433" i="1"/>
  <c r="J1433" i="1"/>
  <c r="I1433" i="1"/>
  <c r="G1433" i="1"/>
  <c r="F1433" i="1"/>
  <c r="E1433" i="1"/>
  <c r="D1433" i="1"/>
  <c r="C1433" i="1"/>
  <c r="H1433" i="1" s="1"/>
  <c r="M1432" i="1"/>
  <c r="L1432" i="1"/>
  <c r="K1432" i="1"/>
  <c r="J1432" i="1"/>
  <c r="I1432" i="1"/>
  <c r="G1432" i="1"/>
  <c r="F1432" i="1"/>
  <c r="E1432" i="1"/>
  <c r="D1432" i="1"/>
  <c r="C1432" i="1"/>
  <c r="M1431" i="1"/>
  <c r="L1431" i="1"/>
  <c r="K1431" i="1"/>
  <c r="J1431" i="1"/>
  <c r="I1431" i="1"/>
  <c r="G1431" i="1"/>
  <c r="H1431" i="1" s="1"/>
  <c r="F1431" i="1"/>
  <c r="E1431" i="1"/>
  <c r="D1431" i="1"/>
  <c r="C1431" i="1"/>
  <c r="M1430" i="1"/>
  <c r="L1430" i="1"/>
  <c r="K1430" i="1"/>
  <c r="J1430" i="1"/>
  <c r="I1430" i="1"/>
  <c r="G1430" i="1"/>
  <c r="F1430" i="1"/>
  <c r="E1430" i="1"/>
  <c r="D1430" i="1"/>
  <c r="C1430" i="1"/>
  <c r="H1430" i="1" s="1"/>
  <c r="M1429" i="1"/>
  <c r="L1429" i="1"/>
  <c r="K1429" i="1"/>
  <c r="J1429" i="1"/>
  <c r="I1429" i="1"/>
  <c r="G1429" i="1"/>
  <c r="F1429" i="1"/>
  <c r="E1429" i="1"/>
  <c r="D1429" i="1"/>
  <c r="C1429" i="1"/>
  <c r="H1429" i="1" s="1"/>
  <c r="M1428" i="1"/>
  <c r="L1428" i="1"/>
  <c r="K1428" i="1"/>
  <c r="J1428" i="1"/>
  <c r="I1428" i="1"/>
  <c r="H1428" i="1"/>
  <c r="G1428" i="1"/>
  <c r="F1428" i="1"/>
  <c r="E1428" i="1"/>
  <c r="D1428" i="1"/>
  <c r="C1428" i="1"/>
  <c r="M1427" i="1"/>
  <c r="L1427" i="1"/>
  <c r="K1427" i="1"/>
  <c r="J1427" i="1"/>
  <c r="I1427" i="1"/>
  <c r="G1427" i="1"/>
  <c r="F1427" i="1"/>
  <c r="E1427" i="1"/>
  <c r="D1427" i="1"/>
  <c r="C1427" i="1"/>
  <c r="H1427" i="1" s="1"/>
  <c r="M1426" i="1"/>
  <c r="L1426" i="1"/>
  <c r="K1426" i="1"/>
  <c r="J1426" i="1"/>
  <c r="I1426" i="1"/>
  <c r="G1426" i="1"/>
  <c r="F1426" i="1"/>
  <c r="E1426" i="1"/>
  <c r="D1426" i="1"/>
  <c r="C1426" i="1"/>
  <c r="H1426" i="1" s="1"/>
  <c r="M1425" i="1"/>
  <c r="L1425" i="1"/>
  <c r="K1425" i="1"/>
  <c r="J1425" i="1"/>
  <c r="I1425" i="1"/>
  <c r="H1425" i="1"/>
  <c r="G1425" i="1"/>
  <c r="F1425" i="1"/>
  <c r="E1425" i="1"/>
  <c r="D1425" i="1"/>
  <c r="C1425" i="1"/>
  <c r="M1424" i="1"/>
  <c r="L1424" i="1"/>
  <c r="K1424" i="1"/>
  <c r="J1424" i="1"/>
  <c r="I1424" i="1"/>
  <c r="G1424" i="1"/>
  <c r="F1424" i="1"/>
  <c r="E1424" i="1"/>
  <c r="D1424" i="1"/>
  <c r="C1424" i="1"/>
  <c r="H1424" i="1" s="1"/>
  <c r="M1423" i="1"/>
  <c r="L1423" i="1"/>
  <c r="K1423" i="1"/>
  <c r="J1423" i="1"/>
  <c r="I1423" i="1"/>
  <c r="G1423" i="1"/>
  <c r="F1423" i="1"/>
  <c r="E1423" i="1"/>
  <c r="D1423" i="1"/>
  <c r="C1423" i="1"/>
  <c r="M1422" i="1"/>
  <c r="L1422" i="1"/>
  <c r="K1422" i="1"/>
  <c r="J1422" i="1"/>
  <c r="I1422" i="1"/>
  <c r="H1422" i="1"/>
  <c r="G1422" i="1"/>
  <c r="F1422" i="1"/>
  <c r="E1422" i="1"/>
  <c r="D1422" i="1"/>
  <c r="C1422" i="1"/>
  <c r="M1421" i="1"/>
  <c r="L1421" i="1"/>
  <c r="K1421" i="1"/>
  <c r="J1421" i="1"/>
  <c r="I1421" i="1"/>
  <c r="G1421" i="1"/>
  <c r="F1421" i="1"/>
  <c r="E1421" i="1"/>
  <c r="D1421" i="1"/>
  <c r="C1421" i="1"/>
  <c r="H1421" i="1" s="1"/>
  <c r="M1420" i="1"/>
  <c r="L1420" i="1"/>
  <c r="K1420" i="1"/>
  <c r="J1420" i="1"/>
  <c r="I1420" i="1"/>
  <c r="G1420" i="1"/>
  <c r="F1420" i="1"/>
  <c r="E1420" i="1"/>
  <c r="D1420" i="1"/>
  <c r="C1420" i="1"/>
  <c r="M1419" i="1"/>
  <c r="L1419" i="1"/>
  <c r="K1419" i="1"/>
  <c r="J1419" i="1"/>
  <c r="I1419" i="1"/>
  <c r="G1419" i="1"/>
  <c r="F1419" i="1"/>
  <c r="E1419" i="1"/>
  <c r="D1419" i="1"/>
  <c r="C1419" i="1"/>
  <c r="H1419" i="1" s="1"/>
  <c r="M1418" i="1"/>
  <c r="L1418" i="1"/>
  <c r="K1418" i="1"/>
  <c r="J1418" i="1"/>
  <c r="I1418" i="1"/>
  <c r="H1418" i="1"/>
  <c r="G1418" i="1"/>
  <c r="F1418" i="1"/>
  <c r="E1418" i="1"/>
  <c r="D1418" i="1"/>
  <c r="C1418" i="1"/>
  <c r="M1417" i="1"/>
  <c r="L1417" i="1"/>
  <c r="K1417" i="1"/>
  <c r="J1417" i="1"/>
  <c r="I1417" i="1"/>
  <c r="G1417" i="1"/>
  <c r="F1417" i="1"/>
  <c r="E1417" i="1"/>
  <c r="D1417" i="1"/>
  <c r="C1417" i="1"/>
  <c r="M1416" i="1"/>
  <c r="L1416" i="1"/>
  <c r="K1416" i="1"/>
  <c r="J1416" i="1"/>
  <c r="I1416" i="1"/>
  <c r="G1416" i="1"/>
  <c r="F1416" i="1"/>
  <c r="E1416" i="1"/>
  <c r="D1416" i="1"/>
  <c r="C1416" i="1"/>
  <c r="H1416" i="1" s="1"/>
  <c r="M1415" i="1"/>
  <c r="L1415" i="1"/>
  <c r="K1415" i="1"/>
  <c r="J1415" i="1"/>
  <c r="I1415" i="1"/>
  <c r="H1415" i="1"/>
  <c r="G1415" i="1"/>
  <c r="F1415" i="1"/>
  <c r="E1415" i="1"/>
  <c r="D1415" i="1"/>
  <c r="C1415" i="1"/>
  <c r="M1414" i="1"/>
  <c r="L1414" i="1"/>
  <c r="K1414" i="1"/>
  <c r="J1414" i="1"/>
  <c r="I1414" i="1"/>
  <c r="G1414" i="1"/>
  <c r="H1414" i="1" s="1"/>
  <c r="F1414" i="1"/>
  <c r="E1414" i="1"/>
  <c r="D1414" i="1"/>
  <c r="C1414" i="1"/>
  <c r="M1413" i="1"/>
  <c r="L1413" i="1"/>
  <c r="K1413" i="1"/>
  <c r="J1413" i="1"/>
  <c r="I1413" i="1"/>
  <c r="G1413" i="1"/>
  <c r="F1413" i="1"/>
  <c r="E1413" i="1"/>
  <c r="D1413" i="1"/>
  <c r="C1413" i="1"/>
  <c r="M1412" i="1"/>
  <c r="L1412" i="1"/>
  <c r="K1412" i="1"/>
  <c r="J1412" i="1"/>
  <c r="I1412" i="1"/>
  <c r="H1412" i="1"/>
  <c r="G1412" i="1"/>
  <c r="F1412" i="1"/>
  <c r="E1412" i="1"/>
  <c r="D1412" i="1"/>
  <c r="C1412" i="1"/>
  <c r="M1411" i="1"/>
  <c r="L1411" i="1"/>
  <c r="K1411" i="1"/>
  <c r="J1411" i="1"/>
  <c r="I1411" i="1"/>
  <c r="G1411" i="1"/>
  <c r="H1411" i="1" s="1"/>
  <c r="F1411" i="1"/>
  <c r="E1411" i="1"/>
  <c r="D1411" i="1"/>
  <c r="C1411" i="1"/>
  <c r="M1410" i="1"/>
  <c r="L1410" i="1"/>
  <c r="K1410" i="1"/>
  <c r="J1410" i="1"/>
  <c r="I1410" i="1"/>
  <c r="G1410" i="1"/>
  <c r="F1410" i="1"/>
  <c r="E1410" i="1"/>
  <c r="D1410" i="1"/>
  <c r="C1410" i="1"/>
  <c r="H1410" i="1" s="1"/>
  <c r="M1409" i="1"/>
  <c r="L1409" i="1"/>
  <c r="K1409" i="1"/>
  <c r="J1409" i="1"/>
  <c r="I1409" i="1"/>
  <c r="H1409" i="1"/>
  <c r="G1409" i="1"/>
  <c r="F1409" i="1"/>
  <c r="E1409" i="1"/>
  <c r="D1409" i="1"/>
  <c r="C1409" i="1"/>
  <c r="M1408" i="1"/>
  <c r="L1408" i="1"/>
  <c r="K1408" i="1"/>
  <c r="J1408" i="1"/>
  <c r="I1408" i="1"/>
  <c r="G1408" i="1"/>
  <c r="H1408" i="1" s="1"/>
  <c r="F1408" i="1"/>
  <c r="E1408" i="1"/>
  <c r="D1408" i="1"/>
  <c r="C1408" i="1"/>
  <c r="M1407" i="1"/>
  <c r="L1407" i="1"/>
  <c r="K1407" i="1"/>
  <c r="J1407" i="1"/>
  <c r="I1407" i="1"/>
  <c r="G1407" i="1"/>
  <c r="F1407" i="1"/>
  <c r="E1407" i="1"/>
  <c r="D1407" i="1"/>
  <c r="C1407" i="1"/>
  <c r="M1406" i="1"/>
  <c r="L1406" i="1"/>
  <c r="K1406" i="1"/>
  <c r="J1406" i="1"/>
  <c r="I1406" i="1"/>
  <c r="H1406" i="1"/>
  <c r="G1406" i="1"/>
  <c r="F1406" i="1"/>
  <c r="E1406" i="1"/>
  <c r="D1406" i="1"/>
  <c r="C1406" i="1"/>
  <c r="M1405" i="1"/>
  <c r="L1405" i="1"/>
  <c r="K1405" i="1"/>
  <c r="J1405" i="1"/>
  <c r="I1405" i="1"/>
  <c r="G1405" i="1"/>
  <c r="F1405" i="1"/>
  <c r="E1405" i="1"/>
  <c r="D1405" i="1"/>
  <c r="C1405" i="1"/>
  <c r="M1404" i="1"/>
  <c r="L1404" i="1"/>
  <c r="K1404" i="1"/>
  <c r="J1404" i="1"/>
  <c r="I1404" i="1"/>
  <c r="G1404" i="1"/>
  <c r="F1404" i="1"/>
  <c r="E1404" i="1"/>
  <c r="D1404" i="1"/>
  <c r="C1404" i="1"/>
  <c r="M1403" i="1"/>
  <c r="L1403" i="1"/>
  <c r="K1403" i="1"/>
  <c r="J1403" i="1"/>
  <c r="I1403" i="1"/>
  <c r="H1403" i="1"/>
  <c r="G1403" i="1"/>
  <c r="F1403" i="1"/>
  <c r="E1403" i="1"/>
  <c r="D1403" i="1"/>
  <c r="C1403" i="1"/>
  <c r="M1402" i="1"/>
  <c r="L1402" i="1"/>
  <c r="K1402" i="1"/>
  <c r="J1402" i="1"/>
  <c r="I1402" i="1"/>
  <c r="G1402" i="1"/>
  <c r="F1402" i="1"/>
  <c r="E1402" i="1"/>
  <c r="D1402" i="1"/>
  <c r="C1402" i="1"/>
  <c r="M1401" i="1"/>
  <c r="L1401" i="1"/>
  <c r="K1401" i="1"/>
  <c r="J1401" i="1"/>
  <c r="I1401" i="1"/>
  <c r="G1401" i="1"/>
  <c r="F1401" i="1"/>
  <c r="E1401" i="1"/>
  <c r="D1401" i="1"/>
  <c r="C1401" i="1"/>
  <c r="M1400" i="1"/>
  <c r="L1400" i="1"/>
  <c r="K1400" i="1"/>
  <c r="J1400" i="1"/>
  <c r="I1400" i="1"/>
  <c r="H1400" i="1"/>
  <c r="G1400" i="1"/>
  <c r="F1400" i="1"/>
  <c r="E1400" i="1"/>
  <c r="D1400" i="1"/>
  <c r="C1400" i="1"/>
  <c r="M1399" i="1"/>
  <c r="L1399" i="1"/>
  <c r="K1399" i="1"/>
  <c r="J1399" i="1"/>
  <c r="I1399" i="1"/>
  <c r="G1399" i="1"/>
  <c r="H1399" i="1" s="1"/>
  <c r="F1399" i="1"/>
  <c r="E1399" i="1"/>
  <c r="D1399" i="1"/>
  <c r="C1399" i="1"/>
  <c r="M1398" i="1"/>
  <c r="L1398" i="1"/>
  <c r="K1398" i="1"/>
  <c r="J1398" i="1"/>
  <c r="I1398" i="1"/>
  <c r="G1398" i="1"/>
  <c r="F1398" i="1"/>
  <c r="E1398" i="1"/>
  <c r="D1398" i="1"/>
  <c r="C1398" i="1"/>
  <c r="M1397" i="1"/>
  <c r="L1397" i="1"/>
  <c r="K1397" i="1"/>
  <c r="J1397" i="1"/>
  <c r="I1397" i="1"/>
  <c r="G1397" i="1"/>
  <c r="F1397" i="1"/>
  <c r="E1397" i="1"/>
  <c r="D1397" i="1"/>
  <c r="C1397" i="1"/>
  <c r="H1397" i="1" s="1"/>
  <c r="M1396" i="1"/>
  <c r="L1396" i="1"/>
  <c r="K1396" i="1"/>
  <c r="J1396" i="1"/>
  <c r="I1396" i="1"/>
  <c r="G1396" i="1"/>
  <c r="H1396" i="1" s="1"/>
  <c r="F1396" i="1"/>
  <c r="E1396" i="1"/>
  <c r="D1396" i="1"/>
  <c r="C1396" i="1"/>
  <c r="M1395" i="1"/>
  <c r="L1395" i="1"/>
  <c r="K1395" i="1"/>
  <c r="J1395" i="1"/>
  <c r="I1395" i="1"/>
  <c r="G1395" i="1"/>
  <c r="F1395" i="1"/>
  <c r="E1395" i="1"/>
  <c r="D1395" i="1"/>
  <c r="C1395" i="1"/>
  <c r="M1394" i="1"/>
  <c r="L1394" i="1"/>
  <c r="K1394" i="1"/>
  <c r="J1394" i="1"/>
  <c r="I1394" i="1"/>
  <c r="G1394" i="1"/>
  <c r="F1394" i="1"/>
  <c r="E1394" i="1"/>
  <c r="D1394" i="1"/>
  <c r="C1394" i="1"/>
  <c r="H1394" i="1" s="1"/>
  <c r="M1393" i="1"/>
  <c r="L1393" i="1"/>
  <c r="K1393" i="1"/>
  <c r="J1393" i="1"/>
  <c r="I1393" i="1"/>
  <c r="G1393" i="1"/>
  <c r="H1393" i="1" s="1"/>
  <c r="F1393" i="1"/>
  <c r="E1393" i="1"/>
  <c r="D1393" i="1"/>
  <c r="C1393" i="1"/>
  <c r="M1392" i="1"/>
  <c r="L1392" i="1"/>
  <c r="K1392" i="1"/>
  <c r="J1392" i="1"/>
  <c r="I1392" i="1"/>
  <c r="G1392" i="1"/>
  <c r="F1392" i="1"/>
  <c r="E1392" i="1"/>
  <c r="D1392" i="1"/>
  <c r="C1392" i="1"/>
  <c r="M1391" i="1"/>
  <c r="L1391" i="1"/>
  <c r="K1391" i="1"/>
  <c r="J1391" i="1"/>
  <c r="I1391" i="1"/>
  <c r="G1391" i="1"/>
  <c r="H1391" i="1" s="1"/>
  <c r="F1391" i="1"/>
  <c r="E1391" i="1"/>
  <c r="D1391" i="1"/>
  <c r="C1391" i="1"/>
  <c r="M1390" i="1"/>
  <c r="L1390" i="1"/>
  <c r="K1390" i="1"/>
  <c r="J1390" i="1"/>
  <c r="I1390" i="1"/>
  <c r="H1390" i="1"/>
  <c r="G1390" i="1"/>
  <c r="F1390" i="1"/>
  <c r="E1390" i="1"/>
  <c r="D1390" i="1"/>
  <c r="C1390" i="1"/>
  <c r="M1389" i="1"/>
  <c r="L1389" i="1"/>
  <c r="K1389" i="1"/>
  <c r="J1389" i="1"/>
  <c r="I1389" i="1"/>
  <c r="G1389" i="1"/>
  <c r="F1389" i="1"/>
  <c r="E1389" i="1"/>
  <c r="D1389" i="1"/>
  <c r="C1389" i="1"/>
  <c r="M1388" i="1"/>
  <c r="L1388" i="1"/>
  <c r="K1388" i="1"/>
  <c r="J1388" i="1"/>
  <c r="I1388" i="1"/>
  <c r="H1388" i="1"/>
  <c r="G1388" i="1"/>
  <c r="F1388" i="1"/>
  <c r="E1388" i="1"/>
  <c r="D1388" i="1"/>
  <c r="C1388" i="1"/>
  <c r="M1387" i="1"/>
  <c r="L1387" i="1"/>
  <c r="K1387" i="1"/>
  <c r="J1387" i="1"/>
  <c r="I1387" i="1"/>
  <c r="G1387" i="1"/>
  <c r="F1387" i="1"/>
  <c r="E1387" i="1"/>
  <c r="D1387" i="1"/>
  <c r="C1387" i="1"/>
  <c r="H1387" i="1" s="1"/>
  <c r="M1386" i="1"/>
  <c r="L1386" i="1"/>
  <c r="K1386" i="1"/>
  <c r="J1386" i="1"/>
  <c r="I1386" i="1"/>
  <c r="G1386" i="1"/>
  <c r="F1386" i="1"/>
  <c r="E1386" i="1"/>
  <c r="D1386" i="1"/>
  <c r="C1386" i="1"/>
  <c r="H1386" i="1" s="1"/>
  <c r="M1385" i="1"/>
  <c r="L1385" i="1"/>
  <c r="K1385" i="1"/>
  <c r="J1385" i="1"/>
  <c r="I1385" i="1"/>
  <c r="G1385" i="1"/>
  <c r="H1385" i="1" s="1"/>
  <c r="F1385" i="1"/>
  <c r="E1385" i="1"/>
  <c r="D1385" i="1"/>
  <c r="C1385" i="1"/>
  <c r="M1384" i="1"/>
  <c r="L1384" i="1"/>
  <c r="K1384" i="1"/>
  <c r="J1384" i="1"/>
  <c r="I1384" i="1"/>
  <c r="G1384" i="1"/>
  <c r="H1384" i="1" s="1"/>
  <c r="F1384" i="1"/>
  <c r="E1384" i="1"/>
  <c r="D1384" i="1"/>
  <c r="C1384" i="1"/>
  <c r="M1383" i="1"/>
  <c r="L1383" i="1"/>
  <c r="K1383" i="1"/>
  <c r="J1383" i="1"/>
  <c r="I1383" i="1"/>
  <c r="G1383" i="1"/>
  <c r="F1383" i="1"/>
  <c r="E1383" i="1"/>
  <c r="D1383" i="1"/>
  <c r="C1383" i="1"/>
  <c r="H1383" i="1" s="1"/>
  <c r="M1382" i="1"/>
  <c r="L1382" i="1"/>
  <c r="K1382" i="1"/>
  <c r="J1382" i="1"/>
  <c r="I1382" i="1"/>
  <c r="H1382" i="1"/>
  <c r="G1382" i="1"/>
  <c r="F1382" i="1"/>
  <c r="E1382" i="1"/>
  <c r="D1382" i="1"/>
  <c r="C1382" i="1"/>
  <c r="M1381" i="1"/>
  <c r="L1381" i="1"/>
  <c r="K1381" i="1"/>
  <c r="J1381" i="1"/>
  <c r="I1381" i="1"/>
  <c r="G1381" i="1"/>
  <c r="F1381" i="1"/>
  <c r="E1381" i="1"/>
  <c r="D1381" i="1"/>
  <c r="C1381" i="1"/>
  <c r="H1381" i="1" s="1"/>
  <c r="M1380" i="1"/>
  <c r="L1380" i="1"/>
  <c r="K1380" i="1"/>
  <c r="J1380" i="1"/>
  <c r="I1380" i="1"/>
  <c r="G1380" i="1"/>
  <c r="F1380" i="1"/>
  <c r="E1380" i="1"/>
  <c r="D1380" i="1"/>
  <c r="C1380" i="1"/>
  <c r="M1379" i="1"/>
  <c r="L1379" i="1"/>
  <c r="K1379" i="1"/>
  <c r="J1379" i="1"/>
  <c r="I1379" i="1"/>
  <c r="G1379" i="1"/>
  <c r="F1379" i="1"/>
  <c r="E1379" i="1"/>
  <c r="D1379" i="1"/>
  <c r="C1379" i="1"/>
  <c r="H1379" i="1" s="1"/>
  <c r="M1378" i="1"/>
  <c r="L1378" i="1"/>
  <c r="K1378" i="1"/>
  <c r="J1378" i="1"/>
  <c r="I1378" i="1"/>
  <c r="H1378" i="1"/>
  <c r="G1378" i="1"/>
  <c r="F1378" i="1"/>
  <c r="E1378" i="1"/>
  <c r="D1378" i="1"/>
  <c r="C1378" i="1"/>
  <c r="M1377" i="1"/>
  <c r="L1377" i="1"/>
  <c r="K1377" i="1"/>
  <c r="J1377" i="1"/>
  <c r="I1377" i="1"/>
  <c r="G1377" i="1"/>
  <c r="F1377" i="1"/>
  <c r="E1377" i="1"/>
  <c r="D1377" i="1"/>
  <c r="C1377" i="1"/>
  <c r="H1377" i="1" s="1"/>
  <c r="M1376" i="1"/>
  <c r="L1376" i="1"/>
  <c r="K1376" i="1"/>
  <c r="J1376" i="1"/>
  <c r="I1376" i="1"/>
  <c r="G1376" i="1"/>
  <c r="F1376" i="1"/>
  <c r="E1376" i="1"/>
  <c r="D1376" i="1"/>
  <c r="C1376" i="1"/>
  <c r="M1375" i="1"/>
  <c r="L1375" i="1"/>
  <c r="K1375" i="1"/>
  <c r="J1375" i="1"/>
  <c r="I1375" i="1"/>
  <c r="G1375" i="1"/>
  <c r="F1375" i="1"/>
  <c r="E1375" i="1"/>
  <c r="D1375" i="1"/>
  <c r="C1375" i="1"/>
  <c r="M1374" i="1"/>
  <c r="L1374" i="1"/>
  <c r="K1374" i="1"/>
  <c r="J1374" i="1"/>
  <c r="I1374" i="1"/>
  <c r="H1374" i="1"/>
  <c r="G1374" i="1"/>
  <c r="F1374" i="1"/>
  <c r="E1374" i="1"/>
  <c r="D1374" i="1"/>
  <c r="C1374" i="1"/>
  <c r="M1373" i="1"/>
  <c r="L1373" i="1"/>
  <c r="K1373" i="1"/>
  <c r="J1373" i="1"/>
  <c r="I1373" i="1"/>
  <c r="G1373" i="1"/>
  <c r="F1373" i="1"/>
  <c r="E1373" i="1"/>
  <c r="D1373" i="1"/>
  <c r="C1373" i="1"/>
  <c r="M1372" i="1"/>
  <c r="L1372" i="1"/>
  <c r="K1372" i="1"/>
  <c r="J1372" i="1"/>
  <c r="I1372" i="1"/>
  <c r="G1372" i="1"/>
  <c r="H1372" i="1" s="1"/>
  <c r="F1372" i="1"/>
  <c r="E1372" i="1"/>
  <c r="D1372" i="1"/>
  <c r="C1372" i="1"/>
  <c r="M1371" i="1"/>
  <c r="L1371" i="1"/>
  <c r="K1371" i="1"/>
  <c r="J1371" i="1"/>
  <c r="I1371" i="1"/>
  <c r="H1371" i="1"/>
  <c r="G1371" i="1"/>
  <c r="F1371" i="1"/>
  <c r="E1371" i="1"/>
  <c r="D1371" i="1"/>
  <c r="C1371" i="1"/>
  <c r="M1370" i="1"/>
  <c r="L1370" i="1"/>
  <c r="K1370" i="1"/>
  <c r="J1370" i="1"/>
  <c r="I1370" i="1"/>
  <c r="G1370" i="1"/>
  <c r="F1370" i="1"/>
  <c r="E1370" i="1"/>
  <c r="D1370" i="1"/>
  <c r="C1370" i="1"/>
  <c r="M1369" i="1"/>
  <c r="L1369" i="1"/>
  <c r="K1369" i="1"/>
  <c r="J1369" i="1"/>
  <c r="I1369" i="1"/>
  <c r="H1369" i="1"/>
  <c r="G1369" i="1"/>
  <c r="F1369" i="1"/>
  <c r="E1369" i="1"/>
  <c r="D1369" i="1"/>
  <c r="C1369" i="1"/>
  <c r="M1368" i="1"/>
  <c r="L1368" i="1"/>
  <c r="K1368" i="1"/>
  <c r="J1368" i="1"/>
  <c r="I1368" i="1"/>
  <c r="H1368" i="1"/>
  <c r="G1368" i="1"/>
  <c r="F1368" i="1"/>
  <c r="E1368" i="1"/>
  <c r="D1368" i="1"/>
  <c r="C1368" i="1"/>
  <c r="M1367" i="1"/>
  <c r="L1367" i="1"/>
  <c r="K1367" i="1"/>
  <c r="J1367" i="1"/>
  <c r="I1367" i="1"/>
  <c r="G1367" i="1"/>
  <c r="F1367" i="1"/>
  <c r="E1367" i="1"/>
  <c r="D1367" i="1"/>
  <c r="C1367" i="1"/>
  <c r="M1366" i="1"/>
  <c r="L1366" i="1"/>
  <c r="K1366" i="1"/>
  <c r="J1366" i="1"/>
  <c r="I1366" i="1"/>
  <c r="G1366" i="1"/>
  <c r="H1366" i="1" s="1"/>
  <c r="F1366" i="1"/>
  <c r="E1366" i="1"/>
  <c r="D1366" i="1"/>
  <c r="C1366" i="1"/>
  <c r="M1365" i="1"/>
  <c r="L1365" i="1"/>
  <c r="K1365" i="1"/>
  <c r="J1365" i="1"/>
  <c r="I1365" i="1"/>
  <c r="G1365" i="1"/>
  <c r="H1365" i="1" s="1"/>
  <c r="F1365" i="1"/>
  <c r="E1365" i="1"/>
  <c r="D1365" i="1"/>
  <c r="C1365" i="1"/>
  <c r="M1364" i="1"/>
  <c r="L1364" i="1"/>
  <c r="K1364" i="1"/>
  <c r="J1364" i="1"/>
  <c r="I1364" i="1"/>
  <c r="G1364" i="1"/>
  <c r="F1364" i="1"/>
  <c r="E1364" i="1"/>
  <c r="D1364" i="1"/>
  <c r="C1364" i="1"/>
  <c r="M1363" i="1"/>
  <c r="L1363" i="1"/>
  <c r="K1363" i="1"/>
  <c r="J1363" i="1"/>
  <c r="I1363" i="1"/>
  <c r="H1363" i="1"/>
  <c r="G1363" i="1"/>
  <c r="F1363" i="1"/>
  <c r="E1363" i="1"/>
  <c r="D1363" i="1"/>
  <c r="C1363" i="1"/>
  <c r="M1362" i="1"/>
  <c r="L1362" i="1"/>
  <c r="K1362" i="1"/>
  <c r="J1362" i="1"/>
  <c r="I1362" i="1"/>
  <c r="H1362" i="1"/>
  <c r="G1362" i="1"/>
  <c r="F1362" i="1"/>
  <c r="E1362" i="1"/>
  <c r="D1362" i="1"/>
  <c r="C1362" i="1"/>
  <c r="M1361" i="1"/>
  <c r="L1361" i="1"/>
  <c r="K1361" i="1"/>
  <c r="J1361" i="1"/>
  <c r="I1361" i="1"/>
  <c r="G1361" i="1"/>
  <c r="F1361" i="1"/>
  <c r="E1361" i="1"/>
  <c r="D1361" i="1"/>
  <c r="C1361" i="1"/>
  <c r="M1360" i="1"/>
  <c r="L1360" i="1"/>
  <c r="K1360" i="1"/>
  <c r="J1360" i="1"/>
  <c r="I1360" i="1"/>
  <c r="H1360" i="1"/>
  <c r="G1360" i="1"/>
  <c r="F1360" i="1"/>
  <c r="E1360" i="1"/>
  <c r="D1360" i="1"/>
  <c r="C1360" i="1"/>
  <c r="M1359" i="1"/>
  <c r="L1359" i="1"/>
  <c r="K1359" i="1"/>
  <c r="J1359" i="1"/>
  <c r="I1359" i="1"/>
  <c r="G1359" i="1"/>
  <c r="H1359" i="1" s="1"/>
  <c r="F1359" i="1"/>
  <c r="E1359" i="1"/>
  <c r="D1359" i="1"/>
  <c r="C1359" i="1"/>
  <c r="M1358" i="1"/>
  <c r="L1358" i="1"/>
  <c r="K1358" i="1"/>
  <c r="J1358" i="1"/>
  <c r="I1358" i="1"/>
  <c r="G1358" i="1"/>
  <c r="H1358" i="1" s="1"/>
  <c r="F1358" i="1"/>
  <c r="E1358" i="1"/>
  <c r="D1358" i="1"/>
  <c r="C1358" i="1"/>
  <c r="M1357" i="1"/>
  <c r="L1357" i="1"/>
  <c r="K1357" i="1"/>
  <c r="J1357" i="1"/>
  <c r="I1357" i="1"/>
  <c r="G1357" i="1"/>
  <c r="H1357" i="1" s="1"/>
  <c r="F1357" i="1"/>
  <c r="E1357" i="1"/>
  <c r="D1357" i="1"/>
  <c r="C1357" i="1"/>
  <c r="M1356" i="1"/>
  <c r="L1356" i="1"/>
  <c r="K1356" i="1"/>
  <c r="J1356" i="1"/>
  <c r="I1356" i="1"/>
  <c r="H1356" i="1"/>
  <c r="G1356" i="1"/>
  <c r="F1356" i="1"/>
  <c r="E1356" i="1"/>
  <c r="D1356" i="1"/>
  <c r="C1356" i="1"/>
  <c r="M1355" i="1"/>
  <c r="L1355" i="1"/>
  <c r="K1355" i="1"/>
  <c r="J1355" i="1"/>
  <c r="I1355" i="1"/>
  <c r="G1355" i="1"/>
  <c r="F1355" i="1"/>
  <c r="E1355" i="1"/>
  <c r="D1355" i="1"/>
  <c r="C1355" i="1"/>
  <c r="H1355" i="1" s="1"/>
  <c r="M1354" i="1"/>
  <c r="L1354" i="1"/>
  <c r="K1354" i="1"/>
  <c r="J1354" i="1"/>
  <c r="I1354" i="1"/>
  <c r="H1354" i="1"/>
  <c r="G1354" i="1"/>
  <c r="F1354" i="1"/>
  <c r="E1354" i="1"/>
  <c r="D1354" i="1"/>
  <c r="C1354" i="1"/>
  <c r="M1353" i="1"/>
  <c r="L1353" i="1"/>
  <c r="K1353" i="1"/>
  <c r="J1353" i="1"/>
  <c r="I1353" i="1"/>
  <c r="G1353" i="1"/>
  <c r="H1353" i="1" s="1"/>
  <c r="F1353" i="1"/>
  <c r="E1353" i="1"/>
  <c r="D1353" i="1"/>
  <c r="C1353" i="1"/>
  <c r="M1352" i="1"/>
  <c r="L1352" i="1"/>
  <c r="K1352" i="1"/>
  <c r="J1352" i="1"/>
  <c r="I1352" i="1"/>
  <c r="H1352" i="1"/>
  <c r="G1352" i="1"/>
  <c r="F1352" i="1"/>
  <c r="E1352" i="1"/>
  <c r="D1352" i="1"/>
  <c r="C1352" i="1"/>
  <c r="M1351" i="1"/>
  <c r="L1351" i="1"/>
  <c r="K1351" i="1"/>
  <c r="J1351" i="1"/>
  <c r="I1351" i="1"/>
  <c r="H1351" i="1"/>
  <c r="G1351" i="1"/>
  <c r="F1351" i="1"/>
  <c r="E1351" i="1"/>
  <c r="D1351" i="1"/>
  <c r="C1351" i="1"/>
  <c r="M1350" i="1"/>
  <c r="L1350" i="1"/>
  <c r="K1350" i="1"/>
  <c r="J1350" i="1"/>
  <c r="I1350" i="1"/>
  <c r="H1350" i="1"/>
  <c r="G1350" i="1"/>
  <c r="F1350" i="1"/>
  <c r="E1350" i="1"/>
  <c r="D1350" i="1"/>
  <c r="C1350" i="1"/>
  <c r="M1349" i="1"/>
  <c r="L1349" i="1"/>
  <c r="K1349" i="1"/>
  <c r="J1349" i="1"/>
  <c r="I1349" i="1"/>
  <c r="G1349" i="1"/>
  <c r="F1349" i="1"/>
  <c r="E1349" i="1"/>
  <c r="D1349" i="1"/>
  <c r="C1349" i="1"/>
  <c r="M1348" i="1"/>
  <c r="L1348" i="1"/>
  <c r="K1348" i="1"/>
  <c r="J1348" i="1"/>
  <c r="I1348" i="1"/>
  <c r="G1348" i="1"/>
  <c r="F1348" i="1"/>
  <c r="E1348" i="1"/>
  <c r="D1348" i="1"/>
  <c r="C1348" i="1"/>
  <c r="H1348" i="1" s="1"/>
  <c r="M1347" i="1"/>
  <c r="L1347" i="1"/>
  <c r="K1347" i="1"/>
  <c r="J1347" i="1"/>
  <c r="I1347" i="1"/>
  <c r="G1347" i="1"/>
  <c r="F1347" i="1"/>
  <c r="E1347" i="1"/>
  <c r="D1347" i="1"/>
  <c r="C1347" i="1"/>
  <c r="M1346" i="1"/>
  <c r="L1346" i="1"/>
  <c r="K1346" i="1"/>
  <c r="J1346" i="1"/>
  <c r="I1346" i="1"/>
  <c r="H1346" i="1"/>
  <c r="G1346" i="1"/>
  <c r="F1346" i="1"/>
  <c r="E1346" i="1"/>
  <c r="D1346" i="1"/>
  <c r="C1346" i="1"/>
  <c r="M1345" i="1"/>
  <c r="L1345" i="1"/>
  <c r="K1345" i="1"/>
  <c r="J1345" i="1"/>
  <c r="I1345" i="1"/>
  <c r="G1345" i="1"/>
  <c r="F1345" i="1"/>
  <c r="E1345" i="1"/>
  <c r="D1345" i="1"/>
  <c r="C1345" i="1"/>
  <c r="H1345" i="1" s="1"/>
  <c r="M1344" i="1"/>
  <c r="L1344" i="1"/>
  <c r="K1344" i="1"/>
  <c r="J1344" i="1"/>
  <c r="I1344" i="1"/>
  <c r="G1344" i="1"/>
  <c r="H1344" i="1" s="1"/>
  <c r="F1344" i="1"/>
  <c r="E1344" i="1"/>
  <c r="D1344" i="1"/>
  <c r="C1344" i="1"/>
  <c r="M1343" i="1"/>
  <c r="L1343" i="1"/>
  <c r="K1343" i="1"/>
  <c r="J1343" i="1"/>
  <c r="I1343" i="1"/>
  <c r="G1343" i="1"/>
  <c r="H1343" i="1" s="1"/>
  <c r="F1343" i="1"/>
  <c r="E1343" i="1"/>
  <c r="D1343" i="1"/>
  <c r="C1343" i="1"/>
  <c r="M1342" i="1"/>
  <c r="L1342" i="1"/>
  <c r="K1342" i="1"/>
  <c r="J1342" i="1"/>
  <c r="I1342" i="1"/>
  <c r="H1342" i="1"/>
  <c r="G1342" i="1"/>
  <c r="F1342" i="1"/>
  <c r="E1342" i="1"/>
  <c r="D1342" i="1"/>
  <c r="C1342" i="1"/>
  <c r="M1341" i="1"/>
  <c r="L1341" i="1"/>
  <c r="K1341" i="1"/>
  <c r="J1341" i="1"/>
  <c r="I1341" i="1"/>
  <c r="G1341" i="1"/>
  <c r="H1341" i="1" s="1"/>
  <c r="F1341" i="1"/>
  <c r="E1341" i="1"/>
  <c r="D1341" i="1"/>
  <c r="C1341" i="1"/>
  <c r="M1340" i="1"/>
  <c r="L1340" i="1"/>
  <c r="K1340" i="1"/>
  <c r="J1340" i="1"/>
  <c r="I1340" i="1"/>
  <c r="G1340" i="1"/>
  <c r="H1340" i="1" s="1"/>
  <c r="F1340" i="1"/>
  <c r="E1340" i="1"/>
  <c r="D1340" i="1"/>
  <c r="C1340" i="1"/>
  <c r="M1339" i="1"/>
  <c r="L1339" i="1"/>
  <c r="K1339" i="1"/>
  <c r="J1339" i="1"/>
  <c r="I1339" i="1"/>
  <c r="G1339" i="1"/>
  <c r="F1339" i="1"/>
  <c r="E1339" i="1"/>
  <c r="D1339" i="1"/>
  <c r="C1339" i="1"/>
  <c r="M1338" i="1"/>
  <c r="L1338" i="1"/>
  <c r="K1338" i="1"/>
  <c r="J1338" i="1"/>
  <c r="I1338" i="1"/>
  <c r="H1338" i="1"/>
  <c r="G1338" i="1"/>
  <c r="F1338" i="1"/>
  <c r="E1338" i="1"/>
  <c r="D1338" i="1"/>
  <c r="C1338" i="1"/>
  <c r="M1337" i="1"/>
  <c r="L1337" i="1"/>
  <c r="K1337" i="1"/>
  <c r="J1337" i="1"/>
  <c r="I1337" i="1"/>
  <c r="G1337" i="1"/>
  <c r="F1337" i="1"/>
  <c r="E1337" i="1"/>
  <c r="D1337" i="1"/>
  <c r="C1337" i="1"/>
  <c r="H1337" i="1" s="1"/>
  <c r="M1336" i="1"/>
  <c r="L1336" i="1"/>
  <c r="K1336" i="1"/>
  <c r="J1336" i="1"/>
  <c r="I1336" i="1"/>
  <c r="G1336" i="1"/>
  <c r="F1336" i="1"/>
  <c r="E1336" i="1"/>
  <c r="D1336" i="1"/>
  <c r="C1336" i="1"/>
  <c r="M1335" i="1"/>
  <c r="L1335" i="1"/>
  <c r="K1335" i="1"/>
  <c r="J1335" i="1"/>
  <c r="I1335" i="1"/>
  <c r="G1335" i="1"/>
  <c r="H1335" i="1" s="1"/>
  <c r="F1335" i="1"/>
  <c r="E1335" i="1"/>
  <c r="D1335" i="1"/>
  <c r="C1335" i="1"/>
  <c r="M1334" i="1"/>
  <c r="L1334" i="1"/>
  <c r="K1334" i="1"/>
  <c r="J1334" i="1"/>
  <c r="I1334" i="1"/>
  <c r="G1334" i="1"/>
  <c r="F1334" i="1"/>
  <c r="E1334" i="1"/>
  <c r="D1334" i="1"/>
  <c r="C1334" i="1"/>
  <c r="M1333" i="1"/>
  <c r="L1333" i="1"/>
  <c r="K1333" i="1"/>
  <c r="J1333" i="1"/>
  <c r="I1333" i="1"/>
  <c r="G1333" i="1"/>
  <c r="H1333" i="1" s="1"/>
  <c r="F1333" i="1"/>
  <c r="E1333" i="1"/>
  <c r="D1333" i="1"/>
  <c r="C1333" i="1"/>
  <c r="M1332" i="1"/>
  <c r="L1332" i="1"/>
  <c r="K1332" i="1"/>
  <c r="J1332" i="1"/>
  <c r="I1332" i="1"/>
  <c r="G1332" i="1"/>
  <c r="H1332" i="1" s="1"/>
  <c r="F1332" i="1"/>
  <c r="E1332" i="1"/>
  <c r="D1332" i="1"/>
  <c r="C1332" i="1"/>
  <c r="M1331" i="1"/>
  <c r="L1331" i="1"/>
  <c r="K1331" i="1"/>
  <c r="J1331" i="1"/>
  <c r="I1331" i="1"/>
  <c r="G1331" i="1"/>
  <c r="F1331" i="1"/>
  <c r="E1331" i="1"/>
  <c r="D1331" i="1"/>
  <c r="C1331" i="1"/>
  <c r="H1331" i="1" s="1"/>
  <c r="M1330" i="1"/>
  <c r="L1330" i="1"/>
  <c r="K1330" i="1"/>
  <c r="J1330" i="1"/>
  <c r="I1330" i="1"/>
  <c r="G1330" i="1"/>
  <c r="F1330" i="1"/>
  <c r="E1330" i="1"/>
  <c r="D1330" i="1"/>
  <c r="C1330" i="1"/>
  <c r="H1330" i="1" s="1"/>
  <c r="M1329" i="1"/>
  <c r="L1329" i="1"/>
  <c r="K1329" i="1"/>
  <c r="J1329" i="1"/>
  <c r="I1329" i="1"/>
  <c r="H1329" i="1"/>
  <c r="G1329" i="1"/>
  <c r="F1329" i="1"/>
  <c r="E1329" i="1"/>
  <c r="D1329" i="1"/>
  <c r="C1329" i="1"/>
  <c r="M1328" i="1"/>
  <c r="L1328" i="1"/>
  <c r="K1328" i="1"/>
  <c r="J1328" i="1"/>
  <c r="I1328" i="1"/>
  <c r="G1328" i="1"/>
  <c r="F1328" i="1"/>
  <c r="E1328" i="1"/>
  <c r="D1328" i="1"/>
  <c r="C1328" i="1"/>
  <c r="M1327" i="1"/>
  <c r="L1327" i="1"/>
  <c r="K1327" i="1"/>
  <c r="J1327" i="1"/>
  <c r="I1327" i="1"/>
  <c r="G1327" i="1"/>
  <c r="F1327" i="1"/>
  <c r="E1327" i="1"/>
  <c r="D1327" i="1"/>
  <c r="C1327" i="1"/>
  <c r="M1326" i="1"/>
  <c r="L1326" i="1"/>
  <c r="K1326" i="1"/>
  <c r="J1326" i="1"/>
  <c r="I1326" i="1"/>
  <c r="H1326" i="1"/>
  <c r="G1326" i="1"/>
  <c r="F1326" i="1"/>
  <c r="E1326" i="1"/>
  <c r="D1326" i="1"/>
  <c r="C1326" i="1"/>
  <c r="M1325" i="1"/>
  <c r="L1325" i="1"/>
  <c r="K1325" i="1"/>
  <c r="J1325" i="1"/>
  <c r="I1325" i="1"/>
  <c r="G1325" i="1"/>
  <c r="F1325" i="1"/>
  <c r="E1325" i="1"/>
  <c r="D1325" i="1"/>
  <c r="C1325" i="1"/>
  <c r="M1324" i="1"/>
  <c r="L1324" i="1"/>
  <c r="K1324" i="1"/>
  <c r="J1324" i="1"/>
  <c r="I1324" i="1"/>
  <c r="G1324" i="1"/>
  <c r="H1324" i="1" s="1"/>
  <c r="F1324" i="1"/>
  <c r="E1324" i="1"/>
  <c r="D1324" i="1"/>
  <c r="C1324" i="1"/>
  <c r="M1323" i="1"/>
  <c r="L1323" i="1"/>
  <c r="K1323" i="1"/>
  <c r="J1323" i="1"/>
  <c r="I1323" i="1"/>
  <c r="H1323" i="1"/>
  <c r="G1323" i="1"/>
  <c r="F1323" i="1"/>
  <c r="E1323" i="1"/>
  <c r="D1323" i="1"/>
  <c r="C1323" i="1"/>
  <c r="M1322" i="1"/>
  <c r="L1322" i="1"/>
  <c r="K1322" i="1"/>
  <c r="J1322" i="1"/>
  <c r="I1322" i="1"/>
  <c r="G1322" i="1"/>
  <c r="F1322" i="1"/>
  <c r="E1322" i="1"/>
  <c r="D1322" i="1"/>
  <c r="C1322" i="1"/>
  <c r="H1322" i="1" s="1"/>
  <c r="M1321" i="1"/>
  <c r="L1321" i="1"/>
  <c r="K1321" i="1"/>
  <c r="J1321" i="1"/>
  <c r="I1321" i="1"/>
  <c r="G1321" i="1"/>
  <c r="H1321" i="1" s="1"/>
  <c r="F1321" i="1"/>
  <c r="E1321" i="1"/>
  <c r="D1321" i="1"/>
  <c r="C1321" i="1"/>
  <c r="M1320" i="1"/>
  <c r="L1320" i="1"/>
  <c r="K1320" i="1"/>
  <c r="J1320" i="1"/>
  <c r="I1320" i="1"/>
  <c r="H1320" i="1"/>
  <c r="G1320" i="1"/>
  <c r="F1320" i="1"/>
  <c r="E1320" i="1"/>
  <c r="D1320" i="1"/>
  <c r="C1320" i="1"/>
  <c r="M1319" i="1"/>
  <c r="L1319" i="1"/>
  <c r="K1319" i="1"/>
  <c r="J1319" i="1"/>
  <c r="I1319" i="1"/>
  <c r="G1319" i="1"/>
  <c r="F1319" i="1"/>
  <c r="E1319" i="1"/>
  <c r="D1319" i="1"/>
  <c r="C1319" i="1"/>
  <c r="H1319" i="1" s="1"/>
  <c r="M1318" i="1"/>
  <c r="L1318" i="1"/>
  <c r="K1318" i="1"/>
  <c r="J1318" i="1"/>
  <c r="I1318" i="1"/>
  <c r="G1318" i="1"/>
  <c r="F1318" i="1"/>
  <c r="E1318" i="1"/>
  <c r="D1318" i="1"/>
  <c r="C1318" i="1"/>
  <c r="H1318" i="1" s="1"/>
  <c r="M1317" i="1"/>
  <c r="L1317" i="1"/>
  <c r="K1317" i="1"/>
  <c r="J1317" i="1"/>
  <c r="I1317" i="1"/>
  <c r="H1317" i="1"/>
  <c r="G1317" i="1"/>
  <c r="F1317" i="1"/>
  <c r="E1317" i="1"/>
  <c r="D1317" i="1"/>
  <c r="C1317" i="1"/>
  <c r="M1316" i="1"/>
  <c r="L1316" i="1"/>
  <c r="K1316" i="1"/>
  <c r="J1316" i="1"/>
  <c r="I1316" i="1"/>
  <c r="G1316" i="1"/>
  <c r="F1316" i="1"/>
  <c r="E1316" i="1"/>
  <c r="D1316" i="1"/>
  <c r="C1316" i="1"/>
  <c r="H1316" i="1" s="1"/>
  <c r="M1315" i="1"/>
  <c r="L1315" i="1"/>
  <c r="K1315" i="1"/>
  <c r="J1315" i="1"/>
  <c r="I1315" i="1"/>
  <c r="G1315" i="1"/>
  <c r="F1315" i="1"/>
  <c r="E1315" i="1"/>
  <c r="D1315" i="1"/>
  <c r="C1315" i="1"/>
  <c r="M1314" i="1"/>
  <c r="L1314" i="1"/>
  <c r="K1314" i="1"/>
  <c r="J1314" i="1"/>
  <c r="I1314" i="1"/>
  <c r="H1314" i="1"/>
  <c r="G1314" i="1"/>
  <c r="F1314" i="1"/>
  <c r="E1314" i="1"/>
  <c r="D1314" i="1"/>
  <c r="C1314" i="1"/>
  <c r="M1313" i="1"/>
  <c r="L1313" i="1"/>
  <c r="K1313" i="1"/>
  <c r="J1313" i="1"/>
  <c r="I1313" i="1"/>
  <c r="G1313" i="1"/>
  <c r="F1313" i="1"/>
  <c r="E1313" i="1"/>
  <c r="D1313" i="1"/>
  <c r="C1313" i="1"/>
  <c r="H1313" i="1" s="1"/>
  <c r="M1312" i="1"/>
  <c r="L1312" i="1"/>
  <c r="K1312" i="1"/>
  <c r="J1312" i="1"/>
  <c r="I1312" i="1"/>
  <c r="G1312" i="1"/>
  <c r="F1312" i="1"/>
  <c r="E1312" i="1"/>
  <c r="D1312" i="1"/>
  <c r="C1312" i="1"/>
  <c r="H1312" i="1" s="1"/>
  <c r="M1311" i="1"/>
  <c r="L1311" i="1"/>
  <c r="K1311" i="1"/>
  <c r="J1311" i="1"/>
  <c r="I1311" i="1"/>
  <c r="G1311" i="1"/>
  <c r="H1311" i="1" s="1"/>
  <c r="F1311" i="1"/>
  <c r="E1311" i="1"/>
  <c r="D1311" i="1"/>
  <c r="C1311" i="1"/>
  <c r="M1310" i="1"/>
  <c r="L1310" i="1"/>
  <c r="K1310" i="1"/>
  <c r="J1310" i="1"/>
  <c r="I1310" i="1"/>
  <c r="G1310" i="1"/>
  <c r="H1310" i="1" s="1"/>
  <c r="F1310" i="1"/>
  <c r="E1310" i="1"/>
  <c r="D1310" i="1"/>
  <c r="C1310" i="1"/>
  <c r="M1309" i="1"/>
  <c r="L1309" i="1"/>
  <c r="K1309" i="1"/>
  <c r="J1309" i="1"/>
  <c r="I1309" i="1"/>
  <c r="G1309" i="1"/>
  <c r="F1309" i="1"/>
  <c r="E1309" i="1"/>
  <c r="D1309" i="1"/>
  <c r="C1309" i="1"/>
  <c r="H1309" i="1" s="1"/>
  <c r="M1308" i="1"/>
  <c r="L1308" i="1"/>
  <c r="K1308" i="1"/>
  <c r="J1308" i="1"/>
  <c r="I1308" i="1"/>
  <c r="H1308" i="1"/>
  <c r="G1308" i="1"/>
  <c r="F1308" i="1"/>
  <c r="E1308" i="1"/>
  <c r="D1308" i="1"/>
  <c r="C1308" i="1"/>
  <c r="M1307" i="1"/>
  <c r="L1307" i="1"/>
  <c r="K1307" i="1"/>
  <c r="J1307" i="1"/>
  <c r="I1307" i="1"/>
  <c r="G1307" i="1"/>
  <c r="H1307" i="1" s="1"/>
  <c r="F1307" i="1"/>
  <c r="E1307" i="1"/>
  <c r="D1307" i="1"/>
  <c r="C1307" i="1"/>
  <c r="M1306" i="1"/>
  <c r="L1306" i="1"/>
  <c r="K1306" i="1"/>
  <c r="J1306" i="1"/>
  <c r="I1306" i="1"/>
  <c r="G1306" i="1"/>
  <c r="H1306" i="1" s="1"/>
  <c r="F1306" i="1"/>
  <c r="E1306" i="1"/>
  <c r="D1306" i="1"/>
  <c r="C1306" i="1"/>
  <c r="M1305" i="1"/>
  <c r="L1305" i="1"/>
  <c r="K1305" i="1"/>
  <c r="J1305" i="1"/>
  <c r="I1305" i="1"/>
  <c r="H1305" i="1"/>
  <c r="G1305" i="1"/>
  <c r="F1305" i="1"/>
  <c r="E1305" i="1"/>
  <c r="D1305" i="1"/>
  <c r="C1305" i="1"/>
  <c r="M1304" i="1"/>
  <c r="L1304" i="1"/>
  <c r="K1304" i="1"/>
  <c r="J1304" i="1"/>
  <c r="I1304" i="1"/>
  <c r="G1304" i="1"/>
  <c r="H1304" i="1" s="1"/>
  <c r="F1304" i="1"/>
  <c r="E1304" i="1"/>
  <c r="D1304" i="1"/>
  <c r="C1304" i="1"/>
  <c r="M1303" i="1"/>
  <c r="L1303" i="1"/>
  <c r="K1303" i="1"/>
  <c r="J1303" i="1"/>
  <c r="I1303" i="1"/>
  <c r="G1303" i="1"/>
  <c r="H1303" i="1" s="1"/>
  <c r="F1303" i="1"/>
  <c r="E1303" i="1"/>
  <c r="D1303" i="1"/>
  <c r="C1303" i="1"/>
  <c r="M1302" i="1"/>
  <c r="L1302" i="1"/>
  <c r="K1302" i="1"/>
  <c r="J1302" i="1"/>
  <c r="I1302" i="1"/>
  <c r="G1302" i="1"/>
  <c r="F1302" i="1"/>
  <c r="E1302" i="1"/>
  <c r="D1302" i="1"/>
  <c r="C1302" i="1"/>
  <c r="M1301" i="1"/>
  <c r="L1301" i="1"/>
  <c r="K1301" i="1"/>
  <c r="J1301" i="1"/>
  <c r="I1301" i="1"/>
  <c r="G1301" i="1"/>
  <c r="H1301" i="1" s="1"/>
  <c r="F1301" i="1"/>
  <c r="E1301" i="1"/>
  <c r="D1301" i="1"/>
  <c r="C1301" i="1"/>
  <c r="M1300" i="1"/>
  <c r="L1300" i="1"/>
  <c r="K1300" i="1"/>
  <c r="J1300" i="1"/>
  <c r="I1300" i="1"/>
  <c r="H1300" i="1"/>
  <c r="G1300" i="1"/>
  <c r="F1300" i="1"/>
  <c r="E1300" i="1"/>
  <c r="D1300" i="1"/>
  <c r="C1300" i="1"/>
  <c r="M1299" i="1"/>
  <c r="L1299" i="1"/>
  <c r="K1299" i="1"/>
  <c r="J1299" i="1"/>
  <c r="I1299" i="1"/>
  <c r="G1299" i="1"/>
  <c r="F1299" i="1"/>
  <c r="E1299" i="1"/>
  <c r="D1299" i="1"/>
  <c r="C1299" i="1"/>
  <c r="H1299" i="1" s="1"/>
  <c r="M1298" i="1"/>
  <c r="L1298" i="1"/>
  <c r="K1298" i="1"/>
  <c r="J1298" i="1"/>
  <c r="I1298" i="1"/>
  <c r="H1298" i="1"/>
  <c r="G1298" i="1"/>
  <c r="F1298" i="1"/>
  <c r="E1298" i="1"/>
  <c r="D1298" i="1"/>
  <c r="C1298" i="1"/>
  <c r="M1297" i="1"/>
  <c r="L1297" i="1"/>
  <c r="K1297" i="1"/>
  <c r="J1297" i="1"/>
  <c r="I1297" i="1"/>
  <c r="H1297" i="1"/>
  <c r="G1297" i="1"/>
  <c r="F1297" i="1"/>
  <c r="E1297" i="1"/>
  <c r="D1297" i="1"/>
  <c r="C1297" i="1"/>
  <c r="M1296" i="1"/>
  <c r="L1296" i="1"/>
  <c r="K1296" i="1"/>
  <c r="J1296" i="1"/>
  <c r="I1296" i="1"/>
  <c r="G1296" i="1"/>
  <c r="F1296" i="1"/>
  <c r="E1296" i="1"/>
  <c r="D1296" i="1"/>
  <c r="C1296" i="1"/>
  <c r="M1295" i="1"/>
  <c r="L1295" i="1"/>
  <c r="K1295" i="1"/>
  <c r="J1295" i="1"/>
  <c r="I1295" i="1"/>
  <c r="G1295" i="1"/>
  <c r="H1295" i="1" s="1"/>
  <c r="F1295" i="1"/>
  <c r="E1295" i="1"/>
  <c r="D1295" i="1"/>
  <c r="C1295" i="1"/>
  <c r="M1294" i="1"/>
  <c r="L1294" i="1"/>
  <c r="K1294" i="1"/>
  <c r="J1294" i="1"/>
  <c r="I1294" i="1"/>
  <c r="G1294" i="1"/>
  <c r="H1294" i="1" s="1"/>
  <c r="F1294" i="1"/>
  <c r="E1294" i="1"/>
  <c r="D1294" i="1"/>
  <c r="C1294" i="1"/>
  <c r="M1293" i="1"/>
  <c r="L1293" i="1"/>
  <c r="K1293" i="1"/>
  <c r="J1293" i="1"/>
  <c r="I1293" i="1"/>
  <c r="G1293" i="1"/>
  <c r="F1293" i="1"/>
  <c r="E1293" i="1"/>
  <c r="D1293" i="1"/>
  <c r="C1293" i="1"/>
  <c r="M1292" i="1"/>
  <c r="L1292" i="1"/>
  <c r="K1292" i="1"/>
  <c r="J1292" i="1"/>
  <c r="I1292" i="1"/>
  <c r="H1292" i="1"/>
  <c r="G1292" i="1"/>
  <c r="F1292" i="1"/>
  <c r="E1292" i="1"/>
  <c r="D1292" i="1"/>
  <c r="C1292" i="1"/>
  <c r="M1291" i="1"/>
  <c r="L1291" i="1"/>
  <c r="K1291" i="1"/>
  <c r="J1291" i="1"/>
  <c r="I1291" i="1"/>
  <c r="G1291" i="1"/>
  <c r="H1291" i="1" s="1"/>
  <c r="F1291" i="1"/>
  <c r="E1291" i="1"/>
  <c r="D1291" i="1"/>
  <c r="C1291" i="1"/>
  <c r="M1290" i="1"/>
  <c r="L1290" i="1"/>
  <c r="K1290" i="1"/>
  <c r="J1290" i="1"/>
  <c r="I1290" i="1"/>
  <c r="G1290" i="1"/>
  <c r="F1290" i="1"/>
  <c r="E1290" i="1"/>
  <c r="D1290" i="1"/>
  <c r="C1290" i="1"/>
  <c r="H1290" i="1" s="1"/>
  <c r="M1289" i="1"/>
  <c r="L1289" i="1"/>
  <c r="K1289" i="1"/>
  <c r="J1289" i="1"/>
  <c r="I1289" i="1"/>
  <c r="H1289" i="1"/>
  <c r="G1289" i="1"/>
  <c r="F1289" i="1"/>
  <c r="E1289" i="1"/>
  <c r="D1289" i="1"/>
  <c r="C1289" i="1"/>
  <c r="M1288" i="1"/>
  <c r="L1288" i="1"/>
  <c r="K1288" i="1"/>
  <c r="J1288" i="1"/>
  <c r="I1288" i="1"/>
  <c r="G1288" i="1"/>
  <c r="H1288" i="1" s="1"/>
  <c r="F1288" i="1"/>
  <c r="E1288" i="1"/>
  <c r="D1288" i="1"/>
  <c r="C1288" i="1"/>
  <c r="M1287" i="1"/>
  <c r="L1287" i="1"/>
  <c r="K1287" i="1"/>
  <c r="J1287" i="1"/>
  <c r="I1287" i="1"/>
  <c r="G1287" i="1"/>
  <c r="F1287" i="1"/>
  <c r="E1287" i="1"/>
  <c r="D1287" i="1"/>
  <c r="C1287" i="1"/>
  <c r="M1286" i="1"/>
  <c r="L1286" i="1"/>
  <c r="K1286" i="1"/>
  <c r="J1286" i="1"/>
  <c r="I1286" i="1"/>
  <c r="H1286" i="1"/>
  <c r="G1286" i="1"/>
  <c r="F1286" i="1"/>
  <c r="E1286" i="1"/>
  <c r="D1286" i="1"/>
  <c r="C1286" i="1"/>
  <c r="M1285" i="1"/>
  <c r="L1285" i="1"/>
  <c r="K1285" i="1"/>
  <c r="J1285" i="1"/>
  <c r="I1285" i="1"/>
  <c r="G1285" i="1"/>
  <c r="H1285" i="1" s="1"/>
  <c r="F1285" i="1"/>
  <c r="E1285" i="1"/>
  <c r="D1285" i="1"/>
  <c r="C1285" i="1"/>
  <c r="M1284" i="1"/>
  <c r="L1284" i="1"/>
  <c r="K1284" i="1"/>
  <c r="J1284" i="1"/>
  <c r="I1284" i="1"/>
  <c r="G1284" i="1"/>
  <c r="F1284" i="1"/>
  <c r="E1284" i="1"/>
  <c r="D1284" i="1"/>
  <c r="C1284" i="1"/>
  <c r="M1283" i="1"/>
  <c r="L1283" i="1"/>
  <c r="K1283" i="1"/>
  <c r="J1283" i="1"/>
  <c r="I1283" i="1"/>
  <c r="H1283" i="1"/>
  <c r="G1283" i="1"/>
  <c r="F1283" i="1"/>
  <c r="E1283" i="1"/>
  <c r="D1283" i="1"/>
  <c r="C1283" i="1"/>
  <c r="M1282" i="1"/>
  <c r="L1282" i="1"/>
  <c r="K1282" i="1"/>
  <c r="J1282" i="1"/>
  <c r="I1282" i="1"/>
  <c r="H1282" i="1"/>
  <c r="G1282" i="1"/>
  <c r="F1282" i="1"/>
  <c r="E1282" i="1"/>
  <c r="D1282" i="1"/>
  <c r="C1282" i="1"/>
  <c r="M1281" i="1"/>
  <c r="L1281" i="1"/>
  <c r="K1281" i="1"/>
  <c r="J1281" i="1"/>
  <c r="I1281" i="1"/>
  <c r="G1281" i="1"/>
  <c r="F1281" i="1"/>
  <c r="E1281" i="1"/>
  <c r="D1281" i="1"/>
  <c r="C1281" i="1"/>
  <c r="H1281" i="1" s="1"/>
  <c r="M1280" i="1"/>
  <c r="L1280" i="1"/>
  <c r="K1280" i="1"/>
  <c r="J1280" i="1"/>
  <c r="I1280" i="1"/>
  <c r="H1280" i="1"/>
  <c r="G1280" i="1"/>
  <c r="F1280" i="1"/>
  <c r="E1280" i="1"/>
  <c r="D1280" i="1"/>
  <c r="C1280" i="1"/>
  <c r="M1279" i="1"/>
  <c r="L1279" i="1"/>
  <c r="K1279" i="1"/>
  <c r="J1279" i="1"/>
  <c r="I1279" i="1"/>
  <c r="G1279" i="1"/>
  <c r="F1279" i="1"/>
  <c r="E1279" i="1"/>
  <c r="D1279" i="1"/>
  <c r="C1279" i="1"/>
  <c r="M1278" i="1"/>
  <c r="L1278" i="1"/>
  <c r="K1278" i="1"/>
  <c r="J1278" i="1"/>
  <c r="I1278" i="1"/>
  <c r="H1278" i="1"/>
  <c r="G1278" i="1"/>
  <c r="F1278" i="1"/>
  <c r="E1278" i="1"/>
  <c r="D1278" i="1"/>
  <c r="C1278" i="1"/>
  <c r="M1277" i="1"/>
  <c r="L1277" i="1"/>
  <c r="K1277" i="1"/>
  <c r="J1277" i="1"/>
  <c r="I1277" i="1"/>
  <c r="H1277" i="1"/>
  <c r="G1277" i="1"/>
  <c r="F1277" i="1"/>
  <c r="E1277" i="1"/>
  <c r="D1277" i="1"/>
  <c r="C1277" i="1"/>
  <c r="M1276" i="1"/>
  <c r="L1276" i="1"/>
  <c r="K1276" i="1"/>
  <c r="J1276" i="1"/>
  <c r="I1276" i="1"/>
  <c r="G1276" i="1"/>
  <c r="H1276" i="1" s="1"/>
  <c r="F1276" i="1"/>
  <c r="E1276" i="1"/>
  <c r="D1276" i="1"/>
  <c r="C1276" i="1"/>
  <c r="M1275" i="1"/>
  <c r="L1275" i="1"/>
  <c r="K1275" i="1"/>
  <c r="J1275" i="1"/>
  <c r="I1275" i="1"/>
  <c r="G1275" i="1"/>
  <c r="F1275" i="1"/>
  <c r="E1275" i="1"/>
  <c r="D1275" i="1"/>
  <c r="C1275" i="1"/>
  <c r="M1274" i="1"/>
  <c r="L1274" i="1"/>
  <c r="K1274" i="1"/>
  <c r="J1274" i="1"/>
  <c r="I1274" i="1"/>
  <c r="G1274" i="1"/>
  <c r="F1274" i="1"/>
  <c r="E1274" i="1"/>
  <c r="D1274" i="1"/>
  <c r="C1274" i="1"/>
  <c r="M1273" i="1"/>
  <c r="L1273" i="1"/>
  <c r="K1273" i="1"/>
  <c r="J1273" i="1"/>
  <c r="I1273" i="1"/>
  <c r="G1273" i="1"/>
  <c r="H1273" i="1" s="1"/>
  <c r="F1273" i="1"/>
  <c r="E1273" i="1"/>
  <c r="D1273" i="1"/>
  <c r="C1273" i="1"/>
  <c r="M1272" i="1"/>
  <c r="L1272" i="1"/>
  <c r="K1272" i="1"/>
  <c r="J1272" i="1"/>
  <c r="I1272" i="1"/>
  <c r="G1272" i="1"/>
  <c r="F1272" i="1"/>
  <c r="E1272" i="1"/>
  <c r="D1272" i="1"/>
  <c r="C1272" i="1"/>
  <c r="M1271" i="1"/>
  <c r="L1271" i="1"/>
  <c r="K1271" i="1"/>
  <c r="J1271" i="1"/>
  <c r="I1271" i="1"/>
  <c r="G1271" i="1"/>
  <c r="F1271" i="1"/>
  <c r="E1271" i="1"/>
  <c r="D1271" i="1"/>
  <c r="C1271" i="1"/>
  <c r="H1271" i="1" s="1"/>
  <c r="M1270" i="1"/>
  <c r="L1270" i="1"/>
  <c r="K1270" i="1"/>
  <c r="J1270" i="1"/>
  <c r="I1270" i="1"/>
  <c r="G1270" i="1"/>
  <c r="H1270" i="1" s="1"/>
  <c r="F1270" i="1"/>
  <c r="E1270" i="1"/>
  <c r="D1270" i="1"/>
  <c r="C1270" i="1"/>
  <c r="M1269" i="1"/>
  <c r="L1269" i="1"/>
  <c r="K1269" i="1"/>
  <c r="J1269" i="1"/>
  <c r="I1269" i="1"/>
  <c r="G1269" i="1"/>
  <c r="F1269" i="1"/>
  <c r="E1269" i="1"/>
  <c r="D1269" i="1"/>
  <c r="C1269" i="1"/>
  <c r="M1268" i="1"/>
  <c r="L1268" i="1"/>
  <c r="K1268" i="1"/>
  <c r="J1268" i="1"/>
  <c r="I1268" i="1"/>
  <c r="G1268" i="1"/>
  <c r="F1268" i="1"/>
  <c r="E1268" i="1"/>
  <c r="D1268" i="1"/>
  <c r="C1268" i="1"/>
  <c r="M1267" i="1"/>
  <c r="L1267" i="1"/>
  <c r="K1267" i="1"/>
  <c r="J1267" i="1"/>
  <c r="I1267" i="1"/>
  <c r="G1267" i="1"/>
  <c r="H1267" i="1" s="1"/>
  <c r="F1267" i="1"/>
  <c r="E1267" i="1"/>
  <c r="D1267" i="1"/>
  <c r="C1267" i="1"/>
  <c r="M1266" i="1"/>
  <c r="L1266" i="1"/>
  <c r="K1266" i="1"/>
  <c r="J1266" i="1"/>
  <c r="I1266" i="1"/>
  <c r="G1266" i="1"/>
  <c r="F1266" i="1"/>
  <c r="E1266" i="1"/>
  <c r="D1266" i="1"/>
  <c r="C1266" i="1"/>
  <c r="H1266" i="1" s="1"/>
  <c r="M1265" i="1"/>
  <c r="L1265" i="1"/>
  <c r="K1265" i="1"/>
  <c r="J1265" i="1"/>
  <c r="I1265" i="1"/>
  <c r="G1265" i="1"/>
  <c r="H1265" i="1" s="1"/>
  <c r="F1265" i="1"/>
  <c r="E1265" i="1"/>
  <c r="D1265" i="1"/>
  <c r="C1265" i="1"/>
  <c r="M1264" i="1"/>
  <c r="L1264" i="1"/>
  <c r="K1264" i="1"/>
  <c r="J1264" i="1"/>
  <c r="I1264" i="1"/>
  <c r="G1264" i="1"/>
  <c r="H1264" i="1" s="1"/>
  <c r="F1264" i="1"/>
  <c r="E1264" i="1"/>
  <c r="D1264" i="1"/>
  <c r="C1264" i="1"/>
  <c r="M1263" i="1"/>
  <c r="L1263" i="1"/>
  <c r="K1263" i="1"/>
  <c r="J1263" i="1"/>
  <c r="I1263" i="1"/>
  <c r="G1263" i="1"/>
  <c r="F1263" i="1"/>
  <c r="E1263" i="1"/>
  <c r="D1263" i="1"/>
  <c r="C1263" i="1"/>
  <c r="M1262" i="1"/>
  <c r="L1262" i="1"/>
  <c r="K1262" i="1"/>
  <c r="J1262" i="1"/>
  <c r="I1262" i="1"/>
  <c r="G1262" i="1"/>
  <c r="H1262" i="1" s="1"/>
  <c r="F1262" i="1"/>
  <c r="E1262" i="1"/>
  <c r="D1262" i="1"/>
  <c r="C1262" i="1"/>
  <c r="M1261" i="1"/>
  <c r="L1261" i="1"/>
  <c r="K1261" i="1"/>
  <c r="J1261" i="1"/>
  <c r="I1261" i="1"/>
  <c r="H1261" i="1"/>
  <c r="G1261" i="1"/>
  <c r="F1261" i="1"/>
  <c r="E1261" i="1"/>
  <c r="D1261" i="1"/>
  <c r="C1261" i="1"/>
  <c r="M1260" i="1"/>
  <c r="L1260" i="1"/>
  <c r="K1260" i="1"/>
  <c r="J1260" i="1"/>
  <c r="I1260" i="1"/>
  <c r="G1260" i="1"/>
  <c r="H1260" i="1" s="1"/>
  <c r="F1260" i="1"/>
  <c r="E1260" i="1"/>
  <c r="D1260" i="1"/>
  <c r="C1260" i="1"/>
  <c r="M1259" i="1"/>
  <c r="L1259" i="1"/>
  <c r="K1259" i="1"/>
  <c r="J1259" i="1"/>
  <c r="I1259" i="1"/>
  <c r="G1259" i="1"/>
  <c r="H1259" i="1" s="1"/>
  <c r="F1259" i="1"/>
  <c r="E1259" i="1"/>
  <c r="D1259" i="1"/>
  <c r="C1259" i="1"/>
  <c r="M1258" i="1"/>
  <c r="L1258" i="1"/>
  <c r="K1258" i="1"/>
  <c r="J1258" i="1"/>
  <c r="I1258" i="1"/>
  <c r="H1258" i="1"/>
  <c r="G1258" i="1"/>
  <c r="F1258" i="1"/>
  <c r="E1258" i="1"/>
  <c r="D1258" i="1"/>
  <c r="C1258" i="1"/>
  <c r="M1257" i="1"/>
  <c r="L1257" i="1"/>
  <c r="K1257" i="1"/>
  <c r="J1257" i="1"/>
  <c r="I1257" i="1"/>
  <c r="G1257" i="1"/>
  <c r="H1257" i="1" s="1"/>
  <c r="F1257" i="1"/>
  <c r="E1257" i="1"/>
  <c r="D1257" i="1"/>
  <c r="C1257" i="1"/>
  <c r="M1256" i="1"/>
  <c r="L1256" i="1"/>
  <c r="K1256" i="1"/>
  <c r="J1256" i="1"/>
  <c r="I1256" i="1"/>
  <c r="G1256" i="1"/>
  <c r="H1256" i="1" s="1"/>
  <c r="F1256" i="1"/>
  <c r="E1256" i="1"/>
  <c r="D1256" i="1"/>
  <c r="C1256" i="1"/>
  <c r="M1255" i="1"/>
  <c r="L1255" i="1"/>
  <c r="K1255" i="1"/>
  <c r="J1255" i="1"/>
  <c r="I1255" i="1"/>
  <c r="G1255" i="1"/>
  <c r="H1255" i="1" s="1"/>
  <c r="F1255" i="1"/>
  <c r="E1255" i="1"/>
  <c r="D1255" i="1"/>
  <c r="C1255" i="1"/>
  <c r="M1254" i="1"/>
  <c r="L1254" i="1"/>
  <c r="K1254" i="1"/>
  <c r="J1254" i="1"/>
  <c r="I1254" i="1"/>
  <c r="H1254" i="1"/>
  <c r="G1254" i="1"/>
  <c r="F1254" i="1"/>
  <c r="E1254" i="1"/>
  <c r="D1254" i="1"/>
  <c r="C1254" i="1"/>
  <c r="M1253" i="1"/>
  <c r="L1253" i="1"/>
  <c r="K1253" i="1"/>
  <c r="J1253" i="1"/>
  <c r="I1253" i="1"/>
  <c r="G1253" i="1"/>
  <c r="H1253" i="1" s="1"/>
  <c r="F1253" i="1"/>
  <c r="E1253" i="1"/>
  <c r="D1253" i="1"/>
  <c r="C1253" i="1"/>
  <c r="M1252" i="1"/>
  <c r="L1252" i="1"/>
  <c r="K1252" i="1"/>
  <c r="J1252" i="1"/>
  <c r="I1252" i="1"/>
  <c r="H1252" i="1"/>
  <c r="G1252" i="1"/>
  <c r="F1252" i="1"/>
  <c r="E1252" i="1"/>
  <c r="D1252" i="1"/>
  <c r="C1252" i="1"/>
  <c r="M1251" i="1"/>
  <c r="L1251" i="1"/>
  <c r="K1251" i="1"/>
  <c r="J1251" i="1"/>
  <c r="I1251" i="1"/>
  <c r="G1251" i="1"/>
  <c r="F1251" i="1"/>
  <c r="E1251" i="1"/>
  <c r="D1251" i="1"/>
  <c r="C1251" i="1"/>
  <c r="H1251" i="1" s="1"/>
  <c r="M1250" i="1"/>
  <c r="L1250" i="1"/>
  <c r="K1250" i="1"/>
  <c r="J1250" i="1"/>
  <c r="I1250" i="1"/>
  <c r="G1250" i="1"/>
  <c r="F1250" i="1"/>
  <c r="E1250" i="1"/>
  <c r="D1250" i="1"/>
  <c r="C1250" i="1"/>
  <c r="H1250" i="1" s="1"/>
  <c r="M1249" i="1"/>
  <c r="L1249" i="1"/>
  <c r="K1249" i="1"/>
  <c r="J1249" i="1"/>
  <c r="I1249" i="1"/>
  <c r="G1249" i="1"/>
  <c r="H1249" i="1" s="1"/>
  <c r="F1249" i="1"/>
  <c r="E1249" i="1"/>
  <c r="D1249" i="1"/>
  <c r="C1249" i="1"/>
  <c r="M1248" i="1"/>
  <c r="L1248" i="1"/>
  <c r="K1248" i="1"/>
  <c r="J1248" i="1"/>
  <c r="I1248" i="1"/>
  <c r="G1248" i="1"/>
  <c r="H1248" i="1" s="1"/>
  <c r="F1248" i="1"/>
  <c r="E1248" i="1"/>
  <c r="D1248" i="1"/>
  <c r="C1248" i="1"/>
  <c r="M1247" i="1"/>
  <c r="L1247" i="1"/>
  <c r="K1247" i="1"/>
  <c r="J1247" i="1"/>
  <c r="I1247" i="1"/>
  <c r="G1247" i="1"/>
  <c r="F1247" i="1"/>
  <c r="E1247" i="1"/>
  <c r="D1247" i="1"/>
  <c r="C1247" i="1"/>
  <c r="M1246" i="1"/>
  <c r="L1246" i="1"/>
  <c r="K1246" i="1"/>
  <c r="J1246" i="1"/>
  <c r="I1246" i="1"/>
  <c r="G1246" i="1"/>
  <c r="H1246" i="1" s="1"/>
  <c r="F1246" i="1"/>
  <c r="E1246" i="1"/>
  <c r="D1246" i="1"/>
  <c r="C1246" i="1"/>
  <c r="M1245" i="1"/>
  <c r="L1245" i="1"/>
  <c r="K1245" i="1"/>
  <c r="J1245" i="1"/>
  <c r="I1245" i="1"/>
  <c r="H1245" i="1"/>
  <c r="G1245" i="1"/>
  <c r="F1245" i="1"/>
  <c r="E1245" i="1"/>
  <c r="D1245" i="1"/>
  <c r="C1245" i="1"/>
  <c r="M1244" i="1"/>
  <c r="L1244" i="1"/>
  <c r="K1244" i="1"/>
  <c r="J1244" i="1"/>
  <c r="I1244" i="1"/>
  <c r="G1244" i="1"/>
  <c r="F1244" i="1"/>
  <c r="E1244" i="1"/>
  <c r="D1244" i="1"/>
  <c r="C1244" i="1"/>
  <c r="M1243" i="1"/>
  <c r="L1243" i="1"/>
  <c r="K1243" i="1"/>
  <c r="J1243" i="1"/>
  <c r="I1243" i="1"/>
  <c r="G1243" i="1"/>
  <c r="H1243" i="1" s="1"/>
  <c r="F1243" i="1"/>
  <c r="E1243" i="1"/>
  <c r="D1243" i="1"/>
  <c r="C1243" i="1"/>
  <c r="M1242" i="1"/>
  <c r="L1242" i="1"/>
  <c r="K1242" i="1"/>
  <c r="J1242" i="1"/>
  <c r="I1242" i="1"/>
  <c r="G1242" i="1"/>
  <c r="F1242" i="1"/>
  <c r="E1242" i="1"/>
  <c r="D1242" i="1"/>
  <c r="C1242" i="1"/>
  <c r="H1242" i="1" s="1"/>
  <c r="M1241" i="1"/>
  <c r="L1241" i="1"/>
  <c r="K1241" i="1"/>
  <c r="J1241" i="1"/>
  <c r="I1241" i="1"/>
  <c r="G1241" i="1"/>
  <c r="F1241" i="1"/>
  <c r="E1241" i="1"/>
  <c r="D1241" i="1"/>
  <c r="C1241" i="1"/>
  <c r="H1241" i="1" s="1"/>
  <c r="M1240" i="1"/>
  <c r="L1240" i="1"/>
  <c r="K1240" i="1"/>
  <c r="J1240" i="1"/>
  <c r="I1240" i="1"/>
  <c r="H1240" i="1"/>
  <c r="G1240" i="1"/>
  <c r="F1240" i="1"/>
  <c r="E1240" i="1"/>
  <c r="D1240" i="1"/>
  <c r="C1240" i="1"/>
  <c r="M1239" i="1"/>
  <c r="L1239" i="1"/>
  <c r="K1239" i="1"/>
  <c r="J1239" i="1"/>
  <c r="I1239" i="1"/>
  <c r="G1239" i="1"/>
  <c r="F1239" i="1"/>
  <c r="E1239" i="1"/>
  <c r="D1239" i="1"/>
  <c r="C1239" i="1"/>
  <c r="H1239" i="1" s="1"/>
  <c r="M1238" i="1"/>
  <c r="L1238" i="1"/>
  <c r="K1238" i="1"/>
  <c r="J1238" i="1"/>
  <c r="I1238" i="1"/>
  <c r="G1238" i="1"/>
  <c r="F1238" i="1"/>
  <c r="E1238" i="1"/>
  <c r="D1238" i="1"/>
  <c r="C1238" i="1"/>
  <c r="M1237" i="1"/>
  <c r="L1237" i="1"/>
  <c r="K1237" i="1"/>
  <c r="J1237" i="1"/>
  <c r="I1237" i="1"/>
  <c r="G1237" i="1"/>
  <c r="F1237" i="1"/>
  <c r="E1237" i="1"/>
  <c r="D1237" i="1"/>
  <c r="C1237" i="1"/>
  <c r="H1237" i="1" s="1"/>
  <c r="M1236" i="1"/>
  <c r="L1236" i="1"/>
  <c r="K1236" i="1"/>
  <c r="J1236" i="1"/>
  <c r="I1236" i="1"/>
  <c r="G1236" i="1"/>
  <c r="H1236" i="1" s="1"/>
  <c r="F1236" i="1"/>
  <c r="E1236" i="1"/>
  <c r="D1236" i="1"/>
  <c r="C1236" i="1"/>
  <c r="M1235" i="1"/>
  <c r="L1235" i="1"/>
  <c r="K1235" i="1"/>
  <c r="J1235" i="1"/>
  <c r="I1235" i="1"/>
  <c r="G1235" i="1"/>
  <c r="H1235" i="1" s="1"/>
  <c r="F1235" i="1"/>
  <c r="E1235" i="1"/>
  <c r="D1235" i="1"/>
  <c r="C1235" i="1"/>
  <c r="M1234" i="1"/>
  <c r="L1234" i="1"/>
  <c r="K1234" i="1"/>
  <c r="J1234" i="1"/>
  <c r="I1234" i="1"/>
  <c r="G1234" i="1"/>
  <c r="F1234" i="1"/>
  <c r="E1234" i="1"/>
  <c r="D1234" i="1"/>
  <c r="C1234" i="1"/>
  <c r="H1234" i="1" s="1"/>
  <c r="M1233" i="1"/>
  <c r="L1233" i="1"/>
  <c r="K1233" i="1"/>
  <c r="J1233" i="1"/>
  <c r="I1233" i="1"/>
  <c r="H1233" i="1"/>
  <c r="G1233" i="1"/>
  <c r="F1233" i="1"/>
  <c r="E1233" i="1"/>
  <c r="D1233" i="1"/>
  <c r="C1233" i="1"/>
  <c r="M1232" i="1"/>
  <c r="L1232" i="1"/>
  <c r="K1232" i="1"/>
  <c r="J1232" i="1"/>
  <c r="I1232" i="1"/>
  <c r="H1232" i="1"/>
  <c r="G1232" i="1"/>
  <c r="F1232" i="1"/>
  <c r="E1232" i="1"/>
  <c r="D1232" i="1"/>
  <c r="C1232" i="1"/>
  <c r="M1231" i="1"/>
  <c r="L1231" i="1"/>
  <c r="K1231" i="1"/>
  <c r="J1231" i="1"/>
  <c r="I1231" i="1"/>
  <c r="G1231" i="1"/>
  <c r="F1231" i="1"/>
  <c r="E1231" i="1"/>
  <c r="D1231" i="1"/>
  <c r="C1231" i="1"/>
  <c r="M1230" i="1"/>
  <c r="L1230" i="1"/>
  <c r="K1230" i="1"/>
  <c r="J1230" i="1"/>
  <c r="I1230" i="1"/>
  <c r="G1230" i="1"/>
  <c r="H1230" i="1" s="1"/>
  <c r="F1230" i="1"/>
  <c r="E1230" i="1"/>
  <c r="D1230" i="1"/>
  <c r="C1230" i="1"/>
  <c r="M1229" i="1"/>
  <c r="L1229" i="1"/>
  <c r="K1229" i="1"/>
  <c r="J1229" i="1"/>
  <c r="I1229" i="1"/>
  <c r="G1229" i="1"/>
  <c r="H1229" i="1" s="1"/>
  <c r="F1229" i="1"/>
  <c r="E1229" i="1"/>
  <c r="D1229" i="1"/>
  <c r="C1229" i="1"/>
  <c r="M1228" i="1"/>
  <c r="L1228" i="1"/>
  <c r="K1228" i="1"/>
  <c r="J1228" i="1"/>
  <c r="I1228" i="1"/>
  <c r="G1228" i="1"/>
  <c r="F1228" i="1"/>
  <c r="E1228" i="1"/>
  <c r="D1228" i="1"/>
  <c r="C1228" i="1"/>
  <c r="M1227" i="1"/>
  <c r="L1227" i="1"/>
  <c r="K1227" i="1"/>
  <c r="J1227" i="1"/>
  <c r="I1227" i="1"/>
  <c r="G1227" i="1"/>
  <c r="H1227" i="1" s="1"/>
  <c r="F1227" i="1"/>
  <c r="E1227" i="1"/>
  <c r="D1227" i="1"/>
  <c r="C1227" i="1"/>
  <c r="M1226" i="1"/>
  <c r="L1226" i="1"/>
  <c r="K1226" i="1"/>
  <c r="J1226" i="1"/>
  <c r="I1226" i="1"/>
  <c r="G1226" i="1"/>
  <c r="H1226" i="1" s="1"/>
  <c r="F1226" i="1"/>
  <c r="E1226" i="1"/>
  <c r="D1226" i="1"/>
  <c r="C1226" i="1"/>
  <c r="M1225" i="1"/>
  <c r="L1225" i="1"/>
  <c r="K1225" i="1"/>
  <c r="J1225" i="1"/>
  <c r="I1225" i="1"/>
  <c r="G1225" i="1"/>
  <c r="F1225" i="1"/>
  <c r="E1225" i="1"/>
  <c r="D1225" i="1"/>
  <c r="C1225" i="1"/>
  <c r="M1224" i="1"/>
  <c r="L1224" i="1"/>
  <c r="K1224" i="1"/>
  <c r="J1224" i="1"/>
  <c r="I1224" i="1"/>
  <c r="G1224" i="1"/>
  <c r="H1224" i="1" s="1"/>
  <c r="F1224" i="1"/>
  <c r="E1224" i="1"/>
  <c r="D1224" i="1"/>
  <c r="C1224" i="1"/>
  <c r="M1223" i="1"/>
  <c r="L1223" i="1"/>
  <c r="K1223" i="1"/>
  <c r="J1223" i="1"/>
  <c r="I1223" i="1"/>
  <c r="H1223" i="1"/>
  <c r="G1223" i="1"/>
  <c r="F1223" i="1"/>
  <c r="E1223" i="1"/>
  <c r="D1223" i="1"/>
  <c r="C1223" i="1"/>
  <c r="M1222" i="1"/>
  <c r="L1222" i="1"/>
  <c r="K1222" i="1"/>
  <c r="J1222" i="1"/>
  <c r="I1222" i="1"/>
  <c r="G1222" i="1"/>
  <c r="F1222" i="1"/>
  <c r="E1222" i="1"/>
  <c r="D1222" i="1"/>
  <c r="C1222" i="1"/>
  <c r="M1221" i="1"/>
  <c r="L1221" i="1"/>
  <c r="K1221" i="1"/>
  <c r="J1221" i="1"/>
  <c r="I1221" i="1"/>
  <c r="G1221" i="1"/>
  <c r="H1221" i="1" s="1"/>
  <c r="F1221" i="1"/>
  <c r="E1221" i="1"/>
  <c r="D1221" i="1"/>
  <c r="C1221" i="1"/>
  <c r="M1220" i="1"/>
  <c r="L1220" i="1"/>
  <c r="K1220" i="1"/>
  <c r="J1220" i="1"/>
  <c r="I1220" i="1"/>
  <c r="G1220" i="1"/>
  <c r="H1220" i="1" s="1"/>
  <c r="F1220" i="1"/>
  <c r="E1220" i="1"/>
  <c r="D1220" i="1"/>
  <c r="C1220" i="1"/>
  <c r="M1219" i="1"/>
  <c r="L1219" i="1"/>
  <c r="K1219" i="1"/>
  <c r="J1219" i="1"/>
  <c r="I1219" i="1"/>
  <c r="G1219" i="1"/>
  <c r="H1219" i="1" s="1"/>
  <c r="F1219" i="1"/>
  <c r="E1219" i="1"/>
  <c r="D1219" i="1"/>
  <c r="C1219" i="1"/>
  <c r="M1218" i="1"/>
  <c r="L1218" i="1"/>
  <c r="K1218" i="1"/>
  <c r="J1218" i="1"/>
  <c r="I1218" i="1"/>
  <c r="H1218" i="1"/>
  <c r="G1218" i="1"/>
  <c r="F1218" i="1"/>
  <c r="E1218" i="1"/>
  <c r="D1218" i="1"/>
  <c r="C1218" i="1"/>
  <c r="M1217" i="1"/>
  <c r="L1217" i="1"/>
  <c r="K1217" i="1"/>
  <c r="J1217" i="1"/>
  <c r="I1217" i="1"/>
  <c r="G1217" i="1"/>
  <c r="F1217" i="1"/>
  <c r="E1217" i="1"/>
  <c r="D1217" i="1"/>
  <c r="C1217" i="1"/>
  <c r="H1217" i="1" s="1"/>
  <c r="M1216" i="1"/>
  <c r="L1216" i="1"/>
  <c r="K1216" i="1"/>
  <c r="J1216" i="1"/>
  <c r="I1216" i="1"/>
  <c r="G1216" i="1"/>
  <c r="F1216" i="1"/>
  <c r="E1216" i="1"/>
  <c r="D1216" i="1"/>
  <c r="C1216" i="1"/>
  <c r="H1216" i="1" s="1"/>
  <c r="M1215" i="1"/>
  <c r="L1215" i="1"/>
  <c r="K1215" i="1"/>
  <c r="J1215" i="1"/>
  <c r="I1215" i="1"/>
  <c r="H1215" i="1"/>
  <c r="G1215" i="1"/>
  <c r="F1215" i="1"/>
  <c r="E1215" i="1"/>
  <c r="D1215" i="1"/>
  <c r="C1215" i="1"/>
  <c r="M1214" i="1"/>
  <c r="L1214" i="1"/>
  <c r="K1214" i="1"/>
  <c r="J1214" i="1"/>
  <c r="I1214" i="1"/>
  <c r="G1214" i="1"/>
  <c r="F1214" i="1"/>
  <c r="E1214" i="1"/>
  <c r="D1214" i="1"/>
  <c r="C1214" i="1"/>
  <c r="M1213" i="1"/>
  <c r="L1213" i="1"/>
  <c r="K1213" i="1"/>
  <c r="J1213" i="1"/>
  <c r="I1213" i="1"/>
  <c r="H1213" i="1"/>
  <c r="G1213" i="1"/>
  <c r="F1213" i="1"/>
  <c r="E1213" i="1"/>
  <c r="D1213" i="1"/>
  <c r="C1213" i="1"/>
  <c r="M1212" i="1"/>
  <c r="L1212" i="1"/>
  <c r="K1212" i="1"/>
  <c r="J1212" i="1"/>
  <c r="I1212" i="1"/>
  <c r="H1212" i="1"/>
  <c r="G1212" i="1"/>
  <c r="F1212" i="1"/>
  <c r="E1212" i="1"/>
  <c r="D1212" i="1"/>
  <c r="C1212" i="1"/>
  <c r="M1211" i="1"/>
  <c r="L1211" i="1"/>
  <c r="K1211" i="1"/>
  <c r="J1211" i="1"/>
  <c r="I1211" i="1"/>
  <c r="G1211" i="1"/>
  <c r="H1211" i="1" s="1"/>
  <c r="F1211" i="1"/>
  <c r="E1211" i="1"/>
  <c r="D1211" i="1"/>
  <c r="C1211" i="1"/>
  <c r="M1210" i="1"/>
  <c r="L1210" i="1"/>
  <c r="K1210" i="1"/>
  <c r="J1210" i="1"/>
  <c r="I1210" i="1"/>
  <c r="G1210" i="1"/>
  <c r="F1210" i="1"/>
  <c r="E1210" i="1"/>
  <c r="D1210" i="1"/>
  <c r="C1210" i="1"/>
  <c r="M1209" i="1"/>
  <c r="L1209" i="1"/>
  <c r="K1209" i="1"/>
  <c r="J1209" i="1"/>
  <c r="I1209" i="1"/>
  <c r="G1209" i="1"/>
  <c r="F1209" i="1"/>
  <c r="E1209" i="1"/>
  <c r="D1209" i="1"/>
  <c r="C1209" i="1"/>
  <c r="H1209" i="1" s="1"/>
  <c r="M1208" i="1"/>
  <c r="L1208" i="1"/>
  <c r="K1208" i="1"/>
  <c r="J1208" i="1"/>
  <c r="I1208" i="1"/>
  <c r="G1208" i="1"/>
  <c r="H1208" i="1" s="1"/>
  <c r="F1208" i="1"/>
  <c r="E1208" i="1"/>
  <c r="D1208" i="1"/>
  <c r="C1208" i="1"/>
  <c r="M1207" i="1"/>
  <c r="L1207" i="1"/>
  <c r="K1207" i="1"/>
  <c r="J1207" i="1"/>
  <c r="I1207" i="1"/>
  <c r="G1207" i="1"/>
  <c r="F1207" i="1"/>
  <c r="E1207" i="1"/>
  <c r="D1207" i="1"/>
  <c r="C1207" i="1"/>
  <c r="H1207" i="1" s="1"/>
  <c r="M1206" i="1"/>
  <c r="L1206" i="1"/>
  <c r="K1206" i="1"/>
  <c r="J1206" i="1"/>
  <c r="I1206" i="1"/>
  <c r="G1206" i="1"/>
  <c r="H1206" i="1" s="1"/>
  <c r="F1206" i="1"/>
  <c r="E1206" i="1"/>
  <c r="D1206" i="1"/>
  <c r="C1206" i="1"/>
  <c r="M1205" i="1"/>
  <c r="L1205" i="1"/>
  <c r="K1205" i="1"/>
  <c r="J1205" i="1"/>
  <c r="I1205" i="1"/>
  <c r="G1205" i="1"/>
  <c r="H1205" i="1" s="1"/>
  <c r="F1205" i="1"/>
  <c r="E1205" i="1"/>
  <c r="D1205" i="1"/>
  <c r="C1205" i="1"/>
  <c r="M1204" i="1"/>
  <c r="L1204" i="1"/>
  <c r="K1204" i="1"/>
  <c r="J1204" i="1"/>
  <c r="I1204" i="1"/>
  <c r="G1204" i="1"/>
  <c r="F1204" i="1"/>
  <c r="E1204" i="1"/>
  <c r="D1204" i="1"/>
  <c r="C1204" i="1"/>
  <c r="H1204" i="1" s="1"/>
  <c r="M1203" i="1"/>
  <c r="L1203" i="1"/>
  <c r="K1203" i="1"/>
  <c r="J1203" i="1"/>
  <c r="I1203" i="1"/>
  <c r="G1203" i="1"/>
  <c r="H1203" i="1" s="1"/>
  <c r="F1203" i="1"/>
  <c r="E1203" i="1"/>
  <c r="D1203" i="1"/>
  <c r="C1203" i="1"/>
  <c r="M1202" i="1"/>
  <c r="L1202" i="1"/>
  <c r="K1202" i="1"/>
  <c r="J1202" i="1"/>
  <c r="I1202" i="1"/>
  <c r="G1202" i="1"/>
  <c r="H1202" i="1" s="1"/>
  <c r="F1202" i="1"/>
  <c r="E1202" i="1"/>
  <c r="D1202" i="1"/>
  <c r="C1202" i="1"/>
  <c r="M1201" i="1"/>
  <c r="L1201" i="1"/>
  <c r="K1201" i="1"/>
  <c r="J1201" i="1"/>
  <c r="I1201" i="1"/>
  <c r="G1201" i="1"/>
  <c r="F1201" i="1"/>
  <c r="E1201" i="1"/>
  <c r="D1201" i="1"/>
  <c r="C1201" i="1"/>
  <c r="H1201" i="1" s="1"/>
  <c r="M1200" i="1"/>
  <c r="L1200" i="1"/>
  <c r="K1200" i="1"/>
  <c r="J1200" i="1"/>
  <c r="I1200" i="1"/>
  <c r="G1200" i="1"/>
  <c r="F1200" i="1"/>
  <c r="E1200" i="1"/>
  <c r="D1200" i="1"/>
  <c r="C1200" i="1"/>
  <c r="M1199" i="1"/>
  <c r="L1199" i="1"/>
  <c r="K1199" i="1"/>
  <c r="J1199" i="1"/>
  <c r="I1199" i="1"/>
  <c r="G1199" i="1"/>
  <c r="H1199" i="1" s="1"/>
  <c r="F1199" i="1"/>
  <c r="E1199" i="1"/>
  <c r="D1199" i="1"/>
  <c r="C1199" i="1"/>
  <c r="M1198" i="1"/>
  <c r="L1198" i="1"/>
  <c r="K1198" i="1"/>
  <c r="J1198" i="1"/>
  <c r="I1198" i="1"/>
  <c r="G1198" i="1"/>
  <c r="F1198" i="1"/>
  <c r="E1198" i="1"/>
  <c r="D1198" i="1"/>
  <c r="C1198" i="1"/>
  <c r="M1197" i="1"/>
  <c r="L1197" i="1"/>
  <c r="K1197" i="1"/>
  <c r="J1197" i="1"/>
  <c r="I1197" i="1"/>
  <c r="G1197" i="1"/>
  <c r="F1197" i="1"/>
  <c r="E1197" i="1"/>
  <c r="D1197" i="1"/>
  <c r="C1197" i="1"/>
  <c r="M1196" i="1"/>
  <c r="L1196" i="1"/>
  <c r="K1196" i="1"/>
  <c r="J1196" i="1"/>
  <c r="I1196" i="1"/>
  <c r="G1196" i="1"/>
  <c r="H1196" i="1" s="1"/>
  <c r="F1196" i="1"/>
  <c r="E1196" i="1"/>
  <c r="D1196" i="1"/>
  <c r="C1196" i="1"/>
  <c r="M1195" i="1"/>
  <c r="L1195" i="1"/>
  <c r="K1195" i="1"/>
  <c r="J1195" i="1"/>
  <c r="I1195" i="1"/>
  <c r="H1195" i="1"/>
  <c r="G1195" i="1"/>
  <c r="F1195" i="1"/>
  <c r="E1195" i="1"/>
  <c r="D1195" i="1"/>
  <c r="C1195" i="1"/>
  <c r="M1194" i="1"/>
  <c r="L1194" i="1"/>
  <c r="K1194" i="1"/>
  <c r="J1194" i="1"/>
  <c r="I1194" i="1"/>
  <c r="G1194" i="1"/>
  <c r="F1194" i="1"/>
  <c r="E1194" i="1"/>
  <c r="D1194" i="1"/>
  <c r="C1194" i="1"/>
  <c r="H1194" i="1" s="1"/>
  <c r="M1193" i="1"/>
  <c r="L1193" i="1"/>
  <c r="K1193" i="1"/>
  <c r="J1193" i="1"/>
  <c r="I1193" i="1"/>
  <c r="H1193" i="1"/>
  <c r="G1193" i="1"/>
  <c r="F1193" i="1"/>
  <c r="E1193" i="1"/>
  <c r="D1193" i="1"/>
  <c r="C1193" i="1"/>
  <c r="M1192" i="1"/>
  <c r="L1192" i="1"/>
  <c r="K1192" i="1"/>
  <c r="J1192" i="1"/>
  <c r="I1192" i="1"/>
  <c r="H1192" i="1"/>
  <c r="G1192" i="1"/>
  <c r="F1192" i="1"/>
  <c r="E1192" i="1"/>
  <c r="D1192" i="1"/>
  <c r="C1192" i="1"/>
  <c r="M1191" i="1"/>
  <c r="L1191" i="1"/>
  <c r="K1191" i="1"/>
  <c r="J1191" i="1"/>
  <c r="I1191" i="1"/>
  <c r="G1191" i="1"/>
  <c r="F1191" i="1"/>
  <c r="E1191" i="1"/>
  <c r="D1191" i="1"/>
  <c r="C1191" i="1"/>
  <c r="M1190" i="1"/>
  <c r="L1190" i="1"/>
  <c r="K1190" i="1"/>
  <c r="J1190" i="1"/>
  <c r="I1190" i="1"/>
  <c r="G1190" i="1"/>
  <c r="F1190" i="1"/>
  <c r="E1190" i="1"/>
  <c r="D1190" i="1"/>
  <c r="C1190" i="1"/>
  <c r="H1190" i="1" s="1"/>
  <c r="M1189" i="1"/>
  <c r="L1189" i="1"/>
  <c r="K1189" i="1"/>
  <c r="J1189" i="1"/>
  <c r="I1189" i="1"/>
  <c r="G1189" i="1"/>
  <c r="H1189" i="1" s="1"/>
  <c r="F1189" i="1"/>
  <c r="E1189" i="1"/>
  <c r="D1189" i="1"/>
  <c r="C1189" i="1"/>
  <c r="M1188" i="1"/>
  <c r="L1188" i="1"/>
  <c r="K1188" i="1"/>
  <c r="J1188" i="1"/>
  <c r="I1188" i="1"/>
  <c r="G1188" i="1"/>
  <c r="F1188" i="1"/>
  <c r="E1188" i="1"/>
  <c r="D1188" i="1"/>
  <c r="C1188" i="1"/>
  <c r="H1188" i="1" s="1"/>
  <c r="M1187" i="1"/>
  <c r="L1187" i="1"/>
  <c r="K1187" i="1"/>
  <c r="J1187" i="1"/>
  <c r="I1187" i="1"/>
  <c r="G1187" i="1"/>
  <c r="F1187" i="1"/>
  <c r="E1187" i="1"/>
  <c r="D1187" i="1"/>
  <c r="C1187" i="1"/>
  <c r="M1186" i="1"/>
  <c r="L1186" i="1"/>
  <c r="K1186" i="1"/>
  <c r="J1186" i="1"/>
  <c r="I1186" i="1"/>
  <c r="G1186" i="1"/>
  <c r="H1186" i="1" s="1"/>
  <c r="F1186" i="1"/>
  <c r="E1186" i="1"/>
  <c r="D1186" i="1"/>
  <c r="C1186" i="1"/>
  <c r="M1185" i="1"/>
  <c r="L1185" i="1"/>
  <c r="K1185" i="1"/>
  <c r="J1185" i="1"/>
  <c r="I1185" i="1"/>
  <c r="G1185" i="1"/>
  <c r="F1185" i="1"/>
  <c r="E1185" i="1"/>
  <c r="D1185" i="1"/>
  <c r="C1185" i="1"/>
  <c r="H1185" i="1" s="1"/>
  <c r="M1184" i="1"/>
  <c r="L1184" i="1"/>
  <c r="K1184" i="1"/>
  <c r="J1184" i="1"/>
  <c r="I1184" i="1"/>
  <c r="G1184" i="1"/>
  <c r="F1184" i="1"/>
  <c r="E1184" i="1"/>
  <c r="D1184" i="1"/>
  <c r="C1184" i="1"/>
  <c r="M1183" i="1"/>
  <c r="L1183" i="1"/>
  <c r="K1183" i="1"/>
  <c r="J1183" i="1"/>
  <c r="I1183" i="1"/>
  <c r="G1183" i="1"/>
  <c r="H1183" i="1" s="1"/>
  <c r="F1183" i="1"/>
  <c r="E1183" i="1"/>
  <c r="D1183" i="1"/>
  <c r="C1183" i="1"/>
  <c r="M1182" i="1"/>
  <c r="L1182" i="1"/>
  <c r="K1182" i="1"/>
  <c r="J1182" i="1"/>
  <c r="I1182" i="1"/>
  <c r="G1182" i="1"/>
  <c r="F1182" i="1"/>
  <c r="E1182" i="1"/>
  <c r="D1182" i="1"/>
  <c r="C1182" i="1"/>
  <c r="H1182" i="1" s="1"/>
  <c r="M1181" i="1"/>
  <c r="L1181" i="1"/>
  <c r="K1181" i="1"/>
  <c r="J1181" i="1"/>
  <c r="I1181" i="1"/>
  <c r="G1181" i="1"/>
  <c r="F1181" i="1"/>
  <c r="E1181" i="1"/>
  <c r="D1181" i="1"/>
  <c r="C1181" i="1"/>
  <c r="M1180" i="1"/>
  <c r="L1180" i="1"/>
  <c r="K1180" i="1"/>
  <c r="J1180" i="1"/>
  <c r="I1180" i="1"/>
  <c r="H1180" i="1"/>
  <c r="G1180" i="1"/>
  <c r="F1180" i="1"/>
  <c r="E1180" i="1"/>
  <c r="D1180" i="1"/>
  <c r="C1180" i="1"/>
  <c r="M1179" i="1"/>
  <c r="L1179" i="1"/>
  <c r="K1179" i="1"/>
  <c r="J1179" i="1"/>
  <c r="I1179" i="1"/>
  <c r="G1179" i="1"/>
  <c r="F1179" i="1"/>
  <c r="E1179" i="1"/>
  <c r="D1179" i="1"/>
  <c r="C1179" i="1"/>
  <c r="H1179" i="1" s="1"/>
  <c r="M1178" i="1"/>
  <c r="L1178" i="1"/>
  <c r="K1178" i="1"/>
  <c r="J1178" i="1"/>
  <c r="I1178" i="1"/>
  <c r="G1178" i="1"/>
  <c r="F1178" i="1"/>
  <c r="E1178" i="1"/>
  <c r="D1178" i="1"/>
  <c r="C1178" i="1"/>
  <c r="H1178" i="1" s="1"/>
  <c r="M1177" i="1"/>
  <c r="L1177" i="1"/>
  <c r="K1177" i="1"/>
  <c r="J1177" i="1"/>
  <c r="I1177" i="1"/>
  <c r="H1177" i="1"/>
  <c r="G1177" i="1"/>
  <c r="F1177" i="1"/>
  <c r="E1177" i="1"/>
  <c r="D1177" i="1"/>
  <c r="C1177" i="1"/>
  <c r="M1176" i="1"/>
  <c r="L1176" i="1"/>
  <c r="K1176" i="1"/>
  <c r="J1176" i="1"/>
  <c r="I1176" i="1"/>
  <c r="G1176" i="1"/>
  <c r="F1176" i="1"/>
  <c r="E1176" i="1"/>
  <c r="D1176" i="1"/>
  <c r="C1176" i="1"/>
  <c r="H1176" i="1" s="1"/>
  <c r="M1175" i="1"/>
  <c r="L1175" i="1"/>
  <c r="K1175" i="1"/>
  <c r="J1175" i="1"/>
  <c r="I1175" i="1"/>
  <c r="G1175" i="1"/>
  <c r="F1175" i="1"/>
  <c r="E1175" i="1"/>
  <c r="D1175" i="1"/>
  <c r="C1175" i="1"/>
  <c r="M1174" i="1"/>
  <c r="L1174" i="1"/>
  <c r="K1174" i="1"/>
  <c r="J1174" i="1"/>
  <c r="I1174" i="1"/>
  <c r="G1174" i="1"/>
  <c r="F1174" i="1"/>
  <c r="E1174" i="1"/>
  <c r="D1174" i="1"/>
  <c r="C1174" i="1"/>
  <c r="H1174" i="1" s="1"/>
  <c r="M1173" i="1"/>
  <c r="L1173" i="1"/>
  <c r="K1173" i="1"/>
  <c r="J1173" i="1"/>
  <c r="I1173" i="1"/>
  <c r="G1173" i="1"/>
  <c r="H1173" i="1" s="1"/>
  <c r="F1173" i="1"/>
  <c r="E1173" i="1"/>
  <c r="D1173" i="1"/>
  <c r="C1173" i="1"/>
  <c r="M1172" i="1"/>
  <c r="L1172" i="1"/>
  <c r="K1172" i="1"/>
  <c r="J1172" i="1"/>
  <c r="I1172" i="1"/>
  <c r="G1172" i="1"/>
  <c r="H1172" i="1" s="1"/>
  <c r="F1172" i="1"/>
  <c r="E1172" i="1"/>
  <c r="D1172" i="1"/>
  <c r="C1172" i="1"/>
  <c r="M1171" i="1"/>
  <c r="L1171" i="1"/>
  <c r="K1171" i="1"/>
  <c r="J1171" i="1"/>
  <c r="I1171" i="1"/>
  <c r="G1171" i="1"/>
  <c r="H1171" i="1" s="1"/>
  <c r="F1171" i="1"/>
  <c r="E1171" i="1"/>
  <c r="D1171" i="1"/>
  <c r="C1171" i="1"/>
  <c r="M1170" i="1"/>
  <c r="L1170" i="1"/>
  <c r="K1170" i="1"/>
  <c r="J1170" i="1"/>
  <c r="I1170" i="1"/>
  <c r="H1170" i="1"/>
  <c r="G1170" i="1"/>
  <c r="F1170" i="1"/>
  <c r="E1170" i="1"/>
  <c r="D1170" i="1"/>
  <c r="C1170" i="1"/>
  <c r="M1169" i="1"/>
  <c r="L1169" i="1"/>
  <c r="K1169" i="1"/>
  <c r="J1169" i="1"/>
  <c r="I1169" i="1"/>
  <c r="G1169" i="1"/>
  <c r="H1169" i="1" s="1"/>
  <c r="F1169" i="1"/>
  <c r="E1169" i="1"/>
  <c r="D1169" i="1"/>
  <c r="C1169" i="1"/>
  <c r="M1168" i="1"/>
  <c r="L1168" i="1"/>
  <c r="K1168" i="1"/>
  <c r="J1168" i="1"/>
  <c r="I1168" i="1"/>
  <c r="G1168" i="1"/>
  <c r="H1168" i="1" s="1"/>
  <c r="F1168" i="1"/>
  <c r="E1168" i="1"/>
  <c r="D1168" i="1"/>
  <c r="C1168" i="1"/>
  <c r="M1167" i="1"/>
  <c r="L1167" i="1"/>
  <c r="K1167" i="1"/>
  <c r="J1167" i="1"/>
  <c r="I1167" i="1"/>
  <c r="G1167" i="1"/>
  <c r="H1167" i="1" s="1"/>
  <c r="F1167" i="1"/>
  <c r="E1167" i="1"/>
  <c r="D1167" i="1"/>
  <c r="C1167" i="1"/>
  <c r="M1166" i="1"/>
  <c r="L1166" i="1"/>
  <c r="K1166" i="1"/>
  <c r="J1166" i="1"/>
  <c r="I1166" i="1"/>
  <c r="G1166" i="1"/>
  <c r="H1166" i="1" s="1"/>
  <c r="F1166" i="1"/>
  <c r="E1166" i="1"/>
  <c r="D1166" i="1"/>
  <c r="C1166" i="1"/>
  <c r="M1165" i="1"/>
  <c r="L1165" i="1"/>
  <c r="K1165" i="1"/>
  <c r="J1165" i="1"/>
  <c r="I1165" i="1"/>
  <c r="G1165" i="1"/>
  <c r="H1165" i="1" s="1"/>
  <c r="F1165" i="1"/>
  <c r="E1165" i="1"/>
  <c r="D1165" i="1"/>
  <c r="C1165" i="1"/>
  <c r="M1164" i="1"/>
  <c r="L1164" i="1"/>
  <c r="K1164" i="1"/>
  <c r="J1164" i="1"/>
  <c r="I1164" i="1"/>
  <c r="H1164" i="1"/>
  <c r="G1164" i="1"/>
  <c r="F1164" i="1"/>
  <c r="E1164" i="1"/>
  <c r="D1164" i="1"/>
  <c r="C1164" i="1"/>
  <c r="M1163" i="1"/>
  <c r="L1163" i="1"/>
  <c r="K1163" i="1"/>
  <c r="J1163" i="1"/>
  <c r="I1163" i="1"/>
  <c r="G1163" i="1"/>
  <c r="H1163" i="1" s="1"/>
  <c r="F1163" i="1"/>
  <c r="E1163" i="1"/>
  <c r="D1163" i="1"/>
  <c r="C1163" i="1"/>
  <c r="M1162" i="1"/>
  <c r="L1162" i="1"/>
  <c r="K1162" i="1"/>
  <c r="J1162" i="1"/>
  <c r="I1162" i="1"/>
  <c r="G1162" i="1"/>
  <c r="F1162" i="1"/>
  <c r="E1162" i="1"/>
  <c r="D1162" i="1"/>
  <c r="C1162" i="1"/>
  <c r="H1162" i="1" s="1"/>
  <c r="M1161" i="1"/>
  <c r="L1161" i="1"/>
  <c r="K1161" i="1"/>
  <c r="J1161" i="1"/>
  <c r="I1161" i="1"/>
  <c r="H1161" i="1"/>
  <c r="G1161" i="1"/>
  <c r="F1161" i="1"/>
  <c r="E1161" i="1"/>
  <c r="D1161" i="1"/>
  <c r="C1161" i="1"/>
  <c r="M1160" i="1"/>
  <c r="L1160" i="1"/>
  <c r="K1160" i="1"/>
  <c r="J1160" i="1"/>
  <c r="I1160" i="1"/>
  <c r="G1160" i="1"/>
  <c r="H1160" i="1" s="1"/>
  <c r="F1160" i="1"/>
  <c r="E1160" i="1"/>
  <c r="D1160" i="1"/>
  <c r="C1160" i="1"/>
  <c r="M1159" i="1"/>
  <c r="L1159" i="1"/>
  <c r="K1159" i="1"/>
  <c r="J1159" i="1"/>
  <c r="I1159" i="1"/>
  <c r="G1159" i="1"/>
  <c r="H1159" i="1" s="1"/>
  <c r="F1159" i="1"/>
  <c r="E1159" i="1"/>
  <c r="D1159" i="1"/>
  <c r="C1159" i="1"/>
  <c r="M1158" i="1"/>
  <c r="L1158" i="1"/>
  <c r="K1158" i="1"/>
  <c r="J1158" i="1"/>
  <c r="I1158" i="1"/>
  <c r="G1158" i="1"/>
  <c r="F1158" i="1"/>
  <c r="E1158" i="1"/>
  <c r="D1158" i="1"/>
  <c r="C1158" i="1"/>
  <c r="H1158" i="1" s="1"/>
  <c r="M1157" i="1"/>
  <c r="L1157" i="1"/>
  <c r="K1157" i="1"/>
  <c r="J1157" i="1"/>
  <c r="I1157" i="1"/>
  <c r="H1157" i="1"/>
  <c r="G1157" i="1"/>
  <c r="F1157" i="1"/>
  <c r="E1157" i="1"/>
  <c r="D1157" i="1"/>
  <c r="C1157" i="1"/>
  <c r="M1156" i="1"/>
  <c r="L1156" i="1"/>
  <c r="K1156" i="1"/>
  <c r="J1156" i="1"/>
  <c r="I1156" i="1"/>
  <c r="G1156" i="1"/>
  <c r="H1156" i="1" s="1"/>
  <c r="F1156" i="1"/>
  <c r="E1156" i="1"/>
  <c r="D1156" i="1"/>
  <c r="C1156" i="1"/>
  <c r="M1155" i="1"/>
  <c r="L1155" i="1"/>
  <c r="K1155" i="1"/>
  <c r="J1155" i="1"/>
  <c r="I1155" i="1"/>
  <c r="G1155" i="1"/>
  <c r="H1155" i="1" s="1"/>
  <c r="F1155" i="1"/>
  <c r="E1155" i="1"/>
  <c r="D1155" i="1"/>
  <c r="C1155" i="1"/>
  <c r="M1154" i="1"/>
  <c r="L1154" i="1"/>
  <c r="K1154" i="1"/>
  <c r="J1154" i="1"/>
  <c r="I1154" i="1"/>
  <c r="H1154" i="1"/>
  <c r="G1154" i="1"/>
  <c r="F1154" i="1"/>
  <c r="E1154" i="1"/>
  <c r="D1154" i="1"/>
  <c r="C1154" i="1"/>
  <c r="M1153" i="1"/>
  <c r="L1153" i="1"/>
  <c r="K1153" i="1"/>
  <c r="J1153" i="1"/>
  <c r="I1153" i="1"/>
  <c r="G1153" i="1"/>
  <c r="H1153" i="1" s="1"/>
  <c r="F1153" i="1"/>
  <c r="E1153" i="1"/>
  <c r="D1153" i="1"/>
  <c r="C1153" i="1"/>
  <c r="M1152" i="1"/>
  <c r="L1152" i="1"/>
  <c r="K1152" i="1"/>
  <c r="J1152" i="1"/>
  <c r="I1152" i="1"/>
  <c r="G1152" i="1"/>
  <c r="H1152" i="1" s="1"/>
  <c r="F1152" i="1"/>
  <c r="E1152" i="1"/>
  <c r="D1152" i="1"/>
  <c r="C1152" i="1"/>
  <c r="M1151" i="1"/>
  <c r="L1151" i="1"/>
  <c r="K1151" i="1"/>
  <c r="J1151" i="1"/>
  <c r="I1151" i="1"/>
  <c r="H1151" i="1"/>
  <c r="G1151" i="1"/>
  <c r="F1151" i="1"/>
  <c r="E1151" i="1"/>
  <c r="D1151" i="1"/>
  <c r="C1151" i="1"/>
  <c r="M1150" i="1"/>
  <c r="L1150" i="1"/>
  <c r="K1150" i="1"/>
  <c r="J1150" i="1"/>
  <c r="I1150" i="1"/>
  <c r="G1150" i="1"/>
  <c r="H1150" i="1" s="1"/>
  <c r="F1150" i="1"/>
  <c r="E1150" i="1"/>
  <c r="D1150" i="1"/>
  <c r="C1150" i="1"/>
  <c r="M1149" i="1"/>
  <c r="L1149" i="1"/>
  <c r="K1149" i="1"/>
  <c r="J1149" i="1"/>
  <c r="I1149" i="1"/>
  <c r="G1149" i="1"/>
  <c r="H1149" i="1" s="1"/>
  <c r="F1149" i="1"/>
  <c r="E1149" i="1"/>
  <c r="D1149" i="1"/>
  <c r="C1149" i="1"/>
  <c r="M1148" i="1"/>
  <c r="L1148" i="1"/>
  <c r="K1148" i="1"/>
  <c r="J1148" i="1"/>
  <c r="I1148" i="1"/>
  <c r="H1148" i="1"/>
  <c r="G1148" i="1"/>
  <c r="F1148" i="1"/>
  <c r="E1148" i="1"/>
  <c r="D1148" i="1"/>
  <c r="C1148" i="1"/>
  <c r="M1147" i="1"/>
  <c r="L1147" i="1"/>
  <c r="K1147" i="1"/>
  <c r="J1147" i="1"/>
  <c r="I1147" i="1"/>
  <c r="G1147" i="1"/>
  <c r="H1147" i="1" s="1"/>
  <c r="F1147" i="1"/>
  <c r="E1147" i="1"/>
  <c r="D1147" i="1"/>
  <c r="C1147" i="1"/>
  <c r="M1146" i="1"/>
  <c r="L1146" i="1"/>
  <c r="K1146" i="1"/>
  <c r="J1146" i="1"/>
  <c r="I1146" i="1"/>
  <c r="G1146" i="1"/>
  <c r="F1146" i="1"/>
  <c r="E1146" i="1"/>
  <c r="D1146" i="1"/>
  <c r="C1146" i="1"/>
  <c r="H1146" i="1" s="1"/>
  <c r="M1145" i="1"/>
  <c r="L1145" i="1"/>
  <c r="K1145" i="1"/>
  <c r="J1145" i="1"/>
  <c r="I1145" i="1"/>
  <c r="H1145" i="1"/>
  <c r="G1145" i="1"/>
  <c r="F1145" i="1"/>
  <c r="E1145" i="1"/>
  <c r="D1145" i="1"/>
  <c r="C1145" i="1"/>
  <c r="M1144" i="1"/>
  <c r="L1144" i="1"/>
  <c r="K1144" i="1"/>
  <c r="J1144" i="1"/>
  <c r="I1144" i="1"/>
  <c r="G1144" i="1"/>
  <c r="H1144" i="1" s="1"/>
  <c r="F1144" i="1"/>
  <c r="E1144" i="1"/>
  <c r="D1144" i="1"/>
  <c r="C1144" i="1"/>
  <c r="M1143" i="1"/>
  <c r="L1143" i="1"/>
  <c r="K1143" i="1"/>
  <c r="J1143" i="1"/>
  <c r="I1143" i="1"/>
  <c r="G1143" i="1"/>
  <c r="H1143" i="1" s="1"/>
  <c r="F1143" i="1"/>
  <c r="E1143" i="1"/>
  <c r="D1143" i="1"/>
  <c r="C1143" i="1"/>
  <c r="M1142" i="1"/>
  <c r="L1142" i="1"/>
  <c r="K1142" i="1"/>
  <c r="J1142" i="1"/>
  <c r="I1142" i="1"/>
  <c r="G1142" i="1"/>
  <c r="F1142" i="1"/>
  <c r="E1142" i="1"/>
  <c r="D1142" i="1"/>
  <c r="C1142" i="1"/>
  <c r="H1142" i="1" s="1"/>
  <c r="M1141" i="1"/>
  <c r="L1141" i="1"/>
  <c r="K1141" i="1"/>
  <c r="J1141" i="1"/>
  <c r="I1141" i="1"/>
  <c r="H1141" i="1"/>
  <c r="G1141" i="1"/>
  <c r="F1141" i="1"/>
  <c r="E1141" i="1"/>
  <c r="D1141" i="1"/>
  <c r="C1141" i="1"/>
  <c r="M1140" i="1"/>
  <c r="L1140" i="1"/>
  <c r="K1140" i="1"/>
  <c r="J1140" i="1"/>
  <c r="I1140" i="1"/>
  <c r="G1140" i="1"/>
  <c r="H1140" i="1" s="1"/>
  <c r="F1140" i="1"/>
  <c r="E1140" i="1"/>
  <c r="D1140" i="1"/>
  <c r="C1140" i="1"/>
  <c r="M1139" i="1"/>
  <c r="L1139" i="1"/>
  <c r="K1139" i="1"/>
  <c r="J1139" i="1"/>
  <c r="I1139" i="1"/>
  <c r="G1139" i="1"/>
  <c r="F1139" i="1"/>
  <c r="E1139" i="1"/>
  <c r="D1139" i="1"/>
  <c r="C1139" i="1"/>
  <c r="M1138" i="1"/>
  <c r="L1138" i="1"/>
  <c r="K1138" i="1"/>
  <c r="J1138" i="1"/>
  <c r="I1138" i="1"/>
  <c r="H1138" i="1"/>
  <c r="G1138" i="1"/>
  <c r="F1138" i="1"/>
  <c r="E1138" i="1"/>
  <c r="D1138" i="1"/>
  <c r="C1138" i="1"/>
  <c r="M1137" i="1"/>
  <c r="L1137" i="1"/>
  <c r="K1137" i="1"/>
  <c r="J1137" i="1"/>
  <c r="I1137" i="1"/>
  <c r="G1137" i="1"/>
  <c r="H1137" i="1" s="1"/>
  <c r="F1137" i="1"/>
  <c r="E1137" i="1"/>
  <c r="D1137" i="1"/>
  <c r="C1137" i="1"/>
  <c r="M1136" i="1"/>
  <c r="L1136" i="1"/>
  <c r="K1136" i="1"/>
  <c r="J1136" i="1"/>
  <c r="I1136" i="1"/>
  <c r="G1136" i="1"/>
  <c r="F1136" i="1"/>
  <c r="E1136" i="1"/>
  <c r="D1136" i="1"/>
  <c r="C1136" i="1"/>
  <c r="M1135" i="1"/>
  <c r="L1135" i="1"/>
  <c r="K1135" i="1"/>
  <c r="J1135" i="1"/>
  <c r="I1135" i="1"/>
  <c r="H1135" i="1"/>
  <c r="G1135" i="1"/>
  <c r="F1135" i="1"/>
  <c r="E1135" i="1"/>
  <c r="D1135" i="1"/>
  <c r="C1135" i="1"/>
  <c r="M1134" i="1"/>
  <c r="L1134" i="1"/>
  <c r="K1134" i="1"/>
  <c r="J1134" i="1"/>
  <c r="I1134" i="1"/>
  <c r="G1134" i="1"/>
  <c r="H1134" i="1" s="1"/>
  <c r="F1134" i="1"/>
  <c r="E1134" i="1"/>
  <c r="D1134" i="1"/>
  <c r="C1134" i="1"/>
  <c r="M1133" i="1"/>
  <c r="L1133" i="1"/>
  <c r="K1133" i="1"/>
  <c r="J1133" i="1"/>
  <c r="I1133" i="1"/>
  <c r="G1133" i="1"/>
  <c r="F1133" i="1"/>
  <c r="E1133" i="1"/>
  <c r="D1133" i="1"/>
  <c r="C1133" i="1"/>
  <c r="M1132" i="1"/>
  <c r="L1132" i="1"/>
  <c r="K1132" i="1"/>
  <c r="J1132" i="1"/>
  <c r="I1132" i="1"/>
  <c r="H1132" i="1"/>
  <c r="G1132" i="1"/>
  <c r="F1132" i="1"/>
  <c r="E1132" i="1"/>
  <c r="D1132" i="1"/>
  <c r="C1132" i="1"/>
  <c r="M1131" i="1"/>
  <c r="L1131" i="1"/>
  <c r="K1131" i="1"/>
  <c r="J1131" i="1"/>
  <c r="I1131" i="1"/>
  <c r="G1131" i="1"/>
  <c r="H1131" i="1" s="1"/>
  <c r="F1131" i="1"/>
  <c r="E1131" i="1"/>
  <c r="D1131" i="1"/>
  <c r="C1131" i="1"/>
  <c r="M1130" i="1"/>
  <c r="L1130" i="1"/>
  <c r="K1130" i="1"/>
  <c r="J1130" i="1"/>
  <c r="I1130" i="1"/>
  <c r="G1130" i="1"/>
  <c r="F1130" i="1"/>
  <c r="E1130" i="1"/>
  <c r="D1130" i="1"/>
  <c r="C1130" i="1"/>
  <c r="H1130" i="1" s="1"/>
  <c r="M1129" i="1"/>
  <c r="L1129" i="1"/>
  <c r="K1129" i="1"/>
  <c r="J1129" i="1"/>
  <c r="I1129" i="1"/>
  <c r="H1129" i="1"/>
  <c r="G1129" i="1"/>
  <c r="F1129" i="1"/>
  <c r="E1129" i="1"/>
  <c r="D1129" i="1"/>
  <c r="C1129" i="1"/>
  <c r="M1128" i="1"/>
  <c r="L1128" i="1"/>
  <c r="K1128" i="1"/>
  <c r="J1128" i="1"/>
  <c r="I1128" i="1"/>
  <c r="G1128" i="1"/>
  <c r="H1128" i="1" s="1"/>
  <c r="F1128" i="1"/>
  <c r="E1128" i="1"/>
  <c r="D1128" i="1"/>
  <c r="C1128" i="1"/>
  <c r="M1127" i="1"/>
  <c r="L1127" i="1"/>
  <c r="K1127" i="1"/>
  <c r="J1127" i="1"/>
  <c r="I1127" i="1"/>
  <c r="G1127" i="1"/>
  <c r="F1127" i="1"/>
  <c r="E1127" i="1"/>
  <c r="D1127" i="1"/>
  <c r="C1127" i="1"/>
  <c r="M1126" i="1"/>
  <c r="L1126" i="1"/>
  <c r="K1126" i="1"/>
  <c r="J1126" i="1"/>
  <c r="I1126" i="1"/>
  <c r="G1126" i="1"/>
  <c r="F1126" i="1"/>
  <c r="E1126" i="1"/>
  <c r="D1126" i="1"/>
  <c r="C1126" i="1"/>
  <c r="H1126" i="1" s="1"/>
  <c r="M1125" i="1"/>
  <c r="L1125" i="1"/>
  <c r="K1125" i="1"/>
  <c r="J1125" i="1"/>
  <c r="I1125" i="1"/>
  <c r="G1125" i="1"/>
  <c r="H1125" i="1" s="1"/>
  <c r="F1125" i="1"/>
  <c r="E1125" i="1"/>
  <c r="D1125" i="1"/>
  <c r="C1125" i="1"/>
  <c r="M1124" i="1"/>
  <c r="L1124" i="1"/>
  <c r="K1124" i="1"/>
  <c r="J1124" i="1"/>
  <c r="I1124" i="1"/>
  <c r="G1124" i="1"/>
  <c r="H1124" i="1" s="1"/>
  <c r="F1124" i="1"/>
  <c r="E1124" i="1"/>
  <c r="D1124" i="1"/>
  <c r="C1124" i="1"/>
  <c r="M1123" i="1"/>
  <c r="L1123" i="1"/>
  <c r="K1123" i="1"/>
  <c r="J1123" i="1"/>
  <c r="I1123" i="1"/>
  <c r="G1123" i="1"/>
  <c r="H1123" i="1" s="1"/>
  <c r="F1123" i="1"/>
  <c r="E1123" i="1"/>
  <c r="D1123" i="1"/>
  <c r="C1123" i="1"/>
  <c r="M1122" i="1"/>
  <c r="L1122" i="1"/>
  <c r="K1122" i="1"/>
  <c r="J1122" i="1"/>
  <c r="I1122" i="1"/>
  <c r="G1122" i="1"/>
  <c r="H1122" i="1" s="1"/>
  <c r="F1122" i="1"/>
  <c r="E1122" i="1"/>
  <c r="D1122" i="1"/>
  <c r="C1122" i="1"/>
  <c r="M1121" i="1"/>
  <c r="L1121" i="1"/>
  <c r="K1121" i="1"/>
  <c r="J1121" i="1"/>
  <c r="I1121" i="1"/>
  <c r="G1121" i="1"/>
  <c r="H1121" i="1" s="1"/>
  <c r="F1121" i="1"/>
  <c r="E1121" i="1"/>
  <c r="D1121" i="1"/>
  <c r="C1121" i="1"/>
  <c r="M1120" i="1"/>
  <c r="L1120" i="1"/>
  <c r="K1120" i="1"/>
  <c r="J1120" i="1"/>
  <c r="I1120" i="1"/>
  <c r="G1120" i="1"/>
  <c r="H1120" i="1" s="1"/>
  <c r="F1120" i="1"/>
  <c r="E1120" i="1"/>
  <c r="D1120" i="1"/>
  <c r="C1120" i="1"/>
  <c r="M1119" i="1"/>
  <c r="L1119" i="1"/>
  <c r="K1119" i="1"/>
  <c r="J1119" i="1"/>
  <c r="I1119" i="1"/>
  <c r="G1119" i="1"/>
  <c r="H1119" i="1" s="1"/>
  <c r="F1119" i="1"/>
  <c r="E1119" i="1"/>
  <c r="D1119" i="1"/>
  <c r="C1119" i="1"/>
  <c r="M1118" i="1"/>
  <c r="L1118" i="1"/>
  <c r="K1118" i="1"/>
  <c r="J1118" i="1"/>
  <c r="I1118" i="1"/>
  <c r="G1118" i="1"/>
  <c r="H1118" i="1" s="1"/>
  <c r="F1118" i="1"/>
  <c r="E1118" i="1"/>
  <c r="D1118" i="1"/>
  <c r="C1118" i="1"/>
  <c r="M1117" i="1"/>
  <c r="L1117" i="1"/>
  <c r="K1117" i="1"/>
  <c r="J1117" i="1"/>
  <c r="I1117" i="1"/>
  <c r="G1117" i="1"/>
  <c r="H1117" i="1" s="1"/>
  <c r="F1117" i="1"/>
  <c r="E1117" i="1"/>
  <c r="D1117" i="1"/>
  <c r="C1117" i="1"/>
  <c r="M1116" i="1"/>
  <c r="L1116" i="1"/>
  <c r="K1116" i="1"/>
  <c r="J1116" i="1"/>
  <c r="I1116" i="1"/>
  <c r="G1116" i="1"/>
  <c r="H1116" i="1" s="1"/>
  <c r="F1116" i="1"/>
  <c r="E1116" i="1"/>
  <c r="D1116" i="1"/>
  <c r="C1116" i="1"/>
  <c r="M1115" i="1"/>
  <c r="L1115" i="1"/>
  <c r="K1115" i="1"/>
  <c r="J1115" i="1"/>
  <c r="I1115" i="1"/>
  <c r="G1115" i="1"/>
  <c r="H1115" i="1" s="1"/>
  <c r="F1115" i="1"/>
  <c r="E1115" i="1"/>
  <c r="D1115" i="1"/>
  <c r="C1115" i="1"/>
  <c r="M1114" i="1"/>
  <c r="L1114" i="1"/>
  <c r="K1114" i="1"/>
  <c r="J1114" i="1"/>
  <c r="I1114" i="1"/>
  <c r="G1114" i="1"/>
  <c r="F1114" i="1"/>
  <c r="E1114" i="1"/>
  <c r="D1114" i="1"/>
  <c r="C1114" i="1"/>
  <c r="H1114" i="1" s="1"/>
  <c r="M1113" i="1"/>
  <c r="L1113" i="1"/>
  <c r="K1113" i="1"/>
  <c r="J1113" i="1"/>
  <c r="I1113" i="1"/>
  <c r="H1113" i="1"/>
  <c r="G1113" i="1"/>
  <c r="F1113" i="1"/>
  <c r="E1113" i="1"/>
  <c r="D1113" i="1"/>
  <c r="C1113" i="1"/>
  <c r="M1112" i="1"/>
  <c r="L1112" i="1"/>
  <c r="K1112" i="1"/>
  <c r="J1112" i="1"/>
  <c r="I1112" i="1"/>
  <c r="G1112" i="1"/>
  <c r="H1112" i="1" s="1"/>
  <c r="F1112" i="1"/>
  <c r="E1112" i="1"/>
  <c r="D1112" i="1"/>
  <c r="C1112" i="1"/>
  <c r="M1111" i="1"/>
  <c r="L1111" i="1"/>
  <c r="K1111" i="1"/>
  <c r="J1111" i="1"/>
  <c r="I1111" i="1"/>
  <c r="G1111" i="1"/>
  <c r="H1111" i="1" s="1"/>
  <c r="F1111" i="1"/>
  <c r="E1111" i="1"/>
  <c r="D1111" i="1"/>
  <c r="C1111" i="1"/>
  <c r="M1110" i="1"/>
  <c r="L1110" i="1"/>
  <c r="K1110" i="1"/>
  <c r="J1110" i="1"/>
  <c r="I1110" i="1"/>
  <c r="G1110" i="1"/>
  <c r="F1110" i="1"/>
  <c r="E1110" i="1"/>
  <c r="D1110" i="1"/>
  <c r="C1110" i="1"/>
  <c r="H1110" i="1" s="1"/>
  <c r="M1109" i="1"/>
  <c r="L1109" i="1"/>
  <c r="K1109" i="1"/>
  <c r="J1109" i="1"/>
  <c r="I1109" i="1"/>
  <c r="H1109" i="1"/>
  <c r="G1109" i="1"/>
  <c r="F1109" i="1"/>
  <c r="E1109" i="1"/>
  <c r="D1109" i="1"/>
  <c r="C1109" i="1"/>
  <c r="M1108" i="1"/>
  <c r="L1108" i="1"/>
  <c r="K1108" i="1"/>
  <c r="J1108" i="1"/>
  <c r="I1108" i="1"/>
  <c r="H1108" i="1"/>
  <c r="G1108" i="1"/>
  <c r="F1108" i="1"/>
  <c r="E1108" i="1"/>
  <c r="D1108" i="1"/>
  <c r="C1108" i="1"/>
  <c r="M1107" i="1"/>
  <c r="L1107" i="1"/>
  <c r="K1107" i="1"/>
  <c r="J1107" i="1"/>
  <c r="I1107" i="1"/>
  <c r="G1107" i="1"/>
  <c r="F1107" i="1"/>
  <c r="E1107" i="1"/>
  <c r="D1107" i="1"/>
  <c r="C1107" i="1"/>
  <c r="M1106" i="1"/>
  <c r="L1106" i="1"/>
  <c r="K1106" i="1"/>
  <c r="J1106" i="1"/>
  <c r="I1106" i="1"/>
  <c r="H1106" i="1"/>
  <c r="G1106" i="1"/>
  <c r="F1106" i="1"/>
  <c r="E1106" i="1"/>
  <c r="D1106" i="1"/>
  <c r="C1106" i="1"/>
  <c r="M1105" i="1"/>
  <c r="L1105" i="1"/>
  <c r="K1105" i="1"/>
  <c r="J1105" i="1"/>
  <c r="I1105" i="1"/>
  <c r="H1105" i="1"/>
  <c r="G1105" i="1"/>
  <c r="F1105" i="1"/>
  <c r="E1105" i="1"/>
  <c r="D1105" i="1"/>
  <c r="C1105" i="1"/>
  <c r="M1104" i="1"/>
  <c r="L1104" i="1"/>
  <c r="K1104" i="1"/>
  <c r="J1104" i="1"/>
  <c r="I1104" i="1"/>
  <c r="G1104" i="1"/>
  <c r="F1104" i="1"/>
  <c r="E1104" i="1"/>
  <c r="D1104" i="1"/>
  <c r="C1104" i="1"/>
  <c r="M1103" i="1"/>
  <c r="L1103" i="1"/>
  <c r="K1103" i="1"/>
  <c r="J1103" i="1"/>
  <c r="I1103" i="1"/>
  <c r="H1103" i="1"/>
  <c r="G1103" i="1"/>
  <c r="F1103" i="1"/>
  <c r="E1103" i="1"/>
  <c r="D1103" i="1"/>
  <c r="C1103" i="1"/>
  <c r="M1102" i="1"/>
  <c r="L1102" i="1"/>
  <c r="K1102" i="1"/>
  <c r="J1102" i="1"/>
  <c r="I1102" i="1"/>
  <c r="H1102" i="1"/>
  <c r="G1102" i="1"/>
  <c r="F1102" i="1"/>
  <c r="E1102" i="1"/>
  <c r="D1102" i="1"/>
  <c r="C1102" i="1"/>
  <c r="M1101" i="1"/>
  <c r="L1101" i="1"/>
  <c r="K1101" i="1"/>
  <c r="J1101" i="1"/>
  <c r="I1101" i="1"/>
  <c r="G1101" i="1"/>
  <c r="F1101" i="1"/>
  <c r="E1101" i="1"/>
  <c r="D1101" i="1"/>
  <c r="C1101" i="1"/>
  <c r="M1100" i="1"/>
  <c r="L1100" i="1"/>
  <c r="K1100" i="1"/>
  <c r="J1100" i="1"/>
  <c r="I1100" i="1"/>
  <c r="H1100" i="1"/>
  <c r="G1100" i="1"/>
  <c r="F1100" i="1"/>
  <c r="E1100" i="1"/>
  <c r="D1100" i="1"/>
  <c r="C1100" i="1"/>
  <c r="M1099" i="1"/>
  <c r="L1099" i="1"/>
  <c r="K1099" i="1"/>
  <c r="J1099" i="1"/>
  <c r="I1099" i="1"/>
  <c r="H1099" i="1"/>
  <c r="G1099" i="1"/>
  <c r="F1099" i="1"/>
  <c r="E1099" i="1"/>
  <c r="D1099" i="1"/>
  <c r="C1099" i="1"/>
  <c r="M1098" i="1"/>
  <c r="L1098" i="1"/>
  <c r="K1098" i="1"/>
  <c r="J1098" i="1"/>
  <c r="I1098" i="1"/>
  <c r="G1098" i="1"/>
  <c r="F1098" i="1"/>
  <c r="E1098" i="1"/>
  <c r="D1098" i="1"/>
  <c r="C1098" i="1"/>
  <c r="H1098" i="1" s="1"/>
  <c r="M1097" i="1"/>
  <c r="L1097" i="1"/>
  <c r="K1097" i="1"/>
  <c r="J1097" i="1"/>
  <c r="I1097" i="1"/>
  <c r="H1097" i="1"/>
  <c r="G1097" i="1"/>
  <c r="F1097" i="1"/>
  <c r="E1097" i="1"/>
  <c r="D1097" i="1"/>
  <c r="C1097" i="1"/>
  <c r="M1096" i="1"/>
  <c r="L1096" i="1"/>
  <c r="K1096" i="1"/>
  <c r="J1096" i="1"/>
  <c r="I1096" i="1"/>
  <c r="H1096" i="1"/>
  <c r="G1096" i="1"/>
  <c r="F1096" i="1"/>
  <c r="E1096" i="1"/>
  <c r="D1096" i="1"/>
  <c r="C1096" i="1"/>
  <c r="M1095" i="1"/>
  <c r="L1095" i="1"/>
  <c r="K1095" i="1"/>
  <c r="J1095" i="1"/>
  <c r="I1095" i="1"/>
  <c r="G1095" i="1"/>
  <c r="F1095" i="1"/>
  <c r="E1095" i="1"/>
  <c r="D1095" i="1"/>
  <c r="C1095" i="1"/>
  <c r="M1094" i="1"/>
  <c r="L1094" i="1"/>
  <c r="K1094" i="1"/>
  <c r="J1094" i="1"/>
  <c r="I1094" i="1"/>
  <c r="G1094" i="1"/>
  <c r="F1094" i="1"/>
  <c r="E1094" i="1"/>
  <c r="D1094" i="1"/>
  <c r="C1094" i="1"/>
  <c r="H1094" i="1" s="1"/>
  <c r="M1093" i="1"/>
  <c r="L1093" i="1"/>
  <c r="K1093" i="1"/>
  <c r="J1093" i="1"/>
  <c r="I1093" i="1"/>
  <c r="G1093" i="1"/>
  <c r="H1093" i="1" s="1"/>
  <c r="F1093" i="1"/>
  <c r="E1093" i="1"/>
  <c r="D1093" i="1"/>
  <c r="C1093" i="1"/>
  <c r="M1092" i="1"/>
  <c r="L1092" i="1"/>
  <c r="K1092" i="1"/>
  <c r="J1092" i="1"/>
  <c r="I1092" i="1"/>
  <c r="G1092" i="1"/>
  <c r="F1092" i="1"/>
  <c r="E1092" i="1"/>
  <c r="D1092" i="1"/>
  <c r="C1092" i="1"/>
  <c r="M1091" i="1"/>
  <c r="L1091" i="1"/>
  <c r="K1091" i="1"/>
  <c r="J1091" i="1"/>
  <c r="I1091" i="1"/>
  <c r="G1091" i="1"/>
  <c r="F1091" i="1"/>
  <c r="E1091" i="1"/>
  <c r="D1091" i="1"/>
  <c r="C1091" i="1"/>
  <c r="M1090" i="1"/>
  <c r="L1090" i="1"/>
  <c r="K1090" i="1"/>
  <c r="J1090" i="1"/>
  <c r="I1090" i="1"/>
  <c r="G1090" i="1"/>
  <c r="H1090" i="1" s="1"/>
  <c r="F1090" i="1"/>
  <c r="E1090" i="1"/>
  <c r="D1090" i="1"/>
  <c r="C1090" i="1"/>
  <c r="M1089" i="1"/>
  <c r="L1089" i="1"/>
  <c r="K1089" i="1"/>
  <c r="J1089" i="1"/>
  <c r="I1089" i="1"/>
  <c r="G1089" i="1"/>
  <c r="F1089" i="1"/>
  <c r="E1089" i="1"/>
  <c r="D1089" i="1"/>
  <c r="C1089" i="1"/>
  <c r="M1088" i="1"/>
  <c r="L1088" i="1"/>
  <c r="K1088" i="1"/>
  <c r="J1088" i="1"/>
  <c r="I1088" i="1"/>
  <c r="G1088" i="1"/>
  <c r="F1088" i="1"/>
  <c r="E1088" i="1"/>
  <c r="D1088" i="1"/>
  <c r="C1088" i="1"/>
  <c r="M1087" i="1"/>
  <c r="L1087" i="1"/>
  <c r="K1087" i="1"/>
  <c r="J1087" i="1"/>
  <c r="I1087" i="1"/>
  <c r="G1087" i="1"/>
  <c r="H1087" i="1" s="1"/>
  <c r="F1087" i="1"/>
  <c r="E1087" i="1"/>
  <c r="D1087" i="1"/>
  <c r="C1087" i="1"/>
  <c r="M1086" i="1"/>
  <c r="L1086" i="1"/>
  <c r="K1086" i="1"/>
  <c r="J1086" i="1"/>
  <c r="I1086" i="1"/>
  <c r="G1086" i="1"/>
  <c r="F1086" i="1"/>
  <c r="E1086" i="1"/>
  <c r="D1086" i="1"/>
  <c r="C1086" i="1"/>
  <c r="M1085" i="1"/>
  <c r="L1085" i="1"/>
  <c r="K1085" i="1"/>
  <c r="J1085" i="1"/>
  <c r="I1085" i="1"/>
  <c r="G1085" i="1"/>
  <c r="F1085" i="1"/>
  <c r="E1085" i="1"/>
  <c r="D1085" i="1"/>
  <c r="C1085" i="1"/>
  <c r="M1084" i="1"/>
  <c r="L1084" i="1"/>
  <c r="K1084" i="1"/>
  <c r="J1084" i="1"/>
  <c r="I1084" i="1"/>
  <c r="H1084" i="1"/>
  <c r="G1084" i="1"/>
  <c r="F1084" i="1"/>
  <c r="E1084" i="1"/>
  <c r="D1084" i="1"/>
  <c r="C1084" i="1"/>
  <c r="M1083" i="1"/>
  <c r="L1083" i="1"/>
  <c r="K1083" i="1"/>
  <c r="J1083" i="1"/>
  <c r="I1083" i="1"/>
  <c r="G1083" i="1"/>
  <c r="H1083" i="1" s="1"/>
  <c r="F1083" i="1"/>
  <c r="E1083" i="1"/>
  <c r="D1083" i="1"/>
  <c r="C1083" i="1"/>
  <c r="M1082" i="1"/>
  <c r="L1082" i="1"/>
  <c r="K1082" i="1"/>
  <c r="J1082" i="1"/>
  <c r="I1082" i="1"/>
  <c r="G1082" i="1"/>
  <c r="F1082" i="1"/>
  <c r="E1082" i="1"/>
  <c r="D1082" i="1"/>
  <c r="C1082" i="1"/>
  <c r="H1082" i="1" s="1"/>
  <c r="M1081" i="1"/>
  <c r="L1081" i="1"/>
  <c r="K1081" i="1"/>
  <c r="J1081" i="1"/>
  <c r="I1081" i="1"/>
  <c r="H1081" i="1"/>
  <c r="G1081" i="1"/>
  <c r="F1081" i="1"/>
  <c r="E1081" i="1"/>
  <c r="D1081" i="1"/>
  <c r="C1081" i="1"/>
  <c r="M1080" i="1"/>
  <c r="L1080" i="1"/>
  <c r="K1080" i="1"/>
  <c r="J1080" i="1"/>
  <c r="I1080" i="1"/>
  <c r="G1080" i="1"/>
  <c r="H1080" i="1" s="1"/>
  <c r="F1080" i="1"/>
  <c r="E1080" i="1"/>
  <c r="D1080" i="1"/>
  <c r="C1080" i="1"/>
  <c r="M1079" i="1"/>
  <c r="L1079" i="1"/>
  <c r="K1079" i="1"/>
  <c r="J1079" i="1"/>
  <c r="I1079" i="1"/>
  <c r="G1079" i="1"/>
  <c r="F1079" i="1"/>
  <c r="E1079" i="1"/>
  <c r="D1079" i="1"/>
  <c r="C1079" i="1"/>
  <c r="M1078" i="1"/>
  <c r="L1078" i="1"/>
  <c r="K1078" i="1"/>
  <c r="J1078" i="1"/>
  <c r="I1078" i="1"/>
  <c r="G1078" i="1"/>
  <c r="F1078" i="1"/>
  <c r="E1078" i="1"/>
  <c r="D1078" i="1"/>
  <c r="C1078" i="1"/>
  <c r="H1078" i="1" s="1"/>
  <c r="M1077" i="1"/>
  <c r="L1077" i="1"/>
  <c r="K1077" i="1"/>
  <c r="J1077" i="1"/>
  <c r="I1077" i="1"/>
  <c r="H1077" i="1"/>
  <c r="G1077" i="1"/>
  <c r="F1077" i="1"/>
  <c r="E1077" i="1"/>
  <c r="D1077" i="1"/>
  <c r="C1077" i="1"/>
  <c r="M1076" i="1"/>
  <c r="L1076" i="1"/>
  <c r="K1076" i="1"/>
  <c r="J1076" i="1"/>
  <c r="I1076" i="1"/>
  <c r="H1076" i="1"/>
  <c r="G1076" i="1"/>
  <c r="F1076" i="1"/>
  <c r="E1076" i="1"/>
  <c r="D1076" i="1"/>
  <c r="C1076" i="1"/>
  <c r="M1075" i="1"/>
  <c r="L1075" i="1"/>
  <c r="K1075" i="1"/>
  <c r="J1075" i="1"/>
  <c r="I1075" i="1"/>
  <c r="G1075" i="1"/>
  <c r="F1075" i="1"/>
  <c r="E1075" i="1"/>
  <c r="D1075" i="1"/>
  <c r="C1075" i="1"/>
  <c r="M1074" i="1"/>
  <c r="L1074" i="1"/>
  <c r="K1074" i="1"/>
  <c r="J1074" i="1"/>
  <c r="I1074" i="1"/>
  <c r="H1074" i="1"/>
  <c r="G1074" i="1"/>
  <c r="F1074" i="1"/>
  <c r="E1074" i="1"/>
  <c r="D1074" i="1"/>
  <c r="C1074" i="1"/>
  <c r="M1073" i="1"/>
  <c r="L1073" i="1"/>
  <c r="K1073" i="1"/>
  <c r="J1073" i="1"/>
  <c r="I1073" i="1"/>
  <c r="H1073" i="1"/>
  <c r="G1073" i="1"/>
  <c r="F1073" i="1"/>
  <c r="E1073" i="1"/>
  <c r="D1073" i="1"/>
  <c r="C1073" i="1"/>
  <c r="M1072" i="1"/>
  <c r="L1072" i="1"/>
  <c r="K1072" i="1"/>
  <c r="J1072" i="1"/>
  <c r="I1072" i="1"/>
  <c r="G1072" i="1"/>
  <c r="F1072" i="1"/>
  <c r="E1072" i="1"/>
  <c r="D1072" i="1"/>
  <c r="C1072" i="1"/>
  <c r="M1071" i="1"/>
  <c r="L1071" i="1"/>
  <c r="K1071" i="1"/>
  <c r="J1071" i="1"/>
  <c r="I1071" i="1"/>
  <c r="H1071" i="1"/>
  <c r="G1071" i="1"/>
  <c r="F1071" i="1"/>
  <c r="E1071" i="1"/>
  <c r="D1071" i="1"/>
  <c r="C1071" i="1"/>
  <c r="M1070" i="1"/>
  <c r="L1070" i="1"/>
  <c r="K1070" i="1"/>
  <c r="J1070" i="1"/>
  <c r="I1070" i="1"/>
  <c r="H1070" i="1"/>
  <c r="G1070" i="1"/>
  <c r="F1070" i="1"/>
  <c r="E1070" i="1"/>
  <c r="D1070" i="1"/>
  <c r="C1070" i="1"/>
  <c r="M1069" i="1"/>
  <c r="L1069" i="1"/>
  <c r="K1069" i="1"/>
  <c r="J1069" i="1"/>
  <c r="I1069" i="1"/>
  <c r="G1069" i="1"/>
  <c r="F1069" i="1"/>
  <c r="E1069" i="1"/>
  <c r="D1069" i="1"/>
  <c r="C1069" i="1"/>
  <c r="M1068" i="1"/>
  <c r="L1068" i="1"/>
  <c r="K1068" i="1"/>
  <c r="J1068" i="1"/>
  <c r="I1068" i="1"/>
  <c r="H1068" i="1"/>
  <c r="G1068" i="1"/>
  <c r="F1068" i="1"/>
  <c r="E1068" i="1"/>
  <c r="D1068" i="1"/>
  <c r="C1068" i="1"/>
  <c r="M1067" i="1"/>
  <c r="L1067" i="1"/>
  <c r="K1067" i="1"/>
  <c r="J1067" i="1"/>
  <c r="I1067" i="1"/>
  <c r="H1067" i="1"/>
  <c r="G1067" i="1"/>
  <c r="F1067" i="1"/>
  <c r="E1067" i="1"/>
  <c r="D1067" i="1"/>
  <c r="C1067" i="1"/>
  <c r="M1066" i="1"/>
  <c r="L1066" i="1"/>
  <c r="K1066" i="1"/>
  <c r="J1066" i="1"/>
  <c r="I1066" i="1"/>
  <c r="G1066" i="1"/>
  <c r="F1066" i="1"/>
  <c r="E1066" i="1"/>
  <c r="D1066" i="1"/>
  <c r="C1066" i="1"/>
  <c r="H1066" i="1" s="1"/>
  <c r="M1065" i="1"/>
  <c r="L1065" i="1"/>
  <c r="K1065" i="1"/>
  <c r="J1065" i="1"/>
  <c r="I1065" i="1"/>
  <c r="H1065" i="1"/>
  <c r="G1065" i="1"/>
  <c r="F1065" i="1"/>
  <c r="E1065" i="1"/>
  <c r="D1065" i="1"/>
  <c r="C1065" i="1"/>
  <c r="M1064" i="1"/>
  <c r="L1064" i="1"/>
  <c r="K1064" i="1"/>
  <c r="J1064" i="1"/>
  <c r="I1064" i="1"/>
  <c r="H1064" i="1"/>
  <c r="G1064" i="1"/>
  <c r="F1064" i="1"/>
  <c r="E1064" i="1"/>
  <c r="D1064" i="1"/>
  <c r="C1064" i="1"/>
  <c r="M1063" i="1"/>
  <c r="L1063" i="1"/>
  <c r="K1063" i="1"/>
  <c r="J1063" i="1"/>
  <c r="I1063" i="1"/>
  <c r="G1063" i="1"/>
  <c r="F1063" i="1"/>
  <c r="E1063" i="1"/>
  <c r="D1063" i="1"/>
  <c r="C1063" i="1"/>
  <c r="M1062" i="1"/>
  <c r="L1062" i="1"/>
  <c r="K1062" i="1"/>
  <c r="J1062" i="1"/>
  <c r="I1062" i="1"/>
  <c r="G1062" i="1"/>
  <c r="F1062" i="1"/>
  <c r="E1062" i="1"/>
  <c r="D1062" i="1"/>
  <c r="C1062" i="1"/>
  <c r="H1062" i="1" s="1"/>
  <c r="M1061" i="1"/>
  <c r="L1061" i="1"/>
  <c r="K1061" i="1"/>
  <c r="J1061" i="1"/>
  <c r="I1061" i="1"/>
  <c r="G1061" i="1"/>
  <c r="H1061" i="1" s="1"/>
  <c r="F1061" i="1"/>
  <c r="E1061" i="1"/>
  <c r="D1061" i="1"/>
  <c r="C1061" i="1"/>
  <c r="M1060" i="1"/>
  <c r="L1060" i="1"/>
  <c r="K1060" i="1"/>
  <c r="J1060" i="1"/>
  <c r="I1060" i="1"/>
  <c r="G1060" i="1"/>
  <c r="H1060" i="1" s="1"/>
  <c r="F1060" i="1"/>
  <c r="E1060" i="1"/>
  <c r="D1060" i="1"/>
  <c r="C1060" i="1"/>
  <c r="M1059" i="1"/>
  <c r="L1059" i="1"/>
  <c r="K1059" i="1"/>
  <c r="J1059" i="1"/>
  <c r="I1059" i="1"/>
  <c r="G1059" i="1"/>
  <c r="F1059" i="1"/>
  <c r="E1059" i="1"/>
  <c r="D1059" i="1"/>
  <c r="C1059" i="1"/>
  <c r="M1058" i="1"/>
  <c r="L1058" i="1"/>
  <c r="K1058" i="1"/>
  <c r="J1058" i="1"/>
  <c r="I1058" i="1"/>
  <c r="G1058" i="1"/>
  <c r="H1058" i="1" s="1"/>
  <c r="F1058" i="1"/>
  <c r="E1058" i="1"/>
  <c r="D1058" i="1"/>
  <c r="C1058" i="1"/>
  <c r="M1057" i="1"/>
  <c r="L1057" i="1"/>
  <c r="K1057" i="1"/>
  <c r="J1057" i="1"/>
  <c r="I1057" i="1"/>
  <c r="G1057" i="1"/>
  <c r="H1057" i="1" s="1"/>
  <c r="F1057" i="1"/>
  <c r="E1057" i="1"/>
  <c r="D1057" i="1"/>
  <c r="C1057" i="1"/>
  <c r="M1056" i="1"/>
  <c r="L1056" i="1"/>
  <c r="K1056" i="1"/>
  <c r="J1056" i="1"/>
  <c r="I1056" i="1"/>
  <c r="G1056" i="1"/>
  <c r="F1056" i="1"/>
  <c r="E1056" i="1"/>
  <c r="D1056" i="1"/>
  <c r="C1056" i="1"/>
  <c r="M1055" i="1"/>
  <c r="L1055" i="1"/>
  <c r="K1055" i="1"/>
  <c r="J1055" i="1"/>
  <c r="I1055" i="1"/>
  <c r="G1055" i="1"/>
  <c r="H1055" i="1" s="1"/>
  <c r="F1055" i="1"/>
  <c r="E1055" i="1"/>
  <c r="D1055" i="1"/>
  <c r="C1055" i="1"/>
  <c r="M1054" i="1"/>
  <c r="L1054" i="1"/>
  <c r="K1054" i="1"/>
  <c r="J1054" i="1"/>
  <c r="I1054" i="1"/>
  <c r="G1054" i="1"/>
  <c r="H1054" i="1" s="1"/>
  <c r="F1054" i="1"/>
  <c r="E1054" i="1"/>
  <c r="D1054" i="1"/>
  <c r="C1054" i="1"/>
  <c r="M1053" i="1"/>
  <c r="L1053" i="1"/>
  <c r="K1053" i="1"/>
  <c r="J1053" i="1"/>
  <c r="I1053" i="1"/>
  <c r="G1053" i="1"/>
  <c r="F1053" i="1"/>
  <c r="E1053" i="1"/>
  <c r="D1053" i="1"/>
  <c r="C1053" i="1"/>
  <c r="M1052" i="1"/>
  <c r="L1052" i="1"/>
  <c r="K1052" i="1"/>
  <c r="J1052" i="1"/>
  <c r="I1052" i="1"/>
  <c r="G1052" i="1"/>
  <c r="H1052" i="1" s="1"/>
  <c r="F1052" i="1"/>
  <c r="E1052" i="1"/>
  <c r="D1052" i="1"/>
  <c r="C1052" i="1"/>
  <c r="M1051" i="1"/>
  <c r="L1051" i="1"/>
  <c r="K1051" i="1"/>
  <c r="J1051" i="1"/>
  <c r="I1051" i="1"/>
  <c r="G1051" i="1"/>
  <c r="H1051" i="1" s="1"/>
  <c r="F1051" i="1"/>
  <c r="E1051" i="1"/>
  <c r="D1051" i="1"/>
  <c r="C1051" i="1"/>
  <c r="M1050" i="1"/>
  <c r="L1050" i="1"/>
  <c r="K1050" i="1"/>
  <c r="J1050" i="1"/>
  <c r="I1050" i="1"/>
  <c r="G1050" i="1"/>
  <c r="F1050" i="1"/>
  <c r="E1050" i="1"/>
  <c r="D1050" i="1"/>
  <c r="C1050" i="1"/>
  <c r="H1050" i="1" s="1"/>
  <c r="M1049" i="1"/>
  <c r="L1049" i="1"/>
  <c r="K1049" i="1"/>
  <c r="J1049" i="1"/>
  <c r="I1049" i="1"/>
  <c r="H1049" i="1"/>
  <c r="G1049" i="1"/>
  <c r="F1049" i="1"/>
  <c r="E1049" i="1"/>
  <c r="D1049" i="1"/>
  <c r="C1049" i="1"/>
  <c r="M1048" i="1"/>
  <c r="L1048" i="1"/>
  <c r="K1048" i="1"/>
  <c r="J1048" i="1"/>
  <c r="I1048" i="1"/>
  <c r="G1048" i="1"/>
  <c r="H1048" i="1" s="1"/>
  <c r="F1048" i="1"/>
  <c r="E1048" i="1"/>
  <c r="D1048" i="1"/>
  <c r="C1048" i="1"/>
  <c r="M1047" i="1"/>
  <c r="L1047" i="1"/>
  <c r="K1047" i="1"/>
  <c r="J1047" i="1"/>
  <c r="I1047" i="1"/>
  <c r="G1047" i="1"/>
  <c r="F1047" i="1"/>
  <c r="E1047" i="1"/>
  <c r="D1047" i="1"/>
  <c r="C1047" i="1"/>
  <c r="M1046" i="1"/>
  <c r="L1046" i="1"/>
  <c r="K1046" i="1"/>
  <c r="J1046" i="1"/>
  <c r="I1046" i="1"/>
  <c r="G1046" i="1"/>
  <c r="F1046" i="1"/>
  <c r="E1046" i="1"/>
  <c r="D1046" i="1"/>
  <c r="C1046" i="1"/>
  <c r="H1046" i="1" s="1"/>
  <c r="M1045" i="1"/>
  <c r="L1045" i="1"/>
  <c r="K1045" i="1"/>
  <c r="J1045" i="1"/>
  <c r="I1045" i="1"/>
  <c r="H1045" i="1"/>
  <c r="G1045" i="1"/>
  <c r="F1045" i="1"/>
  <c r="E1045" i="1"/>
  <c r="D1045" i="1"/>
  <c r="C1045" i="1"/>
  <c r="M1044" i="1"/>
  <c r="L1044" i="1"/>
  <c r="K1044" i="1"/>
  <c r="J1044" i="1"/>
  <c r="I1044" i="1"/>
  <c r="G1044" i="1"/>
  <c r="H1044" i="1" s="1"/>
  <c r="F1044" i="1"/>
  <c r="E1044" i="1"/>
  <c r="D1044" i="1"/>
  <c r="C1044" i="1"/>
  <c r="M1043" i="1"/>
  <c r="L1043" i="1"/>
  <c r="K1043" i="1"/>
  <c r="J1043" i="1"/>
  <c r="I1043" i="1"/>
  <c r="G1043" i="1"/>
  <c r="H1043" i="1" s="1"/>
  <c r="F1043" i="1"/>
  <c r="E1043" i="1"/>
  <c r="D1043" i="1"/>
  <c r="C1043" i="1"/>
  <c r="M1042" i="1"/>
  <c r="L1042" i="1"/>
  <c r="K1042" i="1"/>
  <c r="J1042" i="1"/>
  <c r="I1042" i="1"/>
  <c r="H1042" i="1"/>
  <c r="G1042" i="1"/>
  <c r="F1042" i="1"/>
  <c r="E1042" i="1"/>
  <c r="D1042" i="1"/>
  <c r="C1042" i="1"/>
  <c r="M1041" i="1"/>
  <c r="L1041" i="1"/>
  <c r="K1041" i="1"/>
  <c r="J1041" i="1"/>
  <c r="I1041" i="1"/>
  <c r="G1041" i="1"/>
  <c r="H1041" i="1" s="1"/>
  <c r="F1041" i="1"/>
  <c r="E1041" i="1"/>
  <c r="D1041" i="1"/>
  <c r="C1041" i="1"/>
  <c r="M1040" i="1"/>
  <c r="L1040" i="1"/>
  <c r="K1040" i="1"/>
  <c r="J1040" i="1"/>
  <c r="I1040" i="1"/>
  <c r="G1040" i="1"/>
  <c r="H1040" i="1" s="1"/>
  <c r="F1040" i="1"/>
  <c r="E1040" i="1"/>
  <c r="D1040" i="1"/>
  <c r="C1040" i="1"/>
  <c r="M1039" i="1"/>
  <c r="L1039" i="1"/>
  <c r="K1039" i="1"/>
  <c r="J1039" i="1"/>
  <c r="I1039" i="1"/>
  <c r="H1039" i="1"/>
  <c r="G1039" i="1"/>
  <c r="F1039" i="1"/>
  <c r="E1039" i="1"/>
  <c r="D1039" i="1"/>
  <c r="C1039" i="1"/>
  <c r="M1038" i="1"/>
  <c r="L1038" i="1"/>
  <c r="K1038" i="1"/>
  <c r="J1038" i="1"/>
  <c r="I1038" i="1"/>
  <c r="G1038" i="1"/>
  <c r="H1038" i="1" s="1"/>
  <c r="F1038" i="1"/>
  <c r="E1038" i="1"/>
  <c r="D1038" i="1"/>
  <c r="C1038" i="1"/>
  <c r="M1037" i="1"/>
  <c r="L1037" i="1"/>
  <c r="K1037" i="1"/>
  <c r="J1037" i="1"/>
  <c r="I1037" i="1"/>
  <c r="G1037" i="1"/>
  <c r="H1037" i="1" s="1"/>
  <c r="F1037" i="1"/>
  <c r="E1037" i="1"/>
  <c r="D1037" i="1"/>
  <c r="C1037" i="1"/>
  <c r="M1036" i="1"/>
  <c r="L1036" i="1"/>
  <c r="K1036" i="1"/>
  <c r="J1036" i="1"/>
  <c r="I1036" i="1"/>
  <c r="G1036" i="1"/>
  <c r="H1036" i="1" s="1"/>
  <c r="F1036" i="1"/>
  <c r="E1036" i="1"/>
  <c r="D1036" i="1"/>
  <c r="C1036" i="1"/>
  <c r="M1035" i="1"/>
  <c r="L1035" i="1"/>
  <c r="K1035" i="1"/>
  <c r="J1035" i="1"/>
  <c r="I1035" i="1"/>
  <c r="G1035" i="1"/>
  <c r="H1035" i="1" s="1"/>
  <c r="F1035" i="1"/>
  <c r="E1035" i="1"/>
  <c r="D1035" i="1"/>
  <c r="C1035" i="1"/>
  <c r="M1034" i="1"/>
  <c r="L1034" i="1"/>
  <c r="K1034" i="1"/>
  <c r="J1034" i="1"/>
  <c r="I1034" i="1"/>
  <c r="G1034" i="1"/>
  <c r="F1034" i="1"/>
  <c r="E1034" i="1"/>
  <c r="D1034" i="1"/>
  <c r="C1034" i="1"/>
  <c r="H1034" i="1" s="1"/>
  <c r="M1033" i="1"/>
  <c r="L1033" i="1"/>
  <c r="K1033" i="1"/>
  <c r="J1033" i="1"/>
  <c r="I1033" i="1"/>
  <c r="H1033" i="1"/>
  <c r="G1033" i="1"/>
  <c r="F1033" i="1"/>
  <c r="E1033" i="1"/>
  <c r="D1033" i="1"/>
  <c r="C1033" i="1"/>
  <c r="M1032" i="1"/>
  <c r="L1032" i="1"/>
  <c r="K1032" i="1"/>
  <c r="J1032" i="1"/>
  <c r="I1032" i="1"/>
  <c r="G1032" i="1"/>
  <c r="F1032" i="1"/>
  <c r="E1032" i="1"/>
  <c r="D1032" i="1"/>
  <c r="C1032" i="1"/>
  <c r="M1031" i="1"/>
  <c r="L1031" i="1"/>
  <c r="K1031" i="1"/>
  <c r="J1031" i="1"/>
  <c r="I1031" i="1"/>
  <c r="G1031" i="1"/>
  <c r="H1031" i="1" s="1"/>
  <c r="F1031" i="1"/>
  <c r="E1031" i="1"/>
  <c r="D1031" i="1"/>
  <c r="C1031" i="1"/>
  <c r="M1030" i="1"/>
  <c r="L1030" i="1"/>
  <c r="K1030" i="1"/>
  <c r="J1030" i="1"/>
  <c r="I1030" i="1"/>
  <c r="G1030" i="1"/>
  <c r="F1030" i="1"/>
  <c r="E1030" i="1"/>
  <c r="D1030" i="1"/>
  <c r="C1030" i="1"/>
  <c r="H1030" i="1" s="1"/>
  <c r="M1029" i="1"/>
  <c r="L1029" i="1"/>
  <c r="K1029" i="1"/>
  <c r="J1029" i="1"/>
  <c r="I1029" i="1"/>
  <c r="H1029" i="1"/>
  <c r="G1029" i="1"/>
  <c r="F1029" i="1"/>
  <c r="E1029" i="1"/>
  <c r="D1029" i="1"/>
  <c r="C1029" i="1"/>
  <c r="M1028" i="1"/>
  <c r="L1028" i="1"/>
  <c r="K1028" i="1"/>
  <c r="J1028" i="1"/>
  <c r="I1028" i="1"/>
  <c r="H1028" i="1"/>
  <c r="G1028" i="1"/>
  <c r="F1028" i="1"/>
  <c r="E1028" i="1"/>
  <c r="D1028" i="1"/>
  <c r="C1028" i="1"/>
  <c r="M1027" i="1"/>
  <c r="L1027" i="1"/>
  <c r="K1027" i="1"/>
  <c r="J1027" i="1"/>
  <c r="I1027" i="1"/>
  <c r="G1027" i="1"/>
  <c r="H1027" i="1" s="1"/>
  <c r="F1027" i="1"/>
  <c r="E1027" i="1"/>
  <c r="D1027" i="1"/>
  <c r="C1027" i="1"/>
  <c r="M1026" i="1"/>
  <c r="L1026" i="1"/>
  <c r="K1026" i="1"/>
  <c r="J1026" i="1"/>
  <c r="I1026" i="1"/>
  <c r="H1026" i="1"/>
  <c r="G1026" i="1"/>
  <c r="F1026" i="1"/>
  <c r="E1026" i="1"/>
  <c r="D1026" i="1"/>
  <c r="C1026" i="1"/>
  <c r="M1025" i="1"/>
  <c r="L1025" i="1"/>
  <c r="K1025" i="1"/>
  <c r="J1025" i="1"/>
  <c r="I1025" i="1"/>
  <c r="H1025" i="1"/>
  <c r="G1025" i="1"/>
  <c r="F1025" i="1"/>
  <c r="E1025" i="1"/>
  <c r="D1025" i="1"/>
  <c r="C1025" i="1"/>
  <c r="M1024" i="1"/>
  <c r="L1024" i="1"/>
  <c r="K1024" i="1"/>
  <c r="J1024" i="1"/>
  <c r="I1024" i="1"/>
  <c r="G1024" i="1"/>
  <c r="H1024" i="1" s="1"/>
  <c r="F1024" i="1"/>
  <c r="E1024" i="1"/>
  <c r="D1024" i="1"/>
  <c r="C1024" i="1"/>
  <c r="M1023" i="1"/>
  <c r="L1023" i="1"/>
  <c r="K1023" i="1"/>
  <c r="J1023" i="1"/>
  <c r="I1023" i="1"/>
  <c r="H1023" i="1"/>
  <c r="G1023" i="1"/>
  <c r="F1023" i="1"/>
  <c r="E1023" i="1"/>
  <c r="D1023" i="1"/>
  <c r="C1023" i="1"/>
  <c r="M1022" i="1"/>
  <c r="L1022" i="1"/>
  <c r="K1022" i="1"/>
  <c r="J1022" i="1"/>
  <c r="I1022" i="1"/>
  <c r="H1022" i="1"/>
  <c r="G1022" i="1"/>
  <c r="F1022" i="1"/>
  <c r="E1022" i="1"/>
  <c r="D1022" i="1"/>
  <c r="C1022" i="1"/>
  <c r="M1021" i="1"/>
  <c r="L1021" i="1"/>
  <c r="K1021" i="1"/>
  <c r="J1021" i="1"/>
  <c r="I1021" i="1"/>
  <c r="G1021" i="1"/>
  <c r="F1021" i="1"/>
  <c r="E1021" i="1"/>
  <c r="D1021" i="1"/>
  <c r="C1021" i="1"/>
  <c r="H1021" i="1" s="1"/>
  <c r="M1020" i="1"/>
  <c r="L1020" i="1"/>
  <c r="K1020" i="1"/>
  <c r="J1020" i="1"/>
  <c r="I1020" i="1"/>
  <c r="H1020" i="1"/>
  <c r="G1020" i="1"/>
  <c r="F1020" i="1"/>
  <c r="E1020" i="1"/>
  <c r="D1020" i="1"/>
  <c r="C1020" i="1"/>
  <c r="M1019" i="1"/>
  <c r="L1019" i="1"/>
  <c r="K1019" i="1"/>
  <c r="J1019" i="1"/>
  <c r="I1019" i="1"/>
  <c r="H1019" i="1"/>
  <c r="G1019" i="1"/>
  <c r="F1019" i="1"/>
  <c r="E1019" i="1"/>
  <c r="D1019" i="1"/>
  <c r="C1019" i="1"/>
  <c r="M1018" i="1"/>
  <c r="L1018" i="1"/>
  <c r="K1018" i="1"/>
  <c r="J1018" i="1"/>
  <c r="I1018" i="1"/>
  <c r="G1018" i="1"/>
  <c r="F1018" i="1"/>
  <c r="E1018" i="1"/>
  <c r="D1018" i="1"/>
  <c r="C1018" i="1"/>
  <c r="H1018" i="1" s="1"/>
  <c r="M1017" i="1"/>
  <c r="L1017" i="1"/>
  <c r="K1017" i="1"/>
  <c r="J1017" i="1"/>
  <c r="I1017" i="1"/>
  <c r="H1017" i="1"/>
  <c r="G1017" i="1"/>
  <c r="F1017" i="1"/>
  <c r="E1017" i="1"/>
  <c r="D1017" i="1"/>
  <c r="C1017" i="1"/>
  <c r="M1016" i="1"/>
  <c r="L1016" i="1"/>
  <c r="K1016" i="1"/>
  <c r="J1016" i="1"/>
  <c r="I1016" i="1"/>
  <c r="H1016" i="1"/>
  <c r="G1016" i="1"/>
  <c r="F1016" i="1"/>
  <c r="E1016" i="1"/>
  <c r="D1016" i="1"/>
  <c r="C1016" i="1"/>
  <c r="M1015" i="1"/>
  <c r="L1015" i="1"/>
  <c r="K1015" i="1"/>
  <c r="J1015" i="1"/>
  <c r="I1015" i="1"/>
  <c r="G1015" i="1"/>
  <c r="H1015" i="1" s="1"/>
  <c r="F1015" i="1"/>
  <c r="E1015" i="1"/>
  <c r="D1015" i="1"/>
  <c r="C1015" i="1"/>
  <c r="M1014" i="1"/>
  <c r="L1014" i="1"/>
  <c r="K1014" i="1"/>
  <c r="J1014" i="1"/>
  <c r="I1014" i="1"/>
  <c r="G1014" i="1"/>
  <c r="F1014" i="1"/>
  <c r="E1014" i="1"/>
  <c r="D1014" i="1"/>
  <c r="C1014" i="1"/>
  <c r="H1014" i="1" s="1"/>
  <c r="M1013" i="1"/>
  <c r="L1013" i="1"/>
  <c r="K1013" i="1"/>
  <c r="J1013" i="1"/>
  <c r="I1013" i="1"/>
  <c r="H1013" i="1"/>
  <c r="G1013" i="1"/>
  <c r="F1013" i="1"/>
  <c r="E1013" i="1"/>
  <c r="D1013" i="1"/>
  <c r="C1013" i="1"/>
  <c r="M1012" i="1"/>
  <c r="L1012" i="1"/>
  <c r="K1012" i="1"/>
  <c r="J1012" i="1"/>
  <c r="I1012" i="1"/>
  <c r="H1012" i="1"/>
  <c r="G1012" i="1"/>
  <c r="F1012" i="1"/>
  <c r="E1012" i="1"/>
  <c r="D1012" i="1"/>
  <c r="C1012" i="1"/>
  <c r="M1011" i="1"/>
  <c r="L1011" i="1"/>
  <c r="K1011" i="1"/>
  <c r="J1011" i="1"/>
  <c r="I1011" i="1"/>
  <c r="G1011" i="1"/>
  <c r="F1011" i="1"/>
  <c r="E1011" i="1"/>
  <c r="D1011" i="1"/>
  <c r="C1011" i="1"/>
  <c r="M1010" i="1"/>
  <c r="L1010" i="1"/>
  <c r="K1010" i="1"/>
  <c r="J1010" i="1"/>
  <c r="I1010" i="1"/>
  <c r="H1010" i="1"/>
  <c r="G1010" i="1"/>
  <c r="F1010" i="1"/>
  <c r="E1010" i="1"/>
  <c r="D1010" i="1"/>
  <c r="C1010" i="1"/>
  <c r="M1009" i="1"/>
  <c r="L1009" i="1"/>
  <c r="K1009" i="1"/>
  <c r="J1009" i="1"/>
  <c r="I1009" i="1"/>
  <c r="H1009" i="1"/>
  <c r="G1009" i="1"/>
  <c r="F1009" i="1"/>
  <c r="E1009" i="1"/>
  <c r="D1009" i="1"/>
  <c r="C1009" i="1"/>
  <c r="M1008" i="1"/>
  <c r="L1008" i="1"/>
  <c r="K1008" i="1"/>
  <c r="J1008" i="1"/>
  <c r="I1008" i="1"/>
  <c r="G1008" i="1"/>
  <c r="F1008" i="1"/>
  <c r="E1008" i="1"/>
  <c r="D1008" i="1"/>
  <c r="C1008" i="1"/>
  <c r="M1007" i="1"/>
  <c r="L1007" i="1"/>
  <c r="K1007" i="1"/>
  <c r="J1007" i="1"/>
  <c r="I1007" i="1"/>
  <c r="H1007" i="1"/>
  <c r="G1007" i="1"/>
  <c r="F1007" i="1"/>
  <c r="E1007" i="1"/>
  <c r="D1007" i="1"/>
  <c r="C1007" i="1"/>
  <c r="M1006" i="1"/>
  <c r="L1006" i="1"/>
  <c r="K1006" i="1"/>
  <c r="J1006" i="1"/>
  <c r="I1006" i="1"/>
  <c r="H1006" i="1"/>
  <c r="G1006" i="1"/>
  <c r="F1006" i="1"/>
  <c r="E1006" i="1"/>
  <c r="D1006" i="1"/>
  <c r="C1006" i="1"/>
  <c r="M1005" i="1"/>
  <c r="L1005" i="1"/>
  <c r="K1005" i="1"/>
  <c r="J1005" i="1"/>
  <c r="I1005" i="1"/>
  <c r="G1005" i="1"/>
  <c r="F1005" i="1"/>
  <c r="E1005" i="1"/>
  <c r="D1005" i="1"/>
  <c r="C1005" i="1"/>
  <c r="H1005" i="1" s="1"/>
  <c r="M1004" i="1"/>
  <c r="L1004" i="1"/>
  <c r="K1004" i="1"/>
  <c r="J1004" i="1"/>
  <c r="I1004" i="1"/>
  <c r="H1004" i="1"/>
  <c r="G1004" i="1"/>
  <c r="F1004" i="1"/>
  <c r="E1004" i="1"/>
  <c r="D1004" i="1"/>
  <c r="C1004" i="1"/>
  <c r="M1003" i="1"/>
  <c r="L1003" i="1"/>
  <c r="K1003" i="1"/>
  <c r="J1003" i="1"/>
  <c r="I1003" i="1"/>
  <c r="H1003" i="1"/>
  <c r="G1003" i="1"/>
  <c r="F1003" i="1"/>
  <c r="E1003" i="1"/>
  <c r="D1003" i="1"/>
  <c r="C1003" i="1"/>
  <c r="M1002" i="1"/>
  <c r="L1002" i="1"/>
  <c r="K1002" i="1"/>
  <c r="J1002" i="1"/>
  <c r="I1002" i="1"/>
  <c r="G1002" i="1"/>
  <c r="F1002" i="1"/>
  <c r="E1002" i="1"/>
  <c r="D1002" i="1"/>
  <c r="C1002" i="1"/>
  <c r="H1002" i="1" s="1"/>
  <c r="M1001" i="1"/>
  <c r="L1001" i="1"/>
  <c r="K1001" i="1"/>
  <c r="J1001" i="1"/>
  <c r="I1001" i="1"/>
  <c r="H1001" i="1"/>
  <c r="G1001" i="1"/>
  <c r="F1001" i="1"/>
  <c r="E1001" i="1"/>
  <c r="D1001" i="1"/>
  <c r="C1001" i="1"/>
  <c r="M1000" i="1"/>
  <c r="L1000" i="1"/>
  <c r="K1000" i="1"/>
  <c r="J1000" i="1"/>
  <c r="I1000" i="1"/>
  <c r="H1000" i="1"/>
  <c r="G1000" i="1"/>
  <c r="F1000" i="1"/>
  <c r="E1000" i="1"/>
  <c r="D1000" i="1"/>
  <c r="C1000" i="1"/>
  <c r="M999" i="1"/>
  <c r="L999" i="1"/>
  <c r="K999" i="1"/>
  <c r="J999" i="1"/>
  <c r="I999" i="1"/>
  <c r="G999" i="1"/>
  <c r="F999" i="1"/>
  <c r="E999" i="1"/>
  <c r="D999" i="1"/>
  <c r="C999" i="1"/>
  <c r="M998" i="1"/>
  <c r="L998" i="1"/>
  <c r="K998" i="1"/>
  <c r="J998" i="1"/>
  <c r="I998" i="1"/>
  <c r="G998" i="1"/>
  <c r="F998" i="1"/>
  <c r="E998" i="1"/>
  <c r="D998" i="1"/>
  <c r="C998" i="1"/>
  <c r="H998" i="1" s="1"/>
  <c r="M997" i="1"/>
  <c r="L997" i="1"/>
  <c r="K997" i="1"/>
  <c r="J997" i="1"/>
  <c r="I997" i="1"/>
  <c r="G997" i="1"/>
  <c r="H997" i="1" s="1"/>
  <c r="F997" i="1"/>
  <c r="E997" i="1"/>
  <c r="D997" i="1"/>
  <c r="C997" i="1"/>
  <c r="M996" i="1"/>
  <c r="L996" i="1"/>
  <c r="K996" i="1"/>
  <c r="J996" i="1"/>
  <c r="I996" i="1"/>
  <c r="G996" i="1"/>
  <c r="H996" i="1" s="1"/>
  <c r="F996" i="1"/>
  <c r="E996" i="1"/>
  <c r="D996" i="1"/>
  <c r="C996" i="1"/>
  <c r="M995" i="1"/>
  <c r="L995" i="1"/>
  <c r="K995" i="1"/>
  <c r="J995" i="1"/>
  <c r="I995" i="1"/>
  <c r="G995" i="1"/>
  <c r="H995" i="1" s="1"/>
  <c r="F995" i="1"/>
  <c r="E995" i="1"/>
  <c r="D995" i="1"/>
  <c r="C995" i="1"/>
  <c r="M994" i="1"/>
  <c r="L994" i="1"/>
  <c r="K994" i="1"/>
  <c r="J994" i="1"/>
  <c r="I994" i="1"/>
  <c r="G994" i="1"/>
  <c r="H994" i="1" s="1"/>
  <c r="F994" i="1"/>
  <c r="E994" i="1"/>
  <c r="D994" i="1"/>
  <c r="C994" i="1"/>
  <c r="M993" i="1"/>
  <c r="L993" i="1"/>
  <c r="K993" i="1"/>
  <c r="J993" i="1"/>
  <c r="I993" i="1"/>
  <c r="G993" i="1"/>
  <c r="H993" i="1" s="1"/>
  <c r="F993" i="1"/>
  <c r="E993" i="1"/>
  <c r="D993" i="1"/>
  <c r="C993" i="1"/>
  <c r="M992" i="1"/>
  <c r="L992" i="1"/>
  <c r="K992" i="1"/>
  <c r="J992" i="1"/>
  <c r="I992" i="1"/>
  <c r="G992" i="1"/>
  <c r="H992" i="1" s="1"/>
  <c r="F992" i="1"/>
  <c r="E992" i="1"/>
  <c r="D992" i="1"/>
  <c r="C992" i="1"/>
  <c r="M991" i="1"/>
  <c r="L991" i="1"/>
  <c r="K991" i="1"/>
  <c r="J991" i="1"/>
  <c r="I991" i="1"/>
  <c r="G991" i="1"/>
  <c r="H991" i="1" s="1"/>
  <c r="F991" i="1"/>
  <c r="E991" i="1"/>
  <c r="D991" i="1"/>
  <c r="C991" i="1"/>
  <c r="M990" i="1"/>
  <c r="L990" i="1"/>
  <c r="K990" i="1"/>
  <c r="J990" i="1"/>
  <c r="I990" i="1"/>
  <c r="G990" i="1"/>
  <c r="H990" i="1" s="1"/>
  <c r="F990" i="1"/>
  <c r="E990" i="1"/>
  <c r="D990" i="1"/>
  <c r="C990" i="1"/>
  <c r="M989" i="1"/>
  <c r="L989" i="1"/>
  <c r="K989" i="1"/>
  <c r="J989" i="1"/>
  <c r="I989" i="1"/>
  <c r="G989" i="1"/>
  <c r="F989" i="1"/>
  <c r="E989" i="1"/>
  <c r="D989" i="1"/>
  <c r="C989" i="1"/>
  <c r="H989" i="1" s="1"/>
  <c r="M988" i="1"/>
  <c r="L988" i="1"/>
  <c r="K988" i="1"/>
  <c r="J988" i="1"/>
  <c r="I988" i="1"/>
  <c r="G988" i="1"/>
  <c r="H988" i="1" s="1"/>
  <c r="F988" i="1"/>
  <c r="E988" i="1"/>
  <c r="D988" i="1"/>
  <c r="C988" i="1"/>
  <c r="M987" i="1"/>
  <c r="L987" i="1"/>
  <c r="K987" i="1"/>
  <c r="J987" i="1"/>
  <c r="I987" i="1"/>
  <c r="G987" i="1"/>
  <c r="H987" i="1" s="1"/>
  <c r="F987" i="1"/>
  <c r="E987" i="1"/>
  <c r="D987" i="1"/>
  <c r="C987" i="1"/>
  <c r="M986" i="1"/>
  <c r="L986" i="1"/>
  <c r="K986" i="1"/>
  <c r="J986" i="1"/>
  <c r="I986" i="1"/>
  <c r="G986" i="1"/>
  <c r="F986" i="1"/>
  <c r="E986" i="1"/>
  <c r="D986" i="1"/>
  <c r="C986" i="1"/>
  <c r="H986" i="1" s="1"/>
  <c r="M985" i="1"/>
  <c r="L985" i="1"/>
  <c r="K985" i="1"/>
  <c r="J985" i="1"/>
  <c r="I985" i="1"/>
  <c r="H985" i="1"/>
  <c r="G985" i="1"/>
  <c r="F985" i="1"/>
  <c r="E985" i="1"/>
  <c r="D985" i="1"/>
  <c r="C985" i="1"/>
  <c r="M984" i="1"/>
  <c r="L984" i="1"/>
  <c r="K984" i="1"/>
  <c r="J984" i="1"/>
  <c r="I984" i="1"/>
  <c r="G984" i="1"/>
  <c r="H984" i="1" s="1"/>
  <c r="F984" i="1"/>
  <c r="E984" i="1"/>
  <c r="D984" i="1"/>
  <c r="C984" i="1"/>
  <c r="M983" i="1"/>
  <c r="L983" i="1"/>
  <c r="K983" i="1"/>
  <c r="J983" i="1"/>
  <c r="I983" i="1"/>
  <c r="G983" i="1"/>
  <c r="H983" i="1" s="1"/>
  <c r="F983" i="1"/>
  <c r="E983" i="1"/>
  <c r="D983" i="1"/>
  <c r="C983" i="1"/>
  <c r="M982" i="1"/>
  <c r="L982" i="1"/>
  <c r="K982" i="1"/>
  <c r="J982" i="1"/>
  <c r="I982" i="1"/>
  <c r="G982" i="1"/>
  <c r="F982" i="1"/>
  <c r="E982" i="1"/>
  <c r="D982" i="1"/>
  <c r="C982" i="1"/>
  <c r="H982" i="1" s="1"/>
  <c r="M981" i="1"/>
  <c r="L981" i="1"/>
  <c r="K981" i="1"/>
  <c r="J981" i="1"/>
  <c r="I981" i="1"/>
  <c r="H981" i="1"/>
  <c r="G981" i="1"/>
  <c r="F981" i="1"/>
  <c r="E981" i="1"/>
  <c r="D981" i="1"/>
  <c r="C981" i="1"/>
  <c r="M980" i="1"/>
  <c r="L980" i="1"/>
  <c r="K980" i="1"/>
  <c r="J980" i="1"/>
  <c r="I980" i="1"/>
  <c r="G980" i="1"/>
  <c r="H980" i="1" s="1"/>
  <c r="F980" i="1"/>
  <c r="E980" i="1"/>
  <c r="D980" i="1"/>
  <c r="C980" i="1"/>
  <c r="M979" i="1"/>
  <c r="L979" i="1"/>
  <c r="K979" i="1"/>
  <c r="J979" i="1"/>
  <c r="I979" i="1"/>
  <c r="G979" i="1"/>
  <c r="F979" i="1"/>
  <c r="E979" i="1"/>
  <c r="D979" i="1"/>
  <c r="C979" i="1"/>
  <c r="M978" i="1"/>
  <c r="L978" i="1"/>
  <c r="K978" i="1"/>
  <c r="J978" i="1"/>
  <c r="I978" i="1"/>
  <c r="H978" i="1"/>
  <c r="G978" i="1"/>
  <c r="F978" i="1"/>
  <c r="E978" i="1"/>
  <c r="D978" i="1"/>
  <c r="C978" i="1"/>
  <c r="M977" i="1"/>
  <c r="L977" i="1"/>
  <c r="K977" i="1"/>
  <c r="J977" i="1"/>
  <c r="I977" i="1"/>
  <c r="G977" i="1"/>
  <c r="H977" i="1" s="1"/>
  <c r="F977" i="1"/>
  <c r="E977" i="1"/>
  <c r="D977" i="1"/>
  <c r="C977" i="1"/>
  <c r="M976" i="1"/>
  <c r="L976" i="1"/>
  <c r="K976" i="1"/>
  <c r="J976" i="1"/>
  <c r="I976" i="1"/>
  <c r="G976" i="1"/>
  <c r="F976" i="1"/>
  <c r="E976" i="1"/>
  <c r="D976" i="1"/>
  <c r="C976" i="1"/>
  <c r="M975" i="1"/>
  <c r="L975" i="1"/>
  <c r="K975" i="1"/>
  <c r="J975" i="1"/>
  <c r="I975" i="1"/>
  <c r="H975" i="1"/>
  <c r="G975" i="1"/>
  <c r="F975" i="1"/>
  <c r="E975" i="1"/>
  <c r="D975" i="1"/>
  <c r="C975" i="1"/>
  <c r="M974" i="1"/>
  <c r="L974" i="1"/>
  <c r="K974" i="1"/>
  <c r="J974" i="1"/>
  <c r="I974" i="1"/>
  <c r="G974" i="1"/>
  <c r="H974" i="1" s="1"/>
  <c r="F974" i="1"/>
  <c r="E974" i="1"/>
  <c r="D974" i="1"/>
  <c r="C974" i="1"/>
  <c r="M973" i="1"/>
  <c r="L973" i="1"/>
  <c r="K973" i="1"/>
  <c r="J973" i="1"/>
  <c r="I973" i="1"/>
  <c r="G973" i="1"/>
  <c r="F973" i="1"/>
  <c r="E973" i="1"/>
  <c r="D973" i="1"/>
  <c r="C973" i="1"/>
  <c r="H973" i="1" s="1"/>
  <c r="M972" i="1"/>
  <c r="L972" i="1"/>
  <c r="K972" i="1"/>
  <c r="J972" i="1"/>
  <c r="I972" i="1"/>
  <c r="H972" i="1"/>
  <c r="G972" i="1"/>
  <c r="F972" i="1"/>
  <c r="E972" i="1"/>
  <c r="D972" i="1"/>
  <c r="C972" i="1"/>
  <c r="M971" i="1"/>
  <c r="L971" i="1"/>
  <c r="K971" i="1"/>
  <c r="J971" i="1"/>
  <c r="I971" i="1"/>
  <c r="G971" i="1"/>
  <c r="H971" i="1" s="1"/>
  <c r="F971" i="1"/>
  <c r="E971" i="1"/>
  <c r="D971" i="1"/>
  <c r="C971" i="1"/>
  <c r="M970" i="1"/>
  <c r="L970" i="1"/>
  <c r="K970" i="1"/>
  <c r="J970" i="1"/>
  <c r="I970" i="1"/>
  <c r="G970" i="1"/>
  <c r="F970" i="1"/>
  <c r="E970" i="1"/>
  <c r="D970" i="1"/>
  <c r="C970" i="1"/>
  <c r="H970" i="1" s="1"/>
  <c r="M969" i="1"/>
  <c r="L969" i="1"/>
  <c r="K969" i="1"/>
  <c r="J969" i="1"/>
  <c r="I969" i="1"/>
  <c r="H969" i="1"/>
  <c r="G969" i="1"/>
  <c r="F969" i="1"/>
  <c r="E969" i="1"/>
  <c r="D969" i="1"/>
  <c r="C969" i="1"/>
  <c r="M968" i="1"/>
  <c r="L968" i="1"/>
  <c r="K968" i="1"/>
  <c r="J968" i="1"/>
  <c r="I968" i="1"/>
  <c r="G968" i="1"/>
  <c r="H968" i="1" s="1"/>
  <c r="F968" i="1"/>
  <c r="E968" i="1"/>
  <c r="D968" i="1"/>
  <c r="C968" i="1"/>
  <c r="M967" i="1"/>
  <c r="L967" i="1"/>
  <c r="K967" i="1"/>
  <c r="J967" i="1"/>
  <c r="I967" i="1"/>
  <c r="G967" i="1"/>
  <c r="F967" i="1"/>
  <c r="E967" i="1"/>
  <c r="D967" i="1"/>
  <c r="C967" i="1"/>
  <c r="M966" i="1"/>
  <c r="L966" i="1"/>
  <c r="K966" i="1"/>
  <c r="J966" i="1"/>
  <c r="I966" i="1"/>
  <c r="G966" i="1"/>
  <c r="F966" i="1"/>
  <c r="E966" i="1"/>
  <c r="D966" i="1"/>
  <c r="C966" i="1"/>
  <c r="H966" i="1" s="1"/>
  <c r="M965" i="1"/>
  <c r="L965" i="1"/>
  <c r="K965" i="1"/>
  <c r="J965" i="1"/>
  <c r="I965" i="1"/>
  <c r="H965" i="1"/>
  <c r="G965" i="1"/>
  <c r="F965" i="1"/>
  <c r="E965" i="1"/>
  <c r="D965" i="1"/>
  <c r="C965" i="1"/>
  <c r="M964" i="1"/>
  <c r="L964" i="1"/>
  <c r="K964" i="1"/>
  <c r="J964" i="1"/>
  <c r="I964" i="1"/>
  <c r="G964" i="1"/>
  <c r="H964" i="1" s="1"/>
  <c r="F964" i="1"/>
  <c r="E964" i="1"/>
  <c r="D964" i="1"/>
  <c r="C964" i="1"/>
  <c r="M963" i="1"/>
  <c r="L963" i="1"/>
  <c r="K963" i="1"/>
  <c r="J963" i="1"/>
  <c r="I963" i="1"/>
  <c r="G963" i="1"/>
  <c r="F963" i="1"/>
  <c r="E963" i="1"/>
  <c r="D963" i="1"/>
  <c r="C963" i="1"/>
  <c r="M962" i="1"/>
  <c r="L962" i="1"/>
  <c r="K962" i="1"/>
  <c r="J962" i="1"/>
  <c r="I962" i="1"/>
  <c r="G962" i="1"/>
  <c r="H962" i="1" s="1"/>
  <c r="F962" i="1"/>
  <c r="E962" i="1"/>
  <c r="D962" i="1"/>
  <c r="C962" i="1"/>
  <c r="M961" i="1"/>
  <c r="L961" i="1"/>
  <c r="K961" i="1"/>
  <c r="J961" i="1"/>
  <c r="I961" i="1"/>
  <c r="G961" i="1"/>
  <c r="H961" i="1" s="1"/>
  <c r="F961" i="1"/>
  <c r="E961" i="1"/>
  <c r="D961" i="1"/>
  <c r="C961" i="1"/>
  <c r="M960" i="1"/>
  <c r="L960" i="1"/>
  <c r="K960" i="1"/>
  <c r="J960" i="1"/>
  <c r="I960" i="1"/>
  <c r="G960" i="1"/>
  <c r="F960" i="1"/>
  <c r="E960" i="1"/>
  <c r="D960" i="1"/>
  <c r="C960" i="1"/>
  <c r="M959" i="1"/>
  <c r="L959" i="1"/>
  <c r="K959" i="1"/>
  <c r="J959" i="1"/>
  <c r="I959" i="1"/>
  <c r="H959" i="1"/>
  <c r="G959" i="1"/>
  <c r="F959" i="1"/>
  <c r="E959" i="1"/>
  <c r="D959" i="1"/>
  <c r="C959" i="1"/>
  <c r="M958" i="1"/>
  <c r="L958" i="1"/>
  <c r="K958" i="1"/>
  <c r="J958" i="1"/>
  <c r="I958" i="1"/>
  <c r="G958" i="1"/>
  <c r="H958" i="1" s="1"/>
  <c r="F958" i="1"/>
  <c r="E958" i="1"/>
  <c r="D958" i="1"/>
  <c r="C958" i="1"/>
  <c r="M957" i="1"/>
  <c r="L957" i="1"/>
  <c r="K957" i="1"/>
  <c r="J957" i="1"/>
  <c r="I957" i="1"/>
  <c r="G957" i="1"/>
  <c r="F957" i="1"/>
  <c r="E957" i="1"/>
  <c r="D957" i="1"/>
  <c r="C957" i="1"/>
  <c r="H957" i="1" s="1"/>
  <c r="M956" i="1"/>
  <c r="L956" i="1"/>
  <c r="K956" i="1"/>
  <c r="J956" i="1"/>
  <c r="I956" i="1"/>
  <c r="G956" i="1"/>
  <c r="H956" i="1" s="1"/>
  <c r="F956" i="1"/>
  <c r="E956" i="1"/>
  <c r="D956" i="1"/>
  <c r="C956" i="1"/>
  <c r="M955" i="1"/>
  <c r="L955" i="1"/>
  <c r="K955" i="1"/>
  <c r="J955" i="1"/>
  <c r="I955" i="1"/>
  <c r="G955" i="1"/>
  <c r="H955" i="1" s="1"/>
  <c r="F955" i="1"/>
  <c r="E955" i="1"/>
  <c r="D955" i="1"/>
  <c r="C955" i="1"/>
  <c r="M954" i="1"/>
  <c r="L954" i="1"/>
  <c r="K954" i="1"/>
  <c r="J954" i="1"/>
  <c r="I954" i="1"/>
  <c r="G954" i="1"/>
  <c r="F954" i="1"/>
  <c r="E954" i="1"/>
  <c r="D954" i="1"/>
  <c r="C954" i="1"/>
  <c r="H954" i="1" s="1"/>
  <c r="M953" i="1"/>
  <c r="L953" i="1"/>
  <c r="K953" i="1"/>
  <c r="J953" i="1"/>
  <c r="I953" i="1"/>
  <c r="H953" i="1"/>
  <c r="G953" i="1"/>
  <c r="F953" i="1"/>
  <c r="E953" i="1"/>
  <c r="D953" i="1"/>
  <c r="C953" i="1"/>
  <c r="M952" i="1"/>
  <c r="L952" i="1"/>
  <c r="K952" i="1"/>
  <c r="J952" i="1"/>
  <c r="I952" i="1"/>
  <c r="H952" i="1"/>
  <c r="G952" i="1"/>
  <c r="F952" i="1"/>
  <c r="E952" i="1"/>
  <c r="D952" i="1"/>
  <c r="C952" i="1"/>
  <c r="M951" i="1"/>
  <c r="L951" i="1"/>
  <c r="K951" i="1"/>
  <c r="J951" i="1"/>
  <c r="I951" i="1"/>
  <c r="G951" i="1"/>
  <c r="F951" i="1"/>
  <c r="E951" i="1"/>
  <c r="D951" i="1"/>
  <c r="C951" i="1"/>
  <c r="M950" i="1"/>
  <c r="L950" i="1"/>
  <c r="K950" i="1"/>
  <c r="J950" i="1"/>
  <c r="I950" i="1"/>
  <c r="G950" i="1"/>
  <c r="F950" i="1"/>
  <c r="E950" i="1"/>
  <c r="D950" i="1"/>
  <c r="C950" i="1"/>
  <c r="H950" i="1" s="1"/>
  <c r="M949" i="1"/>
  <c r="L949" i="1"/>
  <c r="K949" i="1"/>
  <c r="J949" i="1"/>
  <c r="I949" i="1"/>
  <c r="G949" i="1"/>
  <c r="H949" i="1" s="1"/>
  <c r="F949" i="1"/>
  <c r="E949" i="1"/>
  <c r="D949" i="1"/>
  <c r="C949" i="1"/>
  <c r="M948" i="1"/>
  <c r="L948" i="1"/>
  <c r="K948" i="1"/>
  <c r="J948" i="1"/>
  <c r="I948" i="1"/>
  <c r="G948" i="1"/>
  <c r="H948" i="1" s="1"/>
  <c r="F948" i="1"/>
  <c r="E948" i="1"/>
  <c r="D948" i="1"/>
  <c r="C948" i="1"/>
  <c r="M947" i="1"/>
  <c r="L947" i="1"/>
  <c r="K947" i="1"/>
  <c r="J947" i="1"/>
  <c r="I947" i="1"/>
  <c r="G947" i="1"/>
  <c r="H947" i="1" s="1"/>
  <c r="F947" i="1"/>
  <c r="E947" i="1"/>
  <c r="D947" i="1"/>
  <c r="C947" i="1"/>
  <c r="M946" i="1"/>
  <c r="L946" i="1"/>
  <c r="K946" i="1"/>
  <c r="J946" i="1"/>
  <c r="I946" i="1"/>
  <c r="G946" i="1"/>
  <c r="H946" i="1" s="1"/>
  <c r="F946" i="1"/>
  <c r="E946" i="1"/>
  <c r="D946" i="1"/>
  <c r="C946" i="1"/>
  <c r="M945" i="1"/>
  <c r="L945" i="1"/>
  <c r="K945" i="1"/>
  <c r="J945" i="1"/>
  <c r="I945" i="1"/>
  <c r="G945" i="1"/>
  <c r="H945" i="1" s="1"/>
  <c r="F945" i="1"/>
  <c r="E945" i="1"/>
  <c r="D945" i="1"/>
  <c r="C945" i="1"/>
  <c r="M944" i="1"/>
  <c r="L944" i="1"/>
  <c r="K944" i="1"/>
  <c r="J944" i="1"/>
  <c r="I944" i="1"/>
  <c r="G944" i="1"/>
  <c r="H944" i="1" s="1"/>
  <c r="F944" i="1"/>
  <c r="E944" i="1"/>
  <c r="D944" i="1"/>
  <c r="C944" i="1"/>
  <c r="M943" i="1"/>
  <c r="L943" i="1"/>
  <c r="K943" i="1"/>
  <c r="J943" i="1"/>
  <c r="I943" i="1"/>
  <c r="G943" i="1"/>
  <c r="H943" i="1" s="1"/>
  <c r="F943" i="1"/>
  <c r="E943" i="1"/>
  <c r="D943" i="1"/>
  <c r="C943" i="1"/>
  <c r="M942" i="1"/>
  <c r="L942" i="1"/>
  <c r="K942" i="1"/>
  <c r="J942" i="1"/>
  <c r="I942" i="1"/>
  <c r="G942" i="1"/>
  <c r="F942" i="1"/>
  <c r="E942" i="1"/>
  <c r="D942" i="1"/>
  <c r="C942" i="1"/>
  <c r="H942" i="1" s="1"/>
  <c r="M941" i="1"/>
  <c r="L941" i="1"/>
  <c r="K941" i="1"/>
  <c r="J941" i="1"/>
  <c r="I941" i="1"/>
  <c r="G941" i="1"/>
  <c r="H941" i="1" s="1"/>
  <c r="F941" i="1"/>
  <c r="E941" i="1"/>
  <c r="D941" i="1"/>
  <c r="C941" i="1"/>
  <c r="M940" i="1"/>
  <c r="L940" i="1"/>
  <c r="K940" i="1"/>
  <c r="J940" i="1"/>
  <c r="I940" i="1"/>
  <c r="G940" i="1"/>
  <c r="H940" i="1" s="1"/>
  <c r="F940" i="1"/>
  <c r="E940" i="1"/>
  <c r="D940" i="1"/>
  <c r="C940" i="1"/>
  <c r="M939" i="1"/>
  <c r="L939" i="1"/>
  <c r="K939" i="1"/>
  <c r="J939" i="1"/>
  <c r="I939" i="1"/>
  <c r="G939" i="1"/>
  <c r="F939" i="1"/>
  <c r="E939" i="1"/>
  <c r="D939" i="1"/>
  <c r="C939" i="1"/>
  <c r="M938" i="1"/>
  <c r="L938" i="1"/>
  <c r="K938" i="1"/>
  <c r="J938" i="1"/>
  <c r="I938" i="1"/>
  <c r="H938" i="1"/>
  <c r="G938" i="1"/>
  <c r="F938" i="1"/>
  <c r="E938" i="1"/>
  <c r="D938" i="1"/>
  <c r="C938" i="1"/>
  <c r="M937" i="1"/>
  <c r="L937" i="1"/>
  <c r="K937" i="1"/>
  <c r="J937" i="1"/>
  <c r="I937" i="1"/>
  <c r="G937" i="1"/>
  <c r="F937" i="1"/>
  <c r="E937" i="1"/>
  <c r="D937" i="1"/>
  <c r="C937" i="1"/>
  <c r="H937" i="1" s="1"/>
  <c r="M936" i="1"/>
  <c r="L936" i="1"/>
  <c r="K936" i="1"/>
  <c r="J936" i="1"/>
  <c r="I936" i="1"/>
  <c r="G936" i="1"/>
  <c r="F936" i="1"/>
  <c r="E936" i="1"/>
  <c r="D936" i="1"/>
  <c r="C936" i="1"/>
  <c r="H936" i="1" s="1"/>
  <c r="M935" i="1"/>
  <c r="L935" i="1"/>
  <c r="K935" i="1"/>
  <c r="J935" i="1"/>
  <c r="I935" i="1"/>
  <c r="G935" i="1"/>
  <c r="H935" i="1" s="1"/>
  <c r="F935" i="1"/>
  <c r="E935" i="1"/>
  <c r="D935" i="1"/>
  <c r="C935" i="1"/>
  <c r="M934" i="1"/>
  <c r="L934" i="1"/>
  <c r="K934" i="1"/>
  <c r="J934" i="1"/>
  <c r="I934" i="1"/>
  <c r="G934" i="1"/>
  <c r="F934" i="1"/>
  <c r="E934" i="1"/>
  <c r="D934" i="1"/>
  <c r="C934" i="1"/>
  <c r="H934" i="1" s="1"/>
  <c r="M933" i="1"/>
  <c r="L933" i="1"/>
  <c r="K933" i="1"/>
  <c r="J933" i="1"/>
  <c r="I933" i="1"/>
  <c r="G933" i="1"/>
  <c r="H933" i="1" s="1"/>
  <c r="F933" i="1"/>
  <c r="E933" i="1"/>
  <c r="D933" i="1"/>
  <c r="C933" i="1"/>
  <c r="M932" i="1"/>
  <c r="L932" i="1"/>
  <c r="K932" i="1"/>
  <c r="J932" i="1"/>
  <c r="I932" i="1"/>
  <c r="H932" i="1"/>
  <c r="G932" i="1"/>
  <c r="F932" i="1"/>
  <c r="E932" i="1"/>
  <c r="D932" i="1"/>
  <c r="C932" i="1"/>
  <c r="M931" i="1"/>
  <c r="L931" i="1"/>
  <c r="K931" i="1"/>
  <c r="J931" i="1"/>
  <c r="I931" i="1"/>
  <c r="G931" i="1"/>
  <c r="F931" i="1"/>
  <c r="E931" i="1"/>
  <c r="D931" i="1"/>
  <c r="C931" i="1"/>
  <c r="M930" i="1"/>
  <c r="L930" i="1"/>
  <c r="K930" i="1"/>
  <c r="J930" i="1"/>
  <c r="I930" i="1"/>
  <c r="G930" i="1"/>
  <c r="H930" i="1" s="1"/>
  <c r="F930" i="1"/>
  <c r="E930" i="1"/>
  <c r="D930" i="1"/>
  <c r="C930" i="1"/>
  <c r="M929" i="1"/>
  <c r="L929" i="1"/>
  <c r="K929" i="1"/>
  <c r="J929" i="1"/>
  <c r="I929" i="1"/>
  <c r="G929" i="1"/>
  <c r="H929" i="1" s="1"/>
  <c r="F929" i="1"/>
  <c r="E929" i="1"/>
  <c r="D929" i="1"/>
  <c r="C929" i="1"/>
  <c r="M928" i="1"/>
  <c r="L928" i="1"/>
  <c r="K928" i="1"/>
  <c r="J928" i="1"/>
  <c r="I928" i="1"/>
  <c r="G928" i="1"/>
  <c r="F928" i="1"/>
  <c r="E928" i="1"/>
  <c r="D928" i="1"/>
  <c r="C928" i="1"/>
  <c r="H928" i="1" s="1"/>
  <c r="M927" i="1"/>
  <c r="L927" i="1"/>
  <c r="K927" i="1"/>
  <c r="J927" i="1"/>
  <c r="I927" i="1"/>
  <c r="G927" i="1"/>
  <c r="F927" i="1"/>
  <c r="E927" i="1"/>
  <c r="D927" i="1"/>
  <c r="C927" i="1"/>
  <c r="H927" i="1" s="1"/>
  <c r="M926" i="1"/>
  <c r="L926" i="1"/>
  <c r="K926" i="1"/>
  <c r="J926" i="1"/>
  <c r="I926" i="1"/>
  <c r="H926" i="1"/>
  <c r="G926" i="1"/>
  <c r="F926" i="1"/>
  <c r="E926" i="1"/>
  <c r="D926" i="1"/>
  <c r="C926" i="1"/>
  <c r="M925" i="1"/>
  <c r="L925" i="1"/>
  <c r="K925" i="1"/>
  <c r="J925" i="1"/>
  <c r="I925" i="1"/>
  <c r="G925" i="1"/>
  <c r="F925" i="1"/>
  <c r="E925" i="1"/>
  <c r="D925" i="1"/>
  <c r="C925" i="1"/>
  <c r="H925" i="1" s="1"/>
  <c r="M924" i="1"/>
  <c r="L924" i="1"/>
  <c r="K924" i="1"/>
  <c r="J924" i="1"/>
  <c r="I924" i="1"/>
  <c r="G924" i="1"/>
  <c r="H924" i="1" s="1"/>
  <c r="F924" i="1"/>
  <c r="E924" i="1"/>
  <c r="D924" i="1"/>
  <c r="C924" i="1"/>
  <c r="M923" i="1"/>
  <c r="L923" i="1"/>
  <c r="K923" i="1"/>
  <c r="J923" i="1"/>
  <c r="I923" i="1"/>
  <c r="G923" i="1"/>
  <c r="F923" i="1"/>
  <c r="E923" i="1"/>
  <c r="D923" i="1"/>
  <c r="C923" i="1"/>
  <c r="H923" i="1" s="1"/>
  <c r="M922" i="1"/>
  <c r="L922" i="1"/>
  <c r="K922" i="1"/>
  <c r="J922" i="1"/>
  <c r="I922" i="1"/>
  <c r="H922" i="1"/>
  <c r="G922" i="1"/>
  <c r="F922" i="1"/>
  <c r="E922" i="1"/>
  <c r="D922" i="1"/>
  <c r="C922" i="1"/>
  <c r="M921" i="1"/>
  <c r="L921" i="1"/>
  <c r="K921" i="1"/>
  <c r="J921" i="1"/>
  <c r="I921" i="1"/>
  <c r="G921" i="1"/>
  <c r="F921" i="1"/>
  <c r="E921" i="1"/>
  <c r="D921" i="1"/>
  <c r="C921" i="1"/>
  <c r="H921" i="1" s="1"/>
  <c r="M920" i="1"/>
  <c r="L920" i="1"/>
  <c r="K920" i="1"/>
  <c r="J920" i="1"/>
  <c r="I920" i="1"/>
  <c r="G920" i="1"/>
  <c r="H920" i="1" s="1"/>
  <c r="F920" i="1"/>
  <c r="E920" i="1"/>
  <c r="D920" i="1"/>
  <c r="C920" i="1"/>
  <c r="M919" i="1"/>
  <c r="L919" i="1"/>
  <c r="K919" i="1"/>
  <c r="J919" i="1"/>
  <c r="I919" i="1"/>
  <c r="G919" i="1"/>
  <c r="H919" i="1" s="1"/>
  <c r="F919" i="1"/>
  <c r="E919" i="1"/>
  <c r="D919" i="1"/>
  <c r="C919" i="1"/>
  <c r="M918" i="1"/>
  <c r="L918" i="1"/>
  <c r="K918" i="1"/>
  <c r="J918" i="1"/>
  <c r="I918" i="1"/>
  <c r="G918" i="1"/>
  <c r="F918" i="1"/>
  <c r="E918" i="1"/>
  <c r="D918" i="1"/>
  <c r="C918" i="1"/>
  <c r="H918" i="1" s="1"/>
  <c r="M917" i="1"/>
  <c r="L917" i="1"/>
  <c r="K917" i="1"/>
  <c r="J917" i="1"/>
  <c r="I917" i="1"/>
  <c r="H917" i="1"/>
  <c r="G917" i="1"/>
  <c r="F917" i="1"/>
  <c r="E917" i="1"/>
  <c r="D917" i="1"/>
  <c r="C917" i="1"/>
  <c r="M916" i="1"/>
  <c r="L916" i="1"/>
  <c r="K916" i="1"/>
  <c r="J916" i="1"/>
  <c r="I916" i="1"/>
  <c r="G916" i="1"/>
  <c r="H916" i="1" s="1"/>
  <c r="F916" i="1"/>
  <c r="E916" i="1"/>
  <c r="D916" i="1"/>
  <c r="C916" i="1"/>
  <c r="M915" i="1"/>
  <c r="L915" i="1"/>
  <c r="K915" i="1"/>
  <c r="J915" i="1"/>
  <c r="I915" i="1"/>
  <c r="G915" i="1"/>
  <c r="F915" i="1"/>
  <c r="E915" i="1"/>
  <c r="D915" i="1"/>
  <c r="C915" i="1"/>
  <c r="M914" i="1"/>
  <c r="L914" i="1"/>
  <c r="K914" i="1"/>
  <c r="J914" i="1"/>
  <c r="I914" i="1"/>
  <c r="H914" i="1"/>
  <c r="G914" i="1"/>
  <c r="F914" i="1"/>
  <c r="E914" i="1"/>
  <c r="D914" i="1"/>
  <c r="C914" i="1"/>
  <c r="M913" i="1"/>
  <c r="L913" i="1"/>
  <c r="K913" i="1"/>
  <c r="J913" i="1"/>
  <c r="I913" i="1"/>
  <c r="G913" i="1"/>
  <c r="H913" i="1" s="1"/>
  <c r="F913" i="1"/>
  <c r="E913" i="1"/>
  <c r="D913" i="1"/>
  <c r="C913" i="1"/>
  <c r="M912" i="1"/>
  <c r="L912" i="1"/>
  <c r="K912" i="1"/>
  <c r="J912" i="1"/>
  <c r="I912" i="1"/>
  <c r="G912" i="1"/>
  <c r="H912" i="1" s="1"/>
  <c r="F912" i="1"/>
  <c r="E912" i="1"/>
  <c r="D912" i="1"/>
  <c r="C912" i="1"/>
  <c r="M911" i="1"/>
  <c r="L911" i="1"/>
  <c r="K911" i="1"/>
  <c r="J911" i="1"/>
  <c r="I911" i="1"/>
  <c r="G911" i="1"/>
  <c r="H911" i="1" s="1"/>
  <c r="F911" i="1"/>
  <c r="E911" i="1"/>
  <c r="D911" i="1"/>
  <c r="C911" i="1"/>
  <c r="M910" i="1"/>
  <c r="L910" i="1"/>
  <c r="K910" i="1"/>
  <c r="J910" i="1"/>
  <c r="I910" i="1"/>
  <c r="H910" i="1"/>
  <c r="G910" i="1"/>
  <c r="F910" i="1"/>
  <c r="E910" i="1"/>
  <c r="D910" i="1"/>
  <c r="C910" i="1"/>
  <c r="M909" i="1"/>
  <c r="L909" i="1"/>
  <c r="K909" i="1"/>
  <c r="J909" i="1"/>
  <c r="I909" i="1"/>
  <c r="G909" i="1"/>
  <c r="H909" i="1" s="1"/>
  <c r="F909" i="1"/>
  <c r="E909" i="1"/>
  <c r="D909" i="1"/>
  <c r="C909" i="1"/>
  <c r="M908" i="1"/>
  <c r="L908" i="1"/>
  <c r="K908" i="1"/>
  <c r="J908" i="1"/>
  <c r="I908" i="1"/>
  <c r="G908" i="1"/>
  <c r="F908" i="1"/>
  <c r="E908" i="1"/>
  <c r="D908" i="1"/>
  <c r="C908" i="1"/>
  <c r="H908" i="1" s="1"/>
  <c r="M907" i="1"/>
  <c r="L907" i="1"/>
  <c r="K907" i="1"/>
  <c r="J907" i="1"/>
  <c r="I907" i="1"/>
  <c r="G907" i="1"/>
  <c r="H907" i="1" s="1"/>
  <c r="F907" i="1"/>
  <c r="E907" i="1"/>
  <c r="D907" i="1"/>
  <c r="C907" i="1"/>
  <c r="M906" i="1"/>
  <c r="L906" i="1"/>
  <c r="K906" i="1"/>
  <c r="J906" i="1"/>
  <c r="I906" i="1"/>
  <c r="H906" i="1"/>
  <c r="G906" i="1"/>
  <c r="F906" i="1"/>
  <c r="E906" i="1"/>
  <c r="D906" i="1"/>
  <c r="C906" i="1"/>
  <c r="M905" i="1"/>
  <c r="L905" i="1"/>
  <c r="K905" i="1"/>
  <c r="J905" i="1"/>
  <c r="I905" i="1"/>
  <c r="G905" i="1"/>
  <c r="F905" i="1"/>
  <c r="E905" i="1"/>
  <c r="D905" i="1"/>
  <c r="C905" i="1"/>
  <c r="H905" i="1" s="1"/>
  <c r="M904" i="1"/>
  <c r="L904" i="1"/>
  <c r="K904" i="1"/>
  <c r="J904" i="1"/>
  <c r="I904" i="1"/>
  <c r="G904" i="1"/>
  <c r="H904" i="1" s="1"/>
  <c r="F904" i="1"/>
  <c r="E904" i="1"/>
  <c r="D904" i="1"/>
  <c r="C904" i="1"/>
  <c r="M903" i="1"/>
  <c r="L903" i="1"/>
  <c r="K903" i="1"/>
  <c r="J903" i="1"/>
  <c r="I903" i="1"/>
  <c r="G903" i="1"/>
  <c r="H903" i="1" s="1"/>
  <c r="F903" i="1"/>
  <c r="E903" i="1"/>
  <c r="D903" i="1"/>
  <c r="C903" i="1"/>
  <c r="M902" i="1"/>
  <c r="L902" i="1"/>
  <c r="K902" i="1"/>
  <c r="J902" i="1"/>
  <c r="I902" i="1"/>
  <c r="G902" i="1"/>
  <c r="F902" i="1"/>
  <c r="E902" i="1"/>
  <c r="D902" i="1"/>
  <c r="C902" i="1"/>
  <c r="H902" i="1" s="1"/>
  <c r="M901" i="1"/>
  <c r="L901" i="1"/>
  <c r="K901" i="1"/>
  <c r="J901" i="1"/>
  <c r="I901" i="1"/>
  <c r="H901" i="1"/>
  <c r="G901" i="1"/>
  <c r="F901" i="1"/>
  <c r="E901" i="1"/>
  <c r="D901" i="1"/>
  <c r="C901" i="1"/>
  <c r="M900" i="1"/>
  <c r="L900" i="1"/>
  <c r="K900" i="1"/>
  <c r="J900" i="1"/>
  <c r="I900" i="1"/>
  <c r="H900" i="1"/>
  <c r="G900" i="1"/>
  <c r="F900" i="1"/>
  <c r="E900" i="1"/>
  <c r="D900" i="1"/>
  <c r="C900" i="1"/>
  <c r="M899" i="1"/>
  <c r="L899" i="1"/>
  <c r="K899" i="1"/>
  <c r="J899" i="1"/>
  <c r="I899" i="1"/>
  <c r="G899" i="1"/>
  <c r="F899" i="1"/>
  <c r="E899" i="1"/>
  <c r="D899" i="1"/>
  <c r="C899" i="1"/>
  <c r="M898" i="1"/>
  <c r="L898" i="1"/>
  <c r="K898" i="1"/>
  <c r="J898" i="1"/>
  <c r="I898" i="1"/>
  <c r="H898" i="1"/>
  <c r="G898" i="1"/>
  <c r="F898" i="1"/>
  <c r="E898" i="1"/>
  <c r="D898" i="1"/>
  <c r="C898" i="1"/>
  <c r="M897" i="1"/>
  <c r="L897" i="1"/>
  <c r="K897" i="1"/>
  <c r="J897" i="1"/>
  <c r="I897" i="1"/>
  <c r="H897" i="1"/>
  <c r="G897" i="1"/>
  <c r="F897" i="1"/>
  <c r="E897" i="1"/>
  <c r="D897" i="1"/>
  <c r="C897" i="1"/>
  <c r="M896" i="1"/>
  <c r="L896" i="1"/>
  <c r="K896" i="1"/>
  <c r="J896" i="1"/>
  <c r="I896" i="1"/>
  <c r="G896" i="1"/>
  <c r="F896" i="1"/>
  <c r="E896" i="1"/>
  <c r="D896" i="1"/>
  <c r="C896" i="1"/>
  <c r="M895" i="1"/>
  <c r="L895" i="1"/>
  <c r="K895" i="1"/>
  <c r="J895" i="1"/>
  <c r="I895" i="1"/>
  <c r="H895" i="1"/>
  <c r="G895" i="1"/>
  <c r="F895" i="1"/>
  <c r="E895" i="1"/>
  <c r="D895" i="1"/>
  <c r="C895" i="1"/>
  <c r="M894" i="1"/>
  <c r="L894" i="1"/>
  <c r="K894" i="1"/>
  <c r="J894" i="1"/>
  <c r="I894" i="1"/>
  <c r="H894" i="1"/>
  <c r="G894" i="1"/>
  <c r="F894" i="1"/>
  <c r="E894" i="1"/>
  <c r="D894" i="1"/>
  <c r="C894" i="1"/>
  <c r="M893" i="1"/>
  <c r="L893" i="1"/>
  <c r="K893" i="1"/>
  <c r="J893" i="1"/>
  <c r="I893" i="1"/>
  <c r="G893" i="1"/>
  <c r="F893" i="1"/>
  <c r="E893" i="1"/>
  <c r="D893" i="1"/>
  <c r="C893" i="1"/>
  <c r="H893" i="1" s="1"/>
  <c r="M892" i="1"/>
  <c r="L892" i="1"/>
  <c r="K892" i="1"/>
  <c r="J892" i="1"/>
  <c r="I892" i="1"/>
  <c r="H892" i="1"/>
  <c r="G892" i="1"/>
  <c r="F892" i="1"/>
  <c r="E892" i="1"/>
  <c r="D892" i="1"/>
  <c r="C892" i="1"/>
  <c r="M891" i="1"/>
  <c r="L891" i="1"/>
  <c r="K891" i="1"/>
  <c r="J891" i="1"/>
  <c r="I891" i="1"/>
  <c r="H891" i="1"/>
  <c r="G891" i="1"/>
  <c r="F891" i="1"/>
  <c r="E891" i="1"/>
  <c r="D891" i="1"/>
  <c r="C891" i="1"/>
  <c r="M890" i="1"/>
  <c r="L890" i="1"/>
  <c r="K890" i="1"/>
  <c r="J890" i="1"/>
  <c r="I890" i="1"/>
  <c r="G890" i="1"/>
  <c r="F890" i="1"/>
  <c r="E890" i="1"/>
  <c r="D890" i="1"/>
  <c r="C890" i="1"/>
  <c r="M889" i="1"/>
  <c r="L889" i="1"/>
  <c r="K889" i="1"/>
  <c r="J889" i="1"/>
  <c r="I889" i="1"/>
  <c r="G889" i="1"/>
  <c r="F889" i="1"/>
  <c r="E889" i="1"/>
  <c r="D889" i="1"/>
  <c r="C889" i="1"/>
  <c r="H889" i="1" s="1"/>
  <c r="M888" i="1"/>
  <c r="L888" i="1"/>
  <c r="K888" i="1"/>
  <c r="J888" i="1"/>
  <c r="I888" i="1"/>
  <c r="H888" i="1"/>
  <c r="G888" i="1"/>
  <c r="F888" i="1"/>
  <c r="E888" i="1"/>
  <c r="D888" i="1"/>
  <c r="C888" i="1"/>
  <c r="M887" i="1"/>
  <c r="L887" i="1"/>
  <c r="K887" i="1"/>
  <c r="J887" i="1"/>
  <c r="I887" i="1"/>
  <c r="G887" i="1"/>
  <c r="F887" i="1"/>
  <c r="E887" i="1"/>
  <c r="D887" i="1"/>
  <c r="C887" i="1"/>
  <c r="M886" i="1"/>
  <c r="L886" i="1"/>
  <c r="K886" i="1"/>
  <c r="J886" i="1"/>
  <c r="I886" i="1"/>
  <c r="G886" i="1"/>
  <c r="F886" i="1"/>
  <c r="E886" i="1"/>
  <c r="D886" i="1"/>
  <c r="C886" i="1"/>
  <c r="H886" i="1" s="1"/>
  <c r="M885" i="1"/>
  <c r="L885" i="1"/>
  <c r="K885" i="1"/>
  <c r="J885" i="1"/>
  <c r="I885" i="1"/>
  <c r="H885" i="1"/>
  <c r="G885" i="1"/>
  <c r="F885" i="1"/>
  <c r="E885" i="1"/>
  <c r="D885" i="1"/>
  <c r="C885" i="1"/>
  <c r="M884" i="1"/>
  <c r="L884" i="1"/>
  <c r="K884" i="1"/>
  <c r="J884" i="1"/>
  <c r="I884" i="1"/>
  <c r="G884" i="1"/>
  <c r="F884" i="1"/>
  <c r="E884" i="1"/>
  <c r="D884" i="1"/>
  <c r="C884" i="1"/>
  <c r="M883" i="1"/>
  <c r="L883" i="1"/>
  <c r="K883" i="1"/>
  <c r="J883" i="1"/>
  <c r="I883" i="1"/>
  <c r="G883" i="1"/>
  <c r="F883" i="1"/>
  <c r="E883" i="1"/>
  <c r="D883" i="1"/>
  <c r="C883" i="1"/>
  <c r="M882" i="1"/>
  <c r="L882" i="1"/>
  <c r="K882" i="1"/>
  <c r="J882" i="1"/>
  <c r="I882" i="1"/>
  <c r="H882" i="1"/>
  <c r="G882" i="1"/>
  <c r="F882" i="1"/>
  <c r="E882" i="1"/>
  <c r="D882" i="1"/>
  <c r="C882" i="1"/>
  <c r="M881" i="1"/>
  <c r="L881" i="1"/>
  <c r="K881" i="1"/>
  <c r="J881" i="1"/>
  <c r="I881" i="1"/>
  <c r="G881" i="1"/>
  <c r="F881" i="1"/>
  <c r="E881" i="1"/>
  <c r="D881" i="1"/>
  <c r="C881" i="1"/>
  <c r="M880" i="1"/>
  <c r="L880" i="1"/>
  <c r="K880" i="1"/>
  <c r="J880" i="1"/>
  <c r="I880" i="1"/>
  <c r="G880" i="1"/>
  <c r="F880" i="1"/>
  <c r="E880" i="1"/>
  <c r="D880" i="1"/>
  <c r="C880" i="1"/>
  <c r="H880" i="1" s="1"/>
  <c r="M879" i="1"/>
  <c r="L879" i="1"/>
  <c r="K879" i="1"/>
  <c r="J879" i="1"/>
  <c r="I879" i="1"/>
  <c r="H879" i="1"/>
  <c r="G879" i="1"/>
  <c r="F879" i="1"/>
  <c r="E879" i="1"/>
  <c r="D879" i="1"/>
  <c r="C879" i="1"/>
  <c r="M878" i="1"/>
  <c r="L878" i="1"/>
  <c r="K878" i="1"/>
  <c r="J878" i="1"/>
  <c r="I878" i="1"/>
  <c r="G878" i="1"/>
  <c r="F878" i="1"/>
  <c r="E878" i="1"/>
  <c r="D878" i="1"/>
  <c r="C878" i="1"/>
  <c r="M877" i="1"/>
  <c r="L877" i="1"/>
  <c r="K877" i="1"/>
  <c r="J877" i="1"/>
  <c r="I877" i="1"/>
  <c r="G877" i="1"/>
  <c r="H877" i="1" s="1"/>
  <c r="F877" i="1"/>
  <c r="E877" i="1"/>
  <c r="D877" i="1"/>
  <c r="C877" i="1"/>
  <c r="M876" i="1"/>
  <c r="L876" i="1"/>
  <c r="K876" i="1"/>
  <c r="J876" i="1"/>
  <c r="I876" i="1"/>
  <c r="G876" i="1"/>
  <c r="H876" i="1" s="1"/>
  <c r="F876" i="1"/>
  <c r="E876" i="1"/>
  <c r="D876" i="1"/>
  <c r="C876" i="1"/>
  <c r="M875" i="1"/>
  <c r="L875" i="1"/>
  <c r="K875" i="1"/>
  <c r="J875" i="1"/>
  <c r="I875" i="1"/>
  <c r="G875" i="1"/>
  <c r="H875" i="1" s="1"/>
  <c r="F875" i="1"/>
  <c r="E875" i="1"/>
  <c r="D875" i="1"/>
  <c r="C875" i="1"/>
  <c r="M874" i="1"/>
  <c r="L874" i="1"/>
  <c r="K874" i="1"/>
  <c r="J874" i="1"/>
  <c r="I874" i="1"/>
  <c r="G874" i="1"/>
  <c r="F874" i="1"/>
  <c r="E874" i="1"/>
  <c r="D874" i="1"/>
  <c r="C874" i="1"/>
  <c r="H874" i="1" s="1"/>
  <c r="M873" i="1"/>
  <c r="L873" i="1"/>
  <c r="K873" i="1"/>
  <c r="J873" i="1"/>
  <c r="I873" i="1"/>
  <c r="H873" i="1"/>
  <c r="G873" i="1"/>
  <c r="F873" i="1"/>
  <c r="E873" i="1"/>
  <c r="D873" i="1"/>
  <c r="C873" i="1"/>
  <c r="M872" i="1"/>
  <c r="L872" i="1"/>
  <c r="K872" i="1"/>
  <c r="J872" i="1"/>
  <c r="I872" i="1"/>
  <c r="G872" i="1"/>
  <c r="H872" i="1" s="1"/>
  <c r="F872" i="1"/>
  <c r="E872" i="1"/>
  <c r="D872" i="1"/>
  <c r="C872" i="1"/>
  <c r="M871" i="1"/>
  <c r="L871" i="1"/>
  <c r="K871" i="1"/>
  <c r="J871" i="1"/>
  <c r="I871" i="1"/>
  <c r="G871" i="1"/>
  <c r="H871" i="1" s="1"/>
  <c r="F871" i="1"/>
  <c r="E871" i="1"/>
  <c r="D871" i="1"/>
  <c r="C871" i="1"/>
  <c r="M870" i="1"/>
  <c r="L870" i="1"/>
  <c r="K870" i="1"/>
  <c r="J870" i="1"/>
  <c r="I870" i="1"/>
  <c r="H870" i="1"/>
  <c r="G870" i="1"/>
  <c r="F870" i="1"/>
  <c r="E870" i="1"/>
  <c r="D870" i="1"/>
  <c r="C870" i="1"/>
  <c r="M869" i="1"/>
  <c r="L869" i="1"/>
  <c r="K869" i="1"/>
  <c r="J869" i="1"/>
  <c r="I869" i="1"/>
  <c r="G869" i="1"/>
  <c r="H869" i="1" s="1"/>
  <c r="F869" i="1"/>
  <c r="E869" i="1"/>
  <c r="D869" i="1"/>
  <c r="C869" i="1"/>
  <c r="M868" i="1"/>
  <c r="L868" i="1"/>
  <c r="K868" i="1"/>
  <c r="J868" i="1"/>
  <c r="I868" i="1"/>
  <c r="G868" i="1"/>
  <c r="H868" i="1" s="1"/>
  <c r="F868" i="1"/>
  <c r="E868" i="1"/>
  <c r="D868" i="1"/>
  <c r="C868" i="1"/>
  <c r="M867" i="1"/>
  <c r="L867" i="1"/>
  <c r="K867" i="1"/>
  <c r="J867" i="1"/>
  <c r="I867" i="1"/>
  <c r="G867" i="1"/>
  <c r="F867" i="1"/>
  <c r="E867" i="1"/>
  <c r="D867" i="1"/>
  <c r="C867" i="1"/>
  <c r="M866" i="1"/>
  <c r="L866" i="1"/>
  <c r="K866" i="1"/>
  <c r="J866" i="1"/>
  <c r="I866" i="1"/>
  <c r="H866" i="1"/>
  <c r="G866" i="1"/>
  <c r="F866" i="1"/>
  <c r="E866" i="1"/>
  <c r="D866" i="1"/>
  <c r="C866" i="1"/>
  <c r="M865" i="1"/>
  <c r="L865" i="1"/>
  <c r="K865" i="1"/>
  <c r="J865" i="1"/>
  <c r="I865" i="1"/>
  <c r="G865" i="1"/>
  <c r="H865" i="1" s="1"/>
  <c r="F865" i="1"/>
  <c r="E865" i="1"/>
  <c r="D865" i="1"/>
  <c r="C865" i="1"/>
  <c r="M864" i="1"/>
  <c r="L864" i="1"/>
  <c r="K864" i="1"/>
  <c r="J864" i="1"/>
  <c r="I864" i="1"/>
  <c r="G864" i="1"/>
  <c r="H864" i="1" s="1"/>
  <c r="F864" i="1"/>
  <c r="E864" i="1"/>
  <c r="D864" i="1"/>
  <c r="C864" i="1"/>
  <c r="M863" i="1"/>
  <c r="L863" i="1"/>
  <c r="K863" i="1"/>
  <c r="J863" i="1"/>
  <c r="I863" i="1"/>
  <c r="G863" i="1"/>
  <c r="H863" i="1" s="1"/>
  <c r="F863" i="1"/>
  <c r="E863" i="1"/>
  <c r="D863" i="1"/>
  <c r="C863" i="1"/>
  <c r="M862" i="1"/>
  <c r="L862" i="1"/>
  <c r="K862" i="1"/>
  <c r="J862" i="1"/>
  <c r="I862" i="1"/>
  <c r="G862" i="1"/>
  <c r="H862" i="1" s="1"/>
  <c r="F862" i="1"/>
  <c r="E862" i="1"/>
  <c r="D862" i="1"/>
  <c r="C862" i="1"/>
  <c r="M861" i="1"/>
  <c r="L861" i="1"/>
  <c r="K861" i="1"/>
  <c r="J861" i="1"/>
  <c r="I861" i="1"/>
  <c r="G861" i="1"/>
  <c r="F861" i="1"/>
  <c r="E861" i="1"/>
  <c r="D861" i="1"/>
  <c r="C861" i="1"/>
  <c r="H861" i="1" s="1"/>
  <c r="M860" i="1"/>
  <c r="L860" i="1"/>
  <c r="K860" i="1"/>
  <c r="J860" i="1"/>
  <c r="I860" i="1"/>
  <c r="G860" i="1"/>
  <c r="H860" i="1" s="1"/>
  <c r="F860" i="1"/>
  <c r="E860" i="1"/>
  <c r="D860" i="1"/>
  <c r="C860" i="1"/>
  <c r="M859" i="1"/>
  <c r="L859" i="1"/>
  <c r="K859" i="1"/>
  <c r="J859" i="1"/>
  <c r="I859" i="1"/>
  <c r="G859" i="1"/>
  <c r="H859" i="1" s="1"/>
  <c r="F859" i="1"/>
  <c r="E859" i="1"/>
  <c r="D859" i="1"/>
  <c r="C859" i="1"/>
  <c r="M858" i="1"/>
  <c r="L858" i="1"/>
  <c r="K858" i="1"/>
  <c r="J858" i="1"/>
  <c r="I858" i="1"/>
  <c r="G858" i="1"/>
  <c r="H858" i="1" s="1"/>
  <c r="F858" i="1"/>
  <c r="E858" i="1"/>
  <c r="D858" i="1"/>
  <c r="C858" i="1"/>
  <c r="M857" i="1"/>
  <c r="L857" i="1"/>
  <c r="K857" i="1"/>
  <c r="J857" i="1"/>
  <c r="I857" i="1"/>
  <c r="G857" i="1"/>
  <c r="H857" i="1" s="1"/>
  <c r="F857" i="1"/>
  <c r="E857" i="1"/>
  <c r="D857" i="1"/>
  <c r="C857" i="1"/>
  <c r="M856" i="1"/>
  <c r="L856" i="1"/>
  <c r="K856" i="1"/>
  <c r="J856" i="1"/>
  <c r="I856" i="1"/>
  <c r="G856" i="1"/>
  <c r="H856" i="1" s="1"/>
  <c r="F856" i="1"/>
  <c r="E856" i="1"/>
  <c r="D856" i="1"/>
  <c r="C856" i="1"/>
  <c r="M855" i="1"/>
  <c r="L855" i="1"/>
  <c r="K855" i="1"/>
  <c r="J855" i="1"/>
  <c r="I855" i="1"/>
  <c r="G855" i="1"/>
  <c r="F855" i="1"/>
  <c r="E855" i="1"/>
  <c r="D855" i="1"/>
  <c r="C855" i="1"/>
  <c r="H855" i="1" s="1"/>
  <c r="M854" i="1"/>
  <c r="L854" i="1"/>
  <c r="K854" i="1"/>
  <c r="J854" i="1"/>
  <c r="I854" i="1"/>
  <c r="H854" i="1"/>
  <c r="G854" i="1"/>
  <c r="F854" i="1"/>
  <c r="E854" i="1"/>
  <c r="D854" i="1"/>
  <c r="C854" i="1"/>
  <c r="M853" i="1"/>
  <c r="L853" i="1"/>
  <c r="K853" i="1"/>
  <c r="J853" i="1"/>
  <c r="I853" i="1"/>
  <c r="G853" i="1"/>
  <c r="H853" i="1" s="1"/>
  <c r="F853" i="1"/>
  <c r="E853" i="1"/>
  <c r="D853" i="1"/>
  <c r="C853" i="1"/>
  <c r="M852" i="1"/>
  <c r="L852" i="1"/>
  <c r="K852" i="1"/>
  <c r="J852" i="1"/>
  <c r="I852" i="1"/>
  <c r="G852" i="1"/>
  <c r="H852" i="1" s="1"/>
  <c r="F852" i="1"/>
  <c r="E852" i="1"/>
  <c r="D852" i="1"/>
  <c r="C852" i="1"/>
  <c r="M851" i="1"/>
  <c r="L851" i="1"/>
  <c r="K851" i="1"/>
  <c r="J851" i="1"/>
  <c r="I851" i="1"/>
  <c r="G851" i="1"/>
  <c r="F851" i="1"/>
  <c r="E851" i="1"/>
  <c r="D851" i="1"/>
  <c r="C851" i="1"/>
  <c r="M850" i="1"/>
  <c r="L850" i="1"/>
  <c r="K850" i="1"/>
  <c r="J850" i="1"/>
  <c r="I850" i="1"/>
  <c r="G850" i="1"/>
  <c r="H850" i="1" s="1"/>
  <c r="F850" i="1"/>
  <c r="E850" i="1"/>
  <c r="D850" i="1"/>
  <c r="C850" i="1"/>
  <c r="M849" i="1"/>
  <c r="L849" i="1"/>
  <c r="K849" i="1"/>
  <c r="J849" i="1"/>
  <c r="I849" i="1"/>
  <c r="G849" i="1"/>
  <c r="F849" i="1"/>
  <c r="E849" i="1"/>
  <c r="D849" i="1"/>
  <c r="C849" i="1"/>
  <c r="M848" i="1"/>
  <c r="L848" i="1"/>
  <c r="K848" i="1"/>
  <c r="J848" i="1"/>
  <c r="I848" i="1"/>
  <c r="G848" i="1"/>
  <c r="F848" i="1"/>
  <c r="E848" i="1"/>
  <c r="D848" i="1"/>
  <c r="C848" i="1"/>
  <c r="H848" i="1" s="1"/>
  <c r="M847" i="1"/>
  <c r="L847" i="1"/>
  <c r="K847" i="1"/>
  <c r="J847" i="1"/>
  <c r="I847" i="1"/>
  <c r="H847" i="1"/>
  <c r="G847" i="1"/>
  <c r="F847" i="1"/>
  <c r="E847" i="1"/>
  <c r="D847" i="1"/>
  <c r="C847" i="1"/>
  <c r="M846" i="1"/>
  <c r="L846" i="1"/>
  <c r="K846" i="1"/>
  <c r="J846" i="1"/>
  <c r="I846" i="1"/>
  <c r="G846" i="1"/>
  <c r="F846" i="1"/>
  <c r="E846" i="1"/>
  <c r="D846" i="1"/>
  <c r="C846" i="1"/>
  <c r="M845" i="1"/>
  <c r="L845" i="1"/>
  <c r="K845" i="1"/>
  <c r="J845" i="1"/>
  <c r="I845" i="1"/>
  <c r="G845" i="1"/>
  <c r="H845" i="1" s="1"/>
  <c r="F845" i="1"/>
  <c r="E845" i="1"/>
  <c r="D845" i="1"/>
  <c r="C845" i="1"/>
  <c r="M844" i="1"/>
  <c r="L844" i="1"/>
  <c r="K844" i="1"/>
  <c r="J844" i="1"/>
  <c r="I844" i="1"/>
  <c r="H844" i="1"/>
  <c r="G844" i="1"/>
  <c r="F844" i="1"/>
  <c r="E844" i="1"/>
  <c r="D844" i="1"/>
  <c r="C844" i="1"/>
  <c r="M843" i="1"/>
  <c r="L843" i="1"/>
  <c r="K843" i="1"/>
  <c r="J843" i="1"/>
  <c r="I843" i="1"/>
  <c r="G843" i="1"/>
  <c r="F843" i="1"/>
  <c r="E843" i="1"/>
  <c r="D843" i="1"/>
  <c r="C843" i="1"/>
  <c r="H843" i="1" s="1"/>
  <c r="M842" i="1"/>
  <c r="L842" i="1"/>
  <c r="K842" i="1"/>
  <c r="J842" i="1"/>
  <c r="I842" i="1"/>
  <c r="G842" i="1"/>
  <c r="F842" i="1"/>
  <c r="E842" i="1"/>
  <c r="D842" i="1"/>
  <c r="C842" i="1"/>
  <c r="H842" i="1" s="1"/>
  <c r="M841" i="1"/>
  <c r="L841" i="1"/>
  <c r="K841" i="1"/>
  <c r="J841" i="1"/>
  <c r="I841" i="1"/>
  <c r="G841" i="1"/>
  <c r="H841" i="1" s="1"/>
  <c r="F841" i="1"/>
  <c r="E841" i="1"/>
  <c r="D841" i="1"/>
  <c r="C841" i="1"/>
  <c r="M840" i="1"/>
  <c r="L840" i="1"/>
  <c r="K840" i="1"/>
  <c r="J840" i="1"/>
  <c r="I840" i="1"/>
  <c r="G840" i="1"/>
  <c r="F840" i="1"/>
  <c r="E840" i="1"/>
  <c r="D840" i="1"/>
  <c r="C840" i="1"/>
  <c r="H840" i="1" s="1"/>
  <c r="M839" i="1"/>
  <c r="L839" i="1"/>
  <c r="K839" i="1"/>
  <c r="J839" i="1"/>
  <c r="I839" i="1"/>
  <c r="G839" i="1"/>
  <c r="H839" i="1" s="1"/>
  <c r="F839" i="1"/>
  <c r="E839" i="1"/>
  <c r="D839" i="1"/>
  <c r="C839" i="1"/>
  <c r="M838" i="1"/>
  <c r="L838" i="1"/>
  <c r="K838" i="1"/>
  <c r="J838" i="1"/>
  <c r="I838" i="1"/>
  <c r="H838" i="1"/>
  <c r="G838" i="1"/>
  <c r="F838" i="1"/>
  <c r="E838" i="1"/>
  <c r="D838" i="1"/>
  <c r="C838" i="1"/>
  <c r="M837" i="1"/>
  <c r="L837" i="1"/>
  <c r="K837" i="1"/>
  <c r="J837" i="1"/>
  <c r="I837" i="1"/>
  <c r="G837" i="1"/>
  <c r="F837" i="1"/>
  <c r="E837" i="1"/>
  <c r="D837" i="1"/>
  <c r="C837" i="1"/>
  <c r="H837" i="1" s="1"/>
  <c r="M836" i="1"/>
  <c r="L836" i="1"/>
  <c r="K836" i="1"/>
  <c r="J836" i="1"/>
  <c r="I836" i="1"/>
  <c r="G836" i="1"/>
  <c r="F836" i="1"/>
  <c r="E836" i="1"/>
  <c r="D836" i="1"/>
  <c r="C836" i="1"/>
  <c r="H836" i="1" s="1"/>
  <c r="M835" i="1"/>
  <c r="L835" i="1"/>
  <c r="K835" i="1"/>
  <c r="J835" i="1"/>
  <c r="I835" i="1"/>
  <c r="G835" i="1"/>
  <c r="H835" i="1" s="1"/>
  <c r="F835" i="1"/>
  <c r="E835" i="1"/>
  <c r="D835" i="1"/>
  <c r="C835" i="1"/>
  <c r="M834" i="1"/>
  <c r="L834" i="1"/>
  <c r="K834" i="1"/>
  <c r="J834" i="1"/>
  <c r="I834" i="1"/>
  <c r="G834" i="1"/>
  <c r="H834" i="1" s="1"/>
  <c r="F834" i="1"/>
  <c r="E834" i="1"/>
  <c r="D834" i="1"/>
  <c r="C834" i="1"/>
  <c r="M833" i="1"/>
  <c r="L833" i="1"/>
  <c r="K833" i="1"/>
  <c r="J833" i="1"/>
  <c r="I833" i="1"/>
  <c r="G833" i="1"/>
  <c r="F833" i="1"/>
  <c r="E833" i="1"/>
  <c r="D833" i="1"/>
  <c r="C833" i="1"/>
  <c r="H833" i="1" s="1"/>
  <c r="M832" i="1"/>
  <c r="L832" i="1"/>
  <c r="K832" i="1"/>
  <c r="J832" i="1"/>
  <c r="I832" i="1"/>
  <c r="H832" i="1"/>
  <c r="G832" i="1"/>
  <c r="F832" i="1"/>
  <c r="E832" i="1"/>
  <c r="D832" i="1"/>
  <c r="C832" i="1"/>
  <c r="M831" i="1"/>
  <c r="L831" i="1"/>
  <c r="K831" i="1"/>
  <c r="J831" i="1"/>
  <c r="I831" i="1"/>
  <c r="G831" i="1"/>
  <c r="H831" i="1" s="1"/>
  <c r="F831" i="1"/>
  <c r="E831" i="1"/>
  <c r="D831" i="1"/>
  <c r="C831" i="1"/>
  <c r="M830" i="1"/>
  <c r="L830" i="1"/>
  <c r="K830" i="1"/>
  <c r="J830" i="1"/>
  <c r="I830" i="1"/>
  <c r="G830" i="1"/>
  <c r="H830" i="1" s="1"/>
  <c r="F830" i="1"/>
  <c r="E830" i="1"/>
  <c r="D830" i="1"/>
  <c r="C830" i="1"/>
  <c r="M829" i="1"/>
  <c r="L829" i="1"/>
  <c r="K829" i="1"/>
  <c r="J829" i="1"/>
  <c r="I829" i="1"/>
  <c r="G829" i="1"/>
  <c r="F829" i="1"/>
  <c r="E829" i="1"/>
  <c r="D829" i="1"/>
  <c r="C829" i="1"/>
  <c r="H829" i="1" s="1"/>
  <c r="M828" i="1"/>
  <c r="L828" i="1"/>
  <c r="K828" i="1"/>
  <c r="J828" i="1"/>
  <c r="I828" i="1"/>
  <c r="H828" i="1"/>
  <c r="G828" i="1"/>
  <c r="F828" i="1"/>
  <c r="E828" i="1"/>
  <c r="D828" i="1"/>
  <c r="C828" i="1"/>
  <c r="M827" i="1"/>
  <c r="L827" i="1"/>
  <c r="K827" i="1"/>
  <c r="J827" i="1"/>
  <c r="I827" i="1"/>
  <c r="G827" i="1"/>
  <c r="H827" i="1" s="1"/>
  <c r="F827" i="1"/>
  <c r="E827" i="1"/>
  <c r="D827" i="1"/>
  <c r="C827" i="1"/>
  <c r="M826" i="1"/>
  <c r="L826" i="1"/>
  <c r="K826" i="1"/>
  <c r="J826" i="1"/>
  <c r="I826" i="1"/>
  <c r="G826" i="1"/>
  <c r="H826" i="1" s="1"/>
  <c r="F826" i="1"/>
  <c r="E826" i="1"/>
  <c r="D826" i="1"/>
  <c r="C826" i="1"/>
  <c r="M825" i="1"/>
  <c r="L825" i="1"/>
  <c r="K825" i="1"/>
  <c r="J825" i="1"/>
  <c r="I825" i="1"/>
  <c r="G825" i="1"/>
  <c r="H825" i="1" s="1"/>
  <c r="F825" i="1"/>
  <c r="E825" i="1"/>
  <c r="D825" i="1"/>
  <c r="C825" i="1"/>
  <c r="M824" i="1"/>
  <c r="L824" i="1"/>
  <c r="K824" i="1"/>
  <c r="J824" i="1"/>
  <c r="I824" i="1"/>
  <c r="G824" i="1"/>
  <c r="H824" i="1" s="1"/>
  <c r="F824" i="1"/>
  <c r="E824" i="1"/>
  <c r="D824" i="1"/>
  <c r="C824" i="1"/>
  <c r="M823" i="1"/>
  <c r="L823" i="1"/>
  <c r="K823" i="1"/>
  <c r="J823" i="1"/>
  <c r="I823" i="1"/>
  <c r="G823" i="1"/>
  <c r="F823" i="1"/>
  <c r="E823" i="1"/>
  <c r="D823" i="1"/>
  <c r="C823" i="1"/>
  <c r="H823" i="1" s="1"/>
  <c r="M822" i="1"/>
  <c r="L822" i="1"/>
  <c r="K822" i="1"/>
  <c r="J822" i="1"/>
  <c r="I822" i="1"/>
  <c r="H822" i="1"/>
  <c r="G822" i="1"/>
  <c r="F822" i="1"/>
  <c r="E822" i="1"/>
  <c r="D822" i="1"/>
  <c r="C822" i="1"/>
  <c r="M821" i="1"/>
  <c r="L821" i="1"/>
  <c r="K821" i="1"/>
  <c r="J821" i="1"/>
  <c r="I821" i="1"/>
  <c r="G821" i="1"/>
  <c r="H821" i="1" s="1"/>
  <c r="F821" i="1"/>
  <c r="E821" i="1"/>
  <c r="D821" i="1"/>
  <c r="C821" i="1"/>
  <c r="M820" i="1"/>
  <c r="L820" i="1"/>
  <c r="K820" i="1"/>
  <c r="J820" i="1"/>
  <c r="I820" i="1"/>
  <c r="G820" i="1"/>
  <c r="H820" i="1" s="1"/>
  <c r="F820" i="1"/>
  <c r="E820" i="1"/>
  <c r="D820" i="1"/>
  <c r="C820" i="1"/>
  <c r="M819" i="1"/>
  <c r="L819" i="1"/>
  <c r="K819" i="1"/>
  <c r="J819" i="1"/>
  <c r="I819" i="1"/>
  <c r="G819" i="1"/>
  <c r="H819" i="1" s="1"/>
  <c r="F819" i="1"/>
  <c r="E819" i="1"/>
  <c r="D819" i="1"/>
  <c r="C819" i="1"/>
  <c r="M818" i="1"/>
  <c r="L818" i="1"/>
  <c r="K818" i="1"/>
  <c r="J818" i="1"/>
  <c r="I818" i="1"/>
  <c r="H818" i="1"/>
  <c r="G818" i="1"/>
  <c r="F818" i="1"/>
  <c r="E818" i="1"/>
  <c r="D818" i="1"/>
  <c r="C818" i="1"/>
  <c r="M817" i="1"/>
  <c r="L817" i="1"/>
  <c r="K817" i="1"/>
  <c r="J817" i="1"/>
  <c r="I817" i="1"/>
  <c r="G817" i="1"/>
  <c r="F817" i="1"/>
  <c r="E817" i="1"/>
  <c r="D817" i="1"/>
  <c r="C817" i="1"/>
  <c r="M816" i="1"/>
  <c r="L816" i="1"/>
  <c r="K816" i="1"/>
  <c r="J816" i="1"/>
  <c r="I816" i="1"/>
  <c r="H816" i="1"/>
  <c r="G816" i="1"/>
  <c r="F816" i="1"/>
  <c r="E816" i="1"/>
  <c r="D816" i="1"/>
  <c r="C816" i="1"/>
  <c r="M815" i="1"/>
  <c r="L815" i="1"/>
  <c r="K815" i="1"/>
  <c r="J815" i="1"/>
  <c r="I815" i="1"/>
  <c r="H815" i="1"/>
  <c r="G815" i="1"/>
  <c r="F815" i="1"/>
  <c r="E815" i="1"/>
  <c r="D815" i="1"/>
  <c r="C815" i="1"/>
  <c r="M814" i="1"/>
  <c r="L814" i="1"/>
  <c r="K814" i="1"/>
  <c r="J814" i="1"/>
  <c r="I814" i="1"/>
  <c r="G814" i="1"/>
  <c r="F814" i="1"/>
  <c r="E814" i="1"/>
  <c r="D814" i="1"/>
  <c r="C814" i="1"/>
  <c r="H814" i="1" s="1"/>
  <c r="M813" i="1"/>
  <c r="L813" i="1"/>
  <c r="K813" i="1"/>
  <c r="J813" i="1"/>
  <c r="I813" i="1"/>
  <c r="H813" i="1"/>
  <c r="G813" i="1"/>
  <c r="F813" i="1"/>
  <c r="E813" i="1"/>
  <c r="D813" i="1"/>
  <c r="C813" i="1"/>
  <c r="M812" i="1"/>
  <c r="L812" i="1"/>
  <c r="K812" i="1"/>
  <c r="J812" i="1"/>
  <c r="I812" i="1"/>
  <c r="H812" i="1"/>
  <c r="G812" i="1"/>
  <c r="F812" i="1"/>
  <c r="E812" i="1"/>
  <c r="D812" i="1"/>
  <c r="C812" i="1"/>
  <c r="M811" i="1"/>
  <c r="L811" i="1"/>
  <c r="K811" i="1"/>
  <c r="J811" i="1"/>
  <c r="I811" i="1"/>
  <c r="G811" i="1"/>
  <c r="F811" i="1"/>
  <c r="E811" i="1"/>
  <c r="D811" i="1"/>
  <c r="C811" i="1"/>
  <c r="M810" i="1"/>
  <c r="L810" i="1"/>
  <c r="K810" i="1"/>
  <c r="J810" i="1"/>
  <c r="I810" i="1"/>
  <c r="G810" i="1"/>
  <c r="F810" i="1"/>
  <c r="E810" i="1"/>
  <c r="D810" i="1"/>
  <c r="C810" i="1"/>
  <c r="H810" i="1" s="1"/>
  <c r="M809" i="1"/>
  <c r="L809" i="1"/>
  <c r="K809" i="1"/>
  <c r="J809" i="1"/>
  <c r="I809" i="1"/>
  <c r="H809" i="1"/>
  <c r="G809" i="1"/>
  <c r="F809" i="1"/>
  <c r="E809" i="1"/>
  <c r="D809" i="1"/>
  <c r="C809" i="1"/>
  <c r="M808" i="1"/>
  <c r="L808" i="1"/>
  <c r="K808" i="1"/>
  <c r="J808" i="1"/>
  <c r="I808" i="1"/>
  <c r="G808" i="1"/>
  <c r="F808" i="1"/>
  <c r="E808" i="1"/>
  <c r="D808" i="1"/>
  <c r="C808" i="1"/>
  <c r="M807" i="1"/>
  <c r="L807" i="1"/>
  <c r="K807" i="1"/>
  <c r="J807" i="1"/>
  <c r="I807" i="1"/>
  <c r="G807" i="1"/>
  <c r="H807" i="1" s="1"/>
  <c r="F807" i="1"/>
  <c r="E807" i="1"/>
  <c r="D807" i="1"/>
  <c r="C807" i="1"/>
  <c r="M806" i="1"/>
  <c r="L806" i="1"/>
  <c r="K806" i="1"/>
  <c r="J806" i="1"/>
  <c r="I806" i="1"/>
  <c r="H806" i="1"/>
  <c r="G806" i="1"/>
  <c r="F806" i="1"/>
  <c r="E806" i="1"/>
  <c r="D806" i="1"/>
  <c r="C806" i="1"/>
  <c r="M805" i="1"/>
  <c r="L805" i="1"/>
  <c r="K805" i="1"/>
  <c r="J805" i="1"/>
  <c r="I805" i="1"/>
  <c r="G805" i="1"/>
  <c r="F805" i="1"/>
  <c r="E805" i="1"/>
  <c r="D805" i="1"/>
  <c r="C805" i="1"/>
  <c r="H805" i="1" s="1"/>
  <c r="M804" i="1"/>
  <c r="L804" i="1"/>
  <c r="K804" i="1"/>
  <c r="J804" i="1"/>
  <c r="I804" i="1"/>
  <c r="G804" i="1"/>
  <c r="F804" i="1"/>
  <c r="E804" i="1"/>
  <c r="D804" i="1"/>
  <c r="C804" i="1"/>
  <c r="H804" i="1" s="1"/>
  <c r="M803" i="1"/>
  <c r="L803" i="1"/>
  <c r="K803" i="1"/>
  <c r="J803" i="1"/>
  <c r="I803" i="1"/>
  <c r="G803" i="1"/>
  <c r="H803" i="1" s="1"/>
  <c r="F803" i="1"/>
  <c r="E803" i="1"/>
  <c r="D803" i="1"/>
  <c r="C803" i="1"/>
  <c r="M802" i="1"/>
  <c r="L802" i="1"/>
  <c r="K802" i="1"/>
  <c r="J802" i="1"/>
  <c r="I802" i="1"/>
  <c r="G802" i="1"/>
  <c r="H802" i="1" s="1"/>
  <c r="F802" i="1"/>
  <c r="E802" i="1"/>
  <c r="D802" i="1"/>
  <c r="C802" i="1"/>
  <c r="M801" i="1"/>
  <c r="L801" i="1"/>
  <c r="K801" i="1"/>
  <c r="J801" i="1"/>
  <c r="I801" i="1"/>
  <c r="G801" i="1"/>
  <c r="F801" i="1"/>
  <c r="E801" i="1"/>
  <c r="D801" i="1"/>
  <c r="C801" i="1"/>
  <c r="H801" i="1" s="1"/>
  <c r="M800" i="1"/>
  <c r="L800" i="1"/>
  <c r="K800" i="1"/>
  <c r="J800" i="1"/>
  <c r="I800" i="1"/>
  <c r="H800" i="1"/>
  <c r="G800" i="1"/>
  <c r="F800" i="1"/>
  <c r="E800" i="1"/>
  <c r="D800" i="1"/>
  <c r="C800" i="1"/>
  <c r="M799" i="1"/>
  <c r="L799" i="1"/>
  <c r="K799" i="1"/>
  <c r="J799" i="1"/>
  <c r="I799" i="1"/>
  <c r="G799" i="1"/>
  <c r="F799" i="1"/>
  <c r="E799" i="1"/>
  <c r="D799" i="1"/>
  <c r="C799" i="1"/>
  <c r="M798" i="1"/>
  <c r="L798" i="1"/>
  <c r="K798" i="1"/>
  <c r="J798" i="1"/>
  <c r="I798" i="1"/>
  <c r="G798" i="1"/>
  <c r="H798" i="1" s="1"/>
  <c r="F798" i="1"/>
  <c r="E798" i="1"/>
  <c r="D798" i="1"/>
  <c r="C798" i="1"/>
  <c r="M797" i="1"/>
  <c r="L797" i="1"/>
  <c r="K797" i="1"/>
  <c r="J797" i="1"/>
  <c r="I797" i="1"/>
  <c r="H797" i="1"/>
  <c r="G797" i="1"/>
  <c r="F797" i="1"/>
  <c r="E797" i="1"/>
  <c r="D797" i="1"/>
  <c r="C797" i="1"/>
  <c r="M796" i="1"/>
  <c r="L796" i="1"/>
  <c r="K796" i="1"/>
  <c r="J796" i="1"/>
  <c r="I796" i="1"/>
  <c r="G796" i="1"/>
  <c r="F796" i="1"/>
  <c r="E796" i="1"/>
  <c r="D796" i="1"/>
  <c r="C796" i="1"/>
  <c r="M795" i="1"/>
  <c r="L795" i="1"/>
  <c r="K795" i="1"/>
  <c r="J795" i="1"/>
  <c r="I795" i="1"/>
  <c r="G795" i="1"/>
  <c r="F795" i="1"/>
  <c r="E795" i="1"/>
  <c r="D795" i="1"/>
  <c r="C795" i="1"/>
  <c r="H795" i="1" s="1"/>
  <c r="M794" i="1"/>
  <c r="L794" i="1"/>
  <c r="K794" i="1"/>
  <c r="J794" i="1"/>
  <c r="I794" i="1"/>
  <c r="H794" i="1"/>
  <c r="G794" i="1"/>
  <c r="F794" i="1"/>
  <c r="E794" i="1"/>
  <c r="D794" i="1"/>
  <c r="C794" i="1"/>
  <c r="M793" i="1"/>
  <c r="L793" i="1"/>
  <c r="K793" i="1"/>
  <c r="J793" i="1"/>
  <c r="I793" i="1"/>
  <c r="G793" i="1"/>
  <c r="H793" i="1" s="1"/>
  <c r="F793" i="1"/>
  <c r="E793" i="1"/>
  <c r="D793" i="1"/>
  <c r="C793" i="1"/>
  <c r="M792" i="1"/>
  <c r="L792" i="1"/>
  <c r="K792" i="1"/>
  <c r="J792" i="1"/>
  <c r="I792" i="1"/>
  <c r="G792" i="1"/>
  <c r="H792" i="1" s="1"/>
  <c r="F792" i="1"/>
  <c r="E792" i="1"/>
  <c r="D792" i="1"/>
  <c r="C792" i="1"/>
  <c r="M791" i="1"/>
  <c r="L791" i="1"/>
  <c r="K791" i="1"/>
  <c r="J791" i="1"/>
  <c r="I791" i="1"/>
  <c r="G791" i="1"/>
  <c r="F791" i="1"/>
  <c r="E791" i="1"/>
  <c r="D791" i="1"/>
  <c r="C791" i="1"/>
  <c r="H791" i="1" s="1"/>
  <c r="M790" i="1"/>
  <c r="L790" i="1"/>
  <c r="K790" i="1"/>
  <c r="J790" i="1"/>
  <c r="I790" i="1"/>
  <c r="H790" i="1"/>
  <c r="G790" i="1"/>
  <c r="F790" i="1"/>
  <c r="E790" i="1"/>
  <c r="D790" i="1"/>
  <c r="C790" i="1"/>
  <c r="M789" i="1"/>
  <c r="L789" i="1"/>
  <c r="K789" i="1"/>
  <c r="J789" i="1"/>
  <c r="I789" i="1"/>
  <c r="G789" i="1"/>
  <c r="H789" i="1" s="1"/>
  <c r="F789" i="1"/>
  <c r="E789" i="1"/>
  <c r="D789" i="1"/>
  <c r="C789" i="1"/>
  <c r="M788" i="1"/>
  <c r="L788" i="1"/>
  <c r="K788" i="1"/>
  <c r="J788" i="1"/>
  <c r="I788" i="1"/>
  <c r="G788" i="1"/>
  <c r="H788" i="1" s="1"/>
  <c r="F788" i="1"/>
  <c r="E788" i="1"/>
  <c r="D788" i="1"/>
  <c r="C788" i="1"/>
  <c r="M787" i="1"/>
  <c r="L787" i="1"/>
  <c r="K787" i="1"/>
  <c r="J787" i="1"/>
  <c r="I787" i="1"/>
  <c r="G787" i="1"/>
  <c r="H787" i="1" s="1"/>
  <c r="F787" i="1"/>
  <c r="E787" i="1"/>
  <c r="D787" i="1"/>
  <c r="C787" i="1"/>
  <c r="M786" i="1"/>
  <c r="L786" i="1"/>
  <c r="K786" i="1"/>
  <c r="J786" i="1"/>
  <c r="I786" i="1"/>
  <c r="G786" i="1"/>
  <c r="H786" i="1" s="1"/>
  <c r="F786" i="1"/>
  <c r="E786" i="1"/>
  <c r="D786" i="1"/>
  <c r="C786" i="1"/>
  <c r="M785" i="1"/>
  <c r="L785" i="1"/>
  <c r="K785" i="1"/>
  <c r="J785" i="1"/>
  <c r="I785" i="1"/>
  <c r="G785" i="1"/>
  <c r="H785" i="1" s="1"/>
  <c r="F785" i="1"/>
  <c r="E785" i="1"/>
  <c r="D785" i="1"/>
  <c r="C785" i="1"/>
  <c r="M784" i="1"/>
  <c r="L784" i="1"/>
  <c r="K784" i="1"/>
  <c r="J784" i="1"/>
  <c r="I784" i="1"/>
  <c r="H784" i="1"/>
  <c r="G784" i="1"/>
  <c r="F784" i="1"/>
  <c r="E784" i="1"/>
  <c r="D784" i="1"/>
  <c r="C784" i="1"/>
  <c r="M783" i="1"/>
  <c r="L783" i="1"/>
  <c r="K783" i="1"/>
  <c r="J783" i="1"/>
  <c r="I783" i="1"/>
  <c r="H783" i="1"/>
  <c r="G783" i="1"/>
  <c r="F783" i="1"/>
  <c r="E783" i="1"/>
  <c r="D783" i="1"/>
  <c r="C783" i="1"/>
  <c r="M782" i="1"/>
  <c r="L782" i="1"/>
  <c r="K782" i="1"/>
  <c r="J782" i="1"/>
  <c r="I782" i="1"/>
  <c r="G782" i="1"/>
  <c r="F782" i="1"/>
  <c r="E782" i="1"/>
  <c r="D782" i="1"/>
  <c r="C782" i="1"/>
  <c r="H782" i="1" s="1"/>
  <c r="M781" i="1"/>
  <c r="L781" i="1"/>
  <c r="K781" i="1"/>
  <c r="J781" i="1"/>
  <c r="I781" i="1"/>
  <c r="H781" i="1"/>
  <c r="G781" i="1"/>
  <c r="F781" i="1"/>
  <c r="E781" i="1"/>
  <c r="D781" i="1"/>
  <c r="C781" i="1"/>
  <c r="M780" i="1"/>
  <c r="L780" i="1"/>
  <c r="K780" i="1"/>
  <c r="J780" i="1"/>
  <c r="I780" i="1"/>
  <c r="H780" i="1"/>
  <c r="G780" i="1"/>
  <c r="F780" i="1"/>
  <c r="E780" i="1"/>
  <c r="D780" i="1"/>
  <c r="C780" i="1"/>
  <c r="M779" i="1"/>
  <c r="L779" i="1"/>
  <c r="K779" i="1"/>
  <c r="J779" i="1"/>
  <c r="I779" i="1"/>
  <c r="G779" i="1"/>
  <c r="F779" i="1"/>
  <c r="E779" i="1"/>
  <c r="D779" i="1"/>
  <c r="C779" i="1"/>
  <c r="M778" i="1"/>
  <c r="L778" i="1"/>
  <c r="K778" i="1"/>
  <c r="J778" i="1"/>
  <c r="I778" i="1"/>
  <c r="H778" i="1"/>
  <c r="G778" i="1"/>
  <c r="F778" i="1"/>
  <c r="E778" i="1"/>
  <c r="D778" i="1"/>
  <c r="C778" i="1"/>
  <c r="M777" i="1"/>
  <c r="L777" i="1"/>
  <c r="K777" i="1"/>
  <c r="J777" i="1"/>
  <c r="I777" i="1"/>
  <c r="H777" i="1"/>
  <c r="G777" i="1"/>
  <c r="F777" i="1"/>
  <c r="E777" i="1"/>
  <c r="D777" i="1"/>
  <c r="C777" i="1"/>
  <c r="M776" i="1"/>
  <c r="L776" i="1"/>
  <c r="K776" i="1"/>
  <c r="J776" i="1"/>
  <c r="I776" i="1"/>
  <c r="G776" i="1"/>
  <c r="F776" i="1"/>
  <c r="E776" i="1"/>
  <c r="D776" i="1"/>
  <c r="C776" i="1"/>
  <c r="H776" i="1" s="1"/>
  <c r="M775" i="1"/>
  <c r="L775" i="1"/>
  <c r="K775" i="1"/>
  <c r="J775" i="1"/>
  <c r="I775" i="1"/>
  <c r="H775" i="1"/>
  <c r="G775" i="1"/>
  <c r="F775" i="1"/>
  <c r="E775" i="1"/>
  <c r="D775" i="1"/>
  <c r="C775" i="1"/>
  <c r="M774" i="1"/>
  <c r="L774" i="1"/>
  <c r="K774" i="1"/>
  <c r="J774" i="1"/>
  <c r="I774" i="1"/>
  <c r="H774" i="1"/>
  <c r="G774" i="1"/>
  <c r="F774" i="1"/>
  <c r="E774" i="1"/>
  <c r="D774" i="1"/>
  <c r="C774" i="1"/>
  <c r="M773" i="1"/>
  <c r="L773" i="1"/>
  <c r="K773" i="1"/>
  <c r="J773" i="1"/>
  <c r="I773" i="1"/>
  <c r="G773" i="1"/>
  <c r="F773" i="1"/>
  <c r="E773" i="1"/>
  <c r="D773" i="1"/>
  <c r="C773" i="1"/>
  <c r="M772" i="1"/>
  <c r="L772" i="1"/>
  <c r="K772" i="1"/>
  <c r="J772" i="1"/>
  <c r="I772" i="1"/>
  <c r="G772" i="1"/>
  <c r="F772" i="1"/>
  <c r="E772" i="1"/>
  <c r="D772" i="1"/>
  <c r="C772" i="1"/>
  <c r="H772" i="1" s="1"/>
  <c r="M771" i="1"/>
  <c r="L771" i="1"/>
  <c r="K771" i="1"/>
  <c r="J771" i="1"/>
  <c r="I771" i="1"/>
  <c r="G771" i="1"/>
  <c r="H771" i="1" s="1"/>
  <c r="F771" i="1"/>
  <c r="E771" i="1"/>
  <c r="D771" i="1"/>
  <c r="C771" i="1"/>
  <c r="M770" i="1"/>
  <c r="L770" i="1"/>
  <c r="K770" i="1"/>
  <c r="J770" i="1"/>
  <c r="I770" i="1"/>
  <c r="G770" i="1"/>
  <c r="H770" i="1" s="1"/>
  <c r="F770" i="1"/>
  <c r="E770" i="1"/>
  <c r="D770" i="1"/>
  <c r="C770" i="1"/>
  <c r="M769" i="1"/>
  <c r="L769" i="1"/>
  <c r="K769" i="1"/>
  <c r="J769" i="1"/>
  <c r="I769" i="1"/>
  <c r="G769" i="1"/>
  <c r="F769" i="1"/>
  <c r="E769" i="1"/>
  <c r="D769" i="1"/>
  <c r="C769" i="1"/>
  <c r="H769" i="1" s="1"/>
  <c r="M768" i="1"/>
  <c r="L768" i="1"/>
  <c r="K768" i="1"/>
  <c r="J768" i="1"/>
  <c r="I768" i="1"/>
  <c r="G768" i="1"/>
  <c r="H768" i="1" s="1"/>
  <c r="F768" i="1"/>
  <c r="E768" i="1"/>
  <c r="D768" i="1"/>
  <c r="C768" i="1"/>
  <c r="M767" i="1"/>
  <c r="L767" i="1"/>
  <c r="K767" i="1"/>
  <c r="J767" i="1"/>
  <c r="I767" i="1"/>
  <c r="G767" i="1"/>
  <c r="F767" i="1"/>
  <c r="E767" i="1"/>
  <c r="D767" i="1"/>
  <c r="C767" i="1"/>
  <c r="M766" i="1"/>
  <c r="L766" i="1"/>
  <c r="K766" i="1"/>
  <c r="J766" i="1"/>
  <c r="I766" i="1"/>
  <c r="G766" i="1"/>
  <c r="H766" i="1" s="1"/>
  <c r="F766" i="1"/>
  <c r="E766" i="1"/>
  <c r="D766" i="1"/>
  <c r="C766" i="1"/>
  <c r="M765" i="1"/>
  <c r="L765" i="1"/>
  <c r="K765" i="1"/>
  <c r="J765" i="1"/>
  <c r="I765" i="1"/>
  <c r="G765" i="1"/>
  <c r="H765" i="1" s="1"/>
  <c r="F765" i="1"/>
  <c r="E765" i="1"/>
  <c r="D765" i="1"/>
  <c r="C765" i="1"/>
  <c r="M764" i="1"/>
  <c r="L764" i="1"/>
  <c r="K764" i="1"/>
  <c r="J764" i="1"/>
  <c r="I764" i="1"/>
  <c r="G764" i="1"/>
  <c r="H764" i="1" s="1"/>
  <c r="F764" i="1"/>
  <c r="E764" i="1"/>
  <c r="D764" i="1"/>
  <c r="C764" i="1"/>
  <c r="M763" i="1"/>
  <c r="L763" i="1"/>
  <c r="K763" i="1"/>
  <c r="J763" i="1"/>
  <c r="I763" i="1"/>
  <c r="G763" i="1"/>
  <c r="F763" i="1"/>
  <c r="E763" i="1"/>
  <c r="D763" i="1"/>
  <c r="C763" i="1"/>
  <c r="H763" i="1" s="1"/>
  <c r="M762" i="1"/>
  <c r="L762" i="1"/>
  <c r="K762" i="1"/>
  <c r="J762" i="1"/>
  <c r="I762" i="1"/>
  <c r="G762" i="1"/>
  <c r="H762" i="1" s="1"/>
  <c r="F762" i="1"/>
  <c r="E762" i="1"/>
  <c r="D762" i="1"/>
  <c r="C762" i="1"/>
  <c r="M761" i="1"/>
  <c r="L761" i="1"/>
  <c r="K761" i="1"/>
  <c r="J761" i="1"/>
  <c r="I761" i="1"/>
  <c r="G761" i="1"/>
  <c r="H761" i="1" s="1"/>
  <c r="F761" i="1"/>
  <c r="E761" i="1"/>
  <c r="D761" i="1"/>
  <c r="C761" i="1"/>
  <c r="M760" i="1"/>
  <c r="L760" i="1"/>
  <c r="K760" i="1"/>
  <c r="J760" i="1"/>
  <c r="I760" i="1"/>
  <c r="G760" i="1"/>
  <c r="H760" i="1" s="1"/>
  <c r="F760" i="1"/>
  <c r="E760" i="1"/>
  <c r="D760" i="1"/>
  <c r="C760" i="1"/>
  <c r="M759" i="1"/>
  <c r="L759" i="1"/>
  <c r="K759" i="1"/>
  <c r="J759" i="1"/>
  <c r="I759" i="1"/>
  <c r="G759" i="1"/>
  <c r="H759" i="1" s="1"/>
  <c r="F759" i="1"/>
  <c r="E759" i="1"/>
  <c r="D759" i="1"/>
  <c r="C759" i="1"/>
  <c r="M758" i="1"/>
  <c r="L758" i="1"/>
  <c r="K758" i="1"/>
  <c r="J758" i="1"/>
  <c r="I758" i="1"/>
  <c r="G758" i="1"/>
  <c r="F758" i="1"/>
  <c r="E758" i="1"/>
  <c r="D758" i="1"/>
  <c r="C758" i="1"/>
  <c r="H758" i="1" s="1"/>
  <c r="M757" i="1"/>
  <c r="L757" i="1"/>
  <c r="K757" i="1"/>
  <c r="J757" i="1"/>
  <c r="I757" i="1"/>
  <c r="G757" i="1"/>
  <c r="F757" i="1"/>
  <c r="E757" i="1"/>
  <c r="D757" i="1"/>
  <c r="C757" i="1"/>
  <c r="H757" i="1" s="1"/>
  <c r="M756" i="1"/>
  <c r="L756" i="1"/>
  <c r="K756" i="1"/>
  <c r="J756" i="1"/>
  <c r="I756" i="1"/>
  <c r="G756" i="1"/>
  <c r="F756" i="1"/>
  <c r="E756" i="1"/>
  <c r="D756" i="1"/>
  <c r="C756" i="1"/>
  <c r="H756" i="1" s="1"/>
  <c r="M755" i="1"/>
  <c r="L755" i="1"/>
  <c r="K755" i="1"/>
  <c r="J755" i="1"/>
  <c r="I755" i="1"/>
  <c r="G755" i="1"/>
  <c r="F755" i="1"/>
  <c r="E755" i="1"/>
  <c r="D755" i="1"/>
  <c r="C755" i="1"/>
  <c r="M754" i="1"/>
  <c r="L754" i="1"/>
  <c r="K754" i="1"/>
  <c r="J754" i="1"/>
  <c r="I754" i="1"/>
  <c r="H754" i="1"/>
  <c r="G754" i="1"/>
  <c r="F754" i="1"/>
  <c r="E754" i="1"/>
  <c r="D754" i="1"/>
  <c r="C754" i="1"/>
  <c r="M753" i="1"/>
  <c r="L753" i="1"/>
  <c r="K753" i="1"/>
  <c r="J753" i="1"/>
  <c r="I753" i="1"/>
  <c r="G753" i="1"/>
  <c r="F753" i="1"/>
  <c r="E753" i="1"/>
  <c r="D753" i="1"/>
  <c r="C753" i="1"/>
  <c r="H753" i="1" s="1"/>
  <c r="M752" i="1"/>
  <c r="L752" i="1"/>
  <c r="K752" i="1"/>
  <c r="J752" i="1"/>
  <c r="I752" i="1"/>
  <c r="G752" i="1"/>
  <c r="H752" i="1" s="1"/>
  <c r="F752" i="1"/>
  <c r="E752" i="1"/>
  <c r="D752" i="1"/>
  <c r="C752" i="1"/>
  <c r="M751" i="1"/>
  <c r="L751" i="1"/>
  <c r="K751" i="1"/>
  <c r="J751" i="1"/>
  <c r="I751" i="1"/>
  <c r="G751" i="1"/>
  <c r="H751" i="1" s="1"/>
  <c r="F751" i="1"/>
  <c r="E751" i="1"/>
  <c r="D751" i="1"/>
  <c r="C751" i="1"/>
  <c r="M750" i="1"/>
  <c r="L750" i="1"/>
  <c r="K750" i="1"/>
  <c r="J750" i="1"/>
  <c r="I750" i="1"/>
  <c r="G750" i="1"/>
  <c r="F750" i="1"/>
  <c r="E750" i="1"/>
  <c r="D750" i="1"/>
  <c r="C750" i="1"/>
  <c r="H750" i="1" s="1"/>
  <c r="M749" i="1"/>
  <c r="L749" i="1"/>
  <c r="K749" i="1"/>
  <c r="J749" i="1"/>
  <c r="I749" i="1"/>
  <c r="H749" i="1"/>
  <c r="G749" i="1"/>
  <c r="F749" i="1"/>
  <c r="E749" i="1"/>
  <c r="D749" i="1"/>
  <c r="C749" i="1"/>
  <c r="M748" i="1"/>
  <c r="L748" i="1"/>
  <c r="K748" i="1"/>
  <c r="J748" i="1"/>
  <c r="I748" i="1"/>
  <c r="G748" i="1"/>
  <c r="H748" i="1" s="1"/>
  <c r="F748" i="1"/>
  <c r="E748" i="1"/>
  <c r="D748" i="1"/>
  <c r="C748" i="1"/>
  <c r="M747" i="1"/>
  <c r="L747" i="1"/>
  <c r="K747" i="1"/>
  <c r="J747" i="1"/>
  <c r="I747" i="1"/>
  <c r="G747" i="1"/>
  <c r="F747" i="1"/>
  <c r="E747" i="1"/>
  <c r="D747" i="1"/>
  <c r="C747" i="1"/>
  <c r="M746" i="1"/>
  <c r="L746" i="1"/>
  <c r="K746" i="1"/>
  <c r="J746" i="1"/>
  <c r="I746" i="1"/>
  <c r="H746" i="1"/>
  <c r="G746" i="1"/>
  <c r="F746" i="1"/>
  <c r="E746" i="1"/>
  <c r="D746" i="1"/>
  <c r="C746" i="1"/>
  <c r="M745" i="1"/>
  <c r="L745" i="1"/>
  <c r="K745" i="1"/>
  <c r="J745" i="1"/>
  <c r="I745" i="1"/>
  <c r="G745" i="1"/>
  <c r="H745" i="1" s="1"/>
  <c r="F745" i="1"/>
  <c r="E745" i="1"/>
  <c r="D745" i="1"/>
  <c r="C745" i="1"/>
  <c r="M744" i="1"/>
  <c r="L744" i="1"/>
  <c r="K744" i="1"/>
  <c r="J744" i="1"/>
  <c r="I744" i="1"/>
  <c r="G744" i="1"/>
  <c r="F744" i="1"/>
  <c r="E744" i="1"/>
  <c r="D744" i="1"/>
  <c r="C744" i="1"/>
  <c r="H744" i="1" s="1"/>
  <c r="M743" i="1"/>
  <c r="L743" i="1"/>
  <c r="K743" i="1"/>
  <c r="J743" i="1"/>
  <c r="I743" i="1"/>
  <c r="H743" i="1"/>
  <c r="G743" i="1"/>
  <c r="F743" i="1"/>
  <c r="E743" i="1"/>
  <c r="D743" i="1"/>
  <c r="C743" i="1"/>
  <c r="M742" i="1"/>
  <c r="L742" i="1"/>
  <c r="K742" i="1"/>
  <c r="J742" i="1"/>
  <c r="I742" i="1"/>
  <c r="H742" i="1"/>
  <c r="G742" i="1"/>
  <c r="F742" i="1"/>
  <c r="E742" i="1"/>
  <c r="D742" i="1"/>
  <c r="C742" i="1"/>
  <c r="M741" i="1"/>
  <c r="L741" i="1"/>
  <c r="K741" i="1"/>
  <c r="J741" i="1"/>
  <c r="I741" i="1"/>
  <c r="G741" i="1"/>
  <c r="F741" i="1"/>
  <c r="E741" i="1"/>
  <c r="D741" i="1"/>
  <c r="C741" i="1"/>
  <c r="M740" i="1"/>
  <c r="L740" i="1"/>
  <c r="K740" i="1"/>
  <c r="J740" i="1"/>
  <c r="I740" i="1"/>
  <c r="H740" i="1"/>
  <c r="G740" i="1"/>
  <c r="F740" i="1"/>
  <c r="E740" i="1"/>
  <c r="D740" i="1"/>
  <c r="C740" i="1"/>
  <c r="M739" i="1"/>
  <c r="L739" i="1"/>
  <c r="K739" i="1"/>
  <c r="J739" i="1"/>
  <c r="I739" i="1"/>
  <c r="G739" i="1"/>
  <c r="H739" i="1" s="1"/>
  <c r="F739" i="1"/>
  <c r="E739" i="1"/>
  <c r="D739" i="1"/>
  <c r="C739" i="1"/>
  <c r="M738" i="1"/>
  <c r="L738" i="1"/>
  <c r="K738" i="1"/>
  <c r="J738" i="1"/>
  <c r="I738" i="1"/>
  <c r="G738" i="1"/>
  <c r="H738" i="1" s="1"/>
  <c r="F738" i="1"/>
  <c r="E738" i="1"/>
  <c r="D738" i="1"/>
  <c r="C738" i="1"/>
  <c r="M737" i="1"/>
  <c r="L737" i="1"/>
  <c r="K737" i="1"/>
  <c r="J737" i="1"/>
  <c r="I737" i="1"/>
  <c r="H737" i="1"/>
  <c r="G737" i="1"/>
  <c r="F737" i="1"/>
  <c r="E737" i="1"/>
  <c r="D737" i="1"/>
  <c r="C737" i="1"/>
  <c r="M736" i="1"/>
  <c r="L736" i="1"/>
  <c r="K736" i="1"/>
  <c r="J736" i="1"/>
  <c r="I736" i="1"/>
  <c r="G736" i="1"/>
  <c r="H736" i="1" s="1"/>
  <c r="F736" i="1"/>
  <c r="E736" i="1"/>
  <c r="D736" i="1"/>
  <c r="C736" i="1"/>
  <c r="M735" i="1"/>
  <c r="L735" i="1"/>
  <c r="K735" i="1"/>
  <c r="J735" i="1"/>
  <c r="I735" i="1"/>
  <c r="G735" i="1"/>
  <c r="F735" i="1"/>
  <c r="E735" i="1"/>
  <c r="D735" i="1"/>
  <c r="C735" i="1"/>
  <c r="H735" i="1" s="1"/>
  <c r="M734" i="1"/>
  <c r="L734" i="1"/>
  <c r="K734" i="1"/>
  <c r="J734" i="1"/>
  <c r="I734" i="1"/>
  <c r="G734" i="1"/>
  <c r="F734" i="1"/>
  <c r="E734" i="1"/>
  <c r="D734" i="1"/>
  <c r="C734" i="1"/>
  <c r="H734" i="1" s="1"/>
  <c r="M733" i="1"/>
  <c r="L733" i="1"/>
  <c r="K733" i="1"/>
  <c r="J733" i="1"/>
  <c r="I733" i="1"/>
  <c r="H733" i="1"/>
  <c r="G733" i="1"/>
  <c r="F733" i="1"/>
  <c r="E733" i="1"/>
  <c r="D733" i="1"/>
  <c r="C733" i="1"/>
  <c r="M732" i="1"/>
  <c r="L732" i="1"/>
  <c r="K732" i="1"/>
  <c r="J732" i="1"/>
  <c r="I732" i="1"/>
  <c r="G732" i="1"/>
  <c r="F732" i="1"/>
  <c r="E732" i="1"/>
  <c r="D732" i="1"/>
  <c r="C732" i="1"/>
  <c r="M731" i="1"/>
  <c r="L731" i="1"/>
  <c r="K731" i="1"/>
  <c r="J731" i="1"/>
  <c r="I731" i="1"/>
  <c r="G731" i="1"/>
  <c r="F731" i="1"/>
  <c r="E731" i="1"/>
  <c r="D731" i="1"/>
  <c r="C731" i="1"/>
  <c r="H731" i="1" s="1"/>
  <c r="M730" i="1"/>
  <c r="L730" i="1"/>
  <c r="K730" i="1"/>
  <c r="J730" i="1"/>
  <c r="I730" i="1"/>
  <c r="H730" i="1"/>
  <c r="G730" i="1"/>
  <c r="F730" i="1"/>
  <c r="E730" i="1"/>
  <c r="D730" i="1"/>
  <c r="C730" i="1"/>
  <c r="M729" i="1"/>
  <c r="L729" i="1"/>
  <c r="K729" i="1"/>
  <c r="J729" i="1"/>
  <c r="I729" i="1"/>
  <c r="G729" i="1"/>
  <c r="H729" i="1" s="1"/>
  <c r="F729" i="1"/>
  <c r="E729" i="1"/>
  <c r="D729" i="1"/>
  <c r="C729" i="1"/>
  <c r="M728" i="1"/>
  <c r="L728" i="1"/>
  <c r="K728" i="1"/>
  <c r="J728" i="1"/>
  <c r="I728" i="1"/>
  <c r="G728" i="1"/>
  <c r="F728" i="1"/>
  <c r="E728" i="1"/>
  <c r="D728" i="1"/>
  <c r="C728" i="1"/>
  <c r="M727" i="1"/>
  <c r="L727" i="1"/>
  <c r="K727" i="1"/>
  <c r="J727" i="1"/>
  <c r="I727" i="1"/>
  <c r="G727" i="1"/>
  <c r="H727" i="1" s="1"/>
  <c r="F727" i="1"/>
  <c r="E727" i="1"/>
  <c r="D727" i="1"/>
  <c r="C727" i="1"/>
  <c r="M726" i="1"/>
  <c r="L726" i="1"/>
  <c r="K726" i="1"/>
  <c r="J726" i="1"/>
  <c r="I726" i="1"/>
  <c r="G726" i="1"/>
  <c r="H726" i="1" s="1"/>
  <c r="F726" i="1"/>
  <c r="E726" i="1"/>
  <c r="D726" i="1"/>
  <c r="C726" i="1"/>
  <c r="M725" i="1"/>
  <c r="L725" i="1"/>
  <c r="K725" i="1"/>
  <c r="J725" i="1"/>
  <c r="I725" i="1"/>
  <c r="G725" i="1"/>
  <c r="F725" i="1"/>
  <c r="E725" i="1"/>
  <c r="D725" i="1"/>
  <c r="C725" i="1"/>
  <c r="H725" i="1" s="1"/>
  <c r="M724" i="1"/>
  <c r="L724" i="1"/>
  <c r="K724" i="1"/>
  <c r="J724" i="1"/>
  <c r="I724" i="1"/>
  <c r="H724" i="1"/>
  <c r="G724" i="1"/>
  <c r="F724" i="1"/>
  <c r="E724" i="1"/>
  <c r="D724" i="1"/>
  <c r="C724" i="1"/>
  <c r="M723" i="1"/>
  <c r="L723" i="1"/>
  <c r="K723" i="1"/>
  <c r="J723" i="1"/>
  <c r="I723" i="1"/>
  <c r="G723" i="1"/>
  <c r="F723" i="1"/>
  <c r="E723" i="1"/>
  <c r="D723" i="1"/>
  <c r="C723" i="1"/>
  <c r="M722" i="1"/>
  <c r="L722" i="1"/>
  <c r="K722" i="1"/>
  <c r="J722" i="1"/>
  <c r="I722" i="1"/>
  <c r="G722" i="1"/>
  <c r="F722" i="1"/>
  <c r="E722" i="1"/>
  <c r="D722" i="1"/>
  <c r="C722" i="1"/>
  <c r="M721" i="1"/>
  <c r="L721" i="1"/>
  <c r="K721" i="1"/>
  <c r="J721" i="1"/>
  <c r="I721" i="1"/>
  <c r="H721" i="1"/>
  <c r="G721" i="1"/>
  <c r="F721" i="1"/>
  <c r="E721" i="1"/>
  <c r="D721" i="1"/>
  <c r="C721" i="1"/>
  <c r="M720" i="1"/>
  <c r="L720" i="1"/>
  <c r="K720" i="1"/>
  <c r="J720" i="1"/>
  <c r="I720" i="1"/>
  <c r="G720" i="1"/>
  <c r="F720" i="1"/>
  <c r="E720" i="1"/>
  <c r="D720" i="1"/>
  <c r="C720" i="1"/>
  <c r="M719" i="1"/>
  <c r="L719" i="1"/>
  <c r="K719" i="1"/>
  <c r="J719" i="1"/>
  <c r="I719" i="1"/>
  <c r="G719" i="1"/>
  <c r="F719" i="1"/>
  <c r="E719" i="1"/>
  <c r="D719" i="1"/>
  <c r="C719" i="1"/>
  <c r="H719" i="1" s="1"/>
  <c r="M718" i="1"/>
  <c r="L718" i="1"/>
  <c r="K718" i="1"/>
  <c r="J718" i="1"/>
  <c r="I718" i="1"/>
  <c r="H718" i="1"/>
  <c r="G718" i="1"/>
  <c r="F718" i="1"/>
  <c r="E718" i="1"/>
  <c r="D718" i="1"/>
  <c r="C718" i="1"/>
  <c r="M717" i="1"/>
  <c r="L717" i="1"/>
  <c r="K717" i="1"/>
  <c r="J717" i="1"/>
  <c r="I717" i="1"/>
  <c r="G717" i="1"/>
  <c r="F717" i="1"/>
  <c r="E717" i="1"/>
  <c r="D717" i="1"/>
  <c r="C717" i="1"/>
  <c r="M716" i="1"/>
  <c r="L716" i="1"/>
  <c r="K716" i="1"/>
  <c r="J716" i="1"/>
  <c r="I716" i="1"/>
  <c r="G716" i="1"/>
  <c r="H716" i="1" s="1"/>
  <c r="F716" i="1"/>
  <c r="E716" i="1"/>
  <c r="D716" i="1"/>
  <c r="C716" i="1"/>
  <c r="M715" i="1"/>
  <c r="L715" i="1"/>
  <c r="K715" i="1"/>
  <c r="J715" i="1"/>
  <c r="I715" i="1"/>
  <c r="H715" i="1"/>
  <c r="G715" i="1"/>
  <c r="F715" i="1"/>
  <c r="E715" i="1"/>
  <c r="D715" i="1"/>
  <c r="C715" i="1"/>
  <c r="M714" i="1"/>
  <c r="L714" i="1"/>
  <c r="K714" i="1"/>
  <c r="J714" i="1"/>
  <c r="I714" i="1"/>
  <c r="G714" i="1"/>
  <c r="F714" i="1"/>
  <c r="E714" i="1"/>
  <c r="D714" i="1"/>
  <c r="C714" i="1"/>
  <c r="H714" i="1" s="1"/>
  <c r="M713" i="1"/>
  <c r="L713" i="1"/>
  <c r="K713" i="1"/>
  <c r="J713" i="1"/>
  <c r="I713" i="1"/>
  <c r="G713" i="1"/>
  <c r="F713" i="1"/>
  <c r="E713" i="1"/>
  <c r="D713" i="1"/>
  <c r="C713" i="1"/>
  <c r="H713" i="1" s="1"/>
  <c r="M712" i="1"/>
  <c r="L712" i="1"/>
  <c r="K712" i="1"/>
  <c r="J712" i="1"/>
  <c r="I712" i="1"/>
  <c r="G712" i="1"/>
  <c r="H712" i="1" s="1"/>
  <c r="F712" i="1"/>
  <c r="E712" i="1"/>
  <c r="D712" i="1"/>
  <c r="C712" i="1"/>
  <c r="M711" i="1"/>
  <c r="L711" i="1"/>
  <c r="K711" i="1"/>
  <c r="J711" i="1"/>
  <c r="I711" i="1"/>
  <c r="H711" i="1"/>
  <c r="G711" i="1"/>
  <c r="F711" i="1"/>
  <c r="E711" i="1"/>
  <c r="D711" i="1"/>
  <c r="C711" i="1"/>
  <c r="M710" i="1"/>
  <c r="L710" i="1"/>
  <c r="K710" i="1"/>
  <c r="J710" i="1"/>
  <c r="I710" i="1"/>
  <c r="G710" i="1"/>
  <c r="F710" i="1"/>
  <c r="E710" i="1"/>
  <c r="D710" i="1"/>
  <c r="C710" i="1"/>
  <c r="H710" i="1" s="1"/>
  <c r="M709" i="1"/>
  <c r="L709" i="1"/>
  <c r="K709" i="1"/>
  <c r="J709" i="1"/>
  <c r="I709" i="1"/>
  <c r="H709" i="1"/>
  <c r="G709" i="1"/>
  <c r="F709" i="1"/>
  <c r="E709" i="1"/>
  <c r="D709" i="1"/>
  <c r="C709" i="1"/>
  <c r="M708" i="1"/>
  <c r="L708" i="1"/>
  <c r="K708" i="1"/>
  <c r="J708" i="1"/>
  <c r="I708" i="1"/>
  <c r="H708" i="1"/>
  <c r="G708" i="1"/>
  <c r="F708" i="1"/>
  <c r="E708" i="1"/>
  <c r="D708" i="1"/>
  <c r="C708" i="1"/>
  <c r="M707" i="1"/>
  <c r="L707" i="1"/>
  <c r="K707" i="1"/>
  <c r="J707" i="1"/>
  <c r="I707" i="1"/>
  <c r="G707" i="1"/>
  <c r="H707" i="1" s="1"/>
  <c r="F707" i="1"/>
  <c r="E707" i="1"/>
  <c r="D707" i="1"/>
  <c r="C707" i="1"/>
  <c r="M706" i="1"/>
  <c r="L706" i="1"/>
  <c r="K706" i="1"/>
  <c r="J706" i="1"/>
  <c r="I706" i="1"/>
  <c r="G706" i="1"/>
  <c r="H706" i="1" s="1"/>
  <c r="F706" i="1"/>
  <c r="E706" i="1"/>
  <c r="D706" i="1"/>
  <c r="C706" i="1"/>
  <c r="M705" i="1"/>
  <c r="L705" i="1"/>
  <c r="K705" i="1"/>
  <c r="J705" i="1"/>
  <c r="I705" i="1"/>
  <c r="G705" i="1"/>
  <c r="H705" i="1" s="1"/>
  <c r="F705" i="1"/>
  <c r="E705" i="1"/>
  <c r="D705" i="1"/>
  <c r="C705" i="1"/>
  <c r="M704" i="1"/>
  <c r="L704" i="1"/>
  <c r="K704" i="1"/>
  <c r="J704" i="1"/>
  <c r="I704" i="1"/>
  <c r="G704" i="1"/>
  <c r="H704" i="1" s="1"/>
  <c r="F704" i="1"/>
  <c r="E704" i="1"/>
  <c r="D704" i="1"/>
  <c r="C704" i="1"/>
  <c r="M703" i="1"/>
  <c r="L703" i="1"/>
  <c r="K703" i="1"/>
  <c r="J703" i="1"/>
  <c r="I703" i="1"/>
  <c r="G703" i="1"/>
  <c r="H703" i="1" s="1"/>
  <c r="F703" i="1"/>
  <c r="E703" i="1"/>
  <c r="D703" i="1"/>
  <c r="C703" i="1"/>
  <c r="M702" i="1"/>
  <c r="L702" i="1"/>
  <c r="K702" i="1"/>
  <c r="J702" i="1"/>
  <c r="I702" i="1"/>
  <c r="G702" i="1"/>
  <c r="H702" i="1" s="1"/>
  <c r="F702" i="1"/>
  <c r="E702" i="1"/>
  <c r="D702" i="1"/>
  <c r="C702" i="1"/>
  <c r="M701" i="1"/>
  <c r="L701" i="1"/>
  <c r="K701" i="1"/>
  <c r="J701" i="1"/>
  <c r="I701" i="1"/>
  <c r="G701" i="1"/>
  <c r="H701" i="1" s="1"/>
  <c r="F701" i="1"/>
  <c r="E701" i="1"/>
  <c r="D701" i="1"/>
  <c r="C701" i="1"/>
  <c r="M700" i="1"/>
  <c r="L700" i="1"/>
  <c r="K700" i="1"/>
  <c r="J700" i="1"/>
  <c r="I700" i="1"/>
  <c r="H700" i="1"/>
  <c r="G700" i="1"/>
  <c r="F700" i="1"/>
  <c r="E700" i="1"/>
  <c r="D700" i="1"/>
  <c r="C700" i="1"/>
  <c r="M699" i="1"/>
  <c r="L699" i="1"/>
  <c r="K699" i="1"/>
  <c r="J699" i="1"/>
  <c r="I699" i="1"/>
  <c r="G699" i="1"/>
  <c r="F699" i="1"/>
  <c r="E699" i="1"/>
  <c r="D699" i="1"/>
  <c r="C699" i="1"/>
  <c r="H699" i="1" s="1"/>
  <c r="M698" i="1"/>
  <c r="L698" i="1"/>
  <c r="K698" i="1"/>
  <c r="J698" i="1"/>
  <c r="I698" i="1"/>
  <c r="G698" i="1"/>
  <c r="H698" i="1" s="1"/>
  <c r="F698" i="1"/>
  <c r="E698" i="1"/>
  <c r="D698" i="1"/>
  <c r="C698" i="1"/>
  <c r="M697" i="1"/>
  <c r="L697" i="1"/>
  <c r="K697" i="1"/>
  <c r="J697" i="1"/>
  <c r="I697" i="1"/>
  <c r="G697" i="1"/>
  <c r="F697" i="1"/>
  <c r="E697" i="1"/>
  <c r="D697" i="1"/>
  <c r="C697" i="1"/>
  <c r="H697" i="1" s="1"/>
  <c r="M696" i="1"/>
  <c r="L696" i="1"/>
  <c r="K696" i="1"/>
  <c r="J696" i="1"/>
  <c r="I696" i="1"/>
  <c r="G696" i="1"/>
  <c r="H696" i="1" s="1"/>
  <c r="F696" i="1"/>
  <c r="E696" i="1"/>
  <c r="D696" i="1"/>
  <c r="C696" i="1"/>
  <c r="M695" i="1"/>
  <c r="L695" i="1"/>
  <c r="K695" i="1"/>
  <c r="J695" i="1"/>
  <c r="I695" i="1"/>
  <c r="G695" i="1"/>
  <c r="H695" i="1" s="1"/>
  <c r="F695" i="1"/>
  <c r="E695" i="1"/>
  <c r="D695" i="1"/>
  <c r="C695" i="1"/>
  <c r="M694" i="1"/>
  <c r="L694" i="1"/>
  <c r="K694" i="1"/>
  <c r="J694" i="1"/>
  <c r="I694" i="1"/>
  <c r="G694" i="1"/>
  <c r="F694" i="1"/>
  <c r="E694" i="1"/>
  <c r="D694" i="1"/>
  <c r="C694" i="1"/>
  <c r="H694" i="1" s="1"/>
  <c r="M693" i="1"/>
  <c r="L693" i="1"/>
  <c r="K693" i="1"/>
  <c r="J693" i="1"/>
  <c r="I693" i="1"/>
  <c r="H693" i="1"/>
  <c r="G693" i="1"/>
  <c r="F693" i="1"/>
  <c r="E693" i="1"/>
  <c r="D693" i="1"/>
  <c r="C693" i="1"/>
  <c r="M692" i="1"/>
  <c r="L692" i="1"/>
  <c r="K692" i="1"/>
  <c r="J692" i="1"/>
  <c r="I692" i="1"/>
  <c r="G692" i="1"/>
  <c r="H692" i="1" s="1"/>
  <c r="F692" i="1"/>
  <c r="E692" i="1"/>
  <c r="D692" i="1"/>
  <c r="C692" i="1"/>
  <c r="M691" i="1"/>
  <c r="L691" i="1"/>
  <c r="K691" i="1"/>
  <c r="J691" i="1"/>
  <c r="I691" i="1"/>
  <c r="G691" i="1"/>
  <c r="H691" i="1" s="1"/>
  <c r="F691" i="1"/>
  <c r="E691" i="1"/>
  <c r="D691" i="1"/>
  <c r="C691" i="1"/>
  <c r="M690" i="1"/>
  <c r="L690" i="1"/>
  <c r="K690" i="1"/>
  <c r="J690" i="1"/>
  <c r="I690" i="1"/>
  <c r="G690" i="1"/>
  <c r="H690" i="1" s="1"/>
  <c r="F690" i="1"/>
  <c r="E690" i="1"/>
  <c r="D690" i="1"/>
  <c r="C690" i="1"/>
  <c r="M689" i="1"/>
  <c r="L689" i="1"/>
  <c r="K689" i="1"/>
  <c r="J689" i="1"/>
  <c r="I689" i="1"/>
  <c r="G689" i="1"/>
  <c r="H689" i="1" s="1"/>
  <c r="F689" i="1"/>
  <c r="E689" i="1"/>
  <c r="D689" i="1"/>
  <c r="C689" i="1"/>
  <c r="M688" i="1"/>
  <c r="L688" i="1"/>
  <c r="K688" i="1"/>
  <c r="J688" i="1"/>
  <c r="I688" i="1"/>
  <c r="G688" i="1"/>
  <c r="H688" i="1" s="1"/>
  <c r="F688" i="1"/>
  <c r="E688" i="1"/>
  <c r="D688" i="1"/>
  <c r="C688" i="1"/>
  <c r="M687" i="1"/>
  <c r="L687" i="1"/>
  <c r="K687" i="1"/>
  <c r="J687" i="1"/>
  <c r="I687" i="1"/>
  <c r="H687" i="1"/>
  <c r="G687" i="1"/>
  <c r="F687" i="1"/>
  <c r="E687" i="1"/>
  <c r="D687" i="1"/>
  <c r="C687" i="1"/>
  <c r="M686" i="1"/>
  <c r="L686" i="1"/>
  <c r="K686" i="1"/>
  <c r="J686" i="1"/>
  <c r="I686" i="1"/>
  <c r="G686" i="1"/>
  <c r="H686" i="1" s="1"/>
  <c r="F686" i="1"/>
  <c r="E686" i="1"/>
  <c r="D686" i="1"/>
  <c r="C686" i="1"/>
  <c r="M685" i="1"/>
  <c r="L685" i="1"/>
  <c r="K685" i="1"/>
  <c r="J685" i="1"/>
  <c r="I685" i="1"/>
  <c r="G685" i="1"/>
  <c r="F685" i="1"/>
  <c r="E685" i="1"/>
  <c r="D685" i="1"/>
  <c r="C685" i="1"/>
  <c r="H685" i="1" s="1"/>
  <c r="M684" i="1"/>
  <c r="L684" i="1"/>
  <c r="K684" i="1"/>
  <c r="J684" i="1"/>
  <c r="I684" i="1"/>
  <c r="H684" i="1"/>
  <c r="G684" i="1"/>
  <c r="F684" i="1"/>
  <c r="E684" i="1"/>
  <c r="D684" i="1"/>
  <c r="C684" i="1"/>
  <c r="M683" i="1"/>
  <c r="L683" i="1"/>
  <c r="K683" i="1"/>
  <c r="J683" i="1"/>
  <c r="I683" i="1"/>
  <c r="G683" i="1"/>
  <c r="H683" i="1" s="1"/>
  <c r="F683" i="1"/>
  <c r="E683" i="1"/>
  <c r="D683" i="1"/>
  <c r="C683" i="1"/>
  <c r="M682" i="1"/>
  <c r="L682" i="1"/>
  <c r="K682" i="1"/>
  <c r="J682" i="1"/>
  <c r="I682" i="1"/>
  <c r="G682" i="1"/>
  <c r="H682" i="1" s="1"/>
  <c r="F682" i="1"/>
  <c r="E682" i="1"/>
  <c r="D682" i="1"/>
  <c r="C682" i="1"/>
  <c r="M681" i="1"/>
  <c r="L681" i="1"/>
  <c r="K681" i="1"/>
  <c r="J681" i="1"/>
  <c r="I681" i="1"/>
  <c r="H681" i="1"/>
  <c r="G681" i="1"/>
  <c r="F681" i="1"/>
  <c r="E681" i="1"/>
  <c r="D681" i="1"/>
  <c r="C681" i="1"/>
  <c r="M680" i="1"/>
  <c r="L680" i="1"/>
  <c r="K680" i="1"/>
  <c r="J680" i="1"/>
  <c r="I680" i="1"/>
  <c r="G680" i="1"/>
  <c r="H680" i="1" s="1"/>
  <c r="F680" i="1"/>
  <c r="E680" i="1"/>
  <c r="D680" i="1"/>
  <c r="C680" i="1"/>
  <c r="M679" i="1"/>
  <c r="L679" i="1"/>
  <c r="K679" i="1"/>
  <c r="J679" i="1"/>
  <c r="I679" i="1"/>
  <c r="G679" i="1"/>
  <c r="H679" i="1" s="1"/>
  <c r="F679" i="1"/>
  <c r="E679" i="1"/>
  <c r="D679" i="1"/>
  <c r="C679" i="1"/>
  <c r="M678" i="1"/>
  <c r="L678" i="1"/>
  <c r="K678" i="1"/>
  <c r="J678" i="1"/>
  <c r="I678" i="1"/>
  <c r="H678" i="1"/>
  <c r="G678" i="1"/>
  <c r="F678" i="1"/>
  <c r="E678" i="1"/>
  <c r="D678" i="1"/>
  <c r="C678" i="1"/>
  <c r="M677" i="1"/>
  <c r="L677" i="1"/>
  <c r="K677" i="1"/>
  <c r="J677" i="1"/>
  <c r="I677" i="1"/>
  <c r="G677" i="1"/>
  <c r="F677" i="1"/>
  <c r="E677" i="1"/>
  <c r="D677" i="1"/>
  <c r="C677" i="1"/>
  <c r="H677" i="1" s="1"/>
  <c r="M676" i="1"/>
  <c r="L676" i="1"/>
  <c r="K676" i="1"/>
  <c r="J676" i="1"/>
  <c r="I676" i="1"/>
  <c r="G676" i="1"/>
  <c r="H676" i="1" s="1"/>
  <c r="F676" i="1"/>
  <c r="E676" i="1"/>
  <c r="D676" i="1"/>
  <c r="C676" i="1"/>
  <c r="M675" i="1"/>
  <c r="L675" i="1"/>
  <c r="K675" i="1"/>
  <c r="J675" i="1"/>
  <c r="I675" i="1"/>
  <c r="G675" i="1"/>
  <c r="F675" i="1"/>
  <c r="E675" i="1"/>
  <c r="D675" i="1"/>
  <c r="C675" i="1"/>
  <c r="H675" i="1" s="1"/>
  <c r="M674" i="1"/>
  <c r="L674" i="1"/>
  <c r="K674" i="1"/>
  <c r="J674" i="1"/>
  <c r="I674" i="1"/>
  <c r="G674" i="1"/>
  <c r="F674" i="1"/>
  <c r="E674" i="1"/>
  <c r="D674" i="1"/>
  <c r="C674" i="1"/>
  <c r="M673" i="1"/>
  <c r="L673" i="1"/>
  <c r="K673" i="1"/>
  <c r="J673" i="1"/>
  <c r="I673" i="1"/>
  <c r="G673" i="1"/>
  <c r="H673" i="1" s="1"/>
  <c r="F673" i="1"/>
  <c r="E673" i="1"/>
  <c r="D673" i="1"/>
  <c r="C673" i="1"/>
  <c r="M672" i="1"/>
  <c r="L672" i="1"/>
  <c r="K672" i="1"/>
  <c r="J672" i="1"/>
  <c r="I672" i="1"/>
  <c r="G672" i="1"/>
  <c r="F672" i="1"/>
  <c r="E672" i="1"/>
  <c r="D672" i="1"/>
  <c r="C672" i="1"/>
  <c r="H672" i="1" s="1"/>
  <c r="M671" i="1"/>
  <c r="L671" i="1"/>
  <c r="K671" i="1"/>
  <c r="J671" i="1"/>
  <c r="I671" i="1"/>
  <c r="H671" i="1"/>
  <c r="G671" i="1"/>
  <c r="F671" i="1"/>
  <c r="E671" i="1"/>
  <c r="D671" i="1"/>
  <c r="C671" i="1"/>
  <c r="M670" i="1"/>
  <c r="L670" i="1"/>
  <c r="K670" i="1"/>
  <c r="J670" i="1"/>
  <c r="I670" i="1"/>
  <c r="G670" i="1"/>
  <c r="F670" i="1"/>
  <c r="E670" i="1"/>
  <c r="D670" i="1"/>
  <c r="C670" i="1"/>
  <c r="M669" i="1"/>
  <c r="L669" i="1"/>
  <c r="K669" i="1"/>
  <c r="J669" i="1"/>
  <c r="I669" i="1"/>
  <c r="G669" i="1"/>
  <c r="H669" i="1" s="1"/>
  <c r="F669" i="1"/>
  <c r="E669" i="1"/>
  <c r="D669" i="1"/>
  <c r="C669" i="1"/>
  <c r="M668" i="1"/>
  <c r="L668" i="1"/>
  <c r="K668" i="1"/>
  <c r="J668" i="1"/>
  <c r="I668" i="1"/>
  <c r="H668" i="1"/>
  <c r="G668" i="1"/>
  <c r="F668" i="1"/>
  <c r="E668" i="1"/>
  <c r="D668" i="1"/>
  <c r="C668" i="1"/>
  <c r="M667" i="1"/>
  <c r="L667" i="1"/>
  <c r="K667" i="1"/>
  <c r="J667" i="1"/>
  <c r="I667" i="1"/>
  <c r="G667" i="1"/>
  <c r="F667" i="1"/>
  <c r="E667" i="1"/>
  <c r="D667" i="1"/>
  <c r="C667" i="1"/>
  <c r="H667" i="1" s="1"/>
  <c r="M666" i="1"/>
  <c r="L666" i="1"/>
  <c r="K666" i="1"/>
  <c r="J666" i="1"/>
  <c r="I666" i="1"/>
  <c r="G666" i="1"/>
  <c r="F666" i="1"/>
  <c r="E666" i="1"/>
  <c r="D666" i="1"/>
  <c r="C666" i="1"/>
  <c r="H666" i="1" s="1"/>
  <c r="M665" i="1"/>
  <c r="L665" i="1"/>
  <c r="K665" i="1"/>
  <c r="J665" i="1"/>
  <c r="I665" i="1"/>
  <c r="H665" i="1"/>
  <c r="G665" i="1"/>
  <c r="F665" i="1"/>
  <c r="E665" i="1"/>
  <c r="D665" i="1"/>
  <c r="C665" i="1"/>
  <c r="M664" i="1"/>
  <c r="L664" i="1"/>
  <c r="K664" i="1"/>
  <c r="J664" i="1"/>
  <c r="I664" i="1"/>
  <c r="G664" i="1"/>
  <c r="F664" i="1"/>
  <c r="E664" i="1"/>
  <c r="D664" i="1"/>
  <c r="C664" i="1"/>
  <c r="H664" i="1" s="1"/>
  <c r="M663" i="1"/>
  <c r="L663" i="1"/>
  <c r="K663" i="1"/>
  <c r="J663" i="1"/>
  <c r="I663" i="1"/>
  <c r="G663" i="1"/>
  <c r="H663" i="1" s="1"/>
  <c r="F663" i="1"/>
  <c r="E663" i="1"/>
  <c r="D663" i="1"/>
  <c r="C663" i="1"/>
  <c r="M662" i="1"/>
  <c r="L662" i="1"/>
  <c r="K662" i="1"/>
  <c r="J662" i="1"/>
  <c r="I662" i="1"/>
  <c r="H662" i="1"/>
  <c r="G662" i="1"/>
  <c r="F662" i="1"/>
  <c r="E662" i="1"/>
  <c r="D662" i="1"/>
  <c r="C662" i="1"/>
  <c r="M661" i="1"/>
  <c r="L661" i="1"/>
  <c r="K661" i="1"/>
  <c r="J661" i="1"/>
  <c r="I661" i="1"/>
  <c r="G661" i="1"/>
  <c r="F661" i="1"/>
  <c r="E661" i="1"/>
  <c r="D661" i="1"/>
  <c r="C661" i="1"/>
  <c r="H661" i="1" s="1"/>
  <c r="M660" i="1"/>
  <c r="L660" i="1"/>
  <c r="K660" i="1"/>
  <c r="J660" i="1"/>
  <c r="I660" i="1"/>
  <c r="G660" i="1"/>
  <c r="H660" i="1" s="1"/>
  <c r="F660" i="1"/>
  <c r="E660" i="1"/>
  <c r="D660" i="1"/>
  <c r="C660" i="1"/>
  <c r="M659" i="1"/>
  <c r="L659" i="1"/>
  <c r="K659" i="1"/>
  <c r="J659" i="1"/>
  <c r="I659" i="1"/>
  <c r="H659" i="1"/>
  <c r="G659" i="1"/>
  <c r="F659" i="1"/>
  <c r="E659" i="1"/>
  <c r="D659" i="1"/>
  <c r="C659" i="1"/>
  <c r="M658" i="1"/>
  <c r="L658" i="1"/>
  <c r="K658" i="1"/>
  <c r="J658" i="1"/>
  <c r="I658" i="1"/>
  <c r="G658" i="1"/>
  <c r="F658" i="1"/>
  <c r="E658" i="1"/>
  <c r="D658" i="1"/>
  <c r="C658" i="1"/>
  <c r="H658" i="1" s="1"/>
  <c r="M657" i="1"/>
  <c r="L657" i="1"/>
  <c r="K657" i="1"/>
  <c r="J657" i="1"/>
  <c r="I657" i="1"/>
  <c r="G657" i="1"/>
  <c r="H657" i="1" s="1"/>
  <c r="F657" i="1"/>
  <c r="E657" i="1"/>
  <c r="D657" i="1"/>
  <c r="C657" i="1"/>
  <c r="M656" i="1"/>
  <c r="L656" i="1"/>
  <c r="K656" i="1"/>
  <c r="J656" i="1"/>
  <c r="I656" i="1"/>
  <c r="G656" i="1"/>
  <c r="F656" i="1"/>
  <c r="E656" i="1"/>
  <c r="D656" i="1"/>
  <c r="C656" i="1"/>
  <c r="H656" i="1" s="1"/>
  <c r="M655" i="1"/>
  <c r="L655" i="1"/>
  <c r="K655" i="1"/>
  <c r="J655" i="1"/>
  <c r="I655" i="1"/>
  <c r="G655" i="1"/>
  <c r="H655" i="1" s="1"/>
  <c r="F655" i="1"/>
  <c r="E655" i="1"/>
  <c r="D655" i="1"/>
  <c r="C655" i="1"/>
  <c r="M654" i="1"/>
  <c r="L654" i="1"/>
  <c r="K654" i="1"/>
  <c r="J654" i="1"/>
  <c r="I654" i="1"/>
  <c r="G654" i="1"/>
  <c r="H654" i="1" s="1"/>
  <c r="F654" i="1"/>
  <c r="E654" i="1"/>
  <c r="D654" i="1"/>
  <c r="C654" i="1"/>
  <c r="M653" i="1"/>
  <c r="L653" i="1"/>
  <c r="K653" i="1"/>
  <c r="J653" i="1"/>
  <c r="I653" i="1"/>
  <c r="G653" i="1"/>
  <c r="H653" i="1" s="1"/>
  <c r="F653" i="1"/>
  <c r="E653" i="1"/>
  <c r="D653" i="1"/>
  <c r="C653" i="1"/>
  <c r="M652" i="1"/>
  <c r="L652" i="1"/>
  <c r="K652" i="1"/>
  <c r="J652" i="1"/>
  <c r="I652" i="1"/>
  <c r="H652" i="1"/>
  <c r="G652" i="1"/>
  <c r="F652" i="1"/>
  <c r="E652" i="1"/>
  <c r="D652" i="1"/>
  <c r="C652" i="1"/>
  <c r="M651" i="1"/>
  <c r="L651" i="1"/>
  <c r="K651" i="1"/>
  <c r="J651" i="1"/>
  <c r="I651" i="1"/>
  <c r="G651" i="1"/>
  <c r="H651" i="1" s="1"/>
  <c r="F651" i="1"/>
  <c r="E651" i="1"/>
  <c r="D651" i="1"/>
  <c r="C651" i="1"/>
  <c r="M650" i="1"/>
  <c r="L650" i="1"/>
  <c r="K650" i="1"/>
  <c r="J650" i="1"/>
  <c r="I650" i="1"/>
  <c r="G650" i="1"/>
  <c r="F650" i="1"/>
  <c r="E650" i="1"/>
  <c r="D650" i="1"/>
  <c r="C650" i="1"/>
  <c r="H650" i="1" s="1"/>
  <c r="M649" i="1"/>
  <c r="L649" i="1"/>
  <c r="K649" i="1"/>
  <c r="J649" i="1"/>
  <c r="I649" i="1"/>
  <c r="H649" i="1"/>
  <c r="G649" i="1"/>
  <c r="F649" i="1"/>
  <c r="E649" i="1"/>
  <c r="D649" i="1"/>
  <c r="C649" i="1"/>
  <c r="M648" i="1"/>
  <c r="L648" i="1"/>
  <c r="K648" i="1"/>
  <c r="J648" i="1"/>
  <c r="I648" i="1"/>
  <c r="G648" i="1"/>
  <c r="H648" i="1" s="1"/>
  <c r="F648" i="1"/>
  <c r="E648" i="1"/>
  <c r="D648" i="1"/>
  <c r="C648" i="1"/>
  <c r="M647" i="1"/>
  <c r="L647" i="1"/>
  <c r="K647" i="1"/>
  <c r="J647" i="1"/>
  <c r="I647" i="1"/>
  <c r="G647" i="1"/>
  <c r="H647" i="1" s="1"/>
  <c r="F647" i="1"/>
  <c r="E647" i="1"/>
  <c r="D647" i="1"/>
  <c r="C647" i="1"/>
  <c r="M646" i="1"/>
  <c r="L646" i="1"/>
  <c r="K646" i="1"/>
  <c r="J646" i="1"/>
  <c r="I646" i="1"/>
  <c r="H646" i="1"/>
  <c r="G646" i="1"/>
  <c r="F646" i="1"/>
  <c r="E646" i="1"/>
  <c r="D646" i="1"/>
  <c r="C646" i="1"/>
  <c r="M645" i="1"/>
  <c r="L645" i="1"/>
  <c r="K645" i="1"/>
  <c r="J645" i="1"/>
  <c r="I645" i="1"/>
  <c r="G645" i="1"/>
  <c r="H645" i="1" s="1"/>
  <c r="F645" i="1"/>
  <c r="E645" i="1"/>
  <c r="D645" i="1"/>
  <c r="C645" i="1"/>
  <c r="M644" i="1"/>
  <c r="L644" i="1"/>
  <c r="K644" i="1"/>
  <c r="J644" i="1"/>
  <c r="I644" i="1"/>
  <c r="G644" i="1"/>
  <c r="H644" i="1" s="1"/>
  <c r="F644" i="1"/>
  <c r="E644" i="1"/>
  <c r="D644" i="1"/>
  <c r="C644" i="1"/>
  <c r="M643" i="1"/>
  <c r="L643" i="1"/>
  <c r="K643" i="1"/>
  <c r="J643" i="1"/>
  <c r="I643" i="1"/>
  <c r="H643" i="1"/>
  <c r="G643" i="1"/>
  <c r="F643" i="1"/>
  <c r="E643" i="1"/>
  <c r="D643" i="1"/>
  <c r="C643" i="1"/>
  <c r="M642" i="1"/>
  <c r="L642" i="1"/>
  <c r="K642" i="1"/>
  <c r="J642" i="1"/>
  <c r="I642" i="1"/>
  <c r="G642" i="1"/>
  <c r="H642" i="1" s="1"/>
  <c r="F642" i="1"/>
  <c r="E642" i="1"/>
  <c r="D642" i="1"/>
  <c r="C642" i="1"/>
  <c r="M641" i="1"/>
  <c r="L641" i="1"/>
  <c r="K641" i="1"/>
  <c r="J641" i="1"/>
  <c r="I641" i="1"/>
  <c r="G641" i="1"/>
  <c r="H641" i="1" s="1"/>
  <c r="F641" i="1"/>
  <c r="E641" i="1"/>
  <c r="D641" i="1"/>
  <c r="C641" i="1"/>
  <c r="M640" i="1"/>
  <c r="L640" i="1"/>
  <c r="K640" i="1"/>
  <c r="J640" i="1"/>
  <c r="I640" i="1"/>
  <c r="G640" i="1"/>
  <c r="F640" i="1"/>
  <c r="E640" i="1"/>
  <c r="D640" i="1"/>
  <c r="C640" i="1"/>
  <c r="H640" i="1" s="1"/>
  <c r="M639" i="1"/>
  <c r="L639" i="1"/>
  <c r="K639" i="1"/>
  <c r="J639" i="1"/>
  <c r="I639" i="1"/>
  <c r="G639" i="1"/>
  <c r="H639" i="1" s="1"/>
  <c r="F639" i="1"/>
  <c r="E639" i="1"/>
  <c r="D639" i="1"/>
  <c r="C639" i="1"/>
  <c r="M638" i="1"/>
  <c r="L638" i="1"/>
  <c r="K638" i="1"/>
  <c r="J638" i="1"/>
  <c r="I638" i="1"/>
  <c r="G638" i="1"/>
  <c r="H638" i="1" s="1"/>
  <c r="F638" i="1"/>
  <c r="E638" i="1"/>
  <c r="D638" i="1"/>
  <c r="C638" i="1"/>
  <c r="M637" i="1"/>
  <c r="L637" i="1"/>
  <c r="K637" i="1"/>
  <c r="J637" i="1"/>
  <c r="I637" i="1"/>
  <c r="G637" i="1"/>
  <c r="H637" i="1" s="1"/>
  <c r="F637" i="1"/>
  <c r="E637" i="1"/>
  <c r="D637" i="1"/>
  <c r="C637" i="1"/>
  <c r="M636" i="1"/>
  <c r="L636" i="1"/>
  <c r="K636" i="1"/>
  <c r="J636" i="1"/>
  <c r="I636" i="1"/>
  <c r="G636" i="1"/>
  <c r="H636" i="1" s="1"/>
  <c r="F636" i="1"/>
  <c r="E636" i="1"/>
  <c r="D636" i="1"/>
  <c r="C636" i="1"/>
  <c r="M635" i="1"/>
  <c r="L635" i="1"/>
  <c r="K635" i="1"/>
  <c r="J635" i="1"/>
  <c r="I635" i="1"/>
  <c r="G635" i="1"/>
  <c r="H635" i="1" s="1"/>
  <c r="F635" i="1"/>
  <c r="E635" i="1"/>
  <c r="D635" i="1"/>
  <c r="C635" i="1"/>
  <c r="M634" i="1"/>
  <c r="L634" i="1"/>
  <c r="K634" i="1"/>
  <c r="J634" i="1"/>
  <c r="I634" i="1"/>
  <c r="G634" i="1"/>
  <c r="F634" i="1"/>
  <c r="E634" i="1"/>
  <c r="D634" i="1"/>
  <c r="C634" i="1"/>
  <c r="H634" i="1" s="1"/>
  <c r="M633" i="1"/>
  <c r="L633" i="1"/>
  <c r="K633" i="1"/>
  <c r="J633" i="1"/>
  <c r="I633" i="1"/>
  <c r="G633" i="1"/>
  <c r="H633" i="1" s="1"/>
  <c r="F633" i="1"/>
  <c r="E633" i="1"/>
  <c r="D633" i="1"/>
  <c r="C633" i="1"/>
  <c r="M632" i="1"/>
  <c r="L632" i="1"/>
  <c r="K632" i="1"/>
  <c r="J632" i="1"/>
  <c r="I632" i="1"/>
  <c r="G632" i="1"/>
  <c r="H632" i="1" s="1"/>
  <c r="F632" i="1"/>
  <c r="E632" i="1"/>
  <c r="D632" i="1"/>
  <c r="C632" i="1"/>
  <c r="M631" i="1"/>
  <c r="L631" i="1"/>
  <c r="K631" i="1"/>
  <c r="J631" i="1"/>
  <c r="I631" i="1"/>
  <c r="G631" i="1"/>
  <c r="H631" i="1" s="1"/>
  <c r="F631" i="1"/>
  <c r="E631" i="1"/>
  <c r="D631" i="1"/>
  <c r="C631" i="1"/>
  <c r="M630" i="1"/>
  <c r="L630" i="1"/>
  <c r="K630" i="1"/>
  <c r="J630" i="1"/>
  <c r="I630" i="1"/>
  <c r="G630" i="1"/>
  <c r="H630" i="1" s="1"/>
  <c r="F630" i="1"/>
  <c r="E630" i="1"/>
  <c r="D630" i="1"/>
  <c r="C630" i="1"/>
  <c r="M629" i="1"/>
  <c r="L629" i="1"/>
  <c r="K629" i="1"/>
  <c r="J629" i="1"/>
  <c r="I629" i="1"/>
  <c r="G629" i="1"/>
  <c r="H629" i="1" s="1"/>
  <c r="F629" i="1"/>
  <c r="E629" i="1"/>
  <c r="D629" i="1"/>
  <c r="C629" i="1"/>
  <c r="M628" i="1"/>
  <c r="L628" i="1"/>
  <c r="K628" i="1"/>
  <c r="J628" i="1"/>
  <c r="I628" i="1"/>
  <c r="G628" i="1"/>
  <c r="H628" i="1" s="1"/>
  <c r="F628" i="1"/>
  <c r="E628" i="1"/>
  <c r="D628" i="1"/>
  <c r="C628" i="1"/>
  <c r="M627" i="1"/>
  <c r="L627" i="1"/>
  <c r="K627" i="1"/>
  <c r="J627" i="1"/>
  <c r="I627" i="1"/>
  <c r="H627" i="1"/>
  <c r="G627" i="1"/>
  <c r="F627" i="1"/>
  <c r="E627" i="1"/>
  <c r="D627" i="1"/>
  <c r="C627" i="1"/>
  <c r="M626" i="1"/>
  <c r="L626" i="1"/>
  <c r="K626" i="1"/>
  <c r="J626" i="1"/>
  <c r="I626" i="1"/>
  <c r="G626" i="1"/>
  <c r="H626" i="1" s="1"/>
  <c r="F626" i="1"/>
  <c r="E626" i="1"/>
  <c r="D626" i="1"/>
  <c r="C626" i="1"/>
  <c r="M625" i="1"/>
  <c r="L625" i="1"/>
  <c r="K625" i="1"/>
  <c r="J625" i="1"/>
  <c r="I625" i="1"/>
  <c r="G625" i="1"/>
  <c r="H625" i="1" s="1"/>
  <c r="F625" i="1"/>
  <c r="E625" i="1"/>
  <c r="D625" i="1"/>
  <c r="C625" i="1"/>
  <c r="M624" i="1"/>
  <c r="L624" i="1"/>
  <c r="K624" i="1"/>
  <c r="J624" i="1"/>
  <c r="I624" i="1"/>
  <c r="G624" i="1"/>
  <c r="F624" i="1"/>
  <c r="E624" i="1"/>
  <c r="D624" i="1"/>
  <c r="C624" i="1"/>
  <c r="H624" i="1" s="1"/>
  <c r="M623" i="1"/>
  <c r="L623" i="1"/>
  <c r="K623" i="1"/>
  <c r="J623" i="1"/>
  <c r="I623" i="1"/>
  <c r="H623" i="1"/>
  <c r="G623" i="1"/>
  <c r="F623" i="1"/>
  <c r="E623" i="1"/>
  <c r="D623" i="1"/>
  <c r="C623" i="1"/>
  <c r="M622" i="1"/>
  <c r="L622" i="1"/>
  <c r="K622" i="1"/>
  <c r="J622" i="1"/>
  <c r="I622" i="1"/>
  <c r="G622" i="1"/>
  <c r="H622" i="1" s="1"/>
  <c r="F622" i="1"/>
  <c r="E622" i="1"/>
  <c r="D622" i="1"/>
  <c r="C622" i="1"/>
  <c r="M621" i="1"/>
  <c r="L621" i="1"/>
  <c r="K621" i="1"/>
  <c r="J621" i="1"/>
  <c r="I621" i="1"/>
  <c r="G621" i="1"/>
  <c r="H621" i="1" s="1"/>
  <c r="F621" i="1"/>
  <c r="E621" i="1"/>
  <c r="D621" i="1"/>
  <c r="C621" i="1"/>
  <c r="M620" i="1"/>
  <c r="L620" i="1"/>
  <c r="K620" i="1"/>
  <c r="J620" i="1"/>
  <c r="I620" i="1"/>
  <c r="H620" i="1"/>
  <c r="G620" i="1"/>
  <c r="F620" i="1"/>
  <c r="E620" i="1"/>
  <c r="D620" i="1"/>
  <c r="C620" i="1"/>
  <c r="M619" i="1"/>
  <c r="L619" i="1"/>
  <c r="K619" i="1"/>
  <c r="J619" i="1"/>
  <c r="I619" i="1"/>
  <c r="H619" i="1"/>
  <c r="G619" i="1"/>
  <c r="F619" i="1"/>
  <c r="E619" i="1"/>
  <c r="D619" i="1"/>
  <c r="C619" i="1"/>
  <c r="M618" i="1"/>
  <c r="L618" i="1"/>
  <c r="K618" i="1"/>
  <c r="J618" i="1"/>
  <c r="I618" i="1"/>
  <c r="G618" i="1"/>
  <c r="F618" i="1"/>
  <c r="E618" i="1"/>
  <c r="D618" i="1"/>
  <c r="C618" i="1"/>
  <c r="H618" i="1" s="1"/>
  <c r="M617" i="1"/>
  <c r="L617" i="1"/>
  <c r="K617" i="1"/>
  <c r="J617" i="1"/>
  <c r="I617" i="1"/>
  <c r="H617" i="1"/>
  <c r="G617" i="1"/>
  <c r="F617" i="1"/>
  <c r="E617" i="1"/>
  <c r="D617" i="1"/>
  <c r="C617" i="1"/>
  <c r="M616" i="1"/>
  <c r="L616" i="1"/>
  <c r="K616" i="1"/>
  <c r="J616" i="1"/>
  <c r="I616" i="1"/>
  <c r="H616" i="1"/>
  <c r="G616" i="1"/>
  <c r="F616" i="1"/>
  <c r="E616" i="1"/>
  <c r="D616" i="1"/>
  <c r="C616" i="1"/>
  <c r="M615" i="1"/>
  <c r="L615" i="1"/>
  <c r="K615" i="1"/>
  <c r="J615" i="1"/>
  <c r="I615" i="1"/>
  <c r="G615" i="1"/>
  <c r="F615" i="1"/>
  <c r="E615" i="1"/>
  <c r="D615" i="1"/>
  <c r="C615" i="1"/>
  <c r="M614" i="1"/>
  <c r="L614" i="1"/>
  <c r="K614" i="1"/>
  <c r="J614" i="1"/>
  <c r="I614" i="1"/>
  <c r="H614" i="1"/>
  <c r="G614" i="1"/>
  <c r="F614" i="1"/>
  <c r="E614" i="1"/>
  <c r="D614" i="1"/>
  <c r="C614" i="1"/>
  <c r="M613" i="1"/>
  <c r="L613" i="1"/>
  <c r="K613" i="1"/>
  <c r="J613" i="1"/>
  <c r="I613" i="1"/>
  <c r="H613" i="1"/>
  <c r="G613" i="1"/>
  <c r="F613" i="1"/>
  <c r="E613" i="1"/>
  <c r="D613" i="1"/>
  <c r="C613" i="1"/>
  <c r="M612" i="1"/>
  <c r="L612" i="1"/>
  <c r="K612" i="1"/>
  <c r="J612" i="1"/>
  <c r="I612" i="1"/>
  <c r="G612" i="1"/>
  <c r="F612" i="1"/>
  <c r="E612" i="1"/>
  <c r="D612" i="1"/>
  <c r="C612" i="1"/>
  <c r="M611" i="1"/>
  <c r="L611" i="1"/>
  <c r="K611" i="1"/>
  <c r="J611" i="1"/>
  <c r="I611" i="1"/>
  <c r="H611" i="1"/>
  <c r="G611" i="1"/>
  <c r="F611" i="1"/>
  <c r="E611" i="1"/>
  <c r="D611" i="1"/>
  <c r="C611" i="1"/>
  <c r="M610" i="1"/>
  <c r="L610" i="1"/>
  <c r="K610" i="1"/>
  <c r="J610" i="1"/>
  <c r="I610" i="1"/>
  <c r="H610" i="1"/>
  <c r="G610" i="1"/>
  <c r="F610" i="1"/>
  <c r="E610" i="1"/>
  <c r="D610" i="1"/>
  <c r="C610" i="1"/>
  <c r="M609" i="1"/>
  <c r="L609" i="1"/>
  <c r="K609" i="1"/>
  <c r="J609" i="1"/>
  <c r="I609" i="1"/>
  <c r="G609" i="1"/>
  <c r="F609" i="1"/>
  <c r="E609" i="1"/>
  <c r="D609" i="1"/>
  <c r="C609" i="1"/>
  <c r="M608" i="1"/>
  <c r="L608" i="1"/>
  <c r="K608" i="1"/>
  <c r="J608" i="1"/>
  <c r="I608" i="1"/>
  <c r="G608" i="1"/>
  <c r="F608" i="1"/>
  <c r="E608" i="1"/>
  <c r="D608" i="1"/>
  <c r="C608" i="1"/>
  <c r="H608" i="1" s="1"/>
  <c r="M607" i="1"/>
  <c r="L607" i="1"/>
  <c r="K607" i="1"/>
  <c r="J607" i="1"/>
  <c r="I607" i="1"/>
  <c r="G607" i="1"/>
  <c r="H607" i="1" s="1"/>
  <c r="F607" i="1"/>
  <c r="E607" i="1"/>
  <c r="D607" i="1"/>
  <c r="C607" i="1"/>
  <c r="M606" i="1"/>
  <c r="L606" i="1"/>
  <c r="K606" i="1"/>
  <c r="J606" i="1"/>
  <c r="I606" i="1"/>
  <c r="G606" i="1"/>
  <c r="H606" i="1" s="1"/>
  <c r="F606" i="1"/>
  <c r="E606" i="1"/>
  <c r="D606" i="1"/>
  <c r="C606" i="1"/>
  <c r="M605" i="1"/>
  <c r="L605" i="1"/>
  <c r="K605" i="1"/>
  <c r="J605" i="1"/>
  <c r="I605" i="1"/>
  <c r="G605" i="1"/>
  <c r="H605" i="1" s="1"/>
  <c r="F605" i="1"/>
  <c r="E605" i="1"/>
  <c r="D605" i="1"/>
  <c r="C605" i="1"/>
  <c r="M604" i="1"/>
  <c r="L604" i="1"/>
  <c r="K604" i="1"/>
  <c r="J604" i="1"/>
  <c r="I604" i="1"/>
  <c r="G604" i="1"/>
  <c r="H604" i="1" s="1"/>
  <c r="F604" i="1"/>
  <c r="E604" i="1"/>
  <c r="D604" i="1"/>
  <c r="C604" i="1"/>
  <c r="M603" i="1"/>
  <c r="L603" i="1"/>
  <c r="K603" i="1"/>
  <c r="J603" i="1"/>
  <c r="I603" i="1"/>
  <c r="G603" i="1"/>
  <c r="H603" i="1" s="1"/>
  <c r="F603" i="1"/>
  <c r="E603" i="1"/>
  <c r="D603" i="1"/>
  <c r="C603" i="1"/>
  <c r="M602" i="1"/>
  <c r="L602" i="1"/>
  <c r="K602" i="1"/>
  <c r="J602" i="1"/>
  <c r="I602" i="1"/>
  <c r="G602" i="1"/>
  <c r="F602" i="1"/>
  <c r="E602" i="1"/>
  <c r="D602" i="1"/>
  <c r="C602" i="1"/>
  <c r="H602" i="1" s="1"/>
  <c r="M601" i="1"/>
  <c r="L601" i="1"/>
  <c r="K601" i="1"/>
  <c r="J601" i="1"/>
  <c r="I601" i="1"/>
  <c r="G601" i="1"/>
  <c r="H601" i="1" s="1"/>
  <c r="F601" i="1"/>
  <c r="E601" i="1"/>
  <c r="D601" i="1"/>
  <c r="C601" i="1"/>
  <c r="M600" i="1"/>
  <c r="L600" i="1"/>
  <c r="K600" i="1"/>
  <c r="J600" i="1"/>
  <c r="I600" i="1"/>
  <c r="G600" i="1"/>
  <c r="H600" i="1" s="1"/>
  <c r="F600" i="1"/>
  <c r="E600" i="1"/>
  <c r="D600" i="1"/>
  <c r="C600" i="1"/>
  <c r="M599" i="1"/>
  <c r="L599" i="1"/>
  <c r="K599" i="1"/>
  <c r="J599" i="1"/>
  <c r="I599" i="1"/>
  <c r="G599" i="1"/>
  <c r="H599" i="1" s="1"/>
  <c r="F599" i="1"/>
  <c r="E599" i="1"/>
  <c r="D599" i="1"/>
  <c r="C599" i="1"/>
  <c r="M598" i="1"/>
  <c r="L598" i="1"/>
  <c r="K598" i="1"/>
  <c r="J598" i="1"/>
  <c r="I598" i="1"/>
  <c r="G598" i="1"/>
  <c r="H598" i="1" s="1"/>
  <c r="F598" i="1"/>
  <c r="E598" i="1"/>
  <c r="D598" i="1"/>
  <c r="C598" i="1"/>
  <c r="M597" i="1"/>
  <c r="L597" i="1"/>
  <c r="K597" i="1"/>
  <c r="J597" i="1"/>
  <c r="I597" i="1"/>
  <c r="G597" i="1"/>
  <c r="H597" i="1" s="1"/>
  <c r="F597" i="1"/>
  <c r="E597" i="1"/>
  <c r="D597" i="1"/>
  <c r="C597" i="1"/>
  <c r="M596" i="1"/>
  <c r="L596" i="1"/>
  <c r="K596" i="1"/>
  <c r="J596" i="1"/>
  <c r="I596" i="1"/>
  <c r="G596" i="1"/>
  <c r="H596" i="1" s="1"/>
  <c r="F596" i="1"/>
  <c r="E596" i="1"/>
  <c r="D596" i="1"/>
  <c r="C596" i="1"/>
  <c r="M595" i="1"/>
  <c r="L595" i="1"/>
  <c r="K595" i="1"/>
  <c r="J595" i="1"/>
  <c r="I595" i="1"/>
  <c r="H595" i="1"/>
  <c r="G595" i="1"/>
  <c r="F595" i="1"/>
  <c r="E595" i="1"/>
  <c r="D595" i="1"/>
  <c r="C595" i="1"/>
  <c r="M594" i="1"/>
  <c r="L594" i="1"/>
  <c r="K594" i="1"/>
  <c r="J594" i="1"/>
  <c r="I594" i="1"/>
  <c r="G594" i="1"/>
  <c r="H594" i="1" s="1"/>
  <c r="F594" i="1"/>
  <c r="E594" i="1"/>
  <c r="D594" i="1"/>
  <c r="C594" i="1"/>
  <c r="M593" i="1"/>
  <c r="L593" i="1"/>
  <c r="K593" i="1"/>
  <c r="J593" i="1"/>
  <c r="I593" i="1"/>
  <c r="G593" i="1"/>
  <c r="H593" i="1" s="1"/>
  <c r="F593" i="1"/>
  <c r="E593" i="1"/>
  <c r="D593" i="1"/>
  <c r="C593" i="1"/>
  <c r="M592" i="1"/>
  <c r="L592" i="1"/>
  <c r="K592" i="1"/>
  <c r="J592" i="1"/>
  <c r="I592" i="1"/>
  <c r="G592" i="1"/>
  <c r="F592" i="1"/>
  <c r="E592" i="1"/>
  <c r="D592" i="1"/>
  <c r="C592" i="1"/>
  <c r="H592" i="1" s="1"/>
  <c r="M591" i="1"/>
  <c r="L591" i="1"/>
  <c r="K591" i="1"/>
  <c r="J591" i="1"/>
  <c r="I591" i="1"/>
  <c r="G591" i="1"/>
  <c r="H591" i="1" s="1"/>
  <c r="F591" i="1"/>
  <c r="E591" i="1"/>
  <c r="D591" i="1"/>
  <c r="C591" i="1"/>
  <c r="M590" i="1"/>
  <c r="L590" i="1"/>
  <c r="K590" i="1"/>
  <c r="J590" i="1"/>
  <c r="I590" i="1"/>
  <c r="G590" i="1"/>
  <c r="H590" i="1" s="1"/>
  <c r="F590" i="1"/>
  <c r="E590" i="1"/>
  <c r="D590" i="1"/>
  <c r="C590" i="1"/>
  <c r="M589" i="1"/>
  <c r="L589" i="1"/>
  <c r="K589" i="1"/>
  <c r="J589" i="1"/>
  <c r="I589" i="1"/>
  <c r="G589" i="1"/>
  <c r="H589" i="1" s="1"/>
  <c r="F589" i="1"/>
  <c r="E589" i="1"/>
  <c r="D589" i="1"/>
  <c r="C589" i="1"/>
  <c r="M588" i="1"/>
  <c r="L588" i="1"/>
  <c r="K588" i="1"/>
  <c r="J588" i="1"/>
  <c r="I588" i="1"/>
  <c r="G588" i="1"/>
  <c r="H588" i="1" s="1"/>
  <c r="F588" i="1"/>
  <c r="E588" i="1"/>
  <c r="D588" i="1"/>
  <c r="C588" i="1"/>
  <c r="M587" i="1"/>
  <c r="L587" i="1"/>
  <c r="K587" i="1"/>
  <c r="J587" i="1"/>
  <c r="I587" i="1"/>
  <c r="H587" i="1"/>
  <c r="G587" i="1"/>
  <c r="F587" i="1"/>
  <c r="E587" i="1"/>
  <c r="D587" i="1"/>
  <c r="C587" i="1"/>
  <c r="M586" i="1"/>
  <c r="L586" i="1"/>
  <c r="K586" i="1"/>
  <c r="J586" i="1"/>
  <c r="I586" i="1"/>
  <c r="G586" i="1"/>
  <c r="F586" i="1"/>
  <c r="E586" i="1"/>
  <c r="D586" i="1"/>
  <c r="C586" i="1"/>
  <c r="H586" i="1" s="1"/>
  <c r="M585" i="1"/>
  <c r="L585" i="1"/>
  <c r="K585" i="1"/>
  <c r="J585" i="1"/>
  <c r="I585" i="1"/>
  <c r="G585" i="1"/>
  <c r="H585" i="1" s="1"/>
  <c r="F585" i="1"/>
  <c r="E585" i="1"/>
  <c r="D585" i="1"/>
  <c r="C585" i="1"/>
  <c r="M584" i="1"/>
  <c r="L584" i="1"/>
  <c r="K584" i="1"/>
  <c r="J584" i="1"/>
  <c r="I584" i="1"/>
  <c r="H584" i="1"/>
  <c r="G584" i="1"/>
  <c r="F584" i="1"/>
  <c r="E584" i="1"/>
  <c r="D584" i="1"/>
  <c r="C584" i="1"/>
  <c r="M583" i="1"/>
  <c r="L583" i="1"/>
  <c r="K583" i="1"/>
  <c r="J583" i="1"/>
  <c r="I583" i="1"/>
  <c r="G583" i="1"/>
  <c r="F583" i="1"/>
  <c r="E583" i="1"/>
  <c r="D583" i="1"/>
  <c r="C583" i="1"/>
  <c r="M582" i="1"/>
  <c r="L582" i="1"/>
  <c r="K582" i="1"/>
  <c r="J582" i="1"/>
  <c r="I582" i="1"/>
  <c r="G582" i="1"/>
  <c r="H582" i="1" s="1"/>
  <c r="F582" i="1"/>
  <c r="E582" i="1"/>
  <c r="D582" i="1"/>
  <c r="C582" i="1"/>
  <c r="M581" i="1"/>
  <c r="L581" i="1"/>
  <c r="K581" i="1"/>
  <c r="J581" i="1"/>
  <c r="I581" i="1"/>
  <c r="H581" i="1"/>
  <c r="G581" i="1"/>
  <c r="F581" i="1"/>
  <c r="E581" i="1"/>
  <c r="D581" i="1"/>
  <c r="C581" i="1"/>
  <c r="M580" i="1"/>
  <c r="L580" i="1"/>
  <c r="K580" i="1"/>
  <c r="J580" i="1"/>
  <c r="I580" i="1"/>
  <c r="G580" i="1"/>
  <c r="F580" i="1"/>
  <c r="E580" i="1"/>
  <c r="D580" i="1"/>
  <c r="C580" i="1"/>
  <c r="M579" i="1"/>
  <c r="L579" i="1"/>
  <c r="K579" i="1"/>
  <c r="J579" i="1"/>
  <c r="I579" i="1"/>
  <c r="H579" i="1"/>
  <c r="G579" i="1"/>
  <c r="F579" i="1"/>
  <c r="E579" i="1"/>
  <c r="D579" i="1"/>
  <c r="C579" i="1"/>
  <c r="M578" i="1"/>
  <c r="L578" i="1"/>
  <c r="K578" i="1"/>
  <c r="J578" i="1"/>
  <c r="I578" i="1"/>
  <c r="H578" i="1"/>
  <c r="G578" i="1"/>
  <c r="F578" i="1"/>
  <c r="E578" i="1"/>
  <c r="D578" i="1"/>
  <c r="C578" i="1"/>
  <c r="M577" i="1"/>
  <c r="L577" i="1"/>
  <c r="K577" i="1"/>
  <c r="J577" i="1"/>
  <c r="I577" i="1"/>
  <c r="G577" i="1"/>
  <c r="F577" i="1"/>
  <c r="E577" i="1"/>
  <c r="D577" i="1"/>
  <c r="C577" i="1"/>
  <c r="M576" i="1"/>
  <c r="L576" i="1"/>
  <c r="K576" i="1"/>
  <c r="J576" i="1"/>
  <c r="I576" i="1"/>
  <c r="G576" i="1"/>
  <c r="F576" i="1"/>
  <c r="E576" i="1"/>
  <c r="D576" i="1"/>
  <c r="C576" i="1"/>
  <c r="H576" i="1" s="1"/>
  <c r="M575" i="1"/>
  <c r="L575" i="1"/>
  <c r="K575" i="1"/>
  <c r="J575" i="1"/>
  <c r="I575" i="1"/>
  <c r="H575" i="1"/>
  <c r="G575" i="1"/>
  <c r="F575" i="1"/>
  <c r="E575" i="1"/>
  <c r="D575" i="1"/>
  <c r="C575" i="1"/>
  <c r="M574" i="1"/>
  <c r="L574" i="1"/>
  <c r="K574" i="1"/>
  <c r="J574" i="1"/>
  <c r="I574" i="1"/>
  <c r="G574" i="1"/>
  <c r="F574" i="1"/>
  <c r="E574" i="1"/>
  <c r="D574" i="1"/>
  <c r="C574" i="1"/>
  <c r="M573" i="1"/>
  <c r="L573" i="1"/>
  <c r="K573" i="1"/>
  <c r="J573" i="1"/>
  <c r="I573" i="1"/>
  <c r="G573" i="1"/>
  <c r="H573" i="1" s="1"/>
  <c r="F573" i="1"/>
  <c r="E573" i="1"/>
  <c r="D573" i="1"/>
  <c r="C573" i="1"/>
  <c r="M572" i="1"/>
  <c r="L572" i="1"/>
  <c r="K572" i="1"/>
  <c r="J572" i="1"/>
  <c r="I572" i="1"/>
  <c r="H572" i="1"/>
  <c r="G572" i="1"/>
  <c r="F572" i="1"/>
  <c r="E572" i="1"/>
  <c r="D572" i="1"/>
  <c r="C572" i="1"/>
  <c r="M571" i="1"/>
  <c r="L571" i="1"/>
  <c r="K571" i="1"/>
  <c r="J571" i="1"/>
  <c r="I571" i="1"/>
  <c r="G571" i="1"/>
  <c r="F571" i="1"/>
  <c r="E571" i="1"/>
  <c r="D571" i="1"/>
  <c r="C571" i="1"/>
  <c r="H571" i="1" s="1"/>
  <c r="M570" i="1"/>
  <c r="L570" i="1"/>
  <c r="K570" i="1"/>
  <c r="J570" i="1"/>
  <c r="I570" i="1"/>
  <c r="G570" i="1"/>
  <c r="F570" i="1"/>
  <c r="E570" i="1"/>
  <c r="D570" i="1"/>
  <c r="C570" i="1"/>
  <c r="H570" i="1" s="1"/>
  <c r="M569" i="1"/>
  <c r="L569" i="1"/>
  <c r="K569" i="1"/>
  <c r="J569" i="1"/>
  <c r="I569" i="1"/>
  <c r="H569" i="1"/>
  <c r="G569" i="1"/>
  <c r="F569" i="1"/>
  <c r="E569" i="1"/>
  <c r="D569" i="1"/>
  <c r="C569" i="1"/>
  <c r="M568" i="1"/>
  <c r="L568" i="1"/>
  <c r="K568" i="1"/>
  <c r="J568" i="1"/>
  <c r="I568" i="1"/>
  <c r="G568" i="1"/>
  <c r="F568" i="1"/>
  <c r="E568" i="1"/>
  <c r="D568" i="1"/>
  <c r="C568" i="1"/>
  <c r="H568" i="1" s="1"/>
  <c r="M567" i="1"/>
  <c r="L567" i="1"/>
  <c r="K567" i="1"/>
  <c r="J567" i="1"/>
  <c r="I567" i="1"/>
  <c r="G567" i="1"/>
  <c r="F567" i="1"/>
  <c r="E567" i="1"/>
  <c r="D567" i="1"/>
  <c r="C567" i="1"/>
  <c r="M566" i="1"/>
  <c r="L566" i="1"/>
  <c r="K566" i="1"/>
  <c r="J566" i="1"/>
  <c r="I566" i="1"/>
  <c r="H566" i="1"/>
  <c r="G566" i="1"/>
  <c r="F566" i="1"/>
  <c r="E566" i="1"/>
  <c r="D566" i="1"/>
  <c r="C566" i="1"/>
  <c r="M565" i="1"/>
  <c r="L565" i="1"/>
  <c r="K565" i="1"/>
  <c r="J565" i="1"/>
  <c r="I565" i="1"/>
  <c r="G565" i="1"/>
  <c r="F565" i="1"/>
  <c r="E565" i="1"/>
  <c r="D565" i="1"/>
  <c r="C565" i="1"/>
  <c r="H565" i="1" s="1"/>
  <c r="M564" i="1"/>
  <c r="L564" i="1"/>
  <c r="K564" i="1"/>
  <c r="J564" i="1"/>
  <c r="I564" i="1"/>
  <c r="G564" i="1"/>
  <c r="F564" i="1"/>
  <c r="E564" i="1"/>
  <c r="D564" i="1"/>
  <c r="C564" i="1"/>
  <c r="H564" i="1" s="1"/>
  <c r="M563" i="1"/>
  <c r="L563" i="1"/>
  <c r="K563" i="1"/>
  <c r="J563" i="1"/>
  <c r="I563" i="1"/>
  <c r="H563" i="1"/>
  <c r="G563" i="1"/>
  <c r="F563" i="1"/>
  <c r="E563" i="1"/>
  <c r="D563" i="1"/>
  <c r="C563" i="1"/>
  <c r="M562" i="1"/>
  <c r="L562" i="1"/>
  <c r="K562" i="1"/>
  <c r="J562" i="1"/>
  <c r="I562" i="1"/>
  <c r="G562" i="1"/>
  <c r="F562" i="1"/>
  <c r="E562" i="1"/>
  <c r="D562" i="1"/>
  <c r="C562" i="1"/>
  <c r="H562" i="1" s="1"/>
  <c r="M561" i="1"/>
  <c r="L561" i="1"/>
  <c r="K561" i="1"/>
  <c r="J561" i="1"/>
  <c r="I561" i="1"/>
  <c r="G561" i="1"/>
  <c r="F561" i="1"/>
  <c r="E561" i="1"/>
  <c r="D561" i="1"/>
  <c r="C561" i="1"/>
  <c r="M560" i="1"/>
  <c r="L560" i="1"/>
  <c r="K560" i="1"/>
  <c r="J560" i="1"/>
  <c r="I560" i="1"/>
  <c r="G560" i="1"/>
  <c r="F560" i="1"/>
  <c r="E560" i="1"/>
  <c r="D560" i="1"/>
  <c r="C560" i="1"/>
  <c r="H560" i="1" s="1"/>
  <c r="M559" i="1"/>
  <c r="L559" i="1"/>
  <c r="K559" i="1"/>
  <c r="J559" i="1"/>
  <c r="I559" i="1"/>
  <c r="H559" i="1"/>
  <c r="G559" i="1"/>
  <c r="F559" i="1"/>
  <c r="E559" i="1"/>
  <c r="D559" i="1"/>
  <c r="C559" i="1"/>
  <c r="M558" i="1"/>
  <c r="L558" i="1"/>
  <c r="K558" i="1"/>
  <c r="J558" i="1"/>
  <c r="I558" i="1"/>
  <c r="G558" i="1"/>
  <c r="H558" i="1" s="1"/>
  <c r="F558" i="1"/>
  <c r="E558" i="1"/>
  <c r="D558" i="1"/>
  <c r="C558" i="1"/>
  <c r="M557" i="1"/>
  <c r="L557" i="1"/>
  <c r="K557" i="1"/>
  <c r="J557" i="1"/>
  <c r="I557" i="1"/>
  <c r="G557" i="1"/>
  <c r="H557" i="1" s="1"/>
  <c r="F557" i="1"/>
  <c r="E557" i="1"/>
  <c r="D557" i="1"/>
  <c r="C557" i="1"/>
  <c r="M556" i="1"/>
  <c r="L556" i="1"/>
  <c r="K556" i="1"/>
  <c r="J556" i="1"/>
  <c r="I556" i="1"/>
  <c r="G556" i="1"/>
  <c r="H556" i="1" s="1"/>
  <c r="F556" i="1"/>
  <c r="E556" i="1"/>
  <c r="D556" i="1"/>
  <c r="C556" i="1"/>
  <c r="M555" i="1"/>
  <c r="L555" i="1"/>
  <c r="K555" i="1"/>
  <c r="J555" i="1"/>
  <c r="I555" i="1"/>
  <c r="G555" i="1"/>
  <c r="H555" i="1" s="1"/>
  <c r="F555" i="1"/>
  <c r="E555" i="1"/>
  <c r="D555" i="1"/>
  <c r="C555" i="1"/>
  <c r="M554" i="1"/>
  <c r="L554" i="1"/>
  <c r="K554" i="1"/>
  <c r="J554" i="1"/>
  <c r="I554" i="1"/>
  <c r="G554" i="1"/>
  <c r="F554" i="1"/>
  <c r="E554" i="1"/>
  <c r="D554" i="1"/>
  <c r="C554" i="1"/>
  <c r="H554" i="1" s="1"/>
  <c r="M553" i="1"/>
  <c r="L553" i="1"/>
  <c r="K553" i="1"/>
  <c r="J553" i="1"/>
  <c r="I553" i="1"/>
  <c r="G553" i="1"/>
  <c r="H553" i="1" s="1"/>
  <c r="F553" i="1"/>
  <c r="E553" i="1"/>
  <c r="D553" i="1"/>
  <c r="C553" i="1"/>
  <c r="M552" i="1"/>
  <c r="L552" i="1"/>
  <c r="K552" i="1"/>
  <c r="J552" i="1"/>
  <c r="I552" i="1"/>
  <c r="G552" i="1"/>
  <c r="H552" i="1" s="1"/>
  <c r="F552" i="1"/>
  <c r="E552" i="1"/>
  <c r="D552" i="1"/>
  <c r="C552" i="1"/>
  <c r="M551" i="1"/>
  <c r="L551" i="1"/>
  <c r="K551" i="1"/>
  <c r="J551" i="1"/>
  <c r="I551" i="1"/>
  <c r="G551" i="1"/>
  <c r="H551" i="1" s="1"/>
  <c r="F551" i="1"/>
  <c r="E551" i="1"/>
  <c r="D551" i="1"/>
  <c r="C551" i="1"/>
  <c r="M550" i="1"/>
  <c r="L550" i="1"/>
  <c r="K550" i="1"/>
  <c r="J550" i="1"/>
  <c r="I550" i="1"/>
  <c r="G550" i="1"/>
  <c r="H550" i="1" s="1"/>
  <c r="F550" i="1"/>
  <c r="E550" i="1"/>
  <c r="D550" i="1"/>
  <c r="C550" i="1"/>
  <c r="M549" i="1"/>
  <c r="L549" i="1"/>
  <c r="K549" i="1"/>
  <c r="J549" i="1"/>
  <c r="I549" i="1"/>
  <c r="G549" i="1"/>
  <c r="H549" i="1" s="1"/>
  <c r="F549" i="1"/>
  <c r="E549" i="1"/>
  <c r="D549" i="1"/>
  <c r="C549" i="1"/>
  <c r="M548" i="1"/>
  <c r="L548" i="1"/>
  <c r="K548" i="1"/>
  <c r="J548" i="1"/>
  <c r="I548" i="1"/>
  <c r="G548" i="1"/>
  <c r="F548" i="1"/>
  <c r="E548" i="1"/>
  <c r="D548" i="1"/>
  <c r="C548" i="1"/>
  <c r="H548" i="1" s="1"/>
  <c r="M547" i="1"/>
  <c r="L547" i="1"/>
  <c r="K547" i="1"/>
  <c r="J547" i="1"/>
  <c r="I547" i="1"/>
  <c r="H547" i="1"/>
  <c r="G547" i="1"/>
  <c r="F547" i="1"/>
  <c r="E547" i="1"/>
  <c r="D547" i="1"/>
  <c r="C547" i="1"/>
  <c r="M546" i="1"/>
  <c r="L546" i="1"/>
  <c r="K546" i="1"/>
  <c r="J546" i="1"/>
  <c r="I546" i="1"/>
  <c r="G546" i="1"/>
  <c r="H546" i="1" s="1"/>
  <c r="F546" i="1"/>
  <c r="E546" i="1"/>
  <c r="D546" i="1"/>
  <c r="C546" i="1"/>
  <c r="M545" i="1"/>
  <c r="L545" i="1"/>
  <c r="K545" i="1"/>
  <c r="J545" i="1"/>
  <c r="I545" i="1"/>
  <c r="G545" i="1"/>
  <c r="H545" i="1" s="1"/>
  <c r="F545" i="1"/>
  <c r="E545" i="1"/>
  <c r="D545" i="1"/>
  <c r="C545" i="1"/>
  <c r="M544" i="1"/>
  <c r="L544" i="1"/>
  <c r="K544" i="1"/>
  <c r="J544" i="1"/>
  <c r="I544" i="1"/>
  <c r="G544" i="1"/>
  <c r="F544" i="1"/>
  <c r="E544" i="1"/>
  <c r="D544" i="1"/>
  <c r="C544" i="1"/>
  <c r="H544" i="1" s="1"/>
  <c r="M543" i="1"/>
  <c r="L543" i="1"/>
  <c r="K543" i="1"/>
  <c r="J543" i="1"/>
  <c r="I543" i="1"/>
  <c r="H543" i="1"/>
  <c r="G543" i="1"/>
  <c r="F543" i="1"/>
  <c r="E543" i="1"/>
  <c r="D543" i="1"/>
  <c r="C543" i="1"/>
  <c r="M542" i="1"/>
  <c r="L542" i="1"/>
  <c r="K542" i="1"/>
  <c r="J542" i="1"/>
  <c r="I542" i="1"/>
  <c r="G542" i="1"/>
  <c r="F542" i="1"/>
  <c r="E542" i="1"/>
  <c r="D542" i="1"/>
  <c r="C542" i="1"/>
  <c r="M541" i="1"/>
  <c r="L541" i="1"/>
  <c r="K541" i="1"/>
  <c r="J541" i="1"/>
  <c r="I541" i="1"/>
  <c r="G541" i="1"/>
  <c r="H541" i="1" s="1"/>
  <c r="F541" i="1"/>
  <c r="E541" i="1"/>
  <c r="D541" i="1"/>
  <c r="C541" i="1"/>
  <c r="M540" i="1"/>
  <c r="L540" i="1"/>
  <c r="K540" i="1"/>
  <c r="J540" i="1"/>
  <c r="I540" i="1"/>
  <c r="H540" i="1"/>
  <c r="G540" i="1"/>
  <c r="F540" i="1"/>
  <c r="E540" i="1"/>
  <c r="D540" i="1"/>
  <c r="C540" i="1"/>
  <c r="M539" i="1"/>
  <c r="L539" i="1"/>
  <c r="K539" i="1"/>
  <c r="J539" i="1"/>
  <c r="I539" i="1"/>
  <c r="G539" i="1"/>
  <c r="H539" i="1" s="1"/>
  <c r="F539" i="1"/>
  <c r="E539" i="1"/>
  <c r="D539" i="1"/>
  <c r="C539" i="1"/>
  <c r="M538" i="1"/>
  <c r="L538" i="1"/>
  <c r="K538" i="1"/>
  <c r="J538" i="1"/>
  <c r="I538" i="1"/>
  <c r="G538" i="1"/>
  <c r="F538" i="1"/>
  <c r="E538" i="1"/>
  <c r="D538" i="1"/>
  <c r="C538" i="1"/>
  <c r="H538" i="1" s="1"/>
  <c r="M537" i="1"/>
  <c r="L537" i="1"/>
  <c r="K537" i="1"/>
  <c r="J537" i="1"/>
  <c r="I537" i="1"/>
  <c r="H537" i="1"/>
  <c r="G537" i="1"/>
  <c r="F537" i="1"/>
  <c r="E537" i="1"/>
  <c r="D537" i="1"/>
  <c r="C537" i="1"/>
  <c r="M536" i="1"/>
  <c r="L536" i="1"/>
  <c r="K536" i="1"/>
  <c r="J536" i="1"/>
  <c r="I536" i="1"/>
  <c r="G536" i="1"/>
  <c r="H536" i="1" s="1"/>
  <c r="F536" i="1"/>
  <c r="E536" i="1"/>
  <c r="D536" i="1"/>
  <c r="C536" i="1"/>
  <c r="M535" i="1"/>
  <c r="L535" i="1"/>
  <c r="K535" i="1"/>
  <c r="J535" i="1"/>
  <c r="I535" i="1"/>
  <c r="G535" i="1"/>
  <c r="H535" i="1" s="1"/>
  <c r="F535" i="1"/>
  <c r="E535" i="1"/>
  <c r="D535" i="1"/>
  <c r="C535" i="1"/>
  <c r="M534" i="1"/>
  <c r="L534" i="1"/>
  <c r="K534" i="1"/>
  <c r="J534" i="1"/>
  <c r="I534" i="1"/>
  <c r="H534" i="1"/>
  <c r="G534" i="1"/>
  <c r="F534" i="1"/>
  <c r="E534" i="1"/>
  <c r="D534" i="1"/>
  <c r="C534" i="1"/>
  <c r="M533" i="1"/>
  <c r="L533" i="1"/>
  <c r="K533" i="1"/>
  <c r="J533" i="1"/>
  <c r="I533" i="1"/>
  <c r="G533" i="1"/>
  <c r="H533" i="1" s="1"/>
  <c r="F533" i="1"/>
  <c r="E533" i="1"/>
  <c r="D533" i="1"/>
  <c r="C533" i="1"/>
  <c r="M532" i="1"/>
  <c r="L532" i="1"/>
  <c r="K532" i="1"/>
  <c r="J532" i="1"/>
  <c r="I532" i="1"/>
  <c r="G532" i="1"/>
  <c r="F532" i="1"/>
  <c r="E532" i="1"/>
  <c r="D532" i="1"/>
  <c r="C532" i="1"/>
  <c r="H532" i="1" s="1"/>
  <c r="M531" i="1"/>
  <c r="L531" i="1"/>
  <c r="K531" i="1"/>
  <c r="J531" i="1"/>
  <c r="I531" i="1"/>
  <c r="H531" i="1"/>
  <c r="G531" i="1"/>
  <c r="F531" i="1"/>
  <c r="E531" i="1"/>
  <c r="D531" i="1"/>
  <c r="C531" i="1"/>
  <c r="M530" i="1"/>
  <c r="L530" i="1"/>
  <c r="K530" i="1"/>
  <c r="J530" i="1"/>
  <c r="I530" i="1"/>
  <c r="G530" i="1"/>
  <c r="H530" i="1" s="1"/>
  <c r="F530" i="1"/>
  <c r="E530" i="1"/>
  <c r="D530" i="1"/>
  <c r="C530" i="1"/>
  <c r="M529" i="1"/>
  <c r="L529" i="1"/>
  <c r="K529" i="1"/>
  <c r="J529" i="1"/>
  <c r="I529" i="1"/>
  <c r="G529" i="1"/>
  <c r="H529" i="1" s="1"/>
  <c r="F529" i="1"/>
  <c r="E529" i="1"/>
  <c r="D529" i="1"/>
  <c r="C529" i="1"/>
  <c r="M528" i="1"/>
  <c r="L528" i="1"/>
  <c r="K528" i="1"/>
  <c r="J528" i="1"/>
  <c r="I528" i="1"/>
  <c r="G528" i="1"/>
  <c r="F528" i="1"/>
  <c r="E528" i="1"/>
  <c r="D528" i="1"/>
  <c r="C528" i="1"/>
  <c r="H528" i="1" s="1"/>
  <c r="M527" i="1"/>
  <c r="L527" i="1"/>
  <c r="K527" i="1"/>
  <c r="J527" i="1"/>
  <c r="I527" i="1"/>
  <c r="G527" i="1"/>
  <c r="H527" i="1" s="1"/>
  <c r="F527" i="1"/>
  <c r="E527" i="1"/>
  <c r="D527" i="1"/>
  <c r="C527" i="1"/>
  <c r="M526" i="1"/>
  <c r="L526" i="1"/>
  <c r="K526" i="1"/>
  <c r="J526" i="1"/>
  <c r="I526" i="1"/>
  <c r="G526" i="1"/>
  <c r="F526" i="1"/>
  <c r="E526" i="1"/>
  <c r="D526" i="1"/>
  <c r="C526" i="1"/>
  <c r="M525" i="1"/>
  <c r="L525" i="1"/>
  <c r="K525" i="1"/>
  <c r="J525" i="1"/>
  <c r="I525" i="1"/>
  <c r="G525" i="1"/>
  <c r="H525" i="1" s="1"/>
  <c r="F525" i="1"/>
  <c r="E525" i="1"/>
  <c r="D525" i="1"/>
  <c r="C525" i="1"/>
  <c r="M524" i="1"/>
  <c r="L524" i="1"/>
  <c r="K524" i="1"/>
  <c r="J524" i="1"/>
  <c r="I524" i="1"/>
  <c r="H524" i="1"/>
  <c r="G524" i="1"/>
  <c r="F524" i="1"/>
  <c r="E524" i="1"/>
  <c r="D524" i="1"/>
  <c r="C524" i="1"/>
  <c r="M523" i="1"/>
  <c r="L523" i="1"/>
  <c r="K523" i="1"/>
  <c r="J523" i="1"/>
  <c r="I523" i="1"/>
  <c r="H523" i="1"/>
  <c r="G523" i="1"/>
  <c r="F523" i="1"/>
  <c r="E523" i="1"/>
  <c r="D523" i="1"/>
  <c r="C523" i="1"/>
  <c r="M522" i="1"/>
  <c r="L522" i="1"/>
  <c r="K522" i="1"/>
  <c r="J522" i="1"/>
  <c r="I522" i="1"/>
  <c r="G522" i="1"/>
  <c r="F522" i="1"/>
  <c r="E522" i="1"/>
  <c r="D522" i="1"/>
  <c r="C522" i="1"/>
  <c r="H522" i="1" s="1"/>
  <c r="M521" i="1"/>
  <c r="L521" i="1"/>
  <c r="K521" i="1"/>
  <c r="J521" i="1"/>
  <c r="I521" i="1"/>
  <c r="H521" i="1"/>
  <c r="G521" i="1"/>
  <c r="F521" i="1"/>
  <c r="E521" i="1"/>
  <c r="D521" i="1"/>
  <c r="C521" i="1"/>
  <c r="M520" i="1"/>
  <c r="L520" i="1"/>
  <c r="K520" i="1"/>
  <c r="J520" i="1"/>
  <c r="I520" i="1"/>
  <c r="H520" i="1"/>
  <c r="G520" i="1"/>
  <c r="F520" i="1"/>
  <c r="E520" i="1"/>
  <c r="D520" i="1"/>
  <c r="C520" i="1"/>
  <c r="M519" i="1"/>
  <c r="L519" i="1"/>
  <c r="K519" i="1"/>
  <c r="J519" i="1"/>
  <c r="I519" i="1"/>
  <c r="G519" i="1"/>
  <c r="H519" i="1" s="1"/>
  <c r="F519" i="1"/>
  <c r="E519" i="1"/>
  <c r="D519" i="1"/>
  <c r="C519" i="1"/>
  <c r="M518" i="1"/>
  <c r="L518" i="1"/>
  <c r="K518" i="1"/>
  <c r="J518" i="1"/>
  <c r="I518" i="1"/>
  <c r="H518" i="1"/>
  <c r="G518" i="1"/>
  <c r="F518" i="1"/>
  <c r="E518" i="1"/>
  <c r="D518" i="1"/>
  <c r="C518" i="1"/>
  <c r="M517" i="1"/>
  <c r="L517" i="1"/>
  <c r="K517" i="1"/>
  <c r="J517" i="1"/>
  <c r="I517" i="1"/>
  <c r="H517" i="1"/>
  <c r="G517" i="1"/>
  <c r="F517" i="1"/>
  <c r="E517" i="1"/>
  <c r="D517" i="1"/>
  <c r="C517" i="1"/>
  <c r="M516" i="1"/>
  <c r="L516" i="1"/>
  <c r="K516" i="1"/>
  <c r="J516" i="1"/>
  <c r="I516" i="1"/>
  <c r="G516" i="1"/>
  <c r="F516" i="1"/>
  <c r="E516" i="1"/>
  <c r="D516" i="1"/>
  <c r="C516" i="1"/>
  <c r="H516" i="1" s="1"/>
  <c r="M515" i="1"/>
  <c r="L515" i="1"/>
  <c r="K515" i="1"/>
  <c r="J515" i="1"/>
  <c r="I515" i="1"/>
  <c r="H515" i="1"/>
  <c r="G515" i="1"/>
  <c r="F515" i="1"/>
  <c r="E515" i="1"/>
  <c r="D515" i="1"/>
  <c r="C515" i="1"/>
  <c r="M514" i="1"/>
  <c r="L514" i="1"/>
  <c r="K514" i="1"/>
  <c r="J514" i="1"/>
  <c r="I514" i="1"/>
  <c r="H514" i="1"/>
  <c r="G514" i="1"/>
  <c r="F514" i="1"/>
  <c r="E514" i="1"/>
  <c r="D514" i="1"/>
  <c r="C514" i="1"/>
  <c r="M513" i="1"/>
  <c r="L513" i="1"/>
  <c r="K513" i="1"/>
  <c r="J513" i="1"/>
  <c r="I513" i="1"/>
  <c r="G513" i="1"/>
  <c r="H513" i="1" s="1"/>
  <c r="F513" i="1"/>
  <c r="E513" i="1"/>
  <c r="D513" i="1"/>
  <c r="C513" i="1"/>
  <c r="M512" i="1"/>
  <c r="L512" i="1"/>
  <c r="K512" i="1"/>
  <c r="J512" i="1"/>
  <c r="I512" i="1"/>
  <c r="G512" i="1"/>
  <c r="F512" i="1"/>
  <c r="E512" i="1"/>
  <c r="D512" i="1"/>
  <c r="C512" i="1"/>
  <c r="H512" i="1" s="1"/>
  <c r="M511" i="1"/>
  <c r="L511" i="1"/>
  <c r="K511" i="1"/>
  <c r="J511" i="1"/>
  <c r="I511" i="1"/>
  <c r="H511" i="1"/>
  <c r="G511" i="1"/>
  <c r="F511" i="1"/>
  <c r="E511" i="1"/>
  <c r="D511" i="1"/>
  <c r="C511" i="1"/>
  <c r="M510" i="1"/>
  <c r="L510" i="1"/>
  <c r="K510" i="1"/>
  <c r="J510" i="1"/>
  <c r="I510" i="1"/>
  <c r="G510" i="1"/>
  <c r="H510" i="1" s="1"/>
  <c r="F510" i="1"/>
  <c r="E510" i="1"/>
  <c r="D510" i="1"/>
  <c r="C510" i="1"/>
  <c r="M509" i="1"/>
  <c r="L509" i="1"/>
  <c r="K509" i="1"/>
  <c r="J509" i="1"/>
  <c r="I509" i="1"/>
  <c r="G509" i="1"/>
  <c r="H509" i="1" s="1"/>
  <c r="F509" i="1"/>
  <c r="E509" i="1"/>
  <c r="D509" i="1"/>
  <c r="C509" i="1"/>
  <c r="M508" i="1"/>
  <c r="L508" i="1"/>
  <c r="K508" i="1"/>
  <c r="J508" i="1"/>
  <c r="I508" i="1"/>
  <c r="G508" i="1"/>
  <c r="H508" i="1" s="1"/>
  <c r="F508" i="1"/>
  <c r="E508" i="1"/>
  <c r="D508" i="1"/>
  <c r="C508" i="1"/>
  <c r="M507" i="1"/>
  <c r="L507" i="1"/>
  <c r="K507" i="1"/>
  <c r="J507" i="1"/>
  <c r="I507" i="1"/>
  <c r="G507" i="1"/>
  <c r="H507" i="1" s="1"/>
  <c r="F507" i="1"/>
  <c r="E507" i="1"/>
  <c r="D507" i="1"/>
  <c r="C507" i="1"/>
  <c r="M506" i="1"/>
  <c r="L506" i="1"/>
  <c r="K506" i="1"/>
  <c r="J506" i="1"/>
  <c r="I506" i="1"/>
  <c r="G506" i="1"/>
  <c r="F506" i="1"/>
  <c r="E506" i="1"/>
  <c r="D506" i="1"/>
  <c r="C506" i="1"/>
  <c r="H506" i="1" s="1"/>
  <c r="M505" i="1"/>
  <c r="L505" i="1"/>
  <c r="K505" i="1"/>
  <c r="J505" i="1"/>
  <c r="I505" i="1"/>
  <c r="G505" i="1"/>
  <c r="H505" i="1" s="1"/>
  <c r="F505" i="1"/>
  <c r="E505" i="1"/>
  <c r="D505" i="1"/>
  <c r="C505" i="1"/>
  <c r="M504" i="1"/>
  <c r="L504" i="1"/>
  <c r="K504" i="1"/>
  <c r="J504" i="1"/>
  <c r="I504" i="1"/>
  <c r="G504" i="1"/>
  <c r="H504" i="1" s="1"/>
  <c r="F504" i="1"/>
  <c r="E504" i="1"/>
  <c r="D504" i="1"/>
  <c r="C504" i="1"/>
  <c r="M503" i="1"/>
  <c r="L503" i="1"/>
  <c r="K503" i="1"/>
  <c r="J503" i="1"/>
  <c r="I503" i="1"/>
  <c r="G503" i="1"/>
  <c r="H503" i="1" s="1"/>
  <c r="F503" i="1"/>
  <c r="E503" i="1"/>
  <c r="D503" i="1"/>
  <c r="C503" i="1"/>
  <c r="M502" i="1"/>
  <c r="L502" i="1"/>
  <c r="K502" i="1"/>
  <c r="J502" i="1"/>
  <c r="I502" i="1"/>
  <c r="G502" i="1"/>
  <c r="H502" i="1" s="1"/>
  <c r="F502" i="1"/>
  <c r="E502" i="1"/>
  <c r="D502" i="1"/>
  <c r="C502" i="1"/>
  <c r="M501" i="1"/>
  <c r="L501" i="1"/>
  <c r="K501" i="1"/>
  <c r="J501" i="1"/>
  <c r="I501" i="1"/>
  <c r="G501" i="1"/>
  <c r="H501" i="1" s="1"/>
  <c r="F501" i="1"/>
  <c r="E501" i="1"/>
  <c r="D501" i="1"/>
  <c r="C501" i="1"/>
  <c r="M500" i="1"/>
  <c r="L500" i="1"/>
  <c r="K500" i="1"/>
  <c r="J500" i="1"/>
  <c r="I500" i="1"/>
  <c r="G500" i="1"/>
  <c r="F500" i="1"/>
  <c r="E500" i="1"/>
  <c r="D500" i="1"/>
  <c r="C500" i="1"/>
  <c r="H500" i="1" s="1"/>
  <c r="M499" i="1"/>
  <c r="L499" i="1"/>
  <c r="K499" i="1"/>
  <c r="J499" i="1"/>
  <c r="I499" i="1"/>
  <c r="H499" i="1"/>
  <c r="G499" i="1"/>
  <c r="F499" i="1"/>
  <c r="E499" i="1"/>
  <c r="D499" i="1"/>
  <c r="C499" i="1"/>
  <c r="M498" i="1"/>
  <c r="L498" i="1"/>
  <c r="K498" i="1"/>
  <c r="J498" i="1"/>
  <c r="I498" i="1"/>
  <c r="G498" i="1"/>
  <c r="H498" i="1" s="1"/>
  <c r="F498" i="1"/>
  <c r="E498" i="1"/>
  <c r="D498" i="1"/>
  <c r="C498" i="1"/>
  <c r="M497" i="1"/>
  <c r="L497" i="1"/>
  <c r="K497" i="1"/>
  <c r="J497" i="1"/>
  <c r="I497" i="1"/>
  <c r="G497" i="1"/>
  <c r="H497" i="1" s="1"/>
  <c r="F497" i="1"/>
  <c r="E497" i="1"/>
  <c r="D497" i="1"/>
  <c r="C497" i="1"/>
  <c r="M496" i="1"/>
  <c r="L496" i="1"/>
  <c r="K496" i="1"/>
  <c r="J496" i="1"/>
  <c r="I496" i="1"/>
  <c r="G496" i="1"/>
  <c r="F496" i="1"/>
  <c r="E496" i="1"/>
  <c r="D496" i="1"/>
  <c r="C496" i="1"/>
  <c r="H496" i="1" s="1"/>
  <c r="M495" i="1"/>
  <c r="L495" i="1"/>
  <c r="K495" i="1"/>
  <c r="J495" i="1"/>
  <c r="I495" i="1"/>
  <c r="G495" i="1"/>
  <c r="H495" i="1" s="1"/>
  <c r="F495" i="1"/>
  <c r="E495" i="1"/>
  <c r="D495" i="1"/>
  <c r="C495" i="1"/>
  <c r="M494" i="1"/>
  <c r="L494" i="1"/>
  <c r="K494" i="1"/>
  <c r="J494" i="1"/>
  <c r="I494" i="1"/>
  <c r="G494" i="1"/>
  <c r="H494" i="1" s="1"/>
  <c r="F494" i="1"/>
  <c r="E494" i="1"/>
  <c r="D494" i="1"/>
  <c r="C494" i="1"/>
  <c r="M493" i="1"/>
  <c r="L493" i="1"/>
  <c r="K493" i="1"/>
  <c r="J493" i="1"/>
  <c r="I493" i="1"/>
  <c r="G493" i="1"/>
  <c r="H493" i="1" s="1"/>
  <c r="F493" i="1"/>
  <c r="E493" i="1"/>
  <c r="D493" i="1"/>
  <c r="C493" i="1"/>
  <c r="M492" i="1"/>
  <c r="L492" i="1"/>
  <c r="K492" i="1"/>
  <c r="J492" i="1"/>
  <c r="I492" i="1"/>
  <c r="G492" i="1"/>
  <c r="H492" i="1" s="1"/>
  <c r="F492" i="1"/>
  <c r="E492" i="1"/>
  <c r="D492" i="1"/>
  <c r="C492" i="1"/>
  <c r="M491" i="1"/>
  <c r="L491" i="1"/>
  <c r="K491" i="1"/>
  <c r="J491" i="1"/>
  <c r="I491" i="1"/>
  <c r="G491" i="1"/>
  <c r="H491" i="1" s="1"/>
  <c r="F491" i="1"/>
  <c r="E491" i="1"/>
  <c r="D491" i="1"/>
  <c r="C491" i="1"/>
  <c r="M490" i="1"/>
  <c r="L490" i="1"/>
  <c r="K490" i="1"/>
  <c r="J490" i="1"/>
  <c r="I490" i="1"/>
  <c r="G490" i="1"/>
  <c r="F490" i="1"/>
  <c r="E490" i="1"/>
  <c r="D490" i="1"/>
  <c r="C490" i="1"/>
  <c r="H490" i="1" s="1"/>
  <c r="M489" i="1"/>
  <c r="L489" i="1"/>
  <c r="K489" i="1"/>
  <c r="J489" i="1"/>
  <c r="I489" i="1"/>
  <c r="G489" i="1"/>
  <c r="H489" i="1" s="1"/>
  <c r="F489" i="1"/>
  <c r="E489" i="1"/>
  <c r="D489" i="1"/>
  <c r="C489" i="1"/>
  <c r="M488" i="1"/>
  <c r="L488" i="1"/>
  <c r="K488" i="1"/>
  <c r="J488" i="1"/>
  <c r="I488" i="1"/>
  <c r="G488" i="1"/>
  <c r="H488" i="1" s="1"/>
  <c r="F488" i="1"/>
  <c r="E488" i="1"/>
  <c r="D488" i="1"/>
  <c r="C488" i="1"/>
  <c r="M487" i="1"/>
  <c r="L487" i="1"/>
  <c r="K487" i="1"/>
  <c r="J487" i="1"/>
  <c r="I487" i="1"/>
  <c r="G487" i="1"/>
  <c r="H487" i="1" s="1"/>
  <c r="F487" i="1"/>
  <c r="E487" i="1"/>
  <c r="D487" i="1"/>
  <c r="C487" i="1"/>
  <c r="M486" i="1"/>
  <c r="L486" i="1"/>
  <c r="K486" i="1"/>
  <c r="J486" i="1"/>
  <c r="I486" i="1"/>
  <c r="G486" i="1"/>
  <c r="H486" i="1" s="1"/>
  <c r="F486" i="1"/>
  <c r="E486" i="1"/>
  <c r="D486" i="1"/>
  <c r="C486" i="1"/>
  <c r="M485" i="1"/>
  <c r="L485" i="1"/>
  <c r="K485" i="1"/>
  <c r="J485" i="1"/>
  <c r="I485" i="1"/>
  <c r="G485" i="1"/>
  <c r="H485" i="1" s="1"/>
  <c r="F485" i="1"/>
  <c r="E485" i="1"/>
  <c r="D485" i="1"/>
  <c r="C485" i="1"/>
  <c r="M484" i="1"/>
  <c r="L484" i="1"/>
  <c r="K484" i="1"/>
  <c r="J484" i="1"/>
  <c r="I484" i="1"/>
  <c r="G484" i="1"/>
  <c r="F484" i="1"/>
  <c r="E484" i="1"/>
  <c r="D484" i="1"/>
  <c r="C484" i="1"/>
  <c r="H484" i="1" s="1"/>
  <c r="M483" i="1"/>
  <c r="L483" i="1"/>
  <c r="K483" i="1"/>
  <c r="J483" i="1"/>
  <c r="I483" i="1"/>
  <c r="H483" i="1"/>
  <c r="G483" i="1"/>
  <c r="F483" i="1"/>
  <c r="E483" i="1"/>
  <c r="D483" i="1"/>
  <c r="C483" i="1"/>
  <c r="M482" i="1"/>
  <c r="L482" i="1"/>
  <c r="K482" i="1"/>
  <c r="J482" i="1"/>
  <c r="I482" i="1"/>
  <c r="G482" i="1"/>
  <c r="H482" i="1" s="1"/>
  <c r="F482" i="1"/>
  <c r="E482" i="1"/>
  <c r="D482" i="1"/>
  <c r="C482" i="1"/>
  <c r="M481" i="1"/>
  <c r="L481" i="1"/>
  <c r="K481" i="1"/>
  <c r="J481" i="1"/>
  <c r="I481" i="1"/>
  <c r="G481" i="1"/>
  <c r="H481" i="1" s="1"/>
  <c r="F481" i="1"/>
  <c r="E481" i="1"/>
  <c r="D481" i="1"/>
  <c r="C481" i="1"/>
  <c r="M480" i="1"/>
  <c r="L480" i="1"/>
  <c r="K480" i="1"/>
  <c r="J480" i="1"/>
  <c r="I480" i="1"/>
  <c r="G480" i="1"/>
  <c r="F480" i="1"/>
  <c r="E480" i="1"/>
  <c r="D480" i="1"/>
  <c r="C480" i="1"/>
  <c r="H480" i="1" s="1"/>
  <c r="M479" i="1"/>
  <c r="L479" i="1"/>
  <c r="K479" i="1"/>
  <c r="J479" i="1"/>
  <c r="I479" i="1"/>
  <c r="G479" i="1"/>
  <c r="H479" i="1" s="1"/>
  <c r="F479" i="1"/>
  <c r="E479" i="1"/>
  <c r="D479" i="1"/>
  <c r="C479" i="1"/>
  <c r="M478" i="1"/>
  <c r="L478" i="1"/>
  <c r="K478" i="1"/>
  <c r="J478" i="1"/>
  <c r="I478" i="1"/>
  <c r="G478" i="1"/>
  <c r="H478" i="1" s="1"/>
  <c r="F478" i="1"/>
  <c r="E478" i="1"/>
  <c r="D478" i="1"/>
  <c r="C478" i="1"/>
  <c r="M477" i="1"/>
  <c r="L477" i="1"/>
  <c r="K477" i="1"/>
  <c r="J477" i="1"/>
  <c r="I477" i="1"/>
  <c r="G477" i="1"/>
  <c r="H477" i="1" s="1"/>
  <c r="F477" i="1"/>
  <c r="E477" i="1"/>
  <c r="D477" i="1"/>
  <c r="C477" i="1"/>
  <c r="M476" i="1"/>
  <c r="L476" i="1"/>
  <c r="K476" i="1"/>
  <c r="J476" i="1"/>
  <c r="I476" i="1"/>
  <c r="H476" i="1"/>
  <c r="G476" i="1"/>
  <c r="F476" i="1"/>
  <c r="E476" i="1"/>
  <c r="D476" i="1"/>
  <c r="C476" i="1"/>
  <c r="M475" i="1"/>
  <c r="L475" i="1"/>
  <c r="K475" i="1"/>
  <c r="J475" i="1"/>
  <c r="I475" i="1"/>
  <c r="H475" i="1"/>
  <c r="G475" i="1"/>
  <c r="F475" i="1"/>
  <c r="E475" i="1"/>
  <c r="D475" i="1"/>
  <c r="C475" i="1"/>
  <c r="M474" i="1"/>
  <c r="L474" i="1"/>
  <c r="K474" i="1"/>
  <c r="J474" i="1"/>
  <c r="I474" i="1"/>
  <c r="G474" i="1"/>
  <c r="F474" i="1"/>
  <c r="E474" i="1"/>
  <c r="D474" i="1"/>
  <c r="C474" i="1"/>
  <c r="H474" i="1" s="1"/>
  <c r="M473" i="1"/>
  <c r="L473" i="1"/>
  <c r="K473" i="1"/>
  <c r="J473" i="1"/>
  <c r="I473" i="1"/>
  <c r="H473" i="1"/>
  <c r="G473" i="1"/>
  <c r="F473" i="1"/>
  <c r="E473" i="1"/>
  <c r="D473" i="1"/>
  <c r="C473" i="1"/>
  <c r="M472" i="1"/>
  <c r="L472" i="1"/>
  <c r="K472" i="1"/>
  <c r="J472" i="1"/>
  <c r="I472" i="1"/>
  <c r="H472" i="1"/>
  <c r="G472" i="1"/>
  <c r="F472" i="1"/>
  <c r="E472" i="1"/>
  <c r="D472" i="1"/>
  <c r="C472" i="1"/>
  <c r="M471" i="1"/>
  <c r="L471" i="1"/>
  <c r="K471" i="1"/>
  <c r="J471" i="1"/>
  <c r="I471" i="1"/>
  <c r="G471" i="1"/>
  <c r="F471" i="1"/>
  <c r="E471" i="1"/>
  <c r="D471" i="1"/>
  <c r="C471" i="1"/>
  <c r="M470" i="1"/>
  <c r="L470" i="1"/>
  <c r="K470" i="1"/>
  <c r="J470" i="1"/>
  <c r="I470" i="1"/>
  <c r="H470" i="1"/>
  <c r="G470" i="1"/>
  <c r="F470" i="1"/>
  <c r="E470" i="1"/>
  <c r="D470" i="1"/>
  <c r="C470" i="1"/>
  <c r="M469" i="1"/>
  <c r="L469" i="1"/>
  <c r="K469" i="1"/>
  <c r="J469" i="1"/>
  <c r="I469" i="1"/>
  <c r="H469" i="1"/>
  <c r="G469" i="1"/>
  <c r="F469" i="1"/>
  <c r="E469" i="1"/>
  <c r="D469" i="1"/>
  <c r="C469" i="1"/>
  <c r="M468" i="1"/>
  <c r="L468" i="1"/>
  <c r="K468" i="1"/>
  <c r="J468" i="1"/>
  <c r="I468" i="1"/>
  <c r="G468" i="1"/>
  <c r="F468" i="1"/>
  <c r="E468" i="1"/>
  <c r="D468" i="1"/>
  <c r="C468" i="1"/>
  <c r="H468" i="1" s="1"/>
  <c r="M467" i="1"/>
  <c r="L467" i="1"/>
  <c r="K467" i="1"/>
  <c r="J467" i="1"/>
  <c r="I467" i="1"/>
  <c r="H467" i="1"/>
  <c r="G467" i="1"/>
  <c r="F467" i="1"/>
  <c r="E467" i="1"/>
  <c r="D467" i="1"/>
  <c r="C467" i="1"/>
  <c r="M466" i="1"/>
  <c r="L466" i="1"/>
  <c r="K466" i="1"/>
  <c r="J466" i="1"/>
  <c r="I466" i="1"/>
  <c r="H466" i="1"/>
  <c r="G466" i="1"/>
  <c r="F466" i="1"/>
  <c r="E466" i="1"/>
  <c r="D466" i="1"/>
  <c r="C466" i="1"/>
  <c r="M465" i="1"/>
  <c r="L465" i="1"/>
  <c r="K465" i="1"/>
  <c r="J465" i="1"/>
  <c r="I465" i="1"/>
  <c r="G465" i="1"/>
  <c r="F465" i="1"/>
  <c r="E465" i="1"/>
  <c r="D465" i="1"/>
  <c r="C465" i="1"/>
  <c r="M464" i="1"/>
  <c r="L464" i="1"/>
  <c r="K464" i="1"/>
  <c r="J464" i="1"/>
  <c r="I464" i="1"/>
  <c r="G464" i="1"/>
  <c r="F464" i="1"/>
  <c r="E464" i="1"/>
  <c r="D464" i="1"/>
  <c r="C464" i="1"/>
  <c r="H464" i="1" s="1"/>
  <c r="M463" i="1"/>
  <c r="L463" i="1"/>
  <c r="K463" i="1"/>
  <c r="J463" i="1"/>
  <c r="I463" i="1"/>
  <c r="H463" i="1"/>
  <c r="G463" i="1"/>
  <c r="F463" i="1"/>
  <c r="E463" i="1"/>
  <c r="D463" i="1"/>
  <c r="C463" i="1"/>
  <c r="M462" i="1"/>
  <c r="L462" i="1"/>
  <c r="K462" i="1"/>
  <c r="J462" i="1"/>
  <c r="I462" i="1"/>
  <c r="G462" i="1"/>
  <c r="F462" i="1"/>
  <c r="E462" i="1"/>
  <c r="D462" i="1"/>
  <c r="C462" i="1"/>
  <c r="M461" i="1"/>
  <c r="L461" i="1"/>
  <c r="K461" i="1"/>
  <c r="J461" i="1"/>
  <c r="I461" i="1"/>
  <c r="G461" i="1"/>
  <c r="H461" i="1" s="1"/>
  <c r="F461" i="1"/>
  <c r="E461" i="1"/>
  <c r="D461" i="1"/>
  <c r="C461" i="1"/>
  <c r="M460" i="1"/>
  <c r="L460" i="1"/>
  <c r="K460" i="1"/>
  <c r="J460" i="1"/>
  <c r="I460" i="1"/>
  <c r="G460" i="1"/>
  <c r="H460" i="1" s="1"/>
  <c r="F460" i="1"/>
  <c r="E460" i="1"/>
  <c r="D460" i="1"/>
  <c r="C460" i="1"/>
  <c r="M459" i="1"/>
  <c r="L459" i="1"/>
  <c r="K459" i="1"/>
  <c r="J459" i="1"/>
  <c r="I459" i="1"/>
  <c r="H459" i="1"/>
  <c r="G459" i="1"/>
  <c r="F459" i="1"/>
  <c r="E459" i="1"/>
  <c r="D459" i="1"/>
  <c r="C459" i="1"/>
  <c r="M458" i="1"/>
  <c r="L458" i="1"/>
  <c r="K458" i="1"/>
  <c r="J458" i="1"/>
  <c r="I458" i="1"/>
  <c r="G458" i="1"/>
  <c r="F458" i="1"/>
  <c r="E458" i="1"/>
  <c r="D458" i="1"/>
  <c r="C458" i="1"/>
  <c r="H458" i="1" s="1"/>
  <c r="M457" i="1"/>
  <c r="L457" i="1"/>
  <c r="K457" i="1"/>
  <c r="J457" i="1"/>
  <c r="I457" i="1"/>
  <c r="G457" i="1"/>
  <c r="H457" i="1" s="1"/>
  <c r="F457" i="1"/>
  <c r="E457" i="1"/>
  <c r="D457" i="1"/>
  <c r="C457" i="1"/>
  <c r="M456" i="1"/>
  <c r="L456" i="1"/>
  <c r="K456" i="1"/>
  <c r="J456" i="1"/>
  <c r="I456" i="1"/>
  <c r="H456" i="1"/>
  <c r="G456" i="1"/>
  <c r="F456" i="1"/>
  <c r="E456" i="1"/>
  <c r="D456" i="1"/>
  <c r="C456" i="1"/>
  <c r="M455" i="1"/>
  <c r="L455" i="1"/>
  <c r="K455" i="1"/>
  <c r="J455" i="1"/>
  <c r="I455" i="1"/>
  <c r="G455" i="1"/>
  <c r="H455" i="1" s="1"/>
  <c r="F455" i="1"/>
  <c r="E455" i="1"/>
  <c r="D455" i="1"/>
  <c r="C455" i="1"/>
  <c r="M454" i="1"/>
  <c r="L454" i="1"/>
  <c r="K454" i="1"/>
  <c r="J454" i="1"/>
  <c r="I454" i="1"/>
  <c r="G454" i="1"/>
  <c r="H454" i="1" s="1"/>
  <c r="F454" i="1"/>
  <c r="E454" i="1"/>
  <c r="D454" i="1"/>
  <c r="C454" i="1"/>
  <c r="M453" i="1"/>
  <c r="L453" i="1"/>
  <c r="K453" i="1"/>
  <c r="J453" i="1"/>
  <c r="I453" i="1"/>
  <c r="H453" i="1"/>
  <c r="G453" i="1"/>
  <c r="F453" i="1"/>
  <c r="E453" i="1"/>
  <c r="D453" i="1"/>
  <c r="C453" i="1"/>
  <c r="M452" i="1"/>
  <c r="L452" i="1"/>
  <c r="K452" i="1"/>
  <c r="J452" i="1"/>
  <c r="I452" i="1"/>
  <c r="G452" i="1"/>
  <c r="F452" i="1"/>
  <c r="E452" i="1"/>
  <c r="D452" i="1"/>
  <c r="C452" i="1"/>
  <c r="H452" i="1" s="1"/>
  <c r="M451" i="1"/>
  <c r="L451" i="1"/>
  <c r="K451" i="1"/>
  <c r="J451" i="1"/>
  <c r="I451" i="1"/>
  <c r="H451" i="1"/>
  <c r="G451" i="1"/>
  <c r="F451" i="1"/>
  <c r="E451" i="1"/>
  <c r="D451" i="1"/>
  <c r="C451" i="1"/>
  <c r="M450" i="1"/>
  <c r="L450" i="1"/>
  <c r="K450" i="1"/>
  <c r="J450" i="1"/>
  <c r="I450" i="1"/>
  <c r="H450" i="1"/>
  <c r="G450" i="1"/>
  <c r="F450" i="1"/>
  <c r="E450" i="1"/>
  <c r="D450" i="1"/>
  <c r="C450" i="1"/>
  <c r="M449" i="1"/>
  <c r="L449" i="1"/>
  <c r="K449" i="1"/>
  <c r="J449" i="1"/>
  <c r="I449" i="1"/>
  <c r="G449" i="1"/>
  <c r="H449" i="1" s="1"/>
  <c r="F449" i="1"/>
  <c r="E449" i="1"/>
  <c r="D449" i="1"/>
  <c r="C449" i="1"/>
  <c r="M448" i="1"/>
  <c r="L448" i="1"/>
  <c r="K448" i="1"/>
  <c r="J448" i="1"/>
  <c r="I448" i="1"/>
  <c r="G448" i="1"/>
  <c r="F448" i="1"/>
  <c r="E448" i="1"/>
  <c r="D448" i="1"/>
  <c r="C448" i="1"/>
  <c r="H448" i="1" s="1"/>
  <c r="M447" i="1"/>
  <c r="L447" i="1"/>
  <c r="K447" i="1"/>
  <c r="J447" i="1"/>
  <c r="I447" i="1"/>
  <c r="G447" i="1"/>
  <c r="H447" i="1" s="1"/>
  <c r="F447" i="1"/>
  <c r="E447" i="1"/>
  <c r="D447" i="1"/>
  <c r="C447" i="1"/>
  <c r="M446" i="1"/>
  <c r="L446" i="1"/>
  <c r="K446" i="1"/>
  <c r="J446" i="1"/>
  <c r="I446" i="1"/>
  <c r="G446" i="1"/>
  <c r="H446" i="1" s="1"/>
  <c r="F446" i="1"/>
  <c r="E446" i="1"/>
  <c r="D446" i="1"/>
  <c r="C446" i="1"/>
  <c r="M445" i="1"/>
  <c r="L445" i="1"/>
  <c r="K445" i="1"/>
  <c r="J445" i="1"/>
  <c r="I445" i="1"/>
  <c r="G445" i="1"/>
  <c r="H445" i="1" s="1"/>
  <c r="F445" i="1"/>
  <c r="E445" i="1"/>
  <c r="D445" i="1"/>
  <c r="C445" i="1"/>
  <c r="M444" i="1"/>
  <c r="L444" i="1"/>
  <c r="K444" i="1"/>
  <c r="J444" i="1"/>
  <c r="I444" i="1"/>
  <c r="G444" i="1"/>
  <c r="H444" i="1" s="1"/>
  <c r="F444" i="1"/>
  <c r="E444" i="1"/>
  <c r="D444" i="1"/>
  <c r="C444" i="1"/>
  <c r="M443" i="1"/>
  <c r="L443" i="1"/>
  <c r="K443" i="1"/>
  <c r="J443" i="1"/>
  <c r="I443" i="1"/>
  <c r="H443" i="1"/>
  <c r="G443" i="1"/>
  <c r="F443" i="1"/>
  <c r="E443" i="1"/>
  <c r="D443" i="1"/>
  <c r="C443" i="1"/>
  <c r="M442" i="1"/>
  <c r="L442" i="1"/>
  <c r="K442" i="1"/>
  <c r="J442" i="1"/>
  <c r="I442" i="1"/>
  <c r="G442" i="1"/>
  <c r="F442" i="1"/>
  <c r="E442" i="1"/>
  <c r="D442" i="1"/>
  <c r="C442" i="1"/>
  <c r="H442" i="1" s="1"/>
  <c r="M441" i="1"/>
  <c r="L441" i="1"/>
  <c r="K441" i="1"/>
  <c r="J441" i="1"/>
  <c r="I441" i="1"/>
  <c r="G441" i="1"/>
  <c r="H441" i="1" s="1"/>
  <c r="F441" i="1"/>
  <c r="E441" i="1"/>
  <c r="D441" i="1"/>
  <c r="C441" i="1"/>
  <c r="M440" i="1"/>
  <c r="L440" i="1"/>
  <c r="K440" i="1"/>
  <c r="J440" i="1"/>
  <c r="I440" i="1"/>
  <c r="H440" i="1"/>
  <c r="G440" i="1"/>
  <c r="F440" i="1"/>
  <c r="E440" i="1"/>
  <c r="D440" i="1"/>
  <c r="C440" i="1"/>
  <c r="M439" i="1"/>
  <c r="L439" i="1"/>
  <c r="K439" i="1"/>
  <c r="J439" i="1"/>
  <c r="I439" i="1"/>
  <c r="G439" i="1"/>
  <c r="F439" i="1"/>
  <c r="E439" i="1"/>
  <c r="D439" i="1"/>
  <c r="C439" i="1"/>
  <c r="M438" i="1"/>
  <c r="L438" i="1"/>
  <c r="K438" i="1"/>
  <c r="J438" i="1"/>
  <c r="I438" i="1"/>
  <c r="G438" i="1"/>
  <c r="H438" i="1" s="1"/>
  <c r="F438" i="1"/>
  <c r="E438" i="1"/>
  <c r="D438" i="1"/>
  <c r="C438" i="1"/>
  <c r="M437" i="1"/>
  <c r="L437" i="1"/>
  <c r="K437" i="1"/>
  <c r="J437" i="1"/>
  <c r="I437" i="1"/>
  <c r="H437" i="1"/>
  <c r="G437" i="1"/>
  <c r="F437" i="1"/>
  <c r="E437" i="1"/>
  <c r="D437" i="1"/>
  <c r="C437" i="1"/>
  <c r="M436" i="1"/>
  <c r="L436" i="1"/>
  <c r="K436" i="1"/>
  <c r="J436" i="1"/>
  <c r="I436" i="1"/>
  <c r="G436" i="1"/>
  <c r="F436" i="1"/>
  <c r="E436" i="1"/>
  <c r="D436" i="1"/>
  <c r="C436" i="1"/>
  <c r="H436" i="1" s="1"/>
  <c r="M435" i="1"/>
  <c r="L435" i="1"/>
  <c r="K435" i="1"/>
  <c r="J435" i="1"/>
  <c r="I435" i="1"/>
  <c r="H435" i="1"/>
  <c r="G435" i="1"/>
  <c r="F435" i="1"/>
  <c r="E435" i="1"/>
  <c r="D435" i="1"/>
  <c r="C435" i="1"/>
  <c r="M434" i="1"/>
  <c r="L434" i="1"/>
  <c r="K434" i="1"/>
  <c r="J434" i="1"/>
  <c r="I434" i="1"/>
  <c r="H434" i="1"/>
  <c r="G434" i="1"/>
  <c r="F434" i="1"/>
  <c r="E434" i="1"/>
  <c r="D434" i="1"/>
  <c r="C434" i="1"/>
  <c r="M433" i="1"/>
  <c r="L433" i="1"/>
  <c r="K433" i="1"/>
  <c r="J433" i="1"/>
  <c r="I433" i="1"/>
  <c r="G433" i="1"/>
  <c r="F433" i="1"/>
  <c r="E433" i="1"/>
  <c r="D433" i="1"/>
  <c r="C433" i="1"/>
  <c r="M432" i="1"/>
  <c r="L432" i="1"/>
  <c r="K432" i="1"/>
  <c r="J432" i="1"/>
  <c r="I432" i="1"/>
  <c r="G432" i="1"/>
  <c r="F432" i="1"/>
  <c r="E432" i="1"/>
  <c r="D432" i="1"/>
  <c r="C432" i="1"/>
  <c r="H432" i="1" s="1"/>
  <c r="M431" i="1"/>
  <c r="L431" i="1"/>
  <c r="K431" i="1"/>
  <c r="J431" i="1"/>
  <c r="I431" i="1"/>
  <c r="H431" i="1"/>
  <c r="G431" i="1"/>
  <c r="F431" i="1"/>
  <c r="E431" i="1"/>
  <c r="D431" i="1"/>
  <c r="C431" i="1"/>
  <c r="M430" i="1"/>
  <c r="L430" i="1"/>
  <c r="K430" i="1"/>
  <c r="J430" i="1"/>
  <c r="I430" i="1"/>
  <c r="G430" i="1"/>
  <c r="F430" i="1"/>
  <c r="E430" i="1"/>
  <c r="D430" i="1"/>
  <c r="C430" i="1"/>
  <c r="M429" i="1"/>
  <c r="L429" i="1"/>
  <c r="K429" i="1"/>
  <c r="J429" i="1"/>
  <c r="I429" i="1"/>
  <c r="G429" i="1"/>
  <c r="H429" i="1" s="1"/>
  <c r="F429" i="1"/>
  <c r="E429" i="1"/>
  <c r="D429" i="1"/>
  <c r="C429" i="1"/>
  <c r="M428" i="1"/>
  <c r="L428" i="1"/>
  <c r="K428" i="1"/>
  <c r="J428" i="1"/>
  <c r="I428" i="1"/>
  <c r="H428" i="1"/>
  <c r="G428" i="1"/>
  <c r="F428" i="1"/>
  <c r="E428" i="1"/>
  <c r="D428" i="1"/>
  <c r="C428" i="1"/>
  <c r="M427" i="1"/>
  <c r="L427" i="1"/>
  <c r="K427" i="1"/>
  <c r="J427" i="1"/>
  <c r="I427" i="1"/>
  <c r="G427" i="1"/>
  <c r="H427" i="1" s="1"/>
  <c r="F427" i="1"/>
  <c r="E427" i="1"/>
  <c r="D427" i="1"/>
  <c r="C427" i="1"/>
  <c r="M426" i="1"/>
  <c r="L426" i="1"/>
  <c r="K426" i="1"/>
  <c r="J426" i="1"/>
  <c r="I426" i="1"/>
  <c r="G426" i="1"/>
  <c r="F426" i="1"/>
  <c r="E426" i="1"/>
  <c r="D426" i="1"/>
  <c r="C426" i="1"/>
  <c r="H426" i="1" s="1"/>
  <c r="M425" i="1"/>
  <c r="L425" i="1"/>
  <c r="K425" i="1"/>
  <c r="J425" i="1"/>
  <c r="I425" i="1"/>
  <c r="H425" i="1"/>
  <c r="G425" i="1"/>
  <c r="F425" i="1"/>
  <c r="E425" i="1"/>
  <c r="D425" i="1"/>
  <c r="C425" i="1"/>
  <c r="M424" i="1"/>
  <c r="L424" i="1"/>
  <c r="K424" i="1"/>
  <c r="J424" i="1"/>
  <c r="I424" i="1"/>
  <c r="G424" i="1"/>
  <c r="H424" i="1" s="1"/>
  <c r="F424" i="1"/>
  <c r="E424" i="1"/>
  <c r="D424" i="1"/>
  <c r="C424" i="1"/>
  <c r="M423" i="1"/>
  <c r="L423" i="1"/>
  <c r="K423" i="1"/>
  <c r="J423" i="1"/>
  <c r="I423" i="1"/>
  <c r="G423" i="1"/>
  <c r="F423" i="1"/>
  <c r="E423" i="1"/>
  <c r="D423" i="1"/>
  <c r="C423" i="1"/>
  <c r="M422" i="1"/>
  <c r="L422" i="1"/>
  <c r="K422" i="1"/>
  <c r="J422" i="1"/>
  <c r="I422" i="1"/>
  <c r="H422" i="1"/>
  <c r="G422" i="1"/>
  <c r="F422" i="1"/>
  <c r="E422" i="1"/>
  <c r="D422" i="1"/>
  <c r="C422" i="1"/>
  <c r="M421" i="1"/>
  <c r="L421" i="1"/>
  <c r="K421" i="1"/>
  <c r="J421" i="1"/>
  <c r="I421" i="1"/>
  <c r="G421" i="1"/>
  <c r="H421" i="1" s="1"/>
  <c r="F421" i="1"/>
  <c r="E421" i="1"/>
  <c r="D421" i="1"/>
  <c r="C421" i="1"/>
  <c r="M420" i="1"/>
  <c r="L420" i="1"/>
  <c r="K420" i="1"/>
  <c r="J420" i="1"/>
  <c r="I420" i="1"/>
  <c r="G420" i="1"/>
  <c r="F420" i="1"/>
  <c r="E420" i="1"/>
  <c r="D420" i="1"/>
  <c r="C420" i="1"/>
  <c r="H420" i="1" s="1"/>
  <c r="M419" i="1"/>
  <c r="L419" i="1"/>
  <c r="K419" i="1"/>
  <c r="J419" i="1"/>
  <c r="I419" i="1"/>
  <c r="H419" i="1"/>
  <c r="G419" i="1"/>
  <c r="F419" i="1"/>
  <c r="E419" i="1"/>
  <c r="D419" i="1"/>
  <c r="C419" i="1"/>
  <c r="M418" i="1"/>
  <c r="L418" i="1"/>
  <c r="K418" i="1"/>
  <c r="J418" i="1"/>
  <c r="I418" i="1"/>
  <c r="G418" i="1"/>
  <c r="H418" i="1" s="1"/>
  <c r="F418" i="1"/>
  <c r="E418" i="1"/>
  <c r="D418" i="1"/>
  <c r="C418" i="1"/>
  <c r="M417" i="1"/>
  <c r="L417" i="1"/>
  <c r="K417" i="1"/>
  <c r="J417" i="1"/>
  <c r="I417" i="1"/>
  <c r="G417" i="1"/>
  <c r="F417" i="1"/>
  <c r="E417" i="1"/>
  <c r="D417" i="1"/>
  <c r="C417" i="1"/>
  <c r="M416" i="1"/>
  <c r="L416" i="1"/>
  <c r="K416" i="1"/>
  <c r="J416" i="1"/>
  <c r="I416" i="1"/>
  <c r="G416" i="1"/>
  <c r="F416" i="1"/>
  <c r="E416" i="1"/>
  <c r="D416" i="1"/>
  <c r="C416" i="1"/>
  <c r="H416" i="1" s="1"/>
  <c r="M415" i="1"/>
  <c r="L415" i="1"/>
  <c r="K415" i="1"/>
  <c r="J415" i="1"/>
  <c r="I415" i="1"/>
  <c r="H415" i="1"/>
  <c r="G415" i="1"/>
  <c r="F415" i="1"/>
  <c r="E415" i="1"/>
  <c r="D415" i="1"/>
  <c r="C415" i="1"/>
  <c r="M414" i="1"/>
  <c r="L414" i="1"/>
  <c r="K414" i="1"/>
  <c r="J414" i="1"/>
  <c r="I414" i="1"/>
  <c r="G414" i="1"/>
  <c r="F414" i="1"/>
  <c r="E414" i="1"/>
  <c r="D414" i="1"/>
  <c r="C414" i="1"/>
  <c r="M413" i="1"/>
  <c r="L413" i="1"/>
  <c r="K413" i="1"/>
  <c r="J413" i="1"/>
  <c r="I413" i="1"/>
  <c r="G413" i="1"/>
  <c r="H413" i="1" s="1"/>
  <c r="F413" i="1"/>
  <c r="E413" i="1"/>
  <c r="D413" i="1"/>
  <c r="C413" i="1"/>
  <c r="M412" i="1"/>
  <c r="L412" i="1"/>
  <c r="K412" i="1"/>
  <c r="J412" i="1"/>
  <c r="I412" i="1"/>
  <c r="H412" i="1"/>
  <c r="G412" i="1"/>
  <c r="F412" i="1"/>
  <c r="E412" i="1"/>
  <c r="D412" i="1"/>
  <c r="C412" i="1"/>
  <c r="M411" i="1"/>
  <c r="L411" i="1"/>
  <c r="K411" i="1"/>
  <c r="J411" i="1"/>
  <c r="I411" i="1"/>
  <c r="G411" i="1"/>
  <c r="F411" i="1"/>
  <c r="E411" i="1"/>
  <c r="D411" i="1"/>
  <c r="C411" i="1"/>
  <c r="H411" i="1" s="1"/>
  <c r="M410" i="1"/>
  <c r="L410" i="1"/>
  <c r="K410" i="1"/>
  <c r="J410" i="1"/>
  <c r="I410" i="1"/>
  <c r="G410" i="1"/>
  <c r="F410" i="1"/>
  <c r="E410" i="1"/>
  <c r="D410" i="1"/>
  <c r="C410" i="1"/>
  <c r="H410" i="1" s="1"/>
  <c r="M409" i="1"/>
  <c r="L409" i="1"/>
  <c r="K409" i="1"/>
  <c r="J409" i="1"/>
  <c r="I409" i="1"/>
  <c r="H409" i="1"/>
  <c r="G409" i="1"/>
  <c r="F409" i="1"/>
  <c r="E409" i="1"/>
  <c r="D409" i="1"/>
  <c r="C409" i="1"/>
  <c r="M408" i="1"/>
  <c r="L408" i="1"/>
  <c r="K408" i="1"/>
  <c r="J408" i="1"/>
  <c r="I408" i="1"/>
  <c r="G408" i="1"/>
  <c r="F408" i="1"/>
  <c r="E408" i="1"/>
  <c r="D408" i="1"/>
  <c r="C408" i="1"/>
  <c r="H408" i="1" s="1"/>
  <c r="M407" i="1"/>
  <c r="L407" i="1"/>
  <c r="K407" i="1"/>
  <c r="J407" i="1"/>
  <c r="I407" i="1"/>
  <c r="G407" i="1"/>
  <c r="H407" i="1" s="1"/>
  <c r="F407" i="1"/>
  <c r="E407" i="1"/>
  <c r="D407" i="1"/>
  <c r="C407" i="1"/>
  <c r="M406" i="1"/>
  <c r="L406" i="1"/>
  <c r="K406" i="1"/>
  <c r="J406" i="1"/>
  <c r="I406" i="1"/>
  <c r="H406" i="1"/>
  <c r="G406" i="1"/>
  <c r="F406" i="1"/>
  <c r="E406" i="1"/>
  <c r="D406" i="1"/>
  <c r="C406" i="1"/>
  <c r="M405" i="1"/>
  <c r="L405" i="1"/>
  <c r="K405" i="1"/>
  <c r="J405" i="1"/>
  <c r="I405" i="1"/>
  <c r="G405" i="1"/>
  <c r="F405" i="1"/>
  <c r="E405" i="1"/>
  <c r="D405" i="1"/>
  <c r="C405" i="1"/>
  <c r="H405" i="1" s="1"/>
  <c r="M404" i="1"/>
  <c r="L404" i="1"/>
  <c r="K404" i="1"/>
  <c r="J404" i="1"/>
  <c r="I404" i="1"/>
  <c r="G404" i="1"/>
  <c r="F404" i="1"/>
  <c r="E404" i="1"/>
  <c r="D404" i="1"/>
  <c r="C404" i="1"/>
  <c r="H404" i="1" s="1"/>
  <c r="M403" i="1"/>
  <c r="L403" i="1"/>
  <c r="K403" i="1"/>
  <c r="J403" i="1"/>
  <c r="I403" i="1"/>
  <c r="H403" i="1"/>
  <c r="G403" i="1"/>
  <c r="F403" i="1"/>
  <c r="E403" i="1"/>
  <c r="D403" i="1"/>
  <c r="C403" i="1"/>
  <c r="M402" i="1"/>
  <c r="L402" i="1"/>
  <c r="K402" i="1"/>
  <c r="J402" i="1"/>
  <c r="I402" i="1"/>
  <c r="G402" i="1"/>
  <c r="F402" i="1"/>
  <c r="E402" i="1"/>
  <c r="D402" i="1"/>
  <c r="C402" i="1"/>
  <c r="H402" i="1" s="1"/>
  <c r="M401" i="1"/>
  <c r="L401" i="1"/>
  <c r="K401" i="1"/>
  <c r="J401" i="1"/>
  <c r="I401" i="1"/>
  <c r="G401" i="1"/>
  <c r="H401" i="1" s="1"/>
  <c r="F401" i="1"/>
  <c r="E401" i="1"/>
  <c r="D401" i="1"/>
  <c r="C401" i="1"/>
  <c r="M400" i="1"/>
  <c r="L400" i="1"/>
  <c r="K400" i="1"/>
  <c r="J400" i="1"/>
  <c r="I400" i="1"/>
  <c r="G400" i="1"/>
  <c r="F400" i="1"/>
  <c r="E400" i="1"/>
  <c r="D400" i="1"/>
  <c r="C400" i="1"/>
  <c r="H400" i="1" s="1"/>
  <c r="M399" i="1"/>
  <c r="L399" i="1"/>
  <c r="K399" i="1"/>
  <c r="J399" i="1"/>
  <c r="I399" i="1"/>
  <c r="G399" i="1"/>
  <c r="H399" i="1" s="1"/>
  <c r="F399" i="1"/>
  <c r="E399" i="1"/>
  <c r="D399" i="1"/>
  <c r="C399" i="1"/>
  <c r="M398" i="1"/>
  <c r="L398" i="1"/>
  <c r="K398" i="1"/>
  <c r="J398" i="1"/>
  <c r="I398" i="1"/>
  <c r="G398" i="1"/>
  <c r="H398" i="1" s="1"/>
  <c r="F398" i="1"/>
  <c r="E398" i="1"/>
  <c r="D398" i="1"/>
  <c r="C398" i="1"/>
  <c r="M397" i="1"/>
  <c r="L397" i="1"/>
  <c r="K397" i="1"/>
  <c r="J397" i="1"/>
  <c r="I397" i="1"/>
  <c r="G397" i="1"/>
  <c r="H397" i="1" s="1"/>
  <c r="F397" i="1"/>
  <c r="E397" i="1"/>
  <c r="D397" i="1"/>
  <c r="C397" i="1"/>
  <c r="M396" i="1"/>
  <c r="L396" i="1"/>
  <c r="K396" i="1"/>
  <c r="J396" i="1"/>
  <c r="I396" i="1"/>
  <c r="H396" i="1"/>
  <c r="G396" i="1"/>
  <c r="F396" i="1"/>
  <c r="E396" i="1"/>
  <c r="D396" i="1"/>
  <c r="C396" i="1"/>
  <c r="M395" i="1"/>
  <c r="L395" i="1"/>
  <c r="K395" i="1"/>
  <c r="J395" i="1"/>
  <c r="I395" i="1"/>
  <c r="G395" i="1"/>
  <c r="H395" i="1" s="1"/>
  <c r="F395" i="1"/>
  <c r="E395" i="1"/>
  <c r="D395" i="1"/>
  <c r="C395" i="1"/>
  <c r="M394" i="1"/>
  <c r="L394" i="1"/>
  <c r="K394" i="1"/>
  <c r="J394" i="1"/>
  <c r="I394" i="1"/>
  <c r="G394" i="1"/>
  <c r="F394" i="1"/>
  <c r="E394" i="1"/>
  <c r="D394" i="1"/>
  <c r="C394" i="1"/>
  <c r="H394" i="1" s="1"/>
  <c r="M393" i="1"/>
  <c r="L393" i="1"/>
  <c r="K393" i="1"/>
  <c r="J393" i="1"/>
  <c r="I393" i="1"/>
  <c r="H393" i="1"/>
  <c r="G393" i="1"/>
  <c r="F393" i="1"/>
  <c r="E393" i="1"/>
  <c r="D393" i="1"/>
  <c r="C393" i="1"/>
  <c r="M392" i="1"/>
  <c r="L392" i="1"/>
  <c r="K392" i="1"/>
  <c r="J392" i="1"/>
  <c r="I392" i="1"/>
  <c r="G392" i="1"/>
  <c r="H392" i="1" s="1"/>
  <c r="F392" i="1"/>
  <c r="E392" i="1"/>
  <c r="D392" i="1"/>
  <c r="C392" i="1"/>
  <c r="M391" i="1"/>
  <c r="L391" i="1"/>
  <c r="K391" i="1"/>
  <c r="J391" i="1"/>
  <c r="I391" i="1"/>
  <c r="G391" i="1"/>
  <c r="H391" i="1" s="1"/>
  <c r="F391" i="1"/>
  <c r="E391" i="1"/>
  <c r="D391" i="1"/>
  <c r="C391" i="1"/>
  <c r="M390" i="1"/>
  <c r="L390" i="1"/>
  <c r="K390" i="1"/>
  <c r="J390" i="1"/>
  <c r="I390" i="1"/>
  <c r="H390" i="1"/>
  <c r="G390" i="1"/>
  <c r="F390" i="1"/>
  <c r="E390" i="1"/>
  <c r="D390" i="1"/>
  <c r="C390" i="1"/>
  <c r="M389" i="1"/>
  <c r="L389" i="1"/>
  <c r="K389" i="1"/>
  <c r="J389" i="1"/>
  <c r="I389" i="1"/>
  <c r="G389" i="1"/>
  <c r="H389" i="1" s="1"/>
  <c r="F389" i="1"/>
  <c r="E389" i="1"/>
  <c r="D389" i="1"/>
  <c r="C389" i="1"/>
  <c r="M388" i="1"/>
  <c r="L388" i="1"/>
  <c r="K388" i="1"/>
  <c r="J388" i="1"/>
  <c r="I388" i="1"/>
  <c r="G388" i="1"/>
  <c r="F388" i="1"/>
  <c r="E388" i="1"/>
  <c r="D388" i="1"/>
  <c r="C388" i="1"/>
  <c r="H388" i="1" s="1"/>
  <c r="M387" i="1"/>
  <c r="L387" i="1"/>
  <c r="K387" i="1"/>
  <c r="J387" i="1"/>
  <c r="I387" i="1"/>
  <c r="H387" i="1"/>
  <c r="G387" i="1"/>
  <c r="F387" i="1"/>
  <c r="E387" i="1"/>
  <c r="D387" i="1"/>
  <c r="C387" i="1"/>
  <c r="M386" i="1"/>
  <c r="L386" i="1"/>
  <c r="K386" i="1"/>
  <c r="J386" i="1"/>
  <c r="I386" i="1"/>
  <c r="G386" i="1"/>
  <c r="H386" i="1" s="1"/>
  <c r="F386" i="1"/>
  <c r="E386" i="1"/>
  <c r="D386" i="1"/>
  <c r="C386" i="1"/>
  <c r="M385" i="1"/>
  <c r="L385" i="1"/>
  <c r="K385" i="1"/>
  <c r="J385" i="1"/>
  <c r="I385" i="1"/>
  <c r="G385" i="1"/>
  <c r="H385" i="1" s="1"/>
  <c r="F385" i="1"/>
  <c r="E385" i="1"/>
  <c r="D385" i="1"/>
  <c r="C385" i="1"/>
  <c r="M384" i="1"/>
  <c r="L384" i="1"/>
  <c r="K384" i="1"/>
  <c r="J384" i="1"/>
  <c r="I384" i="1"/>
  <c r="G384" i="1"/>
  <c r="F384" i="1"/>
  <c r="E384" i="1"/>
  <c r="D384" i="1"/>
  <c r="C384" i="1"/>
  <c r="H384" i="1" s="1"/>
  <c r="M383" i="1"/>
  <c r="L383" i="1"/>
  <c r="K383" i="1"/>
  <c r="J383" i="1"/>
  <c r="I383" i="1"/>
  <c r="G383" i="1"/>
  <c r="H383" i="1" s="1"/>
  <c r="F383" i="1"/>
  <c r="E383" i="1"/>
  <c r="D383" i="1"/>
  <c r="C383" i="1"/>
  <c r="M382" i="1"/>
  <c r="L382" i="1"/>
  <c r="K382" i="1"/>
  <c r="J382" i="1"/>
  <c r="I382" i="1"/>
  <c r="G382" i="1"/>
  <c r="H382" i="1" s="1"/>
  <c r="F382" i="1"/>
  <c r="E382" i="1"/>
  <c r="D382" i="1"/>
  <c r="C382" i="1"/>
  <c r="M381" i="1"/>
  <c r="L381" i="1"/>
  <c r="K381" i="1"/>
  <c r="J381" i="1"/>
  <c r="I381" i="1"/>
  <c r="G381" i="1"/>
  <c r="H381" i="1" s="1"/>
  <c r="F381" i="1"/>
  <c r="E381" i="1"/>
  <c r="D381" i="1"/>
  <c r="C381" i="1"/>
  <c r="M380" i="1"/>
  <c r="L380" i="1"/>
  <c r="K380" i="1"/>
  <c r="J380" i="1"/>
  <c r="I380" i="1"/>
  <c r="G380" i="1"/>
  <c r="H380" i="1" s="1"/>
  <c r="F380" i="1"/>
  <c r="E380" i="1"/>
  <c r="D380" i="1"/>
  <c r="C380" i="1"/>
  <c r="M379" i="1"/>
  <c r="L379" i="1"/>
  <c r="K379" i="1"/>
  <c r="J379" i="1"/>
  <c r="I379" i="1"/>
  <c r="G379" i="1"/>
  <c r="H379" i="1" s="1"/>
  <c r="F379" i="1"/>
  <c r="E379" i="1"/>
  <c r="D379" i="1"/>
  <c r="C379" i="1"/>
  <c r="M378" i="1"/>
  <c r="L378" i="1"/>
  <c r="K378" i="1"/>
  <c r="J378" i="1"/>
  <c r="I378" i="1"/>
  <c r="G378" i="1"/>
  <c r="F378" i="1"/>
  <c r="E378" i="1"/>
  <c r="D378" i="1"/>
  <c r="C378" i="1"/>
  <c r="H378" i="1" s="1"/>
  <c r="M377" i="1"/>
  <c r="L377" i="1"/>
  <c r="K377" i="1"/>
  <c r="J377" i="1"/>
  <c r="I377" i="1"/>
  <c r="G377" i="1"/>
  <c r="H377" i="1" s="1"/>
  <c r="F377" i="1"/>
  <c r="E377" i="1"/>
  <c r="D377" i="1"/>
  <c r="C377" i="1"/>
  <c r="M376" i="1"/>
  <c r="L376" i="1"/>
  <c r="K376" i="1"/>
  <c r="J376" i="1"/>
  <c r="I376" i="1"/>
  <c r="G376" i="1"/>
  <c r="H376" i="1" s="1"/>
  <c r="F376" i="1"/>
  <c r="E376" i="1"/>
  <c r="D376" i="1"/>
  <c r="C376" i="1"/>
  <c r="M375" i="1"/>
  <c r="L375" i="1"/>
  <c r="K375" i="1"/>
  <c r="J375" i="1"/>
  <c r="I375" i="1"/>
  <c r="G375" i="1"/>
  <c r="H375" i="1" s="1"/>
  <c r="F375" i="1"/>
  <c r="E375" i="1"/>
  <c r="D375" i="1"/>
  <c r="C375" i="1"/>
  <c r="M374" i="1"/>
  <c r="L374" i="1"/>
  <c r="K374" i="1"/>
  <c r="J374" i="1"/>
  <c r="I374" i="1"/>
  <c r="G374" i="1"/>
  <c r="H374" i="1" s="1"/>
  <c r="F374" i="1"/>
  <c r="E374" i="1"/>
  <c r="D374" i="1"/>
  <c r="C374" i="1"/>
  <c r="M373" i="1"/>
  <c r="L373" i="1"/>
  <c r="K373" i="1"/>
  <c r="J373" i="1"/>
  <c r="I373" i="1"/>
  <c r="G373" i="1"/>
  <c r="H373" i="1" s="1"/>
  <c r="F373" i="1"/>
  <c r="E373" i="1"/>
  <c r="D373" i="1"/>
  <c r="C373" i="1"/>
  <c r="M372" i="1"/>
  <c r="L372" i="1"/>
  <c r="K372" i="1"/>
  <c r="J372" i="1"/>
  <c r="I372" i="1"/>
  <c r="G372" i="1"/>
  <c r="F372" i="1"/>
  <c r="E372" i="1"/>
  <c r="D372" i="1"/>
  <c r="C372" i="1"/>
  <c r="H372" i="1" s="1"/>
  <c r="M371" i="1"/>
  <c r="L371" i="1"/>
  <c r="K371" i="1"/>
  <c r="J371" i="1"/>
  <c r="I371" i="1"/>
  <c r="H371" i="1"/>
  <c r="G371" i="1"/>
  <c r="F371" i="1"/>
  <c r="E371" i="1"/>
  <c r="D371" i="1"/>
  <c r="C371" i="1"/>
  <c r="M370" i="1"/>
  <c r="L370" i="1"/>
  <c r="K370" i="1"/>
  <c r="J370" i="1"/>
  <c r="I370" i="1"/>
  <c r="G370" i="1"/>
  <c r="H370" i="1" s="1"/>
  <c r="F370" i="1"/>
  <c r="E370" i="1"/>
  <c r="D370" i="1"/>
  <c r="C370" i="1"/>
  <c r="M369" i="1"/>
  <c r="L369" i="1"/>
  <c r="K369" i="1"/>
  <c r="J369" i="1"/>
  <c r="I369" i="1"/>
  <c r="G369" i="1"/>
  <c r="H369" i="1" s="1"/>
  <c r="F369" i="1"/>
  <c r="E369" i="1"/>
  <c r="D369" i="1"/>
  <c r="C369" i="1"/>
  <c r="M368" i="1"/>
  <c r="L368" i="1"/>
  <c r="K368" i="1"/>
  <c r="J368" i="1"/>
  <c r="I368" i="1"/>
  <c r="G368" i="1"/>
  <c r="F368" i="1"/>
  <c r="E368" i="1"/>
  <c r="D368" i="1"/>
  <c r="C368" i="1"/>
  <c r="H368" i="1" s="1"/>
  <c r="M367" i="1"/>
  <c r="L367" i="1"/>
  <c r="K367" i="1"/>
  <c r="J367" i="1"/>
  <c r="I367" i="1"/>
  <c r="H367" i="1"/>
  <c r="G367" i="1"/>
  <c r="F367" i="1"/>
  <c r="E367" i="1"/>
  <c r="D367" i="1"/>
  <c r="C367" i="1"/>
  <c r="M366" i="1"/>
  <c r="L366" i="1"/>
  <c r="K366" i="1"/>
  <c r="J366" i="1"/>
  <c r="I366" i="1"/>
  <c r="G366" i="1"/>
  <c r="H366" i="1" s="1"/>
  <c r="F366" i="1"/>
  <c r="E366" i="1"/>
  <c r="D366" i="1"/>
  <c r="C366" i="1"/>
  <c r="M365" i="1"/>
  <c r="L365" i="1"/>
  <c r="K365" i="1"/>
  <c r="J365" i="1"/>
  <c r="I365" i="1"/>
  <c r="G365" i="1"/>
  <c r="H365" i="1" s="1"/>
  <c r="F365" i="1"/>
  <c r="E365" i="1"/>
  <c r="D365" i="1"/>
  <c r="C365" i="1"/>
  <c r="M364" i="1"/>
  <c r="L364" i="1"/>
  <c r="K364" i="1"/>
  <c r="J364" i="1"/>
  <c r="I364" i="1"/>
  <c r="H364" i="1"/>
  <c r="G364" i="1"/>
  <c r="F364" i="1"/>
  <c r="E364" i="1"/>
  <c r="D364" i="1"/>
  <c r="C364" i="1"/>
  <c r="M363" i="1"/>
  <c r="L363" i="1"/>
  <c r="K363" i="1"/>
  <c r="J363" i="1"/>
  <c r="I363" i="1"/>
  <c r="H363" i="1"/>
  <c r="G363" i="1"/>
  <c r="F363" i="1"/>
  <c r="E363" i="1"/>
  <c r="D363" i="1"/>
  <c r="C363" i="1"/>
  <c r="M362" i="1"/>
  <c r="L362" i="1"/>
  <c r="K362" i="1"/>
  <c r="J362" i="1"/>
  <c r="I362" i="1"/>
  <c r="G362" i="1"/>
  <c r="F362" i="1"/>
  <c r="E362" i="1"/>
  <c r="D362" i="1"/>
  <c r="C362" i="1"/>
  <c r="H362" i="1" s="1"/>
  <c r="M361" i="1"/>
  <c r="L361" i="1"/>
  <c r="K361" i="1"/>
  <c r="J361" i="1"/>
  <c r="I361" i="1"/>
  <c r="H361" i="1"/>
  <c r="G361" i="1"/>
  <c r="F361" i="1"/>
  <c r="E361" i="1"/>
  <c r="D361" i="1"/>
  <c r="C361" i="1"/>
  <c r="M360" i="1"/>
  <c r="L360" i="1"/>
  <c r="K360" i="1"/>
  <c r="J360" i="1"/>
  <c r="I360" i="1"/>
  <c r="H360" i="1"/>
  <c r="G360" i="1"/>
  <c r="F360" i="1"/>
  <c r="E360" i="1"/>
  <c r="D360" i="1"/>
  <c r="C360" i="1"/>
  <c r="M359" i="1"/>
  <c r="L359" i="1"/>
  <c r="K359" i="1"/>
  <c r="J359" i="1"/>
  <c r="I359" i="1"/>
  <c r="G359" i="1"/>
  <c r="F359" i="1"/>
  <c r="E359" i="1"/>
  <c r="D359" i="1"/>
  <c r="C359" i="1"/>
  <c r="M358" i="1"/>
  <c r="L358" i="1"/>
  <c r="K358" i="1"/>
  <c r="J358" i="1"/>
  <c r="I358" i="1"/>
  <c r="H358" i="1"/>
  <c r="G358" i="1"/>
  <c r="F358" i="1"/>
  <c r="E358" i="1"/>
  <c r="D358" i="1"/>
  <c r="C358" i="1"/>
  <c r="M357" i="1"/>
  <c r="L357" i="1"/>
  <c r="K357" i="1"/>
  <c r="J357" i="1"/>
  <c r="I357" i="1"/>
  <c r="H357" i="1"/>
  <c r="G357" i="1"/>
  <c r="F357" i="1"/>
  <c r="E357" i="1"/>
  <c r="D357" i="1"/>
  <c r="C357" i="1"/>
  <c r="M356" i="1"/>
  <c r="L356" i="1"/>
  <c r="K356" i="1"/>
  <c r="J356" i="1"/>
  <c r="I356" i="1"/>
  <c r="G356" i="1"/>
  <c r="F356" i="1"/>
  <c r="E356" i="1"/>
  <c r="D356" i="1"/>
  <c r="C356" i="1"/>
  <c r="H356" i="1" s="1"/>
  <c r="M355" i="1"/>
  <c r="L355" i="1"/>
  <c r="K355" i="1"/>
  <c r="J355" i="1"/>
  <c r="I355" i="1"/>
  <c r="H355" i="1"/>
  <c r="G355" i="1"/>
  <c r="F355" i="1"/>
  <c r="E355" i="1"/>
  <c r="D355" i="1"/>
  <c r="C355" i="1"/>
  <c r="M354" i="1"/>
  <c r="L354" i="1"/>
  <c r="K354" i="1"/>
  <c r="J354" i="1"/>
  <c r="I354" i="1"/>
  <c r="H354" i="1"/>
  <c r="G354" i="1"/>
  <c r="F354" i="1"/>
  <c r="E354" i="1"/>
  <c r="D354" i="1"/>
  <c r="C354" i="1"/>
  <c r="M353" i="1"/>
  <c r="L353" i="1"/>
  <c r="K353" i="1"/>
  <c r="J353" i="1"/>
  <c r="I353" i="1"/>
  <c r="G353" i="1"/>
  <c r="F353" i="1"/>
  <c r="E353" i="1"/>
  <c r="D353" i="1"/>
  <c r="C353" i="1"/>
  <c r="M352" i="1"/>
  <c r="L352" i="1"/>
  <c r="K352" i="1"/>
  <c r="J352" i="1"/>
  <c r="I352" i="1"/>
  <c r="G352" i="1"/>
  <c r="F352" i="1"/>
  <c r="E352" i="1"/>
  <c r="D352" i="1"/>
  <c r="C352" i="1"/>
  <c r="H352" i="1" s="1"/>
  <c r="M351" i="1"/>
  <c r="L351" i="1"/>
  <c r="K351" i="1"/>
  <c r="J351" i="1"/>
  <c r="I351" i="1"/>
  <c r="G351" i="1"/>
  <c r="H351" i="1" s="1"/>
  <c r="F351" i="1"/>
  <c r="E351" i="1"/>
  <c r="D351" i="1"/>
  <c r="C351" i="1"/>
  <c r="M350" i="1"/>
  <c r="L350" i="1"/>
  <c r="K350" i="1"/>
  <c r="J350" i="1"/>
  <c r="I350" i="1"/>
  <c r="G350" i="1"/>
  <c r="H350" i="1" s="1"/>
  <c r="F350" i="1"/>
  <c r="E350" i="1"/>
  <c r="D350" i="1"/>
  <c r="C350" i="1"/>
  <c r="M349" i="1"/>
  <c r="L349" i="1"/>
  <c r="K349" i="1"/>
  <c r="J349" i="1"/>
  <c r="I349" i="1"/>
  <c r="G349" i="1"/>
  <c r="H349" i="1" s="1"/>
  <c r="F349" i="1"/>
  <c r="E349" i="1"/>
  <c r="D349" i="1"/>
  <c r="C349" i="1"/>
  <c r="M348" i="1"/>
  <c r="L348" i="1"/>
  <c r="K348" i="1"/>
  <c r="J348" i="1"/>
  <c r="I348" i="1"/>
  <c r="G348" i="1"/>
  <c r="H348" i="1" s="1"/>
  <c r="F348" i="1"/>
  <c r="E348" i="1"/>
  <c r="D348" i="1"/>
  <c r="C348" i="1"/>
  <c r="M347" i="1"/>
  <c r="L347" i="1"/>
  <c r="K347" i="1"/>
  <c r="J347" i="1"/>
  <c r="I347" i="1"/>
  <c r="G347" i="1"/>
  <c r="H347" i="1" s="1"/>
  <c r="F347" i="1"/>
  <c r="E347" i="1"/>
  <c r="D347" i="1"/>
  <c r="C347" i="1"/>
  <c r="M346" i="1"/>
  <c r="L346" i="1"/>
  <c r="K346" i="1"/>
  <c r="J346" i="1"/>
  <c r="I346" i="1"/>
  <c r="G346" i="1"/>
  <c r="F346" i="1"/>
  <c r="E346" i="1"/>
  <c r="D346" i="1"/>
  <c r="C346" i="1"/>
  <c r="H346" i="1" s="1"/>
  <c r="M345" i="1"/>
  <c r="L345" i="1"/>
  <c r="K345" i="1"/>
  <c r="J345" i="1"/>
  <c r="I345" i="1"/>
  <c r="G345" i="1"/>
  <c r="H345" i="1" s="1"/>
  <c r="F345" i="1"/>
  <c r="E345" i="1"/>
  <c r="D345" i="1"/>
  <c r="C345" i="1"/>
  <c r="M344" i="1"/>
  <c r="L344" i="1"/>
  <c r="K344" i="1"/>
  <c r="J344" i="1"/>
  <c r="I344" i="1"/>
  <c r="G344" i="1"/>
  <c r="H344" i="1" s="1"/>
  <c r="F344" i="1"/>
  <c r="E344" i="1"/>
  <c r="D344" i="1"/>
  <c r="C344" i="1"/>
  <c r="M343" i="1"/>
  <c r="L343" i="1"/>
  <c r="K343" i="1"/>
  <c r="J343" i="1"/>
  <c r="I343" i="1"/>
  <c r="G343" i="1"/>
  <c r="H343" i="1" s="1"/>
  <c r="F343" i="1"/>
  <c r="E343" i="1"/>
  <c r="D343" i="1"/>
  <c r="C343" i="1"/>
  <c r="M342" i="1"/>
  <c r="L342" i="1"/>
  <c r="K342" i="1"/>
  <c r="J342" i="1"/>
  <c r="I342" i="1"/>
  <c r="G342" i="1"/>
  <c r="H342" i="1" s="1"/>
  <c r="F342" i="1"/>
  <c r="E342" i="1"/>
  <c r="D342" i="1"/>
  <c r="C342" i="1"/>
  <c r="M341" i="1"/>
  <c r="L341" i="1"/>
  <c r="K341" i="1"/>
  <c r="J341" i="1"/>
  <c r="I341" i="1"/>
  <c r="G341" i="1"/>
  <c r="H341" i="1" s="1"/>
  <c r="F341" i="1"/>
  <c r="E341" i="1"/>
  <c r="D341" i="1"/>
  <c r="C341" i="1"/>
  <c r="M340" i="1"/>
  <c r="L340" i="1"/>
  <c r="K340" i="1"/>
  <c r="J340" i="1"/>
  <c r="I340" i="1"/>
  <c r="G340" i="1"/>
  <c r="F340" i="1"/>
  <c r="E340" i="1"/>
  <c r="D340" i="1"/>
  <c r="C340" i="1"/>
  <c r="H340" i="1" s="1"/>
  <c r="M339" i="1"/>
  <c r="L339" i="1"/>
  <c r="K339" i="1"/>
  <c r="J339" i="1"/>
  <c r="I339" i="1"/>
  <c r="H339" i="1"/>
  <c r="G339" i="1"/>
  <c r="F339" i="1"/>
  <c r="E339" i="1"/>
  <c r="D339" i="1"/>
  <c r="C339" i="1"/>
  <c r="M338" i="1"/>
  <c r="L338" i="1"/>
  <c r="K338" i="1"/>
  <c r="J338" i="1"/>
  <c r="I338" i="1"/>
  <c r="G338" i="1"/>
  <c r="H338" i="1" s="1"/>
  <c r="F338" i="1"/>
  <c r="E338" i="1"/>
  <c r="D338" i="1"/>
  <c r="C338" i="1"/>
  <c r="M337" i="1"/>
  <c r="L337" i="1"/>
  <c r="K337" i="1"/>
  <c r="J337" i="1"/>
  <c r="I337" i="1"/>
  <c r="G337" i="1"/>
  <c r="H337" i="1" s="1"/>
  <c r="F337" i="1"/>
  <c r="E337" i="1"/>
  <c r="D337" i="1"/>
  <c r="C337" i="1"/>
  <c r="M336" i="1"/>
  <c r="L336" i="1"/>
  <c r="K336" i="1"/>
  <c r="J336" i="1"/>
  <c r="I336" i="1"/>
  <c r="G336" i="1"/>
  <c r="F336" i="1"/>
  <c r="E336" i="1"/>
  <c r="D336" i="1"/>
  <c r="C336" i="1"/>
  <c r="H336" i="1" s="1"/>
  <c r="M335" i="1"/>
  <c r="L335" i="1"/>
  <c r="K335" i="1"/>
  <c r="J335" i="1"/>
  <c r="I335" i="1"/>
  <c r="G335" i="1"/>
  <c r="H335" i="1" s="1"/>
  <c r="F335" i="1"/>
  <c r="E335" i="1"/>
  <c r="D335" i="1"/>
  <c r="C335" i="1"/>
  <c r="M334" i="1"/>
  <c r="L334" i="1"/>
  <c r="K334" i="1"/>
  <c r="J334" i="1"/>
  <c r="I334" i="1"/>
  <c r="G334" i="1"/>
  <c r="H334" i="1" s="1"/>
  <c r="F334" i="1"/>
  <c r="E334" i="1"/>
  <c r="D334" i="1"/>
  <c r="C334" i="1"/>
  <c r="M333" i="1"/>
  <c r="L333" i="1"/>
  <c r="K333" i="1"/>
  <c r="J333" i="1"/>
  <c r="I333" i="1"/>
  <c r="G333" i="1"/>
  <c r="H333" i="1" s="1"/>
  <c r="F333" i="1"/>
  <c r="E333" i="1"/>
  <c r="D333" i="1"/>
  <c r="C333" i="1"/>
  <c r="M332" i="1"/>
  <c r="L332" i="1"/>
  <c r="K332" i="1"/>
  <c r="J332" i="1"/>
  <c r="I332" i="1"/>
  <c r="G332" i="1"/>
  <c r="H332" i="1" s="1"/>
  <c r="F332" i="1"/>
  <c r="E332" i="1"/>
  <c r="D332" i="1"/>
  <c r="C332" i="1"/>
  <c r="M331" i="1"/>
  <c r="L331" i="1"/>
  <c r="K331" i="1"/>
  <c r="J331" i="1"/>
  <c r="I331" i="1"/>
  <c r="H331" i="1"/>
  <c r="G331" i="1"/>
  <c r="F331" i="1"/>
  <c r="E331" i="1"/>
  <c r="D331" i="1"/>
  <c r="C331" i="1"/>
  <c r="M330" i="1"/>
  <c r="L330" i="1"/>
  <c r="K330" i="1"/>
  <c r="J330" i="1"/>
  <c r="I330" i="1"/>
  <c r="G330" i="1"/>
  <c r="F330" i="1"/>
  <c r="E330" i="1"/>
  <c r="D330" i="1"/>
  <c r="C330" i="1"/>
  <c r="H330" i="1" s="1"/>
  <c r="M329" i="1"/>
  <c r="L329" i="1"/>
  <c r="K329" i="1"/>
  <c r="J329" i="1"/>
  <c r="I329" i="1"/>
  <c r="G329" i="1"/>
  <c r="H329" i="1" s="1"/>
  <c r="F329" i="1"/>
  <c r="E329" i="1"/>
  <c r="D329" i="1"/>
  <c r="C329" i="1"/>
  <c r="M328" i="1"/>
  <c r="L328" i="1"/>
  <c r="K328" i="1"/>
  <c r="J328" i="1"/>
  <c r="I328" i="1"/>
  <c r="H328" i="1"/>
  <c r="G328" i="1"/>
  <c r="F328" i="1"/>
  <c r="E328" i="1"/>
  <c r="D328" i="1"/>
  <c r="C328" i="1"/>
  <c r="M327" i="1"/>
  <c r="L327" i="1"/>
  <c r="K327" i="1"/>
  <c r="J327" i="1"/>
  <c r="I327" i="1"/>
  <c r="G327" i="1"/>
  <c r="F327" i="1"/>
  <c r="E327" i="1"/>
  <c r="D327" i="1"/>
  <c r="C327" i="1"/>
  <c r="M326" i="1"/>
  <c r="L326" i="1"/>
  <c r="K326" i="1"/>
  <c r="J326" i="1"/>
  <c r="I326" i="1"/>
  <c r="G326" i="1"/>
  <c r="H326" i="1" s="1"/>
  <c r="F326" i="1"/>
  <c r="E326" i="1"/>
  <c r="D326" i="1"/>
  <c r="C326" i="1"/>
  <c r="M325" i="1"/>
  <c r="L325" i="1"/>
  <c r="K325" i="1"/>
  <c r="J325" i="1"/>
  <c r="I325" i="1"/>
  <c r="H325" i="1"/>
  <c r="G325" i="1"/>
  <c r="F325" i="1"/>
  <c r="E325" i="1"/>
  <c r="D325" i="1"/>
  <c r="C325" i="1"/>
  <c r="M324" i="1"/>
  <c r="L324" i="1"/>
  <c r="K324" i="1"/>
  <c r="J324" i="1"/>
  <c r="I324" i="1"/>
  <c r="G324" i="1"/>
  <c r="F324" i="1"/>
  <c r="E324" i="1"/>
  <c r="D324" i="1"/>
  <c r="C324" i="1"/>
  <c r="H324" i="1" s="1"/>
  <c r="M323" i="1"/>
  <c r="L323" i="1"/>
  <c r="K323" i="1"/>
  <c r="J323" i="1"/>
  <c r="I323" i="1"/>
  <c r="H323" i="1"/>
  <c r="G323" i="1"/>
  <c r="F323" i="1"/>
  <c r="E323" i="1"/>
  <c r="D323" i="1"/>
  <c r="C323" i="1"/>
  <c r="M322" i="1"/>
  <c r="L322" i="1"/>
  <c r="K322" i="1"/>
  <c r="J322" i="1"/>
  <c r="I322" i="1"/>
  <c r="H322" i="1"/>
  <c r="G322" i="1"/>
  <c r="F322" i="1"/>
  <c r="E322" i="1"/>
  <c r="D322" i="1"/>
  <c r="C322" i="1"/>
  <c r="M321" i="1"/>
  <c r="L321" i="1"/>
  <c r="K321" i="1"/>
  <c r="J321" i="1"/>
  <c r="I321" i="1"/>
  <c r="G321" i="1"/>
  <c r="F321" i="1"/>
  <c r="E321" i="1"/>
  <c r="D321" i="1"/>
  <c r="C321" i="1"/>
  <c r="M320" i="1"/>
  <c r="L320" i="1"/>
  <c r="K320" i="1"/>
  <c r="J320" i="1"/>
  <c r="I320" i="1"/>
  <c r="G320" i="1"/>
  <c r="F320" i="1"/>
  <c r="E320" i="1"/>
  <c r="D320" i="1"/>
  <c r="C320" i="1"/>
  <c r="H320" i="1" s="1"/>
  <c r="M319" i="1"/>
  <c r="L319" i="1"/>
  <c r="K319" i="1"/>
  <c r="J319" i="1"/>
  <c r="I319" i="1"/>
  <c r="H319" i="1"/>
  <c r="G319" i="1"/>
  <c r="F319" i="1"/>
  <c r="E319" i="1"/>
  <c r="D319" i="1"/>
  <c r="C319" i="1"/>
  <c r="M318" i="1"/>
  <c r="L318" i="1"/>
  <c r="K318" i="1"/>
  <c r="J318" i="1"/>
  <c r="I318" i="1"/>
  <c r="G318" i="1"/>
  <c r="F318" i="1"/>
  <c r="E318" i="1"/>
  <c r="D318" i="1"/>
  <c r="C318" i="1"/>
  <c r="M317" i="1"/>
  <c r="L317" i="1"/>
  <c r="K317" i="1"/>
  <c r="J317" i="1"/>
  <c r="I317" i="1"/>
  <c r="G317" i="1"/>
  <c r="H317" i="1" s="1"/>
  <c r="F317" i="1"/>
  <c r="E317" i="1"/>
  <c r="D317" i="1"/>
  <c r="C317" i="1"/>
  <c r="M316" i="1"/>
  <c r="L316" i="1"/>
  <c r="K316" i="1"/>
  <c r="J316" i="1"/>
  <c r="I316" i="1"/>
  <c r="H316" i="1"/>
  <c r="G316" i="1"/>
  <c r="F316" i="1"/>
  <c r="E316" i="1"/>
  <c r="D316" i="1"/>
  <c r="C316" i="1"/>
  <c r="M315" i="1"/>
  <c r="L315" i="1"/>
  <c r="K315" i="1"/>
  <c r="J315" i="1"/>
  <c r="I315" i="1"/>
  <c r="G315" i="1"/>
  <c r="F315" i="1"/>
  <c r="E315" i="1"/>
  <c r="D315" i="1"/>
  <c r="C315" i="1"/>
  <c r="H315" i="1" s="1"/>
  <c r="M314" i="1"/>
  <c r="L314" i="1"/>
  <c r="K314" i="1"/>
  <c r="J314" i="1"/>
  <c r="I314" i="1"/>
  <c r="G314" i="1"/>
  <c r="F314" i="1"/>
  <c r="E314" i="1"/>
  <c r="D314" i="1"/>
  <c r="C314" i="1"/>
  <c r="H314" i="1" s="1"/>
  <c r="M313" i="1"/>
  <c r="L313" i="1"/>
  <c r="K313" i="1"/>
  <c r="J313" i="1"/>
  <c r="I313" i="1"/>
  <c r="H313" i="1"/>
  <c r="G313" i="1"/>
  <c r="F313" i="1"/>
  <c r="E313" i="1"/>
  <c r="D313" i="1"/>
  <c r="C313" i="1"/>
  <c r="M312" i="1"/>
  <c r="L312" i="1"/>
  <c r="K312" i="1"/>
  <c r="J312" i="1"/>
  <c r="I312" i="1"/>
  <c r="G312" i="1"/>
  <c r="F312" i="1"/>
  <c r="E312" i="1"/>
  <c r="D312" i="1"/>
  <c r="C312" i="1"/>
  <c r="H312" i="1" s="1"/>
  <c r="M311" i="1"/>
  <c r="L311" i="1"/>
  <c r="K311" i="1"/>
  <c r="J311" i="1"/>
  <c r="I311" i="1"/>
  <c r="G311" i="1"/>
  <c r="F311" i="1"/>
  <c r="E311" i="1"/>
  <c r="D311" i="1"/>
  <c r="C311" i="1"/>
  <c r="M310" i="1"/>
  <c r="L310" i="1"/>
  <c r="K310" i="1"/>
  <c r="J310" i="1"/>
  <c r="I310" i="1"/>
  <c r="H310" i="1"/>
  <c r="G310" i="1"/>
  <c r="F310" i="1"/>
  <c r="E310" i="1"/>
  <c r="D310" i="1"/>
  <c r="C310" i="1"/>
  <c r="M309" i="1"/>
  <c r="L309" i="1"/>
  <c r="K309" i="1"/>
  <c r="J309" i="1"/>
  <c r="I309" i="1"/>
  <c r="G309" i="1"/>
  <c r="F309" i="1"/>
  <c r="E309" i="1"/>
  <c r="D309" i="1"/>
  <c r="C309" i="1"/>
  <c r="H309" i="1" s="1"/>
  <c r="M308" i="1"/>
  <c r="L308" i="1"/>
  <c r="K308" i="1"/>
  <c r="J308" i="1"/>
  <c r="I308" i="1"/>
  <c r="G308" i="1"/>
  <c r="F308" i="1"/>
  <c r="E308" i="1"/>
  <c r="D308" i="1"/>
  <c r="C308" i="1"/>
  <c r="H308" i="1" s="1"/>
  <c r="M307" i="1"/>
  <c r="L307" i="1"/>
  <c r="K307" i="1"/>
  <c r="J307" i="1"/>
  <c r="I307" i="1"/>
  <c r="H307" i="1"/>
  <c r="G307" i="1"/>
  <c r="F307" i="1"/>
  <c r="E307" i="1"/>
  <c r="D307" i="1"/>
  <c r="C307" i="1"/>
  <c r="M306" i="1"/>
  <c r="L306" i="1"/>
  <c r="K306" i="1"/>
  <c r="J306" i="1"/>
  <c r="I306" i="1"/>
  <c r="G306" i="1"/>
  <c r="F306" i="1"/>
  <c r="E306" i="1"/>
  <c r="D306" i="1"/>
  <c r="C306" i="1"/>
  <c r="H306" i="1" s="1"/>
  <c r="M305" i="1"/>
  <c r="L305" i="1"/>
  <c r="K305" i="1"/>
  <c r="J305" i="1"/>
  <c r="I305" i="1"/>
  <c r="G305" i="1"/>
  <c r="F305" i="1"/>
  <c r="E305" i="1"/>
  <c r="D305" i="1"/>
  <c r="C305" i="1"/>
  <c r="M304" i="1"/>
  <c r="L304" i="1"/>
  <c r="K304" i="1"/>
  <c r="J304" i="1"/>
  <c r="I304" i="1"/>
  <c r="G304" i="1"/>
  <c r="F304" i="1"/>
  <c r="E304" i="1"/>
  <c r="D304" i="1"/>
  <c r="C304" i="1"/>
  <c r="H304" i="1" s="1"/>
  <c r="M303" i="1"/>
  <c r="L303" i="1"/>
  <c r="K303" i="1"/>
  <c r="J303" i="1"/>
  <c r="I303" i="1"/>
  <c r="H303" i="1"/>
  <c r="G303" i="1"/>
  <c r="F303" i="1"/>
  <c r="E303" i="1"/>
  <c r="D303" i="1"/>
  <c r="C303" i="1"/>
  <c r="M302" i="1"/>
  <c r="L302" i="1"/>
  <c r="K302" i="1"/>
  <c r="J302" i="1"/>
  <c r="I302" i="1"/>
  <c r="G302" i="1"/>
  <c r="H302" i="1" s="1"/>
  <c r="F302" i="1"/>
  <c r="E302" i="1"/>
  <c r="D302" i="1"/>
  <c r="C302" i="1"/>
  <c r="M301" i="1"/>
  <c r="L301" i="1"/>
  <c r="K301" i="1"/>
  <c r="J301" i="1"/>
  <c r="I301" i="1"/>
  <c r="G301" i="1"/>
  <c r="H301" i="1" s="1"/>
  <c r="F301" i="1"/>
  <c r="E301" i="1"/>
  <c r="D301" i="1"/>
  <c r="C301" i="1"/>
  <c r="M300" i="1"/>
  <c r="L300" i="1"/>
  <c r="K300" i="1"/>
  <c r="J300" i="1"/>
  <c r="I300" i="1"/>
  <c r="G300" i="1"/>
  <c r="H300" i="1" s="1"/>
  <c r="F300" i="1"/>
  <c r="E300" i="1"/>
  <c r="D300" i="1"/>
  <c r="C300" i="1"/>
  <c r="M299" i="1"/>
  <c r="L299" i="1"/>
  <c r="K299" i="1"/>
  <c r="J299" i="1"/>
  <c r="I299" i="1"/>
  <c r="G299" i="1"/>
  <c r="H299" i="1" s="1"/>
  <c r="F299" i="1"/>
  <c r="E299" i="1"/>
  <c r="D299" i="1"/>
  <c r="C299" i="1"/>
  <c r="M298" i="1"/>
  <c r="L298" i="1"/>
  <c r="K298" i="1"/>
  <c r="J298" i="1"/>
  <c r="I298" i="1"/>
  <c r="G298" i="1"/>
  <c r="F298" i="1"/>
  <c r="E298" i="1"/>
  <c r="D298" i="1"/>
  <c r="C298" i="1"/>
  <c r="H298" i="1" s="1"/>
  <c r="M297" i="1"/>
  <c r="L297" i="1"/>
  <c r="K297" i="1"/>
  <c r="J297" i="1"/>
  <c r="I297" i="1"/>
  <c r="G297" i="1"/>
  <c r="H297" i="1" s="1"/>
  <c r="F297" i="1"/>
  <c r="E297" i="1"/>
  <c r="D297" i="1"/>
  <c r="C297" i="1"/>
  <c r="M296" i="1"/>
  <c r="L296" i="1"/>
  <c r="K296" i="1"/>
  <c r="J296" i="1"/>
  <c r="I296" i="1"/>
  <c r="G296" i="1"/>
  <c r="H296" i="1" s="1"/>
  <c r="F296" i="1"/>
  <c r="E296" i="1"/>
  <c r="D296" i="1"/>
  <c r="C296" i="1"/>
  <c r="M295" i="1"/>
  <c r="L295" i="1"/>
  <c r="K295" i="1"/>
  <c r="J295" i="1"/>
  <c r="I295" i="1"/>
  <c r="G295" i="1"/>
  <c r="H295" i="1" s="1"/>
  <c r="F295" i="1"/>
  <c r="E295" i="1"/>
  <c r="D295" i="1"/>
  <c r="C295" i="1"/>
  <c r="M294" i="1"/>
  <c r="L294" i="1"/>
  <c r="K294" i="1"/>
  <c r="J294" i="1"/>
  <c r="I294" i="1"/>
  <c r="G294" i="1"/>
  <c r="H294" i="1" s="1"/>
  <c r="F294" i="1"/>
  <c r="E294" i="1"/>
  <c r="D294" i="1"/>
  <c r="C294" i="1"/>
  <c r="M293" i="1"/>
  <c r="L293" i="1"/>
  <c r="K293" i="1"/>
  <c r="J293" i="1"/>
  <c r="I293" i="1"/>
  <c r="G293" i="1"/>
  <c r="H293" i="1" s="1"/>
  <c r="F293" i="1"/>
  <c r="E293" i="1"/>
  <c r="D293" i="1"/>
  <c r="C293" i="1"/>
  <c r="M292" i="1"/>
  <c r="L292" i="1"/>
  <c r="K292" i="1"/>
  <c r="J292" i="1"/>
  <c r="I292" i="1"/>
  <c r="G292" i="1"/>
  <c r="F292" i="1"/>
  <c r="E292" i="1"/>
  <c r="D292" i="1"/>
  <c r="C292" i="1"/>
  <c r="H292" i="1" s="1"/>
  <c r="M291" i="1"/>
  <c r="L291" i="1"/>
  <c r="K291" i="1"/>
  <c r="J291" i="1"/>
  <c r="I291" i="1"/>
  <c r="H291" i="1"/>
  <c r="G291" i="1"/>
  <c r="F291" i="1"/>
  <c r="E291" i="1"/>
  <c r="D291" i="1"/>
  <c r="C291" i="1"/>
  <c r="M290" i="1"/>
  <c r="L290" i="1"/>
  <c r="K290" i="1"/>
  <c r="J290" i="1"/>
  <c r="I290" i="1"/>
  <c r="G290" i="1"/>
  <c r="H290" i="1" s="1"/>
  <c r="F290" i="1"/>
  <c r="E290" i="1"/>
  <c r="D290" i="1"/>
  <c r="C290" i="1"/>
  <c r="M289" i="1"/>
  <c r="L289" i="1"/>
  <c r="K289" i="1"/>
  <c r="J289" i="1"/>
  <c r="I289" i="1"/>
  <c r="G289" i="1"/>
  <c r="H289" i="1" s="1"/>
  <c r="F289" i="1"/>
  <c r="E289" i="1"/>
  <c r="D289" i="1"/>
  <c r="C289" i="1"/>
  <c r="M288" i="1"/>
  <c r="L288" i="1"/>
  <c r="K288" i="1"/>
  <c r="J288" i="1"/>
  <c r="I288" i="1"/>
  <c r="G288" i="1"/>
  <c r="F288" i="1"/>
  <c r="E288" i="1"/>
  <c r="D288" i="1"/>
  <c r="C288" i="1"/>
  <c r="H288" i="1" s="1"/>
  <c r="M287" i="1"/>
  <c r="L287" i="1"/>
  <c r="K287" i="1"/>
  <c r="J287" i="1"/>
  <c r="I287" i="1"/>
  <c r="H287" i="1"/>
  <c r="G287" i="1"/>
  <c r="F287" i="1"/>
  <c r="E287" i="1"/>
  <c r="D287" i="1"/>
  <c r="C287" i="1"/>
  <c r="M286" i="1"/>
  <c r="L286" i="1"/>
  <c r="K286" i="1"/>
  <c r="J286" i="1"/>
  <c r="I286" i="1"/>
  <c r="G286" i="1"/>
  <c r="F286" i="1"/>
  <c r="E286" i="1"/>
  <c r="D286" i="1"/>
  <c r="C286" i="1"/>
  <c r="M285" i="1"/>
  <c r="L285" i="1"/>
  <c r="K285" i="1"/>
  <c r="J285" i="1"/>
  <c r="I285" i="1"/>
  <c r="G285" i="1"/>
  <c r="H285" i="1" s="1"/>
  <c r="F285" i="1"/>
  <c r="E285" i="1"/>
  <c r="D285" i="1"/>
  <c r="C285" i="1"/>
  <c r="M284" i="1"/>
  <c r="L284" i="1"/>
  <c r="K284" i="1"/>
  <c r="J284" i="1"/>
  <c r="I284" i="1"/>
  <c r="H284" i="1"/>
  <c r="G284" i="1"/>
  <c r="F284" i="1"/>
  <c r="E284" i="1"/>
  <c r="D284" i="1"/>
  <c r="C284" i="1"/>
  <c r="M283" i="1"/>
  <c r="L283" i="1"/>
  <c r="K283" i="1"/>
  <c r="J283" i="1"/>
  <c r="I283" i="1"/>
  <c r="G283" i="1"/>
  <c r="H283" i="1" s="1"/>
  <c r="F283" i="1"/>
  <c r="E283" i="1"/>
  <c r="D283" i="1"/>
  <c r="C283" i="1"/>
  <c r="M282" i="1"/>
  <c r="L282" i="1"/>
  <c r="K282" i="1"/>
  <c r="J282" i="1"/>
  <c r="I282" i="1"/>
  <c r="G282" i="1"/>
  <c r="F282" i="1"/>
  <c r="E282" i="1"/>
  <c r="D282" i="1"/>
  <c r="C282" i="1"/>
  <c r="H282" i="1" s="1"/>
  <c r="M281" i="1"/>
  <c r="L281" i="1"/>
  <c r="K281" i="1"/>
  <c r="J281" i="1"/>
  <c r="I281" i="1"/>
  <c r="H281" i="1"/>
  <c r="G281" i="1"/>
  <c r="F281" i="1"/>
  <c r="E281" i="1"/>
  <c r="D281" i="1"/>
  <c r="C281" i="1"/>
  <c r="M280" i="1"/>
  <c r="L280" i="1"/>
  <c r="K280" i="1"/>
  <c r="J280" i="1"/>
  <c r="I280" i="1"/>
  <c r="G280" i="1"/>
  <c r="H280" i="1" s="1"/>
  <c r="F280" i="1"/>
  <c r="E280" i="1"/>
  <c r="D280" i="1"/>
  <c r="C280" i="1"/>
  <c r="M279" i="1"/>
  <c r="L279" i="1"/>
  <c r="K279" i="1"/>
  <c r="J279" i="1"/>
  <c r="I279" i="1"/>
  <c r="G279" i="1"/>
  <c r="H279" i="1" s="1"/>
  <c r="F279" i="1"/>
  <c r="E279" i="1"/>
  <c r="D279" i="1"/>
  <c r="C279" i="1"/>
  <c r="M278" i="1"/>
  <c r="L278" i="1"/>
  <c r="K278" i="1"/>
  <c r="J278" i="1"/>
  <c r="I278" i="1"/>
  <c r="H278" i="1"/>
  <c r="G278" i="1"/>
  <c r="F278" i="1"/>
  <c r="E278" i="1"/>
  <c r="D278" i="1"/>
  <c r="C278" i="1"/>
  <c r="M277" i="1"/>
  <c r="L277" i="1"/>
  <c r="K277" i="1"/>
  <c r="J277" i="1"/>
  <c r="I277" i="1"/>
  <c r="G277" i="1"/>
  <c r="H277" i="1" s="1"/>
  <c r="F277" i="1"/>
  <c r="E277" i="1"/>
  <c r="D277" i="1"/>
  <c r="C277" i="1"/>
  <c r="M276" i="1"/>
  <c r="L276" i="1"/>
  <c r="K276" i="1"/>
  <c r="J276" i="1"/>
  <c r="I276" i="1"/>
  <c r="G276" i="1"/>
  <c r="F276" i="1"/>
  <c r="E276" i="1"/>
  <c r="D276" i="1"/>
  <c r="C276" i="1"/>
  <c r="H276" i="1" s="1"/>
  <c r="M275" i="1"/>
  <c r="L275" i="1"/>
  <c r="K275" i="1"/>
  <c r="J275" i="1"/>
  <c r="I275" i="1"/>
  <c r="H275" i="1"/>
  <c r="G275" i="1"/>
  <c r="F275" i="1"/>
  <c r="E275" i="1"/>
  <c r="D275" i="1"/>
  <c r="C275" i="1"/>
  <c r="M274" i="1"/>
  <c r="L274" i="1"/>
  <c r="K274" i="1"/>
  <c r="J274" i="1"/>
  <c r="I274" i="1"/>
  <c r="G274" i="1"/>
  <c r="H274" i="1" s="1"/>
  <c r="F274" i="1"/>
  <c r="E274" i="1"/>
  <c r="D274" i="1"/>
  <c r="C274" i="1"/>
  <c r="M273" i="1"/>
  <c r="L273" i="1"/>
  <c r="K273" i="1"/>
  <c r="J273" i="1"/>
  <c r="I273" i="1"/>
  <c r="G273" i="1"/>
  <c r="H273" i="1" s="1"/>
  <c r="F273" i="1"/>
  <c r="E273" i="1"/>
  <c r="D273" i="1"/>
  <c r="C273" i="1"/>
  <c r="M272" i="1"/>
  <c r="L272" i="1"/>
  <c r="K272" i="1"/>
  <c r="J272" i="1"/>
  <c r="I272" i="1"/>
  <c r="G272" i="1"/>
  <c r="F272" i="1"/>
  <c r="E272" i="1"/>
  <c r="D272" i="1"/>
  <c r="C272" i="1"/>
  <c r="H272" i="1" s="1"/>
  <c r="M271" i="1"/>
  <c r="L271" i="1"/>
  <c r="K271" i="1"/>
  <c r="J271" i="1"/>
  <c r="I271" i="1"/>
  <c r="G271" i="1"/>
  <c r="H271" i="1" s="1"/>
  <c r="F271" i="1"/>
  <c r="E271" i="1"/>
  <c r="D271" i="1"/>
  <c r="C271" i="1"/>
  <c r="M270" i="1"/>
  <c r="L270" i="1"/>
  <c r="K270" i="1"/>
  <c r="J270" i="1"/>
  <c r="I270" i="1"/>
  <c r="G270" i="1"/>
  <c r="F270" i="1"/>
  <c r="E270" i="1"/>
  <c r="D270" i="1"/>
  <c r="C270" i="1"/>
  <c r="M269" i="1"/>
  <c r="L269" i="1"/>
  <c r="K269" i="1"/>
  <c r="J269" i="1"/>
  <c r="I269" i="1"/>
  <c r="G269" i="1"/>
  <c r="H269" i="1" s="1"/>
  <c r="F269" i="1"/>
  <c r="E269" i="1"/>
  <c r="D269" i="1"/>
  <c r="C269" i="1"/>
  <c r="M268" i="1"/>
  <c r="L268" i="1"/>
  <c r="K268" i="1"/>
  <c r="J268" i="1"/>
  <c r="I268" i="1"/>
  <c r="H268" i="1"/>
  <c r="G268" i="1"/>
  <c r="F268" i="1"/>
  <c r="E268" i="1"/>
  <c r="D268" i="1"/>
  <c r="C268" i="1"/>
  <c r="M267" i="1"/>
  <c r="L267" i="1"/>
  <c r="K267" i="1"/>
  <c r="J267" i="1"/>
  <c r="I267" i="1"/>
  <c r="H267" i="1"/>
  <c r="G267" i="1"/>
  <c r="F267" i="1"/>
  <c r="E267" i="1"/>
  <c r="D267" i="1"/>
  <c r="C267" i="1"/>
  <c r="M266" i="1"/>
  <c r="L266" i="1"/>
  <c r="K266" i="1"/>
  <c r="J266" i="1"/>
  <c r="I266" i="1"/>
  <c r="G266" i="1"/>
  <c r="F266" i="1"/>
  <c r="E266" i="1"/>
  <c r="D266" i="1"/>
  <c r="C266" i="1"/>
  <c r="H266" i="1" s="1"/>
  <c r="M265" i="1"/>
  <c r="L265" i="1"/>
  <c r="K265" i="1"/>
  <c r="J265" i="1"/>
  <c r="I265" i="1"/>
  <c r="H265" i="1"/>
  <c r="G265" i="1"/>
  <c r="F265" i="1"/>
  <c r="E265" i="1"/>
  <c r="D265" i="1"/>
  <c r="C265" i="1"/>
  <c r="M264" i="1"/>
  <c r="L264" i="1"/>
  <c r="K264" i="1"/>
  <c r="J264" i="1"/>
  <c r="I264" i="1"/>
  <c r="H264" i="1"/>
  <c r="G264" i="1"/>
  <c r="F264" i="1"/>
  <c r="E264" i="1"/>
  <c r="D264" i="1"/>
  <c r="C264" i="1"/>
  <c r="M263" i="1"/>
  <c r="L263" i="1"/>
  <c r="K263" i="1"/>
  <c r="J263" i="1"/>
  <c r="I263" i="1"/>
  <c r="G263" i="1"/>
  <c r="H263" i="1" s="1"/>
  <c r="F263" i="1"/>
  <c r="E263" i="1"/>
  <c r="D263" i="1"/>
  <c r="C263" i="1"/>
  <c r="M262" i="1"/>
  <c r="L262" i="1"/>
  <c r="K262" i="1"/>
  <c r="J262" i="1"/>
  <c r="I262" i="1"/>
  <c r="H262" i="1"/>
  <c r="G262" i="1"/>
  <c r="F262" i="1"/>
  <c r="E262" i="1"/>
  <c r="D262" i="1"/>
  <c r="C262" i="1"/>
  <c r="M261" i="1"/>
  <c r="L261" i="1"/>
  <c r="K261" i="1"/>
  <c r="J261" i="1"/>
  <c r="I261" i="1"/>
  <c r="H261" i="1"/>
  <c r="G261" i="1"/>
  <c r="F261" i="1"/>
  <c r="E261" i="1"/>
  <c r="D261" i="1"/>
  <c r="C261" i="1"/>
  <c r="M260" i="1"/>
  <c r="L260" i="1"/>
  <c r="K260" i="1"/>
  <c r="J260" i="1"/>
  <c r="I260" i="1"/>
  <c r="G260" i="1"/>
  <c r="F260" i="1"/>
  <c r="E260" i="1"/>
  <c r="D260" i="1"/>
  <c r="C260" i="1"/>
  <c r="H260" i="1" s="1"/>
  <c r="M259" i="1"/>
  <c r="L259" i="1"/>
  <c r="K259" i="1"/>
  <c r="J259" i="1"/>
  <c r="I259" i="1"/>
  <c r="H259" i="1"/>
  <c r="G259" i="1"/>
  <c r="F259" i="1"/>
  <c r="E259" i="1"/>
  <c r="D259" i="1"/>
  <c r="C259" i="1"/>
  <c r="M258" i="1"/>
  <c r="L258" i="1"/>
  <c r="K258" i="1"/>
  <c r="J258" i="1"/>
  <c r="I258" i="1"/>
  <c r="H258" i="1"/>
  <c r="G258" i="1"/>
  <c r="F258" i="1"/>
  <c r="E258" i="1"/>
  <c r="D258" i="1"/>
  <c r="C258" i="1"/>
  <c r="M257" i="1"/>
  <c r="L257" i="1"/>
  <c r="K257" i="1"/>
  <c r="J257" i="1"/>
  <c r="I257" i="1"/>
  <c r="G257" i="1"/>
  <c r="H257" i="1" s="1"/>
  <c r="F257" i="1"/>
  <c r="E257" i="1"/>
  <c r="D257" i="1"/>
  <c r="C257" i="1"/>
  <c r="M256" i="1"/>
  <c r="L256" i="1"/>
  <c r="K256" i="1"/>
  <c r="J256" i="1"/>
  <c r="I256" i="1"/>
  <c r="G256" i="1"/>
  <c r="F256" i="1"/>
  <c r="E256" i="1"/>
  <c r="D256" i="1"/>
  <c r="C256" i="1"/>
  <c r="H256" i="1" s="1"/>
  <c r="M255" i="1"/>
  <c r="L255" i="1"/>
  <c r="K255" i="1"/>
  <c r="J255" i="1"/>
  <c r="I255" i="1"/>
  <c r="H255" i="1"/>
  <c r="G255" i="1"/>
  <c r="F255" i="1"/>
  <c r="E255" i="1"/>
  <c r="D255" i="1"/>
  <c r="C255" i="1"/>
  <c r="M254" i="1"/>
  <c r="L254" i="1"/>
  <c r="K254" i="1"/>
  <c r="J254" i="1"/>
  <c r="I254" i="1"/>
  <c r="G254" i="1"/>
  <c r="H254" i="1" s="1"/>
  <c r="F254" i="1"/>
  <c r="E254" i="1"/>
  <c r="D254" i="1"/>
  <c r="C254" i="1"/>
  <c r="M253" i="1"/>
  <c r="L253" i="1"/>
  <c r="K253" i="1"/>
  <c r="J253" i="1"/>
  <c r="I253" i="1"/>
  <c r="G253" i="1"/>
  <c r="H253" i="1" s="1"/>
  <c r="F253" i="1"/>
  <c r="E253" i="1"/>
  <c r="D253" i="1"/>
  <c r="C253" i="1"/>
  <c r="M252" i="1"/>
  <c r="L252" i="1"/>
  <c r="K252" i="1"/>
  <c r="J252" i="1"/>
  <c r="I252" i="1"/>
  <c r="G252" i="1"/>
  <c r="H252" i="1" s="1"/>
  <c r="F252" i="1"/>
  <c r="E252" i="1"/>
  <c r="D252" i="1"/>
  <c r="C252" i="1"/>
  <c r="M251" i="1"/>
  <c r="L251" i="1"/>
  <c r="K251" i="1"/>
  <c r="J251" i="1"/>
  <c r="I251" i="1"/>
  <c r="G251" i="1"/>
  <c r="H251" i="1" s="1"/>
  <c r="F251" i="1"/>
  <c r="E251" i="1"/>
  <c r="D251" i="1"/>
  <c r="C251" i="1"/>
  <c r="M250" i="1"/>
  <c r="L250" i="1"/>
  <c r="K250" i="1"/>
  <c r="J250" i="1"/>
  <c r="I250" i="1"/>
  <c r="G250" i="1"/>
  <c r="F250" i="1"/>
  <c r="E250" i="1"/>
  <c r="D250" i="1"/>
  <c r="C250" i="1"/>
  <c r="H250" i="1" s="1"/>
  <c r="M249" i="1"/>
  <c r="L249" i="1"/>
  <c r="K249" i="1"/>
  <c r="J249" i="1"/>
  <c r="I249" i="1"/>
  <c r="G249" i="1"/>
  <c r="H249" i="1" s="1"/>
  <c r="F249" i="1"/>
  <c r="E249" i="1"/>
  <c r="D249" i="1"/>
  <c r="C249" i="1"/>
  <c r="M248" i="1"/>
  <c r="L248" i="1"/>
  <c r="K248" i="1"/>
  <c r="J248" i="1"/>
  <c r="I248" i="1"/>
  <c r="G248" i="1"/>
  <c r="H248" i="1" s="1"/>
  <c r="F248" i="1"/>
  <c r="E248" i="1"/>
  <c r="D248" i="1"/>
  <c r="C248" i="1"/>
  <c r="M247" i="1"/>
  <c r="L247" i="1"/>
  <c r="K247" i="1"/>
  <c r="J247" i="1"/>
  <c r="I247" i="1"/>
  <c r="G247" i="1"/>
  <c r="H247" i="1" s="1"/>
  <c r="F247" i="1"/>
  <c r="E247" i="1"/>
  <c r="D247" i="1"/>
  <c r="C247" i="1"/>
  <c r="M246" i="1"/>
  <c r="L246" i="1"/>
  <c r="K246" i="1"/>
  <c r="J246" i="1"/>
  <c r="I246" i="1"/>
  <c r="G246" i="1"/>
  <c r="H246" i="1" s="1"/>
  <c r="F246" i="1"/>
  <c r="E246" i="1"/>
  <c r="D246" i="1"/>
  <c r="C246" i="1"/>
  <c r="M245" i="1"/>
  <c r="L245" i="1"/>
  <c r="K245" i="1"/>
  <c r="J245" i="1"/>
  <c r="I245" i="1"/>
  <c r="G245" i="1"/>
  <c r="H245" i="1" s="1"/>
  <c r="F245" i="1"/>
  <c r="E245" i="1"/>
  <c r="D245" i="1"/>
  <c r="C245" i="1"/>
  <c r="M244" i="1"/>
  <c r="L244" i="1"/>
  <c r="K244" i="1"/>
  <c r="J244" i="1"/>
  <c r="I244" i="1"/>
  <c r="G244" i="1"/>
  <c r="F244" i="1"/>
  <c r="E244" i="1"/>
  <c r="D244" i="1"/>
  <c r="C244" i="1"/>
  <c r="H244" i="1" s="1"/>
  <c r="M243" i="1"/>
  <c r="L243" i="1"/>
  <c r="K243" i="1"/>
  <c r="J243" i="1"/>
  <c r="I243" i="1"/>
  <c r="H243" i="1"/>
  <c r="G243" i="1"/>
  <c r="F243" i="1"/>
  <c r="E243" i="1"/>
  <c r="D243" i="1"/>
  <c r="C243" i="1"/>
  <c r="M242" i="1"/>
  <c r="L242" i="1"/>
  <c r="K242" i="1"/>
  <c r="J242" i="1"/>
  <c r="I242" i="1"/>
  <c r="G242" i="1"/>
  <c r="H242" i="1" s="1"/>
  <c r="F242" i="1"/>
  <c r="E242" i="1"/>
  <c r="D242" i="1"/>
  <c r="C242" i="1"/>
  <c r="M241" i="1"/>
  <c r="L241" i="1"/>
  <c r="K241" i="1"/>
  <c r="J241" i="1"/>
  <c r="I241" i="1"/>
  <c r="G241" i="1"/>
  <c r="H241" i="1" s="1"/>
  <c r="F241" i="1"/>
  <c r="E241" i="1"/>
  <c r="D241" i="1"/>
  <c r="C241" i="1"/>
  <c r="M240" i="1"/>
  <c r="L240" i="1"/>
  <c r="K240" i="1"/>
  <c r="J240" i="1"/>
  <c r="I240" i="1"/>
  <c r="G240" i="1"/>
  <c r="F240" i="1"/>
  <c r="E240" i="1"/>
  <c r="D240" i="1"/>
  <c r="C240" i="1"/>
  <c r="H240" i="1" s="1"/>
  <c r="M239" i="1"/>
  <c r="L239" i="1"/>
  <c r="K239" i="1"/>
  <c r="J239" i="1"/>
  <c r="I239" i="1"/>
  <c r="G239" i="1"/>
  <c r="H239" i="1" s="1"/>
  <c r="F239" i="1"/>
  <c r="E239" i="1"/>
  <c r="D239" i="1"/>
  <c r="C239" i="1"/>
  <c r="M238" i="1"/>
  <c r="L238" i="1"/>
  <c r="K238" i="1"/>
  <c r="J238" i="1"/>
  <c r="I238" i="1"/>
  <c r="G238" i="1"/>
  <c r="H238" i="1" s="1"/>
  <c r="F238" i="1"/>
  <c r="E238" i="1"/>
  <c r="D238" i="1"/>
  <c r="C238" i="1"/>
  <c r="M237" i="1"/>
  <c r="L237" i="1"/>
  <c r="K237" i="1"/>
  <c r="J237" i="1"/>
  <c r="I237" i="1"/>
  <c r="G237" i="1"/>
  <c r="H237" i="1" s="1"/>
  <c r="F237" i="1"/>
  <c r="E237" i="1"/>
  <c r="D237" i="1"/>
  <c r="C237" i="1"/>
  <c r="M236" i="1"/>
  <c r="L236" i="1"/>
  <c r="K236" i="1"/>
  <c r="J236" i="1"/>
  <c r="I236" i="1"/>
  <c r="G236" i="1"/>
  <c r="H236" i="1" s="1"/>
  <c r="F236" i="1"/>
  <c r="E236" i="1"/>
  <c r="D236" i="1"/>
  <c r="C236" i="1"/>
  <c r="M235" i="1"/>
  <c r="L235" i="1"/>
  <c r="K235" i="1"/>
  <c r="J235" i="1"/>
  <c r="I235" i="1"/>
  <c r="G235" i="1"/>
  <c r="H235" i="1" s="1"/>
  <c r="F235" i="1"/>
  <c r="E235" i="1"/>
  <c r="D235" i="1"/>
  <c r="C235" i="1"/>
  <c r="M234" i="1"/>
  <c r="L234" i="1"/>
  <c r="K234" i="1"/>
  <c r="J234" i="1"/>
  <c r="I234" i="1"/>
  <c r="G234" i="1"/>
  <c r="H234" i="1" s="1"/>
  <c r="F234" i="1"/>
  <c r="E234" i="1"/>
  <c r="D234" i="1"/>
  <c r="C234" i="1"/>
  <c r="M233" i="1"/>
  <c r="L233" i="1"/>
  <c r="K233" i="1"/>
  <c r="J233" i="1"/>
  <c r="I233" i="1"/>
  <c r="G233" i="1"/>
  <c r="H233" i="1" s="1"/>
  <c r="F233" i="1"/>
  <c r="E233" i="1"/>
  <c r="D233" i="1"/>
  <c r="C233" i="1"/>
  <c r="M232" i="1"/>
  <c r="L232" i="1"/>
  <c r="K232" i="1"/>
  <c r="J232" i="1"/>
  <c r="I232" i="1"/>
  <c r="G232" i="1"/>
  <c r="H232" i="1" s="1"/>
  <c r="F232" i="1"/>
  <c r="E232" i="1"/>
  <c r="D232" i="1"/>
  <c r="C232" i="1"/>
  <c r="M231" i="1"/>
  <c r="L231" i="1"/>
  <c r="K231" i="1"/>
  <c r="J231" i="1"/>
  <c r="I231" i="1"/>
  <c r="G231" i="1"/>
  <c r="H231" i="1" s="1"/>
  <c r="F231" i="1"/>
  <c r="E231" i="1"/>
  <c r="D231" i="1"/>
  <c r="C231" i="1"/>
  <c r="M230" i="1"/>
  <c r="L230" i="1"/>
  <c r="K230" i="1"/>
  <c r="J230" i="1"/>
  <c r="I230" i="1"/>
  <c r="G230" i="1"/>
  <c r="H230" i="1" s="1"/>
  <c r="F230" i="1"/>
  <c r="E230" i="1"/>
  <c r="D230" i="1"/>
  <c r="C230" i="1"/>
  <c r="M229" i="1"/>
  <c r="L229" i="1"/>
  <c r="K229" i="1"/>
  <c r="J229" i="1"/>
  <c r="I229" i="1"/>
  <c r="G229" i="1"/>
  <c r="H229" i="1" s="1"/>
  <c r="F229" i="1"/>
  <c r="E229" i="1"/>
  <c r="D229" i="1"/>
  <c r="C229" i="1"/>
  <c r="M228" i="1"/>
  <c r="L228" i="1"/>
  <c r="K228" i="1"/>
  <c r="J228" i="1"/>
  <c r="I228" i="1"/>
  <c r="G228" i="1"/>
  <c r="F228" i="1"/>
  <c r="E228" i="1"/>
  <c r="D228" i="1"/>
  <c r="C228" i="1"/>
  <c r="H228" i="1" s="1"/>
  <c r="M227" i="1"/>
  <c r="L227" i="1"/>
  <c r="K227" i="1"/>
  <c r="J227" i="1"/>
  <c r="I227" i="1"/>
  <c r="H227" i="1"/>
  <c r="G227" i="1"/>
  <c r="F227" i="1"/>
  <c r="E227" i="1"/>
  <c r="D227" i="1"/>
  <c r="C227" i="1"/>
  <c r="M226" i="1"/>
  <c r="L226" i="1"/>
  <c r="K226" i="1"/>
  <c r="J226" i="1"/>
  <c r="I226" i="1"/>
  <c r="G226" i="1"/>
  <c r="H226" i="1" s="1"/>
  <c r="F226" i="1"/>
  <c r="E226" i="1"/>
  <c r="D226" i="1"/>
  <c r="C226" i="1"/>
  <c r="M225" i="1"/>
  <c r="L225" i="1"/>
  <c r="K225" i="1"/>
  <c r="J225" i="1"/>
  <c r="I225" i="1"/>
  <c r="G225" i="1"/>
  <c r="H225" i="1" s="1"/>
  <c r="F225" i="1"/>
  <c r="E225" i="1"/>
  <c r="D225" i="1"/>
  <c r="C225" i="1"/>
  <c r="M224" i="1"/>
  <c r="L224" i="1"/>
  <c r="K224" i="1"/>
  <c r="J224" i="1"/>
  <c r="I224" i="1"/>
  <c r="G224" i="1"/>
  <c r="F224" i="1"/>
  <c r="E224" i="1"/>
  <c r="D224" i="1"/>
  <c r="C224" i="1"/>
  <c r="H224" i="1" s="1"/>
  <c r="M223" i="1"/>
  <c r="L223" i="1"/>
  <c r="K223" i="1"/>
  <c r="J223" i="1"/>
  <c r="I223" i="1"/>
  <c r="G223" i="1"/>
  <c r="H223" i="1" s="1"/>
  <c r="F223" i="1"/>
  <c r="E223" i="1"/>
  <c r="D223" i="1"/>
  <c r="C223" i="1"/>
  <c r="M222" i="1"/>
  <c r="L222" i="1"/>
  <c r="K222" i="1"/>
  <c r="J222" i="1"/>
  <c r="I222" i="1"/>
  <c r="G222" i="1"/>
  <c r="H222" i="1" s="1"/>
  <c r="F222" i="1"/>
  <c r="E222" i="1"/>
  <c r="D222" i="1"/>
  <c r="C222" i="1"/>
  <c r="M221" i="1"/>
  <c r="L221" i="1"/>
  <c r="K221" i="1"/>
  <c r="J221" i="1"/>
  <c r="I221" i="1"/>
  <c r="G221" i="1"/>
  <c r="H221" i="1" s="1"/>
  <c r="F221" i="1"/>
  <c r="E221" i="1"/>
  <c r="D221" i="1"/>
  <c r="C221" i="1"/>
  <c r="M220" i="1"/>
  <c r="L220" i="1"/>
  <c r="K220" i="1"/>
  <c r="J220" i="1"/>
  <c r="I220" i="1"/>
  <c r="H220" i="1"/>
  <c r="G220" i="1"/>
  <c r="F220" i="1"/>
  <c r="E220" i="1"/>
  <c r="D220" i="1"/>
  <c r="C220" i="1"/>
  <c r="M219" i="1"/>
  <c r="L219" i="1"/>
  <c r="K219" i="1"/>
  <c r="J219" i="1"/>
  <c r="I219" i="1"/>
  <c r="H219" i="1"/>
  <c r="G219" i="1"/>
  <c r="F219" i="1"/>
  <c r="E219" i="1"/>
  <c r="D219" i="1"/>
  <c r="C219" i="1"/>
  <c r="M218" i="1"/>
  <c r="L218" i="1"/>
  <c r="K218" i="1"/>
  <c r="J218" i="1"/>
  <c r="I218" i="1"/>
  <c r="G218" i="1"/>
  <c r="F218" i="1"/>
  <c r="E218" i="1"/>
  <c r="D218" i="1"/>
  <c r="C218" i="1"/>
  <c r="M217" i="1"/>
  <c r="L217" i="1"/>
  <c r="K217" i="1"/>
  <c r="J217" i="1"/>
  <c r="I217" i="1"/>
  <c r="H217" i="1"/>
  <c r="G217" i="1"/>
  <c r="F217" i="1"/>
  <c r="E217" i="1"/>
  <c r="D217" i="1"/>
  <c r="C217" i="1"/>
  <c r="M216" i="1"/>
  <c r="L216" i="1"/>
  <c r="K216" i="1"/>
  <c r="J216" i="1"/>
  <c r="I216" i="1"/>
  <c r="H216" i="1"/>
  <c r="G216" i="1"/>
  <c r="F216" i="1"/>
  <c r="E216" i="1"/>
  <c r="D216" i="1"/>
  <c r="C216" i="1"/>
  <c r="M215" i="1"/>
  <c r="L215" i="1"/>
  <c r="K215" i="1"/>
  <c r="J215" i="1"/>
  <c r="I215" i="1"/>
  <c r="G215" i="1"/>
  <c r="F215" i="1"/>
  <c r="E215" i="1"/>
  <c r="D215" i="1"/>
  <c r="C215" i="1"/>
  <c r="M214" i="1"/>
  <c r="L214" i="1"/>
  <c r="K214" i="1"/>
  <c r="J214" i="1"/>
  <c r="I214" i="1"/>
  <c r="H214" i="1"/>
  <c r="G214" i="1"/>
  <c r="F214" i="1"/>
  <c r="E214" i="1"/>
  <c r="D214" i="1"/>
  <c r="C214" i="1"/>
  <c r="M213" i="1"/>
  <c r="L213" i="1"/>
  <c r="K213" i="1"/>
  <c r="J213" i="1"/>
  <c r="I213" i="1"/>
  <c r="H213" i="1"/>
  <c r="G213" i="1"/>
  <c r="F213" i="1"/>
  <c r="E213" i="1"/>
  <c r="D213" i="1"/>
  <c r="C213" i="1"/>
  <c r="M212" i="1"/>
  <c r="L212" i="1"/>
  <c r="K212" i="1"/>
  <c r="J212" i="1"/>
  <c r="I212" i="1"/>
  <c r="G212" i="1"/>
  <c r="F212" i="1"/>
  <c r="E212" i="1"/>
  <c r="D212" i="1"/>
  <c r="C212" i="1"/>
  <c r="H212" i="1" s="1"/>
  <c r="M211" i="1"/>
  <c r="L211" i="1"/>
  <c r="K211" i="1"/>
  <c r="J211" i="1"/>
  <c r="I211" i="1"/>
  <c r="H211" i="1"/>
  <c r="G211" i="1"/>
  <c r="F211" i="1"/>
  <c r="E211" i="1"/>
  <c r="D211" i="1"/>
  <c r="C211" i="1"/>
  <c r="M210" i="1"/>
  <c r="L210" i="1"/>
  <c r="K210" i="1"/>
  <c r="J210" i="1"/>
  <c r="I210" i="1"/>
  <c r="H210" i="1"/>
  <c r="G210" i="1"/>
  <c r="F210" i="1"/>
  <c r="E210" i="1"/>
  <c r="D210" i="1"/>
  <c r="C210" i="1"/>
  <c r="M209" i="1"/>
  <c r="L209" i="1"/>
  <c r="K209" i="1"/>
  <c r="J209" i="1"/>
  <c r="I209" i="1"/>
  <c r="G209" i="1"/>
  <c r="F209" i="1"/>
  <c r="E209" i="1"/>
  <c r="D209" i="1"/>
  <c r="C209" i="1"/>
  <c r="M208" i="1"/>
  <c r="L208" i="1"/>
  <c r="K208" i="1"/>
  <c r="J208" i="1"/>
  <c r="I208" i="1"/>
  <c r="G208" i="1"/>
  <c r="F208" i="1"/>
  <c r="E208" i="1"/>
  <c r="D208" i="1"/>
  <c r="C208" i="1"/>
  <c r="H208" i="1" s="1"/>
  <c r="M207" i="1"/>
  <c r="L207" i="1"/>
  <c r="K207" i="1"/>
  <c r="J207" i="1"/>
  <c r="I207" i="1"/>
  <c r="H207" i="1"/>
  <c r="G207" i="1"/>
  <c r="F207" i="1"/>
  <c r="E207" i="1"/>
  <c r="D207" i="1"/>
  <c r="C207" i="1"/>
  <c r="M206" i="1"/>
  <c r="L206" i="1"/>
  <c r="K206" i="1"/>
  <c r="J206" i="1"/>
  <c r="I206" i="1"/>
  <c r="G206" i="1"/>
  <c r="F206" i="1"/>
  <c r="E206" i="1"/>
  <c r="D206" i="1"/>
  <c r="C206" i="1"/>
  <c r="M205" i="1"/>
  <c r="L205" i="1"/>
  <c r="K205" i="1"/>
  <c r="J205" i="1"/>
  <c r="I205" i="1"/>
  <c r="G205" i="1"/>
  <c r="H205" i="1" s="1"/>
  <c r="F205" i="1"/>
  <c r="E205" i="1"/>
  <c r="D205" i="1"/>
  <c r="C205" i="1"/>
  <c r="M204" i="1"/>
  <c r="L204" i="1"/>
  <c r="K204" i="1"/>
  <c r="J204" i="1"/>
  <c r="I204" i="1"/>
  <c r="G204" i="1"/>
  <c r="H204" i="1" s="1"/>
  <c r="F204" i="1"/>
  <c r="E204" i="1"/>
  <c r="D204" i="1"/>
  <c r="C204" i="1"/>
  <c r="M203" i="1"/>
  <c r="L203" i="1"/>
  <c r="K203" i="1"/>
  <c r="J203" i="1"/>
  <c r="I203" i="1"/>
  <c r="H203" i="1"/>
  <c r="G203" i="1"/>
  <c r="F203" i="1"/>
  <c r="E203" i="1"/>
  <c r="D203" i="1"/>
  <c r="C203" i="1"/>
  <c r="M202" i="1"/>
  <c r="L202" i="1"/>
  <c r="K202" i="1"/>
  <c r="J202" i="1"/>
  <c r="I202" i="1"/>
  <c r="G202" i="1"/>
  <c r="H202" i="1" s="1"/>
  <c r="F202" i="1"/>
  <c r="E202" i="1"/>
  <c r="D202" i="1"/>
  <c r="C202" i="1"/>
  <c r="M201" i="1"/>
  <c r="L201" i="1"/>
  <c r="K201" i="1"/>
  <c r="J201" i="1"/>
  <c r="I201" i="1"/>
  <c r="G201" i="1"/>
  <c r="H201" i="1" s="1"/>
  <c r="F201" i="1"/>
  <c r="E201" i="1"/>
  <c r="D201" i="1"/>
  <c r="C201" i="1"/>
  <c r="M200" i="1"/>
  <c r="L200" i="1"/>
  <c r="K200" i="1"/>
  <c r="J200" i="1"/>
  <c r="I200" i="1"/>
  <c r="H200" i="1"/>
  <c r="G200" i="1"/>
  <c r="F200" i="1"/>
  <c r="E200" i="1"/>
  <c r="D200" i="1"/>
  <c r="C200" i="1"/>
  <c r="M199" i="1"/>
  <c r="L199" i="1"/>
  <c r="K199" i="1"/>
  <c r="J199" i="1"/>
  <c r="I199" i="1"/>
  <c r="G199" i="1"/>
  <c r="H199" i="1" s="1"/>
  <c r="F199" i="1"/>
  <c r="E199" i="1"/>
  <c r="D199" i="1"/>
  <c r="C199" i="1"/>
  <c r="M198" i="1"/>
  <c r="L198" i="1"/>
  <c r="K198" i="1"/>
  <c r="J198" i="1"/>
  <c r="I198" i="1"/>
  <c r="G198" i="1"/>
  <c r="H198" i="1" s="1"/>
  <c r="F198" i="1"/>
  <c r="E198" i="1"/>
  <c r="D198" i="1"/>
  <c r="C198" i="1"/>
  <c r="M197" i="1"/>
  <c r="L197" i="1"/>
  <c r="K197" i="1"/>
  <c r="J197" i="1"/>
  <c r="I197" i="1"/>
  <c r="H197" i="1"/>
  <c r="G197" i="1"/>
  <c r="F197" i="1"/>
  <c r="E197" i="1"/>
  <c r="D197" i="1"/>
  <c r="C197" i="1"/>
  <c r="M196" i="1"/>
  <c r="L196" i="1"/>
  <c r="K196" i="1"/>
  <c r="J196" i="1"/>
  <c r="I196" i="1"/>
  <c r="G196" i="1"/>
  <c r="F196" i="1"/>
  <c r="E196" i="1"/>
  <c r="D196" i="1"/>
  <c r="C196" i="1"/>
  <c r="H196" i="1" s="1"/>
  <c r="M195" i="1"/>
  <c r="L195" i="1"/>
  <c r="K195" i="1"/>
  <c r="J195" i="1"/>
  <c r="I195" i="1"/>
  <c r="H195" i="1"/>
  <c r="G195" i="1"/>
  <c r="F195" i="1"/>
  <c r="E195" i="1"/>
  <c r="D195" i="1"/>
  <c r="C195" i="1"/>
  <c r="M194" i="1"/>
  <c r="L194" i="1"/>
  <c r="K194" i="1"/>
  <c r="J194" i="1"/>
  <c r="I194" i="1"/>
  <c r="H194" i="1"/>
  <c r="G194" i="1"/>
  <c r="F194" i="1"/>
  <c r="E194" i="1"/>
  <c r="D194" i="1"/>
  <c r="C194" i="1"/>
  <c r="M193" i="1"/>
  <c r="L193" i="1"/>
  <c r="K193" i="1"/>
  <c r="J193" i="1"/>
  <c r="I193" i="1"/>
  <c r="G193" i="1"/>
  <c r="H193" i="1" s="1"/>
  <c r="F193" i="1"/>
  <c r="E193" i="1"/>
  <c r="D193" i="1"/>
  <c r="C193" i="1"/>
  <c r="M192" i="1"/>
  <c r="L192" i="1"/>
  <c r="K192" i="1"/>
  <c r="J192" i="1"/>
  <c r="I192" i="1"/>
  <c r="G192" i="1"/>
  <c r="F192" i="1"/>
  <c r="E192" i="1"/>
  <c r="D192" i="1"/>
  <c r="C192" i="1"/>
  <c r="H192" i="1" s="1"/>
  <c r="M191" i="1"/>
  <c r="L191" i="1"/>
  <c r="K191" i="1"/>
  <c r="J191" i="1"/>
  <c r="I191" i="1"/>
  <c r="G191" i="1"/>
  <c r="H191" i="1" s="1"/>
  <c r="F191" i="1"/>
  <c r="E191" i="1"/>
  <c r="D191" i="1"/>
  <c r="C191" i="1"/>
  <c r="M190" i="1"/>
  <c r="L190" i="1"/>
  <c r="K190" i="1"/>
  <c r="J190" i="1"/>
  <c r="I190" i="1"/>
  <c r="G190" i="1"/>
  <c r="H190" i="1" s="1"/>
  <c r="F190" i="1"/>
  <c r="E190" i="1"/>
  <c r="D190" i="1"/>
  <c r="C190" i="1"/>
  <c r="M189" i="1"/>
  <c r="L189" i="1"/>
  <c r="K189" i="1"/>
  <c r="J189" i="1"/>
  <c r="I189" i="1"/>
  <c r="G189" i="1"/>
  <c r="H189" i="1" s="1"/>
  <c r="F189" i="1"/>
  <c r="E189" i="1"/>
  <c r="D189" i="1"/>
  <c r="C189" i="1"/>
  <c r="M188" i="1"/>
  <c r="L188" i="1"/>
  <c r="K188" i="1"/>
  <c r="J188" i="1"/>
  <c r="I188" i="1"/>
  <c r="G188" i="1"/>
  <c r="H188" i="1" s="1"/>
  <c r="F188" i="1"/>
  <c r="E188" i="1"/>
  <c r="D188" i="1"/>
  <c r="C188" i="1"/>
  <c r="M187" i="1"/>
  <c r="L187" i="1"/>
  <c r="K187" i="1"/>
  <c r="J187" i="1"/>
  <c r="I187" i="1"/>
  <c r="H187" i="1"/>
  <c r="G187" i="1"/>
  <c r="F187" i="1"/>
  <c r="E187" i="1"/>
  <c r="D187" i="1"/>
  <c r="C187" i="1"/>
  <c r="M186" i="1"/>
  <c r="L186" i="1"/>
  <c r="K186" i="1"/>
  <c r="J186" i="1"/>
  <c r="I186" i="1"/>
  <c r="G186" i="1"/>
  <c r="F186" i="1"/>
  <c r="E186" i="1"/>
  <c r="D186" i="1"/>
  <c r="C186" i="1"/>
  <c r="M185" i="1"/>
  <c r="L185" i="1"/>
  <c r="K185" i="1"/>
  <c r="J185" i="1"/>
  <c r="I185" i="1"/>
  <c r="G185" i="1"/>
  <c r="H185" i="1" s="1"/>
  <c r="F185" i="1"/>
  <c r="E185" i="1"/>
  <c r="D185" i="1"/>
  <c r="C185" i="1"/>
  <c r="M184" i="1"/>
  <c r="L184" i="1"/>
  <c r="K184" i="1"/>
  <c r="J184" i="1"/>
  <c r="I184" i="1"/>
  <c r="H184" i="1"/>
  <c r="G184" i="1"/>
  <c r="F184" i="1"/>
  <c r="E184" i="1"/>
  <c r="D184" i="1"/>
  <c r="C184" i="1"/>
  <c r="M183" i="1"/>
  <c r="L183" i="1"/>
  <c r="K183" i="1"/>
  <c r="J183" i="1"/>
  <c r="I183" i="1"/>
  <c r="G183" i="1"/>
  <c r="F183" i="1"/>
  <c r="E183" i="1"/>
  <c r="D183" i="1"/>
  <c r="C183" i="1"/>
  <c r="M182" i="1"/>
  <c r="L182" i="1"/>
  <c r="K182" i="1"/>
  <c r="J182" i="1"/>
  <c r="I182" i="1"/>
  <c r="G182" i="1"/>
  <c r="H182" i="1" s="1"/>
  <c r="F182" i="1"/>
  <c r="E182" i="1"/>
  <c r="D182" i="1"/>
  <c r="C182" i="1"/>
  <c r="M181" i="1"/>
  <c r="L181" i="1"/>
  <c r="K181" i="1"/>
  <c r="J181" i="1"/>
  <c r="I181" i="1"/>
  <c r="H181" i="1"/>
  <c r="G181" i="1"/>
  <c r="F181" i="1"/>
  <c r="E181" i="1"/>
  <c r="D181" i="1"/>
  <c r="C181" i="1"/>
  <c r="M180" i="1"/>
  <c r="L180" i="1"/>
  <c r="K180" i="1"/>
  <c r="J180" i="1"/>
  <c r="I180" i="1"/>
  <c r="G180" i="1"/>
  <c r="F180" i="1"/>
  <c r="E180" i="1"/>
  <c r="D180" i="1"/>
  <c r="C180" i="1"/>
  <c r="H180" i="1" s="1"/>
  <c r="M179" i="1"/>
  <c r="L179" i="1"/>
  <c r="K179" i="1"/>
  <c r="J179" i="1"/>
  <c r="I179" i="1"/>
  <c r="H179" i="1"/>
  <c r="G179" i="1"/>
  <c r="F179" i="1"/>
  <c r="E179" i="1"/>
  <c r="D179" i="1"/>
  <c r="C179" i="1"/>
  <c r="M178" i="1"/>
  <c r="L178" i="1"/>
  <c r="K178" i="1"/>
  <c r="J178" i="1"/>
  <c r="I178" i="1"/>
  <c r="H178" i="1"/>
  <c r="G178" i="1"/>
  <c r="F178" i="1"/>
  <c r="E178" i="1"/>
  <c r="D178" i="1"/>
  <c r="C178" i="1"/>
  <c r="M177" i="1"/>
  <c r="L177" i="1"/>
  <c r="K177" i="1"/>
  <c r="J177" i="1"/>
  <c r="I177" i="1"/>
  <c r="G177" i="1"/>
  <c r="F177" i="1"/>
  <c r="E177" i="1"/>
  <c r="D177" i="1"/>
  <c r="C177" i="1"/>
  <c r="M176" i="1"/>
  <c r="L176" i="1"/>
  <c r="K176" i="1"/>
  <c r="J176" i="1"/>
  <c r="I176" i="1"/>
  <c r="G176" i="1"/>
  <c r="F176" i="1"/>
  <c r="E176" i="1"/>
  <c r="D176" i="1"/>
  <c r="C176" i="1"/>
  <c r="H176" i="1" s="1"/>
  <c r="M175" i="1"/>
  <c r="L175" i="1"/>
  <c r="K175" i="1"/>
  <c r="J175" i="1"/>
  <c r="I175" i="1"/>
  <c r="H175" i="1"/>
  <c r="G175" i="1"/>
  <c r="F175" i="1"/>
  <c r="E175" i="1"/>
  <c r="D175" i="1"/>
  <c r="C175" i="1"/>
  <c r="M174" i="1"/>
  <c r="L174" i="1"/>
  <c r="K174" i="1"/>
  <c r="J174" i="1"/>
  <c r="I174" i="1"/>
  <c r="G174" i="1"/>
  <c r="F174" i="1"/>
  <c r="E174" i="1"/>
  <c r="D174" i="1"/>
  <c r="C174" i="1"/>
  <c r="M173" i="1"/>
  <c r="L173" i="1"/>
  <c r="K173" i="1"/>
  <c r="J173" i="1"/>
  <c r="I173" i="1"/>
  <c r="G173" i="1"/>
  <c r="H173" i="1" s="1"/>
  <c r="F173" i="1"/>
  <c r="E173" i="1"/>
  <c r="D173" i="1"/>
  <c r="C173" i="1"/>
  <c r="M172" i="1"/>
  <c r="L172" i="1"/>
  <c r="K172" i="1"/>
  <c r="J172" i="1"/>
  <c r="I172" i="1"/>
  <c r="H172" i="1"/>
  <c r="G172" i="1"/>
  <c r="F172" i="1"/>
  <c r="E172" i="1"/>
  <c r="D172" i="1"/>
  <c r="C172" i="1"/>
  <c r="M171" i="1"/>
  <c r="L171" i="1"/>
  <c r="K171" i="1"/>
  <c r="J171" i="1"/>
  <c r="I171" i="1"/>
  <c r="G171" i="1"/>
  <c r="H171" i="1" s="1"/>
  <c r="F171" i="1"/>
  <c r="E171" i="1"/>
  <c r="D171" i="1"/>
  <c r="C171" i="1"/>
  <c r="M170" i="1"/>
  <c r="L170" i="1"/>
  <c r="K170" i="1"/>
  <c r="J170" i="1"/>
  <c r="I170" i="1"/>
  <c r="G170" i="1"/>
  <c r="H170" i="1" s="1"/>
  <c r="F170" i="1"/>
  <c r="E170" i="1"/>
  <c r="D170" i="1"/>
  <c r="C170" i="1"/>
  <c r="M169" i="1"/>
  <c r="L169" i="1"/>
  <c r="K169" i="1"/>
  <c r="J169" i="1"/>
  <c r="I169" i="1"/>
  <c r="H169" i="1"/>
  <c r="G169" i="1"/>
  <c r="F169" i="1"/>
  <c r="E169" i="1"/>
  <c r="D169" i="1"/>
  <c r="C169" i="1"/>
  <c r="M168" i="1"/>
  <c r="L168" i="1"/>
  <c r="K168" i="1"/>
  <c r="J168" i="1"/>
  <c r="I168" i="1"/>
  <c r="G168" i="1"/>
  <c r="H168" i="1" s="1"/>
  <c r="F168" i="1"/>
  <c r="E168" i="1"/>
  <c r="D168" i="1"/>
  <c r="C168" i="1"/>
  <c r="M167" i="1"/>
  <c r="L167" i="1"/>
  <c r="K167" i="1"/>
  <c r="J167" i="1"/>
  <c r="I167" i="1"/>
  <c r="G167" i="1"/>
  <c r="F167" i="1"/>
  <c r="E167" i="1"/>
  <c r="D167" i="1"/>
  <c r="C167" i="1"/>
  <c r="M166" i="1"/>
  <c r="L166" i="1"/>
  <c r="K166" i="1"/>
  <c r="J166" i="1"/>
  <c r="I166" i="1"/>
  <c r="H166" i="1"/>
  <c r="G166" i="1"/>
  <c r="F166" i="1"/>
  <c r="E166" i="1"/>
  <c r="D166" i="1"/>
  <c r="C166" i="1"/>
  <c r="M165" i="1"/>
  <c r="L165" i="1"/>
  <c r="K165" i="1"/>
  <c r="J165" i="1"/>
  <c r="I165" i="1"/>
  <c r="G165" i="1"/>
  <c r="H165" i="1" s="1"/>
  <c r="F165" i="1"/>
  <c r="E165" i="1"/>
  <c r="D165" i="1"/>
  <c r="C165" i="1"/>
  <c r="M164" i="1"/>
  <c r="L164" i="1"/>
  <c r="K164" i="1"/>
  <c r="J164" i="1"/>
  <c r="I164" i="1"/>
  <c r="G164" i="1"/>
  <c r="F164" i="1"/>
  <c r="E164" i="1"/>
  <c r="D164" i="1"/>
  <c r="C164" i="1"/>
  <c r="H164" i="1" s="1"/>
  <c r="M163" i="1"/>
  <c r="L163" i="1"/>
  <c r="K163" i="1"/>
  <c r="J163" i="1"/>
  <c r="I163" i="1"/>
  <c r="H163" i="1"/>
  <c r="G163" i="1"/>
  <c r="F163" i="1"/>
  <c r="E163" i="1"/>
  <c r="D163" i="1"/>
  <c r="C163" i="1"/>
  <c r="M162" i="1"/>
  <c r="L162" i="1"/>
  <c r="K162" i="1"/>
  <c r="J162" i="1"/>
  <c r="I162" i="1"/>
  <c r="G162" i="1"/>
  <c r="H162" i="1" s="1"/>
  <c r="F162" i="1"/>
  <c r="E162" i="1"/>
  <c r="D162" i="1"/>
  <c r="C162" i="1"/>
  <c r="M161" i="1"/>
  <c r="L161" i="1"/>
  <c r="K161" i="1"/>
  <c r="J161" i="1"/>
  <c r="I161" i="1"/>
  <c r="G161" i="1"/>
  <c r="F161" i="1"/>
  <c r="E161" i="1"/>
  <c r="D161" i="1"/>
  <c r="C161" i="1"/>
  <c r="M160" i="1"/>
  <c r="L160" i="1"/>
  <c r="K160" i="1"/>
  <c r="J160" i="1"/>
  <c r="I160" i="1"/>
  <c r="G160" i="1"/>
  <c r="F160" i="1"/>
  <c r="E160" i="1"/>
  <c r="D160" i="1"/>
  <c r="C160" i="1"/>
  <c r="H160" i="1" s="1"/>
  <c r="M159" i="1"/>
  <c r="L159" i="1"/>
  <c r="K159" i="1"/>
  <c r="J159" i="1"/>
  <c r="I159" i="1"/>
  <c r="H159" i="1"/>
  <c r="G159" i="1"/>
  <c r="F159" i="1"/>
  <c r="E159" i="1"/>
  <c r="D159" i="1"/>
  <c r="C159" i="1"/>
  <c r="M158" i="1"/>
  <c r="L158" i="1"/>
  <c r="K158" i="1"/>
  <c r="J158" i="1"/>
  <c r="I158" i="1"/>
  <c r="G158" i="1"/>
  <c r="F158" i="1"/>
  <c r="E158" i="1"/>
  <c r="D158" i="1"/>
  <c r="C158" i="1"/>
  <c r="M157" i="1"/>
  <c r="L157" i="1"/>
  <c r="K157" i="1"/>
  <c r="J157" i="1"/>
  <c r="I157" i="1"/>
  <c r="G157" i="1"/>
  <c r="H157" i="1" s="1"/>
  <c r="F157" i="1"/>
  <c r="E157" i="1"/>
  <c r="D157" i="1"/>
  <c r="C157" i="1"/>
  <c r="M156" i="1"/>
  <c r="L156" i="1"/>
  <c r="K156" i="1"/>
  <c r="J156" i="1"/>
  <c r="I156" i="1"/>
  <c r="H156" i="1"/>
  <c r="G156" i="1"/>
  <c r="F156" i="1"/>
  <c r="E156" i="1"/>
  <c r="D156" i="1"/>
  <c r="C156" i="1"/>
  <c r="M155" i="1"/>
  <c r="L155" i="1"/>
  <c r="K155" i="1"/>
  <c r="J155" i="1"/>
  <c r="I155" i="1"/>
  <c r="G155" i="1"/>
  <c r="F155" i="1"/>
  <c r="E155" i="1"/>
  <c r="D155" i="1"/>
  <c r="C155" i="1"/>
  <c r="H155" i="1" s="1"/>
  <c r="M154" i="1"/>
  <c r="L154" i="1"/>
  <c r="K154" i="1"/>
  <c r="J154" i="1"/>
  <c r="I154" i="1"/>
  <c r="G154" i="1"/>
  <c r="H154" i="1" s="1"/>
  <c r="F154" i="1"/>
  <c r="E154" i="1"/>
  <c r="D154" i="1"/>
  <c r="C154" i="1"/>
  <c r="M153" i="1"/>
  <c r="L153" i="1"/>
  <c r="K153" i="1"/>
  <c r="J153" i="1"/>
  <c r="I153" i="1"/>
  <c r="H153" i="1"/>
  <c r="G153" i="1"/>
  <c r="F153" i="1"/>
  <c r="E153" i="1"/>
  <c r="D153" i="1"/>
  <c r="C153" i="1"/>
  <c r="M152" i="1"/>
  <c r="L152" i="1"/>
  <c r="K152" i="1"/>
  <c r="J152" i="1"/>
  <c r="I152" i="1"/>
  <c r="G152" i="1"/>
  <c r="F152" i="1"/>
  <c r="E152" i="1"/>
  <c r="D152" i="1"/>
  <c r="C152" i="1"/>
  <c r="H152" i="1" s="1"/>
  <c r="M151" i="1"/>
  <c r="L151" i="1"/>
  <c r="K151" i="1"/>
  <c r="J151" i="1"/>
  <c r="I151" i="1"/>
  <c r="G151" i="1"/>
  <c r="H151" i="1" s="1"/>
  <c r="F151" i="1"/>
  <c r="E151" i="1"/>
  <c r="D151" i="1"/>
  <c r="C151" i="1"/>
  <c r="M150" i="1"/>
  <c r="L150" i="1"/>
  <c r="K150" i="1"/>
  <c r="J150" i="1"/>
  <c r="I150" i="1"/>
  <c r="H150" i="1"/>
  <c r="G150" i="1"/>
  <c r="F150" i="1"/>
  <c r="E150" i="1"/>
  <c r="D150" i="1"/>
  <c r="C150" i="1"/>
  <c r="M149" i="1"/>
  <c r="L149" i="1"/>
  <c r="K149" i="1"/>
  <c r="J149" i="1"/>
  <c r="I149" i="1"/>
  <c r="G149" i="1"/>
  <c r="F149" i="1"/>
  <c r="E149" i="1"/>
  <c r="D149" i="1"/>
  <c r="C149" i="1"/>
  <c r="H149" i="1" s="1"/>
  <c r="M148" i="1"/>
  <c r="L148" i="1"/>
  <c r="K148" i="1"/>
  <c r="J148" i="1"/>
  <c r="I148" i="1"/>
  <c r="G148" i="1"/>
  <c r="F148" i="1"/>
  <c r="E148" i="1"/>
  <c r="D148" i="1"/>
  <c r="C148" i="1"/>
  <c r="H148" i="1" s="1"/>
  <c r="M147" i="1"/>
  <c r="L147" i="1"/>
  <c r="K147" i="1"/>
  <c r="J147" i="1"/>
  <c r="I147" i="1"/>
  <c r="H147" i="1"/>
  <c r="G147" i="1"/>
  <c r="F147" i="1"/>
  <c r="E147" i="1"/>
  <c r="D147" i="1"/>
  <c r="C147" i="1"/>
  <c r="M146" i="1"/>
  <c r="L146" i="1"/>
  <c r="K146" i="1"/>
  <c r="J146" i="1"/>
  <c r="I146" i="1"/>
  <c r="G146" i="1"/>
  <c r="F146" i="1"/>
  <c r="E146" i="1"/>
  <c r="D146" i="1"/>
  <c r="C146" i="1"/>
  <c r="H146" i="1" s="1"/>
  <c r="M145" i="1"/>
  <c r="L145" i="1"/>
  <c r="K145" i="1"/>
  <c r="J145" i="1"/>
  <c r="I145" i="1"/>
  <c r="G145" i="1"/>
  <c r="H145" i="1" s="1"/>
  <c r="F145" i="1"/>
  <c r="E145" i="1"/>
  <c r="D145" i="1"/>
  <c r="C145" i="1"/>
  <c r="M144" i="1"/>
  <c r="L144" i="1"/>
  <c r="K144" i="1"/>
  <c r="J144" i="1"/>
  <c r="I144" i="1"/>
  <c r="G144" i="1"/>
  <c r="F144" i="1"/>
  <c r="E144" i="1"/>
  <c r="D144" i="1"/>
  <c r="C144" i="1"/>
  <c r="H144" i="1" s="1"/>
  <c r="M143" i="1"/>
  <c r="L143" i="1"/>
  <c r="K143" i="1"/>
  <c r="J143" i="1"/>
  <c r="I143" i="1"/>
  <c r="G143" i="1"/>
  <c r="H143" i="1" s="1"/>
  <c r="F143" i="1"/>
  <c r="E143" i="1"/>
  <c r="D143" i="1"/>
  <c r="C143" i="1"/>
  <c r="M142" i="1"/>
  <c r="L142" i="1"/>
  <c r="K142" i="1"/>
  <c r="J142" i="1"/>
  <c r="I142" i="1"/>
  <c r="G142" i="1"/>
  <c r="H142" i="1" s="1"/>
  <c r="F142" i="1"/>
  <c r="E142" i="1"/>
  <c r="D142" i="1"/>
  <c r="C142" i="1"/>
  <c r="M141" i="1"/>
  <c r="L141" i="1"/>
  <c r="K141" i="1"/>
  <c r="J141" i="1"/>
  <c r="I141" i="1"/>
  <c r="G141" i="1"/>
  <c r="H141" i="1" s="1"/>
  <c r="F141" i="1"/>
  <c r="E141" i="1"/>
  <c r="D141" i="1"/>
  <c r="C141" i="1"/>
  <c r="M140" i="1"/>
  <c r="L140" i="1"/>
  <c r="K140" i="1"/>
  <c r="J140" i="1"/>
  <c r="I140" i="1"/>
  <c r="H140" i="1"/>
  <c r="G140" i="1"/>
  <c r="F140" i="1"/>
  <c r="E140" i="1"/>
  <c r="D140" i="1"/>
  <c r="C140" i="1"/>
  <c r="M139" i="1"/>
  <c r="L139" i="1"/>
  <c r="K139" i="1"/>
  <c r="J139" i="1"/>
  <c r="I139" i="1"/>
  <c r="G139" i="1"/>
  <c r="H139" i="1" s="1"/>
  <c r="F139" i="1"/>
  <c r="E139" i="1"/>
  <c r="D139" i="1"/>
  <c r="C139" i="1"/>
  <c r="M138" i="1"/>
  <c r="L138" i="1"/>
  <c r="K138" i="1"/>
  <c r="J138" i="1"/>
  <c r="I138" i="1"/>
  <c r="G138" i="1"/>
  <c r="H138" i="1" s="1"/>
  <c r="F138" i="1"/>
  <c r="E138" i="1"/>
  <c r="D138" i="1"/>
  <c r="C138" i="1"/>
  <c r="M137" i="1"/>
  <c r="L137" i="1"/>
  <c r="K137" i="1"/>
  <c r="J137" i="1"/>
  <c r="I137" i="1"/>
  <c r="H137" i="1"/>
  <c r="G137" i="1"/>
  <c r="F137" i="1"/>
  <c r="E137" i="1"/>
  <c r="D137" i="1"/>
  <c r="C137" i="1"/>
  <c r="M136" i="1"/>
  <c r="L136" i="1"/>
  <c r="K136" i="1"/>
  <c r="J136" i="1"/>
  <c r="I136" i="1"/>
  <c r="G136" i="1"/>
  <c r="H136" i="1" s="1"/>
  <c r="F136" i="1"/>
  <c r="E136" i="1"/>
  <c r="D136" i="1"/>
  <c r="C136" i="1"/>
  <c r="M135" i="1"/>
  <c r="L135" i="1"/>
  <c r="K135" i="1"/>
  <c r="J135" i="1"/>
  <c r="I135" i="1"/>
  <c r="G135" i="1"/>
  <c r="H135" i="1" s="1"/>
  <c r="F135" i="1"/>
  <c r="E135" i="1"/>
  <c r="D135" i="1"/>
  <c r="C135" i="1"/>
  <c r="M134" i="1"/>
  <c r="L134" i="1"/>
  <c r="K134" i="1"/>
  <c r="J134" i="1"/>
  <c r="I134" i="1"/>
  <c r="H134" i="1"/>
  <c r="G134" i="1"/>
  <c r="F134" i="1"/>
  <c r="E134" i="1"/>
  <c r="D134" i="1"/>
  <c r="C134" i="1"/>
  <c r="M133" i="1"/>
  <c r="L133" i="1"/>
  <c r="K133" i="1"/>
  <c r="J133" i="1"/>
  <c r="I133" i="1"/>
  <c r="G133" i="1"/>
  <c r="H133" i="1" s="1"/>
  <c r="F133" i="1"/>
  <c r="E133" i="1"/>
  <c r="D133" i="1"/>
  <c r="C133" i="1"/>
  <c r="M132" i="1"/>
  <c r="L132" i="1"/>
  <c r="K132" i="1"/>
  <c r="J132" i="1"/>
  <c r="I132" i="1"/>
  <c r="G132" i="1"/>
  <c r="F132" i="1"/>
  <c r="E132" i="1"/>
  <c r="D132" i="1"/>
  <c r="C132" i="1"/>
  <c r="H132" i="1" s="1"/>
  <c r="M131" i="1"/>
  <c r="L131" i="1"/>
  <c r="K131" i="1"/>
  <c r="J131" i="1"/>
  <c r="I131" i="1"/>
  <c r="H131" i="1"/>
  <c r="G131" i="1"/>
  <c r="F131" i="1"/>
  <c r="E131" i="1"/>
  <c r="D131" i="1"/>
  <c r="C131" i="1"/>
  <c r="M130" i="1"/>
  <c r="L130" i="1"/>
  <c r="K130" i="1"/>
  <c r="J130" i="1"/>
  <c r="I130" i="1"/>
  <c r="G130" i="1"/>
  <c r="H130" i="1" s="1"/>
  <c r="F130" i="1"/>
  <c r="E130" i="1"/>
  <c r="D130" i="1"/>
  <c r="C130" i="1"/>
  <c r="M129" i="1"/>
  <c r="L129" i="1"/>
  <c r="K129" i="1"/>
  <c r="J129" i="1"/>
  <c r="I129" i="1"/>
  <c r="G129" i="1"/>
  <c r="H129" i="1" s="1"/>
  <c r="F129" i="1"/>
  <c r="E129" i="1"/>
  <c r="D129" i="1"/>
  <c r="C129" i="1"/>
  <c r="M128" i="1"/>
  <c r="L128" i="1"/>
  <c r="K128" i="1"/>
  <c r="J128" i="1"/>
  <c r="I128" i="1"/>
  <c r="G128" i="1"/>
  <c r="F128" i="1"/>
  <c r="E128" i="1"/>
  <c r="D128" i="1"/>
  <c r="C128" i="1"/>
  <c r="H128" i="1" s="1"/>
  <c r="M127" i="1"/>
  <c r="L127" i="1"/>
  <c r="K127" i="1"/>
  <c r="J127" i="1"/>
  <c r="I127" i="1"/>
  <c r="G127" i="1"/>
  <c r="H127" i="1" s="1"/>
  <c r="F127" i="1"/>
  <c r="E127" i="1"/>
  <c r="D127" i="1"/>
  <c r="C127" i="1"/>
  <c r="M126" i="1"/>
  <c r="L126" i="1"/>
  <c r="K126" i="1"/>
  <c r="J126" i="1"/>
  <c r="I126" i="1"/>
  <c r="G126" i="1"/>
  <c r="H126" i="1" s="1"/>
  <c r="F126" i="1"/>
  <c r="E126" i="1"/>
  <c r="D126" i="1"/>
  <c r="C126" i="1"/>
  <c r="M125" i="1"/>
  <c r="L125" i="1"/>
  <c r="K125" i="1"/>
  <c r="J125" i="1"/>
  <c r="I125" i="1"/>
  <c r="G125" i="1"/>
  <c r="H125" i="1" s="1"/>
  <c r="F125" i="1"/>
  <c r="E125" i="1"/>
  <c r="D125" i="1"/>
  <c r="C125" i="1"/>
  <c r="M124" i="1"/>
  <c r="L124" i="1"/>
  <c r="K124" i="1"/>
  <c r="J124" i="1"/>
  <c r="I124" i="1"/>
  <c r="G124" i="1"/>
  <c r="H124" i="1" s="1"/>
  <c r="F124" i="1"/>
  <c r="E124" i="1"/>
  <c r="D124" i="1"/>
  <c r="C124" i="1"/>
  <c r="M123" i="1"/>
  <c r="L123" i="1"/>
  <c r="K123" i="1"/>
  <c r="J123" i="1"/>
  <c r="I123" i="1"/>
  <c r="G123" i="1"/>
  <c r="H123" i="1" s="1"/>
  <c r="F123" i="1"/>
  <c r="E123" i="1"/>
  <c r="D123" i="1"/>
  <c r="C123" i="1"/>
  <c r="M122" i="1"/>
  <c r="L122" i="1"/>
  <c r="K122" i="1"/>
  <c r="J122" i="1"/>
  <c r="I122" i="1"/>
  <c r="G122" i="1"/>
  <c r="H122" i="1" s="1"/>
  <c r="F122" i="1"/>
  <c r="E122" i="1"/>
  <c r="D122" i="1"/>
  <c r="C122" i="1"/>
  <c r="M121" i="1"/>
  <c r="L121" i="1"/>
  <c r="K121" i="1"/>
  <c r="J121" i="1"/>
  <c r="I121" i="1"/>
  <c r="G121" i="1"/>
  <c r="H121" i="1" s="1"/>
  <c r="F121" i="1"/>
  <c r="E121" i="1"/>
  <c r="D121" i="1"/>
  <c r="C121" i="1"/>
  <c r="M120" i="1"/>
  <c r="L120" i="1"/>
  <c r="K120" i="1"/>
  <c r="J120" i="1"/>
  <c r="I120" i="1"/>
  <c r="G120" i="1"/>
  <c r="H120" i="1" s="1"/>
  <c r="F120" i="1"/>
  <c r="E120" i="1"/>
  <c r="D120" i="1"/>
  <c r="C120" i="1"/>
  <c r="M119" i="1"/>
  <c r="L119" i="1"/>
  <c r="K119" i="1"/>
  <c r="J119" i="1"/>
  <c r="I119" i="1"/>
  <c r="G119" i="1"/>
  <c r="H119" i="1" s="1"/>
  <c r="F119" i="1"/>
  <c r="E119" i="1"/>
  <c r="D119" i="1"/>
  <c r="C119" i="1"/>
  <c r="M118" i="1"/>
  <c r="L118" i="1"/>
  <c r="K118" i="1"/>
  <c r="J118" i="1"/>
  <c r="I118" i="1"/>
  <c r="G118" i="1"/>
  <c r="H118" i="1" s="1"/>
  <c r="F118" i="1"/>
  <c r="E118" i="1"/>
  <c r="D118" i="1"/>
  <c r="C118" i="1"/>
  <c r="M117" i="1"/>
  <c r="L117" i="1"/>
  <c r="K117" i="1"/>
  <c r="J117" i="1"/>
  <c r="I117" i="1"/>
  <c r="G117" i="1"/>
  <c r="H117" i="1" s="1"/>
  <c r="F117" i="1"/>
  <c r="E117" i="1"/>
  <c r="D117" i="1"/>
  <c r="C117" i="1"/>
  <c r="M116" i="1"/>
  <c r="L116" i="1"/>
  <c r="K116" i="1"/>
  <c r="J116" i="1"/>
  <c r="I116" i="1"/>
  <c r="G116" i="1"/>
  <c r="F116" i="1"/>
  <c r="E116" i="1"/>
  <c r="D116" i="1"/>
  <c r="C116" i="1"/>
  <c r="H116" i="1" s="1"/>
  <c r="M115" i="1"/>
  <c r="L115" i="1"/>
  <c r="K115" i="1"/>
  <c r="J115" i="1"/>
  <c r="I115" i="1"/>
  <c r="H115" i="1"/>
  <c r="G115" i="1"/>
  <c r="F115" i="1"/>
  <c r="E115" i="1"/>
  <c r="D115" i="1"/>
  <c r="C115" i="1"/>
  <c r="M114" i="1"/>
  <c r="L114" i="1"/>
  <c r="K114" i="1"/>
  <c r="J114" i="1"/>
  <c r="I114" i="1"/>
  <c r="G114" i="1"/>
  <c r="H114" i="1" s="1"/>
  <c r="F114" i="1"/>
  <c r="E114" i="1"/>
  <c r="D114" i="1"/>
  <c r="C114" i="1"/>
  <c r="M113" i="1"/>
  <c r="L113" i="1"/>
  <c r="K113" i="1"/>
  <c r="J113" i="1"/>
  <c r="I113" i="1"/>
  <c r="G113" i="1"/>
  <c r="H113" i="1" s="1"/>
  <c r="F113" i="1"/>
  <c r="E113" i="1"/>
  <c r="D113" i="1"/>
  <c r="C113" i="1"/>
  <c r="M112" i="1"/>
  <c r="L112" i="1"/>
  <c r="K112" i="1"/>
  <c r="J112" i="1"/>
  <c r="I112" i="1"/>
  <c r="G112" i="1"/>
  <c r="F112" i="1"/>
  <c r="E112" i="1"/>
  <c r="D112" i="1"/>
  <c r="C112" i="1"/>
  <c r="H112" i="1" s="1"/>
  <c r="M111" i="1"/>
  <c r="L111" i="1"/>
  <c r="K111" i="1"/>
  <c r="J111" i="1"/>
  <c r="I111" i="1"/>
  <c r="H111" i="1"/>
  <c r="G111" i="1"/>
  <c r="F111" i="1"/>
  <c r="E111" i="1"/>
  <c r="D111" i="1"/>
  <c r="C111" i="1"/>
  <c r="M110" i="1"/>
  <c r="L110" i="1"/>
  <c r="K110" i="1"/>
  <c r="J110" i="1"/>
  <c r="I110" i="1"/>
  <c r="G110" i="1"/>
  <c r="H110" i="1" s="1"/>
  <c r="F110" i="1"/>
  <c r="E110" i="1"/>
  <c r="D110" i="1"/>
  <c r="C110" i="1"/>
  <c r="M109" i="1"/>
  <c r="L109" i="1"/>
  <c r="K109" i="1"/>
  <c r="J109" i="1"/>
  <c r="I109" i="1"/>
  <c r="G109" i="1"/>
  <c r="H109" i="1" s="1"/>
  <c r="F109" i="1"/>
  <c r="E109" i="1"/>
  <c r="D109" i="1"/>
  <c r="C109" i="1"/>
  <c r="M108" i="1"/>
  <c r="L108" i="1"/>
  <c r="K108" i="1"/>
  <c r="J108" i="1"/>
  <c r="I108" i="1"/>
  <c r="H108" i="1"/>
  <c r="G108" i="1"/>
  <c r="F108" i="1"/>
  <c r="E108" i="1"/>
  <c r="D108" i="1"/>
  <c r="C108" i="1"/>
  <c r="M107" i="1"/>
  <c r="L107" i="1"/>
  <c r="K107" i="1"/>
  <c r="J107" i="1"/>
  <c r="I107" i="1"/>
  <c r="H107" i="1"/>
  <c r="G107" i="1"/>
  <c r="F107" i="1"/>
  <c r="E107" i="1"/>
  <c r="D107" i="1"/>
  <c r="C107" i="1"/>
  <c r="M106" i="1"/>
  <c r="L106" i="1"/>
  <c r="K106" i="1"/>
  <c r="J106" i="1"/>
  <c r="I106" i="1"/>
  <c r="G106" i="1"/>
  <c r="F106" i="1"/>
  <c r="E106" i="1"/>
  <c r="D106" i="1"/>
  <c r="C106" i="1"/>
  <c r="M105" i="1"/>
  <c r="L105" i="1"/>
  <c r="K105" i="1"/>
  <c r="J105" i="1"/>
  <c r="I105" i="1"/>
  <c r="H105" i="1"/>
  <c r="G105" i="1"/>
  <c r="F105" i="1"/>
  <c r="E105" i="1"/>
  <c r="D105" i="1"/>
  <c r="C105" i="1"/>
  <c r="M104" i="1"/>
  <c r="L104" i="1"/>
  <c r="K104" i="1"/>
  <c r="J104" i="1"/>
  <c r="I104" i="1"/>
  <c r="H104" i="1"/>
  <c r="G104" i="1"/>
  <c r="F104" i="1"/>
  <c r="E104" i="1"/>
  <c r="D104" i="1"/>
  <c r="C104" i="1"/>
  <c r="M103" i="1"/>
  <c r="L103" i="1"/>
  <c r="K103" i="1"/>
  <c r="J103" i="1"/>
  <c r="I103" i="1"/>
  <c r="G103" i="1"/>
  <c r="F103" i="1"/>
  <c r="E103" i="1"/>
  <c r="D103" i="1"/>
  <c r="C103" i="1"/>
  <c r="M102" i="1"/>
  <c r="L102" i="1"/>
  <c r="K102" i="1"/>
  <c r="J102" i="1"/>
  <c r="I102" i="1"/>
  <c r="H102" i="1"/>
  <c r="G102" i="1"/>
  <c r="F102" i="1"/>
  <c r="E102" i="1"/>
  <c r="D102" i="1"/>
  <c r="C102" i="1"/>
  <c r="M101" i="1"/>
  <c r="L101" i="1"/>
  <c r="K101" i="1"/>
  <c r="J101" i="1"/>
  <c r="I101" i="1"/>
  <c r="H101" i="1"/>
  <c r="G101" i="1"/>
  <c r="F101" i="1"/>
  <c r="E101" i="1"/>
  <c r="D101" i="1"/>
  <c r="C101" i="1"/>
  <c r="M100" i="1"/>
  <c r="L100" i="1"/>
  <c r="K100" i="1"/>
  <c r="J100" i="1"/>
  <c r="I100" i="1"/>
  <c r="G100" i="1"/>
  <c r="F100" i="1"/>
  <c r="E100" i="1"/>
  <c r="D100" i="1"/>
  <c r="C100" i="1"/>
  <c r="H100" i="1" s="1"/>
  <c r="M99" i="1"/>
  <c r="L99" i="1"/>
  <c r="K99" i="1"/>
  <c r="J99" i="1"/>
  <c r="I99" i="1"/>
  <c r="H99" i="1"/>
  <c r="G99" i="1"/>
  <c r="F99" i="1"/>
  <c r="E99" i="1"/>
  <c r="D99" i="1"/>
  <c r="C99" i="1"/>
  <c r="M98" i="1"/>
  <c r="L98" i="1"/>
  <c r="K98" i="1"/>
  <c r="J98" i="1"/>
  <c r="I98" i="1"/>
  <c r="H98" i="1"/>
  <c r="G98" i="1"/>
  <c r="F98" i="1"/>
  <c r="E98" i="1"/>
  <c r="D98" i="1"/>
  <c r="C98" i="1"/>
  <c r="M97" i="1"/>
  <c r="L97" i="1"/>
  <c r="K97" i="1"/>
  <c r="J97" i="1"/>
  <c r="I97" i="1"/>
  <c r="G97" i="1"/>
  <c r="F97" i="1"/>
  <c r="E97" i="1"/>
  <c r="D97" i="1"/>
  <c r="C97" i="1"/>
  <c r="M96" i="1"/>
  <c r="L96" i="1"/>
  <c r="K96" i="1"/>
  <c r="J96" i="1"/>
  <c r="I96" i="1"/>
  <c r="G96" i="1"/>
  <c r="F96" i="1"/>
  <c r="E96" i="1"/>
  <c r="D96" i="1"/>
  <c r="C96" i="1"/>
  <c r="H96" i="1" s="1"/>
  <c r="M95" i="1"/>
  <c r="L95" i="1"/>
  <c r="K95" i="1"/>
  <c r="J95" i="1"/>
  <c r="I95" i="1"/>
  <c r="G95" i="1"/>
  <c r="H95" i="1" s="1"/>
  <c r="F95" i="1"/>
  <c r="E95" i="1"/>
  <c r="D95" i="1"/>
  <c r="C95" i="1"/>
  <c r="M94" i="1"/>
  <c r="L94" i="1"/>
  <c r="K94" i="1"/>
  <c r="J94" i="1"/>
  <c r="I94" i="1"/>
  <c r="G94" i="1"/>
  <c r="H94" i="1" s="1"/>
  <c r="F94" i="1"/>
  <c r="E94" i="1"/>
  <c r="D94" i="1"/>
  <c r="C94" i="1"/>
  <c r="M93" i="1"/>
  <c r="L93" i="1"/>
  <c r="K93" i="1"/>
  <c r="J93" i="1"/>
  <c r="I93" i="1"/>
  <c r="G93" i="1"/>
  <c r="H93" i="1" s="1"/>
  <c r="F93" i="1"/>
  <c r="E93" i="1"/>
  <c r="D93" i="1"/>
  <c r="C93" i="1"/>
  <c r="M92" i="1"/>
  <c r="L92" i="1"/>
  <c r="K92" i="1"/>
  <c r="J92" i="1"/>
  <c r="I92" i="1"/>
  <c r="G92" i="1"/>
  <c r="H92" i="1" s="1"/>
  <c r="F92" i="1"/>
  <c r="E92" i="1"/>
  <c r="D92" i="1"/>
  <c r="C92" i="1"/>
  <c r="M91" i="1"/>
  <c r="L91" i="1"/>
  <c r="K91" i="1"/>
  <c r="J91" i="1"/>
  <c r="I91" i="1"/>
  <c r="G91" i="1"/>
  <c r="H91" i="1" s="1"/>
  <c r="F91" i="1"/>
  <c r="E91" i="1"/>
  <c r="D91" i="1"/>
  <c r="C91" i="1"/>
  <c r="M90" i="1"/>
  <c r="L90" i="1"/>
  <c r="K90" i="1"/>
  <c r="J90" i="1"/>
  <c r="I90" i="1"/>
  <c r="G90" i="1"/>
  <c r="H90" i="1" s="1"/>
  <c r="F90" i="1"/>
  <c r="E90" i="1"/>
  <c r="D90" i="1"/>
  <c r="C90" i="1"/>
  <c r="M89" i="1"/>
  <c r="L89" i="1"/>
  <c r="K89" i="1"/>
  <c r="J89" i="1"/>
  <c r="I89" i="1"/>
  <c r="G89" i="1"/>
  <c r="H89" i="1" s="1"/>
  <c r="F89" i="1"/>
  <c r="E89" i="1"/>
  <c r="D89" i="1"/>
  <c r="C89" i="1"/>
  <c r="M88" i="1"/>
  <c r="L88" i="1"/>
  <c r="K88" i="1"/>
  <c r="J88" i="1"/>
  <c r="I88" i="1"/>
  <c r="G88" i="1"/>
  <c r="H88" i="1" s="1"/>
  <c r="F88" i="1"/>
  <c r="E88" i="1"/>
  <c r="D88" i="1"/>
  <c r="C88" i="1"/>
  <c r="M87" i="1"/>
  <c r="L87" i="1"/>
  <c r="K87" i="1"/>
  <c r="J87" i="1"/>
  <c r="I87" i="1"/>
  <c r="G87" i="1"/>
  <c r="H87" i="1" s="1"/>
  <c r="F87" i="1"/>
  <c r="E87" i="1"/>
  <c r="D87" i="1"/>
  <c r="C87" i="1"/>
  <c r="M86" i="1"/>
  <c r="L86" i="1"/>
  <c r="K86" i="1"/>
  <c r="J86" i="1"/>
  <c r="I86" i="1"/>
  <c r="G86" i="1"/>
  <c r="H86" i="1" s="1"/>
  <c r="F86" i="1"/>
  <c r="E86" i="1"/>
  <c r="D86" i="1"/>
  <c r="C86" i="1"/>
  <c r="M85" i="1"/>
  <c r="L85" i="1"/>
  <c r="K85" i="1"/>
  <c r="J85" i="1"/>
  <c r="I85" i="1"/>
  <c r="G85" i="1"/>
  <c r="H85" i="1" s="1"/>
  <c r="F85" i="1"/>
  <c r="E85" i="1"/>
  <c r="D85" i="1"/>
  <c r="C85" i="1"/>
  <c r="M84" i="1"/>
  <c r="L84" i="1"/>
  <c r="K84" i="1"/>
  <c r="J84" i="1"/>
  <c r="I84" i="1"/>
  <c r="G84" i="1"/>
  <c r="F84" i="1"/>
  <c r="E84" i="1"/>
  <c r="D84" i="1"/>
  <c r="C84" i="1"/>
  <c r="H84" i="1" s="1"/>
  <c r="M83" i="1"/>
  <c r="L83" i="1"/>
  <c r="K83" i="1"/>
  <c r="J83" i="1"/>
  <c r="I83" i="1"/>
  <c r="H83" i="1"/>
  <c r="G83" i="1"/>
  <c r="F83" i="1"/>
  <c r="E83" i="1"/>
  <c r="D83" i="1"/>
  <c r="C83" i="1"/>
  <c r="M82" i="1"/>
  <c r="L82" i="1"/>
  <c r="K82" i="1"/>
  <c r="J82" i="1"/>
  <c r="I82" i="1"/>
  <c r="G82" i="1"/>
  <c r="H82" i="1" s="1"/>
  <c r="F82" i="1"/>
  <c r="E82" i="1"/>
  <c r="D82" i="1"/>
  <c r="C82" i="1"/>
  <c r="M81" i="1"/>
  <c r="L81" i="1"/>
  <c r="K81" i="1"/>
  <c r="J81" i="1"/>
  <c r="I81" i="1"/>
  <c r="G81" i="1"/>
  <c r="H81" i="1" s="1"/>
  <c r="F81" i="1"/>
  <c r="E81" i="1"/>
  <c r="D81" i="1"/>
  <c r="C81" i="1"/>
  <c r="M80" i="1"/>
  <c r="L80" i="1"/>
  <c r="K80" i="1"/>
  <c r="J80" i="1"/>
  <c r="I80" i="1"/>
  <c r="G80" i="1"/>
  <c r="F80" i="1"/>
  <c r="E80" i="1"/>
  <c r="D80" i="1"/>
  <c r="C80" i="1"/>
  <c r="H80" i="1" s="1"/>
  <c r="M79" i="1"/>
  <c r="L79" i="1"/>
  <c r="K79" i="1"/>
  <c r="J79" i="1"/>
  <c r="I79" i="1"/>
  <c r="G79" i="1"/>
  <c r="H79" i="1" s="1"/>
  <c r="F79" i="1"/>
  <c r="E79" i="1"/>
  <c r="D79" i="1"/>
  <c r="C79" i="1"/>
  <c r="M78" i="1"/>
  <c r="L78" i="1"/>
  <c r="K78" i="1"/>
  <c r="J78" i="1"/>
  <c r="I78" i="1"/>
  <c r="G78" i="1"/>
  <c r="H78" i="1" s="1"/>
  <c r="F78" i="1"/>
  <c r="E78" i="1"/>
  <c r="D78" i="1"/>
  <c r="C78" i="1"/>
  <c r="M77" i="1"/>
  <c r="L77" i="1"/>
  <c r="K77" i="1"/>
  <c r="J77" i="1"/>
  <c r="I77" i="1"/>
  <c r="G77" i="1"/>
  <c r="H77" i="1" s="1"/>
  <c r="F77" i="1"/>
  <c r="E77" i="1"/>
  <c r="D77" i="1"/>
  <c r="C77" i="1"/>
  <c r="M76" i="1"/>
  <c r="L76" i="1"/>
  <c r="K76" i="1"/>
  <c r="J76" i="1"/>
  <c r="I76" i="1"/>
  <c r="G76" i="1"/>
  <c r="H76" i="1" s="1"/>
  <c r="F76" i="1"/>
  <c r="E76" i="1"/>
  <c r="D76" i="1"/>
  <c r="C76" i="1"/>
  <c r="M75" i="1"/>
  <c r="L75" i="1"/>
  <c r="K75" i="1"/>
  <c r="J75" i="1"/>
  <c r="I75" i="1"/>
  <c r="H75" i="1"/>
  <c r="G75" i="1"/>
  <c r="F75" i="1"/>
  <c r="E75" i="1"/>
  <c r="D75" i="1"/>
  <c r="C75" i="1"/>
  <c r="M74" i="1"/>
  <c r="L74" i="1"/>
  <c r="K74" i="1"/>
  <c r="J74" i="1"/>
  <c r="I74" i="1"/>
  <c r="G74" i="1"/>
  <c r="F74" i="1"/>
  <c r="E74" i="1"/>
  <c r="D74" i="1"/>
  <c r="C74" i="1"/>
  <c r="M73" i="1"/>
  <c r="L73" i="1"/>
  <c r="K73" i="1"/>
  <c r="J73" i="1"/>
  <c r="I73" i="1"/>
  <c r="G73" i="1"/>
  <c r="H73" i="1" s="1"/>
  <c r="F73" i="1"/>
  <c r="E73" i="1"/>
  <c r="D73" i="1"/>
  <c r="C73" i="1"/>
  <c r="M72" i="1"/>
  <c r="L72" i="1"/>
  <c r="K72" i="1"/>
  <c r="J72" i="1"/>
  <c r="I72" i="1"/>
  <c r="H72" i="1"/>
  <c r="G72" i="1"/>
  <c r="F72" i="1"/>
  <c r="E72" i="1"/>
  <c r="D72" i="1"/>
  <c r="C72" i="1"/>
  <c r="M71" i="1"/>
  <c r="L71" i="1"/>
  <c r="K71" i="1"/>
  <c r="J71" i="1"/>
  <c r="I71" i="1"/>
  <c r="G71" i="1"/>
  <c r="F71" i="1"/>
  <c r="E71" i="1"/>
  <c r="D71" i="1"/>
  <c r="C71" i="1"/>
  <c r="M70" i="1"/>
  <c r="L70" i="1"/>
  <c r="K70" i="1"/>
  <c r="J70" i="1"/>
  <c r="I70" i="1"/>
  <c r="G70" i="1"/>
  <c r="H70" i="1" s="1"/>
  <c r="F70" i="1"/>
  <c r="E70" i="1"/>
  <c r="D70" i="1"/>
  <c r="C70" i="1"/>
  <c r="M69" i="1"/>
  <c r="L69" i="1"/>
  <c r="K69" i="1"/>
  <c r="J69" i="1"/>
  <c r="I69" i="1"/>
  <c r="H69" i="1"/>
  <c r="G69" i="1"/>
  <c r="F69" i="1"/>
  <c r="E69" i="1"/>
  <c r="D69" i="1"/>
  <c r="C69" i="1"/>
  <c r="M68" i="1"/>
  <c r="L68" i="1"/>
  <c r="K68" i="1"/>
  <c r="J68" i="1"/>
  <c r="I68" i="1"/>
  <c r="G68" i="1"/>
  <c r="F68" i="1"/>
  <c r="E68" i="1"/>
  <c r="D68" i="1"/>
  <c r="C68" i="1"/>
  <c r="H68" i="1" s="1"/>
  <c r="M67" i="1"/>
  <c r="L67" i="1"/>
  <c r="K67" i="1"/>
  <c r="J67" i="1"/>
  <c r="I67" i="1"/>
  <c r="H67" i="1"/>
  <c r="G67" i="1"/>
  <c r="F67" i="1"/>
  <c r="E67" i="1"/>
  <c r="D67" i="1"/>
  <c r="C67" i="1"/>
  <c r="M66" i="1"/>
  <c r="L66" i="1"/>
  <c r="K66" i="1"/>
  <c r="J66" i="1"/>
  <c r="I66" i="1"/>
  <c r="H66" i="1"/>
  <c r="G66" i="1"/>
  <c r="F66" i="1"/>
  <c r="E66" i="1"/>
  <c r="D66" i="1"/>
  <c r="C66" i="1"/>
  <c r="M65" i="1"/>
  <c r="L65" i="1"/>
  <c r="K65" i="1"/>
  <c r="J65" i="1"/>
  <c r="I65" i="1"/>
  <c r="G65" i="1"/>
  <c r="F65" i="1"/>
  <c r="E65" i="1"/>
  <c r="D65" i="1"/>
  <c r="C65" i="1"/>
  <c r="M64" i="1"/>
  <c r="L64" i="1"/>
  <c r="K64" i="1"/>
  <c r="J64" i="1"/>
  <c r="I64" i="1"/>
  <c r="G64" i="1"/>
  <c r="F64" i="1"/>
  <c r="E64" i="1"/>
  <c r="D64" i="1"/>
  <c r="C64" i="1"/>
  <c r="H64" i="1" s="1"/>
  <c r="M63" i="1"/>
  <c r="L63" i="1"/>
  <c r="K63" i="1"/>
  <c r="J63" i="1"/>
  <c r="I63" i="1"/>
  <c r="H63" i="1"/>
  <c r="G63" i="1"/>
  <c r="F63" i="1"/>
  <c r="E63" i="1"/>
  <c r="D63" i="1"/>
  <c r="C63" i="1"/>
  <c r="M62" i="1"/>
  <c r="L62" i="1"/>
  <c r="K62" i="1"/>
  <c r="J62" i="1"/>
  <c r="I62" i="1"/>
  <c r="G62" i="1"/>
  <c r="F62" i="1"/>
  <c r="E62" i="1"/>
  <c r="D62" i="1"/>
  <c r="C62" i="1"/>
  <c r="M61" i="1"/>
  <c r="L61" i="1"/>
  <c r="K61" i="1"/>
  <c r="J61" i="1"/>
  <c r="I61" i="1"/>
  <c r="G61" i="1"/>
  <c r="H61" i="1" s="1"/>
  <c r="F61" i="1"/>
  <c r="E61" i="1"/>
  <c r="D61" i="1"/>
  <c r="C61" i="1"/>
  <c r="M60" i="1"/>
  <c r="L60" i="1"/>
  <c r="K60" i="1"/>
  <c r="J60" i="1"/>
  <c r="I60" i="1"/>
  <c r="H60" i="1"/>
  <c r="G60" i="1"/>
  <c r="F60" i="1"/>
  <c r="E60" i="1"/>
  <c r="D60" i="1"/>
  <c r="C60" i="1"/>
  <c r="M59" i="1"/>
  <c r="L59" i="1"/>
  <c r="K59" i="1"/>
  <c r="J59" i="1"/>
  <c r="I59" i="1"/>
  <c r="G59" i="1"/>
  <c r="F59" i="1"/>
  <c r="E59" i="1"/>
  <c r="D59" i="1"/>
  <c r="C59" i="1"/>
  <c r="H59" i="1" s="1"/>
  <c r="M58" i="1"/>
  <c r="L58" i="1"/>
  <c r="K58" i="1"/>
  <c r="J58" i="1"/>
  <c r="I58" i="1"/>
  <c r="G58" i="1"/>
  <c r="F58" i="1"/>
  <c r="E58" i="1"/>
  <c r="D58" i="1"/>
  <c r="C58" i="1"/>
  <c r="M57" i="1"/>
  <c r="L57" i="1"/>
  <c r="K57" i="1"/>
  <c r="J57" i="1"/>
  <c r="I57" i="1"/>
  <c r="H57" i="1"/>
  <c r="G57" i="1"/>
  <c r="F57" i="1"/>
  <c r="E57" i="1"/>
  <c r="D57" i="1"/>
  <c r="C57" i="1"/>
  <c r="M56" i="1"/>
  <c r="L56" i="1"/>
  <c r="K56" i="1"/>
  <c r="J56" i="1"/>
  <c r="I56" i="1"/>
  <c r="G56" i="1"/>
  <c r="F56" i="1"/>
  <c r="E56" i="1"/>
  <c r="D56" i="1"/>
  <c r="C56" i="1"/>
  <c r="H56" i="1" s="1"/>
  <c r="M55" i="1"/>
  <c r="L55" i="1"/>
  <c r="K55" i="1"/>
  <c r="J55" i="1"/>
  <c r="I55" i="1"/>
  <c r="G55" i="1"/>
  <c r="F55" i="1"/>
  <c r="E55" i="1"/>
  <c r="D55" i="1"/>
  <c r="C55" i="1"/>
  <c r="M54" i="1"/>
  <c r="L54" i="1"/>
  <c r="K54" i="1"/>
  <c r="J54" i="1"/>
  <c r="I54" i="1"/>
  <c r="H54" i="1"/>
  <c r="G54" i="1"/>
  <c r="F54" i="1"/>
  <c r="E54" i="1"/>
  <c r="D54" i="1"/>
  <c r="C54" i="1"/>
  <c r="M53" i="1"/>
  <c r="L53" i="1"/>
  <c r="K53" i="1"/>
  <c r="J53" i="1"/>
  <c r="I53" i="1"/>
  <c r="G53" i="1"/>
  <c r="F53" i="1"/>
  <c r="E53" i="1"/>
  <c r="D53" i="1"/>
  <c r="C53" i="1"/>
  <c r="H53" i="1" s="1"/>
  <c r="M52" i="1"/>
  <c r="L52" i="1"/>
  <c r="K52" i="1"/>
  <c r="J52" i="1"/>
  <c r="I52" i="1"/>
  <c r="G52" i="1"/>
  <c r="F52" i="1"/>
  <c r="E52" i="1"/>
  <c r="D52" i="1"/>
  <c r="C52" i="1"/>
  <c r="H52" i="1" s="1"/>
  <c r="M51" i="1"/>
  <c r="L51" i="1"/>
  <c r="K51" i="1"/>
  <c r="J51" i="1"/>
  <c r="I51" i="1"/>
  <c r="H51" i="1"/>
  <c r="G51" i="1"/>
  <c r="F51" i="1"/>
  <c r="E51" i="1"/>
  <c r="D51" i="1"/>
  <c r="C51" i="1"/>
  <c r="M50" i="1"/>
  <c r="L50" i="1"/>
  <c r="K50" i="1"/>
  <c r="J50" i="1"/>
  <c r="I50" i="1"/>
  <c r="G50" i="1"/>
  <c r="F50" i="1"/>
  <c r="E50" i="1"/>
  <c r="D50" i="1"/>
  <c r="C50" i="1"/>
  <c r="H50" i="1" s="1"/>
  <c r="M49" i="1"/>
  <c r="L49" i="1"/>
  <c r="K49" i="1"/>
  <c r="J49" i="1"/>
  <c r="I49" i="1"/>
  <c r="G49" i="1"/>
  <c r="F49" i="1"/>
  <c r="E49" i="1"/>
  <c r="D49" i="1"/>
  <c r="C49" i="1"/>
  <c r="M48" i="1"/>
  <c r="L48" i="1"/>
  <c r="K48" i="1"/>
  <c r="J48" i="1"/>
  <c r="I48" i="1"/>
  <c r="G48" i="1"/>
  <c r="F48" i="1"/>
  <c r="E48" i="1"/>
  <c r="D48" i="1"/>
  <c r="C48" i="1"/>
  <c r="H48" i="1" s="1"/>
  <c r="M47" i="1"/>
  <c r="L47" i="1"/>
  <c r="K47" i="1"/>
  <c r="J47" i="1"/>
  <c r="I47" i="1"/>
  <c r="H47" i="1"/>
  <c r="G47" i="1"/>
  <c r="F47" i="1"/>
  <c r="E47" i="1"/>
  <c r="D47" i="1"/>
  <c r="C47" i="1"/>
  <c r="M46" i="1"/>
  <c r="L46" i="1"/>
  <c r="K46" i="1"/>
  <c r="J46" i="1"/>
  <c r="I46" i="1"/>
  <c r="G46" i="1"/>
  <c r="H46" i="1" s="1"/>
  <c r="F46" i="1"/>
  <c r="E46" i="1"/>
  <c r="D46" i="1"/>
  <c r="C46" i="1"/>
  <c r="M45" i="1"/>
  <c r="L45" i="1"/>
  <c r="K45" i="1"/>
  <c r="J45" i="1"/>
  <c r="I45" i="1"/>
  <c r="G45" i="1"/>
  <c r="H45" i="1" s="1"/>
  <c r="F45" i="1"/>
  <c r="E45" i="1"/>
  <c r="D45" i="1"/>
  <c r="C45" i="1"/>
  <c r="M44" i="1"/>
  <c r="L44" i="1"/>
  <c r="K44" i="1"/>
  <c r="J44" i="1"/>
  <c r="I44" i="1"/>
  <c r="G44" i="1"/>
  <c r="H44" i="1" s="1"/>
  <c r="F44" i="1"/>
  <c r="E44" i="1"/>
  <c r="D44" i="1"/>
  <c r="C44" i="1"/>
  <c r="M43" i="1"/>
  <c r="L43" i="1"/>
  <c r="K43" i="1"/>
  <c r="J43" i="1"/>
  <c r="I43" i="1"/>
  <c r="G43" i="1"/>
  <c r="H43" i="1" s="1"/>
  <c r="F43" i="1"/>
  <c r="E43" i="1"/>
  <c r="D43" i="1"/>
  <c r="C43" i="1"/>
  <c r="M42" i="1"/>
  <c r="L42" i="1"/>
  <c r="K42" i="1"/>
  <c r="J42" i="1"/>
  <c r="I42" i="1"/>
  <c r="G42" i="1"/>
  <c r="H42" i="1" s="1"/>
  <c r="F42" i="1"/>
  <c r="E42" i="1"/>
  <c r="D42" i="1"/>
  <c r="C42" i="1"/>
  <c r="M41" i="1"/>
  <c r="L41" i="1"/>
  <c r="K41" i="1"/>
  <c r="J41" i="1"/>
  <c r="I41" i="1"/>
  <c r="G41" i="1"/>
  <c r="H41" i="1" s="1"/>
  <c r="F41" i="1"/>
  <c r="E41" i="1"/>
  <c r="D41" i="1"/>
  <c r="C41" i="1"/>
  <c r="M40" i="1"/>
  <c r="L40" i="1"/>
  <c r="K40" i="1"/>
  <c r="J40" i="1"/>
  <c r="I40" i="1"/>
  <c r="G40" i="1"/>
  <c r="H40" i="1" s="1"/>
  <c r="F40" i="1"/>
  <c r="E40" i="1"/>
  <c r="D40" i="1"/>
  <c r="C40" i="1"/>
  <c r="M39" i="1"/>
  <c r="L39" i="1"/>
  <c r="K39" i="1"/>
  <c r="J39" i="1"/>
  <c r="I39" i="1"/>
  <c r="G39" i="1"/>
  <c r="H39" i="1" s="1"/>
  <c r="F39" i="1"/>
  <c r="E39" i="1"/>
  <c r="D39" i="1"/>
  <c r="C39" i="1"/>
  <c r="M38" i="1"/>
  <c r="L38" i="1"/>
  <c r="K38" i="1"/>
  <c r="J38" i="1"/>
  <c r="I38" i="1"/>
  <c r="G38" i="1"/>
  <c r="H38" i="1" s="1"/>
  <c r="F38" i="1"/>
  <c r="E38" i="1"/>
  <c r="D38" i="1"/>
  <c r="C38" i="1"/>
  <c r="M37" i="1"/>
  <c r="L37" i="1"/>
  <c r="K37" i="1"/>
  <c r="J37" i="1"/>
  <c r="I37" i="1"/>
  <c r="G37" i="1"/>
  <c r="H37" i="1" s="1"/>
  <c r="F37" i="1"/>
  <c r="E37" i="1"/>
  <c r="D37" i="1"/>
  <c r="C37" i="1"/>
  <c r="M36" i="1"/>
  <c r="L36" i="1"/>
  <c r="K36" i="1"/>
  <c r="J36" i="1"/>
  <c r="I36" i="1"/>
  <c r="G36" i="1"/>
  <c r="F36" i="1"/>
  <c r="E36" i="1"/>
  <c r="D36" i="1"/>
  <c r="C36" i="1"/>
  <c r="H36" i="1" s="1"/>
  <c r="M35" i="1"/>
  <c r="L35" i="1"/>
  <c r="K35" i="1"/>
  <c r="J35" i="1"/>
  <c r="I35" i="1"/>
  <c r="H35" i="1"/>
  <c r="G35" i="1"/>
  <c r="F35" i="1"/>
  <c r="E35" i="1"/>
  <c r="D35" i="1"/>
  <c r="C35" i="1"/>
  <c r="M34" i="1"/>
  <c r="L34" i="1"/>
  <c r="K34" i="1"/>
  <c r="J34" i="1"/>
  <c r="I34" i="1"/>
  <c r="G34" i="1"/>
  <c r="H34" i="1" s="1"/>
  <c r="F34" i="1"/>
  <c r="E34" i="1"/>
  <c r="D34" i="1"/>
  <c r="C34" i="1"/>
  <c r="M33" i="1"/>
  <c r="L33" i="1"/>
  <c r="K33" i="1"/>
  <c r="J33" i="1"/>
  <c r="I33" i="1"/>
  <c r="G33" i="1"/>
  <c r="H33" i="1" s="1"/>
  <c r="F33" i="1"/>
  <c r="E33" i="1"/>
  <c r="D33" i="1"/>
  <c r="C33" i="1"/>
  <c r="M32" i="1"/>
  <c r="L32" i="1"/>
  <c r="K32" i="1"/>
  <c r="J32" i="1"/>
  <c r="I32" i="1"/>
  <c r="G32" i="1"/>
  <c r="F32" i="1"/>
  <c r="E32" i="1"/>
  <c r="D32" i="1"/>
  <c r="C32" i="1"/>
  <c r="H32" i="1" s="1"/>
  <c r="M31" i="1"/>
  <c r="L31" i="1"/>
  <c r="K31" i="1"/>
  <c r="J31" i="1"/>
  <c r="I31" i="1"/>
  <c r="H31" i="1"/>
  <c r="G31" i="1"/>
  <c r="F31" i="1"/>
  <c r="E31" i="1"/>
  <c r="D31" i="1"/>
  <c r="C31" i="1"/>
  <c r="M30" i="1"/>
  <c r="L30" i="1"/>
  <c r="K30" i="1"/>
  <c r="J30" i="1"/>
  <c r="I30" i="1"/>
  <c r="G30" i="1"/>
  <c r="F30" i="1"/>
  <c r="E30" i="1"/>
  <c r="D30" i="1"/>
  <c r="C30" i="1"/>
  <c r="M29" i="1"/>
  <c r="L29" i="1"/>
  <c r="K29" i="1"/>
  <c r="J29" i="1"/>
  <c r="I29" i="1"/>
  <c r="G29" i="1"/>
  <c r="H29" i="1" s="1"/>
  <c r="F29" i="1"/>
  <c r="E29" i="1"/>
  <c r="D29" i="1"/>
  <c r="C29" i="1"/>
  <c r="M28" i="1"/>
  <c r="L28" i="1"/>
  <c r="K28" i="1"/>
  <c r="J28" i="1"/>
  <c r="I28" i="1"/>
  <c r="H28" i="1"/>
  <c r="G28" i="1"/>
  <c r="F28" i="1"/>
  <c r="E28" i="1"/>
  <c r="D28" i="1"/>
  <c r="C28" i="1"/>
  <c r="M27" i="1"/>
  <c r="L27" i="1"/>
  <c r="K27" i="1"/>
  <c r="J27" i="1"/>
  <c r="I27" i="1"/>
  <c r="G27" i="1"/>
  <c r="H27" i="1" s="1"/>
  <c r="F27" i="1"/>
  <c r="E27" i="1"/>
  <c r="D27" i="1"/>
  <c r="C27" i="1"/>
  <c r="M26" i="1"/>
  <c r="L26" i="1"/>
  <c r="K26" i="1"/>
  <c r="J26" i="1"/>
  <c r="I26" i="1"/>
  <c r="G26" i="1"/>
  <c r="H26" i="1" s="1"/>
  <c r="F26" i="1"/>
  <c r="E26" i="1"/>
  <c r="D26" i="1"/>
  <c r="C26" i="1"/>
  <c r="M25" i="1"/>
  <c r="L25" i="1"/>
  <c r="K25" i="1"/>
  <c r="J25" i="1"/>
  <c r="I25" i="1"/>
  <c r="H25" i="1"/>
  <c r="G25" i="1"/>
  <c r="F25" i="1"/>
  <c r="E25" i="1"/>
  <c r="D25" i="1"/>
  <c r="C25" i="1"/>
  <c r="M24" i="1"/>
  <c r="L24" i="1"/>
  <c r="K24" i="1"/>
  <c r="J24" i="1"/>
  <c r="I24" i="1"/>
  <c r="G24" i="1"/>
  <c r="H24" i="1" s="1"/>
  <c r="F24" i="1"/>
  <c r="E24" i="1"/>
  <c r="D24" i="1"/>
  <c r="C24" i="1"/>
  <c r="M23" i="1"/>
  <c r="L23" i="1"/>
  <c r="K23" i="1"/>
  <c r="J23" i="1"/>
  <c r="I23" i="1"/>
  <c r="G23" i="1"/>
  <c r="H23" i="1" s="1"/>
  <c r="F23" i="1"/>
  <c r="E23" i="1"/>
  <c r="D23" i="1"/>
  <c r="C23" i="1"/>
  <c r="M22" i="1"/>
  <c r="L22" i="1"/>
  <c r="K22" i="1"/>
  <c r="J22" i="1"/>
  <c r="I22" i="1"/>
  <c r="H22" i="1"/>
  <c r="G22" i="1"/>
  <c r="F22" i="1"/>
  <c r="E22" i="1"/>
  <c r="D22" i="1"/>
  <c r="C22" i="1"/>
  <c r="M21" i="1"/>
  <c r="L21" i="1"/>
  <c r="K21" i="1"/>
  <c r="J21" i="1"/>
  <c r="I21" i="1"/>
  <c r="G21" i="1"/>
  <c r="H21" i="1" s="1"/>
  <c r="F21" i="1"/>
  <c r="E21" i="1"/>
  <c r="D21" i="1"/>
  <c r="C21" i="1"/>
  <c r="M20" i="1"/>
  <c r="L20" i="1"/>
  <c r="K20" i="1"/>
  <c r="J20" i="1"/>
  <c r="I20" i="1"/>
  <c r="G20" i="1"/>
  <c r="F20" i="1"/>
  <c r="E20" i="1"/>
  <c r="D20" i="1"/>
  <c r="C20" i="1"/>
  <c r="H20" i="1" s="1"/>
  <c r="M19" i="1"/>
  <c r="L19" i="1"/>
  <c r="K19" i="1"/>
  <c r="J19" i="1"/>
  <c r="I19" i="1"/>
  <c r="H19" i="1"/>
  <c r="G19" i="1"/>
  <c r="F19" i="1"/>
  <c r="E19" i="1"/>
  <c r="D19" i="1"/>
  <c r="C19" i="1"/>
  <c r="M18" i="1"/>
  <c r="L18" i="1"/>
  <c r="K18" i="1"/>
  <c r="J18" i="1"/>
  <c r="I18" i="1"/>
  <c r="G18" i="1"/>
  <c r="H18" i="1" s="1"/>
  <c r="F18" i="1"/>
  <c r="E18" i="1"/>
  <c r="D18" i="1"/>
  <c r="C18" i="1"/>
  <c r="M17" i="1"/>
  <c r="L17" i="1"/>
  <c r="K17" i="1"/>
  <c r="J17" i="1"/>
  <c r="I17" i="1"/>
  <c r="G17" i="1"/>
  <c r="H17" i="1" s="1"/>
  <c r="F17" i="1"/>
  <c r="E17" i="1"/>
  <c r="D17" i="1"/>
  <c r="C17" i="1"/>
  <c r="M16" i="1"/>
  <c r="L16" i="1"/>
  <c r="K16" i="1"/>
  <c r="J16" i="1"/>
  <c r="I16" i="1"/>
  <c r="G16" i="1"/>
  <c r="F16" i="1"/>
  <c r="E16" i="1"/>
  <c r="D16" i="1"/>
  <c r="C16" i="1"/>
  <c r="H16" i="1" s="1"/>
  <c r="M15" i="1"/>
  <c r="L15" i="1"/>
  <c r="K15" i="1"/>
  <c r="J15" i="1"/>
  <c r="I15" i="1"/>
  <c r="G15" i="1"/>
  <c r="H15" i="1" s="1"/>
  <c r="F15" i="1"/>
  <c r="E15" i="1"/>
  <c r="D15" i="1"/>
  <c r="C15" i="1"/>
  <c r="M14" i="1"/>
  <c r="L14" i="1"/>
  <c r="K14" i="1"/>
  <c r="J14" i="1"/>
  <c r="I14" i="1"/>
  <c r="G14" i="1"/>
  <c r="H14" i="1" s="1"/>
  <c r="F14" i="1"/>
  <c r="E14" i="1"/>
  <c r="D14" i="1"/>
  <c r="C14" i="1"/>
  <c r="M13" i="1"/>
  <c r="L13" i="1"/>
  <c r="K13" i="1"/>
  <c r="J13" i="1"/>
  <c r="I13" i="1"/>
  <c r="G13" i="1"/>
  <c r="H13" i="1" s="1"/>
  <c r="F13" i="1"/>
  <c r="E13" i="1"/>
  <c r="D13" i="1"/>
  <c r="C13" i="1"/>
  <c r="M12" i="1"/>
  <c r="L12" i="1"/>
  <c r="K12" i="1"/>
  <c r="J12" i="1"/>
  <c r="I12" i="1"/>
  <c r="G12" i="1"/>
  <c r="H12" i="1" s="1"/>
  <c r="F12" i="1"/>
  <c r="E12" i="1"/>
  <c r="D12" i="1"/>
  <c r="C12" i="1"/>
  <c r="M11" i="1"/>
  <c r="L11" i="1"/>
  <c r="K11" i="1"/>
  <c r="J11" i="1"/>
  <c r="I11" i="1"/>
  <c r="G11" i="1"/>
  <c r="H11" i="1" s="1"/>
  <c r="F11" i="1"/>
  <c r="E11" i="1"/>
  <c r="D11" i="1"/>
  <c r="C11" i="1"/>
  <c r="M10" i="1"/>
  <c r="L10" i="1"/>
  <c r="K10" i="1"/>
  <c r="J10" i="1"/>
  <c r="I10" i="1"/>
  <c r="G10" i="1"/>
  <c r="F10" i="1"/>
  <c r="E10" i="1"/>
  <c r="D10" i="1"/>
  <c r="C10" i="1"/>
  <c r="H10" i="1" s="1"/>
  <c r="M9" i="1"/>
  <c r="L9" i="1"/>
  <c r="K9" i="1"/>
  <c r="J9" i="1"/>
  <c r="I9" i="1"/>
  <c r="G9" i="1"/>
  <c r="H9" i="1" s="1"/>
  <c r="F9" i="1"/>
  <c r="E9" i="1"/>
  <c r="D9" i="1"/>
  <c r="C9" i="1"/>
  <c r="M8" i="1"/>
  <c r="L8" i="1"/>
  <c r="K8" i="1"/>
  <c r="J8" i="1"/>
  <c r="I8" i="1"/>
  <c r="G8" i="1"/>
  <c r="H8" i="1" s="1"/>
  <c r="F8" i="1"/>
  <c r="E8" i="1"/>
  <c r="D8" i="1"/>
  <c r="C8" i="1"/>
  <c r="M7" i="1"/>
  <c r="L7" i="1"/>
  <c r="K7" i="1"/>
  <c r="J7" i="1"/>
  <c r="I7" i="1"/>
  <c r="G7" i="1"/>
  <c r="H7" i="1" s="1"/>
  <c r="F7" i="1"/>
  <c r="E7" i="1"/>
  <c r="D7" i="1"/>
  <c r="C7" i="1"/>
  <c r="M6" i="1"/>
  <c r="L6" i="1"/>
  <c r="K6" i="1"/>
  <c r="J6" i="1"/>
  <c r="I6" i="1"/>
  <c r="G6" i="1"/>
  <c r="H6" i="1" s="1"/>
  <c r="F6" i="1"/>
  <c r="E6" i="1"/>
  <c r="D6" i="1"/>
  <c r="C6" i="1"/>
  <c r="M5" i="1"/>
  <c r="L5" i="1"/>
  <c r="K5" i="1"/>
  <c r="J5" i="1"/>
  <c r="I5" i="1"/>
  <c r="G5" i="1"/>
  <c r="H5" i="1" s="1"/>
  <c r="F5" i="1"/>
  <c r="E5" i="1"/>
  <c r="D5" i="1"/>
  <c r="C5" i="1"/>
  <c r="M4" i="1"/>
  <c r="L4" i="1"/>
  <c r="K4" i="1"/>
  <c r="J4" i="1"/>
  <c r="I4" i="1"/>
  <c r="G4" i="1"/>
  <c r="F4" i="1"/>
  <c r="E4" i="1"/>
  <c r="D4" i="1"/>
  <c r="C4" i="1"/>
  <c r="H4" i="1" s="1"/>
  <c r="M3" i="1"/>
  <c r="L3" i="1"/>
  <c r="K3" i="1"/>
  <c r="J3" i="1"/>
  <c r="I3" i="1"/>
  <c r="H3" i="1"/>
  <c r="G3" i="1"/>
  <c r="F3" i="1"/>
  <c r="E3" i="1"/>
  <c r="D3" i="1"/>
  <c r="C3" i="1"/>
  <c r="M2" i="1"/>
  <c r="L2" i="1"/>
  <c r="K2" i="1"/>
  <c r="J2" i="1"/>
  <c r="I2" i="1"/>
  <c r="G2" i="1"/>
  <c r="H2" i="1" s="1"/>
  <c r="F2" i="1"/>
  <c r="E2" i="1"/>
  <c r="D2" i="1"/>
  <c r="C2" i="1"/>
  <c r="H30" i="1" l="1"/>
  <c r="H177" i="1"/>
  <c r="H183" i="1"/>
  <c r="H186" i="1"/>
  <c r="H286" i="1"/>
  <c r="H433" i="1"/>
  <c r="H439" i="1"/>
  <c r="H542" i="1"/>
  <c r="H723" i="1"/>
  <c r="H1279" i="1"/>
  <c r="H1464" i="1"/>
  <c r="H1500" i="1"/>
  <c r="H1696" i="1"/>
  <c r="H2160" i="1"/>
  <c r="H65" i="1"/>
  <c r="H71" i="1"/>
  <c r="H74" i="1"/>
  <c r="H174" i="1"/>
  <c r="H321" i="1"/>
  <c r="H327" i="1"/>
  <c r="H430" i="1"/>
  <c r="H577" i="1"/>
  <c r="H580" i="1"/>
  <c r="H583" i="1"/>
  <c r="H674" i="1"/>
  <c r="H720" i="1"/>
  <c r="H884" i="1"/>
  <c r="H1636" i="1"/>
  <c r="H1693" i="1"/>
  <c r="H2157" i="1"/>
  <c r="H62" i="1"/>
  <c r="H209" i="1"/>
  <c r="H215" i="1"/>
  <c r="H218" i="1"/>
  <c r="H318" i="1"/>
  <c r="H465" i="1"/>
  <c r="H471" i="1"/>
  <c r="H574" i="1"/>
  <c r="H717" i="1"/>
  <c r="H799" i="1"/>
  <c r="H881" i="1"/>
  <c r="H1420" i="1"/>
  <c r="H1647" i="1"/>
  <c r="H1857" i="1"/>
  <c r="H2132" i="1"/>
  <c r="H2154" i="1"/>
  <c r="H97" i="1"/>
  <c r="H103" i="1"/>
  <c r="H106" i="1"/>
  <c r="H206" i="1"/>
  <c r="H353" i="1"/>
  <c r="H359" i="1"/>
  <c r="H462" i="1"/>
  <c r="H609" i="1"/>
  <c r="H612" i="1"/>
  <c r="H615" i="1"/>
  <c r="H796" i="1"/>
  <c r="H878" i="1"/>
  <c r="H1417" i="1"/>
  <c r="H1641" i="1"/>
  <c r="H1673" i="1"/>
  <c r="H1676" i="1"/>
  <c r="H2151" i="1"/>
  <c r="H161" i="1"/>
  <c r="H167" i="1"/>
  <c r="H270" i="1"/>
  <c r="H417" i="1"/>
  <c r="H423" i="1"/>
  <c r="H526" i="1"/>
  <c r="H1200" i="1"/>
  <c r="H1405" i="1"/>
  <c r="H1591" i="1"/>
  <c r="H2053" i="1"/>
  <c r="H49" i="1"/>
  <c r="H55" i="1"/>
  <c r="H58" i="1"/>
  <c r="H158" i="1"/>
  <c r="H305" i="1"/>
  <c r="H311" i="1"/>
  <c r="H414" i="1"/>
  <c r="H561" i="1"/>
  <c r="H567" i="1"/>
  <c r="H670" i="1"/>
  <c r="H1402" i="1"/>
  <c r="H1588" i="1"/>
  <c r="H1032" i="1"/>
  <c r="H1497" i="1"/>
  <c r="H1899" i="1"/>
  <c r="H1913" i="1"/>
  <c r="H1959" i="1"/>
  <c r="H2246" i="1"/>
  <c r="H732" i="1"/>
  <c r="H741" i="1"/>
  <c r="H747" i="1"/>
  <c r="H811" i="1"/>
  <c r="H817" i="1"/>
  <c r="H849" i="1"/>
  <c r="H1197" i="1"/>
  <c r="H1302" i="1"/>
  <c r="H1579" i="1"/>
  <c r="H1763" i="1"/>
  <c r="H2365" i="1"/>
  <c r="H773" i="1"/>
  <c r="H779" i="1"/>
  <c r="H808" i="1"/>
  <c r="H846" i="1"/>
  <c r="H890" i="1"/>
  <c r="H896" i="1"/>
  <c r="H931" i="1"/>
  <c r="H1191" i="1"/>
  <c r="H1376" i="1"/>
  <c r="H1576" i="1"/>
  <c r="H1729" i="1"/>
  <c r="H2004" i="1"/>
  <c r="H2362" i="1"/>
  <c r="H887" i="1"/>
  <c r="H1347" i="1"/>
  <c r="H1373" i="1"/>
  <c r="H1466" i="1"/>
  <c r="H1624" i="1"/>
  <c r="H2359" i="1"/>
  <c r="H2432" i="1"/>
  <c r="H1244" i="1"/>
  <c r="H1367" i="1"/>
  <c r="H1370" i="1"/>
  <c r="H1808" i="1"/>
  <c r="H1992" i="1"/>
  <c r="H2356" i="1"/>
  <c r="H767" i="1"/>
  <c r="H939" i="1"/>
  <c r="H1063" i="1"/>
  <c r="H1069" i="1"/>
  <c r="H1072" i="1"/>
  <c r="H1075" i="1"/>
  <c r="H1092" i="1"/>
  <c r="H1269" i="1"/>
  <c r="H1361" i="1"/>
  <c r="H1364" i="1"/>
  <c r="H1989" i="1"/>
  <c r="H2330" i="1"/>
  <c r="H2339" i="1"/>
  <c r="H755" i="1"/>
  <c r="H1089" i="1"/>
  <c r="H1717" i="1"/>
  <c r="H1799" i="1"/>
  <c r="H722" i="1"/>
  <c r="H728" i="1"/>
  <c r="H1086" i="1"/>
  <c r="H1238" i="1"/>
  <c r="H1349" i="1"/>
  <c r="H1521" i="1"/>
  <c r="H1872" i="1"/>
  <c r="H2296" i="1"/>
  <c r="H915" i="1"/>
  <c r="H967" i="1"/>
  <c r="H976" i="1"/>
  <c r="H979" i="1"/>
  <c r="H1095" i="1"/>
  <c r="H1101" i="1"/>
  <c r="H1104" i="1"/>
  <c r="H1107" i="1"/>
  <c r="H1214" i="1"/>
  <c r="H1275" i="1"/>
  <c r="H1284" i="1"/>
  <c r="H1524" i="1"/>
  <c r="H1597" i="1"/>
  <c r="H1670" i="1"/>
  <c r="H1775" i="1"/>
  <c r="H1863" i="1"/>
  <c r="H1925" i="1"/>
  <c r="H1948" i="1"/>
  <c r="H1995" i="1"/>
  <c r="H2074" i="1"/>
  <c r="H2255" i="1"/>
  <c r="H2324" i="1"/>
  <c r="H2429" i="1"/>
  <c r="H1272" i="1"/>
  <c r="H1334" i="1"/>
  <c r="H1398" i="1"/>
  <c r="H1401" i="1"/>
  <c r="H1503" i="1"/>
  <c r="H1664" i="1"/>
  <c r="H1667" i="1"/>
  <c r="H1720" i="1"/>
  <c r="H1916" i="1"/>
  <c r="H1945" i="1"/>
  <c r="H1983" i="1"/>
  <c r="H2105" i="1"/>
  <c r="H2128" i="1"/>
  <c r="H2172" i="1"/>
  <c r="H2426" i="1"/>
  <c r="H2534" i="1"/>
  <c r="H2573" i="1"/>
  <c r="H1047" i="1"/>
  <c r="H1053" i="1"/>
  <c r="H1056" i="1"/>
  <c r="H1059" i="1"/>
  <c r="H1175" i="1"/>
  <c r="H1181" i="1"/>
  <c r="H1184" i="1"/>
  <c r="H1187" i="1"/>
  <c r="H1263" i="1"/>
  <c r="H1328" i="1"/>
  <c r="H1395" i="1"/>
  <c r="H1661" i="1"/>
  <c r="H1711" i="1"/>
  <c r="H1942" i="1"/>
  <c r="H2125" i="1"/>
  <c r="H2347" i="1"/>
  <c r="H2423" i="1"/>
  <c r="H2531" i="1"/>
  <c r="H2570" i="1"/>
  <c r="H899" i="1"/>
  <c r="H1231" i="1"/>
  <c r="H1325" i="1"/>
  <c r="H1392" i="1"/>
  <c r="H1643" i="1"/>
  <c r="H1658" i="1"/>
  <c r="H1734" i="1"/>
  <c r="H2047" i="1"/>
  <c r="H2102" i="1"/>
  <c r="H2122" i="1"/>
  <c r="H2203" i="1"/>
  <c r="H2303" i="1"/>
  <c r="H2395" i="1"/>
  <c r="H2420" i="1"/>
  <c r="H2567" i="1"/>
  <c r="H883" i="1"/>
  <c r="H951" i="1"/>
  <c r="H999" i="1"/>
  <c r="H1008" i="1"/>
  <c r="H1011" i="1"/>
  <c r="H1127" i="1"/>
  <c r="H1133" i="1"/>
  <c r="H1136" i="1"/>
  <c r="H1139" i="1"/>
  <c r="H1222" i="1"/>
  <c r="H1225" i="1"/>
  <c r="H1228" i="1"/>
  <c r="H1389" i="1"/>
  <c r="H1451" i="1"/>
  <c r="H1930" i="1"/>
  <c r="H2000" i="1"/>
  <c r="H2539" i="1"/>
  <c r="H2564" i="1"/>
  <c r="H867" i="1"/>
  <c r="H1210" i="1"/>
  <c r="H1380" i="1"/>
  <c r="H1445" i="1"/>
  <c r="H1748" i="1"/>
  <c r="H1777" i="1"/>
  <c r="H1839" i="1"/>
  <c r="H1997" i="1"/>
  <c r="H2107" i="1"/>
  <c r="H2525" i="1"/>
  <c r="H851" i="1"/>
  <c r="H960" i="1"/>
  <c r="H963" i="1"/>
  <c r="H1079" i="1"/>
  <c r="H1085" i="1"/>
  <c r="H1088" i="1"/>
  <c r="H1091" i="1"/>
  <c r="H1198" i="1"/>
  <c r="H1336" i="1"/>
  <c r="H1339" i="1"/>
  <c r="H1439" i="1"/>
  <c r="H1552" i="1"/>
  <c r="H1722" i="1"/>
  <c r="H1771" i="1"/>
  <c r="H1856" i="1"/>
  <c r="H2023" i="1"/>
  <c r="H2026" i="1"/>
  <c r="H2214" i="1"/>
  <c r="H2468" i="1"/>
  <c r="H1315" i="1"/>
  <c r="H1423" i="1"/>
  <c r="H1530" i="1"/>
  <c r="H1603" i="1"/>
  <c r="H1695" i="1"/>
  <c r="H1805" i="1"/>
  <c r="H2083" i="1"/>
  <c r="H2086" i="1"/>
  <c r="H2181" i="1"/>
  <c r="H2184" i="1"/>
  <c r="H2239" i="1"/>
  <c r="H2447" i="1"/>
  <c r="H2496" i="1"/>
  <c r="H2507" i="1"/>
  <c r="H2579" i="1"/>
  <c r="H1247" i="1"/>
  <c r="H1432" i="1"/>
  <c r="H1487" i="1"/>
  <c r="H1609" i="1"/>
  <c r="H1701" i="1"/>
  <c r="H1759" i="1"/>
  <c r="H1878" i="1"/>
  <c r="H1967" i="1"/>
  <c r="H2031" i="1"/>
  <c r="H2095" i="1"/>
  <c r="H2251" i="1"/>
  <c r="H2305" i="1"/>
  <c r="H2383" i="1"/>
  <c r="H2438" i="1"/>
  <c r="H2576" i="1"/>
  <c r="H1287" i="1"/>
  <c r="H1296" i="1"/>
  <c r="H1327" i="1"/>
  <c r="H1505" i="1"/>
  <c r="H1707" i="1"/>
  <c r="H1884" i="1"/>
  <c r="H1976" i="1"/>
  <c r="H1985" i="1"/>
  <c r="H2153" i="1"/>
  <c r="H2260" i="1"/>
  <c r="H2287" i="1"/>
  <c r="H2311" i="1"/>
  <c r="H2320" i="1"/>
  <c r="H2374" i="1"/>
  <c r="H1293" i="1"/>
  <c r="H1404" i="1"/>
  <c r="H1511" i="1"/>
  <c r="H1584" i="1"/>
  <c r="H1780" i="1"/>
  <c r="H2055" i="1"/>
  <c r="H2064" i="1"/>
  <c r="H2067" i="1"/>
  <c r="H2159" i="1"/>
  <c r="H2165" i="1"/>
  <c r="H2317" i="1"/>
  <c r="H1268" i="1"/>
  <c r="H1413" i="1"/>
  <c r="H1581" i="1"/>
  <c r="H1590" i="1"/>
  <c r="H1679" i="1"/>
  <c r="H1786" i="1"/>
  <c r="H1859" i="1"/>
  <c r="H1951" i="1"/>
  <c r="H2061" i="1"/>
  <c r="H2223" i="1"/>
  <c r="H1274" i="1"/>
  <c r="H1471" i="1"/>
  <c r="H1535" i="1"/>
  <c r="H1688" i="1"/>
  <c r="H1743" i="1"/>
  <c r="H1865" i="1"/>
  <c r="H1957" i="1"/>
  <c r="H2015" i="1"/>
  <c r="H2134" i="1"/>
  <c r="H2232" i="1"/>
  <c r="H2241" i="1"/>
  <c r="H2244" i="1"/>
  <c r="H2443" i="1"/>
  <c r="H2483" i="1"/>
  <c r="H2486" i="1"/>
  <c r="H2480" i="1"/>
  <c r="H1407" i="1"/>
  <c r="H1663" i="1"/>
  <c r="H1919" i="1"/>
  <c r="H2175" i="1"/>
  <c r="H2358" i="1"/>
  <c r="H2422" i="1"/>
  <c r="H2563" i="1"/>
  <c r="H2566" i="1"/>
  <c r="H2598" i="1"/>
  <c r="H2601" i="1"/>
  <c r="H2367" i="1"/>
  <c r="H2431" i="1"/>
  <c r="H2560" i="1"/>
  <c r="H2595" i="1"/>
  <c r="H1375" i="1"/>
  <c r="H1631" i="1"/>
  <c r="H1887" i="1"/>
  <c r="H2143" i="1"/>
  <c r="H2515" i="1"/>
  <c r="H2518" i="1"/>
  <c r="H2592" i="1"/>
  <c r="H1615" i="1"/>
  <c r="H1871" i="1"/>
  <c r="H2127" i="1"/>
  <c r="H2512" i="1"/>
  <c r="H2589" i="1"/>
</calcChain>
</file>

<file path=xl/sharedStrings.xml><?xml version="1.0" encoding="utf-8"?>
<sst xmlns="http://schemas.openxmlformats.org/spreadsheetml/2006/main" count="5213" uniqueCount="2615">
  <si>
    <t>Ad_ID</t>
  </si>
  <si>
    <t>Campaign_Name</t>
  </si>
  <si>
    <t>Clicks</t>
  </si>
  <si>
    <t>Impressions</t>
  </si>
  <si>
    <t>Cost</t>
  </si>
  <si>
    <t xml:space="preserve">Leads </t>
  </si>
  <si>
    <t>Conversions</t>
  </si>
  <si>
    <t>Conversion Rate</t>
  </si>
  <si>
    <t xml:space="preserve">Sale Amount </t>
  </si>
  <si>
    <t>Ad_Date</t>
  </si>
  <si>
    <t xml:space="preserve">Location </t>
  </si>
  <si>
    <t>Device</t>
  </si>
  <si>
    <t>Keyword</t>
  </si>
  <si>
    <t>A1000</t>
  </si>
  <si>
    <t>Data Analytics Course</t>
  </si>
  <si>
    <t>A1001</t>
  </si>
  <si>
    <t>A1002</t>
  </si>
  <si>
    <t>A1003</t>
  </si>
  <si>
    <t>Data Analytcis Course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</si>
  <si>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</si>
  <si>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</si>
  <si>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</si>
  <si>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</si>
  <si>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</si>
  <si>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</si>
  <si>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</si>
  <si>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</si>
  <si>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</si>
  <si>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</si>
  <si>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</si>
  <si>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</si>
  <si>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</si>
  <si>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</si>
  <si>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</si>
  <si>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</si>
  <si>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</si>
  <si>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</si>
  <si>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</si>
  <si>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</si>
  <si>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</si>
  <si>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</si>
  <si>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</si>
  <si>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</si>
  <si>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</si>
  <si>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</si>
  <si>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</si>
  <si>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</si>
  <si>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</si>
  <si>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</si>
  <si>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</si>
  <si>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</si>
  <si>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</si>
  <si>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</si>
  <si>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</si>
  <si>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</si>
  <si>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</si>
  <si>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</si>
  <si>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</si>
  <si>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</si>
  <si>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</si>
  <si>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</si>
  <si>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</si>
  <si>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</si>
  <si>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</si>
  <si>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</si>
  <si>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</si>
  <si>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</si>
  <si>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</si>
  <si>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</si>
  <si>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</si>
  <si>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</si>
  <si>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</si>
  <si>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</si>
  <si>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</si>
  <si>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</si>
  <si>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</si>
  <si>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</si>
  <si>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</si>
  <si>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</si>
  <si>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</si>
  <si>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</si>
  <si>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</si>
  <si>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</si>
  <si>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</si>
  <si>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</si>
  <si>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</si>
  <si>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</si>
  <si>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</si>
  <si>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</si>
  <si>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</si>
  <si>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</si>
  <si>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</si>
  <si>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</si>
  <si>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</si>
  <si>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</si>
  <si>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</si>
  <si>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</si>
  <si>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</si>
  <si>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</si>
  <si>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</si>
  <si>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</si>
  <si>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</si>
  <si>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</si>
  <si>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</si>
  <si>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</si>
  <si>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</si>
  <si>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</si>
  <si>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</si>
  <si>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</si>
  <si>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</si>
  <si>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</si>
  <si>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</si>
  <si>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</si>
  <si>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</si>
  <si>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</si>
  <si>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</si>
  <si>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</si>
  <si>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</si>
  <si>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</si>
  <si>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</si>
  <si>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</si>
  <si>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</si>
  <si>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</si>
  <si>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</si>
  <si>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</si>
  <si>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</si>
  <si>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</si>
  <si>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</si>
  <si>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</si>
  <si>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</si>
  <si>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</si>
  <si>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</si>
  <si>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</si>
  <si>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</si>
  <si>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</si>
  <si>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</si>
  <si>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</si>
  <si>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</si>
  <si>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</si>
  <si>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</si>
  <si>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</si>
  <si>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</si>
  <si>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</si>
  <si>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</si>
  <si>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</si>
  <si>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</si>
  <si>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</si>
  <si>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</si>
  <si>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</si>
  <si>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</si>
  <si>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</si>
  <si>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</si>
  <si>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</si>
  <si>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</si>
  <si>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</si>
  <si>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</si>
  <si>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</si>
  <si>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</si>
  <si>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</si>
  <si>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</si>
  <si>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</si>
  <si>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</si>
  <si>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</si>
  <si>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</si>
  <si>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</si>
  <si>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</si>
  <si>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</si>
  <si>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</si>
  <si>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</si>
  <si>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</si>
  <si>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</si>
  <si>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</si>
  <si>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</si>
  <si>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</si>
  <si>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</si>
  <si>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</si>
  <si>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</si>
  <si>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</si>
  <si>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</si>
  <si>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</si>
  <si>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</si>
  <si>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</si>
  <si>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</si>
  <si>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</si>
  <si>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</si>
  <si>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</si>
  <si>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</si>
  <si>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</si>
  <si>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</si>
  <si>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</si>
  <si>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</si>
  <si>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</si>
  <si>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</si>
  <si>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</si>
  <si>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</si>
  <si>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</si>
  <si>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</si>
  <si>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</si>
  <si>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</si>
  <si>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</si>
  <si>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</si>
  <si>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</si>
  <si>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</si>
  <si>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</si>
  <si>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</si>
  <si>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</si>
  <si>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</si>
  <si>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</si>
  <si>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</si>
  <si>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</si>
  <si>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</si>
  <si>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</si>
  <si>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</si>
  <si>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</si>
  <si>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</si>
  <si>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</si>
  <si>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</si>
  <si>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</si>
  <si>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</si>
  <si>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</si>
  <si>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</si>
  <si>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</si>
  <si>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</si>
  <si>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</si>
  <si>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</si>
  <si>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</si>
  <si>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</si>
  <si>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</si>
  <si>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</si>
  <si>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</si>
  <si>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</si>
  <si>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</si>
  <si>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</si>
  <si>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</si>
  <si>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</si>
  <si>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</si>
  <si>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</si>
  <si>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</si>
  <si>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</si>
  <si>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</si>
  <si>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</si>
  <si>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</si>
  <si>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</si>
  <si>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</si>
  <si>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</si>
  <si>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</si>
  <si>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</si>
  <si>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</si>
  <si>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</si>
  <si>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</si>
  <si>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</si>
  <si>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</si>
  <si>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</si>
  <si>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</si>
  <si>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</si>
  <si>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</si>
  <si>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</si>
  <si>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</si>
  <si>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</si>
  <si>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</si>
  <si>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</si>
  <si>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</si>
  <si>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</si>
  <si>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</si>
  <si>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</si>
  <si>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</si>
  <si>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</si>
  <si>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</si>
  <si>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</si>
  <si>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</si>
  <si>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</si>
  <si>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</si>
  <si>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</si>
  <si>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</si>
  <si>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</si>
  <si>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</si>
  <si>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</si>
  <si>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</si>
  <si>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</si>
  <si>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</si>
  <si>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</si>
  <si>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</si>
  <si>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</si>
  <si>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</si>
  <si>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</si>
  <si>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</si>
  <si>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</si>
  <si>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</si>
  <si>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</si>
  <si>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</si>
  <si>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</si>
  <si>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</si>
  <si>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</si>
  <si>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</si>
  <si>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</si>
  <si>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</si>
  <si>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</si>
  <si>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</si>
  <si>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</si>
  <si>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</si>
  <si>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</si>
  <si>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</si>
  <si>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</si>
  <si>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</si>
  <si>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</si>
  <si>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</si>
  <si>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</si>
  <si>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</si>
  <si>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</si>
  <si>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</si>
  <si>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</si>
  <si>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</si>
  <si>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</si>
  <si>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</si>
  <si>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</si>
  <si>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</si>
  <si>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</si>
  <si>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</si>
  <si>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</si>
  <si>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</si>
  <si>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</si>
  <si>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</si>
  <si>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</si>
  <si>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</si>
  <si>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</si>
  <si>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</si>
  <si>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</si>
  <si>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</si>
  <si>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</si>
  <si>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</si>
  <si>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</si>
  <si>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</si>
  <si>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</si>
  <si>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</si>
  <si>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</si>
  <si>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</si>
  <si>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</si>
  <si>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</si>
  <si>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</si>
  <si>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</si>
  <si>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</si>
  <si>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</si>
  <si>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</si>
  <si>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</si>
  <si>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</si>
  <si>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</si>
  <si>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</si>
  <si>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</si>
  <si>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</si>
  <si>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</si>
  <si>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</si>
  <si>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</si>
  <si>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</si>
  <si>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</si>
  <si>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</si>
  <si>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</si>
  <si>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</si>
  <si>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</si>
  <si>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</si>
  <si>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</si>
  <si>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</si>
  <si>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</si>
  <si>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</si>
  <si>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</si>
  <si>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</si>
  <si>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</si>
  <si>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</si>
  <si>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</si>
  <si>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</si>
  <si>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</si>
  <si>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</si>
  <si>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</si>
  <si>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</si>
  <si>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</si>
  <si>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</si>
  <si>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</si>
  <si>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</si>
  <si>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</si>
  <si>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</si>
  <si>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</si>
  <si>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</si>
  <si>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</si>
  <si>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</si>
  <si>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</si>
  <si>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</si>
  <si>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</si>
  <si>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</si>
  <si>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</si>
  <si>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</si>
  <si>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</si>
  <si>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</si>
  <si>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</si>
  <si>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</si>
  <si>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</si>
  <si>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</si>
  <si>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</si>
  <si>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</si>
  <si>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</si>
  <si>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</si>
  <si>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</si>
  <si>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</si>
  <si>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</si>
  <si>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</si>
  <si>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</si>
  <si>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</si>
  <si>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</si>
  <si>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</si>
  <si>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</si>
  <si>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</si>
  <si>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</si>
  <si>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</si>
  <si>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</si>
  <si>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</si>
  <si>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</si>
  <si>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</si>
  <si>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</si>
  <si>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</si>
  <si>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</si>
  <si>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</si>
  <si>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</si>
  <si>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</si>
  <si>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</si>
  <si>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</si>
  <si>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</si>
  <si>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</si>
  <si>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</si>
  <si>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</si>
  <si>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</si>
  <si>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</si>
  <si>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</si>
  <si>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</si>
  <si>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</si>
  <si>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</si>
  <si>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</si>
  <si>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</si>
  <si>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</si>
  <si>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</si>
  <si>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</si>
  <si>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</si>
  <si>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</si>
  <si>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</si>
  <si>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</si>
  <si>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</si>
  <si>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</si>
  <si>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</si>
  <si>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</si>
  <si>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</si>
  <si>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</si>
  <si>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</si>
  <si>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</si>
  <si>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</si>
  <si>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</si>
  <si>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</si>
  <si>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</si>
  <si>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</si>
  <si>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</si>
  <si>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</si>
  <si>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</si>
  <si>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</si>
  <si>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</si>
  <si>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</si>
  <si>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</si>
  <si>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</si>
  <si>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</si>
  <si>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</si>
  <si>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</si>
  <si>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</si>
  <si>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</si>
  <si>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</si>
  <si>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</si>
  <si>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</si>
  <si>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</si>
  <si>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</si>
  <si>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</si>
  <si>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</si>
  <si>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</si>
  <si>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</si>
  <si>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</si>
  <si>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</si>
  <si>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</si>
  <si>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</si>
  <si>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</si>
  <si>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</si>
  <si>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</si>
  <si>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</si>
  <si>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</si>
  <si>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</si>
  <si>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</si>
  <si>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</si>
  <si>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</si>
  <si>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</si>
  <si>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</si>
  <si>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</si>
  <si>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</si>
  <si>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</si>
  <si>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</si>
  <si>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</si>
  <si>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</si>
  <si>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</si>
  <si>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</si>
  <si>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</si>
  <si>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</si>
  <si>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</si>
  <si>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</si>
  <si>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</si>
  <si>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</si>
  <si>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</si>
  <si>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</si>
  <si>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</si>
  <si>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</si>
  <si>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</si>
  <si>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</si>
  <si>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</si>
  <si>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</si>
  <si>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</si>
  <si>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</si>
  <si>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</si>
  <si>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</si>
  <si>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</si>
  <si>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</si>
  <si>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</si>
  <si>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</si>
  <si>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</si>
  <si>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</si>
  <si>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</si>
  <si>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</si>
  <si>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</si>
  <si>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</si>
  <si>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</si>
  <si>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</si>
  <si>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</si>
  <si>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</si>
  <si>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</si>
  <si>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</si>
  <si>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</si>
  <si>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</si>
  <si>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</si>
  <si>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</si>
  <si>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</si>
  <si>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</si>
  <si>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</si>
  <si>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</si>
  <si>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</si>
  <si>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</si>
  <si>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</si>
  <si>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</si>
  <si>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</si>
  <si>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</si>
  <si>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</si>
  <si>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</si>
  <si>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</si>
  <si>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</si>
  <si>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</si>
  <si>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</si>
  <si>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</si>
  <si>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</si>
  <si>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</si>
  <si>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</si>
  <si>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</si>
  <si>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</si>
  <si>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</si>
  <si>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</si>
  <si>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</si>
  <si>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</si>
  <si>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</si>
  <si>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</si>
  <si>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</si>
  <si>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</si>
  <si>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</si>
  <si>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</si>
  <si>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</si>
  <si>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</si>
  <si>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</si>
  <si>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</si>
  <si>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</si>
  <si>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</si>
  <si>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</si>
  <si>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</si>
  <si>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</si>
  <si>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</si>
  <si>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</si>
  <si>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</si>
  <si>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</si>
  <si>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</si>
  <si>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</si>
  <si>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</si>
  <si>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</si>
  <si>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</si>
  <si>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</si>
  <si>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</si>
  <si>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</si>
  <si>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</si>
  <si>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</si>
  <si>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</si>
  <si>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</si>
  <si>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</si>
  <si>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</si>
  <si>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</si>
  <si>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</si>
  <si>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</si>
  <si>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</si>
  <si>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</si>
  <si>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</si>
  <si>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</si>
  <si>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</si>
  <si>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</si>
  <si>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</si>
  <si>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</si>
  <si>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</si>
  <si>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</si>
  <si>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</si>
  <si>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</si>
  <si>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</si>
  <si>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</si>
  <si>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</si>
  <si>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</si>
  <si>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</si>
  <si>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</si>
  <si>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</si>
  <si>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</si>
  <si>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</si>
  <si>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</si>
  <si>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</si>
  <si>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</si>
  <si>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</si>
  <si>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</si>
  <si>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</si>
  <si>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</si>
  <si>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</si>
  <si>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</si>
  <si>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</si>
  <si>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</si>
  <si>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</si>
  <si>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</si>
  <si>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</si>
  <si>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</si>
  <si>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</si>
  <si>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</si>
  <si>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</si>
  <si>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</si>
  <si>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</si>
  <si>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</si>
  <si>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</si>
  <si>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</si>
  <si>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</si>
  <si>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</si>
  <si>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</si>
  <si>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</si>
  <si>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</si>
  <si>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</si>
  <si>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</si>
  <si>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</si>
  <si>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</si>
  <si>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</si>
  <si>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</si>
  <si>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</si>
  <si>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</si>
  <si>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</si>
  <si>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</si>
  <si>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</si>
  <si>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</si>
  <si>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</si>
  <si>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</si>
  <si>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</si>
  <si>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</si>
  <si>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</si>
  <si>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</si>
  <si>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</si>
  <si>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</si>
  <si>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</si>
  <si>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</si>
  <si>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</si>
  <si>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</si>
  <si>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</si>
  <si>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</si>
  <si>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</si>
  <si>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</si>
  <si>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</si>
  <si>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</si>
  <si>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</si>
  <si>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</si>
  <si>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</si>
  <si>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</si>
  <si>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</si>
  <si>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</si>
  <si>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</si>
  <si>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</si>
  <si>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</si>
  <si>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</si>
  <si>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</si>
  <si>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</si>
  <si>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</si>
  <si>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</si>
  <si>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</si>
  <si>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</si>
  <si>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</si>
  <si>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</si>
  <si>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</si>
  <si>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</si>
  <si>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</si>
  <si>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</si>
  <si>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</si>
  <si>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</si>
  <si>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</si>
  <si>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</si>
  <si>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</si>
  <si>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</si>
  <si>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</si>
  <si>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</si>
  <si>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</si>
  <si>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</si>
  <si>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</si>
  <si>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</si>
  <si>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</si>
  <si>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</si>
  <si>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</si>
  <si>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</si>
  <si>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</si>
  <si>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</si>
  <si>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</si>
  <si>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</si>
  <si>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</si>
  <si>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</si>
  <si>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</si>
  <si>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</si>
  <si>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</si>
  <si>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</si>
  <si>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</si>
  <si>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</si>
  <si>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</si>
  <si>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</si>
  <si>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</si>
  <si>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</si>
  <si>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</si>
  <si>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</si>
  <si>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</si>
  <si>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</si>
  <si>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</si>
  <si>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</si>
  <si>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</si>
  <si>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</si>
  <si>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</si>
  <si>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</si>
  <si>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</si>
  <si>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</si>
  <si>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</si>
  <si>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</si>
  <si>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</si>
  <si>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</si>
  <si>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</si>
  <si>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</si>
  <si>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</si>
  <si>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</si>
  <si>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</si>
  <si>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</si>
  <si>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</si>
  <si>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</si>
  <si>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</si>
  <si>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</si>
  <si>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</si>
  <si>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</si>
  <si>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</si>
  <si>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</si>
  <si>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</si>
  <si>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</si>
  <si>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</si>
  <si>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</si>
  <si>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</si>
  <si>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</si>
  <si>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</si>
  <si>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</si>
  <si>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</si>
  <si>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</si>
  <si>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</si>
  <si>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</si>
  <si>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</si>
  <si>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</si>
  <si>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</si>
  <si>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</si>
  <si>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</si>
  <si>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</si>
  <si>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</si>
  <si>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</si>
  <si>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</si>
  <si>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</si>
  <si>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</si>
  <si>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</si>
  <si>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</si>
  <si>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</si>
  <si>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</si>
  <si>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</si>
  <si>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</si>
  <si>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</si>
  <si>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</si>
  <si>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</si>
  <si>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</si>
  <si>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</si>
  <si>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</si>
  <si>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</si>
  <si>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</si>
  <si>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</si>
  <si>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</si>
  <si>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</si>
  <si>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</si>
  <si>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</si>
  <si>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</si>
  <si>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</si>
  <si>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</si>
  <si>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</si>
  <si>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</si>
  <si>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</si>
  <si>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</si>
  <si>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</si>
  <si>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</si>
  <si>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</si>
  <si>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</si>
  <si>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</si>
  <si>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</si>
  <si>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</si>
  <si>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</si>
  <si>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</si>
  <si>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</si>
  <si>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</si>
  <si>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</si>
  <si>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</si>
  <si>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</si>
  <si>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</si>
  <si>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</si>
  <si>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</si>
  <si>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</si>
  <si>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</si>
  <si>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</si>
  <si>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</si>
  <si>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</si>
  <si>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</si>
  <si>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</si>
  <si>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</si>
  <si>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</si>
  <si>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</si>
  <si>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</si>
  <si>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</si>
  <si>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</si>
  <si>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</si>
  <si>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</si>
  <si>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</si>
  <si>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</si>
  <si>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</si>
  <si>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</si>
  <si>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</si>
  <si>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</si>
  <si>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</si>
  <si>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</si>
  <si>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</si>
  <si>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</si>
  <si>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</si>
  <si>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</si>
  <si>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</si>
  <si>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</si>
  <si>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</si>
  <si>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</si>
  <si>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</si>
  <si>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</si>
  <si>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</si>
  <si>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</si>
  <si>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</si>
  <si>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</si>
  <si>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</si>
  <si>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</si>
  <si>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</si>
  <si>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</si>
  <si>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</si>
  <si>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</si>
  <si>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</si>
  <si>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</si>
  <si>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</si>
  <si>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</si>
  <si>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</si>
  <si>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</si>
  <si>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</si>
  <si>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</si>
  <si>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</si>
  <si>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</si>
  <si>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</si>
  <si>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</si>
  <si>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</si>
  <si>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</si>
  <si>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</si>
  <si>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</si>
  <si>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</si>
  <si>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</si>
  <si>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</si>
  <si>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</si>
  <si>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</si>
  <si>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</si>
  <si>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</si>
  <si>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</si>
  <si>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</si>
  <si>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</si>
  <si>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</si>
  <si>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</si>
  <si>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</si>
  <si>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</si>
  <si>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</si>
  <si>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</si>
  <si>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</si>
  <si>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</si>
  <si>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</si>
  <si>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</si>
  <si>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</si>
  <si>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</si>
  <si>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</si>
  <si>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</si>
  <si>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</si>
  <si>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</si>
  <si>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</si>
  <si>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</si>
  <si>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</si>
  <si>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</si>
  <si>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</si>
  <si>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</si>
  <si>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</si>
  <si>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</si>
  <si>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</si>
  <si>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</si>
  <si>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</si>
  <si>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</si>
  <si>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</si>
  <si>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</si>
  <si>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</si>
  <si>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</si>
  <si>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</si>
  <si>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</si>
  <si>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</si>
  <si>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</si>
  <si>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</si>
  <si>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</si>
  <si>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</si>
  <si>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</si>
  <si>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</si>
  <si>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</si>
  <si>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</si>
  <si>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</si>
  <si>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</si>
  <si>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</si>
  <si>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</si>
  <si>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</si>
  <si>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</si>
  <si>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</si>
  <si>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</si>
  <si>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</si>
  <si>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</si>
  <si>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</si>
  <si>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</si>
  <si>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</si>
  <si>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</si>
  <si>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</si>
  <si>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</si>
  <si>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</si>
  <si>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</si>
  <si>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</si>
  <si>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</si>
  <si>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</si>
  <si>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</si>
  <si>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</si>
  <si>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</si>
  <si>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</si>
  <si>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</si>
  <si>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</si>
  <si>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</si>
  <si>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</si>
  <si>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</si>
  <si>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</si>
  <si>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</si>
  <si>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</si>
  <si>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</si>
  <si>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</si>
  <si>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</si>
  <si>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</si>
  <si>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</si>
  <si>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</si>
  <si>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</si>
  <si>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</si>
  <si>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</si>
  <si>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</si>
  <si>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</si>
  <si>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</si>
  <si>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</si>
  <si>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</si>
  <si>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</si>
  <si>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</si>
  <si>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</si>
  <si>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</si>
  <si>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</si>
  <si>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</si>
  <si>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</si>
  <si>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</si>
  <si>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</si>
  <si>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</si>
  <si>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</si>
  <si>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</si>
  <si>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</si>
  <si>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</si>
  <si>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</si>
  <si>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</si>
  <si>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</si>
  <si>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</si>
  <si>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</si>
  <si>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</si>
  <si>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</si>
  <si>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</si>
  <si>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</si>
  <si>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</si>
  <si>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</si>
  <si>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</si>
  <si>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</si>
  <si>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</si>
  <si>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</si>
  <si>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</si>
  <si>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</si>
  <si>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</si>
  <si>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</si>
  <si>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</si>
  <si>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</si>
  <si>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</si>
  <si>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</si>
  <si>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</si>
  <si>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</si>
  <si>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</si>
  <si>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</si>
  <si>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</si>
  <si>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</si>
  <si>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</si>
  <si>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</si>
  <si>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</si>
  <si>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</si>
  <si>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</si>
  <si>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</si>
  <si>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</si>
  <si>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</si>
  <si>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</si>
  <si>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</si>
  <si>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</si>
  <si>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</si>
  <si>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</si>
  <si>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</si>
  <si>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</si>
  <si>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</si>
  <si>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</si>
  <si>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</si>
  <si>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</si>
  <si>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</si>
  <si>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</si>
  <si>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</si>
  <si>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</si>
  <si>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</si>
  <si>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</si>
  <si>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</si>
  <si>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</si>
  <si>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</si>
  <si>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</si>
  <si>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</si>
  <si>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</si>
  <si>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</si>
  <si>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</si>
  <si>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</si>
  <si>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</si>
  <si>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</si>
  <si>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</si>
  <si>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</si>
  <si>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</si>
  <si>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</si>
  <si>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</si>
  <si>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</si>
  <si>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</si>
  <si>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</si>
  <si>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</si>
  <si>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</si>
  <si>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</si>
  <si>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</si>
  <si>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</si>
  <si>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</si>
  <si>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</si>
  <si>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</si>
  <si>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</si>
  <si>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</si>
  <si>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</si>
  <si>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</si>
  <si>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</si>
  <si>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</si>
  <si>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</si>
  <si>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</si>
  <si>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</si>
  <si>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</si>
  <si>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</si>
  <si>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</si>
  <si>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</si>
  <si>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</si>
  <si>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</si>
  <si>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</si>
  <si>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</si>
  <si>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</si>
  <si>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</si>
  <si>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</si>
  <si>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</si>
  <si>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</si>
  <si>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</si>
  <si>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</si>
  <si>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</si>
  <si>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</si>
  <si>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</si>
  <si>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</si>
  <si>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</si>
  <si>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</si>
  <si>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</si>
  <si>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</si>
  <si>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</si>
  <si>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</si>
  <si>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</si>
  <si>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</si>
  <si>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</si>
  <si>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</si>
  <si>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</si>
  <si>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</si>
  <si>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</si>
  <si>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</si>
  <si>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</si>
  <si>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</si>
  <si>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</si>
  <si>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</si>
  <si>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</si>
  <si>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</si>
  <si>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</si>
  <si>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</si>
  <si>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</si>
  <si>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</si>
  <si>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</si>
  <si>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</si>
  <si>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</si>
  <si>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</si>
  <si>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</si>
  <si>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</si>
  <si>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</si>
  <si>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</si>
  <si>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</si>
  <si>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</si>
  <si>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</si>
  <si>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</si>
  <si>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</si>
  <si>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</si>
  <si>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</si>
  <si>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</si>
  <si>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</si>
  <si>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</si>
  <si>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</si>
  <si>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</si>
  <si>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</si>
  <si>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</si>
  <si>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</si>
  <si>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</si>
  <si>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</si>
  <si>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</si>
  <si>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</si>
  <si>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</si>
  <si>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</si>
  <si>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</si>
  <si>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</si>
  <si>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</si>
  <si>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</si>
  <si>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</si>
  <si>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</si>
  <si>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</si>
  <si>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</si>
  <si>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</si>
  <si>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</si>
  <si>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</si>
  <si>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</si>
  <si>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</si>
  <si>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</si>
  <si>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</si>
  <si>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</si>
  <si>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</si>
  <si>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</si>
  <si>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</si>
  <si>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</si>
  <si>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</si>
  <si>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</si>
  <si>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</si>
  <si>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</si>
  <si>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</si>
  <si>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</si>
  <si>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</si>
  <si>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</si>
  <si>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</si>
  <si>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</si>
  <si>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</si>
  <si>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</si>
  <si>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</si>
  <si>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</si>
  <si>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</si>
  <si>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</si>
  <si>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</si>
  <si>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</si>
  <si>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</si>
  <si>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</si>
  <si>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</si>
  <si>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</si>
  <si>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</si>
  <si>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</si>
  <si>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</si>
  <si>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</si>
  <si>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</si>
  <si>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</si>
  <si>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</si>
  <si>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</si>
  <si>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</si>
  <si>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</si>
  <si>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</si>
  <si>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</si>
  <si>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</si>
  <si>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</si>
  <si>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</si>
  <si>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</si>
  <si>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</si>
  <si>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</si>
  <si>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</si>
  <si>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</si>
  <si>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</si>
  <si>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</si>
  <si>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</si>
  <si>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</si>
  <si>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</si>
  <si>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</si>
  <si>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</si>
  <si>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</si>
  <si>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</si>
  <si>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</si>
  <si>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</si>
  <si>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</si>
  <si>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</si>
  <si>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</si>
  <si>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</si>
  <si>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</si>
  <si>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</si>
  <si>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</si>
  <si>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</si>
  <si>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</si>
  <si>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</si>
  <si>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</si>
  <si>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</si>
  <si>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</si>
  <si>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</si>
  <si>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</si>
  <si>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</si>
  <si>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</si>
  <si>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</si>
  <si>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</si>
  <si>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</si>
  <si>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</si>
  <si>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</si>
  <si>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</si>
  <si>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</si>
  <si>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</si>
  <si>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</si>
  <si>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</si>
  <si>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</si>
  <si>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</si>
  <si>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</si>
  <si>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</si>
  <si>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</si>
  <si>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</si>
  <si>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</si>
  <si>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</si>
  <si>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</si>
  <si>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</si>
  <si>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</si>
  <si>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</si>
  <si>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</si>
  <si>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</si>
  <si>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</si>
  <si>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</si>
  <si>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</si>
  <si>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</si>
  <si>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</si>
  <si>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</si>
  <si>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</si>
  <si>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</si>
  <si>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</si>
  <si>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</si>
  <si>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</si>
  <si>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</si>
  <si>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</si>
  <si>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</si>
  <si>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</si>
  <si>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</si>
  <si>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</si>
  <si>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</si>
  <si>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</si>
  <si>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</si>
  <si>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</si>
  <si>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</si>
  <si>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</si>
  <si>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</si>
  <si>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</si>
  <si>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</si>
  <si>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</si>
  <si>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</si>
  <si>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</si>
  <si>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</si>
  <si>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</si>
  <si>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</si>
  <si>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</si>
  <si>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</si>
  <si>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</si>
  <si>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</si>
  <si>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</si>
  <si>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</si>
  <si>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</si>
  <si>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</si>
  <si>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</si>
  <si>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</si>
  <si>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</si>
  <si>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</si>
  <si>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</si>
  <si>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</si>
  <si>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</si>
  <si>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</si>
  <si>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</si>
  <si>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</si>
  <si>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</si>
  <si>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</si>
  <si>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</si>
  <si>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</si>
  <si>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</si>
  <si>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</si>
  <si>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</si>
  <si>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</si>
  <si>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</si>
  <si>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</si>
  <si>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</si>
  <si>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</si>
  <si>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</si>
  <si>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</si>
  <si>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</si>
  <si>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</si>
  <si>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</si>
  <si>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</si>
  <si>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</si>
  <si>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</si>
  <si>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</si>
  <si>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</si>
  <si>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</si>
  <si>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</si>
  <si>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</si>
  <si>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</si>
  <si>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</si>
  <si>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</si>
  <si>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</si>
  <si>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</si>
  <si>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</si>
  <si>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</si>
  <si>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</si>
  <si>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</si>
  <si>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</si>
  <si>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</si>
  <si>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</si>
  <si>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</si>
  <si>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</si>
  <si>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</si>
  <si>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</si>
  <si>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</si>
  <si>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</si>
  <si>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</si>
  <si>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</si>
  <si>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</si>
  <si>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</si>
  <si>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</si>
  <si>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</si>
  <si>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</si>
  <si>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</si>
  <si>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</si>
  <si>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</si>
  <si>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</si>
  <si>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</si>
  <si>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</si>
  <si>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</si>
  <si>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</si>
  <si>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</si>
  <si>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</si>
  <si>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</si>
  <si>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</si>
  <si>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</si>
  <si>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</si>
  <si>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</si>
  <si>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</si>
  <si>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</si>
  <si>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</si>
  <si>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</si>
  <si>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</si>
  <si>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</si>
  <si>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</si>
  <si>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</si>
  <si>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</si>
  <si>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</si>
  <si>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</si>
  <si>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</si>
  <si>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</si>
  <si>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</si>
  <si>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</si>
  <si>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</si>
  <si>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</si>
  <si>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</si>
  <si>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</si>
  <si>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</si>
  <si>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</si>
  <si>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</si>
  <si>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</si>
  <si>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</si>
  <si>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</si>
  <si>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</si>
  <si>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</si>
  <si>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</si>
  <si>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</si>
  <si>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</si>
  <si>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</si>
  <si>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</si>
  <si>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</si>
  <si>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</si>
  <si>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</si>
  <si>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</si>
  <si>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</si>
  <si>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</si>
  <si>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</si>
  <si>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</si>
  <si>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</si>
  <si>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</si>
  <si>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</si>
  <si>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</si>
  <si>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</si>
  <si>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</si>
  <si>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</si>
  <si>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</si>
  <si>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</si>
  <si>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</si>
  <si>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</si>
  <si>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</si>
  <si>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</si>
  <si>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</si>
  <si>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</si>
  <si>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</si>
  <si>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</si>
  <si>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</si>
  <si>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</si>
  <si>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</si>
  <si>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</si>
  <si>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</si>
  <si>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</si>
  <si>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</si>
  <si>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</si>
  <si>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</si>
  <si>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</si>
  <si>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</si>
  <si>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</si>
  <si>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</si>
  <si>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</si>
  <si>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</si>
  <si>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</si>
  <si>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</si>
  <si>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</si>
  <si>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</si>
  <si>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</si>
  <si>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</si>
  <si>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</si>
  <si>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</si>
  <si>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</si>
  <si>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</si>
  <si>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</si>
  <si>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</si>
  <si>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</si>
  <si>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</si>
  <si>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</si>
  <si>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</si>
  <si>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</si>
  <si>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</si>
  <si>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</si>
  <si>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</si>
  <si>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</si>
  <si>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</si>
  <si>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</si>
  <si>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</si>
  <si>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</si>
  <si>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</si>
  <si>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</si>
  <si>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</si>
  <si>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</si>
  <si>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</si>
  <si>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</si>
  <si>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</si>
  <si>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</si>
  <si>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</si>
  <si>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</si>
  <si>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</si>
  <si>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</si>
  <si>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</si>
  <si>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</si>
  <si>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</si>
  <si>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</si>
  <si>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</si>
  <si>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</si>
  <si>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</si>
  <si>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</si>
  <si>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</si>
  <si>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</si>
  <si>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</si>
  <si>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</si>
  <si>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</si>
  <si>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</si>
  <si>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</si>
  <si>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</si>
  <si>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</si>
  <si>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</si>
  <si>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</si>
  <si>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</si>
  <si>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</si>
  <si>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</si>
  <si>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</si>
  <si>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</si>
  <si>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</si>
  <si>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</si>
  <si>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</si>
  <si>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</si>
  <si>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</si>
  <si>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</si>
  <si>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</si>
  <si>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</si>
  <si>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</si>
  <si>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</si>
  <si>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</si>
  <si>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</si>
  <si>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</si>
  <si>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</si>
  <si>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</si>
  <si>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</si>
  <si>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</si>
  <si>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</si>
  <si>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</si>
  <si>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</si>
  <si>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</si>
  <si>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</si>
  <si>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</si>
  <si>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</si>
  <si>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</si>
  <si>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</si>
  <si>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</si>
  <si>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</si>
  <si>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</si>
  <si>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</si>
  <si>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</si>
  <si>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</si>
  <si>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</si>
  <si>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</si>
  <si>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</si>
  <si>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</si>
  <si>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</si>
  <si>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</si>
  <si>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</si>
  <si>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</si>
  <si>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</si>
  <si>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</si>
  <si>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</si>
  <si>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</si>
  <si>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</si>
  <si>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</si>
  <si>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</si>
  <si>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</si>
  <si>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</si>
  <si>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</si>
  <si>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</si>
  <si>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</si>
  <si>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</si>
  <si>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</si>
  <si>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</si>
  <si>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</si>
  <si>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</si>
  <si>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</si>
  <si>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</si>
  <si>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</si>
  <si>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</si>
  <si>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</si>
  <si>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</si>
  <si>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</si>
  <si>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</si>
  <si>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</si>
  <si>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</si>
  <si>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</si>
  <si>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</si>
  <si>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</si>
  <si>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</si>
  <si>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</si>
  <si>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</si>
  <si>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</si>
  <si>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</si>
  <si>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</si>
  <si>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</si>
  <si>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</si>
  <si>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</si>
  <si>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</si>
  <si>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</si>
  <si>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</si>
  <si>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</si>
  <si>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</si>
  <si>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</si>
  <si>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</si>
  <si>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</si>
  <si>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</si>
  <si>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</si>
  <si>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</si>
  <si>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</si>
  <si>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</si>
  <si>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</si>
  <si>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</si>
  <si>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</si>
  <si>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</si>
  <si>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</si>
  <si>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</si>
  <si>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</si>
  <si>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</si>
  <si>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</si>
  <si>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</si>
  <si>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</si>
  <si>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</si>
  <si>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</si>
  <si>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</si>
  <si>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</si>
  <si>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</si>
  <si>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</si>
  <si>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</si>
  <si>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</si>
  <si>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</si>
  <si>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</si>
  <si>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</si>
  <si>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</si>
  <si>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</si>
  <si>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</si>
  <si>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</si>
  <si>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</si>
  <si>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</si>
  <si>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</si>
  <si>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</si>
  <si>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</si>
  <si>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</si>
  <si>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</si>
  <si>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</si>
  <si>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</si>
  <si>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</si>
  <si>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</si>
  <si>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</si>
  <si>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</si>
  <si>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</si>
  <si>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</si>
  <si>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</si>
  <si>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</si>
  <si>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</si>
  <si>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</si>
  <si>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</si>
  <si>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</si>
  <si>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</si>
  <si>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</si>
  <si>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</si>
  <si>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</si>
  <si>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</si>
  <si>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</si>
  <si>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</si>
  <si>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</si>
  <si>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</si>
  <si>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</si>
  <si>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</si>
  <si>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</si>
  <si>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</si>
  <si>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</si>
  <si>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</si>
  <si>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</si>
  <si>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</si>
  <si>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</si>
  <si>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</si>
  <si>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</si>
  <si>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</si>
  <si>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</si>
  <si>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</si>
  <si>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</si>
  <si>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</si>
  <si>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</si>
  <si>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</si>
  <si>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</si>
  <si>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</si>
  <si>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</si>
  <si>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</si>
  <si>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</si>
  <si>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</si>
  <si>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</si>
  <si>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</si>
  <si>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</si>
  <si>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</si>
  <si>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</si>
  <si>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</si>
  <si>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</si>
  <si>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</si>
  <si>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</si>
  <si>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</si>
  <si>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</si>
  <si>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</si>
  <si>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</si>
  <si>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</si>
  <si>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</si>
  <si>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</si>
  <si>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</si>
  <si>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</si>
  <si>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</si>
  <si>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</si>
  <si>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</si>
  <si>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</si>
  <si>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</si>
  <si>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</si>
  <si>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</si>
  <si>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</si>
  <si>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</si>
  <si>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</si>
  <si>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</si>
  <si>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</si>
  <si>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</si>
  <si>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</si>
  <si>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</si>
  <si>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</si>
  <si>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</si>
  <si>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</si>
  <si>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</si>
  <si>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</si>
  <si>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</si>
  <si>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</si>
  <si>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</si>
  <si>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</si>
  <si>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</si>
  <si>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</si>
  <si>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</si>
  <si>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</si>
  <si>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</si>
  <si>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</si>
  <si>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</si>
  <si>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</si>
  <si>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</si>
  <si>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</si>
  <si>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</si>
  <si>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</si>
  <si>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</si>
  <si>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</si>
  <si>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</si>
  <si>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</si>
  <si>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</si>
  <si>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</si>
  <si>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</si>
  <si>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</si>
  <si>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</si>
  <si>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</si>
  <si>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</si>
  <si>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</si>
  <si>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</si>
  <si>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</si>
  <si>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</si>
  <si>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</si>
  <si>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</si>
  <si>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</si>
  <si>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</si>
  <si>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</si>
  <si>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</si>
  <si>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</si>
  <si>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</si>
  <si>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</si>
  <si>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</si>
  <si>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</si>
  <si>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</si>
  <si>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</si>
  <si>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</si>
  <si>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</si>
  <si>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</si>
  <si>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</si>
  <si>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</si>
  <si>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</si>
  <si>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</si>
  <si>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</si>
  <si>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</si>
  <si>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</si>
  <si>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</si>
  <si>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</si>
  <si>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</si>
  <si>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</si>
  <si>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</si>
  <si>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</si>
  <si>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</si>
  <si>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</si>
  <si>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</si>
  <si>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</si>
  <si>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</si>
  <si>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</si>
  <si>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</si>
  <si>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</si>
  <si>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</si>
  <si>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A2790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</si>
  <si>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</si>
  <si>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</si>
  <si>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</si>
  <si>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</si>
  <si>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</si>
  <si>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</si>
  <si>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</si>
  <si>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</si>
  <si>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</si>
  <si>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</si>
  <si>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</si>
  <si>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</si>
  <si>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</si>
  <si>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</si>
  <si>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</si>
  <si>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</si>
  <si>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</si>
  <si>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</si>
  <si>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</si>
  <si>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</si>
  <si>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</si>
  <si>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</si>
  <si>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</si>
  <si>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</si>
  <si>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</si>
  <si>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</si>
  <si>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</si>
  <si>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</si>
  <si>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</si>
  <si>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</si>
  <si>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</si>
  <si>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</si>
  <si>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</si>
  <si>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</si>
  <si>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</si>
  <si>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</si>
  <si>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</si>
  <si>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</si>
  <si>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</si>
  <si>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</si>
  <si>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</si>
  <si>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</si>
  <si>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</si>
  <si>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</si>
  <si>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</si>
  <si>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</si>
  <si>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</si>
  <si>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</si>
  <si>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</si>
  <si>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</si>
  <si>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</si>
  <si>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</si>
  <si>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</si>
  <si>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</si>
  <si>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</si>
  <si>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</si>
  <si>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</si>
  <si>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</si>
  <si>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</si>
  <si>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</si>
  <si>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</si>
  <si>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</si>
  <si>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A2853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</si>
  <si>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</si>
  <si>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</si>
  <si>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</si>
  <si>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</si>
  <si>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</si>
  <si>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</si>
  <si>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</si>
  <si>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</si>
  <si>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</si>
  <si>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</si>
  <si>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</si>
  <si>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</si>
  <si>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</si>
  <si>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</si>
  <si>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</si>
  <si>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</si>
  <si>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</si>
  <si>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</si>
  <si>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</si>
  <si>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</si>
  <si>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</si>
  <si>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</si>
  <si>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</si>
  <si>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</si>
  <si>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</si>
  <si>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</si>
  <si>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</si>
  <si>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</si>
  <si>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</si>
  <si>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</si>
  <si>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</si>
  <si>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</si>
  <si>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</si>
  <si>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</si>
  <si>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</si>
  <si>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</si>
  <si>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</si>
  <si>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</si>
  <si>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</si>
  <si>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</si>
  <si>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</si>
  <si>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</si>
  <si>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</si>
  <si>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A2897</t>
  </si>
  <si>
    <t>A2898</t>
  </si>
  <si>
    <t>A2899</t>
  </si>
  <si>
    <t>A2900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</si>
  <si>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</si>
  <si>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</si>
  <si>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</si>
  <si>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</si>
  <si>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</si>
  <si>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</si>
  <si>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</si>
  <si>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</si>
  <si>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</si>
  <si>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</si>
  <si>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</si>
  <si>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</si>
  <si>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</si>
  <si>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</si>
  <si>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</si>
  <si>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</si>
  <si>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</si>
  <si>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</si>
  <si>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</si>
  <si>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</si>
  <si>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</si>
  <si>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</si>
  <si>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</si>
  <si>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</si>
  <si>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</si>
  <si>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</si>
  <si>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</si>
  <si>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</si>
  <si>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</si>
  <si>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</si>
  <si>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</si>
  <si>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</si>
  <si>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</si>
  <si>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</si>
  <si>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</si>
  <si>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</si>
  <si>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</si>
  <si>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</si>
  <si>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</si>
  <si>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</si>
  <si>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</si>
  <si>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</si>
  <si>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</si>
  <si>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</si>
  <si>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</si>
  <si>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</si>
  <si>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</si>
  <si>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</si>
  <si>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</si>
  <si>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</si>
  <si>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</si>
  <si>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</si>
  <si>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</si>
  <si>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</si>
  <si>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</si>
  <si>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</si>
  <si>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</si>
  <si>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</si>
  <si>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</si>
  <si>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</si>
  <si>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</si>
  <si>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</si>
  <si>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</si>
  <si>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</si>
  <si>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</si>
  <si>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</si>
  <si>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</si>
  <si>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</si>
  <si>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</si>
  <si>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</si>
  <si>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</si>
  <si>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</si>
  <si>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</si>
  <si>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</si>
  <si>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</si>
  <si>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</si>
  <si>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</si>
  <si>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</si>
  <si>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</si>
  <si>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</si>
  <si>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</si>
  <si>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</si>
  <si>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</si>
  <si>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</si>
  <si>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</si>
  <si>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</si>
  <si>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</si>
  <si>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</si>
  <si>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</si>
  <si>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</si>
  <si>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A2991</t>
  </si>
  <si>
    <t>A2992</t>
  </si>
  <si>
    <t>A2993</t>
  </si>
  <si>
    <t>A2994</t>
  </si>
  <si>
    <t>A2995</t>
  </si>
  <si>
    <t>A2996</t>
  </si>
  <si>
    <t>A2997</t>
  </si>
  <si>
    <t>A2998</t>
  </si>
  <si>
    <t>A2999</t>
  </si>
  <si>
    <t>A3000</t>
  </si>
  <si>
    <t>A3001</t>
  </si>
  <si>
    <t>A3002</t>
  </si>
  <si>
    <t>A3003</t>
  </si>
  <si>
    <t>A3004</t>
  </si>
  <si>
    <t>A3005</t>
  </si>
  <si>
    <t>A3006</t>
  </si>
  <si>
    <t>A3007</t>
  </si>
  <si>
    <t>A3008</t>
  </si>
  <si>
    <t>A3009</t>
  </si>
  <si>
    <t>A3010</t>
  </si>
  <si>
    <t>A3011</t>
  </si>
  <si>
    <t>A3012</t>
  </si>
  <si>
    <t>A3013</t>
  </si>
  <si>
    <t>A3014</t>
  </si>
  <si>
    <t>A3015</t>
  </si>
  <si>
    <t>A3016</t>
  </si>
  <si>
    <t>A3017</t>
  </si>
  <si>
    <t>A3018</t>
  </si>
  <si>
    <t>A3019</t>
  </si>
  <si>
    <t>A3020</t>
  </si>
  <si>
    <t>A3021</t>
  </si>
  <si>
    <t>A3022</t>
  </si>
  <si>
    <t>A3023</t>
  </si>
  <si>
    <t>A3024</t>
  </si>
  <si>
    <t>A3025</t>
  </si>
  <si>
    <t>A3026</t>
  </si>
  <si>
    <t>A3027</t>
  </si>
  <si>
    <t>A3028</t>
  </si>
  <si>
    <t>A3029</t>
  </si>
  <si>
    <t>A3030</t>
  </si>
  <si>
    <t>A3031</t>
  </si>
  <si>
    <t>A3032</t>
  </si>
  <si>
    <t>A3033</t>
  </si>
  <si>
    <t>A3034</t>
  </si>
  <si>
    <t>A3035</t>
  </si>
  <si>
    <t>A3036</t>
  </si>
  <si>
    <t>A3037</t>
  </si>
  <si>
    <t>A3038</t>
  </si>
  <si>
    <t>A3039</t>
  </si>
  <si>
    <t>A3040</t>
  </si>
  <si>
    <t>A3041</t>
  </si>
  <si>
    <t>A3042</t>
  </si>
  <si>
    <t>A3043</t>
  </si>
  <si>
    <t>A3044</t>
  </si>
  <si>
    <t>A3045</t>
  </si>
  <si>
    <t>A3046</t>
  </si>
  <si>
    <t>A3047</t>
  </si>
  <si>
    <t>A3048</t>
  </si>
  <si>
    <t>A3049</t>
  </si>
  <si>
    <t>A3050</t>
  </si>
  <si>
    <t>A3051</t>
  </si>
  <si>
    <t>A3052</t>
  </si>
  <si>
    <t>A3053</t>
  </si>
  <si>
    <t>A3054</t>
  </si>
  <si>
    <t>A3055</t>
  </si>
  <si>
    <t>A3056</t>
  </si>
  <si>
    <t>A3057</t>
  </si>
  <si>
    <t>A3058</t>
  </si>
  <si>
    <t>A3059</t>
  </si>
  <si>
    <t>A3060</t>
  </si>
  <si>
    <t>A3061</t>
  </si>
  <si>
    <t>A3062</t>
  </si>
  <si>
    <t>A3063</t>
  </si>
  <si>
    <t>A3064</t>
  </si>
  <si>
    <t>A3065</t>
  </si>
  <si>
    <t>A3066</t>
  </si>
  <si>
    <t>A3067</t>
  </si>
  <si>
    <t>A3068</t>
  </si>
  <si>
    <t>A3069</t>
  </si>
  <si>
    <t>A3070</t>
  </si>
  <si>
    <t>A3071</t>
  </si>
  <si>
    <t>A3072</t>
  </si>
  <si>
    <t>A3073</t>
  </si>
  <si>
    <t>A3074</t>
  </si>
  <si>
    <t>A3075</t>
  </si>
  <si>
    <t>A3076</t>
  </si>
  <si>
    <t>A3077</t>
  </si>
  <si>
    <t>A3078</t>
  </si>
  <si>
    <t>A3079</t>
  </si>
  <si>
    <t>A3080</t>
  </si>
  <si>
    <t>A3081</t>
  </si>
  <si>
    <t>A3082</t>
  </si>
  <si>
    <t>A3083</t>
  </si>
  <si>
    <t>A3084</t>
  </si>
  <si>
    <t>A3085</t>
  </si>
  <si>
    <t>A3086</t>
  </si>
  <si>
    <t>A3087</t>
  </si>
  <si>
    <t>A3088</t>
  </si>
  <si>
    <t>A3089</t>
  </si>
  <si>
    <t>A3090</t>
  </si>
  <si>
    <t>A3091</t>
  </si>
  <si>
    <t>A3092</t>
  </si>
  <si>
    <t>A3093</t>
  </si>
  <si>
    <t>A3094</t>
  </si>
  <si>
    <t>A3095</t>
  </si>
  <si>
    <t>A3096</t>
  </si>
  <si>
    <t>A3097</t>
  </si>
  <si>
    <t>A3098</t>
  </si>
  <si>
    <t>A3099</t>
  </si>
  <si>
    <t>A3100</t>
  </si>
  <si>
    <t>A3101</t>
  </si>
  <si>
    <t>A3102</t>
  </si>
  <si>
    <t>A3103</t>
  </si>
  <si>
    <t>A3104</t>
  </si>
  <si>
    <t>A3105</t>
  </si>
  <si>
    <t>A3106</t>
  </si>
  <si>
    <t>A3107</t>
  </si>
  <si>
    <t>A3108</t>
  </si>
  <si>
    <t>A3109</t>
  </si>
  <si>
    <t>A3110</t>
  </si>
  <si>
    <t>A3111</t>
  </si>
  <si>
    <t>A3112</t>
  </si>
  <si>
    <t>A3113</t>
  </si>
  <si>
    <t>A3114</t>
  </si>
  <si>
    <t>A3115</t>
  </si>
  <si>
    <t>A3116</t>
  </si>
  <si>
    <t>A3117</t>
  </si>
  <si>
    <t>A3118</t>
  </si>
  <si>
    <t>A3119</t>
  </si>
  <si>
    <t>A3120</t>
  </si>
  <si>
    <t>A3121</t>
  </si>
  <si>
    <t>A3122</t>
  </si>
  <si>
    <t>A3123</t>
  </si>
  <si>
    <t>A3124</t>
  </si>
  <si>
    <t>A3125</t>
  </si>
  <si>
    <t>A3126</t>
  </si>
  <si>
    <t>A3127</t>
  </si>
  <si>
    <t>A3128</t>
  </si>
  <si>
    <t>A3129</t>
  </si>
  <si>
    <t>A3130</t>
  </si>
  <si>
    <t>A3131</t>
  </si>
  <si>
    <t>A3132</t>
  </si>
  <si>
    <t>A3133</t>
  </si>
  <si>
    <t>A3134</t>
  </si>
  <si>
    <t>A3135</t>
  </si>
  <si>
    <t>A3136</t>
  </si>
  <si>
    <t>A3137</t>
  </si>
  <si>
    <t>A3138</t>
  </si>
  <si>
    <t>A3139</t>
  </si>
  <si>
    <t>A3140</t>
  </si>
  <si>
    <t>A3141</t>
  </si>
  <si>
    <t>A3142</t>
  </si>
  <si>
    <t>A3143</t>
  </si>
  <si>
    <t>A3144</t>
  </si>
  <si>
    <t>A3145</t>
  </si>
  <si>
    <t>A3146</t>
  </si>
  <si>
    <t>A3147</t>
  </si>
  <si>
    <t>A3148</t>
  </si>
  <si>
    <t>A3149</t>
  </si>
  <si>
    <t>A3150</t>
  </si>
  <si>
    <t>A3151</t>
  </si>
  <si>
    <t>A3152</t>
  </si>
  <si>
    <t>A3153</t>
  </si>
  <si>
    <t>A3154</t>
  </si>
  <si>
    <t>A3155</t>
  </si>
  <si>
    <t>A3156</t>
  </si>
  <si>
    <t>A3157</t>
  </si>
  <si>
    <t>A3158</t>
  </si>
  <si>
    <t>A3159</t>
  </si>
  <si>
    <t>A3160</t>
  </si>
  <si>
    <t>A3161</t>
  </si>
  <si>
    <t>A3162</t>
  </si>
  <si>
    <t>A3163</t>
  </si>
  <si>
    <t>A3164</t>
  </si>
  <si>
    <t>A3165</t>
  </si>
  <si>
    <t>A3166</t>
  </si>
  <si>
    <t>A3167</t>
  </si>
  <si>
    <t>A3168</t>
  </si>
  <si>
    <t>A3169</t>
  </si>
  <si>
    <t>A3170</t>
  </si>
  <si>
    <t>A3171</t>
  </si>
  <si>
    <t>A3172</t>
  </si>
  <si>
    <t>A3173</t>
  </si>
  <si>
    <t>A3174</t>
  </si>
  <si>
    <t>A3175</t>
  </si>
  <si>
    <t>A3176</t>
  </si>
  <si>
    <t>A3177</t>
  </si>
  <si>
    <t>A3178</t>
  </si>
  <si>
    <t>A3179</t>
  </si>
  <si>
    <t>A3180</t>
  </si>
  <si>
    <t>A3181</t>
  </si>
  <si>
    <t>A3182</t>
  </si>
  <si>
    <t>A3183</t>
  </si>
  <si>
    <t>A3184</t>
  </si>
  <si>
    <t>A3185</t>
  </si>
  <si>
    <t>A3186</t>
  </si>
  <si>
    <t>A3187</t>
  </si>
  <si>
    <t>A3188</t>
  </si>
  <si>
    <t>A3189</t>
  </si>
  <si>
    <t>A3190</t>
  </si>
  <si>
    <t>A3191</t>
  </si>
  <si>
    <t>A3192</t>
  </si>
  <si>
    <t>A3193</t>
  </si>
  <si>
    <t>A3194</t>
  </si>
  <si>
    <t>A3195</t>
  </si>
  <si>
    <t>A3196</t>
  </si>
  <si>
    <t>A3197</t>
  </si>
  <si>
    <t>A3198</t>
  </si>
  <si>
    <t>A3199</t>
  </si>
  <si>
    <t>A3200</t>
  </si>
  <si>
    <t>A3201</t>
  </si>
  <si>
    <t>A3202</t>
  </si>
  <si>
    <t>A3203</t>
  </si>
  <si>
    <t>A3204</t>
  </si>
  <si>
    <t>A3205</t>
  </si>
  <si>
    <t>A3206</t>
  </si>
  <si>
    <t>A3207</t>
  </si>
  <si>
    <t>A3208</t>
  </si>
  <si>
    <t>A3209</t>
  </si>
  <si>
    <t>A3210</t>
  </si>
  <si>
    <t>A3211</t>
  </si>
  <si>
    <t>A3212</t>
  </si>
  <si>
    <t>A3213</t>
  </si>
  <si>
    <t>A3214</t>
  </si>
  <si>
    <t>A3215</t>
  </si>
  <si>
    <t>A3216</t>
  </si>
  <si>
    <t>A3217</t>
  </si>
  <si>
    <t>A3218</t>
  </si>
  <si>
    <t>A3219</t>
  </si>
  <si>
    <t>A3220</t>
  </si>
  <si>
    <t>A3221</t>
  </si>
  <si>
    <t>A3222</t>
  </si>
  <si>
    <t>A3223</t>
  </si>
  <si>
    <t>A3224</t>
  </si>
  <si>
    <t>A3225</t>
  </si>
  <si>
    <t>A3226</t>
  </si>
  <si>
    <t>A3227</t>
  </si>
  <si>
    <t>A3228</t>
  </si>
  <si>
    <t>A3229</t>
  </si>
  <si>
    <t>A3230</t>
  </si>
  <si>
    <t>A3231</t>
  </si>
  <si>
    <t>A3232</t>
  </si>
  <si>
    <t>A3233</t>
  </si>
  <si>
    <t>A3234</t>
  </si>
  <si>
    <t>A3235</t>
  </si>
  <si>
    <t>A3236</t>
  </si>
  <si>
    <t>A3237</t>
  </si>
  <si>
    <t>A3238</t>
  </si>
  <si>
    <t>A3239</t>
  </si>
  <si>
    <t>A3240</t>
  </si>
  <si>
    <t>A3241</t>
  </si>
  <si>
    <t>A3242</t>
  </si>
  <si>
    <t>A3243</t>
  </si>
  <si>
    <t>A3244</t>
  </si>
  <si>
    <t>A3245</t>
  </si>
  <si>
    <t>A3246</t>
  </si>
  <si>
    <t>A3247</t>
  </si>
  <si>
    <t>A3248</t>
  </si>
  <si>
    <t>A3249</t>
  </si>
  <si>
    <t>A3250</t>
  </si>
  <si>
    <t>A3251</t>
  </si>
  <si>
    <t>A3252</t>
  </si>
  <si>
    <t>A3253</t>
  </si>
  <si>
    <t>A3254</t>
  </si>
  <si>
    <t>A3255</t>
  </si>
  <si>
    <t>A3256</t>
  </si>
  <si>
    <t>A3257</t>
  </si>
  <si>
    <t>A3258</t>
  </si>
  <si>
    <t>A3259</t>
  </si>
  <si>
    <t>A3260</t>
  </si>
  <si>
    <t>A3261</t>
  </si>
  <si>
    <t>A3262</t>
  </si>
  <si>
    <t>A3263</t>
  </si>
  <si>
    <t>A3264</t>
  </si>
  <si>
    <t>A3265</t>
  </si>
  <si>
    <t>A3266</t>
  </si>
  <si>
    <t>A3267</t>
  </si>
  <si>
    <t>A3268</t>
  </si>
  <si>
    <t>A3269</t>
  </si>
  <si>
    <t>A3270</t>
  </si>
  <si>
    <t>A3271</t>
  </si>
  <si>
    <t>A3272</t>
  </si>
  <si>
    <t>A3273</t>
  </si>
  <si>
    <t>A3274</t>
  </si>
  <si>
    <t>A3275</t>
  </si>
  <si>
    <t>A3276</t>
  </si>
  <si>
    <t>A3277</t>
  </si>
  <si>
    <t>A3278</t>
  </si>
  <si>
    <t>A3279</t>
  </si>
  <si>
    <t>A3280</t>
  </si>
  <si>
    <t>A3281</t>
  </si>
  <si>
    <t>A3282</t>
  </si>
  <si>
    <t>A3283</t>
  </si>
  <si>
    <t>A3284</t>
  </si>
  <si>
    <t>A3285</t>
  </si>
  <si>
    <t>A3286</t>
  </si>
  <si>
    <t>A3287</t>
  </si>
  <si>
    <t>A3288</t>
  </si>
  <si>
    <t>A3289</t>
  </si>
  <si>
    <t>A3290</t>
  </si>
  <si>
    <t>A3291</t>
  </si>
  <si>
    <t>A3292</t>
  </si>
  <si>
    <t>A3293</t>
  </si>
  <si>
    <t>A3294</t>
  </si>
  <si>
    <t>A3295</t>
  </si>
  <si>
    <t>A3296</t>
  </si>
  <si>
    <t>A3297</t>
  </si>
  <si>
    <t>A3298</t>
  </si>
  <si>
    <t>A3299</t>
  </si>
  <si>
    <t>A3300</t>
  </si>
  <si>
    <t>A3301</t>
  </si>
  <si>
    <t>A3302</t>
  </si>
  <si>
    <t>A3303</t>
  </si>
  <si>
    <t>A3304</t>
  </si>
  <si>
    <t>A3305</t>
  </si>
  <si>
    <t>A3306</t>
  </si>
  <si>
    <t>A3307</t>
  </si>
  <si>
    <t>A3308</t>
  </si>
  <si>
    <t>A3309</t>
  </si>
  <si>
    <t>A3310</t>
  </si>
  <si>
    <t>A3311</t>
  </si>
  <si>
    <t>A3312</t>
  </si>
  <si>
    <t>A3313</t>
  </si>
  <si>
    <t>A3314</t>
  </si>
  <si>
    <t>A3315</t>
  </si>
  <si>
    <t>A3316</t>
  </si>
  <si>
    <t>A3317</t>
  </si>
  <si>
    <t>A3318</t>
  </si>
  <si>
    <t>A3319</t>
  </si>
  <si>
    <t>A3320</t>
  </si>
  <si>
    <t>A3321</t>
  </si>
  <si>
    <t>A3322</t>
  </si>
  <si>
    <t>A3323</t>
  </si>
  <si>
    <t>A3324</t>
  </si>
  <si>
    <t>A3325</t>
  </si>
  <si>
    <t>A3326</t>
  </si>
  <si>
    <t>A3327</t>
  </si>
  <si>
    <t>A3328</t>
  </si>
  <si>
    <t>A3329</t>
  </si>
  <si>
    <t>A3330</t>
  </si>
  <si>
    <t>A3331</t>
  </si>
  <si>
    <t>A3332</t>
  </si>
  <si>
    <t>A3333</t>
  </si>
  <si>
    <t>A3334</t>
  </si>
  <si>
    <t>A3335</t>
  </si>
  <si>
    <t>A3336</t>
  </si>
  <si>
    <t>A3337</t>
  </si>
  <si>
    <t>A3338</t>
  </si>
  <si>
    <t>A3339</t>
  </si>
  <si>
    <t>A3340</t>
  </si>
  <si>
    <t>A3341</t>
  </si>
  <si>
    <t>A3342</t>
  </si>
  <si>
    <t>A3343</t>
  </si>
  <si>
    <t>A3344</t>
  </si>
  <si>
    <t>A3345</t>
  </si>
  <si>
    <t>A3346</t>
  </si>
  <si>
    <t>A3347</t>
  </si>
  <si>
    <t>A3348</t>
  </si>
  <si>
    <t>A3349</t>
  </si>
  <si>
    <t>A3350</t>
  </si>
  <si>
    <t>A3351</t>
  </si>
  <si>
    <t>A3352</t>
  </si>
  <si>
    <t>A3353</t>
  </si>
  <si>
    <t>A3354</t>
  </si>
  <si>
    <t>A3355</t>
  </si>
  <si>
    <t>A3356</t>
  </si>
  <si>
    <t>A3357</t>
  </si>
  <si>
    <t>A3358</t>
  </si>
  <si>
    <t>A3359</t>
  </si>
  <si>
    <t>A3360</t>
  </si>
  <si>
    <t>A3361</t>
  </si>
  <si>
    <t>A3362</t>
  </si>
  <si>
    <t>A3363</t>
  </si>
  <si>
    <t>A3364</t>
  </si>
  <si>
    <t>A3365</t>
  </si>
  <si>
    <t>A3366</t>
  </si>
  <si>
    <t>A3367</t>
  </si>
  <si>
    <t>A3368</t>
  </si>
  <si>
    <t>A3369</t>
  </si>
  <si>
    <t>A3370</t>
  </si>
  <si>
    <t>A3371</t>
  </si>
  <si>
    <t>A3372</t>
  </si>
  <si>
    <t>A3373</t>
  </si>
  <si>
    <t>A3374</t>
  </si>
  <si>
    <t>A3375</t>
  </si>
  <si>
    <t>A3376</t>
  </si>
  <si>
    <t>A3377</t>
  </si>
  <si>
    <t>A3378</t>
  </si>
  <si>
    <t>A3379</t>
  </si>
  <si>
    <t>A3380</t>
  </si>
  <si>
    <t>A3381</t>
  </si>
  <si>
    <t>A3382</t>
  </si>
  <si>
    <t>A3383</t>
  </si>
  <si>
    <t>A3384</t>
  </si>
  <si>
    <t>A3385</t>
  </si>
  <si>
    <t>A3386</t>
  </si>
  <si>
    <t>A3387</t>
  </si>
  <si>
    <t>A3388</t>
  </si>
  <si>
    <t>A3389</t>
  </si>
  <si>
    <t>A3390</t>
  </si>
  <si>
    <t>A3391</t>
  </si>
  <si>
    <t>A3392</t>
  </si>
  <si>
    <t>A3393</t>
  </si>
  <si>
    <t>A3394</t>
  </si>
  <si>
    <t>A3395</t>
  </si>
  <si>
    <t>A3396</t>
  </si>
  <si>
    <t>A3397</t>
  </si>
  <si>
    <t>A3398</t>
  </si>
  <si>
    <t>A3399</t>
  </si>
  <si>
    <t>A3400</t>
  </si>
  <si>
    <t>A3401</t>
  </si>
  <si>
    <t>A3402</t>
  </si>
  <si>
    <t>A3403</t>
  </si>
  <si>
    <t>A3404</t>
  </si>
  <si>
    <t>A3405</t>
  </si>
  <si>
    <t>A3406</t>
  </si>
  <si>
    <t>A3407</t>
  </si>
  <si>
    <t>A3408</t>
  </si>
  <si>
    <t>A3409</t>
  </si>
  <si>
    <t>A3410</t>
  </si>
  <si>
    <t>A3411</t>
  </si>
  <si>
    <t>A3412</t>
  </si>
  <si>
    <t>A3413</t>
  </si>
  <si>
    <t>A3414</t>
  </si>
  <si>
    <t>A3415</t>
  </si>
  <si>
    <t>A3416</t>
  </si>
  <si>
    <t>A3417</t>
  </si>
  <si>
    <t>A3418</t>
  </si>
  <si>
    <t>A3419</t>
  </si>
  <si>
    <t>A3420</t>
  </si>
  <si>
    <t>A3421</t>
  </si>
  <si>
    <t>A3422</t>
  </si>
  <si>
    <t>A3423</t>
  </si>
  <si>
    <t>A3424</t>
  </si>
  <si>
    <t>A3425</t>
  </si>
  <si>
    <t>A3426</t>
  </si>
  <si>
    <t>A3427</t>
  </si>
  <si>
    <t>A3428</t>
  </si>
  <si>
    <t>A3429</t>
  </si>
  <si>
    <t>A3430</t>
  </si>
  <si>
    <t>A3431</t>
  </si>
  <si>
    <t>A3432</t>
  </si>
  <si>
    <t>A3433</t>
  </si>
  <si>
    <t>A3434</t>
  </si>
  <si>
    <t>A3435</t>
  </si>
  <si>
    <t>A3436</t>
  </si>
  <si>
    <t>A3437</t>
  </si>
  <si>
    <t>A3438</t>
  </si>
  <si>
    <t>A3439</t>
  </si>
  <si>
    <t>A3440</t>
  </si>
  <si>
    <t>A3441</t>
  </si>
  <si>
    <t>A3442</t>
  </si>
  <si>
    <t>A3443</t>
  </si>
  <si>
    <t>A3444</t>
  </si>
  <si>
    <t>A3445</t>
  </si>
  <si>
    <t>A3446</t>
  </si>
  <si>
    <t>A3447</t>
  </si>
  <si>
    <t>A3448</t>
  </si>
  <si>
    <t>A3449</t>
  </si>
  <si>
    <t>A3450</t>
  </si>
  <si>
    <t>A3451</t>
  </si>
  <si>
    <t>A3452</t>
  </si>
  <si>
    <t>A3453</t>
  </si>
  <si>
    <t>A3454</t>
  </si>
  <si>
    <t>A3455</t>
  </si>
  <si>
    <t>A3456</t>
  </si>
  <si>
    <t>A3457</t>
  </si>
  <si>
    <t>A3458</t>
  </si>
  <si>
    <t>A3459</t>
  </si>
  <si>
    <t>A3460</t>
  </si>
  <si>
    <t>A3461</t>
  </si>
  <si>
    <t>A3462</t>
  </si>
  <si>
    <t>A3463</t>
  </si>
  <si>
    <t>A3464</t>
  </si>
  <si>
    <t>A3465</t>
  </si>
  <si>
    <t>A3466</t>
  </si>
  <si>
    <t>A3467</t>
  </si>
  <si>
    <t>A3468</t>
  </si>
  <si>
    <t>A3469</t>
  </si>
  <si>
    <t>A3470</t>
  </si>
  <si>
    <t>A3471</t>
  </si>
  <si>
    <t>A3472</t>
  </si>
  <si>
    <t>A3473</t>
  </si>
  <si>
    <t>A3474</t>
  </si>
  <si>
    <t>A3475</t>
  </si>
  <si>
    <t>A3476</t>
  </si>
  <si>
    <t>A3477</t>
  </si>
  <si>
    <t>A3478</t>
  </si>
  <si>
    <t>A3479</t>
  </si>
  <si>
    <t>A3480</t>
  </si>
  <si>
    <t>A3481</t>
  </si>
  <si>
    <t>A3482</t>
  </si>
  <si>
    <t>A3483</t>
  </si>
  <si>
    <t>A3484</t>
  </si>
  <si>
    <t>A3485</t>
  </si>
  <si>
    <t>A3486</t>
  </si>
  <si>
    <t>A3487</t>
  </si>
  <si>
    <t>A3488</t>
  </si>
  <si>
    <t>A3489</t>
  </si>
  <si>
    <t>A3490</t>
  </si>
  <si>
    <t>A3491</t>
  </si>
  <si>
    <t>A3492</t>
  </si>
  <si>
    <t>A3493</t>
  </si>
  <si>
    <t>A3494</t>
  </si>
  <si>
    <t>A3495</t>
  </si>
  <si>
    <t>A3496</t>
  </si>
  <si>
    <t>A3497</t>
  </si>
  <si>
    <t>A3498</t>
  </si>
  <si>
    <t>A3499</t>
  </si>
  <si>
    <t>A3500</t>
  </si>
  <si>
    <t>A3501</t>
  </si>
  <si>
    <t>A3502</t>
  </si>
  <si>
    <t>A3503</t>
  </si>
  <si>
    <t>A3504</t>
  </si>
  <si>
    <t>A3505</t>
  </si>
  <si>
    <t>A3506</t>
  </si>
  <si>
    <t>A3507</t>
  </si>
  <si>
    <t>A3508</t>
  </si>
  <si>
    <t>A3509</t>
  </si>
  <si>
    <t>A3510</t>
  </si>
  <si>
    <t>A3511</t>
  </si>
  <si>
    <t>A3512</t>
  </si>
  <si>
    <t>A3513</t>
  </si>
  <si>
    <t>A3514</t>
  </si>
  <si>
    <t>A3515</t>
  </si>
  <si>
    <t>A3516</t>
  </si>
  <si>
    <t>A3517</t>
  </si>
  <si>
    <t>A3518</t>
  </si>
  <si>
    <t>A3519</t>
  </si>
  <si>
    <t>A3520</t>
  </si>
  <si>
    <t>A3521</t>
  </si>
  <si>
    <t>A3522</t>
  </si>
  <si>
    <t>A3523</t>
  </si>
  <si>
    <t>A3524</t>
  </si>
  <si>
    <t>A3525</t>
  </si>
  <si>
    <t>A3526</t>
  </si>
  <si>
    <t>A3527</t>
  </si>
  <si>
    <t>A3528</t>
  </si>
  <si>
    <t>A3529</t>
  </si>
  <si>
    <t>A3530</t>
  </si>
  <si>
    <t>A3531</t>
  </si>
  <si>
    <t>A3532</t>
  </si>
  <si>
    <t>A3533</t>
  </si>
  <si>
    <t>A3534</t>
  </si>
  <si>
    <t>A3535</t>
  </si>
  <si>
    <t>A3536</t>
  </si>
  <si>
    <t>A3537</t>
  </si>
  <si>
    <t>A3538</t>
  </si>
  <si>
    <t>A3539</t>
  </si>
  <si>
    <t>A3540</t>
  </si>
  <si>
    <t>A3541</t>
  </si>
  <si>
    <t>A3542</t>
  </si>
  <si>
    <t>A3543</t>
  </si>
  <si>
    <t>A3544</t>
  </si>
  <si>
    <t>A3545</t>
  </si>
  <si>
    <t>A3546</t>
  </si>
  <si>
    <t>A3547</t>
  </si>
  <si>
    <t>A3548</t>
  </si>
  <si>
    <t>A3549</t>
  </si>
  <si>
    <t>A3550</t>
  </si>
  <si>
    <t>A3551</t>
  </si>
  <si>
    <t>A3552</t>
  </si>
  <si>
    <t>A3553</t>
  </si>
  <si>
    <t>A3554</t>
  </si>
  <si>
    <t>A3555</t>
  </si>
  <si>
    <t>A3556</t>
  </si>
  <si>
    <t>A3557</t>
  </si>
  <si>
    <t>A3558</t>
  </si>
  <si>
    <t>A3559</t>
  </si>
  <si>
    <t>A3560</t>
  </si>
  <si>
    <t>A3561</t>
  </si>
  <si>
    <t>A3562</t>
  </si>
  <si>
    <t>A3563</t>
  </si>
  <si>
    <t>A3564</t>
  </si>
  <si>
    <t>A3565</t>
  </si>
  <si>
    <t>A3566</t>
  </si>
  <si>
    <t>A3567</t>
  </si>
  <si>
    <t>A3568</t>
  </si>
  <si>
    <t>A3569</t>
  </si>
  <si>
    <t>A3570</t>
  </si>
  <si>
    <t>A3571</t>
  </si>
  <si>
    <t>A3572</t>
  </si>
  <si>
    <t>A3573</t>
  </si>
  <si>
    <t>A3574</t>
  </si>
  <si>
    <t>A3575</t>
  </si>
  <si>
    <t>A3576</t>
  </si>
  <si>
    <t>A3577</t>
  </si>
  <si>
    <t>A3578</t>
  </si>
  <si>
    <t>A3579</t>
  </si>
  <si>
    <t>A3580</t>
  </si>
  <si>
    <t>A3581</t>
  </si>
  <si>
    <t>A3582</t>
  </si>
  <si>
    <t>A3583</t>
  </si>
  <si>
    <t>A3584</t>
  </si>
  <si>
    <t>A3585</t>
  </si>
  <si>
    <t>A3586</t>
  </si>
  <si>
    <t>A3587</t>
  </si>
  <si>
    <t>A3588</t>
  </si>
  <si>
    <t>A3589</t>
  </si>
  <si>
    <t>A3590</t>
  </si>
  <si>
    <t>A3591</t>
  </si>
  <si>
    <t>A3592</t>
  </si>
  <si>
    <t>A3593</t>
  </si>
  <si>
    <t>A3594</t>
  </si>
  <si>
    <t>A3595</t>
  </si>
  <si>
    <t>A3596</t>
  </si>
  <si>
    <t>A3597</t>
  </si>
  <si>
    <t>A3598</t>
  </si>
  <si>
    <t>A3599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</si>
</sst>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4" fontId="0" fillId="0" borderId="0" xfId="0" applyNumberFormat="1" applyAlignment="1">
      <alignment horizontal="center"/>
    </xf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44" fontId="0" fillId="0" borderId="0" xfId="0" applyNumberFormat="1" applyAlignment="1">
      <alignment horizontal="right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64" formatCode="0.000"/>
    </dxf>
    <dxf>
      <numFmt numFmtId="1" formatCode="0"/>
    </dxf>
    <dxf>
      <numFmt numFmtId="1" formatCode="0"/>
    </dxf>
    <dxf>
      <numFmt numFmtId="34" formatCode="_ &quot;₹&quot;\ * #,##0.00_ ;_ &quot;₹&quot;\ * \-#,##0.00_ ;_ &quot;₹&quot;\ * &quot;-&quot;??_ ;_ @_ "/>
      <alignment horizontal="right" vertical="bottom" textRotation="0" wrapText="0" indent="0" justifyLastLine="0" shrinkToFit="0" readingOrder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sk\Data%20analytics%20entri\Mini%20Project-1\google%20ads%20preprocessed%20phase1.xlsx" TargetMode="External"/><Relationship Id="rId1" Type="http://schemas.openxmlformats.org/officeDocument/2006/relationships/externalLinkPath" Target="google%20ads%20preprocessed%20phase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pre processed data"/>
      <sheetName val="Sheet1"/>
      <sheetName val="working data"/>
    </sheetNames>
    <sheetDataSet>
      <sheetData sheetId="0"/>
      <sheetData sheetId="1">
        <row r="1">
          <cell r="A1" t="str">
            <v>Ad_ID</v>
          </cell>
          <cell r="B1" t="str">
            <v>Campaign_Name</v>
          </cell>
          <cell r="C1" t="str">
            <v>Clicks-impute</v>
          </cell>
          <cell r="D1" t="str">
            <v>Clicks</v>
          </cell>
          <cell r="E1" t="str">
            <v>Impressions-impute</v>
          </cell>
          <cell r="F1" t="str">
            <v>Impressions</v>
          </cell>
          <cell r="G1" t="str">
            <v>Cost-imputed</v>
          </cell>
          <cell r="H1" t="str">
            <v>Cost</v>
          </cell>
          <cell r="I1" t="str">
            <v>Leads-impute</v>
          </cell>
          <cell r="J1" t="str">
            <v>Leads</v>
          </cell>
          <cell r="K1" t="str">
            <v>Conversions-impute</v>
          </cell>
          <cell r="L1" t="str">
            <v>Conversions</v>
          </cell>
          <cell r="M1" t="str">
            <v>Conversion rate -impute</v>
          </cell>
          <cell r="N1" t="str">
            <v>Conversion Rate</v>
          </cell>
          <cell r="O1" t="str">
            <v>sales-impute</v>
          </cell>
          <cell r="P1" t="str">
            <v>Sale_Amount</v>
          </cell>
          <cell r="Q1" t="str">
            <v>Ad_Date</v>
          </cell>
          <cell r="R1" t="str">
            <v>Location</v>
          </cell>
          <cell r="S1" t="str">
            <v>Device</v>
          </cell>
          <cell r="T1" t="str">
            <v>Keyword</v>
          </cell>
        </row>
        <row r="2">
          <cell r="A2" t="str">
            <v>A1000</v>
          </cell>
          <cell r="B2" t="str">
            <v>Data Analytics Course</v>
          </cell>
          <cell r="C2">
            <v>104</v>
          </cell>
          <cell r="D2">
            <v>104</v>
          </cell>
          <cell r="E2">
            <v>4498</v>
          </cell>
          <cell r="F2">
            <v>4498</v>
          </cell>
          <cell r="G2" t="str">
            <v>$231.88</v>
          </cell>
          <cell r="H2" t="str">
            <v>$231.88</v>
          </cell>
          <cell r="I2">
            <v>14</v>
          </cell>
          <cell r="J2">
            <v>14</v>
          </cell>
          <cell r="K2">
            <v>7</v>
          </cell>
          <cell r="L2">
            <v>7</v>
          </cell>
          <cell r="M2">
            <v>6.7307692307692304E-2</v>
          </cell>
          <cell r="N2">
            <v>5.8000000000000003E-2</v>
          </cell>
          <cell r="O2" t="str">
            <v>$1892</v>
          </cell>
          <cell r="P2" t="str">
            <v>$1892</v>
          </cell>
          <cell r="Q2">
            <v>45612</v>
          </cell>
          <cell r="R2" t="str">
            <v>Hyderabad</v>
          </cell>
          <cell r="S2" t="str">
            <v>Desktop</v>
          </cell>
          <cell r="T2" t="str">
            <v>learn data analytics</v>
          </cell>
        </row>
        <row r="3">
          <cell r="A3" t="str">
            <v>A1001</v>
          </cell>
          <cell r="B3" t="str">
            <v>Data Analytics Course</v>
          </cell>
          <cell r="C3">
            <v>173</v>
          </cell>
          <cell r="D3">
            <v>173</v>
          </cell>
          <cell r="E3">
            <v>5107</v>
          </cell>
          <cell r="F3">
            <v>5107</v>
          </cell>
          <cell r="G3" t="str">
            <v>$216.84</v>
          </cell>
          <cell r="H3" t="str">
            <v>$216.84</v>
          </cell>
          <cell r="I3">
            <v>10</v>
          </cell>
          <cell r="J3">
            <v>10</v>
          </cell>
          <cell r="K3">
            <v>8</v>
          </cell>
          <cell r="L3">
            <v>8</v>
          </cell>
          <cell r="M3">
            <v>4.6242774566473986E-2</v>
          </cell>
          <cell r="N3">
            <v>4.5999999999999999E-2</v>
          </cell>
          <cell r="O3" t="str">
            <v>$1679</v>
          </cell>
          <cell r="P3" t="str">
            <v>$1679</v>
          </cell>
          <cell r="Q3">
            <v>45616</v>
          </cell>
          <cell r="R3" t="str">
            <v>Hyderabad</v>
          </cell>
          <cell r="S3" t="str">
            <v>Mobile</v>
          </cell>
          <cell r="T3" t="str">
            <v>data analytics course</v>
          </cell>
        </row>
        <row r="4">
          <cell r="A4" t="str">
            <v>A1002</v>
          </cell>
          <cell r="B4" t="str">
            <v>Data Analytics Course</v>
          </cell>
          <cell r="C4">
            <v>90</v>
          </cell>
          <cell r="D4">
            <v>90</v>
          </cell>
          <cell r="E4">
            <v>4544</v>
          </cell>
          <cell r="F4">
            <v>4544</v>
          </cell>
          <cell r="G4" t="str">
            <v>$203.66</v>
          </cell>
          <cell r="H4" t="str">
            <v>$203.66</v>
          </cell>
          <cell r="I4">
            <v>26</v>
          </cell>
          <cell r="J4">
            <v>26</v>
          </cell>
          <cell r="K4">
            <v>9</v>
          </cell>
          <cell r="L4">
            <v>9</v>
          </cell>
          <cell r="M4">
            <v>0.1</v>
          </cell>
          <cell r="O4" t="str">
            <v>$1624</v>
          </cell>
          <cell r="P4" t="str">
            <v>$1624</v>
          </cell>
          <cell r="Q4">
            <v>45612</v>
          </cell>
          <cell r="R4" t="str">
            <v>Hyderabad</v>
          </cell>
          <cell r="S4" t="str">
            <v>Desktop</v>
          </cell>
          <cell r="T4" t="str">
            <v>data analytics online</v>
          </cell>
        </row>
        <row r="5">
          <cell r="A5" t="str">
            <v>A1003</v>
          </cell>
          <cell r="B5" t="str">
            <v>Data Analytcis Course</v>
          </cell>
          <cell r="C5">
            <v>142</v>
          </cell>
          <cell r="D5">
            <v>142</v>
          </cell>
          <cell r="E5">
            <v>3185</v>
          </cell>
          <cell r="F5">
            <v>3185</v>
          </cell>
          <cell r="G5" t="str">
            <v>$237.66</v>
          </cell>
          <cell r="H5" t="str">
            <v>$237.66</v>
          </cell>
          <cell r="I5">
            <v>17</v>
          </cell>
          <cell r="J5">
            <v>17</v>
          </cell>
          <cell r="K5">
            <v>6</v>
          </cell>
          <cell r="L5">
            <v>6</v>
          </cell>
          <cell r="M5">
            <v>4.2253521126760563E-2</v>
          </cell>
          <cell r="O5" t="str">
            <v>$1225</v>
          </cell>
          <cell r="P5" t="str">
            <v>$1225</v>
          </cell>
          <cell r="Q5">
            <v>45622</v>
          </cell>
          <cell r="R5" t="str">
            <v>Hyderabad</v>
          </cell>
          <cell r="S5" t="str">
            <v>Tablet</v>
          </cell>
          <cell r="T5" t="str">
            <v>data analytics training</v>
          </cell>
        </row>
        <row r="6">
          <cell r="A6" t="str">
            <v>A1004</v>
          </cell>
          <cell r="B6" t="str">
            <v>Data Analytics Course</v>
          </cell>
          <cell r="C6">
            <v>156</v>
          </cell>
          <cell r="D6">
            <v>156</v>
          </cell>
          <cell r="E6">
            <v>3361</v>
          </cell>
          <cell r="F6">
            <v>3361</v>
          </cell>
          <cell r="G6" t="str">
            <v>$195.9</v>
          </cell>
          <cell r="H6" t="str">
            <v>$195.9</v>
          </cell>
          <cell r="I6">
            <v>30</v>
          </cell>
          <cell r="J6">
            <v>30</v>
          </cell>
          <cell r="K6">
            <v>8</v>
          </cell>
          <cell r="L6">
            <v>8</v>
          </cell>
          <cell r="M6">
            <v>5.128205128205128E-2</v>
          </cell>
          <cell r="O6" t="str">
            <v>$1091</v>
          </cell>
          <cell r="P6" t="str">
            <v>$1091</v>
          </cell>
          <cell r="Q6">
            <v>45618</v>
          </cell>
          <cell r="R6" t="str">
            <v>Hyderabad</v>
          </cell>
          <cell r="S6" t="str">
            <v>Desktop</v>
          </cell>
          <cell r="T6" t="str">
            <v>online data analytic</v>
          </cell>
        </row>
        <row r="7">
          <cell r="A7" t="str">
            <v>A1005</v>
          </cell>
          <cell r="B7" t="str">
            <v>Data Analytics Course</v>
          </cell>
          <cell r="C7">
            <v>195</v>
          </cell>
          <cell r="D7">
            <v>195</v>
          </cell>
          <cell r="E7">
            <v>3776</v>
          </cell>
          <cell r="F7">
            <v>3776</v>
          </cell>
          <cell r="G7" t="str">
            <v>$243.57</v>
          </cell>
          <cell r="H7" t="str">
            <v>$243.57</v>
          </cell>
          <cell r="I7">
            <v>10</v>
          </cell>
          <cell r="J7">
            <v>10</v>
          </cell>
          <cell r="K7">
            <v>8</v>
          </cell>
          <cell r="L7">
            <v>8</v>
          </cell>
          <cell r="M7">
            <v>4.1025641025641026E-2</v>
          </cell>
          <cell r="O7" t="str">
            <v>$1315</v>
          </cell>
          <cell r="P7" t="str">
            <v>$1315</v>
          </cell>
          <cell r="Q7">
            <v>45612</v>
          </cell>
          <cell r="R7" t="str">
            <v>Hyderabad</v>
          </cell>
          <cell r="S7" t="str">
            <v>Mobile</v>
          </cell>
          <cell r="T7" t="str">
            <v>data analytics training</v>
          </cell>
        </row>
        <row r="8">
          <cell r="A8" t="str">
            <v>A1006</v>
          </cell>
          <cell r="B8" t="str">
            <v>Data Analytics Course</v>
          </cell>
          <cell r="C8">
            <v>116</v>
          </cell>
          <cell r="D8">
            <v>116</v>
          </cell>
          <cell r="E8">
            <v>4480</v>
          </cell>
          <cell r="F8">
            <v>4480</v>
          </cell>
          <cell r="G8" t="str">
            <v>$237.79</v>
          </cell>
          <cell r="H8" t="str">
            <v>$237.79</v>
          </cell>
          <cell r="I8">
            <v>17</v>
          </cell>
          <cell r="J8">
            <v>17</v>
          </cell>
          <cell r="K8">
            <v>5</v>
          </cell>
          <cell r="L8">
            <v>5</v>
          </cell>
          <cell r="M8">
            <v>4.3103448275862072E-2</v>
          </cell>
          <cell r="N8">
            <v>4.2999999999999997E-2</v>
          </cell>
          <cell r="O8" t="str">
            <v>$1640</v>
          </cell>
          <cell r="P8" t="str">
            <v>$1640</v>
          </cell>
          <cell r="Q8">
            <v>45602</v>
          </cell>
          <cell r="R8" t="str">
            <v>Hyderabad</v>
          </cell>
          <cell r="S8" t="str">
            <v>Tablet</v>
          </cell>
          <cell r="T8" t="str">
            <v>data analytics course</v>
          </cell>
        </row>
        <row r="9">
          <cell r="A9" t="str">
            <v>A1007</v>
          </cell>
          <cell r="B9" t="str">
            <v>Data Analytics Course</v>
          </cell>
          <cell r="C9">
            <v>184</v>
          </cell>
          <cell r="D9">
            <v>184</v>
          </cell>
          <cell r="E9">
            <v>5060</v>
          </cell>
          <cell r="F9">
            <v>5060</v>
          </cell>
          <cell r="G9" t="str">
            <v>$229.61</v>
          </cell>
          <cell r="H9" t="str">
            <v>$229.61</v>
          </cell>
          <cell r="I9">
            <v>23</v>
          </cell>
          <cell r="J9">
            <v>23</v>
          </cell>
          <cell r="K9">
            <v>3</v>
          </cell>
          <cell r="L9">
            <v>3</v>
          </cell>
          <cell r="M9">
            <v>1.6304347826086956E-2</v>
          </cell>
          <cell r="N9">
            <v>1.6E-2</v>
          </cell>
          <cell r="O9" t="str">
            <v>$1509</v>
          </cell>
          <cell r="P9" t="str">
            <v>$1509</v>
          </cell>
          <cell r="Q9">
            <v>45620</v>
          </cell>
          <cell r="R9" t="str">
            <v>Chennai</v>
          </cell>
          <cell r="S9" t="str">
            <v>Tablet</v>
          </cell>
          <cell r="T9" t="str">
            <v>analytics for data</v>
          </cell>
        </row>
        <row r="10">
          <cell r="A10" t="str">
            <v>A1008</v>
          </cell>
          <cell r="B10" t="str">
            <v>Data Analytics Course</v>
          </cell>
          <cell r="C10">
            <v>113</v>
          </cell>
          <cell r="D10">
            <v>113</v>
          </cell>
          <cell r="E10">
            <v>5434</v>
          </cell>
          <cell r="F10">
            <v>5434</v>
          </cell>
          <cell r="G10" t="str">
            <v>$200.00</v>
          </cell>
          <cell r="I10">
            <v>27</v>
          </cell>
          <cell r="J10">
            <v>27</v>
          </cell>
          <cell r="K10">
            <v>4</v>
          </cell>
          <cell r="L10">
            <v>4</v>
          </cell>
          <cell r="M10">
            <v>3.5398230088495575E-2</v>
          </cell>
          <cell r="N10">
            <v>5.8000000000000003E-2</v>
          </cell>
          <cell r="O10" t="str">
            <v>$1362</v>
          </cell>
          <cell r="P10" t="str">
            <v>$1362</v>
          </cell>
          <cell r="Q10">
            <v>45620</v>
          </cell>
          <cell r="R10" t="str">
            <v>Chennai</v>
          </cell>
          <cell r="S10" t="str">
            <v>Tablet</v>
          </cell>
          <cell r="T10" t="str">
            <v>data analytics training</v>
          </cell>
        </row>
        <row r="11">
          <cell r="A11" t="str">
            <v>A1009</v>
          </cell>
          <cell r="B11" t="str">
            <v>Data Analytcis Course</v>
          </cell>
          <cell r="C11">
            <v>166</v>
          </cell>
          <cell r="D11">
            <v>166</v>
          </cell>
          <cell r="E11">
            <v>3355</v>
          </cell>
          <cell r="F11">
            <v>3355</v>
          </cell>
          <cell r="G11" t="str">
            <v>$186.78</v>
          </cell>
          <cell r="H11" t="str">
            <v>$186.78</v>
          </cell>
          <cell r="I11">
            <v>24</v>
          </cell>
          <cell r="J11">
            <v>24</v>
          </cell>
          <cell r="K11">
            <v>9</v>
          </cell>
          <cell r="L11">
            <v>9</v>
          </cell>
          <cell r="M11">
            <v>5.4216867469879519E-2</v>
          </cell>
          <cell r="N11">
            <v>5.3999999999999999E-2</v>
          </cell>
          <cell r="O11" t="str">
            <v>$1029</v>
          </cell>
          <cell r="P11" t="str">
            <v>$1029</v>
          </cell>
          <cell r="Q11">
            <v>45608</v>
          </cell>
          <cell r="R11" t="str">
            <v>Chennai</v>
          </cell>
          <cell r="S11" t="str">
            <v>Mobile</v>
          </cell>
          <cell r="T11" t="str">
            <v>online data analytic</v>
          </cell>
        </row>
        <row r="12">
          <cell r="A12" t="str">
            <v>A1010</v>
          </cell>
          <cell r="B12" t="str">
            <v>Data Analytics Course</v>
          </cell>
          <cell r="C12">
            <v>101</v>
          </cell>
          <cell r="D12">
            <v>101</v>
          </cell>
          <cell r="E12">
            <v>5399</v>
          </cell>
          <cell r="F12">
            <v>5399</v>
          </cell>
          <cell r="G12" t="str">
            <v>$236.79</v>
          </cell>
          <cell r="H12" t="str">
            <v>$236.79</v>
          </cell>
          <cell r="I12">
            <v>20</v>
          </cell>
          <cell r="J12">
            <v>20</v>
          </cell>
          <cell r="K12">
            <v>6</v>
          </cell>
          <cell r="L12">
            <v>6</v>
          </cell>
          <cell r="M12">
            <v>5.9405940594059403E-2</v>
          </cell>
          <cell r="N12">
            <v>5.8999999999999997E-2</v>
          </cell>
          <cell r="O12" t="str">
            <v>$1900</v>
          </cell>
          <cell r="P12" t="str">
            <v>$1900</v>
          </cell>
          <cell r="Q12">
            <v>45610</v>
          </cell>
          <cell r="R12" t="str">
            <v>Hyderabad</v>
          </cell>
          <cell r="S12" t="str">
            <v>Desktop</v>
          </cell>
          <cell r="T12" t="str">
            <v>learn data analytics</v>
          </cell>
        </row>
        <row r="13">
          <cell r="A13" t="str">
            <v>A1011</v>
          </cell>
          <cell r="B13" t="str">
            <v>Data Analytics Course</v>
          </cell>
          <cell r="C13">
            <v>101</v>
          </cell>
          <cell r="D13">
            <v>101</v>
          </cell>
          <cell r="E13">
            <v>3613</v>
          </cell>
          <cell r="F13">
            <v>3613</v>
          </cell>
          <cell r="G13" t="str">
            <v>$208.12</v>
          </cell>
          <cell r="H13" t="str">
            <v>$208.12</v>
          </cell>
          <cell r="I13">
            <v>24</v>
          </cell>
          <cell r="J13">
            <v>24</v>
          </cell>
          <cell r="K13">
            <v>5</v>
          </cell>
          <cell r="L13">
            <v>5</v>
          </cell>
          <cell r="M13">
            <v>4.9504950495049507E-2</v>
          </cell>
          <cell r="N13">
            <v>0.05</v>
          </cell>
          <cell r="O13" t="str">
            <v>$1130</v>
          </cell>
          <cell r="P13" t="str">
            <v>$1130</v>
          </cell>
          <cell r="Q13">
            <v>45618</v>
          </cell>
          <cell r="R13" t="str">
            <v>Hyderabad</v>
          </cell>
          <cell r="S13" t="str">
            <v>Desktop</v>
          </cell>
          <cell r="T13" t="str">
            <v>online data analytic</v>
          </cell>
        </row>
        <row r="14">
          <cell r="A14" t="str">
            <v>A1012</v>
          </cell>
          <cell r="B14" t="str">
            <v>Data Analytcis Course</v>
          </cell>
          <cell r="C14">
            <v>125</v>
          </cell>
          <cell r="D14">
            <v>125</v>
          </cell>
          <cell r="E14">
            <v>3259</v>
          </cell>
          <cell r="F14">
            <v>3259</v>
          </cell>
          <cell r="G14" t="str">
            <v>$191.3</v>
          </cell>
          <cell r="H14" t="str">
            <v>$191.3</v>
          </cell>
          <cell r="I14">
            <v>18</v>
          </cell>
          <cell r="J14">
            <v>18</v>
          </cell>
          <cell r="K14">
            <v>3</v>
          </cell>
          <cell r="L14">
            <v>3</v>
          </cell>
          <cell r="M14">
            <v>2.4E-2</v>
          </cell>
          <cell r="N14">
            <v>2.4E-2</v>
          </cell>
          <cell r="O14" t="str">
            <v>$1959</v>
          </cell>
          <cell r="P14" t="str">
            <v>$1959</v>
          </cell>
          <cell r="Q14">
            <v>45623</v>
          </cell>
          <cell r="R14" t="str">
            <v>Bangaluru</v>
          </cell>
          <cell r="S14" t="str">
            <v>Desktop</v>
          </cell>
          <cell r="T14" t="str">
            <v>data analytics online</v>
          </cell>
        </row>
        <row r="15">
          <cell r="A15" t="str">
            <v>A1013</v>
          </cell>
          <cell r="B15" t="str">
            <v>Data Analytics Course</v>
          </cell>
          <cell r="C15">
            <v>196</v>
          </cell>
          <cell r="D15">
            <v>196</v>
          </cell>
          <cell r="E15">
            <v>3742</v>
          </cell>
          <cell r="F15">
            <v>3742</v>
          </cell>
          <cell r="G15" t="str">
            <v>$207.46</v>
          </cell>
          <cell r="H15" t="str">
            <v>$207.46</v>
          </cell>
          <cell r="I15">
            <v>10</v>
          </cell>
          <cell r="J15">
            <v>10</v>
          </cell>
          <cell r="K15">
            <v>7</v>
          </cell>
          <cell r="L15">
            <v>7</v>
          </cell>
          <cell r="M15">
            <v>3.5714285714285712E-2</v>
          </cell>
          <cell r="N15">
            <v>3.7999999999999999E-2</v>
          </cell>
          <cell r="O15" t="str">
            <v>$1623</v>
          </cell>
          <cell r="P15" t="str">
            <v>$1623</v>
          </cell>
          <cell r="Q15">
            <v>45608</v>
          </cell>
          <cell r="R15" t="str">
            <v>Hyderabad</v>
          </cell>
          <cell r="S15" t="str">
            <v>Mobile</v>
          </cell>
          <cell r="T15" t="str">
            <v>data analytics training</v>
          </cell>
        </row>
        <row r="16">
          <cell r="A16" t="str">
            <v>A1014</v>
          </cell>
          <cell r="B16" t="str">
            <v>Data Analytcis Course</v>
          </cell>
          <cell r="C16">
            <v>181</v>
          </cell>
          <cell r="D16">
            <v>181</v>
          </cell>
          <cell r="E16">
            <v>4311</v>
          </cell>
          <cell r="F16">
            <v>4311</v>
          </cell>
          <cell r="G16" t="str">
            <v>$185.09</v>
          </cell>
          <cell r="H16" t="str">
            <v>$185.09</v>
          </cell>
          <cell r="I16">
            <v>11</v>
          </cell>
          <cell r="J16">
            <v>11</v>
          </cell>
          <cell r="K16">
            <v>9</v>
          </cell>
          <cell r="L16">
            <v>9</v>
          </cell>
          <cell r="M16">
            <v>4.9723756906077346E-2</v>
          </cell>
          <cell r="N16">
            <v>0.05</v>
          </cell>
          <cell r="O16" t="str">
            <v>$1538</v>
          </cell>
          <cell r="P16" t="str">
            <v>$1538</v>
          </cell>
          <cell r="Q16">
            <v>45600</v>
          </cell>
          <cell r="R16" t="str">
            <v>Chennai</v>
          </cell>
          <cell r="S16" t="str">
            <v>Desktop</v>
          </cell>
          <cell r="T16" t="str">
            <v>data analytics training</v>
          </cell>
        </row>
        <row r="17">
          <cell r="A17" t="str">
            <v>A1015</v>
          </cell>
          <cell r="B17" t="str">
            <v>Data Analytcis Course</v>
          </cell>
          <cell r="C17">
            <v>102</v>
          </cell>
          <cell r="D17">
            <v>102</v>
          </cell>
          <cell r="E17">
            <v>5461</v>
          </cell>
          <cell r="F17">
            <v>5461</v>
          </cell>
          <cell r="G17" t="str">
            <v>$201.69</v>
          </cell>
          <cell r="H17" t="str">
            <v>$201.69</v>
          </cell>
          <cell r="I17">
            <v>22</v>
          </cell>
          <cell r="J17">
            <v>22</v>
          </cell>
          <cell r="K17">
            <v>8</v>
          </cell>
          <cell r="L17">
            <v>8</v>
          </cell>
          <cell r="M17">
            <v>7.8431372549019607E-2</v>
          </cell>
          <cell r="N17">
            <v>7.8E-2</v>
          </cell>
          <cell r="O17" t="str">
            <v>$1755</v>
          </cell>
          <cell r="P17" t="str">
            <v>$1755</v>
          </cell>
          <cell r="Q17">
            <v>45625</v>
          </cell>
          <cell r="R17" t="str">
            <v>Hyderabad</v>
          </cell>
          <cell r="S17" t="str">
            <v>Desktop</v>
          </cell>
          <cell r="T17" t="str">
            <v>data analytics course</v>
          </cell>
        </row>
        <row r="18">
          <cell r="A18" t="str">
            <v>A1016</v>
          </cell>
          <cell r="B18" t="str">
            <v>Data Analytcis Course</v>
          </cell>
          <cell r="C18">
            <v>193</v>
          </cell>
          <cell r="D18">
            <v>193</v>
          </cell>
          <cell r="E18">
            <v>5159</v>
          </cell>
          <cell r="F18">
            <v>5159</v>
          </cell>
          <cell r="G18" t="str">
            <v>$200.00</v>
          </cell>
          <cell r="I18">
            <v>15</v>
          </cell>
          <cell r="J18">
            <v>15</v>
          </cell>
          <cell r="K18">
            <v>9</v>
          </cell>
          <cell r="L18">
            <v>9</v>
          </cell>
          <cell r="M18">
            <v>4.6632124352331605E-2</v>
          </cell>
          <cell r="N18">
            <v>4.7E-2</v>
          </cell>
          <cell r="O18" t="str">
            <v>$1614</v>
          </cell>
          <cell r="P18" t="str">
            <v>$1614</v>
          </cell>
          <cell r="Q18">
            <v>45606</v>
          </cell>
          <cell r="R18" t="str">
            <v>Bangaluru</v>
          </cell>
          <cell r="S18" t="str">
            <v>Mobile</v>
          </cell>
          <cell r="T18" t="str">
            <v>learn data analytics</v>
          </cell>
        </row>
        <row r="19">
          <cell r="A19" t="str">
            <v>A1017</v>
          </cell>
          <cell r="B19" t="str">
            <v>Data Analytics Course</v>
          </cell>
          <cell r="C19">
            <v>149</v>
          </cell>
          <cell r="D19">
            <v>149</v>
          </cell>
          <cell r="E19">
            <v>4431</v>
          </cell>
          <cell r="F19">
            <v>4431</v>
          </cell>
          <cell r="G19" t="str">
            <v>$207.4</v>
          </cell>
          <cell r="H19" t="str">
            <v>$207.4</v>
          </cell>
          <cell r="I19">
            <v>19</v>
          </cell>
          <cell r="J19">
            <v>19</v>
          </cell>
          <cell r="K19">
            <v>9</v>
          </cell>
          <cell r="L19">
            <v>9</v>
          </cell>
          <cell r="M19">
            <v>6.0402684563758392E-2</v>
          </cell>
          <cell r="N19">
            <v>0.06</v>
          </cell>
          <cell r="O19" t="str">
            <v>$1693</v>
          </cell>
          <cell r="P19" t="str">
            <v>$1693</v>
          </cell>
          <cell r="Q19">
            <v>45608</v>
          </cell>
          <cell r="R19" t="str">
            <v>Hyderabad</v>
          </cell>
          <cell r="S19" t="str">
            <v>Mobile</v>
          </cell>
          <cell r="T19" t="str">
            <v>learn data analytics</v>
          </cell>
        </row>
        <row r="20">
          <cell r="A20" t="str">
            <v>A1018</v>
          </cell>
          <cell r="B20" t="str">
            <v>Data Analytics Course</v>
          </cell>
          <cell r="C20">
            <v>150</v>
          </cell>
          <cell r="D20">
            <v>150</v>
          </cell>
          <cell r="E20">
            <v>3113</v>
          </cell>
          <cell r="F20">
            <v>3113</v>
          </cell>
          <cell r="G20" t="str">
            <v>$217.41</v>
          </cell>
          <cell r="H20" t="str">
            <v>$217.41</v>
          </cell>
          <cell r="I20">
            <v>20</v>
          </cell>
          <cell r="J20">
            <v>20</v>
          </cell>
          <cell r="K20">
            <v>5</v>
          </cell>
          <cell r="L20">
            <v>5</v>
          </cell>
          <cell r="M20">
            <v>3.3333333333333333E-2</v>
          </cell>
          <cell r="O20" t="str">
            <v>$1785</v>
          </cell>
          <cell r="P20" t="str">
            <v>$1785</v>
          </cell>
          <cell r="Q20">
            <v>45603</v>
          </cell>
          <cell r="R20" t="str">
            <v>Hyderabad</v>
          </cell>
          <cell r="S20" t="str">
            <v>Mobile</v>
          </cell>
          <cell r="T20" t="str">
            <v>analytics for data</v>
          </cell>
        </row>
        <row r="21">
          <cell r="A21" t="str">
            <v>A1019</v>
          </cell>
          <cell r="B21" t="str">
            <v>Data Analytcis Course</v>
          </cell>
          <cell r="C21">
            <v>145</v>
          </cell>
          <cell r="D21">
            <v>145</v>
          </cell>
          <cell r="E21">
            <v>5278</v>
          </cell>
          <cell r="F21">
            <v>5278</v>
          </cell>
          <cell r="G21" t="str">
            <v>$200.00</v>
          </cell>
          <cell r="I21">
            <v>25</v>
          </cell>
          <cell r="J21">
            <v>25</v>
          </cell>
          <cell r="K21">
            <v>6</v>
          </cell>
          <cell r="L21">
            <v>6</v>
          </cell>
          <cell r="M21">
            <v>4.1379310344827586E-2</v>
          </cell>
          <cell r="N21">
            <v>4.1000000000000002E-2</v>
          </cell>
          <cell r="O21" t="str">
            <v>$1516</v>
          </cell>
          <cell r="P21" t="str">
            <v>$1516</v>
          </cell>
          <cell r="Q21">
            <v>45601</v>
          </cell>
          <cell r="R21" t="str">
            <v>Hyderabad</v>
          </cell>
          <cell r="S21" t="str">
            <v>Desktop</v>
          </cell>
          <cell r="T21" t="str">
            <v>data analytics course</v>
          </cell>
        </row>
        <row r="22">
          <cell r="A22" t="str">
            <v>A1020</v>
          </cell>
          <cell r="B22" t="str">
            <v>Data Analytcis Course</v>
          </cell>
          <cell r="C22">
            <v>184</v>
          </cell>
          <cell r="D22">
            <v>184</v>
          </cell>
          <cell r="E22">
            <v>4143</v>
          </cell>
          <cell r="F22">
            <v>4143</v>
          </cell>
          <cell r="G22" t="str">
            <v>$223.3</v>
          </cell>
          <cell r="H22" t="str">
            <v>$223.3</v>
          </cell>
          <cell r="I22">
            <v>10</v>
          </cell>
          <cell r="J22">
            <v>10</v>
          </cell>
          <cell r="K22">
            <v>10</v>
          </cell>
          <cell r="L22">
            <v>10</v>
          </cell>
          <cell r="M22">
            <v>5.434782608695652E-2</v>
          </cell>
          <cell r="N22">
            <v>4.3999999999999997E-2</v>
          </cell>
          <cell r="O22" t="str">
            <v>$1735</v>
          </cell>
          <cell r="P22" t="str">
            <v>$1735</v>
          </cell>
          <cell r="Q22">
            <v>45617</v>
          </cell>
          <cell r="R22" t="str">
            <v>Chennai</v>
          </cell>
          <cell r="S22" t="str">
            <v>Tablet</v>
          </cell>
          <cell r="T22" t="str">
            <v>learn data analytics</v>
          </cell>
        </row>
        <row r="23">
          <cell r="A23" t="str">
            <v>A1021</v>
          </cell>
          <cell r="B23" t="str">
            <v>Data Analytics Course</v>
          </cell>
          <cell r="C23">
            <v>171</v>
          </cell>
          <cell r="D23">
            <v>171</v>
          </cell>
          <cell r="E23">
            <v>4154</v>
          </cell>
          <cell r="F23">
            <v>4154</v>
          </cell>
          <cell r="G23" t="str">
            <v>$184.23</v>
          </cell>
          <cell r="H23" t="str">
            <v>$184.23</v>
          </cell>
          <cell r="I23">
            <v>30</v>
          </cell>
          <cell r="J23">
            <v>30</v>
          </cell>
          <cell r="K23">
            <v>7</v>
          </cell>
          <cell r="L23">
            <v>7</v>
          </cell>
          <cell r="M23">
            <v>4.0935672514619881E-2</v>
          </cell>
          <cell r="N23">
            <v>4.1000000000000002E-2</v>
          </cell>
          <cell r="O23" t="str">
            <v>$1803</v>
          </cell>
          <cell r="P23" t="str">
            <v>$1803</v>
          </cell>
          <cell r="Q23">
            <v>45604</v>
          </cell>
          <cell r="R23" t="str">
            <v>Hyderabad</v>
          </cell>
          <cell r="S23" t="str">
            <v>Tablet</v>
          </cell>
          <cell r="T23" t="str">
            <v>data analytics online</v>
          </cell>
        </row>
        <row r="24">
          <cell r="A24" t="str">
            <v>A1022</v>
          </cell>
          <cell r="B24" t="str">
            <v>Data Analytcis Course</v>
          </cell>
          <cell r="C24">
            <v>122</v>
          </cell>
          <cell r="D24">
            <v>122</v>
          </cell>
          <cell r="E24">
            <v>5187</v>
          </cell>
          <cell r="F24">
            <v>5187</v>
          </cell>
          <cell r="G24" t="str">
            <v>$211.24</v>
          </cell>
          <cell r="H24" t="str">
            <v>$211.24</v>
          </cell>
          <cell r="I24">
            <v>27</v>
          </cell>
          <cell r="J24">
            <v>27</v>
          </cell>
          <cell r="K24">
            <v>6</v>
          </cell>
          <cell r="L24">
            <v>6</v>
          </cell>
          <cell r="M24">
            <v>4.9180327868852458E-2</v>
          </cell>
          <cell r="N24">
            <v>4.9000000000000002E-2</v>
          </cell>
          <cell r="O24" t="str">
            <v>$1322</v>
          </cell>
          <cell r="P24" t="str">
            <v>$1322</v>
          </cell>
          <cell r="Q24">
            <v>45616</v>
          </cell>
          <cell r="R24" t="str">
            <v>Hyderabad</v>
          </cell>
          <cell r="S24" t="str">
            <v>Desktop</v>
          </cell>
          <cell r="T24" t="str">
            <v>online data analytic</v>
          </cell>
        </row>
        <row r="25">
          <cell r="A25" t="str">
            <v>A1023</v>
          </cell>
          <cell r="B25" t="str">
            <v>Data Analytics Course</v>
          </cell>
          <cell r="C25">
            <v>188</v>
          </cell>
          <cell r="D25">
            <v>188</v>
          </cell>
          <cell r="E25">
            <v>5798</v>
          </cell>
          <cell r="F25">
            <v>5798</v>
          </cell>
          <cell r="G25" t="str">
            <v>$230.17</v>
          </cell>
          <cell r="H25" t="str">
            <v>$230.17</v>
          </cell>
          <cell r="I25">
            <v>28</v>
          </cell>
          <cell r="J25">
            <v>28</v>
          </cell>
          <cell r="K25">
            <v>5</v>
          </cell>
          <cell r="L25">
            <v>5</v>
          </cell>
          <cell r="M25">
            <v>2.6595744680851064E-2</v>
          </cell>
          <cell r="N25">
            <v>4.7E-2</v>
          </cell>
          <cell r="O25" t="str">
            <v>$1452</v>
          </cell>
          <cell r="P25" t="str">
            <v>$1452</v>
          </cell>
          <cell r="Q25">
            <v>45626</v>
          </cell>
          <cell r="R25" t="str">
            <v>Hyderabad</v>
          </cell>
          <cell r="S25" t="str">
            <v>Tablet</v>
          </cell>
          <cell r="T25" t="str">
            <v>data analytics course</v>
          </cell>
        </row>
        <row r="26">
          <cell r="A26" t="str">
            <v>A1024</v>
          </cell>
          <cell r="B26" t="str">
            <v>Data Analytics Course</v>
          </cell>
          <cell r="C26">
            <v>87</v>
          </cell>
          <cell r="D26">
            <v>87</v>
          </cell>
          <cell r="E26">
            <v>3718</v>
          </cell>
          <cell r="F26">
            <v>3718</v>
          </cell>
          <cell r="G26" t="str">
            <v>$200.00</v>
          </cell>
          <cell r="I26">
            <v>12</v>
          </cell>
          <cell r="J26">
            <v>12</v>
          </cell>
          <cell r="K26">
            <v>3</v>
          </cell>
          <cell r="L26">
            <v>3</v>
          </cell>
          <cell r="M26">
            <v>3.4482758620689655E-2</v>
          </cell>
          <cell r="N26">
            <v>3.4000000000000002E-2</v>
          </cell>
          <cell r="O26" t="str">
            <v>$1652</v>
          </cell>
          <cell r="P26" t="str">
            <v>$1652</v>
          </cell>
          <cell r="Q26">
            <v>45616</v>
          </cell>
          <cell r="R26" t="str">
            <v>Chennai</v>
          </cell>
          <cell r="S26" t="str">
            <v>Tablet</v>
          </cell>
          <cell r="T26" t="str">
            <v>learn data analytics</v>
          </cell>
        </row>
        <row r="27">
          <cell r="A27" t="str">
            <v>A1025</v>
          </cell>
          <cell r="B27" t="str">
            <v>Data Analytics Course</v>
          </cell>
          <cell r="C27">
            <v>88</v>
          </cell>
          <cell r="D27">
            <v>88</v>
          </cell>
          <cell r="E27">
            <v>3349</v>
          </cell>
          <cell r="F27">
            <v>3349</v>
          </cell>
          <cell r="G27" t="str">
            <v>$181.92</v>
          </cell>
          <cell r="H27" t="str">
            <v>$181.92</v>
          </cell>
          <cell r="I27">
            <v>22</v>
          </cell>
          <cell r="J27">
            <v>22</v>
          </cell>
          <cell r="K27">
            <v>8</v>
          </cell>
          <cell r="L27">
            <v>8</v>
          </cell>
          <cell r="M27">
            <v>9.0909090909090912E-2</v>
          </cell>
          <cell r="N27">
            <v>9.0999999999999998E-2</v>
          </cell>
          <cell r="O27" t="str">
            <v>$1456</v>
          </cell>
          <cell r="P27" t="str">
            <v>$1456</v>
          </cell>
          <cell r="Q27">
            <v>45616</v>
          </cell>
          <cell r="R27" t="str">
            <v>Hyderabad</v>
          </cell>
          <cell r="S27" t="str">
            <v>Tablet</v>
          </cell>
          <cell r="T27" t="str">
            <v>learn data analytics</v>
          </cell>
        </row>
        <row r="28">
          <cell r="A28" t="str">
            <v>A1026</v>
          </cell>
          <cell r="B28" t="str">
            <v>Data Analytics Course</v>
          </cell>
          <cell r="C28">
            <v>119</v>
          </cell>
          <cell r="D28">
            <v>119</v>
          </cell>
          <cell r="E28">
            <v>5323</v>
          </cell>
          <cell r="F28">
            <v>5323</v>
          </cell>
          <cell r="G28" t="str">
            <v>$205.92</v>
          </cell>
          <cell r="H28" t="str">
            <v>$205.92</v>
          </cell>
          <cell r="I28">
            <v>17</v>
          </cell>
          <cell r="J28">
            <v>17</v>
          </cell>
          <cell r="K28">
            <v>10</v>
          </cell>
          <cell r="L28">
            <v>10</v>
          </cell>
          <cell r="M28">
            <v>8.4033613445378158E-2</v>
          </cell>
          <cell r="N28">
            <v>0.06</v>
          </cell>
          <cell r="O28" t="str">
            <v>$1656</v>
          </cell>
          <cell r="P28" t="str">
            <v>$1656</v>
          </cell>
          <cell r="Q28">
            <v>45598</v>
          </cell>
          <cell r="R28" t="str">
            <v>Chennai</v>
          </cell>
          <cell r="S28" t="str">
            <v>Desktop</v>
          </cell>
          <cell r="T28" t="str">
            <v>online data analytic</v>
          </cell>
        </row>
        <row r="29">
          <cell r="A29" t="str">
            <v>A1027</v>
          </cell>
          <cell r="B29" t="str">
            <v>Data Analytics Course</v>
          </cell>
          <cell r="C29">
            <v>138.95699356913184</v>
          </cell>
          <cell r="E29">
            <v>5286</v>
          </cell>
          <cell r="F29">
            <v>5286</v>
          </cell>
          <cell r="G29" t="str">
            <v>$234.89</v>
          </cell>
          <cell r="H29" t="str">
            <v>$234.89</v>
          </cell>
          <cell r="I29">
            <v>22</v>
          </cell>
          <cell r="J29">
            <v>22</v>
          </cell>
          <cell r="K29">
            <v>10</v>
          </cell>
          <cell r="L29">
            <v>10</v>
          </cell>
          <cell r="M29">
            <v>7.1964711837443046E-2</v>
          </cell>
          <cell r="O29" t="str">
            <v>$1688</v>
          </cell>
          <cell r="P29" t="str">
            <v>$1688</v>
          </cell>
          <cell r="Q29">
            <v>45617</v>
          </cell>
          <cell r="R29" t="str">
            <v>Hyderabad</v>
          </cell>
          <cell r="S29" t="str">
            <v>Desktop</v>
          </cell>
          <cell r="T29" t="str">
            <v>data analytics training</v>
          </cell>
        </row>
        <row r="30">
          <cell r="A30" t="str">
            <v>A1028</v>
          </cell>
          <cell r="B30" t="str">
            <v>Data Analytics Course</v>
          </cell>
          <cell r="C30">
            <v>128</v>
          </cell>
          <cell r="D30">
            <v>128</v>
          </cell>
          <cell r="E30">
            <v>5469</v>
          </cell>
          <cell r="F30">
            <v>5469</v>
          </cell>
          <cell r="G30" t="str">
            <v>$188.49</v>
          </cell>
          <cell r="H30" t="str">
            <v>$188.49</v>
          </cell>
          <cell r="I30">
            <v>16</v>
          </cell>
          <cell r="J30">
            <v>16</v>
          </cell>
          <cell r="K30">
            <v>3</v>
          </cell>
          <cell r="L30">
            <v>3</v>
          </cell>
          <cell r="M30">
            <v>2.34375E-2</v>
          </cell>
          <cell r="O30" t="str">
            <v>$1783</v>
          </cell>
          <cell r="P30" t="str">
            <v>$1783</v>
          </cell>
          <cell r="Q30">
            <v>45619</v>
          </cell>
          <cell r="R30" t="str">
            <v>Chennai</v>
          </cell>
          <cell r="S30" t="str">
            <v>Mobile</v>
          </cell>
          <cell r="T30" t="str">
            <v>learn data analytics</v>
          </cell>
        </row>
        <row r="31">
          <cell r="A31" t="str">
            <v>A1029</v>
          </cell>
          <cell r="B31" t="str">
            <v>Data Analytcis Course</v>
          </cell>
          <cell r="C31">
            <v>86</v>
          </cell>
          <cell r="D31">
            <v>86</v>
          </cell>
          <cell r="E31">
            <v>3351</v>
          </cell>
          <cell r="F31">
            <v>3351</v>
          </cell>
          <cell r="G31" t="str">
            <v>$237.75</v>
          </cell>
          <cell r="H31" t="str">
            <v>$237.75</v>
          </cell>
          <cell r="I31">
            <v>21</v>
          </cell>
          <cell r="J31">
            <v>21</v>
          </cell>
          <cell r="K31">
            <v>9</v>
          </cell>
          <cell r="L31">
            <v>9</v>
          </cell>
          <cell r="M31">
            <v>0.10465116279069768</v>
          </cell>
          <cell r="N31">
            <v>0.105</v>
          </cell>
          <cell r="O31" t="str">
            <v>$1975</v>
          </cell>
          <cell r="P31" t="str">
            <v>$1975</v>
          </cell>
          <cell r="Q31">
            <v>45609</v>
          </cell>
          <cell r="R31" t="str">
            <v>Hyderabad</v>
          </cell>
          <cell r="S31" t="str">
            <v>Mobile</v>
          </cell>
          <cell r="T31" t="str">
            <v>analytics for data</v>
          </cell>
        </row>
        <row r="32">
          <cell r="A32" t="str">
            <v>A1030</v>
          </cell>
          <cell r="B32" t="str">
            <v>Data Analytics Course</v>
          </cell>
          <cell r="C32">
            <v>188</v>
          </cell>
          <cell r="D32">
            <v>188</v>
          </cell>
          <cell r="E32">
            <v>4834</v>
          </cell>
          <cell r="F32">
            <v>4834</v>
          </cell>
          <cell r="G32" t="str">
            <v>$213.58</v>
          </cell>
          <cell r="H32" t="str">
            <v>$213.58</v>
          </cell>
          <cell r="I32">
            <v>15</v>
          </cell>
          <cell r="J32">
            <v>15</v>
          </cell>
          <cell r="K32">
            <v>4</v>
          </cell>
          <cell r="L32">
            <v>4</v>
          </cell>
          <cell r="M32">
            <v>2.1276595744680851E-2</v>
          </cell>
          <cell r="N32">
            <v>2.1000000000000001E-2</v>
          </cell>
          <cell r="O32" t="str">
            <v>$1590</v>
          </cell>
          <cell r="P32" t="str">
            <v>$1590</v>
          </cell>
          <cell r="Q32">
            <v>45604</v>
          </cell>
          <cell r="R32" t="str">
            <v>Chennai</v>
          </cell>
          <cell r="S32" t="str">
            <v>Tablet</v>
          </cell>
          <cell r="T32" t="str">
            <v>online data analytic</v>
          </cell>
        </row>
        <row r="33">
          <cell r="A33" t="str">
            <v>A1031</v>
          </cell>
          <cell r="B33" t="str">
            <v>Data Analytics Course</v>
          </cell>
          <cell r="C33">
            <v>113</v>
          </cell>
          <cell r="D33">
            <v>113</v>
          </cell>
          <cell r="E33">
            <v>5065</v>
          </cell>
          <cell r="F33">
            <v>5065</v>
          </cell>
          <cell r="G33" t="str">
            <v>$212.37</v>
          </cell>
          <cell r="H33" t="str">
            <v>$212.37</v>
          </cell>
          <cell r="I33">
            <v>11</v>
          </cell>
          <cell r="J33">
            <v>11</v>
          </cell>
          <cell r="K33">
            <v>5</v>
          </cell>
          <cell r="L33">
            <v>5</v>
          </cell>
          <cell r="M33">
            <v>4.4247787610619468E-2</v>
          </cell>
          <cell r="O33" t="str">
            <v>$1111</v>
          </cell>
          <cell r="P33" t="str">
            <v>$1111</v>
          </cell>
          <cell r="Q33">
            <v>45618</v>
          </cell>
          <cell r="R33" t="str">
            <v>Hyderabad</v>
          </cell>
          <cell r="S33" t="str">
            <v>Desktop</v>
          </cell>
          <cell r="T33" t="str">
            <v>online data analytic</v>
          </cell>
        </row>
        <row r="34">
          <cell r="A34" t="str">
            <v>A1032</v>
          </cell>
          <cell r="B34" t="str">
            <v>Data Analytcis Course</v>
          </cell>
          <cell r="C34">
            <v>138.95699356913184</v>
          </cell>
          <cell r="E34">
            <v>3872</v>
          </cell>
          <cell r="F34">
            <v>3872</v>
          </cell>
          <cell r="G34" t="str">
            <v>$244.38</v>
          </cell>
          <cell r="H34" t="str">
            <v>$244.38</v>
          </cell>
          <cell r="I34">
            <v>20</v>
          </cell>
          <cell r="J34">
            <v>20</v>
          </cell>
          <cell r="K34">
            <v>4</v>
          </cell>
          <cell r="L34">
            <v>4</v>
          </cell>
          <cell r="M34">
            <v>2.8785884734977219E-2</v>
          </cell>
          <cell r="O34" t="str">
            <v>$1041</v>
          </cell>
          <cell r="P34" t="str">
            <v>$1041</v>
          </cell>
          <cell r="Q34">
            <v>45608</v>
          </cell>
          <cell r="R34" t="str">
            <v>Hyderabad</v>
          </cell>
          <cell r="S34" t="str">
            <v>Tablet</v>
          </cell>
          <cell r="T34" t="str">
            <v>data analytics online</v>
          </cell>
        </row>
        <row r="35">
          <cell r="A35" t="str">
            <v>A1033</v>
          </cell>
          <cell r="B35" t="str">
            <v>Data Analytics Course</v>
          </cell>
          <cell r="C35">
            <v>176</v>
          </cell>
          <cell r="D35">
            <v>176</v>
          </cell>
          <cell r="E35">
            <v>5509</v>
          </cell>
          <cell r="F35">
            <v>5509</v>
          </cell>
          <cell r="G35" t="str">
            <v>$234.59</v>
          </cell>
          <cell r="H35" t="str">
            <v>$234.59</v>
          </cell>
          <cell r="I35">
            <v>19</v>
          </cell>
          <cell r="J35">
            <v>19</v>
          </cell>
          <cell r="K35">
            <v>7</v>
          </cell>
          <cell r="L35">
            <v>7</v>
          </cell>
          <cell r="M35">
            <v>3.9772727272727272E-2</v>
          </cell>
          <cell r="N35">
            <v>5.3999999999999999E-2</v>
          </cell>
          <cell r="O35" t="str">
            <v>$1710</v>
          </cell>
          <cell r="P35" t="str">
            <v>$1710</v>
          </cell>
          <cell r="Q35">
            <v>45599</v>
          </cell>
          <cell r="R35" t="str">
            <v>Chennai</v>
          </cell>
          <cell r="S35" t="str">
            <v>Tablet</v>
          </cell>
          <cell r="T35" t="str">
            <v>data analytics course</v>
          </cell>
        </row>
        <row r="36">
          <cell r="A36" t="str">
            <v>A1034</v>
          </cell>
          <cell r="B36" t="str">
            <v>Data Analytcis Course</v>
          </cell>
          <cell r="C36">
            <v>121</v>
          </cell>
          <cell r="D36">
            <v>121</v>
          </cell>
          <cell r="E36">
            <v>5610</v>
          </cell>
          <cell r="F36">
            <v>5610</v>
          </cell>
          <cell r="G36" t="str">
            <v>$214.96</v>
          </cell>
          <cell r="H36" t="str">
            <v>$214.96</v>
          </cell>
          <cell r="I36">
            <v>23</v>
          </cell>
          <cell r="J36">
            <v>23</v>
          </cell>
          <cell r="K36">
            <v>8</v>
          </cell>
          <cell r="L36">
            <v>8</v>
          </cell>
          <cell r="M36">
            <v>6.6115702479338845E-2</v>
          </cell>
          <cell r="O36" t="str">
            <v>$1500</v>
          </cell>
          <cell r="Q36">
            <v>45621</v>
          </cell>
          <cell r="R36" t="str">
            <v>Hyderabad</v>
          </cell>
          <cell r="S36" t="str">
            <v>Mobile</v>
          </cell>
          <cell r="T36" t="str">
            <v>data analytics course</v>
          </cell>
        </row>
        <row r="37">
          <cell r="A37" t="str">
            <v>A1035</v>
          </cell>
          <cell r="B37" t="str">
            <v>Data Analytics Course</v>
          </cell>
          <cell r="C37">
            <v>104</v>
          </cell>
          <cell r="D37">
            <v>104</v>
          </cell>
          <cell r="E37">
            <v>5275</v>
          </cell>
          <cell r="F37">
            <v>5275</v>
          </cell>
          <cell r="G37" t="str">
            <v>$236.48</v>
          </cell>
          <cell r="H37" t="str">
            <v>$236.48</v>
          </cell>
          <cell r="I37">
            <v>16</v>
          </cell>
          <cell r="J37">
            <v>16</v>
          </cell>
          <cell r="K37">
            <v>9</v>
          </cell>
          <cell r="L37">
            <v>9</v>
          </cell>
          <cell r="M37">
            <v>8.6538461538461536E-2</v>
          </cell>
          <cell r="N37">
            <v>3.1E-2</v>
          </cell>
          <cell r="O37" t="str">
            <v>$1824</v>
          </cell>
          <cell r="P37" t="str">
            <v>$1824</v>
          </cell>
          <cell r="Q37">
            <v>45597</v>
          </cell>
          <cell r="R37" t="str">
            <v>Hyderabad</v>
          </cell>
          <cell r="S37" t="str">
            <v>Desktop</v>
          </cell>
          <cell r="T37" t="str">
            <v>data analytics training</v>
          </cell>
        </row>
        <row r="38">
          <cell r="A38" t="str">
            <v>A1036</v>
          </cell>
          <cell r="B38" t="str">
            <v>Data Analytics Course</v>
          </cell>
          <cell r="C38">
            <v>146</v>
          </cell>
          <cell r="D38">
            <v>146</v>
          </cell>
          <cell r="E38">
            <v>5939</v>
          </cell>
          <cell r="F38">
            <v>5939</v>
          </cell>
          <cell r="G38" t="str">
            <v>$242.9</v>
          </cell>
          <cell r="H38" t="str">
            <v>$242.9</v>
          </cell>
          <cell r="I38">
            <v>11</v>
          </cell>
          <cell r="J38">
            <v>11</v>
          </cell>
          <cell r="K38">
            <v>8</v>
          </cell>
          <cell r="L38">
            <v>8</v>
          </cell>
          <cell r="M38">
            <v>5.4794520547945202E-2</v>
          </cell>
          <cell r="N38">
            <v>3.5000000000000003E-2</v>
          </cell>
          <cell r="O38" t="str">
            <v>$1833</v>
          </cell>
          <cell r="P38" t="str">
            <v>$1833</v>
          </cell>
          <cell r="Q38">
            <v>45603</v>
          </cell>
          <cell r="R38" t="str">
            <v>Hyderabad</v>
          </cell>
          <cell r="S38" t="str">
            <v>Desktop</v>
          </cell>
          <cell r="T38" t="str">
            <v>data analytics training</v>
          </cell>
        </row>
        <row r="39">
          <cell r="A39" t="str">
            <v>A1037</v>
          </cell>
          <cell r="B39" t="str">
            <v>Data Analytcis Course</v>
          </cell>
          <cell r="C39">
            <v>123</v>
          </cell>
          <cell r="D39">
            <v>123</v>
          </cell>
          <cell r="E39">
            <v>5131</v>
          </cell>
          <cell r="F39">
            <v>5131</v>
          </cell>
          <cell r="G39" t="str">
            <v>$200.00</v>
          </cell>
          <cell r="I39">
            <v>19</v>
          </cell>
          <cell r="J39">
            <v>19</v>
          </cell>
          <cell r="K39">
            <v>5</v>
          </cell>
          <cell r="L39">
            <v>5</v>
          </cell>
          <cell r="M39">
            <v>4.065040650406504E-2</v>
          </cell>
          <cell r="N39">
            <v>4.1000000000000002E-2</v>
          </cell>
          <cell r="O39" t="str">
            <v>$1307</v>
          </cell>
          <cell r="P39" t="str">
            <v>$1307</v>
          </cell>
          <cell r="Q39">
            <v>45605</v>
          </cell>
          <cell r="R39" t="str">
            <v>Bangaluru</v>
          </cell>
          <cell r="S39" t="str">
            <v>Mobile</v>
          </cell>
          <cell r="T39" t="str">
            <v>learn data analytics</v>
          </cell>
        </row>
        <row r="40">
          <cell r="A40" t="str">
            <v>A1038</v>
          </cell>
          <cell r="B40" t="str">
            <v>Data Analytcis Course</v>
          </cell>
          <cell r="C40">
            <v>90</v>
          </cell>
          <cell r="D40">
            <v>90</v>
          </cell>
          <cell r="E40">
            <v>5786</v>
          </cell>
          <cell r="F40">
            <v>5786</v>
          </cell>
          <cell r="G40" t="str">
            <v>$197.55</v>
          </cell>
          <cell r="H40" t="str">
            <v>$197.55</v>
          </cell>
          <cell r="I40">
            <v>11</v>
          </cell>
          <cell r="J40">
            <v>11</v>
          </cell>
          <cell r="K40">
            <v>6</v>
          </cell>
          <cell r="L40">
            <v>6</v>
          </cell>
          <cell r="M40">
            <v>6.6666666666666666E-2</v>
          </cell>
          <cell r="N40">
            <v>4.2999999999999997E-2</v>
          </cell>
          <cell r="O40" t="str">
            <v>$1704</v>
          </cell>
          <cell r="P40" t="str">
            <v>$1704</v>
          </cell>
          <cell r="Q40">
            <v>45612</v>
          </cell>
          <cell r="R40" t="str">
            <v>Hyderabad</v>
          </cell>
          <cell r="S40" t="str">
            <v>Mobile</v>
          </cell>
          <cell r="T40" t="str">
            <v>online data analytic</v>
          </cell>
        </row>
        <row r="41">
          <cell r="A41" t="str">
            <v>A1039</v>
          </cell>
          <cell r="B41" t="str">
            <v>Data Analytcis Course</v>
          </cell>
          <cell r="C41">
            <v>171</v>
          </cell>
          <cell r="D41">
            <v>171</v>
          </cell>
          <cell r="E41">
            <v>4304</v>
          </cell>
          <cell r="F41">
            <v>4304</v>
          </cell>
          <cell r="G41" t="str">
            <v>$192.61</v>
          </cell>
          <cell r="H41" t="str">
            <v>$192.61</v>
          </cell>
          <cell r="I41">
            <v>17</v>
          </cell>
          <cell r="J41">
            <v>17</v>
          </cell>
          <cell r="K41">
            <v>10</v>
          </cell>
          <cell r="L41">
            <v>10</v>
          </cell>
          <cell r="M41">
            <v>5.8479532163742687E-2</v>
          </cell>
          <cell r="N41">
            <v>5.8000000000000003E-2</v>
          </cell>
          <cell r="O41" t="str">
            <v>$1427</v>
          </cell>
          <cell r="P41" t="str">
            <v>$1427</v>
          </cell>
          <cell r="Q41">
            <v>45622</v>
          </cell>
          <cell r="R41" t="str">
            <v>Bangaluru</v>
          </cell>
          <cell r="S41" t="str">
            <v>Mobile</v>
          </cell>
          <cell r="T41" t="str">
            <v>learn data analytics</v>
          </cell>
        </row>
        <row r="42">
          <cell r="A42" t="str">
            <v>A1040</v>
          </cell>
          <cell r="B42" t="str">
            <v>Data Analytics Course</v>
          </cell>
          <cell r="C42">
            <v>94</v>
          </cell>
          <cell r="D42">
            <v>94</v>
          </cell>
          <cell r="E42">
            <v>5549</v>
          </cell>
          <cell r="F42">
            <v>5549</v>
          </cell>
          <cell r="G42" t="str">
            <v>$231.23</v>
          </cell>
          <cell r="H42" t="str">
            <v>$231.23</v>
          </cell>
          <cell r="I42">
            <v>25</v>
          </cell>
          <cell r="J42">
            <v>25</v>
          </cell>
          <cell r="K42">
            <v>9</v>
          </cell>
          <cell r="L42">
            <v>9</v>
          </cell>
          <cell r="M42">
            <v>9.5744680851063829E-2</v>
          </cell>
          <cell r="N42">
            <v>9.6000000000000002E-2</v>
          </cell>
          <cell r="O42" t="str">
            <v>$1849</v>
          </cell>
          <cell r="P42" t="str">
            <v>$1849</v>
          </cell>
          <cell r="Q42">
            <v>45608</v>
          </cell>
          <cell r="R42" t="str">
            <v>Chennai</v>
          </cell>
          <cell r="S42" t="str">
            <v>Mobile</v>
          </cell>
          <cell r="T42" t="str">
            <v>data analytics training</v>
          </cell>
        </row>
        <row r="43">
          <cell r="A43" t="str">
            <v>A1041</v>
          </cell>
          <cell r="B43" t="str">
            <v>Data Analytics Course</v>
          </cell>
          <cell r="C43">
            <v>112</v>
          </cell>
          <cell r="D43">
            <v>112</v>
          </cell>
          <cell r="E43">
            <v>4271</v>
          </cell>
          <cell r="F43">
            <v>4271</v>
          </cell>
          <cell r="G43" t="str">
            <v>$196.07</v>
          </cell>
          <cell r="H43" t="str">
            <v>$196.07</v>
          </cell>
          <cell r="I43">
            <v>27</v>
          </cell>
          <cell r="J43">
            <v>27</v>
          </cell>
          <cell r="K43">
            <v>6</v>
          </cell>
          <cell r="L43">
            <v>6</v>
          </cell>
          <cell r="M43">
            <v>5.3571428571428568E-2</v>
          </cell>
          <cell r="O43" t="str">
            <v>$1209</v>
          </cell>
          <cell r="P43" t="str">
            <v>$1209</v>
          </cell>
          <cell r="Q43">
            <v>45610</v>
          </cell>
          <cell r="R43" t="str">
            <v>Hyderabad</v>
          </cell>
          <cell r="S43" t="str">
            <v>Desktop</v>
          </cell>
          <cell r="T43" t="str">
            <v>data analytics online</v>
          </cell>
        </row>
        <row r="44">
          <cell r="A44" t="str">
            <v>A1042</v>
          </cell>
          <cell r="B44" t="str">
            <v>Data Analytcis Course</v>
          </cell>
          <cell r="C44">
            <v>113</v>
          </cell>
          <cell r="D44">
            <v>113</v>
          </cell>
          <cell r="E44">
            <v>4418</v>
          </cell>
          <cell r="F44">
            <v>4418</v>
          </cell>
          <cell r="G44" t="str">
            <v>$191.55</v>
          </cell>
          <cell r="H44" t="str">
            <v>$191.55</v>
          </cell>
          <cell r="I44">
            <v>27</v>
          </cell>
          <cell r="J44">
            <v>27</v>
          </cell>
          <cell r="K44">
            <v>10</v>
          </cell>
          <cell r="L44">
            <v>10</v>
          </cell>
          <cell r="M44">
            <v>8.8495575221238937E-2</v>
          </cell>
          <cell r="O44" t="str">
            <v>$1634</v>
          </cell>
          <cell r="P44" t="str">
            <v>$1634</v>
          </cell>
          <cell r="Q44">
            <v>45605</v>
          </cell>
          <cell r="R44" t="str">
            <v>Chennai</v>
          </cell>
          <cell r="S44" t="str">
            <v>Mobile</v>
          </cell>
          <cell r="T44" t="str">
            <v>data analytics course</v>
          </cell>
        </row>
        <row r="45">
          <cell r="A45" t="str">
            <v>A1043</v>
          </cell>
          <cell r="B45" t="str">
            <v>Data Analytics Course</v>
          </cell>
          <cell r="C45">
            <v>145</v>
          </cell>
          <cell r="D45">
            <v>145</v>
          </cell>
          <cell r="E45">
            <v>3721</v>
          </cell>
          <cell r="F45">
            <v>3721</v>
          </cell>
          <cell r="G45" t="str">
            <v>$180.95</v>
          </cell>
          <cell r="H45" t="str">
            <v>$180.95</v>
          </cell>
          <cell r="I45">
            <v>21</v>
          </cell>
          <cell r="J45">
            <v>21</v>
          </cell>
          <cell r="K45">
            <v>7</v>
          </cell>
          <cell r="L45">
            <v>7</v>
          </cell>
          <cell r="M45">
            <v>4.8275862068965517E-2</v>
          </cell>
          <cell r="N45">
            <v>4.8000000000000001E-2</v>
          </cell>
          <cell r="O45" t="str">
            <v>$1960</v>
          </cell>
          <cell r="P45" t="str">
            <v>$1960</v>
          </cell>
          <cell r="Q45">
            <v>45625</v>
          </cell>
          <cell r="R45" t="str">
            <v>Bangaluru</v>
          </cell>
          <cell r="S45" t="str">
            <v>Desktop</v>
          </cell>
          <cell r="T45" t="str">
            <v>data analytics online</v>
          </cell>
        </row>
        <row r="46">
          <cell r="A46" t="str">
            <v>A1044</v>
          </cell>
          <cell r="B46" t="str">
            <v>Data Analytics Course</v>
          </cell>
          <cell r="C46">
            <v>197</v>
          </cell>
          <cell r="D46">
            <v>197</v>
          </cell>
          <cell r="E46">
            <v>5783</v>
          </cell>
          <cell r="F46">
            <v>5783</v>
          </cell>
          <cell r="G46" t="str">
            <v>$204.46</v>
          </cell>
          <cell r="H46" t="str">
            <v>$204.46</v>
          </cell>
          <cell r="I46">
            <v>23</v>
          </cell>
          <cell r="J46">
            <v>23</v>
          </cell>
          <cell r="K46">
            <v>6</v>
          </cell>
          <cell r="L46">
            <v>6</v>
          </cell>
          <cell r="M46">
            <v>3.0456852791878174E-2</v>
          </cell>
          <cell r="O46" t="str">
            <v>$1729</v>
          </cell>
          <cell r="P46" t="str">
            <v>$1729</v>
          </cell>
          <cell r="Q46">
            <v>45597</v>
          </cell>
          <cell r="R46" t="str">
            <v>Bangaluru</v>
          </cell>
          <cell r="S46" t="str">
            <v>Tablet</v>
          </cell>
          <cell r="T46" t="str">
            <v>data analytics training</v>
          </cell>
        </row>
        <row r="47">
          <cell r="A47" t="str">
            <v>A1045</v>
          </cell>
          <cell r="B47" t="str">
            <v>Data Analytics Course</v>
          </cell>
          <cell r="C47">
            <v>109</v>
          </cell>
          <cell r="D47">
            <v>109</v>
          </cell>
          <cell r="E47">
            <v>4866</v>
          </cell>
          <cell r="F47">
            <v>4866</v>
          </cell>
          <cell r="G47" t="str">
            <v>$236.78</v>
          </cell>
          <cell r="H47" t="str">
            <v>$236.78</v>
          </cell>
          <cell r="I47">
            <v>27</v>
          </cell>
          <cell r="J47">
            <v>27</v>
          </cell>
          <cell r="K47">
            <v>5</v>
          </cell>
          <cell r="L47">
            <v>5</v>
          </cell>
          <cell r="M47">
            <v>4.5871559633027525E-2</v>
          </cell>
          <cell r="O47" t="str">
            <v>$1585</v>
          </cell>
          <cell r="P47" t="str">
            <v>$1585</v>
          </cell>
          <cell r="Q47">
            <v>45611</v>
          </cell>
          <cell r="R47" t="str">
            <v>Hyderabad</v>
          </cell>
          <cell r="S47" t="str">
            <v>Mobile</v>
          </cell>
          <cell r="T47" t="str">
            <v>online data analytic</v>
          </cell>
        </row>
        <row r="48">
          <cell r="A48" t="str">
            <v>A1046</v>
          </cell>
          <cell r="B48" t="str">
            <v>Data Analytics Course</v>
          </cell>
          <cell r="C48">
            <v>188</v>
          </cell>
          <cell r="D48">
            <v>188</v>
          </cell>
          <cell r="E48">
            <v>5857</v>
          </cell>
          <cell r="F48">
            <v>5857</v>
          </cell>
          <cell r="G48" t="str">
            <v>$222.98</v>
          </cell>
          <cell r="H48" t="str">
            <v>$222.98</v>
          </cell>
          <cell r="I48">
            <v>20</v>
          </cell>
          <cell r="J48">
            <v>20</v>
          </cell>
          <cell r="K48">
            <v>4</v>
          </cell>
          <cell r="L48">
            <v>4</v>
          </cell>
          <cell r="M48">
            <v>2.1276595744680851E-2</v>
          </cell>
          <cell r="N48">
            <v>4.8000000000000001E-2</v>
          </cell>
          <cell r="O48" t="str">
            <v>$1303</v>
          </cell>
          <cell r="P48" t="str">
            <v>$1303</v>
          </cell>
          <cell r="Q48">
            <v>45607</v>
          </cell>
          <cell r="R48" t="str">
            <v>Hyderabad</v>
          </cell>
          <cell r="S48" t="str">
            <v>Desktop</v>
          </cell>
          <cell r="T48" t="str">
            <v>data analytics training</v>
          </cell>
        </row>
        <row r="49">
          <cell r="A49" t="str">
            <v>A1047</v>
          </cell>
          <cell r="B49" t="str">
            <v>Data Analytics Course</v>
          </cell>
          <cell r="C49">
            <v>142</v>
          </cell>
          <cell r="D49">
            <v>142</v>
          </cell>
          <cell r="E49">
            <v>5103</v>
          </cell>
          <cell r="F49">
            <v>5103</v>
          </cell>
          <cell r="G49" t="str">
            <v>$234.1</v>
          </cell>
          <cell r="H49" t="str">
            <v>$234.1</v>
          </cell>
          <cell r="I49">
            <v>24</v>
          </cell>
          <cell r="J49">
            <v>24</v>
          </cell>
          <cell r="K49">
            <v>3</v>
          </cell>
          <cell r="L49">
            <v>3</v>
          </cell>
          <cell r="M49">
            <v>2.1126760563380281E-2</v>
          </cell>
          <cell r="N49">
            <v>2.1000000000000001E-2</v>
          </cell>
          <cell r="O49" t="str">
            <v>$1835</v>
          </cell>
          <cell r="P49" t="str">
            <v>$1835</v>
          </cell>
          <cell r="Q49">
            <v>45604</v>
          </cell>
          <cell r="R49" t="str">
            <v>Chennai</v>
          </cell>
          <cell r="S49" t="str">
            <v>Mobile</v>
          </cell>
          <cell r="T49" t="str">
            <v>analytics for data</v>
          </cell>
        </row>
        <row r="50">
          <cell r="A50" t="str">
            <v>A1048</v>
          </cell>
          <cell r="B50" t="str">
            <v>Data Analytcis Course</v>
          </cell>
          <cell r="C50">
            <v>168</v>
          </cell>
          <cell r="D50">
            <v>168</v>
          </cell>
          <cell r="E50">
            <v>4653</v>
          </cell>
          <cell r="F50">
            <v>4653</v>
          </cell>
          <cell r="G50" t="str">
            <v>$240.84</v>
          </cell>
          <cell r="H50" t="str">
            <v>$240.84</v>
          </cell>
          <cell r="I50">
            <v>27</v>
          </cell>
          <cell r="J50">
            <v>27</v>
          </cell>
          <cell r="K50">
            <v>9</v>
          </cell>
          <cell r="L50">
            <v>9</v>
          </cell>
          <cell r="M50">
            <v>5.3571428571428568E-2</v>
          </cell>
          <cell r="N50">
            <v>5.3999999999999999E-2</v>
          </cell>
          <cell r="O50" t="str">
            <v>$1367</v>
          </cell>
          <cell r="P50" t="str">
            <v>$1367</v>
          </cell>
          <cell r="Q50">
            <v>45620</v>
          </cell>
          <cell r="R50" t="str">
            <v>Bangaluru</v>
          </cell>
          <cell r="S50" t="str">
            <v>Mobile</v>
          </cell>
          <cell r="T50" t="str">
            <v>online data analytic</v>
          </cell>
        </row>
        <row r="51">
          <cell r="A51" t="str">
            <v>A1049</v>
          </cell>
          <cell r="B51" t="str">
            <v>Data Analytcis Course</v>
          </cell>
          <cell r="C51">
            <v>110</v>
          </cell>
          <cell r="D51">
            <v>110</v>
          </cell>
          <cell r="E51">
            <v>3524</v>
          </cell>
          <cell r="F51">
            <v>3524</v>
          </cell>
          <cell r="G51" t="str">
            <v>$248.86</v>
          </cell>
          <cell r="H51" t="str">
            <v>$248.86</v>
          </cell>
          <cell r="I51">
            <v>19</v>
          </cell>
          <cell r="J51">
            <v>19</v>
          </cell>
          <cell r="K51">
            <v>10</v>
          </cell>
          <cell r="L51">
            <v>10</v>
          </cell>
          <cell r="M51">
            <v>9.0909090909090912E-2</v>
          </cell>
          <cell r="N51">
            <v>9.0999999999999998E-2</v>
          </cell>
          <cell r="O51" t="str">
            <v>$1524</v>
          </cell>
          <cell r="P51" t="str">
            <v>$1524</v>
          </cell>
          <cell r="Q51">
            <v>45617</v>
          </cell>
          <cell r="R51" t="str">
            <v>Chennai</v>
          </cell>
          <cell r="S51" t="str">
            <v>Mobile</v>
          </cell>
          <cell r="T51" t="str">
            <v>learn data analytics</v>
          </cell>
        </row>
        <row r="52">
          <cell r="A52" t="str">
            <v>A1050</v>
          </cell>
          <cell r="B52" t="str">
            <v>Data Analytcis Course</v>
          </cell>
          <cell r="C52">
            <v>192</v>
          </cell>
          <cell r="D52">
            <v>192</v>
          </cell>
          <cell r="E52">
            <v>5938</v>
          </cell>
          <cell r="F52">
            <v>5938</v>
          </cell>
          <cell r="G52" t="str">
            <v>$182.84</v>
          </cell>
          <cell r="H52" t="str">
            <v>$182.84</v>
          </cell>
          <cell r="I52">
            <v>26</v>
          </cell>
          <cell r="J52">
            <v>26</v>
          </cell>
          <cell r="K52">
            <v>5</v>
          </cell>
          <cell r="L52">
            <v>5</v>
          </cell>
          <cell r="M52">
            <v>2.6041666666666668E-2</v>
          </cell>
          <cell r="N52">
            <v>3.9E-2</v>
          </cell>
          <cell r="O52" t="str">
            <v>$1080</v>
          </cell>
          <cell r="P52" t="str">
            <v>$1080</v>
          </cell>
          <cell r="Q52">
            <v>45608</v>
          </cell>
          <cell r="R52" t="str">
            <v>Bangaluru</v>
          </cell>
          <cell r="S52" t="str">
            <v>Mobile</v>
          </cell>
          <cell r="T52" t="str">
            <v>analytics for data</v>
          </cell>
        </row>
        <row r="53">
          <cell r="A53" t="str">
            <v>A1051</v>
          </cell>
          <cell r="B53" t="str">
            <v>Data Analytics Course</v>
          </cell>
          <cell r="C53">
            <v>101</v>
          </cell>
          <cell r="D53">
            <v>101</v>
          </cell>
          <cell r="E53">
            <v>3942</v>
          </cell>
          <cell r="F53">
            <v>3942</v>
          </cell>
          <cell r="G53" t="str">
            <v>$206.62</v>
          </cell>
          <cell r="H53" t="str">
            <v>$206.62</v>
          </cell>
          <cell r="I53">
            <v>16</v>
          </cell>
          <cell r="J53">
            <v>16</v>
          </cell>
          <cell r="K53">
            <v>5</v>
          </cell>
          <cell r="L53">
            <v>5</v>
          </cell>
          <cell r="M53">
            <v>4.9504950495049507E-2</v>
          </cell>
          <cell r="N53">
            <v>0.05</v>
          </cell>
          <cell r="O53" t="str">
            <v>$1746</v>
          </cell>
          <cell r="P53" t="str">
            <v>$1746</v>
          </cell>
          <cell r="Q53">
            <v>45620</v>
          </cell>
          <cell r="R53" t="str">
            <v>Hyderabad</v>
          </cell>
          <cell r="S53" t="str">
            <v>Tablet</v>
          </cell>
          <cell r="T53" t="str">
            <v>analytics for data</v>
          </cell>
        </row>
        <row r="54">
          <cell r="A54" t="str">
            <v>A1052</v>
          </cell>
          <cell r="B54" t="str">
            <v>Data Analytics Course</v>
          </cell>
          <cell r="C54">
            <v>157</v>
          </cell>
          <cell r="D54">
            <v>157</v>
          </cell>
          <cell r="E54">
            <v>3315</v>
          </cell>
          <cell r="F54">
            <v>3315</v>
          </cell>
          <cell r="G54" t="str">
            <v>$189.56</v>
          </cell>
          <cell r="H54" t="str">
            <v>$189.56</v>
          </cell>
          <cell r="I54">
            <v>15</v>
          </cell>
          <cell r="J54">
            <v>15</v>
          </cell>
          <cell r="K54">
            <v>10</v>
          </cell>
          <cell r="L54">
            <v>10</v>
          </cell>
          <cell r="M54">
            <v>6.3694267515923567E-2</v>
          </cell>
          <cell r="N54">
            <v>6.4000000000000001E-2</v>
          </cell>
          <cell r="O54" t="str">
            <v>$1026</v>
          </cell>
          <cell r="P54" t="str">
            <v>$1026</v>
          </cell>
          <cell r="Q54">
            <v>45621</v>
          </cell>
          <cell r="R54" t="str">
            <v>Hyderabad</v>
          </cell>
          <cell r="S54" t="str">
            <v>Mobile</v>
          </cell>
          <cell r="T54" t="str">
            <v>online data analytic</v>
          </cell>
        </row>
        <row r="55">
          <cell r="A55" t="str">
            <v>A1053</v>
          </cell>
          <cell r="B55" t="str">
            <v>Data Analytics Course</v>
          </cell>
          <cell r="C55">
            <v>113</v>
          </cell>
          <cell r="D55">
            <v>113</v>
          </cell>
          <cell r="E55">
            <v>4945</v>
          </cell>
          <cell r="F55">
            <v>4945</v>
          </cell>
          <cell r="G55" t="str">
            <v>$187.66</v>
          </cell>
          <cell r="H55" t="str">
            <v>$187.66</v>
          </cell>
          <cell r="I55">
            <v>15</v>
          </cell>
          <cell r="J55">
            <v>15</v>
          </cell>
          <cell r="K55">
            <v>10</v>
          </cell>
          <cell r="L55">
            <v>10</v>
          </cell>
          <cell r="M55">
            <v>8.8495575221238937E-2</v>
          </cell>
          <cell r="O55" t="str">
            <v>$1564</v>
          </cell>
          <cell r="P55" t="str">
            <v>$1564</v>
          </cell>
          <cell r="Q55">
            <v>45622</v>
          </cell>
          <cell r="R55" t="str">
            <v>Hyderabad</v>
          </cell>
          <cell r="S55" t="str">
            <v>Tablet</v>
          </cell>
          <cell r="T55" t="str">
            <v>learn data analytics</v>
          </cell>
        </row>
        <row r="56">
          <cell r="A56" t="str">
            <v>A1054</v>
          </cell>
          <cell r="B56" t="str">
            <v>Data Analytcis Course</v>
          </cell>
          <cell r="C56">
            <v>96</v>
          </cell>
          <cell r="D56">
            <v>96</v>
          </cell>
          <cell r="E56">
            <v>3166</v>
          </cell>
          <cell r="F56">
            <v>3166</v>
          </cell>
          <cell r="G56" t="str">
            <v>$196.15</v>
          </cell>
          <cell r="H56" t="str">
            <v>$196.15</v>
          </cell>
          <cell r="I56">
            <v>29</v>
          </cell>
          <cell r="J56">
            <v>29</v>
          </cell>
          <cell r="K56">
            <v>7</v>
          </cell>
          <cell r="L56">
            <v>7</v>
          </cell>
          <cell r="M56">
            <v>7.2916666666666671E-2</v>
          </cell>
          <cell r="N56">
            <v>7.2999999999999995E-2</v>
          </cell>
          <cell r="O56" t="str">
            <v>$1902</v>
          </cell>
          <cell r="P56" t="str">
            <v>$1902</v>
          </cell>
          <cell r="Q56">
            <v>45622</v>
          </cell>
          <cell r="R56" t="str">
            <v>Hyderabad</v>
          </cell>
          <cell r="S56" t="str">
            <v>Desktop</v>
          </cell>
          <cell r="T56" t="str">
            <v>learn data analytics</v>
          </cell>
        </row>
        <row r="57">
          <cell r="A57" t="str">
            <v>A1055</v>
          </cell>
          <cell r="B57" t="str">
            <v>Data Analytcis Course</v>
          </cell>
          <cell r="C57">
            <v>125</v>
          </cell>
          <cell r="D57">
            <v>125</v>
          </cell>
          <cell r="E57">
            <v>4223</v>
          </cell>
          <cell r="F57">
            <v>4223</v>
          </cell>
          <cell r="G57" t="str">
            <v>$183.68</v>
          </cell>
          <cell r="H57" t="str">
            <v>$183.68</v>
          </cell>
          <cell r="I57">
            <v>15</v>
          </cell>
          <cell r="J57">
            <v>15</v>
          </cell>
          <cell r="K57">
            <v>6</v>
          </cell>
          <cell r="L57">
            <v>6</v>
          </cell>
          <cell r="M57">
            <v>4.8000000000000001E-2</v>
          </cell>
          <cell r="O57" t="str">
            <v>$1267</v>
          </cell>
          <cell r="P57" t="str">
            <v>$1267</v>
          </cell>
          <cell r="Q57">
            <v>45601</v>
          </cell>
          <cell r="R57" t="str">
            <v>Hyderabad</v>
          </cell>
          <cell r="S57" t="str">
            <v>Desktop</v>
          </cell>
          <cell r="T57" t="str">
            <v>data analytics online</v>
          </cell>
        </row>
        <row r="58">
          <cell r="A58" t="str">
            <v>A1056</v>
          </cell>
          <cell r="B58" t="str">
            <v>Data Analytcis Course</v>
          </cell>
          <cell r="C58">
            <v>104</v>
          </cell>
          <cell r="D58">
            <v>104</v>
          </cell>
          <cell r="E58">
            <v>4798</v>
          </cell>
          <cell r="F58">
            <v>4798</v>
          </cell>
          <cell r="G58" t="str">
            <v>$210.1</v>
          </cell>
          <cell r="H58" t="str">
            <v>$210.1</v>
          </cell>
          <cell r="I58">
            <v>18</v>
          </cell>
          <cell r="J58">
            <v>18</v>
          </cell>
          <cell r="K58">
            <v>3</v>
          </cell>
          <cell r="L58">
            <v>3</v>
          </cell>
          <cell r="M58">
            <v>2.8846153846153848E-2</v>
          </cell>
          <cell r="O58" t="str">
            <v>$1340</v>
          </cell>
          <cell r="P58" t="str">
            <v>$1340</v>
          </cell>
          <cell r="Q58">
            <v>45617</v>
          </cell>
          <cell r="R58" t="str">
            <v>Hyderabad</v>
          </cell>
          <cell r="S58" t="str">
            <v>Desktop</v>
          </cell>
          <cell r="T58" t="str">
            <v>analytics for data</v>
          </cell>
        </row>
        <row r="59">
          <cell r="A59" t="str">
            <v>A1057</v>
          </cell>
          <cell r="B59" t="str">
            <v>Data Analytics Course</v>
          </cell>
          <cell r="C59">
            <v>194</v>
          </cell>
          <cell r="D59">
            <v>194</v>
          </cell>
          <cell r="E59">
            <v>5655</v>
          </cell>
          <cell r="F59">
            <v>5655</v>
          </cell>
          <cell r="G59" t="str">
            <v>$208.58</v>
          </cell>
          <cell r="H59" t="str">
            <v>$208.58</v>
          </cell>
          <cell r="I59">
            <v>13</v>
          </cell>
          <cell r="J59">
            <v>13</v>
          </cell>
          <cell r="K59">
            <v>6</v>
          </cell>
          <cell r="L59">
            <v>6</v>
          </cell>
          <cell r="M59">
            <v>3.0927835051546393E-2</v>
          </cell>
          <cell r="N59">
            <v>3.1E-2</v>
          </cell>
          <cell r="O59" t="str">
            <v>$1692</v>
          </cell>
          <cell r="P59" t="str">
            <v>$1692</v>
          </cell>
          <cell r="Q59">
            <v>45612</v>
          </cell>
          <cell r="R59" t="str">
            <v>Bangaluru</v>
          </cell>
          <cell r="S59" t="str">
            <v>Mobile</v>
          </cell>
          <cell r="T59" t="str">
            <v>data analytics training</v>
          </cell>
        </row>
        <row r="60">
          <cell r="A60" t="str">
            <v>A1058</v>
          </cell>
          <cell r="B60" t="str">
            <v>Data Analytics Course</v>
          </cell>
          <cell r="C60">
            <v>144</v>
          </cell>
          <cell r="D60">
            <v>144</v>
          </cell>
          <cell r="E60">
            <v>5140</v>
          </cell>
          <cell r="F60">
            <v>5140</v>
          </cell>
          <cell r="G60" t="str">
            <v>$219.48</v>
          </cell>
          <cell r="H60" t="str">
            <v>$219.48</v>
          </cell>
          <cell r="I60">
            <v>19</v>
          </cell>
          <cell r="J60">
            <v>19</v>
          </cell>
          <cell r="K60">
            <v>8</v>
          </cell>
          <cell r="L60">
            <v>8</v>
          </cell>
          <cell r="M60">
            <v>5.5555555555555552E-2</v>
          </cell>
          <cell r="N60">
            <v>4.7E-2</v>
          </cell>
          <cell r="O60" t="str">
            <v>$1054</v>
          </cell>
          <cell r="P60" t="str">
            <v>$1054</v>
          </cell>
          <cell r="Q60">
            <v>45614</v>
          </cell>
          <cell r="R60" t="str">
            <v>Chennai</v>
          </cell>
          <cell r="S60" t="str">
            <v>Desktop</v>
          </cell>
          <cell r="T60" t="str">
            <v>data analytics online</v>
          </cell>
        </row>
        <row r="61">
          <cell r="A61" t="str">
            <v>A1059</v>
          </cell>
          <cell r="B61" t="str">
            <v>Data Analytics Course</v>
          </cell>
          <cell r="C61">
            <v>179</v>
          </cell>
          <cell r="D61">
            <v>179</v>
          </cell>
          <cell r="E61">
            <v>3025</v>
          </cell>
          <cell r="F61">
            <v>3025</v>
          </cell>
          <cell r="G61" t="str">
            <v>$238.81</v>
          </cell>
          <cell r="H61" t="str">
            <v>$238.81</v>
          </cell>
          <cell r="I61">
            <v>17</v>
          </cell>
          <cell r="J61">
            <v>17</v>
          </cell>
          <cell r="K61">
            <v>3</v>
          </cell>
          <cell r="L61">
            <v>3</v>
          </cell>
          <cell r="M61">
            <v>1.6759776536312849E-2</v>
          </cell>
          <cell r="N61">
            <v>1.7000000000000001E-2</v>
          </cell>
          <cell r="O61" t="str">
            <v>$1500</v>
          </cell>
          <cell r="Q61">
            <v>45607</v>
          </cell>
          <cell r="R61" t="str">
            <v>Hyderabad</v>
          </cell>
          <cell r="S61" t="str">
            <v>Mobile</v>
          </cell>
          <cell r="T61" t="str">
            <v>data analytics online</v>
          </cell>
        </row>
        <row r="62">
          <cell r="A62" t="str">
            <v>A1060</v>
          </cell>
          <cell r="B62" t="str">
            <v>Data Analytics Course</v>
          </cell>
          <cell r="C62">
            <v>166</v>
          </cell>
          <cell r="D62">
            <v>166</v>
          </cell>
          <cell r="E62">
            <v>5223</v>
          </cell>
          <cell r="F62">
            <v>5223</v>
          </cell>
          <cell r="G62" t="str">
            <v>$189.76</v>
          </cell>
          <cell r="H62" t="str">
            <v>$189.76</v>
          </cell>
          <cell r="I62">
            <v>18</v>
          </cell>
          <cell r="J62">
            <v>18</v>
          </cell>
          <cell r="K62">
            <v>7</v>
          </cell>
          <cell r="L62">
            <v>7</v>
          </cell>
          <cell r="M62">
            <v>4.2168674698795178E-2</v>
          </cell>
          <cell r="N62">
            <v>4.2000000000000003E-2</v>
          </cell>
          <cell r="O62" t="str">
            <v>$1219</v>
          </cell>
          <cell r="P62" t="str">
            <v>$1219</v>
          </cell>
          <cell r="Q62">
            <v>45612</v>
          </cell>
          <cell r="R62" t="str">
            <v>Chennai</v>
          </cell>
          <cell r="S62" t="str">
            <v>Tablet</v>
          </cell>
          <cell r="T62" t="str">
            <v>data analytics course</v>
          </cell>
        </row>
        <row r="63">
          <cell r="A63" t="str">
            <v>A1061</v>
          </cell>
          <cell r="B63" t="str">
            <v>Data Analytcis Course</v>
          </cell>
          <cell r="C63">
            <v>166</v>
          </cell>
          <cell r="D63">
            <v>166</v>
          </cell>
          <cell r="E63">
            <v>5089</v>
          </cell>
          <cell r="F63">
            <v>5089</v>
          </cell>
          <cell r="G63" t="str">
            <v>$200.00</v>
          </cell>
          <cell r="I63">
            <v>26</v>
          </cell>
          <cell r="J63">
            <v>26</v>
          </cell>
          <cell r="K63">
            <v>7</v>
          </cell>
          <cell r="L63">
            <v>7</v>
          </cell>
          <cell r="M63">
            <v>4.2168674698795178E-2</v>
          </cell>
          <cell r="N63">
            <v>4.2000000000000003E-2</v>
          </cell>
          <cell r="O63" t="str">
            <v>$1946</v>
          </cell>
          <cell r="P63" t="str">
            <v>$1946</v>
          </cell>
          <cell r="Q63">
            <v>45607</v>
          </cell>
          <cell r="R63" t="str">
            <v>Chennai</v>
          </cell>
          <cell r="S63" t="str">
            <v>Tablet</v>
          </cell>
          <cell r="T63" t="str">
            <v>analytics for data</v>
          </cell>
        </row>
        <row r="64">
          <cell r="A64" t="str">
            <v>A1062</v>
          </cell>
          <cell r="B64" t="str">
            <v>Data Analytics Course</v>
          </cell>
          <cell r="C64">
            <v>118</v>
          </cell>
          <cell r="D64">
            <v>118</v>
          </cell>
          <cell r="E64">
            <v>5016</v>
          </cell>
          <cell r="F64">
            <v>5016</v>
          </cell>
          <cell r="G64" t="str">
            <v>$204.31</v>
          </cell>
          <cell r="H64" t="str">
            <v>$204.31</v>
          </cell>
          <cell r="I64">
            <v>19</v>
          </cell>
          <cell r="J64">
            <v>19</v>
          </cell>
          <cell r="K64">
            <v>9</v>
          </cell>
          <cell r="L64">
            <v>9</v>
          </cell>
          <cell r="M64">
            <v>7.6271186440677971E-2</v>
          </cell>
          <cell r="N64">
            <v>4.4999999999999998E-2</v>
          </cell>
          <cell r="O64" t="str">
            <v>$1833</v>
          </cell>
          <cell r="P64" t="str">
            <v>$1833</v>
          </cell>
          <cell r="Q64">
            <v>45604</v>
          </cell>
          <cell r="R64" t="str">
            <v>Hyderabad</v>
          </cell>
          <cell r="S64" t="str">
            <v>Desktop</v>
          </cell>
          <cell r="T64" t="str">
            <v>analytics for data</v>
          </cell>
        </row>
        <row r="65">
          <cell r="A65" t="str">
            <v>A1063</v>
          </cell>
          <cell r="B65" t="str">
            <v>Data Analytics Course</v>
          </cell>
          <cell r="C65">
            <v>185</v>
          </cell>
          <cell r="D65">
            <v>185</v>
          </cell>
          <cell r="E65">
            <v>3617</v>
          </cell>
          <cell r="F65">
            <v>3617</v>
          </cell>
          <cell r="G65" t="str">
            <v>$222.32</v>
          </cell>
          <cell r="H65" t="str">
            <v>$222.32</v>
          </cell>
          <cell r="I65">
            <v>24</v>
          </cell>
          <cell r="J65">
            <v>24</v>
          </cell>
          <cell r="K65">
            <v>7</v>
          </cell>
          <cell r="L65">
            <v>7</v>
          </cell>
          <cell r="M65">
            <v>3.783783783783784E-2</v>
          </cell>
          <cell r="N65">
            <v>3.7999999999999999E-2</v>
          </cell>
          <cell r="O65" t="str">
            <v>$1963</v>
          </cell>
          <cell r="P65" t="str">
            <v>$1963</v>
          </cell>
          <cell r="Q65">
            <v>45619</v>
          </cell>
          <cell r="R65" t="str">
            <v>Hyderabad</v>
          </cell>
          <cell r="S65" t="str">
            <v>Mobile</v>
          </cell>
          <cell r="T65" t="str">
            <v>data analytics course</v>
          </cell>
        </row>
        <row r="66">
          <cell r="A66" t="str">
            <v>A1064</v>
          </cell>
          <cell r="B66" t="str">
            <v>Data Analytcis Course</v>
          </cell>
          <cell r="C66">
            <v>116</v>
          </cell>
          <cell r="D66">
            <v>116</v>
          </cell>
          <cell r="E66">
            <v>3764</v>
          </cell>
          <cell r="F66">
            <v>3764</v>
          </cell>
          <cell r="G66" t="str">
            <v>$232.03</v>
          </cell>
          <cell r="H66" t="str">
            <v>$232.03</v>
          </cell>
          <cell r="I66">
            <v>28</v>
          </cell>
          <cell r="J66">
            <v>28</v>
          </cell>
          <cell r="K66">
            <v>10</v>
          </cell>
          <cell r="L66">
            <v>10</v>
          </cell>
          <cell r="M66">
            <v>8.6206896551724144E-2</v>
          </cell>
          <cell r="N66">
            <v>8.5999999999999993E-2</v>
          </cell>
          <cell r="O66" t="str">
            <v>$1348</v>
          </cell>
          <cell r="P66" t="str">
            <v>$1348</v>
          </cell>
          <cell r="Q66">
            <v>45616</v>
          </cell>
          <cell r="R66" t="str">
            <v>Hyderabad</v>
          </cell>
          <cell r="S66" t="str">
            <v>Tablet</v>
          </cell>
          <cell r="T66" t="str">
            <v>data analytics course</v>
          </cell>
        </row>
        <row r="67">
          <cell r="A67" t="str">
            <v>A1065</v>
          </cell>
          <cell r="B67" t="str">
            <v>Data Analytics Course</v>
          </cell>
          <cell r="C67">
            <v>99</v>
          </cell>
          <cell r="D67">
            <v>99</v>
          </cell>
          <cell r="E67">
            <v>4489</v>
          </cell>
          <cell r="F67">
            <v>4489</v>
          </cell>
          <cell r="G67" t="str">
            <v>$183.73</v>
          </cell>
          <cell r="H67" t="str">
            <v>$183.73</v>
          </cell>
          <cell r="I67">
            <v>15</v>
          </cell>
          <cell r="J67">
            <v>15</v>
          </cell>
          <cell r="K67">
            <v>6</v>
          </cell>
          <cell r="L67">
            <v>6</v>
          </cell>
          <cell r="M67">
            <v>6.0606060606060608E-2</v>
          </cell>
          <cell r="N67">
            <v>6.0999999999999999E-2</v>
          </cell>
          <cell r="O67" t="str">
            <v>$1264</v>
          </cell>
          <cell r="P67" t="str">
            <v>$1264</v>
          </cell>
          <cell r="Q67">
            <v>45601</v>
          </cell>
          <cell r="R67" t="str">
            <v>Hyderabad</v>
          </cell>
          <cell r="S67" t="str">
            <v>Desktop</v>
          </cell>
          <cell r="T67" t="str">
            <v>online data analytic</v>
          </cell>
        </row>
        <row r="68">
          <cell r="A68" t="str">
            <v>A1066</v>
          </cell>
          <cell r="B68" t="str">
            <v>Data Analytics Course</v>
          </cell>
          <cell r="C68">
            <v>172</v>
          </cell>
          <cell r="D68">
            <v>172</v>
          </cell>
          <cell r="E68">
            <v>4441</v>
          </cell>
          <cell r="F68">
            <v>4441</v>
          </cell>
          <cell r="G68" t="str">
            <v>$221.18</v>
          </cell>
          <cell r="H68" t="str">
            <v>$221.18</v>
          </cell>
          <cell r="I68">
            <v>14</v>
          </cell>
          <cell r="J68">
            <v>14</v>
          </cell>
          <cell r="K68">
            <v>8</v>
          </cell>
          <cell r="L68">
            <v>8</v>
          </cell>
          <cell r="M68">
            <v>4.6511627906976744E-2</v>
          </cell>
          <cell r="N68">
            <v>4.7E-2</v>
          </cell>
          <cell r="O68" t="str">
            <v>$1771</v>
          </cell>
          <cell r="P68" t="str">
            <v>$1771</v>
          </cell>
          <cell r="Q68">
            <v>45623</v>
          </cell>
          <cell r="R68" t="str">
            <v>Hyderabad</v>
          </cell>
          <cell r="S68" t="str">
            <v>Mobile</v>
          </cell>
          <cell r="T68" t="str">
            <v>analytics for data</v>
          </cell>
        </row>
        <row r="69">
          <cell r="A69" t="str">
            <v>A1067</v>
          </cell>
          <cell r="B69" t="str">
            <v>Data Analytcis Course</v>
          </cell>
          <cell r="C69">
            <v>138</v>
          </cell>
          <cell r="D69">
            <v>138</v>
          </cell>
          <cell r="E69">
            <v>5751</v>
          </cell>
          <cell r="F69">
            <v>5751</v>
          </cell>
          <cell r="G69" t="str">
            <v>$199.11</v>
          </cell>
          <cell r="H69" t="str">
            <v>$199.11</v>
          </cell>
          <cell r="I69">
            <v>26</v>
          </cell>
          <cell r="J69">
            <v>26</v>
          </cell>
          <cell r="K69">
            <v>9</v>
          </cell>
          <cell r="L69">
            <v>9</v>
          </cell>
          <cell r="M69">
            <v>6.5217391304347824E-2</v>
          </cell>
          <cell r="N69">
            <v>5.1999999999999998E-2</v>
          </cell>
          <cell r="O69" t="str">
            <v>$1337</v>
          </cell>
          <cell r="P69" t="str">
            <v>$1337</v>
          </cell>
          <cell r="Q69">
            <v>45606</v>
          </cell>
          <cell r="R69" t="str">
            <v>Chennai</v>
          </cell>
          <cell r="S69" t="str">
            <v>Desktop</v>
          </cell>
          <cell r="T69" t="str">
            <v>data analytics online</v>
          </cell>
        </row>
        <row r="70">
          <cell r="A70" t="str">
            <v>A1068</v>
          </cell>
          <cell r="B70" t="str">
            <v>Data Analytcis Course</v>
          </cell>
          <cell r="C70">
            <v>84</v>
          </cell>
          <cell r="D70">
            <v>84</v>
          </cell>
          <cell r="E70">
            <v>4036</v>
          </cell>
          <cell r="F70">
            <v>4036</v>
          </cell>
          <cell r="G70" t="str">
            <v>$234.22</v>
          </cell>
          <cell r="H70" t="str">
            <v>$234.22</v>
          </cell>
          <cell r="I70">
            <v>23</v>
          </cell>
          <cell r="J70">
            <v>23</v>
          </cell>
          <cell r="K70">
            <v>10</v>
          </cell>
          <cell r="L70">
            <v>10</v>
          </cell>
          <cell r="M70">
            <v>0.11904761904761904</v>
          </cell>
          <cell r="N70">
            <v>0.11899999999999999</v>
          </cell>
          <cell r="O70" t="str">
            <v>$1287</v>
          </cell>
          <cell r="P70" t="str">
            <v>$1287</v>
          </cell>
          <cell r="Q70">
            <v>45600</v>
          </cell>
          <cell r="R70" t="str">
            <v>Chennai</v>
          </cell>
          <cell r="S70" t="str">
            <v>Desktop</v>
          </cell>
          <cell r="T70" t="str">
            <v>learn data analytics</v>
          </cell>
        </row>
        <row r="71">
          <cell r="A71" t="str">
            <v>A1069</v>
          </cell>
          <cell r="B71" t="str">
            <v>Data Analytics Course</v>
          </cell>
          <cell r="C71">
            <v>124</v>
          </cell>
          <cell r="D71">
            <v>124</v>
          </cell>
          <cell r="E71">
            <v>4942</v>
          </cell>
          <cell r="F71">
            <v>4942</v>
          </cell>
          <cell r="G71" t="str">
            <v>$240.59</v>
          </cell>
          <cell r="H71" t="str">
            <v>$240.59</v>
          </cell>
          <cell r="I71">
            <v>18</v>
          </cell>
          <cell r="J71">
            <v>18</v>
          </cell>
          <cell r="K71">
            <v>3</v>
          </cell>
          <cell r="L71">
            <v>3</v>
          </cell>
          <cell r="M71">
            <v>2.4193548387096774E-2</v>
          </cell>
          <cell r="N71">
            <v>2.4E-2</v>
          </cell>
          <cell r="O71" t="str">
            <v>$1922</v>
          </cell>
          <cell r="P71" t="str">
            <v>$1922</v>
          </cell>
          <cell r="Q71">
            <v>45612</v>
          </cell>
          <cell r="R71" t="str">
            <v>Bangaluru</v>
          </cell>
          <cell r="S71" t="str">
            <v>Desktop</v>
          </cell>
          <cell r="T71" t="str">
            <v>learn data analytics</v>
          </cell>
        </row>
        <row r="72">
          <cell r="A72" t="str">
            <v>A1070</v>
          </cell>
          <cell r="B72" t="str">
            <v>Data Analytcis Course</v>
          </cell>
          <cell r="C72">
            <v>122</v>
          </cell>
          <cell r="D72">
            <v>122</v>
          </cell>
          <cell r="E72">
            <v>4989</v>
          </cell>
          <cell r="F72">
            <v>4989</v>
          </cell>
          <cell r="G72" t="str">
            <v>$215.48</v>
          </cell>
          <cell r="H72" t="str">
            <v>$215.48</v>
          </cell>
          <cell r="I72">
            <v>12</v>
          </cell>
          <cell r="J72">
            <v>12</v>
          </cell>
          <cell r="K72">
            <v>5</v>
          </cell>
          <cell r="L72">
            <v>5</v>
          </cell>
          <cell r="M72">
            <v>4.0983606557377046E-2</v>
          </cell>
          <cell r="N72">
            <v>4.1000000000000002E-2</v>
          </cell>
          <cell r="O72" t="str">
            <v>$1975</v>
          </cell>
          <cell r="P72" t="str">
            <v>$1975</v>
          </cell>
          <cell r="Q72">
            <v>45602</v>
          </cell>
          <cell r="R72" t="str">
            <v>Hyderabad</v>
          </cell>
          <cell r="S72" t="str">
            <v>Mobile</v>
          </cell>
          <cell r="T72" t="str">
            <v>data analytics online</v>
          </cell>
        </row>
        <row r="73">
          <cell r="A73" t="str">
            <v>A1071</v>
          </cell>
          <cell r="B73" t="str">
            <v>Data Analytics Course</v>
          </cell>
          <cell r="C73">
            <v>180</v>
          </cell>
          <cell r="D73">
            <v>180</v>
          </cell>
          <cell r="E73">
            <v>3006</v>
          </cell>
          <cell r="F73">
            <v>3006</v>
          </cell>
          <cell r="G73" t="str">
            <v>$228.14</v>
          </cell>
          <cell r="H73" t="str">
            <v>$228.14</v>
          </cell>
          <cell r="I73">
            <v>22</v>
          </cell>
          <cell r="J73">
            <v>22</v>
          </cell>
          <cell r="K73">
            <v>7</v>
          </cell>
          <cell r="L73">
            <v>7</v>
          </cell>
          <cell r="M73">
            <v>3.888888888888889E-2</v>
          </cell>
          <cell r="N73">
            <v>3.9E-2</v>
          </cell>
          <cell r="O73" t="str">
            <v>$1556</v>
          </cell>
          <cell r="P73" t="str">
            <v>$1556</v>
          </cell>
          <cell r="Q73">
            <v>45600</v>
          </cell>
          <cell r="R73" t="str">
            <v>Hyderabad</v>
          </cell>
          <cell r="S73" t="str">
            <v>Tablet</v>
          </cell>
          <cell r="T73" t="str">
            <v>learn data analytics</v>
          </cell>
        </row>
        <row r="74">
          <cell r="A74" t="str">
            <v>A1072</v>
          </cell>
          <cell r="B74" t="str">
            <v>Data Analytics Course</v>
          </cell>
          <cell r="C74">
            <v>133</v>
          </cell>
          <cell r="D74">
            <v>133</v>
          </cell>
          <cell r="E74">
            <v>3728</v>
          </cell>
          <cell r="F74">
            <v>3728</v>
          </cell>
          <cell r="G74" t="str">
            <v>$199.13</v>
          </cell>
          <cell r="H74" t="str">
            <v>$199.13</v>
          </cell>
          <cell r="I74">
            <v>11</v>
          </cell>
          <cell r="J74">
            <v>11</v>
          </cell>
          <cell r="K74">
            <v>10</v>
          </cell>
          <cell r="L74">
            <v>10</v>
          </cell>
          <cell r="M74">
            <v>7.5187969924812026E-2</v>
          </cell>
          <cell r="O74" t="str">
            <v>$1500</v>
          </cell>
          <cell r="Q74">
            <v>45605</v>
          </cell>
          <cell r="R74" t="str">
            <v>Hyderabad</v>
          </cell>
          <cell r="S74" t="str">
            <v>Desktop</v>
          </cell>
          <cell r="T74" t="str">
            <v>data analytics online</v>
          </cell>
        </row>
        <row r="75">
          <cell r="A75" t="str">
            <v>A1073</v>
          </cell>
          <cell r="B75" t="str">
            <v>Data Analytics Course</v>
          </cell>
          <cell r="C75">
            <v>164</v>
          </cell>
          <cell r="D75">
            <v>164</v>
          </cell>
          <cell r="E75">
            <v>3734</v>
          </cell>
          <cell r="F75">
            <v>3734</v>
          </cell>
          <cell r="G75" t="str">
            <v>$225.39</v>
          </cell>
          <cell r="H75" t="str">
            <v>$225.39</v>
          </cell>
          <cell r="I75">
            <v>27</v>
          </cell>
          <cell r="J75">
            <v>27</v>
          </cell>
          <cell r="K75">
            <v>8</v>
          </cell>
          <cell r="L75">
            <v>8</v>
          </cell>
          <cell r="M75">
            <v>4.878048780487805E-2</v>
          </cell>
          <cell r="N75">
            <v>0.04</v>
          </cell>
          <cell r="O75" t="str">
            <v>$1728</v>
          </cell>
          <cell r="P75" t="str">
            <v>$1728</v>
          </cell>
          <cell r="Q75">
            <v>45608</v>
          </cell>
          <cell r="R75" t="str">
            <v>Hyderabad</v>
          </cell>
          <cell r="S75" t="str">
            <v>Tablet</v>
          </cell>
          <cell r="T75" t="str">
            <v>learn data analytics</v>
          </cell>
        </row>
        <row r="76">
          <cell r="A76" t="str">
            <v>A1074</v>
          </cell>
          <cell r="B76" t="str">
            <v>Data Analytics Course</v>
          </cell>
          <cell r="C76">
            <v>150</v>
          </cell>
          <cell r="D76">
            <v>150</v>
          </cell>
          <cell r="E76">
            <v>4621</v>
          </cell>
          <cell r="F76">
            <v>4621</v>
          </cell>
          <cell r="G76" t="str">
            <v>$246.3</v>
          </cell>
          <cell r="H76" t="str">
            <v>$246.3</v>
          </cell>
          <cell r="I76">
            <v>15</v>
          </cell>
          <cell r="J76">
            <v>15</v>
          </cell>
          <cell r="K76">
            <v>6</v>
          </cell>
          <cell r="L76">
            <v>6</v>
          </cell>
          <cell r="M76">
            <v>0.04</v>
          </cell>
          <cell r="N76">
            <v>4.9000000000000002E-2</v>
          </cell>
          <cell r="O76" t="str">
            <v>$1554</v>
          </cell>
          <cell r="P76" t="str">
            <v>$1554</v>
          </cell>
          <cell r="Q76">
            <v>45605</v>
          </cell>
          <cell r="R76" t="str">
            <v>Hyderabad</v>
          </cell>
          <cell r="S76" t="str">
            <v>Desktop</v>
          </cell>
          <cell r="T76" t="str">
            <v>data analytics online</v>
          </cell>
        </row>
        <row r="77">
          <cell r="A77" t="str">
            <v>A1075</v>
          </cell>
          <cell r="B77" t="str">
            <v>Data Analytcis Course</v>
          </cell>
          <cell r="C77">
            <v>97</v>
          </cell>
          <cell r="D77">
            <v>97</v>
          </cell>
          <cell r="E77">
            <v>3212</v>
          </cell>
          <cell r="F77">
            <v>3212</v>
          </cell>
          <cell r="G77" t="str">
            <v>$212.55</v>
          </cell>
          <cell r="H77" t="str">
            <v>$212.55</v>
          </cell>
          <cell r="I77">
            <v>27</v>
          </cell>
          <cell r="J77">
            <v>27</v>
          </cell>
          <cell r="K77">
            <v>10</v>
          </cell>
          <cell r="L77">
            <v>10</v>
          </cell>
          <cell r="M77">
            <v>0.10309278350515463</v>
          </cell>
          <cell r="N77">
            <v>0.10299999999999999</v>
          </cell>
          <cell r="O77" t="str">
            <v>$1994</v>
          </cell>
          <cell r="P77" t="str">
            <v>$1994</v>
          </cell>
          <cell r="Q77">
            <v>45619</v>
          </cell>
          <cell r="R77" t="str">
            <v>Hyderabad</v>
          </cell>
          <cell r="S77" t="str">
            <v>Desktop</v>
          </cell>
          <cell r="T77" t="str">
            <v>analytics for data</v>
          </cell>
        </row>
        <row r="78">
          <cell r="A78" t="str">
            <v>A1076</v>
          </cell>
          <cell r="B78" t="str">
            <v>Data Analytics Course</v>
          </cell>
          <cell r="C78">
            <v>128</v>
          </cell>
          <cell r="D78">
            <v>128</v>
          </cell>
          <cell r="E78">
            <v>4225</v>
          </cell>
          <cell r="F78">
            <v>4225</v>
          </cell>
          <cell r="G78" t="str">
            <v>$228.24</v>
          </cell>
          <cell r="H78" t="str">
            <v>$228.24</v>
          </cell>
          <cell r="I78">
            <v>30</v>
          </cell>
          <cell r="J78">
            <v>30</v>
          </cell>
          <cell r="K78">
            <v>4</v>
          </cell>
          <cell r="L78">
            <v>4</v>
          </cell>
          <cell r="M78">
            <v>3.125E-2</v>
          </cell>
          <cell r="N78">
            <v>3.1E-2</v>
          </cell>
          <cell r="O78" t="str">
            <v>$1618</v>
          </cell>
          <cell r="P78" t="str">
            <v>$1618</v>
          </cell>
          <cell r="Q78">
            <v>45604</v>
          </cell>
          <cell r="R78" t="str">
            <v>Chennai</v>
          </cell>
          <cell r="S78" t="str">
            <v>Mobile</v>
          </cell>
          <cell r="T78" t="str">
            <v>learn data analytics</v>
          </cell>
        </row>
        <row r="79">
          <cell r="A79" t="str">
            <v>A1077</v>
          </cell>
          <cell r="B79" t="str">
            <v>Data Analytics Course</v>
          </cell>
          <cell r="C79">
            <v>99</v>
          </cell>
          <cell r="D79">
            <v>99</v>
          </cell>
          <cell r="E79">
            <v>4779</v>
          </cell>
          <cell r="F79">
            <v>4779</v>
          </cell>
          <cell r="G79" t="str">
            <v>$233.78</v>
          </cell>
          <cell r="H79" t="str">
            <v>$233.78</v>
          </cell>
          <cell r="I79">
            <v>26</v>
          </cell>
          <cell r="J79">
            <v>26</v>
          </cell>
          <cell r="K79">
            <v>10</v>
          </cell>
          <cell r="L79">
            <v>10</v>
          </cell>
          <cell r="M79">
            <v>0.10101010101010101</v>
          </cell>
          <cell r="N79">
            <v>0.10100000000000001</v>
          </cell>
          <cell r="O79" t="str">
            <v>$1086</v>
          </cell>
          <cell r="P79" t="str">
            <v>$1086</v>
          </cell>
          <cell r="Q79">
            <v>45601</v>
          </cell>
          <cell r="R79" t="str">
            <v>Hyderabad</v>
          </cell>
          <cell r="S79" t="str">
            <v>Desktop</v>
          </cell>
          <cell r="T79" t="str">
            <v>online data analytic</v>
          </cell>
        </row>
        <row r="80">
          <cell r="A80" t="str">
            <v>A1078</v>
          </cell>
          <cell r="B80" t="str">
            <v>Data Analytics Course</v>
          </cell>
          <cell r="C80">
            <v>86</v>
          </cell>
          <cell r="D80">
            <v>86</v>
          </cell>
          <cell r="E80">
            <v>5352</v>
          </cell>
          <cell r="F80">
            <v>5352</v>
          </cell>
          <cell r="G80" t="str">
            <v>$234.05</v>
          </cell>
          <cell r="H80" t="str">
            <v>$234.05</v>
          </cell>
          <cell r="I80">
            <v>11</v>
          </cell>
          <cell r="J80">
            <v>11</v>
          </cell>
          <cell r="K80">
            <v>5</v>
          </cell>
          <cell r="L80">
            <v>5</v>
          </cell>
          <cell r="M80">
            <v>5.8139534883720929E-2</v>
          </cell>
          <cell r="N80">
            <v>5.8000000000000003E-2</v>
          </cell>
          <cell r="O80" t="str">
            <v>$1364</v>
          </cell>
          <cell r="P80" t="str">
            <v>$1364</v>
          </cell>
          <cell r="Q80">
            <v>45605</v>
          </cell>
          <cell r="R80" t="str">
            <v>Bangaluru</v>
          </cell>
          <cell r="S80" t="str">
            <v>Tablet</v>
          </cell>
          <cell r="T80" t="str">
            <v>online data analytic</v>
          </cell>
        </row>
        <row r="81">
          <cell r="A81" t="str">
            <v>A1079</v>
          </cell>
          <cell r="B81" t="str">
            <v>Data Analytcis Course</v>
          </cell>
          <cell r="C81">
            <v>118</v>
          </cell>
          <cell r="D81">
            <v>118</v>
          </cell>
          <cell r="E81">
            <v>5405</v>
          </cell>
          <cell r="F81">
            <v>5405</v>
          </cell>
          <cell r="G81" t="str">
            <v>$187.28</v>
          </cell>
          <cell r="H81" t="str">
            <v>$187.28</v>
          </cell>
          <cell r="I81">
            <v>25</v>
          </cell>
          <cell r="J81">
            <v>25</v>
          </cell>
          <cell r="K81">
            <v>7</v>
          </cell>
          <cell r="L81">
            <v>7</v>
          </cell>
          <cell r="M81">
            <v>5.9322033898305086E-2</v>
          </cell>
          <cell r="N81">
            <v>5.8000000000000003E-2</v>
          </cell>
          <cell r="O81" t="str">
            <v>$1836</v>
          </cell>
          <cell r="P81" t="str">
            <v>$1836</v>
          </cell>
          <cell r="Q81">
            <v>45601</v>
          </cell>
          <cell r="R81" t="str">
            <v>Bangaluru</v>
          </cell>
          <cell r="S81" t="str">
            <v>Tablet</v>
          </cell>
          <cell r="T81" t="str">
            <v>analytics for data</v>
          </cell>
        </row>
        <row r="82">
          <cell r="A82" t="str">
            <v>A1080</v>
          </cell>
          <cell r="B82" t="str">
            <v>Data Analytcis Course</v>
          </cell>
          <cell r="C82">
            <v>127</v>
          </cell>
          <cell r="D82">
            <v>127</v>
          </cell>
          <cell r="E82">
            <v>5430</v>
          </cell>
          <cell r="F82">
            <v>5430</v>
          </cell>
          <cell r="G82" t="str">
            <v>$199.13</v>
          </cell>
          <cell r="H82" t="str">
            <v>$199.13</v>
          </cell>
          <cell r="I82">
            <v>14</v>
          </cell>
          <cell r="J82">
            <v>14</v>
          </cell>
          <cell r="K82">
            <v>6</v>
          </cell>
          <cell r="L82">
            <v>6</v>
          </cell>
          <cell r="M82">
            <v>4.7244094488188976E-2</v>
          </cell>
          <cell r="N82">
            <v>4.7E-2</v>
          </cell>
          <cell r="O82" t="str">
            <v>$1932</v>
          </cell>
          <cell r="P82" t="str">
            <v>$1932</v>
          </cell>
          <cell r="Q82">
            <v>45621</v>
          </cell>
          <cell r="R82" t="str">
            <v>Bangaluru</v>
          </cell>
          <cell r="S82" t="str">
            <v>Mobile</v>
          </cell>
          <cell r="T82" t="str">
            <v>analytics for data</v>
          </cell>
        </row>
        <row r="83">
          <cell r="A83" t="str">
            <v>A1081</v>
          </cell>
          <cell r="B83" t="str">
            <v>Data Analytics Course</v>
          </cell>
          <cell r="C83">
            <v>83</v>
          </cell>
          <cell r="D83">
            <v>83</v>
          </cell>
          <cell r="E83">
            <v>4808</v>
          </cell>
          <cell r="F83">
            <v>4808</v>
          </cell>
          <cell r="G83" t="str">
            <v>$241.35</v>
          </cell>
          <cell r="H83" t="str">
            <v>$241.35</v>
          </cell>
          <cell r="I83">
            <v>20</v>
          </cell>
          <cell r="J83">
            <v>20</v>
          </cell>
          <cell r="K83">
            <v>7</v>
          </cell>
          <cell r="L83">
            <v>7</v>
          </cell>
          <cell r="M83">
            <v>8.4337349397590355E-2</v>
          </cell>
          <cell r="N83">
            <v>8.4000000000000005E-2</v>
          </cell>
          <cell r="O83" t="str">
            <v>$1038</v>
          </cell>
          <cell r="P83" t="str">
            <v>$1038</v>
          </cell>
          <cell r="Q83">
            <v>45626</v>
          </cell>
          <cell r="R83" t="str">
            <v>Chennai</v>
          </cell>
          <cell r="S83" t="str">
            <v>Mobile</v>
          </cell>
          <cell r="T83" t="str">
            <v>learn data analytics</v>
          </cell>
        </row>
        <row r="84">
          <cell r="A84" t="str">
            <v>A1082</v>
          </cell>
          <cell r="B84" t="str">
            <v>Data Analytcis Course</v>
          </cell>
          <cell r="C84">
            <v>149</v>
          </cell>
          <cell r="D84">
            <v>149</v>
          </cell>
          <cell r="E84">
            <v>3587</v>
          </cell>
          <cell r="F84">
            <v>3587</v>
          </cell>
          <cell r="G84" t="str">
            <v>$217.53</v>
          </cell>
          <cell r="H84" t="str">
            <v>$217.53</v>
          </cell>
          <cell r="I84">
            <v>23</v>
          </cell>
          <cell r="J84">
            <v>23</v>
          </cell>
          <cell r="K84">
            <v>8</v>
          </cell>
          <cell r="L84">
            <v>8</v>
          </cell>
          <cell r="M84">
            <v>5.3691275167785234E-2</v>
          </cell>
          <cell r="O84" t="str">
            <v>$1500</v>
          </cell>
          <cell r="Q84">
            <v>45613</v>
          </cell>
          <cell r="R84" t="str">
            <v>Bangaluru</v>
          </cell>
          <cell r="S84" t="str">
            <v>Mobile</v>
          </cell>
          <cell r="T84" t="str">
            <v>data analytics online</v>
          </cell>
        </row>
        <row r="85">
          <cell r="A85" t="str">
            <v>A1083</v>
          </cell>
          <cell r="B85" t="str">
            <v>Data Analytics Course</v>
          </cell>
          <cell r="C85">
            <v>168</v>
          </cell>
          <cell r="D85">
            <v>168</v>
          </cell>
          <cell r="E85">
            <v>4683</v>
          </cell>
          <cell r="F85">
            <v>4683</v>
          </cell>
          <cell r="G85" t="str">
            <v>$215.28</v>
          </cell>
          <cell r="H85" t="str">
            <v>$215.28</v>
          </cell>
          <cell r="I85">
            <v>30</v>
          </cell>
          <cell r="J85">
            <v>30</v>
          </cell>
          <cell r="K85">
            <v>8</v>
          </cell>
          <cell r="L85">
            <v>8</v>
          </cell>
          <cell r="M85">
            <v>4.7619047619047616E-2</v>
          </cell>
          <cell r="N85">
            <v>4.8000000000000001E-2</v>
          </cell>
          <cell r="O85" t="str">
            <v>$1327</v>
          </cell>
          <cell r="P85" t="str">
            <v>$1327</v>
          </cell>
          <cell r="Q85">
            <v>45624</v>
          </cell>
          <cell r="R85" t="str">
            <v>Hyderabad</v>
          </cell>
          <cell r="S85" t="str">
            <v>Mobile</v>
          </cell>
          <cell r="T85" t="str">
            <v>data analytics online</v>
          </cell>
        </row>
        <row r="86">
          <cell r="A86" t="str">
            <v>A1084</v>
          </cell>
          <cell r="B86" t="str">
            <v>Data Analytics Course</v>
          </cell>
          <cell r="C86">
            <v>112</v>
          </cell>
          <cell r="D86">
            <v>112</v>
          </cell>
          <cell r="E86">
            <v>5814</v>
          </cell>
          <cell r="F86">
            <v>5814</v>
          </cell>
          <cell r="G86" t="str">
            <v>$227.38</v>
          </cell>
          <cell r="H86" t="str">
            <v>$227.38</v>
          </cell>
          <cell r="I86">
            <v>11</v>
          </cell>
          <cell r="J86">
            <v>11</v>
          </cell>
          <cell r="K86">
            <v>8</v>
          </cell>
          <cell r="L86">
            <v>8</v>
          </cell>
          <cell r="M86">
            <v>7.1428571428571425E-2</v>
          </cell>
          <cell r="N86">
            <v>7.0999999999999994E-2</v>
          </cell>
          <cell r="O86" t="str">
            <v>$1467</v>
          </cell>
          <cell r="P86" t="str">
            <v>$1467</v>
          </cell>
          <cell r="Q86">
            <v>45599</v>
          </cell>
          <cell r="R86" t="str">
            <v>Chennai</v>
          </cell>
          <cell r="S86" t="str">
            <v>Tablet</v>
          </cell>
          <cell r="T86" t="str">
            <v>analytics for data</v>
          </cell>
        </row>
        <row r="87">
          <cell r="A87" t="str">
            <v>A1085</v>
          </cell>
          <cell r="B87" t="str">
            <v>Data Analytics Course</v>
          </cell>
          <cell r="C87">
            <v>123</v>
          </cell>
          <cell r="D87">
            <v>123</v>
          </cell>
          <cell r="E87">
            <v>3292</v>
          </cell>
          <cell r="F87">
            <v>3292</v>
          </cell>
          <cell r="G87" t="str">
            <v>$233.2</v>
          </cell>
          <cell r="H87" t="str">
            <v>$233.2</v>
          </cell>
          <cell r="I87">
            <v>28</v>
          </cell>
          <cell r="J87">
            <v>28</v>
          </cell>
          <cell r="K87">
            <v>6</v>
          </cell>
          <cell r="L87">
            <v>6</v>
          </cell>
          <cell r="M87">
            <v>4.878048780487805E-2</v>
          </cell>
          <cell r="N87">
            <v>4.9000000000000002E-2</v>
          </cell>
          <cell r="O87" t="str">
            <v>$1174</v>
          </cell>
          <cell r="P87" t="str">
            <v>$1174</v>
          </cell>
          <cell r="Q87">
            <v>45615</v>
          </cell>
          <cell r="R87" t="str">
            <v>Hyderabad</v>
          </cell>
          <cell r="S87" t="str">
            <v>Desktop</v>
          </cell>
          <cell r="T87" t="str">
            <v>data analytics training</v>
          </cell>
        </row>
        <row r="88">
          <cell r="A88" t="str">
            <v>A1086</v>
          </cell>
          <cell r="B88" t="str">
            <v>Data Analytics Course</v>
          </cell>
          <cell r="C88">
            <v>174</v>
          </cell>
          <cell r="D88">
            <v>174</v>
          </cell>
          <cell r="E88">
            <v>4305</v>
          </cell>
          <cell r="F88">
            <v>4305</v>
          </cell>
          <cell r="G88" t="str">
            <v>$206.02</v>
          </cell>
          <cell r="H88" t="str">
            <v>$206.02</v>
          </cell>
          <cell r="I88">
            <v>20</v>
          </cell>
          <cell r="J88">
            <v>20</v>
          </cell>
          <cell r="K88">
            <v>3</v>
          </cell>
          <cell r="L88">
            <v>3</v>
          </cell>
          <cell r="M88">
            <v>1.7241379310344827E-2</v>
          </cell>
          <cell r="N88">
            <v>3.4000000000000002E-2</v>
          </cell>
          <cell r="O88" t="str">
            <v>$1057</v>
          </cell>
          <cell r="P88" t="str">
            <v>$1057</v>
          </cell>
          <cell r="Q88">
            <v>45619</v>
          </cell>
          <cell r="R88" t="str">
            <v>Hyderabad</v>
          </cell>
          <cell r="S88" t="str">
            <v>Desktop</v>
          </cell>
          <cell r="T88" t="str">
            <v>learn data analytics</v>
          </cell>
        </row>
        <row r="89">
          <cell r="A89" t="str">
            <v>A1087</v>
          </cell>
          <cell r="B89" t="str">
            <v>Data Analytics Course</v>
          </cell>
          <cell r="C89">
            <v>143</v>
          </cell>
          <cell r="D89">
            <v>143</v>
          </cell>
          <cell r="E89">
            <v>4368</v>
          </cell>
          <cell r="F89">
            <v>4368</v>
          </cell>
          <cell r="G89" t="str">
            <v>$200.00</v>
          </cell>
          <cell r="I89">
            <v>27</v>
          </cell>
          <cell r="J89">
            <v>27</v>
          </cell>
          <cell r="K89">
            <v>7</v>
          </cell>
          <cell r="L89">
            <v>7</v>
          </cell>
          <cell r="M89">
            <v>4.8951048951048952E-2</v>
          </cell>
          <cell r="N89">
            <v>4.9000000000000002E-2</v>
          </cell>
          <cell r="O89" t="str">
            <v>$1199</v>
          </cell>
          <cell r="P89" t="str">
            <v>$1199</v>
          </cell>
          <cell r="Q89">
            <v>45599</v>
          </cell>
          <cell r="R89" t="str">
            <v>Bangaluru</v>
          </cell>
          <cell r="S89" t="str">
            <v>Tablet</v>
          </cell>
          <cell r="T89" t="str">
            <v>analytics for data</v>
          </cell>
        </row>
        <row r="90">
          <cell r="A90" t="str">
            <v>A1088</v>
          </cell>
          <cell r="B90" t="str">
            <v>Data Analytcis Course</v>
          </cell>
          <cell r="C90">
            <v>195</v>
          </cell>
          <cell r="D90">
            <v>195</v>
          </cell>
          <cell r="E90">
            <v>5935</v>
          </cell>
          <cell r="F90">
            <v>5935</v>
          </cell>
          <cell r="G90" t="str">
            <v>$209.68</v>
          </cell>
          <cell r="H90" t="str">
            <v>$209.68</v>
          </cell>
          <cell r="I90">
            <v>23</v>
          </cell>
          <cell r="J90">
            <v>23</v>
          </cell>
          <cell r="K90">
            <v>9</v>
          </cell>
          <cell r="L90">
            <v>9</v>
          </cell>
          <cell r="M90">
            <v>4.6153846153846156E-2</v>
          </cell>
          <cell r="N90">
            <v>4.5999999999999999E-2</v>
          </cell>
          <cell r="O90" t="str">
            <v>$1966</v>
          </cell>
          <cell r="P90" t="str">
            <v>$1966</v>
          </cell>
          <cell r="Q90">
            <v>45603</v>
          </cell>
          <cell r="R90" t="str">
            <v>Bangaluru</v>
          </cell>
          <cell r="S90" t="str">
            <v>Tablet</v>
          </cell>
          <cell r="T90" t="str">
            <v>online data analytic</v>
          </cell>
        </row>
        <row r="91">
          <cell r="A91" t="str">
            <v>A1089</v>
          </cell>
          <cell r="B91" t="str">
            <v>Data Analytics Course</v>
          </cell>
          <cell r="C91">
            <v>176</v>
          </cell>
          <cell r="D91">
            <v>176</v>
          </cell>
          <cell r="E91">
            <v>5847</v>
          </cell>
          <cell r="F91">
            <v>5847</v>
          </cell>
          <cell r="G91" t="str">
            <v>$241.04</v>
          </cell>
          <cell r="H91" t="str">
            <v>$241.04</v>
          </cell>
          <cell r="I91">
            <v>13</v>
          </cell>
          <cell r="J91">
            <v>13</v>
          </cell>
          <cell r="K91">
            <v>6</v>
          </cell>
          <cell r="L91">
            <v>6</v>
          </cell>
          <cell r="M91">
            <v>3.4090909090909088E-2</v>
          </cell>
          <cell r="N91">
            <v>3.4000000000000002E-2</v>
          </cell>
          <cell r="O91" t="str">
            <v>$1194</v>
          </cell>
          <cell r="P91" t="str">
            <v>$1194</v>
          </cell>
          <cell r="Q91">
            <v>45598</v>
          </cell>
          <cell r="R91" t="str">
            <v>Hyderabad</v>
          </cell>
          <cell r="S91" t="str">
            <v>Desktop</v>
          </cell>
          <cell r="T91" t="str">
            <v>online data analytic</v>
          </cell>
        </row>
        <row r="92">
          <cell r="A92" t="str">
            <v>A1090</v>
          </cell>
          <cell r="B92" t="str">
            <v>Data Analytics Course</v>
          </cell>
          <cell r="C92">
            <v>141</v>
          </cell>
          <cell r="D92">
            <v>141</v>
          </cell>
          <cell r="E92">
            <v>4851</v>
          </cell>
          <cell r="F92">
            <v>4851</v>
          </cell>
          <cell r="G92" t="str">
            <v>$227.39</v>
          </cell>
          <cell r="H92" t="str">
            <v>$227.39</v>
          </cell>
          <cell r="I92">
            <v>28</v>
          </cell>
          <cell r="J92">
            <v>28</v>
          </cell>
          <cell r="K92">
            <v>5</v>
          </cell>
          <cell r="L92">
            <v>5</v>
          </cell>
          <cell r="M92">
            <v>3.5460992907801421E-2</v>
          </cell>
          <cell r="O92" t="str">
            <v>$1821</v>
          </cell>
          <cell r="P92" t="str">
            <v>$1821</v>
          </cell>
          <cell r="Q92">
            <v>45611</v>
          </cell>
          <cell r="R92" t="str">
            <v>Hyderabad</v>
          </cell>
          <cell r="S92" t="str">
            <v>Desktop</v>
          </cell>
          <cell r="T92" t="str">
            <v>analytics for data</v>
          </cell>
        </row>
        <row r="93">
          <cell r="A93" t="str">
            <v>A1091</v>
          </cell>
          <cell r="B93" t="str">
            <v>Data Analytics Course</v>
          </cell>
          <cell r="C93">
            <v>108</v>
          </cell>
          <cell r="D93">
            <v>108</v>
          </cell>
          <cell r="E93">
            <v>4710</v>
          </cell>
          <cell r="F93">
            <v>4710</v>
          </cell>
          <cell r="G93" t="str">
            <v>$204.16</v>
          </cell>
          <cell r="H93" t="str">
            <v>$204.16</v>
          </cell>
          <cell r="I93">
            <v>19</v>
          </cell>
          <cell r="J93">
            <v>19</v>
          </cell>
          <cell r="K93">
            <v>10</v>
          </cell>
          <cell r="L93">
            <v>10</v>
          </cell>
          <cell r="M93">
            <v>9.2592592592592587E-2</v>
          </cell>
          <cell r="N93">
            <v>9.2999999999999999E-2</v>
          </cell>
          <cell r="O93" t="str">
            <v>$1731</v>
          </cell>
          <cell r="P93" t="str">
            <v>$1731</v>
          </cell>
          <cell r="Q93">
            <v>45616</v>
          </cell>
          <cell r="R93" t="str">
            <v>Chennai</v>
          </cell>
          <cell r="S93" t="str">
            <v>Tablet</v>
          </cell>
          <cell r="T93" t="str">
            <v>data analytics online</v>
          </cell>
        </row>
        <row r="94">
          <cell r="A94" t="str">
            <v>A1092</v>
          </cell>
          <cell r="B94" t="str">
            <v>Data Analytics Course</v>
          </cell>
          <cell r="C94">
            <v>112</v>
          </cell>
          <cell r="D94">
            <v>112</v>
          </cell>
          <cell r="E94">
            <v>3345</v>
          </cell>
          <cell r="F94">
            <v>3345</v>
          </cell>
          <cell r="G94" t="str">
            <v>$200.00</v>
          </cell>
          <cell r="I94">
            <v>11</v>
          </cell>
          <cell r="J94">
            <v>11</v>
          </cell>
          <cell r="K94">
            <v>6</v>
          </cell>
          <cell r="L94">
            <v>6</v>
          </cell>
          <cell r="M94">
            <v>5.3571428571428568E-2</v>
          </cell>
          <cell r="N94">
            <v>4.7E-2</v>
          </cell>
          <cell r="O94" t="str">
            <v>$1859</v>
          </cell>
          <cell r="P94" t="str">
            <v>$1859</v>
          </cell>
          <cell r="Q94">
            <v>45619</v>
          </cell>
          <cell r="R94" t="str">
            <v>Chennai</v>
          </cell>
          <cell r="S94" t="str">
            <v>Tablet</v>
          </cell>
          <cell r="T94" t="str">
            <v>analytics for data</v>
          </cell>
        </row>
        <row r="95">
          <cell r="A95" t="str">
            <v>A1093</v>
          </cell>
          <cell r="B95" t="str">
            <v>Data Analytics Course</v>
          </cell>
          <cell r="C95">
            <v>138.95699356913184</v>
          </cell>
          <cell r="E95">
            <v>5903</v>
          </cell>
          <cell r="F95">
            <v>5903</v>
          </cell>
          <cell r="G95" t="str">
            <v>$184.41</v>
          </cell>
          <cell r="H95" t="str">
            <v>$184.41</v>
          </cell>
          <cell r="I95">
            <v>23</v>
          </cell>
          <cell r="J95">
            <v>23</v>
          </cell>
          <cell r="K95">
            <v>9</v>
          </cell>
          <cell r="L95">
            <v>9</v>
          </cell>
          <cell r="M95">
            <v>6.4768240653698753E-2</v>
          </cell>
          <cell r="O95" t="str">
            <v>$1188</v>
          </cell>
          <cell r="P95" t="str">
            <v>$1188</v>
          </cell>
          <cell r="Q95">
            <v>45616</v>
          </cell>
          <cell r="R95" t="str">
            <v>Chennai</v>
          </cell>
          <cell r="S95" t="str">
            <v>Tablet</v>
          </cell>
          <cell r="T95" t="str">
            <v>online data analytic</v>
          </cell>
        </row>
        <row r="96">
          <cell r="A96" t="str">
            <v>A1094</v>
          </cell>
          <cell r="B96" t="str">
            <v>Data Analytcis Course</v>
          </cell>
          <cell r="C96">
            <v>145</v>
          </cell>
          <cell r="D96">
            <v>145</v>
          </cell>
          <cell r="E96">
            <v>5004</v>
          </cell>
          <cell r="F96">
            <v>5004</v>
          </cell>
          <cell r="G96" t="str">
            <v>$216.45</v>
          </cell>
          <cell r="H96" t="str">
            <v>$216.45</v>
          </cell>
          <cell r="I96">
            <v>22</v>
          </cell>
          <cell r="J96">
            <v>22</v>
          </cell>
          <cell r="K96">
            <v>5</v>
          </cell>
          <cell r="L96">
            <v>5</v>
          </cell>
          <cell r="M96">
            <v>3.4482758620689655E-2</v>
          </cell>
          <cell r="N96">
            <v>3.4000000000000002E-2</v>
          </cell>
          <cell r="O96" t="str">
            <v>$1496</v>
          </cell>
          <cell r="P96" t="str">
            <v>$1496</v>
          </cell>
          <cell r="Q96">
            <v>45597</v>
          </cell>
          <cell r="R96" t="str">
            <v>Bangaluru</v>
          </cell>
          <cell r="S96" t="str">
            <v>Tablet</v>
          </cell>
          <cell r="T96" t="str">
            <v>data analytics online</v>
          </cell>
        </row>
        <row r="97">
          <cell r="A97" t="str">
            <v>A1095</v>
          </cell>
          <cell r="B97" t="str">
            <v>Data Analytics Course</v>
          </cell>
          <cell r="C97">
            <v>183</v>
          </cell>
          <cell r="D97">
            <v>183</v>
          </cell>
          <cell r="E97">
            <v>3947</v>
          </cell>
          <cell r="F97">
            <v>3947</v>
          </cell>
          <cell r="G97" t="str">
            <v>$197.3</v>
          </cell>
          <cell r="H97" t="str">
            <v>$197.3</v>
          </cell>
          <cell r="I97">
            <v>15</v>
          </cell>
          <cell r="J97">
            <v>15</v>
          </cell>
          <cell r="K97">
            <v>8</v>
          </cell>
          <cell r="L97">
            <v>8</v>
          </cell>
          <cell r="M97">
            <v>4.3715846994535519E-2</v>
          </cell>
          <cell r="N97">
            <v>4.3999999999999997E-2</v>
          </cell>
          <cell r="O97" t="str">
            <v>$1645</v>
          </cell>
          <cell r="P97" t="str">
            <v>$1645</v>
          </cell>
          <cell r="Q97">
            <v>45610</v>
          </cell>
          <cell r="R97" t="str">
            <v>Chennai</v>
          </cell>
          <cell r="S97" t="str">
            <v>Desktop</v>
          </cell>
          <cell r="T97" t="str">
            <v>data analytics training</v>
          </cell>
        </row>
        <row r="98">
          <cell r="A98" t="str">
            <v>A1096</v>
          </cell>
          <cell r="B98" t="str">
            <v>Data Analytics Course</v>
          </cell>
          <cell r="C98">
            <v>113</v>
          </cell>
          <cell r="D98">
            <v>113</v>
          </cell>
          <cell r="E98">
            <v>3690</v>
          </cell>
          <cell r="F98">
            <v>3690</v>
          </cell>
          <cell r="G98" t="str">
            <v>$229.42</v>
          </cell>
          <cell r="H98" t="str">
            <v>$229.42</v>
          </cell>
          <cell r="I98">
            <v>20</v>
          </cell>
          <cell r="J98">
            <v>20</v>
          </cell>
          <cell r="K98">
            <v>5</v>
          </cell>
          <cell r="L98">
            <v>5</v>
          </cell>
          <cell r="M98">
            <v>4.4247787610619468E-2</v>
          </cell>
          <cell r="N98">
            <v>4.3999999999999997E-2</v>
          </cell>
          <cell r="O98" t="str">
            <v>$1915</v>
          </cell>
          <cell r="P98" t="str">
            <v>$1915</v>
          </cell>
          <cell r="Q98">
            <v>45624</v>
          </cell>
          <cell r="R98" t="str">
            <v>Hyderabad</v>
          </cell>
          <cell r="S98" t="str">
            <v>Tablet</v>
          </cell>
          <cell r="T98" t="str">
            <v>learn data analytics</v>
          </cell>
        </row>
        <row r="99">
          <cell r="A99" t="str">
            <v>A1097</v>
          </cell>
          <cell r="B99" t="str">
            <v>Data Analytcis Course</v>
          </cell>
          <cell r="C99">
            <v>101</v>
          </cell>
          <cell r="D99">
            <v>101</v>
          </cell>
          <cell r="E99">
            <v>5943</v>
          </cell>
          <cell r="F99">
            <v>5943</v>
          </cell>
          <cell r="G99" t="str">
            <v>$187.32</v>
          </cell>
          <cell r="H99" t="str">
            <v>$187.32</v>
          </cell>
          <cell r="I99">
            <v>27</v>
          </cell>
          <cell r="J99">
            <v>27</v>
          </cell>
          <cell r="K99">
            <v>6</v>
          </cell>
          <cell r="L99">
            <v>6</v>
          </cell>
          <cell r="M99">
            <v>5.9405940594059403E-2</v>
          </cell>
          <cell r="N99">
            <v>5.8999999999999997E-2</v>
          </cell>
          <cell r="O99" t="str">
            <v>$1614</v>
          </cell>
          <cell r="P99" t="str">
            <v>$1614</v>
          </cell>
          <cell r="Q99">
            <v>45611</v>
          </cell>
          <cell r="R99" t="str">
            <v>Bangaluru</v>
          </cell>
          <cell r="S99" t="str">
            <v>Tablet</v>
          </cell>
          <cell r="T99" t="str">
            <v>data analytics online</v>
          </cell>
        </row>
        <row r="100">
          <cell r="A100" t="str">
            <v>A1098</v>
          </cell>
          <cell r="B100" t="str">
            <v>Data Analytics Course</v>
          </cell>
          <cell r="C100">
            <v>189</v>
          </cell>
          <cell r="D100">
            <v>189</v>
          </cell>
          <cell r="E100">
            <v>5357</v>
          </cell>
          <cell r="F100">
            <v>5357</v>
          </cell>
          <cell r="G100" t="str">
            <v>$222.5</v>
          </cell>
          <cell r="H100" t="str">
            <v>$222.5</v>
          </cell>
          <cell r="I100">
            <v>24</v>
          </cell>
          <cell r="J100">
            <v>24</v>
          </cell>
          <cell r="K100">
            <v>3</v>
          </cell>
          <cell r="L100">
            <v>3</v>
          </cell>
          <cell r="M100">
            <v>1.5873015873015872E-2</v>
          </cell>
          <cell r="N100">
            <v>0.05</v>
          </cell>
          <cell r="O100" t="str">
            <v>$1839</v>
          </cell>
          <cell r="P100" t="str">
            <v>$1839</v>
          </cell>
          <cell r="Q100">
            <v>45621</v>
          </cell>
          <cell r="R100" t="str">
            <v>Bangaluru</v>
          </cell>
          <cell r="S100" t="str">
            <v>Tablet</v>
          </cell>
          <cell r="T100" t="str">
            <v>data analytics course</v>
          </cell>
        </row>
        <row r="101">
          <cell r="A101" t="str">
            <v>A1099</v>
          </cell>
          <cell r="B101" t="str">
            <v>Data Analytics Course</v>
          </cell>
          <cell r="C101">
            <v>154</v>
          </cell>
          <cell r="D101">
            <v>154</v>
          </cell>
          <cell r="E101">
            <v>3596</v>
          </cell>
          <cell r="F101">
            <v>3596</v>
          </cell>
          <cell r="G101" t="str">
            <v>$236.14</v>
          </cell>
          <cell r="H101" t="str">
            <v>$236.14</v>
          </cell>
          <cell r="I101">
            <v>30</v>
          </cell>
          <cell r="J101">
            <v>30</v>
          </cell>
          <cell r="K101">
            <v>9</v>
          </cell>
          <cell r="L101">
            <v>9</v>
          </cell>
          <cell r="M101">
            <v>5.844155844155844E-2</v>
          </cell>
          <cell r="N101">
            <v>5.8000000000000003E-2</v>
          </cell>
          <cell r="O101" t="str">
            <v>$1036</v>
          </cell>
          <cell r="P101" t="str">
            <v>$1036</v>
          </cell>
          <cell r="Q101">
            <v>45602</v>
          </cell>
          <cell r="R101" t="str">
            <v>Hyderabad</v>
          </cell>
          <cell r="S101" t="str">
            <v>Tablet</v>
          </cell>
          <cell r="T101" t="str">
            <v>online data analytic</v>
          </cell>
        </row>
        <row r="102">
          <cell r="A102" t="str">
            <v>A1100</v>
          </cell>
          <cell r="B102" t="str">
            <v>Data Analytics Course</v>
          </cell>
          <cell r="C102">
            <v>179</v>
          </cell>
          <cell r="D102">
            <v>179</v>
          </cell>
          <cell r="E102">
            <v>5162</v>
          </cell>
          <cell r="F102">
            <v>5162</v>
          </cell>
          <cell r="G102" t="str">
            <v>$246.76</v>
          </cell>
          <cell r="H102" t="str">
            <v>$246.76</v>
          </cell>
          <cell r="I102">
            <v>16</v>
          </cell>
          <cell r="J102">
            <v>16</v>
          </cell>
          <cell r="K102">
            <v>5</v>
          </cell>
          <cell r="L102">
            <v>5</v>
          </cell>
          <cell r="M102">
            <v>2.7932960893854747E-2</v>
          </cell>
          <cell r="N102">
            <v>0.05</v>
          </cell>
          <cell r="O102" t="str">
            <v>$1052</v>
          </cell>
          <cell r="P102" t="str">
            <v>$1052</v>
          </cell>
          <cell r="Q102">
            <v>45625</v>
          </cell>
          <cell r="R102" t="str">
            <v>Chennai</v>
          </cell>
          <cell r="S102" t="str">
            <v>Desktop</v>
          </cell>
          <cell r="T102" t="str">
            <v>online data analytic</v>
          </cell>
        </row>
        <row r="103">
          <cell r="A103" t="str">
            <v>A1101</v>
          </cell>
          <cell r="B103" t="str">
            <v>Data Analytics Course</v>
          </cell>
          <cell r="C103">
            <v>148</v>
          </cell>
          <cell r="D103">
            <v>148</v>
          </cell>
          <cell r="E103">
            <v>3747</v>
          </cell>
          <cell r="F103">
            <v>3747</v>
          </cell>
          <cell r="G103" t="str">
            <v>$244.41</v>
          </cell>
          <cell r="H103" t="str">
            <v>$244.41</v>
          </cell>
          <cell r="I103">
            <v>18</v>
          </cell>
          <cell r="J103">
            <v>18</v>
          </cell>
          <cell r="K103">
            <v>8</v>
          </cell>
          <cell r="L103">
            <v>8</v>
          </cell>
          <cell r="M103">
            <v>5.4054054054054057E-2</v>
          </cell>
          <cell r="N103">
            <v>5.3999999999999999E-2</v>
          </cell>
          <cell r="O103" t="str">
            <v>$1092</v>
          </cell>
          <cell r="P103" t="str">
            <v>$1092</v>
          </cell>
          <cell r="Q103">
            <v>45613</v>
          </cell>
          <cell r="R103" t="str">
            <v>Hyderabad</v>
          </cell>
          <cell r="S103" t="str">
            <v>Tablet</v>
          </cell>
          <cell r="T103" t="str">
            <v>learn data analytics</v>
          </cell>
        </row>
        <row r="104">
          <cell r="A104" t="str">
            <v>A1102</v>
          </cell>
          <cell r="B104" t="str">
            <v>Data Analytics Course</v>
          </cell>
          <cell r="C104">
            <v>177</v>
          </cell>
          <cell r="D104">
            <v>177</v>
          </cell>
          <cell r="E104">
            <v>4822</v>
          </cell>
          <cell r="F104">
            <v>4822</v>
          </cell>
          <cell r="G104" t="str">
            <v>$197.03</v>
          </cell>
          <cell r="H104" t="str">
            <v>$197.03</v>
          </cell>
          <cell r="I104">
            <v>26</v>
          </cell>
          <cell r="J104">
            <v>26</v>
          </cell>
          <cell r="K104">
            <v>9</v>
          </cell>
          <cell r="L104">
            <v>9</v>
          </cell>
          <cell r="M104">
            <v>5.0847457627118647E-2</v>
          </cell>
          <cell r="N104">
            <v>5.0999999999999997E-2</v>
          </cell>
          <cell r="O104" t="str">
            <v>$1909</v>
          </cell>
          <cell r="P104" t="str">
            <v>$1909</v>
          </cell>
          <cell r="Q104">
            <v>45600</v>
          </cell>
          <cell r="R104" t="str">
            <v>Chennai</v>
          </cell>
          <cell r="S104" t="str">
            <v>Mobile</v>
          </cell>
          <cell r="T104" t="str">
            <v>online data analytic</v>
          </cell>
        </row>
        <row r="105">
          <cell r="A105" t="str">
            <v>A1103</v>
          </cell>
          <cell r="B105" t="str">
            <v>Data Analytcis Course</v>
          </cell>
          <cell r="C105">
            <v>119</v>
          </cell>
          <cell r="D105">
            <v>119</v>
          </cell>
          <cell r="E105">
            <v>5800</v>
          </cell>
          <cell r="F105">
            <v>5800</v>
          </cell>
          <cell r="G105" t="str">
            <v>$221.36</v>
          </cell>
          <cell r="H105" t="str">
            <v>$221.36</v>
          </cell>
          <cell r="I105">
            <v>11</v>
          </cell>
          <cell r="J105">
            <v>11</v>
          </cell>
          <cell r="K105">
            <v>8</v>
          </cell>
          <cell r="L105">
            <v>8</v>
          </cell>
          <cell r="M105">
            <v>6.7226890756302518E-2</v>
          </cell>
          <cell r="O105" t="str">
            <v>$1500</v>
          </cell>
          <cell r="Q105">
            <v>45625</v>
          </cell>
          <cell r="R105" t="str">
            <v>Bangaluru</v>
          </cell>
          <cell r="S105" t="str">
            <v>Desktop</v>
          </cell>
          <cell r="T105" t="str">
            <v>analytics for data</v>
          </cell>
        </row>
        <row r="106">
          <cell r="A106" t="str">
            <v>A1104</v>
          </cell>
          <cell r="B106" t="str">
            <v>Data Analytcis Course</v>
          </cell>
          <cell r="C106">
            <v>89</v>
          </cell>
          <cell r="D106">
            <v>89</v>
          </cell>
          <cell r="E106">
            <v>3594</v>
          </cell>
          <cell r="F106">
            <v>3594</v>
          </cell>
          <cell r="G106" t="str">
            <v>$200.00</v>
          </cell>
          <cell r="I106">
            <v>14</v>
          </cell>
          <cell r="J106">
            <v>14</v>
          </cell>
          <cell r="K106">
            <v>6</v>
          </cell>
          <cell r="L106">
            <v>6</v>
          </cell>
          <cell r="M106">
            <v>6.741573033707865E-2</v>
          </cell>
          <cell r="N106">
            <v>6.7000000000000004E-2</v>
          </cell>
          <cell r="O106" t="str">
            <v>$1026</v>
          </cell>
          <cell r="P106" t="str">
            <v>$1026</v>
          </cell>
          <cell r="Q106">
            <v>45611</v>
          </cell>
          <cell r="R106" t="str">
            <v>Hyderabad</v>
          </cell>
          <cell r="S106" t="str">
            <v>Tablet</v>
          </cell>
          <cell r="T106" t="str">
            <v>data analytics course</v>
          </cell>
        </row>
        <row r="107">
          <cell r="A107" t="str">
            <v>A1105</v>
          </cell>
          <cell r="B107" t="str">
            <v>Data Analytcis Course</v>
          </cell>
          <cell r="C107">
            <v>146</v>
          </cell>
          <cell r="D107">
            <v>146</v>
          </cell>
          <cell r="E107">
            <v>4765</v>
          </cell>
          <cell r="F107">
            <v>4765</v>
          </cell>
          <cell r="G107" t="str">
            <v>$230.22</v>
          </cell>
          <cell r="H107" t="str">
            <v>$230.22</v>
          </cell>
          <cell r="I107">
            <v>23</v>
          </cell>
          <cell r="J107">
            <v>23</v>
          </cell>
          <cell r="K107">
            <v>5</v>
          </cell>
          <cell r="L107">
            <v>5</v>
          </cell>
          <cell r="M107">
            <v>3.4246575342465752E-2</v>
          </cell>
          <cell r="N107">
            <v>3.4000000000000002E-2</v>
          </cell>
          <cell r="O107" t="str">
            <v>$1944</v>
          </cell>
          <cell r="P107" t="str">
            <v>$1944</v>
          </cell>
          <cell r="Q107">
            <v>45624</v>
          </cell>
          <cell r="R107" t="str">
            <v>Hyderabad</v>
          </cell>
          <cell r="S107" t="str">
            <v>Tablet</v>
          </cell>
          <cell r="T107" t="str">
            <v>analytics for data</v>
          </cell>
        </row>
        <row r="108">
          <cell r="A108" t="str">
            <v>A1106</v>
          </cell>
          <cell r="B108" t="str">
            <v>Data Analytics Course</v>
          </cell>
          <cell r="C108">
            <v>109</v>
          </cell>
          <cell r="D108">
            <v>109</v>
          </cell>
          <cell r="E108">
            <v>4128</v>
          </cell>
          <cell r="F108">
            <v>4128</v>
          </cell>
          <cell r="G108" t="str">
            <v>$183.65</v>
          </cell>
          <cell r="H108" t="str">
            <v>$183.65</v>
          </cell>
          <cell r="I108">
            <v>12</v>
          </cell>
          <cell r="J108">
            <v>12</v>
          </cell>
          <cell r="K108">
            <v>5</v>
          </cell>
          <cell r="L108">
            <v>5</v>
          </cell>
          <cell r="M108">
            <v>4.5871559633027525E-2</v>
          </cell>
          <cell r="O108" t="str">
            <v>$1500</v>
          </cell>
          <cell r="Q108">
            <v>45626</v>
          </cell>
          <cell r="R108" t="str">
            <v>Hyderabad</v>
          </cell>
          <cell r="S108" t="str">
            <v>Desktop</v>
          </cell>
          <cell r="T108" t="str">
            <v>data analytics online</v>
          </cell>
        </row>
        <row r="109">
          <cell r="A109" t="str">
            <v>A1107</v>
          </cell>
          <cell r="B109" t="str">
            <v>Data Analytics Course</v>
          </cell>
          <cell r="C109">
            <v>159</v>
          </cell>
          <cell r="D109">
            <v>159</v>
          </cell>
          <cell r="E109">
            <v>5127</v>
          </cell>
          <cell r="F109">
            <v>5127</v>
          </cell>
          <cell r="G109" t="str">
            <v>$197.16</v>
          </cell>
          <cell r="H109" t="str">
            <v>$197.16</v>
          </cell>
          <cell r="I109">
            <v>21</v>
          </cell>
          <cell r="J109">
            <v>21</v>
          </cell>
          <cell r="K109">
            <v>4</v>
          </cell>
          <cell r="L109">
            <v>4</v>
          </cell>
          <cell r="M109">
            <v>2.5157232704402517E-2</v>
          </cell>
          <cell r="N109">
            <v>2.5000000000000001E-2</v>
          </cell>
          <cell r="O109" t="str">
            <v>$1867</v>
          </cell>
          <cell r="P109" t="str">
            <v>$1867</v>
          </cell>
          <cell r="Q109">
            <v>45599</v>
          </cell>
          <cell r="R109" t="str">
            <v>Hyderabad</v>
          </cell>
          <cell r="S109" t="str">
            <v>Tablet</v>
          </cell>
          <cell r="T109" t="str">
            <v>learn data analytics</v>
          </cell>
        </row>
        <row r="110">
          <cell r="A110" t="str">
            <v>A1108</v>
          </cell>
          <cell r="B110" t="str">
            <v>Data Analytics Course</v>
          </cell>
          <cell r="C110">
            <v>144</v>
          </cell>
          <cell r="D110">
            <v>144</v>
          </cell>
          <cell r="E110">
            <v>5674</v>
          </cell>
          <cell r="F110">
            <v>5674</v>
          </cell>
          <cell r="G110" t="str">
            <v>$235.36</v>
          </cell>
          <cell r="H110" t="str">
            <v>$235.36</v>
          </cell>
          <cell r="I110">
            <v>12</v>
          </cell>
          <cell r="J110">
            <v>12</v>
          </cell>
          <cell r="K110">
            <v>3</v>
          </cell>
          <cell r="L110">
            <v>3</v>
          </cell>
          <cell r="M110">
            <v>2.0833333333333332E-2</v>
          </cell>
          <cell r="N110">
            <v>2.1000000000000001E-2</v>
          </cell>
          <cell r="O110" t="str">
            <v>$1505</v>
          </cell>
          <cell r="P110" t="str">
            <v>$1505</v>
          </cell>
          <cell r="Q110">
            <v>45618</v>
          </cell>
          <cell r="R110" t="str">
            <v>Hyderabad</v>
          </cell>
          <cell r="S110" t="str">
            <v>Desktop</v>
          </cell>
          <cell r="T110" t="str">
            <v>analytics for data</v>
          </cell>
        </row>
        <row r="111">
          <cell r="A111" t="str">
            <v>A1109</v>
          </cell>
          <cell r="B111" t="str">
            <v>Data Analytics Course</v>
          </cell>
          <cell r="C111">
            <v>122</v>
          </cell>
          <cell r="D111">
            <v>122</v>
          </cell>
          <cell r="E111">
            <v>3793</v>
          </cell>
          <cell r="F111">
            <v>3793</v>
          </cell>
          <cell r="G111" t="str">
            <v>$237.22</v>
          </cell>
          <cell r="H111" t="str">
            <v>$237.22</v>
          </cell>
          <cell r="I111">
            <v>19</v>
          </cell>
          <cell r="J111">
            <v>19</v>
          </cell>
          <cell r="K111">
            <v>8</v>
          </cell>
          <cell r="L111">
            <v>8</v>
          </cell>
          <cell r="M111">
            <v>6.5573770491803282E-2</v>
          </cell>
          <cell r="N111">
            <v>6.6000000000000003E-2</v>
          </cell>
          <cell r="O111" t="str">
            <v>$1842</v>
          </cell>
          <cell r="P111" t="str">
            <v>$1842</v>
          </cell>
          <cell r="Q111">
            <v>45616</v>
          </cell>
          <cell r="R111" t="str">
            <v>Hyderabad</v>
          </cell>
          <cell r="S111" t="str">
            <v>Tablet</v>
          </cell>
          <cell r="T111" t="str">
            <v>online data analytic</v>
          </cell>
        </row>
        <row r="112">
          <cell r="A112" t="str">
            <v>A1110</v>
          </cell>
          <cell r="B112" t="str">
            <v>Data Analytics Course</v>
          </cell>
          <cell r="C112">
            <v>112</v>
          </cell>
          <cell r="D112">
            <v>112</v>
          </cell>
          <cell r="E112">
            <v>4315</v>
          </cell>
          <cell r="F112">
            <v>4315</v>
          </cell>
          <cell r="G112" t="str">
            <v>$235.33</v>
          </cell>
          <cell r="H112" t="str">
            <v>$235.33</v>
          </cell>
          <cell r="I112">
            <v>28</v>
          </cell>
          <cell r="J112">
            <v>28</v>
          </cell>
          <cell r="K112">
            <v>9</v>
          </cell>
          <cell r="L112">
            <v>9</v>
          </cell>
          <cell r="M112">
            <v>8.0357142857142863E-2</v>
          </cell>
          <cell r="N112">
            <v>0.08</v>
          </cell>
          <cell r="O112" t="str">
            <v>$1116</v>
          </cell>
          <cell r="P112" t="str">
            <v>$1116</v>
          </cell>
          <cell r="Q112">
            <v>45604</v>
          </cell>
          <cell r="R112" t="str">
            <v>Hyderabad</v>
          </cell>
          <cell r="S112" t="str">
            <v>Mobile</v>
          </cell>
          <cell r="T112" t="str">
            <v>data analytics course</v>
          </cell>
        </row>
        <row r="113">
          <cell r="A113" t="str">
            <v>A1111</v>
          </cell>
          <cell r="B113" t="str">
            <v>Data Analytics Course</v>
          </cell>
          <cell r="C113">
            <v>174</v>
          </cell>
          <cell r="D113">
            <v>174</v>
          </cell>
          <cell r="E113">
            <v>4704</v>
          </cell>
          <cell r="F113">
            <v>4704</v>
          </cell>
          <cell r="G113" t="str">
            <v>$192.32</v>
          </cell>
          <cell r="H113" t="str">
            <v>$192.32</v>
          </cell>
          <cell r="I113">
            <v>21</v>
          </cell>
          <cell r="J113">
            <v>21</v>
          </cell>
          <cell r="K113">
            <v>10</v>
          </cell>
          <cell r="L113">
            <v>10</v>
          </cell>
          <cell r="M113">
            <v>5.7471264367816091E-2</v>
          </cell>
          <cell r="N113">
            <v>4.9000000000000002E-2</v>
          </cell>
          <cell r="O113" t="str">
            <v>$1501</v>
          </cell>
          <cell r="P113" t="str">
            <v>$1501</v>
          </cell>
          <cell r="Q113">
            <v>45620</v>
          </cell>
          <cell r="R113" t="str">
            <v>Hyderabad</v>
          </cell>
          <cell r="S113" t="str">
            <v>Mobile</v>
          </cell>
          <cell r="T113" t="str">
            <v>learn data analytics</v>
          </cell>
        </row>
        <row r="114">
          <cell r="A114" t="str">
            <v>A1112</v>
          </cell>
          <cell r="B114" t="str">
            <v>Data Analytics Course</v>
          </cell>
          <cell r="C114">
            <v>168</v>
          </cell>
          <cell r="D114">
            <v>168</v>
          </cell>
          <cell r="E114">
            <v>3349</v>
          </cell>
          <cell r="F114">
            <v>3349</v>
          </cell>
          <cell r="G114" t="str">
            <v>$235.6</v>
          </cell>
          <cell r="H114" t="str">
            <v>$235.6</v>
          </cell>
          <cell r="I114">
            <v>23</v>
          </cell>
          <cell r="J114">
            <v>23</v>
          </cell>
          <cell r="K114">
            <v>9</v>
          </cell>
          <cell r="L114">
            <v>9</v>
          </cell>
          <cell r="M114">
            <v>5.3571428571428568E-2</v>
          </cell>
          <cell r="N114">
            <v>5.3999999999999999E-2</v>
          </cell>
          <cell r="O114" t="str">
            <v>$1894</v>
          </cell>
          <cell r="P114" t="str">
            <v>$1894</v>
          </cell>
          <cell r="Q114">
            <v>45605</v>
          </cell>
          <cell r="R114" t="str">
            <v>Hyderabad</v>
          </cell>
          <cell r="S114" t="str">
            <v>Mobile</v>
          </cell>
          <cell r="T114" t="str">
            <v>online data analytic</v>
          </cell>
        </row>
        <row r="115">
          <cell r="A115" t="str">
            <v>A1113</v>
          </cell>
          <cell r="B115" t="str">
            <v>Data Analytics Course</v>
          </cell>
          <cell r="C115">
            <v>173</v>
          </cell>
          <cell r="D115">
            <v>173</v>
          </cell>
          <cell r="E115">
            <v>3501</v>
          </cell>
          <cell r="F115">
            <v>3501</v>
          </cell>
          <cell r="G115" t="str">
            <v>$223.9</v>
          </cell>
          <cell r="H115" t="str">
            <v>$223.9</v>
          </cell>
          <cell r="I115">
            <v>28</v>
          </cell>
          <cell r="J115">
            <v>28</v>
          </cell>
          <cell r="K115">
            <v>10</v>
          </cell>
          <cell r="L115">
            <v>10</v>
          </cell>
          <cell r="M115">
            <v>5.7803468208092484E-2</v>
          </cell>
          <cell r="N115">
            <v>4.3999999999999997E-2</v>
          </cell>
          <cell r="O115" t="str">
            <v>$1179</v>
          </cell>
          <cell r="P115" t="str">
            <v>$1179</v>
          </cell>
          <cell r="Q115">
            <v>45621</v>
          </cell>
          <cell r="R115" t="str">
            <v>Chennai</v>
          </cell>
          <cell r="S115" t="str">
            <v>Mobile</v>
          </cell>
          <cell r="T115" t="str">
            <v>data analytics course</v>
          </cell>
        </row>
        <row r="116">
          <cell r="A116" t="str">
            <v>A1114</v>
          </cell>
          <cell r="B116" t="str">
            <v>Data Analytics Course</v>
          </cell>
          <cell r="C116">
            <v>91</v>
          </cell>
          <cell r="D116">
            <v>91</v>
          </cell>
          <cell r="E116">
            <v>4523.2808326787117</v>
          </cell>
          <cell r="G116" t="str">
            <v>$203.52</v>
          </cell>
          <cell r="H116" t="str">
            <v>$203.52</v>
          </cell>
          <cell r="I116">
            <v>20.000410172272353</v>
          </cell>
          <cell r="K116">
            <v>9</v>
          </cell>
          <cell r="L116">
            <v>9</v>
          </cell>
          <cell r="M116">
            <v>9.8901098901098897E-2</v>
          </cell>
          <cell r="N116">
            <v>9.9000000000000005E-2</v>
          </cell>
          <cell r="O116" t="str">
            <v>$1838</v>
          </cell>
          <cell r="P116" t="str">
            <v>$1838</v>
          </cell>
          <cell r="Q116">
            <v>45616</v>
          </cell>
          <cell r="R116" t="str">
            <v>Bangaluru</v>
          </cell>
          <cell r="S116" t="str">
            <v>Desktop</v>
          </cell>
          <cell r="T116" t="str">
            <v>data analytics course</v>
          </cell>
        </row>
        <row r="117">
          <cell r="A117" t="str">
            <v>A1115</v>
          </cell>
          <cell r="B117" t="str">
            <v>Data Analytcis Course</v>
          </cell>
          <cell r="C117">
            <v>140</v>
          </cell>
          <cell r="D117">
            <v>140</v>
          </cell>
          <cell r="E117">
            <v>5405</v>
          </cell>
          <cell r="F117">
            <v>5405</v>
          </cell>
          <cell r="G117" t="str">
            <v>$195.69</v>
          </cell>
          <cell r="H117" t="str">
            <v>$195.69</v>
          </cell>
          <cell r="I117">
            <v>21</v>
          </cell>
          <cell r="J117">
            <v>21</v>
          </cell>
          <cell r="K117">
            <v>8</v>
          </cell>
          <cell r="L117">
            <v>8</v>
          </cell>
          <cell r="M117">
            <v>5.7142857142857141E-2</v>
          </cell>
          <cell r="O117" t="str">
            <v>$1094</v>
          </cell>
          <cell r="P117" t="str">
            <v>$1094</v>
          </cell>
          <cell r="Q117">
            <v>45617</v>
          </cell>
          <cell r="R117" t="str">
            <v>Hyderabad</v>
          </cell>
          <cell r="S117" t="str">
            <v>Desktop</v>
          </cell>
          <cell r="T117" t="str">
            <v>data analytics training</v>
          </cell>
        </row>
        <row r="118">
          <cell r="A118" t="str">
            <v>A1116</v>
          </cell>
          <cell r="B118" t="str">
            <v>Data Analytics Course</v>
          </cell>
          <cell r="C118">
            <v>93</v>
          </cell>
          <cell r="D118">
            <v>93</v>
          </cell>
          <cell r="E118">
            <v>3425</v>
          </cell>
          <cell r="F118">
            <v>3425</v>
          </cell>
          <cell r="G118" t="str">
            <v>$229.76</v>
          </cell>
          <cell r="H118" t="str">
            <v>$229.76</v>
          </cell>
          <cell r="I118">
            <v>26</v>
          </cell>
          <cell r="J118">
            <v>26</v>
          </cell>
          <cell r="K118">
            <v>4</v>
          </cell>
          <cell r="L118">
            <v>4</v>
          </cell>
          <cell r="M118">
            <v>4.3010752688172046E-2</v>
          </cell>
          <cell r="N118">
            <v>4.2999999999999997E-2</v>
          </cell>
          <cell r="O118" t="str">
            <v>$1344</v>
          </cell>
          <cell r="P118" t="str">
            <v>$1344</v>
          </cell>
          <cell r="Q118">
            <v>45620</v>
          </cell>
          <cell r="R118" t="str">
            <v>Chennai</v>
          </cell>
          <cell r="S118" t="str">
            <v>Mobile</v>
          </cell>
          <cell r="T118" t="str">
            <v>online data analytic</v>
          </cell>
        </row>
        <row r="119">
          <cell r="A119" t="str">
            <v>A1117</v>
          </cell>
          <cell r="B119" t="str">
            <v>Data Analytcis Course</v>
          </cell>
          <cell r="C119">
            <v>114</v>
          </cell>
          <cell r="D119">
            <v>114</v>
          </cell>
          <cell r="E119">
            <v>5263</v>
          </cell>
          <cell r="F119">
            <v>5263</v>
          </cell>
          <cell r="G119" t="str">
            <v>$189.13</v>
          </cell>
          <cell r="H119" t="str">
            <v>$189.13</v>
          </cell>
          <cell r="I119">
            <v>23</v>
          </cell>
          <cell r="J119">
            <v>23</v>
          </cell>
          <cell r="K119">
            <v>5</v>
          </cell>
          <cell r="L119">
            <v>5</v>
          </cell>
          <cell r="M119">
            <v>4.3859649122807015E-2</v>
          </cell>
          <cell r="N119">
            <v>4.3999999999999997E-2</v>
          </cell>
          <cell r="O119" t="str">
            <v>$1434</v>
          </cell>
          <cell r="P119" t="str">
            <v>$1434</v>
          </cell>
          <cell r="Q119">
            <v>45601</v>
          </cell>
          <cell r="R119" t="str">
            <v>Hyderabad</v>
          </cell>
          <cell r="S119" t="str">
            <v>Mobile</v>
          </cell>
          <cell r="T119" t="str">
            <v>data analytics course</v>
          </cell>
        </row>
        <row r="120">
          <cell r="A120" t="str">
            <v>A1118</v>
          </cell>
          <cell r="B120" t="str">
            <v>Data Analytics Course</v>
          </cell>
          <cell r="C120">
            <v>172</v>
          </cell>
          <cell r="D120">
            <v>172</v>
          </cell>
          <cell r="E120">
            <v>3889</v>
          </cell>
          <cell r="F120">
            <v>3889</v>
          </cell>
          <cell r="G120" t="str">
            <v>$200.00</v>
          </cell>
          <cell r="I120">
            <v>21</v>
          </cell>
          <cell r="J120">
            <v>21</v>
          </cell>
          <cell r="K120">
            <v>10</v>
          </cell>
          <cell r="L120">
            <v>10</v>
          </cell>
          <cell r="M120">
            <v>5.8139534883720929E-2</v>
          </cell>
          <cell r="O120" t="str">
            <v>$1766</v>
          </cell>
          <cell r="P120" t="str">
            <v>$1766</v>
          </cell>
          <cell r="Q120">
            <v>45612</v>
          </cell>
          <cell r="R120" t="str">
            <v>Hyderabad</v>
          </cell>
          <cell r="S120" t="str">
            <v>Tablet</v>
          </cell>
          <cell r="T120" t="str">
            <v>online data analytic</v>
          </cell>
        </row>
        <row r="121">
          <cell r="A121" t="str">
            <v>A1119</v>
          </cell>
          <cell r="B121" t="str">
            <v>Data Analytcis Course</v>
          </cell>
          <cell r="C121">
            <v>188</v>
          </cell>
          <cell r="D121">
            <v>188</v>
          </cell>
          <cell r="E121">
            <v>3327</v>
          </cell>
          <cell r="F121">
            <v>3327</v>
          </cell>
          <cell r="G121" t="str">
            <v>$193.76</v>
          </cell>
          <cell r="H121" t="str">
            <v>$193.76</v>
          </cell>
          <cell r="I121">
            <v>24</v>
          </cell>
          <cell r="J121">
            <v>24</v>
          </cell>
          <cell r="K121">
            <v>6</v>
          </cell>
          <cell r="L121">
            <v>6</v>
          </cell>
          <cell r="M121">
            <v>3.1914893617021274E-2</v>
          </cell>
          <cell r="N121">
            <v>4.7E-2</v>
          </cell>
          <cell r="O121" t="str">
            <v>$1220</v>
          </cell>
          <cell r="P121" t="str">
            <v>$1220</v>
          </cell>
          <cell r="Q121">
            <v>45599</v>
          </cell>
          <cell r="R121" t="str">
            <v>Bangaluru</v>
          </cell>
          <cell r="S121" t="str">
            <v>Tablet</v>
          </cell>
          <cell r="T121" t="str">
            <v>online data analytic</v>
          </cell>
        </row>
        <row r="122">
          <cell r="A122" t="str">
            <v>A1120</v>
          </cell>
          <cell r="B122" t="str">
            <v>Data Analytics Course</v>
          </cell>
          <cell r="C122">
            <v>117</v>
          </cell>
          <cell r="D122">
            <v>117</v>
          </cell>
          <cell r="E122">
            <v>4523.2808326787117</v>
          </cell>
          <cell r="G122" t="str">
            <v>$214.18</v>
          </cell>
          <cell r="H122" t="str">
            <v>$214.18</v>
          </cell>
          <cell r="I122">
            <v>29</v>
          </cell>
          <cell r="J122">
            <v>29</v>
          </cell>
          <cell r="K122">
            <v>4</v>
          </cell>
          <cell r="L122">
            <v>4</v>
          </cell>
          <cell r="M122">
            <v>3.4188034188034191E-2</v>
          </cell>
          <cell r="N122">
            <v>3.4000000000000002E-2</v>
          </cell>
          <cell r="O122" t="str">
            <v>$1348</v>
          </cell>
          <cell r="P122" t="str">
            <v>$1348</v>
          </cell>
          <cell r="Q122">
            <v>45619</v>
          </cell>
          <cell r="R122" t="str">
            <v>Hyderabad</v>
          </cell>
          <cell r="S122" t="str">
            <v>Mobile</v>
          </cell>
          <cell r="T122" t="str">
            <v>learn data analytics</v>
          </cell>
        </row>
        <row r="123">
          <cell r="A123" t="str">
            <v>A1121</v>
          </cell>
          <cell r="B123" t="str">
            <v>Data Analytics Course</v>
          </cell>
          <cell r="C123">
            <v>113</v>
          </cell>
          <cell r="D123">
            <v>113</v>
          </cell>
          <cell r="E123">
            <v>5471</v>
          </cell>
          <cell r="F123">
            <v>5471</v>
          </cell>
          <cell r="G123" t="str">
            <v>$215.57</v>
          </cell>
          <cell r="H123" t="str">
            <v>$215.57</v>
          </cell>
          <cell r="I123">
            <v>27</v>
          </cell>
          <cell r="J123">
            <v>27</v>
          </cell>
          <cell r="K123">
            <v>9</v>
          </cell>
          <cell r="L123">
            <v>9</v>
          </cell>
          <cell r="M123">
            <v>7.9646017699115043E-2</v>
          </cell>
          <cell r="N123">
            <v>3.7999999999999999E-2</v>
          </cell>
          <cell r="O123" t="str">
            <v>$1123</v>
          </cell>
          <cell r="P123" t="str">
            <v>$1123</v>
          </cell>
          <cell r="Q123">
            <v>45619</v>
          </cell>
          <cell r="R123" t="str">
            <v>Hyderabad</v>
          </cell>
          <cell r="S123" t="str">
            <v>Mobile</v>
          </cell>
          <cell r="T123" t="str">
            <v>analytics for data</v>
          </cell>
        </row>
        <row r="124">
          <cell r="A124" t="str">
            <v>A1122</v>
          </cell>
          <cell r="B124" t="str">
            <v>Data Analytics Course</v>
          </cell>
          <cell r="C124">
            <v>109</v>
          </cell>
          <cell r="D124">
            <v>109</v>
          </cell>
          <cell r="E124">
            <v>3550</v>
          </cell>
          <cell r="F124">
            <v>3550</v>
          </cell>
          <cell r="G124" t="str">
            <v>$240.33</v>
          </cell>
          <cell r="H124" t="str">
            <v>$240.33</v>
          </cell>
          <cell r="I124">
            <v>14</v>
          </cell>
          <cell r="J124">
            <v>14</v>
          </cell>
          <cell r="K124">
            <v>8</v>
          </cell>
          <cell r="L124">
            <v>8</v>
          </cell>
          <cell r="M124">
            <v>7.3394495412844041E-2</v>
          </cell>
          <cell r="N124">
            <v>7.2999999999999995E-2</v>
          </cell>
          <cell r="O124" t="str">
            <v>$1982</v>
          </cell>
          <cell r="P124" t="str">
            <v>$1982</v>
          </cell>
          <cell r="Q124">
            <v>45620</v>
          </cell>
          <cell r="R124" t="str">
            <v>Hyderabad</v>
          </cell>
          <cell r="S124" t="str">
            <v>Tablet</v>
          </cell>
          <cell r="T124" t="str">
            <v>learn data analytics</v>
          </cell>
        </row>
        <row r="125">
          <cell r="A125" t="str">
            <v>A1123</v>
          </cell>
          <cell r="B125" t="str">
            <v>Data Analytics Course</v>
          </cell>
          <cell r="C125">
            <v>174</v>
          </cell>
          <cell r="D125">
            <v>174</v>
          </cell>
          <cell r="E125">
            <v>3178</v>
          </cell>
          <cell r="F125">
            <v>3178</v>
          </cell>
          <cell r="G125" t="str">
            <v>$225.67</v>
          </cell>
          <cell r="H125" t="str">
            <v>$225.67</v>
          </cell>
          <cell r="I125">
            <v>18</v>
          </cell>
          <cell r="J125">
            <v>18</v>
          </cell>
          <cell r="K125">
            <v>10</v>
          </cell>
          <cell r="L125">
            <v>10</v>
          </cell>
          <cell r="M125">
            <v>5.7471264367816091E-2</v>
          </cell>
          <cell r="N125">
            <v>5.7000000000000002E-2</v>
          </cell>
          <cell r="O125" t="str">
            <v>$1140</v>
          </cell>
          <cell r="P125" t="str">
            <v>$1140</v>
          </cell>
          <cell r="Q125">
            <v>45616</v>
          </cell>
          <cell r="R125" t="str">
            <v>Hyderabad</v>
          </cell>
          <cell r="S125" t="str">
            <v>Desktop</v>
          </cell>
          <cell r="T125" t="str">
            <v>data analytics online</v>
          </cell>
        </row>
        <row r="126">
          <cell r="A126" t="str">
            <v>A1124</v>
          </cell>
          <cell r="B126" t="str">
            <v>Data Analytics Course</v>
          </cell>
          <cell r="C126">
            <v>96</v>
          </cell>
          <cell r="D126">
            <v>96</v>
          </cell>
          <cell r="E126">
            <v>4673</v>
          </cell>
          <cell r="F126">
            <v>4673</v>
          </cell>
          <cell r="G126" t="str">
            <v>$192.88</v>
          </cell>
          <cell r="H126" t="str">
            <v>$192.88</v>
          </cell>
          <cell r="I126">
            <v>24</v>
          </cell>
          <cell r="J126">
            <v>24</v>
          </cell>
          <cell r="K126">
            <v>5</v>
          </cell>
          <cell r="L126">
            <v>5</v>
          </cell>
          <cell r="M126">
            <v>5.2083333333333336E-2</v>
          </cell>
          <cell r="N126">
            <v>5.1999999999999998E-2</v>
          </cell>
          <cell r="O126" t="str">
            <v>$1962</v>
          </cell>
          <cell r="P126" t="str">
            <v>$1962</v>
          </cell>
          <cell r="Q126">
            <v>45606</v>
          </cell>
          <cell r="R126" t="str">
            <v>Hyderabad</v>
          </cell>
          <cell r="S126" t="str">
            <v>Mobile</v>
          </cell>
          <cell r="T126" t="str">
            <v>learn data analytics</v>
          </cell>
        </row>
        <row r="127">
          <cell r="A127" t="str">
            <v>A1125</v>
          </cell>
          <cell r="B127" t="str">
            <v>Data Analytcis Course</v>
          </cell>
          <cell r="C127">
            <v>110</v>
          </cell>
          <cell r="D127">
            <v>110</v>
          </cell>
          <cell r="E127">
            <v>4254</v>
          </cell>
          <cell r="F127">
            <v>4254</v>
          </cell>
          <cell r="G127" t="str">
            <v>$187.87</v>
          </cell>
          <cell r="H127" t="str">
            <v>$187.87</v>
          </cell>
          <cell r="I127">
            <v>11</v>
          </cell>
          <cell r="J127">
            <v>11</v>
          </cell>
          <cell r="K127">
            <v>4</v>
          </cell>
          <cell r="L127">
            <v>4</v>
          </cell>
          <cell r="M127">
            <v>3.6363636363636362E-2</v>
          </cell>
          <cell r="O127" t="str">
            <v>$1172</v>
          </cell>
          <cell r="P127" t="str">
            <v>$1172</v>
          </cell>
          <cell r="Q127">
            <v>45600</v>
          </cell>
          <cell r="R127" t="str">
            <v>Hyderabad</v>
          </cell>
          <cell r="S127" t="str">
            <v>Mobile</v>
          </cell>
          <cell r="T127" t="str">
            <v>data analytics training</v>
          </cell>
        </row>
        <row r="128">
          <cell r="A128" t="str">
            <v>A1126</v>
          </cell>
          <cell r="B128" t="str">
            <v>Data Analytics Course</v>
          </cell>
          <cell r="C128">
            <v>163</v>
          </cell>
          <cell r="D128">
            <v>163</v>
          </cell>
          <cell r="E128">
            <v>3658</v>
          </cell>
          <cell r="F128">
            <v>3658</v>
          </cell>
          <cell r="G128" t="str">
            <v>$237.63</v>
          </cell>
          <cell r="H128" t="str">
            <v>$237.63</v>
          </cell>
          <cell r="I128">
            <v>23</v>
          </cell>
          <cell r="J128">
            <v>23</v>
          </cell>
          <cell r="K128">
            <v>7</v>
          </cell>
          <cell r="L128">
            <v>7</v>
          </cell>
          <cell r="M128">
            <v>4.2944785276073622E-2</v>
          </cell>
          <cell r="N128">
            <v>4.2999999999999997E-2</v>
          </cell>
          <cell r="O128" t="str">
            <v>$1699</v>
          </cell>
          <cell r="P128" t="str">
            <v>$1699</v>
          </cell>
          <cell r="Q128">
            <v>45619</v>
          </cell>
          <cell r="R128" t="str">
            <v>Chennai</v>
          </cell>
          <cell r="S128" t="str">
            <v>Tablet</v>
          </cell>
          <cell r="T128" t="str">
            <v>online data analytic</v>
          </cell>
        </row>
        <row r="129">
          <cell r="A129" t="str">
            <v>A1127</v>
          </cell>
          <cell r="B129" t="str">
            <v>Data Analytics Course</v>
          </cell>
          <cell r="C129">
            <v>161</v>
          </cell>
          <cell r="D129">
            <v>161</v>
          </cell>
          <cell r="E129">
            <v>5319</v>
          </cell>
          <cell r="F129">
            <v>5319</v>
          </cell>
          <cell r="G129" t="str">
            <v>$235.98</v>
          </cell>
          <cell r="H129" t="str">
            <v>$235.98</v>
          </cell>
          <cell r="I129">
            <v>13</v>
          </cell>
          <cell r="J129">
            <v>13</v>
          </cell>
          <cell r="K129">
            <v>4</v>
          </cell>
          <cell r="L129">
            <v>4</v>
          </cell>
          <cell r="M129">
            <v>2.4844720496894408E-2</v>
          </cell>
          <cell r="N129">
            <v>2.5000000000000001E-2</v>
          </cell>
          <cell r="O129" t="str">
            <v>$1423</v>
          </cell>
          <cell r="P129" t="str">
            <v>$1423</v>
          </cell>
          <cell r="Q129">
            <v>45614</v>
          </cell>
          <cell r="R129" t="str">
            <v>Chennai</v>
          </cell>
          <cell r="S129" t="str">
            <v>Mobile</v>
          </cell>
          <cell r="T129" t="str">
            <v>learn data analytics</v>
          </cell>
        </row>
        <row r="130">
          <cell r="A130" t="str">
            <v>A1128</v>
          </cell>
          <cell r="B130" t="str">
            <v>Data Analytics Course</v>
          </cell>
          <cell r="C130">
            <v>195</v>
          </cell>
          <cell r="D130">
            <v>195</v>
          </cell>
          <cell r="E130">
            <v>5278</v>
          </cell>
          <cell r="F130">
            <v>5278</v>
          </cell>
          <cell r="G130" t="str">
            <v>$193.49</v>
          </cell>
          <cell r="H130" t="str">
            <v>$193.49</v>
          </cell>
          <cell r="I130">
            <v>30</v>
          </cell>
          <cell r="J130">
            <v>30</v>
          </cell>
          <cell r="K130">
            <v>7</v>
          </cell>
          <cell r="L130">
            <v>7</v>
          </cell>
          <cell r="M130">
            <v>3.5897435897435895E-2</v>
          </cell>
          <cell r="N130">
            <v>4.7E-2</v>
          </cell>
          <cell r="O130" t="str">
            <v>$1456</v>
          </cell>
          <cell r="P130" t="str">
            <v>$1456</v>
          </cell>
          <cell r="Q130">
            <v>45600</v>
          </cell>
          <cell r="R130" t="str">
            <v>Hyderabad</v>
          </cell>
          <cell r="S130" t="str">
            <v>Mobile</v>
          </cell>
          <cell r="T130" t="str">
            <v>data analytics course</v>
          </cell>
        </row>
        <row r="131">
          <cell r="A131" t="str">
            <v>A1129</v>
          </cell>
          <cell r="B131" t="str">
            <v>Data Analytics Course</v>
          </cell>
          <cell r="C131">
            <v>84</v>
          </cell>
          <cell r="D131">
            <v>84</v>
          </cell>
          <cell r="E131">
            <v>3755</v>
          </cell>
          <cell r="F131">
            <v>3755</v>
          </cell>
          <cell r="G131" t="str">
            <v>$218.88</v>
          </cell>
          <cell r="H131" t="str">
            <v>$218.88</v>
          </cell>
          <cell r="I131">
            <v>14</v>
          </cell>
          <cell r="J131">
            <v>14</v>
          </cell>
          <cell r="K131">
            <v>9</v>
          </cell>
          <cell r="L131">
            <v>9</v>
          </cell>
          <cell r="M131">
            <v>0.10714285714285714</v>
          </cell>
          <cell r="N131">
            <v>4.7E-2</v>
          </cell>
          <cell r="O131" t="str">
            <v>$1299</v>
          </cell>
          <cell r="P131" t="str">
            <v>$1299</v>
          </cell>
          <cell r="Q131">
            <v>45601</v>
          </cell>
          <cell r="R131" t="str">
            <v>Chennai</v>
          </cell>
          <cell r="S131" t="str">
            <v>Tablet</v>
          </cell>
          <cell r="T131" t="str">
            <v>analytics for data</v>
          </cell>
        </row>
        <row r="132">
          <cell r="A132" t="str">
            <v>A1130</v>
          </cell>
          <cell r="B132" t="str">
            <v>Data Analytics Course</v>
          </cell>
          <cell r="C132">
            <v>113</v>
          </cell>
          <cell r="D132">
            <v>113</v>
          </cell>
          <cell r="E132">
            <v>4580</v>
          </cell>
          <cell r="F132">
            <v>4580</v>
          </cell>
          <cell r="G132" t="str">
            <v>$194.82</v>
          </cell>
          <cell r="H132" t="str">
            <v>$194.82</v>
          </cell>
          <cell r="I132">
            <v>11</v>
          </cell>
          <cell r="J132">
            <v>11</v>
          </cell>
          <cell r="K132">
            <v>6</v>
          </cell>
          <cell r="L132">
            <v>6</v>
          </cell>
          <cell r="M132">
            <v>5.3097345132743362E-2</v>
          </cell>
          <cell r="N132">
            <v>5.8999999999999997E-2</v>
          </cell>
          <cell r="O132" t="str">
            <v>$1248</v>
          </cell>
          <cell r="P132" t="str">
            <v>$1248</v>
          </cell>
          <cell r="Q132">
            <v>45624</v>
          </cell>
          <cell r="R132" t="str">
            <v>Chennai</v>
          </cell>
          <cell r="S132" t="str">
            <v>Tablet</v>
          </cell>
          <cell r="T132" t="str">
            <v>data analytics course</v>
          </cell>
        </row>
        <row r="133">
          <cell r="A133" t="str">
            <v>A1131</v>
          </cell>
          <cell r="B133" t="str">
            <v>Data Analytics Course</v>
          </cell>
          <cell r="C133">
            <v>117</v>
          </cell>
          <cell r="D133">
            <v>117</v>
          </cell>
          <cell r="E133">
            <v>3809</v>
          </cell>
          <cell r="F133">
            <v>3809</v>
          </cell>
          <cell r="G133" t="str">
            <v>$225.14</v>
          </cell>
          <cell r="H133" t="str">
            <v>$225.14</v>
          </cell>
          <cell r="I133">
            <v>12</v>
          </cell>
          <cell r="J133">
            <v>12</v>
          </cell>
          <cell r="K133">
            <v>5</v>
          </cell>
          <cell r="L133">
            <v>5</v>
          </cell>
          <cell r="M133">
            <v>4.2735042735042736E-2</v>
          </cell>
          <cell r="N133">
            <v>3.2000000000000001E-2</v>
          </cell>
          <cell r="O133" t="str">
            <v>$1495</v>
          </cell>
          <cell r="P133" t="str">
            <v>$1495</v>
          </cell>
          <cell r="Q133">
            <v>45605</v>
          </cell>
          <cell r="R133" t="str">
            <v>Bangaluru</v>
          </cell>
          <cell r="S133" t="str">
            <v>Desktop</v>
          </cell>
          <cell r="T133" t="str">
            <v>data analytics training</v>
          </cell>
        </row>
        <row r="134">
          <cell r="A134" t="str">
            <v>A1132</v>
          </cell>
          <cell r="B134" t="str">
            <v>Data Analytics Course</v>
          </cell>
          <cell r="C134">
            <v>135</v>
          </cell>
          <cell r="D134">
            <v>135</v>
          </cell>
          <cell r="E134">
            <v>5118</v>
          </cell>
          <cell r="F134">
            <v>5118</v>
          </cell>
          <cell r="G134" t="str">
            <v>$219.99</v>
          </cell>
          <cell r="H134" t="str">
            <v>$219.99</v>
          </cell>
          <cell r="I134">
            <v>27</v>
          </cell>
          <cell r="J134">
            <v>27</v>
          </cell>
          <cell r="K134">
            <v>6</v>
          </cell>
          <cell r="L134">
            <v>6</v>
          </cell>
          <cell r="M134">
            <v>4.4444444444444446E-2</v>
          </cell>
          <cell r="N134">
            <v>4.3999999999999997E-2</v>
          </cell>
          <cell r="O134" t="str">
            <v>$1089</v>
          </cell>
          <cell r="P134" t="str">
            <v>$1089</v>
          </cell>
          <cell r="Q134">
            <v>45616</v>
          </cell>
          <cell r="R134" t="str">
            <v>Hyderabad</v>
          </cell>
          <cell r="S134" t="str">
            <v>Mobile</v>
          </cell>
          <cell r="T134" t="str">
            <v>online data analytic</v>
          </cell>
        </row>
        <row r="135">
          <cell r="A135" t="str">
            <v>A1133</v>
          </cell>
          <cell r="B135" t="str">
            <v>Data Analytics Course</v>
          </cell>
          <cell r="C135">
            <v>92</v>
          </cell>
          <cell r="D135">
            <v>92</v>
          </cell>
          <cell r="E135">
            <v>5766</v>
          </cell>
          <cell r="F135">
            <v>5766</v>
          </cell>
          <cell r="G135" t="str">
            <v>$186.14</v>
          </cell>
          <cell r="H135" t="str">
            <v>$186.14</v>
          </cell>
          <cell r="I135">
            <v>28</v>
          </cell>
          <cell r="J135">
            <v>28</v>
          </cell>
          <cell r="K135">
            <v>7</v>
          </cell>
          <cell r="L135">
            <v>7</v>
          </cell>
          <cell r="M135">
            <v>7.6086956521739135E-2</v>
          </cell>
          <cell r="N135">
            <v>7.5999999999999998E-2</v>
          </cell>
          <cell r="O135" t="str">
            <v>$1013</v>
          </cell>
          <cell r="P135" t="str">
            <v>$1013</v>
          </cell>
          <cell r="Q135">
            <v>45623</v>
          </cell>
          <cell r="R135" t="str">
            <v>Hyderabad</v>
          </cell>
          <cell r="S135" t="str">
            <v>Tablet</v>
          </cell>
          <cell r="T135" t="str">
            <v>data analytics training</v>
          </cell>
        </row>
        <row r="136">
          <cell r="A136" t="str">
            <v>A1134</v>
          </cell>
          <cell r="B136" t="str">
            <v>Data Analytcis Course</v>
          </cell>
          <cell r="C136">
            <v>188</v>
          </cell>
          <cell r="D136">
            <v>188</v>
          </cell>
          <cell r="E136">
            <v>3934</v>
          </cell>
          <cell r="F136">
            <v>3934</v>
          </cell>
          <cell r="G136" t="str">
            <v>$206.21</v>
          </cell>
          <cell r="H136" t="str">
            <v>$206.21</v>
          </cell>
          <cell r="I136">
            <v>16</v>
          </cell>
          <cell r="J136">
            <v>16</v>
          </cell>
          <cell r="K136">
            <v>9</v>
          </cell>
          <cell r="L136">
            <v>9</v>
          </cell>
          <cell r="M136">
            <v>4.7872340425531915E-2</v>
          </cell>
          <cell r="N136">
            <v>4.8000000000000001E-2</v>
          </cell>
          <cell r="O136" t="str">
            <v>$1500</v>
          </cell>
          <cell r="Q136">
            <v>45600</v>
          </cell>
          <cell r="R136" t="str">
            <v>Bangaluru</v>
          </cell>
          <cell r="S136" t="str">
            <v>Desktop</v>
          </cell>
          <cell r="T136" t="str">
            <v>data analytics course</v>
          </cell>
        </row>
        <row r="137">
          <cell r="A137" t="str">
            <v>A1135</v>
          </cell>
          <cell r="B137" t="str">
            <v>Data Analytcis Course</v>
          </cell>
          <cell r="C137">
            <v>101</v>
          </cell>
          <cell r="D137">
            <v>101</v>
          </cell>
          <cell r="E137">
            <v>4724</v>
          </cell>
          <cell r="F137">
            <v>4724</v>
          </cell>
          <cell r="G137" t="str">
            <v>$228.38</v>
          </cell>
          <cell r="H137" t="str">
            <v>$228.38</v>
          </cell>
          <cell r="I137">
            <v>13</v>
          </cell>
          <cell r="J137">
            <v>13</v>
          </cell>
          <cell r="K137">
            <v>7</v>
          </cell>
          <cell r="L137">
            <v>7</v>
          </cell>
          <cell r="M137">
            <v>6.9306930693069313E-2</v>
          </cell>
          <cell r="N137">
            <v>3.4000000000000002E-2</v>
          </cell>
          <cell r="O137" t="str">
            <v>$1243</v>
          </cell>
          <cell r="P137" t="str">
            <v>$1243</v>
          </cell>
          <cell r="Q137">
            <v>45616</v>
          </cell>
          <cell r="R137" t="str">
            <v>Hyderabad</v>
          </cell>
          <cell r="S137" t="str">
            <v>Desktop</v>
          </cell>
          <cell r="T137" t="str">
            <v>learn data analytics</v>
          </cell>
        </row>
        <row r="138">
          <cell r="A138" t="str">
            <v>A1136</v>
          </cell>
          <cell r="B138" t="str">
            <v>Data Analytics Course</v>
          </cell>
          <cell r="C138">
            <v>111</v>
          </cell>
          <cell r="D138">
            <v>111</v>
          </cell>
          <cell r="E138">
            <v>5895</v>
          </cell>
          <cell r="F138">
            <v>5895</v>
          </cell>
          <cell r="G138" t="str">
            <v>$205.25</v>
          </cell>
          <cell r="H138" t="str">
            <v>$205.25</v>
          </cell>
          <cell r="I138">
            <v>29</v>
          </cell>
          <cell r="J138">
            <v>29</v>
          </cell>
          <cell r="K138">
            <v>4</v>
          </cell>
          <cell r="L138">
            <v>4</v>
          </cell>
          <cell r="M138">
            <v>3.6036036036036036E-2</v>
          </cell>
          <cell r="N138">
            <v>3.5999999999999997E-2</v>
          </cell>
          <cell r="O138" t="str">
            <v>$1693</v>
          </cell>
          <cell r="P138" t="str">
            <v>$1693</v>
          </cell>
          <cell r="Q138">
            <v>45600</v>
          </cell>
          <cell r="R138" t="str">
            <v>Hyderabad</v>
          </cell>
          <cell r="S138" t="str">
            <v>Mobile</v>
          </cell>
          <cell r="T138" t="str">
            <v>data analytics course</v>
          </cell>
        </row>
        <row r="139">
          <cell r="A139" t="str">
            <v>A1137</v>
          </cell>
          <cell r="B139" t="str">
            <v>Data Analytics Course</v>
          </cell>
          <cell r="C139">
            <v>122</v>
          </cell>
          <cell r="D139">
            <v>122</v>
          </cell>
          <cell r="E139">
            <v>4048</v>
          </cell>
          <cell r="F139">
            <v>4048</v>
          </cell>
          <cell r="G139" t="str">
            <v>$202.23</v>
          </cell>
          <cell r="H139" t="str">
            <v>$202.23</v>
          </cell>
          <cell r="I139">
            <v>28</v>
          </cell>
          <cell r="J139">
            <v>28</v>
          </cell>
          <cell r="K139">
            <v>10</v>
          </cell>
          <cell r="L139">
            <v>10</v>
          </cell>
          <cell r="M139">
            <v>8.1967213114754092E-2</v>
          </cell>
          <cell r="N139">
            <v>8.2000000000000003E-2</v>
          </cell>
          <cell r="O139" t="str">
            <v>$1500</v>
          </cell>
          <cell r="Q139">
            <v>45622</v>
          </cell>
          <cell r="R139" t="str">
            <v>Hyderabad</v>
          </cell>
          <cell r="S139" t="str">
            <v>Mobile</v>
          </cell>
          <cell r="T139" t="str">
            <v>online data analytic</v>
          </cell>
        </row>
        <row r="140">
          <cell r="A140" t="str">
            <v>A1138</v>
          </cell>
          <cell r="B140" t="str">
            <v>Data Analytcis Course</v>
          </cell>
          <cell r="C140">
            <v>99</v>
          </cell>
          <cell r="D140">
            <v>99</v>
          </cell>
          <cell r="E140">
            <v>3169</v>
          </cell>
          <cell r="F140">
            <v>3169</v>
          </cell>
          <cell r="G140" t="str">
            <v>$237.68</v>
          </cell>
          <cell r="H140" t="str">
            <v>$237.68</v>
          </cell>
          <cell r="I140">
            <v>21</v>
          </cell>
          <cell r="J140">
            <v>21</v>
          </cell>
          <cell r="K140">
            <v>6</v>
          </cell>
          <cell r="L140">
            <v>6</v>
          </cell>
          <cell r="M140">
            <v>6.0606060606060608E-2</v>
          </cell>
          <cell r="O140" t="str">
            <v>$1509</v>
          </cell>
          <cell r="P140" t="str">
            <v>$1509</v>
          </cell>
          <cell r="Q140">
            <v>45618</v>
          </cell>
          <cell r="R140" t="str">
            <v>Bangaluru</v>
          </cell>
          <cell r="S140" t="str">
            <v>Mobile</v>
          </cell>
          <cell r="T140" t="str">
            <v>online data analytic</v>
          </cell>
        </row>
        <row r="141">
          <cell r="A141" t="str">
            <v>A1139</v>
          </cell>
          <cell r="B141" t="str">
            <v>Data Analytics Course</v>
          </cell>
          <cell r="C141">
            <v>154</v>
          </cell>
          <cell r="D141">
            <v>154</v>
          </cell>
          <cell r="E141">
            <v>4535</v>
          </cell>
          <cell r="F141">
            <v>4535</v>
          </cell>
          <cell r="G141" t="str">
            <v>$229.29</v>
          </cell>
          <cell r="H141" t="str">
            <v>$229.29</v>
          </cell>
          <cell r="I141">
            <v>11</v>
          </cell>
          <cell r="J141">
            <v>11</v>
          </cell>
          <cell r="K141">
            <v>3</v>
          </cell>
          <cell r="L141">
            <v>3</v>
          </cell>
          <cell r="M141">
            <v>1.948051948051948E-2</v>
          </cell>
          <cell r="N141">
            <v>1.9E-2</v>
          </cell>
          <cell r="O141" t="str">
            <v>$1434</v>
          </cell>
          <cell r="P141" t="str">
            <v>$1434</v>
          </cell>
          <cell r="Q141">
            <v>45597</v>
          </cell>
          <cell r="R141" t="str">
            <v>Hyderabad</v>
          </cell>
          <cell r="S141" t="str">
            <v>Tablet</v>
          </cell>
          <cell r="T141" t="str">
            <v>data analytics training</v>
          </cell>
        </row>
        <row r="142">
          <cell r="A142" t="str">
            <v>A1140</v>
          </cell>
          <cell r="B142" t="str">
            <v>Data Analytics Course</v>
          </cell>
          <cell r="C142">
            <v>129</v>
          </cell>
          <cell r="D142">
            <v>129</v>
          </cell>
          <cell r="E142">
            <v>3849</v>
          </cell>
          <cell r="F142">
            <v>3849</v>
          </cell>
          <cell r="G142" t="str">
            <v>$249.29</v>
          </cell>
          <cell r="H142" t="str">
            <v>$249.29</v>
          </cell>
          <cell r="I142">
            <v>22</v>
          </cell>
          <cell r="J142">
            <v>22</v>
          </cell>
          <cell r="K142">
            <v>10</v>
          </cell>
          <cell r="L142">
            <v>10</v>
          </cell>
          <cell r="M142">
            <v>7.7519379844961239E-2</v>
          </cell>
          <cell r="N142">
            <v>7.8E-2</v>
          </cell>
          <cell r="O142" t="str">
            <v>$1767</v>
          </cell>
          <cell r="P142" t="str">
            <v>$1767</v>
          </cell>
          <cell r="Q142">
            <v>45607</v>
          </cell>
          <cell r="R142" t="str">
            <v>Hyderabad</v>
          </cell>
          <cell r="S142" t="str">
            <v>Desktop</v>
          </cell>
          <cell r="T142" t="str">
            <v>analytics for data</v>
          </cell>
        </row>
        <row r="143">
          <cell r="A143" t="str">
            <v>A1141</v>
          </cell>
          <cell r="B143" t="str">
            <v>Data Analytcis Course</v>
          </cell>
          <cell r="C143">
            <v>138.95699356913184</v>
          </cell>
          <cell r="E143">
            <v>4259</v>
          </cell>
          <cell r="F143">
            <v>4259</v>
          </cell>
          <cell r="G143" t="str">
            <v>$182.98</v>
          </cell>
          <cell r="H143" t="str">
            <v>$182.98</v>
          </cell>
          <cell r="I143">
            <v>10</v>
          </cell>
          <cell r="J143">
            <v>10</v>
          </cell>
          <cell r="K143">
            <v>10</v>
          </cell>
          <cell r="L143">
            <v>10</v>
          </cell>
          <cell r="M143">
            <v>7.1964711837443046E-2</v>
          </cell>
          <cell r="N143">
            <v>3.1E-2</v>
          </cell>
          <cell r="O143" t="str">
            <v>$1048</v>
          </cell>
          <cell r="P143" t="str">
            <v>$1048</v>
          </cell>
          <cell r="Q143">
            <v>45612</v>
          </cell>
          <cell r="R143" t="str">
            <v>Hyderabad</v>
          </cell>
          <cell r="S143" t="str">
            <v>Mobile</v>
          </cell>
          <cell r="T143" t="str">
            <v>analytics for data</v>
          </cell>
        </row>
        <row r="144">
          <cell r="A144" t="str">
            <v>A1142</v>
          </cell>
          <cell r="B144" t="str">
            <v>Data Analytics Course</v>
          </cell>
          <cell r="C144">
            <v>143</v>
          </cell>
          <cell r="D144">
            <v>143</v>
          </cell>
          <cell r="E144">
            <v>3628</v>
          </cell>
          <cell r="F144">
            <v>3628</v>
          </cell>
          <cell r="G144" t="str">
            <v>$200.00</v>
          </cell>
          <cell r="I144">
            <v>18</v>
          </cell>
          <cell r="J144">
            <v>18</v>
          </cell>
          <cell r="K144">
            <v>9</v>
          </cell>
          <cell r="L144">
            <v>9</v>
          </cell>
          <cell r="M144">
            <v>6.2937062937062943E-2</v>
          </cell>
          <cell r="N144">
            <v>6.3E-2</v>
          </cell>
          <cell r="O144" t="str">
            <v>$1566</v>
          </cell>
          <cell r="P144" t="str">
            <v>$1566</v>
          </cell>
          <cell r="Q144">
            <v>45613</v>
          </cell>
          <cell r="R144" t="str">
            <v>Bangaluru</v>
          </cell>
          <cell r="S144" t="str">
            <v>Tablet</v>
          </cell>
          <cell r="T144" t="str">
            <v>data analytics course</v>
          </cell>
        </row>
        <row r="145">
          <cell r="A145" t="str">
            <v>A1143</v>
          </cell>
          <cell r="B145" t="str">
            <v>Data Analytics Course</v>
          </cell>
          <cell r="C145">
            <v>80</v>
          </cell>
          <cell r="D145">
            <v>80</v>
          </cell>
          <cell r="E145">
            <v>3269</v>
          </cell>
          <cell r="F145">
            <v>3269</v>
          </cell>
          <cell r="G145" t="str">
            <v>$200.00</v>
          </cell>
          <cell r="I145">
            <v>12</v>
          </cell>
          <cell r="J145">
            <v>12</v>
          </cell>
          <cell r="K145">
            <v>4</v>
          </cell>
          <cell r="L145">
            <v>4</v>
          </cell>
          <cell r="M145">
            <v>0.05</v>
          </cell>
          <cell r="N145">
            <v>0.05</v>
          </cell>
          <cell r="O145" t="str">
            <v>$1753</v>
          </cell>
          <cell r="P145" t="str">
            <v>$1753</v>
          </cell>
          <cell r="Q145">
            <v>45619</v>
          </cell>
          <cell r="R145" t="str">
            <v>Chennai</v>
          </cell>
          <cell r="S145" t="str">
            <v>Desktop</v>
          </cell>
          <cell r="T145" t="str">
            <v>data analytics online</v>
          </cell>
        </row>
        <row r="146">
          <cell r="A146" t="str">
            <v>A1144</v>
          </cell>
          <cell r="B146" t="str">
            <v>Data Analytics Course</v>
          </cell>
          <cell r="C146">
            <v>134</v>
          </cell>
          <cell r="D146">
            <v>134</v>
          </cell>
          <cell r="E146">
            <v>3724</v>
          </cell>
          <cell r="F146">
            <v>3724</v>
          </cell>
          <cell r="G146" t="str">
            <v>$188.02</v>
          </cell>
          <cell r="H146" t="str">
            <v>$188.02</v>
          </cell>
          <cell r="I146">
            <v>26</v>
          </cell>
          <cell r="J146">
            <v>26</v>
          </cell>
          <cell r="K146">
            <v>9</v>
          </cell>
          <cell r="L146">
            <v>9</v>
          </cell>
          <cell r="M146">
            <v>6.7164179104477612E-2</v>
          </cell>
          <cell r="N146">
            <v>4.7E-2</v>
          </cell>
          <cell r="O146" t="str">
            <v>$1891</v>
          </cell>
          <cell r="P146" t="str">
            <v>$1891</v>
          </cell>
          <cell r="Q146">
            <v>45603</v>
          </cell>
          <cell r="R146" t="str">
            <v>Bangaluru</v>
          </cell>
          <cell r="S146" t="str">
            <v>Desktop</v>
          </cell>
          <cell r="T146" t="str">
            <v>online data analytic</v>
          </cell>
        </row>
        <row r="147">
          <cell r="A147" t="str">
            <v>A1145</v>
          </cell>
          <cell r="B147" t="str">
            <v>Data Analytics Course</v>
          </cell>
          <cell r="C147">
            <v>174</v>
          </cell>
          <cell r="D147">
            <v>174</v>
          </cell>
          <cell r="E147">
            <v>4838</v>
          </cell>
          <cell r="F147">
            <v>4838</v>
          </cell>
          <cell r="G147" t="str">
            <v>$242.35</v>
          </cell>
          <cell r="H147" t="str">
            <v>$242.35</v>
          </cell>
          <cell r="I147">
            <v>21</v>
          </cell>
          <cell r="J147">
            <v>21</v>
          </cell>
          <cell r="K147">
            <v>3</v>
          </cell>
          <cell r="L147">
            <v>3</v>
          </cell>
          <cell r="M147">
            <v>1.7241379310344827E-2</v>
          </cell>
          <cell r="N147">
            <v>1.7000000000000001E-2</v>
          </cell>
          <cell r="O147" t="str">
            <v>$1599</v>
          </cell>
          <cell r="P147" t="str">
            <v>$1599</v>
          </cell>
          <cell r="Q147">
            <v>45618</v>
          </cell>
          <cell r="R147" t="str">
            <v>Hyderabad</v>
          </cell>
          <cell r="S147" t="str">
            <v>Desktop</v>
          </cell>
          <cell r="T147" t="str">
            <v>data analytics online</v>
          </cell>
        </row>
        <row r="148">
          <cell r="A148" t="str">
            <v>A1146</v>
          </cell>
          <cell r="B148" t="str">
            <v>Data Analytics Course</v>
          </cell>
          <cell r="C148">
            <v>196</v>
          </cell>
          <cell r="D148">
            <v>196</v>
          </cell>
          <cell r="E148">
            <v>4524</v>
          </cell>
          <cell r="F148">
            <v>4524</v>
          </cell>
          <cell r="G148" t="str">
            <v>$192.01</v>
          </cell>
          <cell r="H148" t="str">
            <v>$192.01</v>
          </cell>
          <cell r="I148">
            <v>15</v>
          </cell>
          <cell r="J148">
            <v>15</v>
          </cell>
          <cell r="K148">
            <v>8</v>
          </cell>
          <cell r="L148">
            <v>8</v>
          </cell>
          <cell r="M148">
            <v>4.0816326530612242E-2</v>
          </cell>
          <cell r="N148">
            <v>4.1000000000000002E-2</v>
          </cell>
          <cell r="O148" t="str">
            <v>$1048</v>
          </cell>
          <cell r="P148" t="str">
            <v>$1048</v>
          </cell>
          <cell r="Q148">
            <v>45609</v>
          </cell>
          <cell r="R148" t="str">
            <v>Hyderabad</v>
          </cell>
          <cell r="S148" t="str">
            <v>Desktop</v>
          </cell>
          <cell r="T148" t="str">
            <v>data analytics course</v>
          </cell>
        </row>
        <row r="149">
          <cell r="A149" t="str">
            <v>A1147</v>
          </cell>
          <cell r="B149" t="str">
            <v>Data Analytics Course</v>
          </cell>
          <cell r="C149">
            <v>194</v>
          </cell>
          <cell r="D149">
            <v>194</v>
          </cell>
          <cell r="E149">
            <v>4694</v>
          </cell>
          <cell r="F149">
            <v>4694</v>
          </cell>
          <cell r="G149" t="str">
            <v>$228.15</v>
          </cell>
          <cell r="H149" t="str">
            <v>$228.15</v>
          </cell>
          <cell r="I149">
            <v>17</v>
          </cell>
          <cell r="J149">
            <v>17</v>
          </cell>
          <cell r="K149">
            <v>7</v>
          </cell>
          <cell r="L149">
            <v>7</v>
          </cell>
          <cell r="M149">
            <v>3.608247422680412E-2</v>
          </cell>
          <cell r="N149">
            <v>3.5999999999999997E-2</v>
          </cell>
          <cell r="O149" t="str">
            <v>$1874</v>
          </cell>
          <cell r="P149" t="str">
            <v>$1874</v>
          </cell>
          <cell r="Q149">
            <v>45610</v>
          </cell>
          <cell r="R149" t="str">
            <v>Hyderabad</v>
          </cell>
          <cell r="S149" t="str">
            <v>Tablet</v>
          </cell>
          <cell r="T149" t="str">
            <v>learn data analytics</v>
          </cell>
        </row>
        <row r="150">
          <cell r="A150" t="str">
            <v>A1148</v>
          </cell>
          <cell r="B150" t="str">
            <v>Data Analytics Course</v>
          </cell>
          <cell r="C150">
            <v>180</v>
          </cell>
          <cell r="D150">
            <v>180</v>
          </cell>
          <cell r="E150">
            <v>4326</v>
          </cell>
          <cell r="F150">
            <v>4326</v>
          </cell>
          <cell r="G150" t="str">
            <v>$221.67</v>
          </cell>
          <cell r="H150" t="str">
            <v>$221.67</v>
          </cell>
          <cell r="I150">
            <v>13</v>
          </cell>
          <cell r="J150">
            <v>13</v>
          </cell>
          <cell r="K150">
            <v>6.4974768713204369</v>
          </cell>
          <cell r="M150">
            <v>3.609709372955798E-2</v>
          </cell>
          <cell r="O150" t="str">
            <v>$1427</v>
          </cell>
          <cell r="P150" t="str">
            <v>$1427</v>
          </cell>
          <cell r="Q150">
            <v>45602</v>
          </cell>
          <cell r="R150" t="str">
            <v>Chennai</v>
          </cell>
          <cell r="S150" t="str">
            <v>Tablet</v>
          </cell>
          <cell r="T150" t="str">
            <v>online data analytic</v>
          </cell>
        </row>
        <row r="151">
          <cell r="A151" t="str">
            <v>A1149</v>
          </cell>
          <cell r="B151" t="str">
            <v>Data Analytcis Course</v>
          </cell>
          <cell r="C151">
            <v>100</v>
          </cell>
          <cell r="D151">
            <v>100</v>
          </cell>
          <cell r="E151">
            <v>4235</v>
          </cell>
          <cell r="F151">
            <v>4235</v>
          </cell>
          <cell r="G151" t="str">
            <v>$222.61</v>
          </cell>
          <cell r="H151" t="str">
            <v>$222.61</v>
          </cell>
          <cell r="I151">
            <v>10</v>
          </cell>
          <cell r="J151">
            <v>10</v>
          </cell>
          <cell r="K151">
            <v>8</v>
          </cell>
          <cell r="L151">
            <v>8</v>
          </cell>
          <cell r="M151">
            <v>0.08</v>
          </cell>
          <cell r="N151">
            <v>5.0999999999999997E-2</v>
          </cell>
          <cell r="O151" t="str">
            <v>$1814</v>
          </cell>
          <cell r="P151" t="str">
            <v>$1814</v>
          </cell>
          <cell r="Q151">
            <v>45597</v>
          </cell>
          <cell r="R151" t="str">
            <v>Hyderabad</v>
          </cell>
          <cell r="S151" t="str">
            <v>Desktop</v>
          </cell>
          <cell r="T151" t="str">
            <v>data analytics training</v>
          </cell>
        </row>
        <row r="152">
          <cell r="A152" t="str">
            <v>A1150</v>
          </cell>
          <cell r="B152" t="str">
            <v>Data Analytics Course</v>
          </cell>
          <cell r="C152">
            <v>153</v>
          </cell>
          <cell r="D152">
            <v>153</v>
          </cell>
          <cell r="E152">
            <v>4367</v>
          </cell>
          <cell r="F152">
            <v>4367</v>
          </cell>
          <cell r="G152" t="str">
            <v>$184.51</v>
          </cell>
          <cell r="H152" t="str">
            <v>$184.51</v>
          </cell>
          <cell r="I152">
            <v>29</v>
          </cell>
          <cell r="J152">
            <v>29</v>
          </cell>
          <cell r="K152">
            <v>9</v>
          </cell>
          <cell r="L152">
            <v>9</v>
          </cell>
          <cell r="M152">
            <v>5.8823529411764705E-2</v>
          </cell>
          <cell r="N152">
            <v>5.8999999999999997E-2</v>
          </cell>
          <cell r="O152" t="str">
            <v>$1507</v>
          </cell>
          <cell r="P152" t="str">
            <v>$1507</v>
          </cell>
          <cell r="Q152">
            <v>45609</v>
          </cell>
          <cell r="R152" t="str">
            <v>Hyderabad</v>
          </cell>
          <cell r="S152" t="str">
            <v>Mobile</v>
          </cell>
          <cell r="T152" t="str">
            <v>analytics for data</v>
          </cell>
        </row>
        <row r="153">
          <cell r="A153" t="str">
            <v>A1151</v>
          </cell>
          <cell r="B153" t="str">
            <v>Data Analytics Course</v>
          </cell>
          <cell r="C153">
            <v>110</v>
          </cell>
          <cell r="D153">
            <v>110</v>
          </cell>
          <cell r="E153">
            <v>3748</v>
          </cell>
          <cell r="F153">
            <v>3748</v>
          </cell>
          <cell r="G153" t="str">
            <v>$198.68</v>
          </cell>
          <cell r="H153" t="str">
            <v>$198.68</v>
          </cell>
          <cell r="I153">
            <v>24</v>
          </cell>
          <cell r="J153">
            <v>24</v>
          </cell>
          <cell r="K153">
            <v>9</v>
          </cell>
          <cell r="L153">
            <v>9</v>
          </cell>
          <cell r="M153">
            <v>8.1818181818181818E-2</v>
          </cell>
          <cell r="N153">
            <v>8.2000000000000003E-2</v>
          </cell>
          <cell r="O153" t="str">
            <v>$1041</v>
          </cell>
          <cell r="P153" t="str">
            <v>$1041</v>
          </cell>
          <cell r="Q153">
            <v>45601</v>
          </cell>
          <cell r="R153" t="str">
            <v>Chennai</v>
          </cell>
          <cell r="S153" t="str">
            <v>Tablet</v>
          </cell>
          <cell r="T153" t="str">
            <v>data analytics training</v>
          </cell>
        </row>
        <row r="154">
          <cell r="A154" t="str">
            <v>A1152</v>
          </cell>
          <cell r="B154" t="str">
            <v>Data Analytics Course</v>
          </cell>
          <cell r="C154">
            <v>116</v>
          </cell>
          <cell r="D154">
            <v>116</v>
          </cell>
          <cell r="E154">
            <v>3901</v>
          </cell>
          <cell r="F154">
            <v>3901</v>
          </cell>
          <cell r="G154" t="str">
            <v>$200.00</v>
          </cell>
          <cell r="I154">
            <v>21</v>
          </cell>
          <cell r="J154">
            <v>21</v>
          </cell>
          <cell r="K154">
            <v>4</v>
          </cell>
          <cell r="L154">
            <v>4</v>
          </cell>
          <cell r="M154">
            <v>3.4482758620689655E-2</v>
          </cell>
          <cell r="N154">
            <v>3.4000000000000002E-2</v>
          </cell>
          <cell r="O154" t="str">
            <v>$1483</v>
          </cell>
          <cell r="P154" t="str">
            <v>$1483</v>
          </cell>
          <cell r="Q154">
            <v>45609</v>
          </cell>
          <cell r="R154" t="str">
            <v>Hyderabad</v>
          </cell>
          <cell r="S154" t="str">
            <v>Tablet</v>
          </cell>
          <cell r="T154" t="str">
            <v>online data analytic</v>
          </cell>
        </row>
        <row r="155">
          <cell r="A155" t="str">
            <v>A1153</v>
          </cell>
          <cell r="B155" t="str">
            <v>Data Analytics Course</v>
          </cell>
          <cell r="C155">
            <v>156</v>
          </cell>
          <cell r="D155">
            <v>156</v>
          </cell>
          <cell r="E155">
            <v>3335</v>
          </cell>
          <cell r="F155">
            <v>3335</v>
          </cell>
          <cell r="G155" t="str">
            <v>$236.98</v>
          </cell>
          <cell r="H155" t="str">
            <v>$236.98</v>
          </cell>
          <cell r="I155">
            <v>29</v>
          </cell>
          <cell r="J155">
            <v>29</v>
          </cell>
          <cell r="K155">
            <v>7</v>
          </cell>
          <cell r="L155">
            <v>7</v>
          </cell>
          <cell r="M155">
            <v>4.4871794871794872E-2</v>
          </cell>
          <cell r="N155">
            <v>4.4999999999999998E-2</v>
          </cell>
          <cell r="O155" t="str">
            <v>$1143</v>
          </cell>
          <cell r="P155" t="str">
            <v>$1143</v>
          </cell>
          <cell r="Q155">
            <v>45610</v>
          </cell>
          <cell r="R155" t="str">
            <v>Chennai</v>
          </cell>
          <cell r="S155" t="str">
            <v>Desktop</v>
          </cell>
          <cell r="T155" t="str">
            <v>data analytics course</v>
          </cell>
        </row>
        <row r="156">
          <cell r="A156" t="str">
            <v>A1154</v>
          </cell>
          <cell r="B156" t="str">
            <v>Data Analytics Course</v>
          </cell>
          <cell r="C156">
            <v>177</v>
          </cell>
          <cell r="D156">
            <v>177</v>
          </cell>
          <cell r="E156">
            <v>5671</v>
          </cell>
          <cell r="F156">
            <v>5671</v>
          </cell>
          <cell r="G156" t="str">
            <v>$210.74</v>
          </cell>
          <cell r="H156" t="str">
            <v>$210.74</v>
          </cell>
          <cell r="I156">
            <v>19</v>
          </cell>
          <cell r="J156">
            <v>19</v>
          </cell>
          <cell r="K156">
            <v>6</v>
          </cell>
          <cell r="L156">
            <v>6</v>
          </cell>
          <cell r="M156">
            <v>3.3898305084745763E-2</v>
          </cell>
          <cell r="N156">
            <v>5.8000000000000003E-2</v>
          </cell>
          <cell r="O156" t="str">
            <v>$1172</v>
          </cell>
          <cell r="P156" t="str">
            <v>$1172</v>
          </cell>
          <cell r="Q156">
            <v>45621</v>
          </cell>
          <cell r="R156" t="str">
            <v>Hyderabad</v>
          </cell>
          <cell r="S156" t="str">
            <v>Tablet</v>
          </cell>
          <cell r="T156" t="str">
            <v>data analytics course</v>
          </cell>
        </row>
        <row r="157">
          <cell r="A157" t="str">
            <v>A1155</v>
          </cell>
          <cell r="B157" t="str">
            <v>Data Analytics Course</v>
          </cell>
          <cell r="C157">
            <v>89</v>
          </cell>
          <cell r="D157">
            <v>89</v>
          </cell>
          <cell r="E157">
            <v>3408</v>
          </cell>
          <cell r="F157">
            <v>3408</v>
          </cell>
          <cell r="G157" t="str">
            <v>$214.78</v>
          </cell>
          <cell r="H157" t="str">
            <v>$214.78</v>
          </cell>
          <cell r="I157">
            <v>25</v>
          </cell>
          <cell r="J157">
            <v>25</v>
          </cell>
          <cell r="K157">
            <v>9</v>
          </cell>
          <cell r="L157">
            <v>9</v>
          </cell>
          <cell r="M157">
            <v>0.10112359550561797</v>
          </cell>
          <cell r="N157">
            <v>0.10100000000000001</v>
          </cell>
          <cell r="O157" t="str">
            <v>$1898</v>
          </cell>
          <cell r="P157" t="str">
            <v>$1898</v>
          </cell>
          <cell r="Q157">
            <v>45611</v>
          </cell>
          <cell r="R157" t="str">
            <v>Bangaluru</v>
          </cell>
          <cell r="S157" t="str">
            <v>Mobile</v>
          </cell>
          <cell r="T157" t="str">
            <v>data analytics course</v>
          </cell>
        </row>
        <row r="158">
          <cell r="A158" t="str">
            <v>A1156</v>
          </cell>
          <cell r="B158" t="str">
            <v>Data Analytics Course</v>
          </cell>
          <cell r="C158">
            <v>155</v>
          </cell>
          <cell r="D158">
            <v>155</v>
          </cell>
          <cell r="E158">
            <v>4422</v>
          </cell>
          <cell r="F158">
            <v>4422</v>
          </cell>
          <cell r="G158" t="str">
            <v>$183.96</v>
          </cell>
          <cell r="H158" t="str">
            <v>$183.96</v>
          </cell>
          <cell r="I158">
            <v>14</v>
          </cell>
          <cell r="J158">
            <v>14</v>
          </cell>
          <cell r="K158">
            <v>8</v>
          </cell>
          <cell r="L158">
            <v>8</v>
          </cell>
          <cell r="M158">
            <v>5.1612903225806452E-2</v>
          </cell>
          <cell r="N158">
            <v>3.6999999999999998E-2</v>
          </cell>
          <cell r="O158" t="str">
            <v>$1143</v>
          </cell>
          <cell r="P158" t="str">
            <v>$1143</v>
          </cell>
          <cell r="Q158">
            <v>45611</v>
          </cell>
          <cell r="R158" t="str">
            <v>Bangaluru</v>
          </cell>
          <cell r="S158" t="str">
            <v>Mobile</v>
          </cell>
          <cell r="T158" t="str">
            <v>analytics for data</v>
          </cell>
        </row>
        <row r="159">
          <cell r="A159" t="str">
            <v>A1157</v>
          </cell>
          <cell r="B159" t="str">
            <v>Data Analytcis Course</v>
          </cell>
          <cell r="C159">
            <v>123</v>
          </cell>
          <cell r="D159">
            <v>123</v>
          </cell>
          <cell r="E159">
            <v>3097</v>
          </cell>
          <cell r="F159">
            <v>3097</v>
          </cell>
          <cell r="G159" t="str">
            <v>$190.55</v>
          </cell>
          <cell r="H159" t="str">
            <v>$190.55</v>
          </cell>
          <cell r="I159">
            <v>20</v>
          </cell>
          <cell r="J159">
            <v>20</v>
          </cell>
          <cell r="K159">
            <v>8</v>
          </cell>
          <cell r="L159">
            <v>8</v>
          </cell>
          <cell r="M159">
            <v>6.5040650406504072E-2</v>
          </cell>
          <cell r="N159">
            <v>6.5000000000000002E-2</v>
          </cell>
          <cell r="O159" t="str">
            <v>$1640</v>
          </cell>
          <cell r="P159" t="str">
            <v>$1640</v>
          </cell>
          <cell r="Q159">
            <v>45618</v>
          </cell>
          <cell r="R159" t="str">
            <v>Chennai</v>
          </cell>
          <cell r="S159" t="str">
            <v>Tablet</v>
          </cell>
          <cell r="T159" t="str">
            <v>data analytics course</v>
          </cell>
        </row>
        <row r="160">
          <cell r="A160" t="str">
            <v>A1158</v>
          </cell>
          <cell r="B160" t="str">
            <v>Data Analytics Course</v>
          </cell>
          <cell r="C160">
            <v>102</v>
          </cell>
          <cell r="D160">
            <v>102</v>
          </cell>
          <cell r="E160">
            <v>3621</v>
          </cell>
          <cell r="F160">
            <v>3621</v>
          </cell>
          <cell r="G160" t="str">
            <v>$244.82</v>
          </cell>
          <cell r="H160" t="str">
            <v>$244.82</v>
          </cell>
          <cell r="I160">
            <v>10</v>
          </cell>
          <cell r="J160">
            <v>10</v>
          </cell>
          <cell r="K160">
            <v>5</v>
          </cell>
          <cell r="L160">
            <v>5</v>
          </cell>
          <cell r="M160">
            <v>4.9019607843137254E-2</v>
          </cell>
          <cell r="N160">
            <v>4.9000000000000002E-2</v>
          </cell>
          <cell r="O160" t="str">
            <v>$1375</v>
          </cell>
          <cell r="P160" t="str">
            <v>$1375</v>
          </cell>
          <cell r="Q160">
            <v>45608</v>
          </cell>
          <cell r="R160" t="str">
            <v>Bangaluru</v>
          </cell>
          <cell r="S160" t="str">
            <v>Mobile</v>
          </cell>
          <cell r="T160" t="str">
            <v>learn data analytics</v>
          </cell>
        </row>
        <row r="161">
          <cell r="A161" t="str">
            <v>A1159</v>
          </cell>
          <cell r="B161" t="str">
            <v>Data Analytics Course</v>
          </cell>
          <cell r="C161">
            <v>150</v>
          </cell>
          <cell r="D161">
            <v>150</v>
          </cell>
          <cell r="E161">
            <v>4806</v>
          </cell>
          <cell r="F161">
            <v>4806</v>
          </cell>
          <cell r="G161" t="str">
            <v>$244.53</v>
          </cell>
          <cell r="H161" t="str">
            <v>$244.53</v>
          </cell>
          <cell r="I161">
            <v>15</v>
          </cell>
          <cell r="J161">
            <v>15</v>
          </cell>
          <cell r="K161">
            <v>9</v>
          </cell>
          <cell r="L161">
            <v>9</v>
          </cell>
          <cell r="M161">
            <v>0.06</v>
          </cell>
          <cell r="O161" t="str">
            <v>$1602</v>
          </cell>
          <cell r="P161" t="str">
            <v>$1602</v>
          </cell>
          <cell r="Q161">
            <v>45603</v>
          </cell>
          <cell r="R161" t="str">
            <v>Bangaluru</v>
          </cell>
          <cell r="S161" t="str">
            <v>Mobile</v>
          </cell>
          <cell r="T161" t="str">
            <v>data analytics online</v>
          </cell>
        </row>
        <row r="162">
          <cell r="A162" t="str">
            <v>A1160</v>
          </cell>
          <cell r="B162" t="str">
            <v>Data Analytics Course</v>
          </cell>
          <cell r="C162">
            <v>160</v>
          </cell>
          <cell r="D162">
            <v>160</v>
          </cell>
          <cell r="E162">
            <v>4523.2808326787117</v>
          </cell>
          <cell r="G162" t="str">
            <v>$245.87</v>
          </cell>
          <cell r="H162" t="str">
            <v>$245.87</v>
          </cell>
          <cell r="I162">
            <v>11</v>
          </cell>
          <cell r="J162">
            <v>11</v>
          </cell>
          <cell r="K162">
            <v>6</v>
          </cell>
          <cell r="L162">
            <v>6</v>
          </cell>
          <cell r="M162">
            <v>3.7499999999999999E-2</v>
          </cell>
          <cell r="N162">
            <v>3.6999999999999998E-2</v>
          </cell>
          <cell r="O162" t="str">
            <v>$1500</v>
          </cell>
          <cell r="Q162">
            <v>45601</v>
          </cell>
          <cell r="R162" t="str">
            <v>Chennai</v>
          </cell>
          <cell r="S162" t="str">
            <v>Desktop</v>
          </cell>
          <cell r="T162" t="str">
            <v>analytics for data</v>
          </cell>
        </row>
        <row r="163">
          <cell r="A163" t="str">
            <v>A1161</v>
          </cell>
          <cell r="B163" t="str">
            <v>Data Analytics Course</v>
          </cell>
          <cell r="C163">
            <v>143</v>
          </cell>
          <cell r="D163">
            <v>143</v>
          </cell>
          <cell r="E163">
            <v>3901</v>
          </cell>
          <cell r="F163">
            <v>3901</v>
          </cell>
          <cell r="G163" t="str">
            <v>$191.38</v>
          </cell>
          <cell r="H163" t="str">
            <v>$191.38</v>
          </cell>
          <cell r="I163">
            <v>29</v>
          </cell>
          <cell r="J163">
            <v>29</v>
          </cell>
          <cell r="K163">
            <v>4</v>
          </cell>
          <cell r="L163">
            <v>4</v>
          </cell>
          <cell r="M163">
            <v>2.7972027972027972E-2</v>
          </cell>
          <cell r="N163">
            <v>5.2999999999999999E-2</v>
          </cell>
          <cell r="O163" t="str">
            <v>$1786</v>
          </cell>
          <cell r="P163" t="str">
            <v>$1786</v>
          </cell>
          <cell r="Q163">
            <v>45620</v>
          </cell>
          <cell r="R163" t="str">
            <v>Hyderabad</v>
          </cell>
          <cell r="S163" t="str">
            <v>Mobile</v>
          </cell>
          <cell r="T163" t="str">
            <v>learn data analytics</v>
          </cell>
        </row>
        <row r="164">
          <cell r="A164" t="str">
            <v>A1162</v>
          </cell>
          <cell r="B164" t="str">
            <v>Data Analytics Course</v>
          </cell>
          <cell r="C164">
            <v>178</v>
          </cell>
          <cell r="D164">
            <v>178</v>
          </cell>
          <cell r="E164">
            <v>4673</v>
          </cell>
          <cell r="F164">
            <v>4673</v>
          </cell>
          <cell r="G164" t="str">
            <v>$222.46</v>
          </cell>
          <cell r="H164" t="str">
            <v>$222.46</v>
          </cell>
          <cell r="I164">
            <v>29</v>
          </cell>
          <cell r="J164">
            <v>29</v>
          </cell>
          <cell r="K164">
            <v>6</v>
          </cell>
          <cell r="L164">
            <v>6</v>
          </cell>
          <cell r="M164">
            <v>3.3707865168539325E-2</v>
          </cell>
          <cell r="N164">
            <v>5.0999999999999997E-2</v>
          </cell>
          <cell r="O164" t="str">
            <v>$1219</v>
          </cell>
          <cell r="P164" t="str">
            <v>$1219</v>
          </cell>
          <cell r="Q164">
            <v>45600</v>
          </cell>
          <cell r="R164" t="str">
            <v>Bangaluru</v>
          </cell>
          <cell r="S164" t="str">
            <v>Tablet</v>
          </cell>
          <cell r="T164" t="str">
            <v>online data analytic</v>
          </cell>
        </row>
        <row r="165">
          <cell r="A165" t="str">
            <v>A1163</v>
          </cell>
          <cell r="B165" t="str">
            <v>Data Analytics Course</v>
          </cell>
          <cell r="C165">
            <v>152</v>
          </cell>
          <cell r="D165">
            <v>152</v>
          </cell>
          <cell r="E165">
            <v>3542</v>
          </cell>
          <cell r="F165">
            <v>3542</v>
          </cell>
          <cell r="G165" t="str">
            <v>$208.96</v>
          </cell>
          <cell r="H165" t="str">
            <v>$208.96</v>
          </cell>
          <cell r="I165">
            <v>13</v>
          </cell>
          <cell r="J165">
            <v>13</v>
          </cell>
          <cell r="K165">
            <v>9</v>
          </cell>
          <cell r="L165">
            <v>9</v>
          </cell>
          <cell r="M165">
            <v>5.921052631578947E-2</v>
          </cell>
          <cell r="O165" t="str">
            <v>$1735</v>
          </cell>
          <cell r="P165" t="str">
            <v>$1735</v>
          </cell>
          <cell r="Q165">
            <v>45609</v>
          </cell>
          <cell r="R165" t="str">
            <v>Chennai</v>
          </cell>
          <cell r="S165" t="str">
            <v>Desktop</v>
          </cell>
          <cell r="T165" t="str">
            <v>data analytics course</v>
          </cell>
        </row>
        <row r="166">
          <cell r="A166" t="str">
            <v>A1164</v>
          </cell>
          <cell r="B166" t="str">
            <v>Data Analytics Course</v>
          </cell>
          <cell r="C166">
            <v>139</v>
          </cell>
          <cell r="D166">
            <v>139</v>
          </cell>
          <cell r="E166">
            <v>4347</v>
          </cell>
          <cell r="F166">
            <v>4347</v>
          </cell>
          <cell r="G166" t="str">
            <v>$238.19</v>
          </cell>
          <cell r="H166" t="str">
            <v>$238.19</v>
          </cell>
          <cell r="I166">
            <v>26</v>
          </cell>
          <cell r="J166">
            <v>26</v>
          </cell>
          <cell r="K166">
            <v>5</v>
          </cell>
          <cell r="L166">
            <v>5</v>
          </cell>
          <cell r="M166">
            <v>3.5971223021582732E-2</v>
          </cell>
          <cell r="O166" t="str">
            <v>$1384</v>
          </cell>
          <cell r="P166" t="str">
            <v>$1384</v>
          </cell>
          <cell r="Q166">
            <v>45609</v>
          </cell>
          <cell r="R166" t="str">
            <v>Bangaluru</v>
          </cell>
          <cell r="S166" t="str">
            <v>Tablet</v>
          </cell>
          <cell r="T166" t="str">
            <v>analytics for data</v>
          </cell>
        </row>
        <row r="167">
          <cell r="A167" t="str">
            <v>A1165</v>
          </cell>
          <cell r="B167" t="str">
            <v>Data Analytcis Course</v>
          </cell>
          <cell r="C167">
            <v>175</v>
          </cell>
          <cell r="D167">
            <v>175</v>
          </cell>
          <cell r="E167">
            <v>5014</v>
          </cell>
          <cell r="F167">
            <v>5014</v>
          </cell>
          <cell r="G167" t="str">
            <v>$247.24</v>
          </cell>
          <cell r="H167" t="str">
            <v>$247.24</v>
          </cell>
          <cell r="I167">
            <v>25</v>
          </cell>
          <cell r="J167">
            <v>25</v>
          </cell>
          <cell r="K167">
            <v>7</v>
          </cell>
          <cell r="L167">
            <v>7</v>
          </cell>
          <cell r="M167">
            <v>0.04</v>
          </cell>
          <cell r="N167">
            <v>0.04</v>
          </cell>
          <cell r="O167" t="str">
            <v>$1499</v>
          </cell>
          <cell r="P167" t="str">
            <v>$1499</v>
          </cell>
          <cell r="Q167">
            <v>45611</v>
          </cell>
          <cell r="R167" t="str">
            <v>Bangaluru</v>
          </cell>
          <cell r="S167" t="str">
            <v>Mobile</v>
          </cell>
          <cell r="T167" t="str">
            <v>learn data analytics</v>
          </cell>
        </row>
        <row r="168">
          <cell r="A168" t="str">
            <v>A1166</v>
          </cell>
          <cell r="B168" t="str">
            <v>Data Analytics Course</v>
          </cell>
          <cell r="C168">
            <v>92</v>
          </cell>
          <cell r="D168">
            <v>92</v>
          </cell>
          <cell r="E168">
            <v>4185</v>
          </cell>
          <cell r="F168">
            <v>4185</v>
          </cell>
          <cell r="G168" t="str">
            <v>$218.46</v>
          </cell>
          <cell r="H168" t="str">
            <v>$218.46</v>
          </cell>
          <cell r="I168">
            <v>21</v>
          </cell>
          <cell r="J168">
            <v>21</v>
          </cell>
          <cell r="K168">
            <v>9</v>
          </cell>
          <cell r="L168">
            <v>9</v>
          </cell>
          <cell r="M168">
            <v>9.7826086956521743E-2</v>
          </cell>
          <cell r="N168">
            <v>3.5000000000000003E-2</v>
          </cell>
          <cell r="O168" t="str">
            <v>$1567</v>
          </cell>
          <cell r="P168" t="str">
            <v>$1567</v>
          </cell>
          <cell r="Q168">
            <v>45599</v>
          </cell>
          <cell r="R168" t="str">
            <v>Chennai</v>
          </cell>
          <cell r="S168" t="str">
            <v>Mobile</v>
          </cell>
          <cell r="T168" t="str">
            <v>data analytics online</v>
          </cell>
        </row>
        <row r="169">
          <cell r="A169" t="str">
            <v>A1167</v>
          </cell>
          <cell r="B169" t="str">
            <v>Data Analytics Course</v>
          </cell>
          <cell r="C169">
            <v>123</v>
          </cell>
          <cell r="D169">
            <v>123</v>
          </cell>
          <cell r="E169">
            <v>5964</v>
          </cell>
          <cell r="F169">
            <v>5964</v>
          </cell>
          <cell r="G169" t="str">
            <v>$200.00</v>
          </cell>
          <cell r="I169">
            <v>17</v>
          </cell>
          <cell r="J169">
            <v>17</v>
          </cell>
          <cell r="K169">
            <v>6</v>
          </cell>
          <cell r="L169">
            <v>6</v>
          </cell>
          <cell r="M169">
            <v>4.878048780487805E-2</v>
          </cell>
          <cell r="O169" t="str">
            <v>$1363</v>
          </cell>
          <cell r="P169" t="str">
            <v>$1363</v>
          </cell>
          <cell r="Q169">
            <v>45599</v>
          </cell>
          <cell r="R169" t="str">
            <v>Bangaluru</v>
          </cell>
          <cell r="S169" t="str">
            <v>Desktop</v>
          </cell>
          <cell r="T169" t="str">
            <v>data analytics training</v>
          </cell>
        </row>
        <row r="170">
          <cell r="A170" t="str">
            <v>A1168</v>
          </cell>
          <cell r="B170" t="str">
            <v>Data Analytcis Course</v>
          </cell>
          <cell r="C170">
            <v>86</v>
          </cell>
          <cell r="D170">
            <v>86</v>
          </cell>
          <cell r="E170">
            <v>5124</v>
          </cell>
          <cell r="F170">
            <v>5124</v>
          </cell>
          <cell r="G170" t="str">
            <v>$183.71</v>
          </cell>
          <cell r="H170" t="str">
            <v>$183.71</v>
          </cell>
          <cell r="I170">
            <v>13</v>
          </cell>
          <cell r="J170">
            <v>13</v>
          </cell>
          <cell r="K170">
            <v>10</v>
          </cell>
          <cell r="L170">
            <v>10</v>
          </cell>
          <cell r="M170">
            <v>0.11627906976744186</v>
          </cell>
          <cell r="N170">
            <v>0.11600000000000001</v>
          </cell>
          <cell r="O170" t="str">
            <v>$1137</v>
          </cell>
          <cell r="P170" t="str">
            <v>$1137</v>
          </cell>
          <cell r="Q170">
            <v>45616</v>
          </cell>
          <cell r="R170" t="str">
            <v>Hyderabad</v>
          </cell>
          <cell r="S170" t="str">
            <v>Mobile</v>
          </cell>
          <cell r="T170" t="str">
            <v>data analytics training</v>
          </cell>
        </row>
        <row r="171">
          <cell r="A171" t="str">
            <v>A1169</v>
          </cell>
          <cell r="B171" t="str">
            <v>Data Analytics Course</v>
          </cell>
          <cell r="C171">
            <v>117</v>
          </cell>
          <cell r="D171">
            <v>117</v>
          </cell>
          <cell r="E171">
            <v>4162</v>
          </cell>
          <cell r="F171">
            <v>4162</v>
          </cell>
          <cell r="G171" t="str">
            <v>$238.08</v>
          </cell>
          <cell r="H171" t="str">
            <v>$238.08</v>
          </cell>
          <cell r="I171">
            <v>28</v>
          </cell>
          <cell r="J171">
            <v>28</v>
          </cell>
          <cell r="K171">
            <v>10</v>
          </cell>
          <cell r="L171">
            <v>10</v>
          </cell>
          <cell r="M171">
            <v>8.5470085470085472E-2</v>
          </cell>
          <cell r="N171">
            <v>8.5000000000000006E-2</v>
          </cell>
          <cell r="O171" t="str">
            <v>$1186</v>
          </cell>
          <cell r="P171" t="str">
            <v>$1186</v>
          </cell>
          <cell r="Q171">
            <v>45618</v>
          </cell>
          <cell r="R171" t="str">
            <v>Bangaluru</v>
          </cell>
          <cell r="S171" t="str">
            <v>Mobile</v>
          </cell>
          <cell r="T171" t="str">
            <v>online data analytic</v>
          </cell>
        </row>
        <row r="172">
          <cell r="A172" t="str">
            <v>A1170</v>
          </cell>
          <cell r="B172" t="str">
            <v>Data Analytcis Course</v>
          </cell>
          <cell r="C172">
            <v>146</v>
          </cell>
          <cell r="D172">
            <v>146</v>
          </cell>
          <cell r="E172">
            <v>4330</v>
          </cell>
          <cell r="F172">
            <v>4330</v>
          </cell>
          <cell r="G172" t="str">
            <v>$191.9</v>
          </cell>
          <cell r="H172" t="str">
            <v>$191.9</v>
          </cell>
          <cell r="I172">
            <v>20</v>
          </cell>
          <cell r="J172">
            <v>20</v>
          </cell>
          <cell r="K172">
            <v>3</v>
          </cell>
          <cell r="L172">
            <v>3</v>
          </cell>
          <cell r="M172">
            <v>2.0547945205479451E-2</v>
          </cell>
          <cell r="N172">
            <v>2.1000000000000001E-2</v>
          </cell>
          <cell r="O172" t="str">
            <v>$1748</v>
          </cell>
          <cell r="P172" t="str">
            <v>$1748</v>
          </cell>
          <cell r="Q172">
            <v>45605</v>
          </cell>
          <cell r="R172" t="str">
            <v>Hyderabad</v>
          </cell>
          <cell r="S172" t="str">
            <v>Mobile</v>
          </cell>
          <cell r="T172" t="str">
            <v>online data analytic</v>
          </cell>
        </row>
        <row r="173">
          <cell r="A173" t="str">
            <v>A1171</v>
          </cell>
          <cell r="B173" t="str">
            <v>Data Analytcis Course</v>
          </cell>
          <cell r="C173">
            <v>89</v>
          </cell>
          <cell r="D173">
            <v>89</v>
          </cell>
          <cell r="E173">
            <v>3268</v>
          </cell>
          <cell r="F173">
            <v>3268</v>
          </cell>
          <cell r="G173" t="str">
            <v>$200.00</v>
          </cell>
          <cell r="I173">
            <v>17</v>
          </cell>
          <cell r="J173">
            <v>17</v>
          </cell>
          <cell r="K173">
            <v>4</v>
          </cell>
          <cell r="L173">
            <v>4</v>
          </cell>
          <cell r="M173">
            <v>4.49438202247191E-2</v>
          </cell>
          <cell r="N173">
            <v>4.4999999999999998E-2</v>
          </cell>
          <cell r="O173" t="str">
            <v>$1233</v>
          </cell>
          <cell r="P173" t="str">
            <v>$1233</v>
          </cell>
          <cell r="Q173">
            <v>45609</v>
          </cell>
          <cell r="R173" t="str">
            <v>Hyderabad</v>
          </cell>
          <cell r="S173" t="str">
            <v>Desktop</v>
          </cell>
          <cell r="T173" t="str">
            <v>online data analytic</v>
          </cell>
        </row>
        <row r="174">
          <cell r="A174" t="str">
            <v>A1172</v>
          </cell>
          <cell r="B174" t="str">
            <v>Data Analytics Course</v>
          </cell>
          <cell r="C174">
            <v>195</v>
          </cell>
          <cell r="D174">
            <v>195</v>
          </cell>
          <cell r="E174">
            <v>3483</v>
          </cell>
          <cell r="F174">
            <v>3483</v>
          </cell>
          <cell r="G174" t="str">
            <v>$213.99</v>
          </cell>
          <cell r="H174" t="str">
            <v>$213.99</v>
          </cell>
          <cell r="I174">
            <v>27</v>
          </cell>
          <cell r="J174">
            <v>27</v>
          </cell>
          <cell r="K174">
            <v>7</v>
          </cell>
          <cell r="L174">
            <v>7</v>
          </cell>
          <cell r="M174">
            <v>3.5897435897435895E-2</v>
          </cell>
          <cell r="N174">
            <v>3.5999999999999997E-2</v>
          </cell>
          <cell r="O174" t="str">
            <v>$1796</v>
          </cell>
          <cell r="P174" t="str">
            <v>$1796</v>
          </cell>
          <cell r="Q174">
            <v>45619</v>
          </cell>
          <cell r="R174" t="str">
            <v>Hyderabad</v>
          </cell>
          <cell r="S174" t="str">
            <v>Desktop</v>
          </cell>
          <cell r="T174" t="str">
            <v>learn data analytics</v>
          </cell>
        </row>
        <row r="175">
          <cell r="A175" t="str">
            <v>A1173</v>
          </cell>
          <cell r="B175" t="str">
            <v>Data Analytcis Course</v>
          </cell>
          <cell r="C175">
            <v>170</v>
          </cell>
          <cell r="D175">
            <v>170</v>
          </cell>
          <cell r="E175">
            <v>4519</v>
          </cell>
          <cell r="F175">
            <v>4519</v>
          </cell>
          <cell r="G175" t="str">
            <v>$240.63</v>
          </cell>
          <cell r="H175" t="str">
            <v>$240.63</v>
          </cell>
          <cell r="I175">
            <v>22</v>
          </cell>
          <cell r="J175">
            <v>22</v>
          </cell>
          <cell r="K175">
            <v>7</v>
          </cell>
          <cell r="L175">
            <v>7</v>
          </cell>
          <cell r="M175">
            <v>4.1176470588235294E-2</v>
          </cell>
          <cell r="N175">
            <v>4.1000000000000002E-2</v>
          </cell>
          <cell r="O175" t="str">
            <v>$1012</v>
          </cell>
          <cell r="P175" t="str">
            <v>$1012</v>
          </cell>
          <cell r="Q175">
            <v>45623</v>
          </cell>
          <cell r="R175" t="str">
            <v>Chennai</v>
          </cell>
          <cell r="S175" t="str">
            <v>Mobile</v>
          </cell>
          <cell r="T175" t="str">
            <v>analytics for data</v>
          </cell>
        </row>
        <row r="176">
          <cell r="A176" t="str">
            <v>A1174</v>
          </cell>
          <cell r="B176" t="str">
            <v>Data Analytcis Course</v>
          </cell>
          <cell r="C176">
            <v>97</v>
          </cell>
          <cell r="D176">
            <v>97</v>
          </cell>
          <cell r="E176">
            <v>3605</v>
          </cell>
          <cell r="F176">
            <v>3605</v>
          </cell>
          <cell r="G176" t="str">
            <v>$240.29</v>
          </cell>
          <cell r="H176" t="str">
            <v>$240.29</v>
          </cell>
          <cell r="I176">
            <v>21</v>
          </cell>
          <cell r="J176">
            <v>21</v>
          </cell>
          <cell r="K176">
            <v>7</v>
          </cell>
          <cell r="L176">
            <v>7</v>
          </cell>
          <cell r="M176">
            <v>7.2164948453608241E-2</v>
          </cell>
          <cell r="N176">
            <v>4.4999999999999998E-2</v>
          </cell>
          <cell r="O176" t="str">
            <v>$1682</v>
          </cell>
          <cell r="P176" t="str">
            <v>$1682</v>
          </cell>
          <cell r="Q176">
            <v>45606</v>
          </cell>
          <cell r="R176" t="str">
            <v>Hyderabad</v>
          </cell>
          <cell r="S176" t="str">
            <v>Desktop</v>
          </cell>
          <cell r="T176" t="str">
            <v>data analytics online</v>
          </cell>
        </row>
        <row r="177">
          <cell r="A177" t="str">
            <v>A1175</v>
          </cell>
          <cell r="B177" t="str">
            <v>Data Analytics Course</v>
          </cell>
          <cell r="C177">
            <v>159</v>
          </cell>
          <cell r="D177">
            <v>159</v>
          </cell>
          <cell r="E177">
            <v>5076</v>
          </cell>
          <cell r="F177">
            <v>5076</v>
          </cell>
          <cell r="G177" t="str">
            <v>$204.97</v>
          </cell>
          <cell r="H177" t="str">
            <v>$204.97</v>
          </cell>
          <cell r="I177">
            <v>15</v>
          </cell>
          <cell r="J177">
            <v>15</v>
          </cell>
          <cell r="K177">
            <v>10</v>
          </cell>
          <cell r="L177">
            <v>10</v>
          </cell>
          <cell r="M177">
            <v>6.2893081761006289E-2</v>
          </cell>
          <cell r="N177">
            <v>6.3E-2</v>
          </cell>
          <cell r="O177" t="str">
            <v>$1638</v>
          </cell>
          <cell r="P177" t="str">
            <v>$1638</v>
          </cell>
          <cell r="Q177">
            <v>45613</v>
          </cell>
          <cell r="R177" t="str">
            <v>Chennai</v>
          </cell>
          <cell r="S177" t="str">
            <v>Tablet</v>
          </cell>
          <cell r="T177" t="str">
            <v>data analytics course</v>
          </cell>
        </row>
        <row r="178">
          <cell r="A178" t="str">
            <v>A1176</v>
          </cell>
          <cell r="B178" t="str">
            <v>Data Analytics Course</v>
          </cell>
          <cell r="C178">
            <v>131</v>
          </cell>
          <cell r="D178">
            <v>131</v>
          </cell>
          <cell r="E178">
            <v>5352</v>
          </cell>
          <cell r="F178">
            <v>5352</v>
          </cell>
          <cell r="G178" t="str">
            <v>$225.86</v>
          </cell>
          <cell r="H178" t="str">
            <v>$225.86</v>
          </cell>
          <cell r="I178">
            <v>24</v>
          </cell>
          <cell r="J178">
            <v>24</v>
          </cell>
          <cell r="K178">
            <v>10</v>
          </cell>
          <cell r="L178">
            <v>10</v>
          </cell>
          <cell r="M178">
            <v>7.6335877862595422E-2</v>
          </cell>
          <cell r="O178" t="str">
            <v>$1961</v>
          </cell>
          <cell r="P178" t="str">
            <v>$1961</v>
          </cell>
          <cell r="Q178">
            <v>45616</v>
          </cell>
          <cell r="R178" t="str">
            <v>Hyderabad</v>
          </cell>
          <cell r="S178" t="str">
            <v>Mobile</v>
          </cell>
          <cell r="T178" t="str">
            <v>online data analytic</v>
          </cell>
        </row>
        <row r="179">
          <cell r="A179" t="str">
            <v>A1177</v>
          </cell>
          <cell r="B179" t="str">
            <v>Data Analytics Course</v>
          </cell>
          <cell r="C179">
            <v>108</v>
          </cell>
          <cell r="D179">
            <v>108</v>
          </cell>
          <cell r="E179">
            <v>5503</v>
          </cell>
          <cell r="F179">
            <v>5503</v>
          </cell>
          <cell r="G179" t="str">
            <v>$185.26</v>
          </cell>
          <cell r="H179" t="str">
            <v>$185.26</v>
          </cell>
          <cell r="I179">
            <v>11</v>
          </cell>
          <cell r="J179">
            <v>11</v>
          </cell>
          <cell r="K179">
            <v>7</v>
          </cell>
          <cell r="L179">
            <v>7</v>
          </cell>
          <cell r="M179">
            <v>6.4814814814814811E-2</v>
          </cell>
          <cell r="N179">
            <v>6.5000000000000002E-2</v>
          </cell>
          <cell r="O179" t="str">
            <v>$1921</v>
          </cell>
          <cell r="P179" t="str">
            <v>$1921</v>
          </cell>
          <cell r="Q179">
            <v>45602</v>
          </cell>
          <cell r="R179" t="str">
            <v>Bangaluru</v>
          </cell>
          <cell r="S179" t="str">
            <v>Mobile</v>
          </cell>
          <cell r="T179" t="str">
            <v>data analytics online</v>
          </cell>
        </row>
        <row r="180">
          <cell r="A180" t="str">
            <v>A1178</v>
          </cell>
          <cell r="B180" t="str">
            <v>Data Analytics Course</v>
          </cell>
          <cell r="C180">
            <v>93</v>
          </cell>
          <cell r="D180">
            <v>93</v>
          </cell>
          <cell r="E180">
            <v>4308</v>
          </cell>
          <cell r="F180">
            <v>4308</v>
          </cell>
          <cell r="G180" t="str">
            <v>$209.83</v>
          </cell>
          <cell r="H180" t="str">
            <v>$209.83</v>
          </cell>
          <cell r="I180">
            <v>19</v>
          </cell>
          <cell r="J180">
            <v>19</v>
          </cell>
          <cell r="K180">
            <v>9</v>
          </cell>
          <cell r="L180">
            <v>9</v>
          </cell>
          <cell r="M180">
            <v>9.6774193548387094E-2</v>
          </cell>
          <cell r="N180">
            <v>9.7000000000000003E-2</v>
          </cell>
          <cell r="O180" t="str">
            <v>$1694</v>
          </cell>
          <cell r="P180" t="str">
            <v>$1694</v>
          </cell>
          <cell r="Q180">
            <v>45616</v>
          </cell>
          <cell r="R180" t="str">
            <v>Hyderabad</v>
          </cell>
          <cell r="S180" t="str">
            <v>Mobile</v>
          </cell>
          <cell r="T180" t="str">
            <v>data analytics course</v>
          </cell>
        </row>
        <row r="181">
          <cell r="A181" t="str">
            <v>A1179</v>
          </cell>
          <cell r="B181" t="str">
            <v>Data Analytcis Course</v>
          </cell>
          <cell r="C181">
            <v>137</v>
          </cell>
          <cell r="D181">
            <v>137</v>
          </cell>
          <cell r="E181">
            <v>3555</v>
          </cell>
          <cell r="F181">
            <v>3555</v>
          </cell>
          <cell r="G181" t="str">
            <v>$213.5</v>
          </cell>
          <cell r="H181" t="str">
            <v>$213.5</v>
          </cell>
          <cell r="I181">
            <v>29</v>
          </cell>
          <cell r="J181">
            <v>29</v>
          </cell>
          <cell r="K181">
            <v>3</v>
          </cell>
          <cell r="L181">
            <v>3</v>
          </cell>
          <cell r="M181">
            <v>2.1897810218978103E-2</v>
          </cell>
          <cell r="O181" t="str">
            <v>$1500</v>
          </cell>
          <cell r="Q181">
            <v>45602</v>
          </cell>
          <cell r="R181" t="str">
            <v>Hyderabad</v>
          </cell>
          <cell r="S181" t="str">
            <v>Desktop</v>
          </cell>
          <cell r="T181" t="str">
            <v>data analytics course</v>
          </cell>
        </row>
        <row r="182">
          <cell r="A182" t="str">
            <v>A1180</v>
          </cell>
          <cell r="B182" t="str">
            <v>Data Analytics Course</v>
          </cell>
          <cell r="C182">
            <v>81</v>
          </cell>
          <cell r="D182">
            <v>81</v>
          </cell>
          <cell r="E182">
            <v>5615</v>
          </cell>
          <cell r="F182">
            <v>5615</v>
          </cell>
          <cell r="G182" t="str">
            <v>$193.14</v>
          </cell>
          <cell r="H182" t="str">
            <v>$193.14</v>
          </cell>
          <cell r="I182">
            <v>30</v>
          </cell>
          <cell r="J182">
            <v>30</v>
          </cell>
          <cell r="K182">
            <v>6</v>
          </cell>
          <cell r="L182">
            <v>6</v>
          </cell>
          <cell r="M182">
            <v>7.407407407407407E-2</v>
          </cell>
          <cell r="N182">
            <v>7.3999999999999996E-2</v>
          </cell>
          <cell r="O182" t="str">
            <v>$1255</v>
          </cell>
          <cell r="P182" t="str">
            <v>$1255</v>
          </cell>
          <cell r="Q182">
            <v>45624</v>
          </cell>
          <cell r="R182" t="str">
            <v>Hyderabad</v>
          </cell>
          <cell r="S182" t="str">
            <v>Mobile</v>
          </cell>
          <cell r="T182" t="str">
            <v>analytics for data</v>
          </cell>
        </row>
        <row r="183">
          <cell r="A183" t="str">
            <v>A1181</v>
          </cell>
          <cell r="B183" t="str">
            <v>Data Analytcis Course</v>
          </cell>
          <cell r="C183">
            <v>160</v>
          </cell>
          <cell r="D183">
            <v>160</v>
          </cell>
          <cell r="E183">
            <v>4743</v>
          </cell>
          <cell r="F183">
            <v>4743</v>
          </cell>
          <cell r="G183" t="str">
            <v>$206.22</v>
          </cell>
          <cell r="H183" t="str">
            <v>$206.22</v>
          </cell>
          <cell r="I183">
            <v>23</v>
          </cell>
          <cell r="J183">
            <v>23</v>
          </cell>
          <cell r="K183">
            <v>10</v>
          </cell>
          <cell r="L183">
            <v>10</v>
          </cell>
          <cell r="M183">
            <v>6.25E-2</v>
          </cell>
          <cell r="N183">
            <v>6.2E-2</v>
          </cell>
          <cell r="O183" t="str">
            <v>$1825</v>
          </cell>
          <cell r="P183" t="str">
            <v>$1825</v>
          </cell>
          <cell r="Q183">
            <v>45616</v>
          </cell>
          <cell r="R183" t="str">
            <v>Bangaluru</v>
          </cell>
          <cell r="S183" t="str">
            <v>Mobile</v>
          </cell>
          <cell r="T183" t="str">
            <v>learn data analytics</v>
          </cell>
        </row>
        <row r="184">
          <cell r="A184" t="str">
            <v>A1182</v>
          </cell>
          <cell r="B184" t="str">
            <v>Data Analytics Course</v>
          </cell>
          <cell r="C184">
            <v>186</v>
          </cell>
          <cell r="D184">
            <v>186</v>
          </cell>
          <cell r="E184">
            <v>3337</v>
          </cell>
          <cell r="F184">
            <v>3337</v>
          </cell>
          <cell r="G184" t="str">
            <v>$183.58</v>
          </cell>
          <cell r="H184" t="str">
            <v>$183.58</v>
          </cell>
          <cell r="I184">
            <v>16</v>
          </cell>
          <cell r="J184">
            <v>16</v>
          </cell>
          <cell r="K184">
            <v>8</v>
          </cell>
          <cell r="L184">
            <v>8</v>
          </cell>
          <cell r="M184">
            <v>4.3010752688172046E-2</v>
          </cell>
          <cell r="N184">
            <v>4.2999999999999997E-2</v>
          </cell>
          <cell r="O184" t="str">
            <v>$1045</v>
          </cell>
          <cell r="P184" t="str">
            <v>$1045</v>
          </cell>
          <cell r="Q184">
            <v>45626</v>
          </cell>
          <cell r="R184" t="str">
            <v>Hyderabad</v>
          </cell>
          <cell r="S184" t="str">
            <v>Desktop</v>
          </cell>
          <cell r="T184" t="str">
            <v>online data analytic</v>
          </cell>
        </row>
        <row r="185">
          <cell r="A185" t="str">
            <v>A1183</v>
          </cell>
          <cell r="B185" t="str">
            <v>Data Analytcis Course</v>
          </cell>
          <cell r="C185">
            <v>105</v>
          </cell>
          <cell r="D185">
            <v>105</v>
          </cell>
          <cell r="E185">
            <v>3234</v>
          </cell>
          <cell r="F185">
            <v>3234</v>
          </cell>
          <cell r="G185" t="str">
            <v>$238.8</v>
          </cell>
          <cell r="H185" t="str">
            <v>$238.8</v>
          </cell>
          <cell r="I185">
            <v>27</v>
          </cell>
          <cell r="J185">
            <v>27</v>
          </cell>
          <cell r="K185">
            <v>10</v>
          </cell>
          <cell r="L185">
            <v>10</v>
          </cell>
          <cell r="M185">
            <v>9.5238095238095233E-2</v>
          </cell>
          <cell r="N185">
            <v>9.5000000000000001E-2</v>
          </cell>
          <cell r="O185" t="str">
            <v>$1248</v>
          </cell>
          <cell r="P185" t="str">
            <v>$1248</v>
          </cell>
          <cell r="Q185">
            <v>45602</v>
          </cell>
          <cell r="R185" t="str">
            <v>Chennai</v>
          </cell>
          <cell r="S185" t="str">
            <v>Desktop</v>
          </cell>
          <cell r="T185" t="str">
            <v>online data analytic</v>
          </cell>
        </row>
        <row r="186">
          <cell r="A186" t="str">
            <v>A1184</v>
          </cell>
          <cell r="B186" t="str">
            <v>Data Analytcis Course</v>
          </cell>
          <cell r="C186">
            <v>131</v>
          </cell>
          <cell r="D186">
            <v>131</v>
          </cell>
          <cell r="E186">
            <v>3913</v>
          </cell>
          <cell r="F186">
            <v>3913</v>
          </cell>
          <cell r="G186" t="str">
            <v>$203.69</v>
          </cell>
          <cell r="H186" t="str">
            <v>$203.69</v>
          </cell>
          <cell r="I186">
            <v>14</v>
          </cell>
          <cell r="J186">
            <v>14</v>
          </cell>
          <cell r="K186">
            <v>10</v>
          </cell>
          <cell r="L186">
            <v>10</v>
          </cell>
          <cell r="M186">
            <v>7.6335877862595422E-2</v>
          </cell>
          <cell r="O186" t="str">
            <v>$1079</v>
          </cell>
          <cell r="P186" t="str">
            <v>$1079</v>
          </cell>
          <cell r="Q186">
            <v>45621</v>
          </cell>
          <cell r="R186" t="str">
            <v>Chennai</v>
          </cell>
          <cell r="S186" t="str">
            <v>Desktop</v>
          </cell>
          <cell r="T186" t="str">
            <v>data analytics training</v>
          </cell>
        </row>
        <row r="187">
          <cell r="A187" t="str">
            <v>A1185</v>
          </cell>
          <cell r="B187" t="str">
            <v>Data Analytcis Course</v>
          </cell>
          <cell r="C187">
            <v>129</v>
          </cell>
          <cell r="D187">
            <v>129</v>
          </cell>
          <cell r="E187">
            <v>3208</v>
          </cell>
          <cell r="F187">
            <v>3208</v>
          </cell>
          <cell r="G187" t="str">
            <v>$204.2</v>
          </cell>
          <cell r="H187" t="str">
            <v>$204.2</v>
          </cell>
          <cell r="I187">
            <v>18</v>
          </cell>
          <cell r="J187">
            <v>18</v>
          </cell>
          <cell r="K187">
            <v>8</v>
          </cell>
          <cell r="L187">
            <v>8</v>
          </cell>
          <cell r="M187">
            <v>6.2015503875968991E-2</v>
          </cell>
          <cell r="N187">
            <v>3.2000000000000001E-2</v>
          </cell>
          <cell r="O187" t="str">
            <v>$1456</v>
          </cell>
          <cell r="P187" t="str">
            <v>$1456</v>
          </cell>
          <cell r="Q187">
            <v>45625</v>
          </cell>
          <cell r="R187" t="str">
            <v>Hyderabad</v>
          </cell>
          <cell r="S187" t="str">
            <v>Desktop</v>
          </cell>
          <cell r="T187" t="str">
            <v>learn data analytics</v>
          </cell>
        </row>
        <row r="188">
          <cell r="A188" t="str">
            <v>A1186</v>
          </cell>
          <cell r="B188" t="str">
            <v>Data Analytics Course</v>
          </cell>
          <cell r="C188">
            <v>187</v>
          </cell>
          <cell r="D188">
            <v>187</v>
          </cell>
          <cell r="E188">
            <v>5972</v>
          </cell>
          <cell r="F188">
            <v>5972</v>
          </cell>
          <cell r="G188" t="str">
            <v>$220.64</v>
          </cell>
          <cell r="H188" t="str">
            <v>$220.64</v>
          </cell>
          <cell r="I188">
            <v>30</v>
          </cell>
          <cell r="J188">
            <v>30</v>
          </cell>
          <cell r="K188">
            <v>7</v>
          </cell>
          <cell r="L188">
            <v>7</v>
          </cell>
          <cell r="M188">
            <v>3.7433155080213901E-2</v>
          </cell>
          <cell r="N188">
            <v>3.6999999999999998E-2</v>
          </cell>
          <cell r="O188" t="str">
            <v>$1980</v>
          </cell>
          <cell r="P188" t="str">
            <v>$1980</v>
          </cell>
          <cell r="Q188">
            <v>45610</v>
          </cell>
          <cell r="R188" t="str">
            <v>Chennai</v>
          </cell>
          <cell r="S188" t="str">
            <v>Desktop</v>
          </cell>
          <cell r="T188" t="str">
            <v>data analytics course</v>
          </cell>
        </row>
        <row r="189">
          <cell r="A189" t="str">
            <v>A1187</v>
          </cell>
          <cell r="B189" t="str">
            <v>Data Analytics Course</v>
          </cell>
          <cell r="C189">
            <v>167</v>
          </cell>
          <cell r="D189">
            <v>167</v>
          </cell>
          <cell r="E189">
            <v>3662</v>
          </cell>
          <cell r="F189">
            <v>3662</v>
          </cell>
          <cell r="G189" t="str">
            <v>$235.43</v>
          </cell>
          <cell r="H189" t="str">
            <v>$235.43</v>
          </cell>
          <cell r="I189">
            <v>10</v>
          </cell>
          <cell r="J189">
            <v>10</v>
          </cell>
          <cell r="K189">
            <v>7</v>
          </cell>
          <cell r="L189">
            <v>7</v>
          </cell>
          <cell r="M189">
            <v>4.1916167664670656E-2</v>
          </cell>
          <cell r="N189">
            <v>4.2000000000000003E-2</v>
          </cell>
          <cell r="O189" t="str">
            <v>$1684</v>
          </cell>
          <cell r="P189" t="str">
            <v>$1684</v>
          </cell>
          <cell r="Q189">
            <v>45621</v>
          </cell>
          <cell r="R189" t="str">
            <v>Chennai</v>
          </cell>
          <cell r="S189" t="str">
            <v>Mobile</v>
          </cell>
          <cell r="T189" t="str">
            <v>data analytics training</v>
          </cell>
        </row>
        <row r="190">
          <cell r="A190" t="str">
            <v>A1188</v>
          </cell>
          <cell r="B190" t="str">
            <v>Data Analytics Course</v>
          </cell>
          <cell r="C190">
            <v>140</v>
          </cell>
          <cell r="D190">
            <v>140</v>
          </cell>
          <cell r="E190">
            <v>3359</v>
          </cell>
          <cell r="F190">
            <v>3359</v>
          </cell>
          <cell r="G190" t="str">
            <v>$182.13</v>
          </cell>
          <cell r="H190" t="str">
            <v>$182.13</v>
          </cell>
          <cell r="I190">
            <v>29</v>
          </cell>
          <cell r="J190">
            <v>29</v>
          </cell>
          <cell r="K190">
            <v>7</v>
          </cell>
          <cell r="L190">
            <v>7</v>
          </cell>
          <cell r="M190">
            <v>0.05</v>
          </cell>
          <cell r="N190">
            <v>4.4999999999999998E-2</v>
          </cell>
          <cell r="O190" t="str">
            <v>$1973</v>
          </cell>
          <cell r="P190" t="str">
            <v>$1973</v>
          </cell>
          <cell r="Q190">
            <v>45624</v>
          </cell>
          <cell r="R190" t="str">
            <v>Bangaluru</v>
          </cell>
          <cell r="S190" t="str">
            <v>Desktop</v>
          </cell>
          <cell r="T190" t="str">
            <v>data analytics online</v>
          </cell>
        </row>
        <row r="191">
          <cell r="A191" t="str">
            <v>A1189</v>
          </cell>
          <cell r="B191" t="str">
            <v>Data Analytics Course</v>
          </cell>
          <cell r="C191">
            <v>198</v>
          </cell>
          <cell r="D191">
            <v>198</v>
          </cell>
          <cell r="E191">
            <v>3700</v>
          </cell>
          <cell r="F191">
            <v>3700</v>
          </cell>
          <cell r="G191" t="str">
            <v>$220.67</v>
          </cell>
          <cell r="H191" t="str">
            <v>$220.67</v>
          </cell>
          <cell r="I191">
            <v>14</v>
          </cell>
          <cell r="J191">
            <v>14</v>
          </cell>
          <cell r="K191">
            <v>5</v>
          </cell>
          <cell r="L191">
            <v>5</v>
          </cell>
          <cell r="M191">
            <v>2.5252525252525252E-2</v>
          </cell>
          <cell r="O191" t="str">
            <v>$1531</v>
          </cell>
          <cell r="P191" t="str">
            <v>$1531</v>
          </cell>
          <cell r="Q191">
            <v>45606</v>
          </cell>
          <cell r="R191" t="str">
            <v>Hyderabad</v>
          </cell>
          <cell r="S191" t="str">
            <v>Mobile</v>
          </cell>
          <cell r="T191" t="str">
            <v>analytics for data</v>
          </cell>
        </row>
        <row r="192">
          <cell r="A192" t="str">
            <v>A1190</v>
          </cell>
          <cell r="B192" t="str">
            <v>Data Analytics Course</v>
          </cell>
          <cell r="C192">
            <v>196</v>
          </cell>
          <cell r="D192">
            <v>196</v>
          </cell>
          <cell r="E192">
            <v>3835</v>
          </cell>
          <cell r="F192">
            <v>3835</v>
          </cell>
          <cell r="G192" t="str">
            <v>$218.07</v>
          </cell>
          <cell r="H192" t="str">
            <v>$218.07</v>
          </cell>
          <cell r="I192">
            <v>10</v>
          </cell>
          <cell r="J192">
            <v>10</v>
          </cell>
          <cell r="K192">
            <v>9</v>
          </cell>
          <cell r="L192">
            <v>9</v>
          </cell>
          <cell r="M192">
            <v>4.5918367346938778E-2</v>
          </cell>
          <cell r="N192">
            <v>4.1000000000000002E-2</v>
          </cell>
          <cell r="O192" t="str">
            <v>$1871</v>
          </cell>
          <cell r="P192" t="str">
            <v>$1871</v>
          </cell>
          <cell r="Q192">
            <v>45600</v>
          </cell>
          <cell r="R192" t="str">
            <v>Hyderabad</v>
          </cell>
          <cell r="S192" t="str">
            <v>Tablet</v>
          </cell>
          <cell r="T192" t="str">
            <v>online data analytic</v>
          </cell>
        </row>
        <row r="193">
          <cell r="A193" t="str">
            <v>A1191</v>
          </cell>
          <cell r="B193" t="str">
            <v>Data Analytics Course</v>
          </cell>
          <cell r="C193">
            <v>140</v>
          </cell>
          <cell r="D193">
            <v>140</v>
          </cell>
          <cell r="E193">
            <v>5638</v>
          </cell>
          <cell r="F193">
            <v>5638</v>
          </cell>
          <cell r="G193" t="str">
            <v>$208.02</v>
          </cell>
          <cell r="H193" t="str">
            <v>$208.02</v>
          </cell>
          <cell r="I193">
            <v>22</v>
          </cell>
          <cell r="J193">
            <v>22</v>
          </cell>
          <cell r="K193">
            <v>5</v>
          </cell>
          <cell r="L193">
            <v>5</v>
          </cell>
          <cell r="M193">
            <v>3.5714285714285712E-2</v>
          </cell>
          <cell r="O193" t="str">
            <v>$1652</v>
          </cell>
          <cell r="P193" t="str">
            <v>$1652</v>
          </cell>
          <cell r="Q193">
            <v>45614</v>
          </cell>
          <cell r="R193" t="str">
            <v>Chennai</v>
          </cell>
          <cell r="S193" t="str">
            <v>Desktop</v>
          </cell>
          <cell r="T193" t="str">
            <v>data analytics training</v>
          </cell>
        </row>
        <row r="194">
          <cell r="A194" t="str">
            <v>A1192</v>
          </cell>
          <cell r="B194" t="str">
            <v>Data Analytics Course</v>
          </cell>
          <cell r="C194">
            <v>157</v>
          </cell>
          <cell r="D194">
            <v>157</v>
          </cell>
          <cell r="E194">
            <v>5825</v>
          </cell>
          <cell r="F194">
            <v>5825</v>
          </cell>
          <cell r="G194" t="str">
            <v>$230.6</v>
          </cell>
          <cell r="H194" t="str">
            <v>$230.6</v>
          </cell>
          <cell r="I194">
            <v>16</v>
          </cell>
          <cell r="J194">
            <v>16</v>
          </cell>
          <cell r="K194">
            <v>3</v>
          </cell>
          <cell r="L194">
            <v>3</v>
          </cell>
          <cell r="M194">
            <v>1.9108280254777069E-2</v>
          </cell>
          <cell r="N194">
            <v>1.9E-2</v>
          </cell>
          <cell r="O194" t="str">
            <v>$1041</v>
          </cell>
          <cell r="P194" t="str">
            <v>$1041</v>
          </cell>
          <cell r="Q194">
            <v>45612</v>
          </cell>
          <cell r="R194" t="str">
            <v>Bangaluru</v>
          </cell>
          <cell r="S194" t="str">
            <v>Desktop</v>
          </cell>
          <cell r="T194" t="str">
            <v>data analytics training</v>
          </cell>
        </row>
        <row r="195">
          <cell r="A195" t="str">
            <v>A1193</v>
          </cell>
          <cell r="B195" t="str">
            <v>Data Analytics Course</v>
          </cell>
          <cell r="C195">
            <v>91</v>
          </cell>
          <cell r="D195">
            <v>91</v>
          </cell>
          <cell r="E195">
            <v>5428</v>
          </cell>
          <cell r="F195">
            <v>5428</v>
          </cell>
          <cell r="G195" t="str">
            <v>$248.38</v>
          </cell>
          <cell r="H195" t="str">
            <v>$248.38</v>
          </cell>
          <cell r="I195">
            <v>11</v>
          </cell>
          <cell r="J195">
            <v>11</v>
          </cell>
          <cell r="K195">
            <v>3</v>
          </cell>
          <cell r="L195">
            <v>3</v>
          </cell>
          <cell r="M195">
            <v>3.2967032967032968E-2</v>
          </cell>
          <cell r="N195">
            <v>3.3000000000000002E-2</v>
          </cell>
          <cell r="O195" t="str">
            <v>$1835</v>
          </cell>
          <cell r="P195" t="str">
            <v>$1835</v>
          </cell>
          <cell r="Q195">
            <v>45618</v>
          </cell>
          <cell r="R195" t="str">
            <v>Hyderabad</v>
          </cell>
          <cell r="S195" t="str">
            <v>Tablet</v>
          </cell>
          <cell r="T195" t="str">
            <v>learn data analytics</v>
          </cell>
        </row>
        <row r="196">
          <cell r="A196" t="str">
            <v>A1194</v>
          </cell>
          <cell r="B196" t="str">
            <v>Data Analytcis Course</v>
          </cell>
          <cell r="C196">
            <v>140</v>
          </cell>
          <cell r="D196">
            <v>140</v>
          </cell>
          <cell r="E196">
            <v>3571</v>
          </cell>
          <cell r="F196">
            <v>3571</v>
          </cell>
          <cell r="G196" t="str">
            <v>$238.12</v>
          </cell>
          <cell r="H196" t="str">
            <v>$238.12</v>
          </cell>
          <cell r="I196">
            <v>21</v>
          </cell>
          <cell r="J196">
            <v>21</v>
          </cell>
          <cell r="K196">
            <v>9</v>
          </cell>
          <cell r="L196">
            <v>9</v>
          </cell>
          <cell r="M196">
            <v>6.4285714285714279E-2</v>
          </cell>
          <cell r="N196">
            <v>6.4000000000000001E-2</v>
          </cell>
          <cell r="O196" t="str">
            <v>$1762</v>
          </cell>
          <cell r="P196" t="str">
            <v>$1762</v>
          </cell>
          <cell r="Q196">
            <v>45612</v>
          </cell>
          <cell r="R196" t="str">
            <v>Hyderabad</v>
          </cell>
          <cell r="S196" t="str">
            <v>Desktop</v>
          </cell>
          <cell r="T196" t="str">
            <v>learn data analytics</v>
          </cell>
        </row>
        <row r="197">
          <cell r="A197" t="str">
            <v>A1195</v>
          </cell>
          <cell r="B197" t="str">
            <v>Data Analytics Course</v>
          </cell>
          <cell r="C197">
            <v>154</v>
          </cell>
          <cell r="D197">
            <v>154</v>
          </cell>
          <cell r="E197">
            <v>3638</v>
          </cell>
          <cell r="F197">
            <v>3638</v>
          </cell>
          <cell r="G197" t="str">
            <v>$182.17</v>
          </cell>
          <cell r="H197" t="str">
            <v>$182.17</v>
          </cell>
          <cell r="I197">
            <v>11</v>
          </cell>
          <cell r="J197">
            <v>11</v>
          </cell>
          <cell r="K197">
            <v>8</v>
          </cell>
          <cell r="L197">
            <v>8</v>
          </cell>
          <cell r="M197">
            <v>5.1948051948051951E-2</v>
          </cell>
          <cell r="N197">
            <v>5.6000000000000001E-2</v>
          </cell>
          <cell r="O197" t="str">
            <v>$1413</v>
          </cell>
          <cell r="P197" t="str">
            <v>$1413</v>
          </cell>
          <cell r="Q197">
            <v>45600</v>
          </cell>
          <cell r="R197" t="str">
            <v>Hyderabad</v>
          </cell>
          <cell r="S197" t="str">
            <v>Mobile</v>
          </cell>
          <cell r="T197" t="str">
            <v>online data analytic</v>
          </cell>
        </row>
        <row r="198">
          <cell r="A198" t="str">
            <v>A1196</v>
          </cell>
          <cell r="B198" t="str">
            <v>Data Analytics Course</v>
          </cell>
          <cell r="C198">
            <v>133</v>
          </cell>
          <cell r="D198">
            <v>133</v>
          </cell>
          <cell r="E198">
            <v>4505</v>
          </cell>
          <cell r="F198">
            <v>4505</v>
          </cell>
          <cell r="G198" t="str">
            <v>$200.52</v>
          </cell>
          <cell r="H198" t="str">
            <v>$200.52</v>
          </cell>
          <cell r="I198">
            <v>23</v>
          </cell>
          <cell r="J198">
            <v>23</v>
          </cell>
          <cell r="K198">
            <v>3</v>
          </cell>
          <cell r="L198">
            <v>3</v>
          </cell>
          <cell r="M198">
            <v>2.2556390977443608E-2</v>
          </cell>
          <cell r="N198">
            <v>3.9E-2</v>
          </cell>
          <cell r="O198" t="str">
            <v>$1562</v>
          </cell>
          <cell r="P198" t="str">
            <v>$1562</v>
          </cell>
          <cell r="Q198">
            <v>45622</v>
          </cell>
          <cell r="R198" t="str">
            <v>Hyderabad</v>
          </cell>
          <cell r="S198" t="str">
            <v>Tablet</v>
          </cell>
          <cell r="T198" t="str">
            <v>analytics for data</v>
          </cell>
        </row>
        <row r="199">
          <cell r="A199" t="str">
            <v>A1197</v>
          </cell>
          <cell r="B199" t="str">
            <v>Data Analytcis Course</v>
          </cell>
          <cell r="C199">
            <v>138.95699356913184</v>
          </cell>
          <cell r="E199">
            <v>5016</v>
          </cell>
          <cell r="F199">
            <v>5016</v>
          </cell>
          <cell r="G199" t="str">
            <v>$238.59</v>
          </cell>
          <cell r="H199" t="str">
            <v>$238.59</v>
          </cell>
          <cell r="I199">
            <v>26</v>
          </cell>
          <cell r="J199">
            <v>26</v>
          </cell>
          <cell r="K199">
            <v>9</v>
          </cell>
          <cell r="L199">
            <v>9</v>
          </cell>
          <cell r="M199">
            <v>6.4768240653698753E-2</v>
          </cell>
          <cell r="O199" t="str">
            <v>$1620</v>
          </cell>
          <cell r="P199" t="str">
            <v>$1620</v>
          </cell>
          <cell r="Q199">
            <v>45616</v>
          </cell>
          <cell r="R199" t="str">
            <v>Chennai</v>
          </cell>
          <cell r="S199" t="str">
            <v>Mobile</v>
          </cell>
          <cell r="T199" t="str">
            <v>data analytics online</v>
          </cell>
        </row>
        <row r="200">
          <cell r="A200" t="str">
            <v>A1198</v>
          </cell>
          <cell r="B200" t="str">
            <v>Data Analytics Course</v>
          </cell>
          <cell r="C200">
            <v>141</v>
          </cell>
          <cell r="D200">
            <v>141</v>
          </cell>
          <cell r="E200">
            <v>3071</v>
          </cell>
          <cell r="F200">
            <v>3071</v>
          </cell>
          <cell r="G200" t="str">
            <v>$208.2</v>
          </cell>
          <cell r="H200" t="str">
            <v>$208.2</v>
          </cell>
          <cell r="I200">
            <v>10</v>
          </cell>
          <cell r="J200">
            <v>10</v>
          </cell>
          <cell r="K200">
            <v>6</v>
          </cell>
          <cell r="L200">
            <v>6</v>
          </cell>
          <cell r="M200">
            <v>4.2553191489361701E-2</v>
          </cell>
          <cell r="N200">
            <v>4.2999999999999997E-2</v>
          </cell>
          <cell r="O200" t="str">
            <v>$1647</v>
          </cell>
          <cell r="P200" t="str">
            <v>$1647</v>
          </cell>
          <cell r="Q200">
            <v>45614</v>
          </cell>
          <cell r="R200" t="str">
            <v>Bangaluru</v>
          </cell>
          <cell r="S200" t="str">
            <v>Tablet</v>
          </cell>
          <cell r="T200" t="str">
            <v>data analytics online</v>
          </cell>
        </row>
        <row r="201">
          <cell r="A201" t="str">
            <v>A1199</v>
          </cell>
          <cell r="B201" t="str">
            <v>Data Analytics Course</v>
          </cell>
          <cell r="C201">
            <v>135</v>
          </cell>
          <cell r="D201">
            <v>135</v>
          </cell>
          <cell r="E201">
            <v>5682</v>
          </cell>
          <cell r="F201">
            <v>5682</v>
          </cell>
          <cell r="G201" t="str">
            <v>$200.00</v>
          </cell>
          <cell r="I201">
            <v>30</v>
          </cell>
          <cell r="J201">
            <v>30</v>
          </cell>
          <cell r="K201">
            <v>3</v>
          </cell>
          <cell r="L201">
            <v>3</v>
          </cell>
          <cell r="M201">
            <v>2.2222222222222223E-2</v>
          </cell>
          <cell r="O201" t="str">
            <v>$1445</v>
          </cell>
          <cell r="P201" t="str">
            <v>$1445</v>
          </cell>
          <cell r="Q201">
            <v>45611</v>
          </cell>
          <cell r="R201" t="str">
            <v>Chennai</v>
          </cell>
          <cell r="S201" t="str">
            <v>Tablet</v>
          </cell>
          <cell r="T201" t="str">
            <v>data analytics training</v>
          </cell>
        </row>
        <row r="202">
          <cell r="A202" t="str">
            <v>A1200</v>
          </cell>
          <cell r="B202" t="str">
            <v>Data Analytics Course</v>
          </cell>
          <cell r="C202">
            <v>199</v>
          </cell>
          <cell r="D202">
            <v>199</v>
          </cell>
          <cell r="E202">
            <v>5067</v>
          </cell>
          <cell r="F202">
            <v>5067</v>
          </cell>
          <cell r="G202" t="str">
            <v>$247.38</v>
          </cell>
          <cell r="H202" t="str">
            <v>$247.38</v>
          </cell>
          <cell r="I202">
            <v>24</v>
          </cell>
          <cell r="J202">
            <v>24</v>
          </cell>
          <cell r="K202">
            <v>8</v>
          </cell>
          <cell r="L202">
            <v>8</v>
          </cell>
          <cell r="M202">
            <v>4.0201005025125629E-2</v>
          </cell>
          <cell r="N202">
            <v>5.8999999999999997E-2</v>
          </cell>
          <cell r="O202" t="str">
            <v>$1365</v>
          </cell>
          <cell r="P202" t="str">
            <v>$1365</v>
          </cell>
          <cell r="Q202">
            <v>45615</v>
          </cell>
          <cell r="R202" t="str">
            <v>Chennai</v>
          </cell>
          <cell r="S202" t="str">
            <v>Mobile</v>
          </cell>
          <cell r="T202" t="str">
            <v>analytics for data</v>
          </cell>
        </row>
        <row r="203">
          <cell r="A203" t="str">
            <v>A1201</v>
          </cell>
          <cell r="B203" t="str">
            <v>Data Analytcis Course</v>
          </cell>
          <cell r="C203">
            <v>138</v>
          </cell>
          <cell r="D203">
            <v>138</v>
          </cell>
          <cell r="E203">
            <v>3971</v>
          </cell>
          <cell r="F203">
            <v>3971</v>
          </cell>
          <cell r="G203" t="str">
            <v>$184.87</v>
          </cell>
          <cell r="H203" t="str">
            <v>$184.87</v>
          </cell>
          <cell r="I203">
            <v>28</v>
          </cell>
          <cell r="J203">
            <v>28</v>
          </cell>
          <cell r="K203">
            <v>3</v>
          </cell>
          <cell r="L203">
            <v>3</v>
          </cell>
          <cell r="M203">
            <v>2.1739130434782608E-2</v>
          </cell>
          <cell r="N203">
            <v>2.1999999999999999E-2</v>
          </cell>
          <cell r="O203" t="str">
            <v>$1718</v>
          </cell>
          <cell r="P203" t="str">
            <v>$1718</v>
          </cell>
          <cell r="Q203">
            <v>45603</v>
          </cell>
          <cell r="R203" t="str">
            <v>Chennai</v>
          </cell>
          <cell r="S203" t="str">
            <v>Tablet</v>
          </cell>
          <cell r="T203" t="str">
            <v>learn data analytics</v>
          </cell>
        </row>
        <row r="204">
          <cell r="A204" t="str">
            <v>A1202</v>
          </cell>
          <cell r="B204" t="str">
            <v>Data Analytcis Course</v>
          </cell>
          <cell r="C204">
            <v>175</v>
          </cell>
          <cell r="D204">
            <v>175</v>
          </cell>
          <cell r="E204">
            <v>4481</v>
          </cell>
          <cell r="F204">
            <v>4481</v>
          </cell>
          <cell r="G204" t="str">
            <v>$236.38</v>
          </cell>
          <cell r="H204" t="str">
            <v>$236.38</v>
          </cell>
          <cell r="I204">
            <v>21</v>
          </cell>
          <cell r="J204">
            <v>21</v>
          </cell>
          <cell r="K204">
            <v>10</v>
          </cell>
          <cell r="L204">
            <v>10</v>
          </cell>
          <cell r="M204">
            <v>5.7142857142857141E-2</v>
          </cell>
          <cell r="N204">
            <v>5.7000000000000002E-2</v>
          </cell>
          <cell r="O204" t="str">
            <v>$1257</v>
          </cell>
          <cell r="P204" t="str">
            <v>$1257</v>
          </cell>
          <cell r="Q204">
            <v>45616</v>
          </cell>
          <cell r="R204" t="str">
            <v>Hyderabad</v>
          </cell>
          <cell r="S204" t="str">
            <v>Desktop</v>
          </cell>
          <cell r="T204" t="str">
            <v>data analytics course</v>
          </cell>
        </row>
        <row r="205">
          <cell r="A205" t="str">
            <v>A1203</v>
          </cell>
          <cell r="B205" t="str">
            <v>Data Analytics Course</v>
          </cell>
          <cell r="C205">
            <v>170</v>
          </cell>
          <cell r="D205">
            <v>170</v>
          </cell>
          <cell r="E205">
            <v>5476</v>
          </cell>
          <cell r="F205">
            <v>5476</v>
          </cell>
          <cell r="G205" t="str">
            <v>$186.29</v>
          </cell>
          <cell r="H205" t="str">
            <v>$186.29</v>
          </cell>
          <cell r="I205">
            <v>25</v>
          </cell>
          <cell r="J205">
            <v>25</v>
          </cell>
          <cell r="K205">
            <v>4</v>
          </cell>
          <cell r="L205">
            <v>4</v>
          </cell>
          <cell r="M205">
            <v>2.3529411764705882E-2</v>
          </cell>
          <cell r="N205">
            <v>2.4E-2</v>
          </cell>
          <cell r="O205" t="str">
            <v>$1731</v>
          </cell>
          <cell r="P205" t="str">
            <v>$1731</v>
          </cell>
          <cell r="Q205">
            <v>45604</v>
          </cell>
          <cell r="R205" t="str">
            <v>Hyderabad</v>
          </cell>
          <cell r="S205" t="str">
            <v>Mobile</v>
          </cell>
          <cell r="T205" t="str">
            <v>analytics for data</v>
          </cell>
        </row>
        <row r="206">
          <cell r="A206" t="str">
            <v>A1204</v>
          </cell>
          <cell r="B206" t="str">
            <v>Data Analytcis Course</v>
          </cell>
          <cell r="C206">
            <v>138</v>
          </cell>
          <cell r="D206">
            <v>138</v>
          </cell>
          <cell r="E206">
            <v>4426</v>
          </cell>
          <cell r="F206">
            <v>4426</v>
          </cell>
          <cell r="G206" t="str">
            <v>$203.75</v>
          </cell>
          <cell r="H206" t="str">
            <v>$203.75</v>
          </cell>
          <cell r="I206">
            <v>24</v>
          </cell>
          <cell r="J206">
            <v>24</v>
          </cell>
          <cell r="K206">
            <v>10</v>
          </cell>
          <cell r="L206">
            <v>10</v>
          </cell>
          <cell r="M206">
            <v>7.2463768115942032E-2</v>
          </cell>
          <cell r="N206">
            <v>7.1999999999999995E-2</v>
          </cell>
          <cell r="O206" t="str">
            <v>$1838</v>
          </cell>
          <cell r="P206" t="str">
            <v>$1838</v>
          </cell>
          <cell r="Q206">
            <v>45601</v>
          </cell>
          <cell r="R206" t="str">
            <v>Hyderabad</v>
          </cell>
          <cell r="S206" t="str">
            <v>Mobile</v>
          </cell>
          <cell r="T206" t="str">
            <v>data analytics course</v>
          </cell>
        </row>
        <row r="207">
          <cell r="A207" t="str">
            <v>A1205</v>
          </cell>
          <cell r="B207" t="str">
            <v>Data Analytics Course</v>
          </cell>
          <cell r="C207">
            <v>108</v>
          </cell>
          <cell r="D207">
            <v>108</v>
          </cell>
          <cell r="E207">
            <v>4080</v>
          </cell>
          <cell r="F207">
            <v>4080</v>
          </cell>
          <cell r="G207" t="str">
            <v>$247.8</v>
          </cell>
          <cell r="H207" t="str">
            <v>$247.8</v>
          </cell>
          <cell r="I207">
            <v>18</v>
          </cell>
          <cell r="J207">
            <v>18</v>
          </cell>
          <cell r="K207">
            <v>4</v>
          </cell>
          <cell r="L207">
            <v>4</v>
          </cell>
          <cell r="M207">
            <v>3.7037037037037035E-2</v>
          </cell>
          <cell r="N207">
            <v>3.6999999999999998E-2</v>
          </cell>
          <cell r="O207" t="str">
            <v>$1363</v>
          </cell>
          <cell r="P207" t="str">
            <v>$1363</v>
          </cell>
          <cell r="Q207">
            <v>45626</v>
          </cell>
          <cell r="R207" t="str">
            <v>Chennai</v>
          </cell>
          <cell r="S207" t="str">
            <v>Tablet</v>
          </cell>
          <cell r="T207" t="str">
            <v>online data analytic</v>
          </cell>
        </row>
        <row r="208">
          <cell r="A208" t="str">
            <v>A1206</v>
          </cell>
          <cell r="B208" t="str">
            <v>Data Analytics Course</v>
          </cell>
          <cell r="C208">
            <v>150</v>
          </cell>
          <cell r="D208">
            <v>150</v>
          </cell>
          <cell r="E208">
            <v>4113</v>
          </cell>
          <cell r="F208">
            <v>4113</v>
          </cell>
          <cell r="G208" t="str">
            <v>$219.67</v>
          </cell>
          <cell r="H208" t="str">
            <v>$219.67</v>
          </cell>
          <cell r="I208">
            <v>12</v>
          </cell>
          <cell r="J208">
            <v>12</v>
          </cell>
          <cell r="K208">
            <v>7</v>
          </cell>
          <cell r="L208">
            <v>7</v>
          </cell>
          <cell r="M208">
            <v>4.6666666666666669E-2</v>
          </cell>
          <cell r="N208">
            <v>4.7E-2</v>
          </cell>
          <cell r="O208" t="str">
            <v>$1196</v>
          </cell>
          <cell r="P208" t="str">
            <v>$1196</v>
          </cell>
          <cell r="Q208">
            <v>45618</v>
          </cell>
          <cell r="R208" t="str">
            <v>Hyderabad</v>
          </cell>
          <cell r="S208" t="str">
            <v>Mobile</v>
          </cell>
          <cell r="T208" t="str">
            <v>learn data analytics</v>
          </cell>
        </row>
        <row r="209">
          <cell r="A209" t="str">
            <v>A1207</v>
          </cell>
          <cell r="B209" t="str">
            <v>Data Analytics Course</v>
          </cell>
          <cell r="C209">
            <v>90</v>
          </cell>
          <cell r="D209">
            <v>90</v>
          </cell>
          <cell r="E209">
            <v>5119</v>
          </cell>
          <cell r="F209">
            <v>5119</v>
          </cell>
          <cell r="G209" t="str">
            <v>$226.58</v>
          </cell>
          <cell r="H209" t="str">
            <v>$226.58</v>
          </cell>
          <cell r="I209">
            <v>14</v>
          </cell>
          <cell r="J209">
            <v>14</v>
          </cell>
          <cell r="K209">
            <v>10</v>
          </cell>
          <cell r="L209">
            <v>10</v>
          </cell>
          <cell r="M209">
            <v>0.1111111111111111</v>
          </cell>
          <cell r="N209">
            <v>0.111</v>
          </cell>
          <cell r="O209" t="str">
            <v>$1348</v>
          </cell>
          <cell r="P209" t="str">
            <v>$1348</v>
          </cell>
          <cell r="Q209">
            <v>45603</v>
          </cell>
          <cell r="R209" t="str">
            <v>Bangaluru</v>
          </cell>
          <cell r="S209" t="str">
            <v>Desktop</v>
          </cell>
          <cell r="T209" t="str">
            <v>analytics for data</v>
          </cell>
        </row>
        <row r="210">
          <cell r="A210" t="str">
            <v>A1208</v>
          </cell>
          <cell r="B210" t="str">
            <v>Data Analytics Course</v>
          </cell>
          <cell r="C210">
            <v>98</v>
          </cell>
          <cell r="D210">
            <v>98</v>
          </cell>
          <cell r="E210">
            <v>3422</v>
          </cell>
          <cell r="F210">
            <v>3422</v>
          </cell>
          <cell r="G210" t="str">
            <v>$223.55</v>
          </cell>
          <cell r="H210" t="str">
            <v>$223.55</v>
          </cell>
          <cell r="I210">
            <v>17</v>
          </cell>
          <cell r="J210">
            <v>17</v>
          </cell>
          <cell r="K210">
            <v>7</v>
          </cell>
          <cell r="L210">
            <v>7</v>
          </cell>
          <cell r="M210">
            <v>7.1428571428571425E-2</v>
          </cell>
          <cell r="O210" t="str">
            <v>$1414</v>
          </cell>
          <cell r="P210" t="str">
            <v>$1414</v>
          </cell>
          <cell r="Q210">
            <v>45615</v>
          </cell>
          <cell r="R210" t="str">
            <v>Bangaluru</v>
          </cell>
          <cell r="S210" t="str">
            <v>Tablet</v>
          </cell>
          <cell r="T210" t="str">
            <v>online data analytic</v>
          </cell>
        </row>
        <row r="211">
          <cell r="A211" t="str">
            <v>A1209</v>
          </cell>
          <cell r="B211" t="str">
            <v>Data Analytcis Course</v>
          </cell>
          <cell r="C211">
            <v>130</v>
          </cell>
          <cell r="D211">
            <v>130</v>
          </cell>
          <cell r="E211">
            <v>3327</v>
          </cell>
          <cell r="F211">
            <v>3327</v>
          </cell>
          <cell r="G211" t="str">
            <v>$224.83</v>
          </cell>
          <cell r="H211" t="str">
            <v>$224.83</v>
          </cell>
          <cell r="I211">
            <v>13</v>
          </cell>
          <cell r="J211">
            <v>13</v>
          </cell>
          <cell r="K211">
            <v>3</v>
          </cell>
          <cell r="L211">
            <v>3</v>
          </cell>
          <cell r="M211">
            <v>2.3076923076923078E-2</v>
          </cell>
          <cell r="N211">
            <v>2.3E-2</v>
          </cell>
          <cell r="O211" t="str">
            <v>$1668</v>
          </cell>
          <cell r="P211" t="str">
            <v>$1668</v>
          </cell>
          <cell r="Q211">
            <v>45612</v>
          </cell>
          <cell r="R211" t="str">
            <v>Bangaluru</v>
          </cell>
          <cell r="S211" t="str">
            <v>Mobile</v>
          </cell>
          <cell r="T211" t="str">
            <v>online data analytic</v>
          </cell>
        </row>
        <row r="212">
          <cell r="A212" t="str">
            <v>A1210</v>
          </cell>
          <cell r="B212" t="str">
            <v>Data Analytcis Course</v>
          </cell>
          <cell r="C212">
            <v>199</v>
          </cell>
          <cell r="D212">
            <v>199</v>
          </cell>
          <cell r="E212">
            <v>4523.2808326787117</v>
          </cell>
          <cell r="G212" t="str">
            <v>$199.98</v>
          </cell>
          <cell r="H212" t="str">
            <v>$199.98</v>
          </cell>
          <cell r="I212">
            <v>15</v>
          </cell>
          <cell r="J212">
            <v>15</v>
          </cell>
          <cell r="K212">
            <v>8</v>
          </cell>
          <cell r="L212">
            <v>8</v>
          </cell>
          <cell r="M212">
            <v>4.0201005025125629E-2</v>
          </cell>
          <cell r="N212">
            <v>0.04</v>
          </cell>
          <cell r="O212" t="str">
            <v>$1467</v>
          </cell>
          <cell r="P212" t="str">
            <v>$1467</v>
          </cell>
          <cell r="Q212">
            <v>45604</v>
          </cell>
          <cell r="R212" t="str">
            <v>Hyderabad</v>
          </cell>
          <cell r="S212" t="str">
            <v>Tablet</v>
          </cell>
          <cell r="T212" t="str">
            <v>data analytics training</v>
          </cell>
        </row>
        <row r="213">
          <cell r="A213" t="str">
            <v>A1211</v>
          </cell>
          <cell r="B213" t="str">
            <v>Data Analytics Course</v>
          </cell>
          <cell r="C213">
            <v>101</v>
          </cell>
          <cell r="D213">
            <v>101</v>
          </cell>
          <cell r="E213">
            <v>3241</v>
          </cell>
          <cell r="F213">
            <v>3241</v>
          </cell>
          <cell r="G213" t="str">
            <v>$183.34</v>
          </cell>
          <cell r="H213" t="str">
            <v>$183.34</v>
          </cell>
          <cell r="I213">
            <v>24</v>
          </cell>
          <cell r="J213">
            <v>24</v>
          </cell>
          <cell r="K213">
            <v>6.485319516407599</v>
          </cell>
          <cell r="M213">
            <v>6.421108432086732E-2</v>
          </cell>
          <cell r="O213" t="str">
            <v>$1483</v>
          </cell>
          <cell r="P213" t="str">
            <v>$1483</v>
          </cell>
          <cell r="Q213">
            <v>45606</v>
          </cell>
          <cell r="R213" t="str">
            <v>Chennai</v>
          </cell>
          <cell r="S213" t="str">
            <v>Tablet</v>
          </cell>
          <cell r="T213" t="str">
            <v>data analytics training</v>
          </cell>
        </row>
        <row r="214">
          <cell r="A214" t="str">
            <v>A1212</v>
          </cell>
          <cell r="B214" t="str">
            <v>Data Analytics Course</v>
          </cell>
          <cell r="C214">
            <v>118</v>
          </cell>
          <cell r="D214">
            <v>118</v>
          </cell>
          <cell r="E214">
            <v>3970</v>
          </cell>
          <cell r="F214">
            <v>3970</v>
          </cell>
          <cell r="G214" t="str">
            <v>$200.00</v>
          </cell>
          <cell r="I214">
            <v>27</v>
          </cell>
          <cell r="J214">
            <v>27</v>
          </cell>
          <cell r="K214">
            <v>9</v>
          </cell>
          <cell r="L214">
            <v>9</v>
          </cell>
          <cell r="M214">
            <v>7.6271186440677971E-2</v>
          </cell>
          <cell r="N214">
            <v>7.5999999999999998E-2</v>
          </cell>
          <cell r="O214" t="str">
            <v>$1036</v>
          </cell>
          <cell r="P214" t="str">
            <v>$1036</v>
          </cell>
          <cell r="Q214">
            <v>45615</v>
          </cell>
          <cell r="R214" t="str">
            <v>Bangaluru</v>
          </cell>
          <cell r="S214" t="str">
            <v>Desktop</v>
          </cell>
          <cell r="T214" t="str">
            <v>data analytics course</v>
          </cell>
        </row>
        <row r="215">
          <cell r="A215" t="str">
            <v>A1213</v>
          </cell>
          <cell r="B215" t="str">
            <v>Data Analytics Course</v>
          </cell>
          <cell r="C215">
            <v>199</v>
          </cell>
          <cell r="D215">
            <v>199</v>
          </cell>
          <cell r="E215">
            <v>5734</v>
          </cell>
          <cell r="F215">
            <v>5734</v>
          </cell>
          <cell r="G215" t="str">
            <v>$247.99</v>
          </cell>
          <cell r="H215" t="str">
            <v>$247.99</v>
          </cell>
          <cell r="I215">
            <v>18</v>
          </cell>
          <cell r="J215">
            <v>18</v>
          </cell>
          <cell r="K215">
            <v>6.4842332613390932</v>
          </cell>
          <cell r="M215">
            <v>3.258408674039745E-2</v>
          </cell>
          <cell r="O215" t="str">
            <v>$1455</v>
          </cell>
          <cell r="P215" t="str">
            <v>$1455</v>
          </cell>
          <cell r="Q215">
            <v>45607</v>
          </cell>
          <cell r="R215" t="str">
            <v>Bangaluru</v>
          </cell>
          <cell r="S215" t="str">
            <v>Desktop</v>
          </cell>
          <cell r="T215" t="str">
            <v>data analytics online</v>
          </cell>
        </row>
        <row r="216">
          <cell r="A216" t="str">
            <v>A1214</v>
          </cell>
          <cell r="B216" t="str">
            <v>Data Analytics Course</v>
          </cell>
          <cell r="C216">
            <v>183</v>
          </cell>
          <cell r="D216">
            <v>183</v>
          </cell>
          <cell r="E216">
            <v>4001</v>
          </cell>
          <cell r="F216">
            <v>4001</v>
          </cell>
          <cell r="G216" t="str">
            <v>$237.85</v>
          </cell>
          <cell r="H216" t="str">
            <v>$237.85</v>
          </cell>
          <cell r="I216">
            <v>23</v>
          </cell>
          <cell r="J216">
            <v>23</v>
          </cell>
          <cell r="K216">
            <v>4</v>
          </cell>
          <cell r="L216">
            <v>4</v>
          </cell>
          <cell r="M216">
            <v>2.185792349726776E-2</v>
          </cell>
          <cell r="N216">
            <v>2.1999999999999999E-2</v>
          </cell>
          <cell r="O216" t="str">
            <v>$1430</v>
          </cell>
          <cell r="P216" t="str">
            <v>$1430</v>
          </cell>
          <cell r="Q216">
            <v>45617</v>
          </cell>
          <cell r="R216" t="str">
            <v>Chennai</v>
          </cell>
          <cell r="S216" t="str">
            <v>Mobile</v>
          </cell>
          <cell r="T216" t="str">
            <v>online data analytic</v>
          </cell>
        </row>
        <row r="217">
          <cell r="A217" t="str">
            <v>A1215</v>
          </cell>
          <cell r="B217" t="str">
            <v>Data Analytics Course</v>
          </cell>
          <cell r="C217">
            <v>126</v>
          </cell>
          <cell r="D217">
            <v>126</v>
          </cell>
          <cell r="E217">
            <v>4206</v>
          </cell>
          <cell r="F217">
            <v>4206</v>
          </cell>
          <cell r="G217" t="str">
            <v>$233.76</v>
          </cell>
          <cell r="H217" t="str">
            <v>$233.76</v>
          </cell>
          <cell r="I217">
            <v>29</v>
          </cell>
          <cell r="J217">
            <v>29</v>
          </cell>
          <cell r="K217">
            <v>10</v>
          </cell>
          <cell r="L217">
            <v>10</v>
          </cell>
          <cell r="M217">
            <v>7.9365079365079361E-2</v>
          </cell>
          <cell r="N217">
            <v>4.1000000000000002E-2</v>
          </cell>
          <cell r="O217" t="str">
            <v>$1998</v>
          </cell>
          <cell r="P217" t="str">
            <v>$1998</v>
          </cell>
          <cell r="Q217">
            <v>45602</v>
          </cell>
          <cell r="R217" t="str">
            <v>Hyderabad</v>
          </cell>
          <cell r="S217" t="str">
            <v>Tablet</v>
          </cell>
          <cell r="T217" t="str">
            <v>online data analytic</v>
          </cell>
        </row>
        <row r="218">
          <cell r="A218" t="str">
            <v>A1216</v>
          </cell>
          <cell r="B218" t="str">
            <v>Data Analytics Course</v>
          </cell>
          <cell r="C218">
            <v>199</v>
          </cell>
          <cell r="D218">
            <v>199</v>
          </cell>
          <cell r="E218">
            <v>4745</v>
          </cell>
          <cell r="F218">
            <v>4745</v>
          </cell>
          <cell r="G218" t="str">
            <v>$200.00</v>
          </cell>
          <cell r="I218">
            <v>13</v>
          </cell>
          <cell r="J218">
            <v>13</v>
          </cell>
          <cell r="K218">
            <v>9</v>
          </cell>
          <cell r="L218">
            <v>9</v>
          </cell>
          <cell r="M218">
            <v>4.5226130653266333E-2</v>
          </cell>
          <cell r="O218" t="str">
            <v>$1800</v>
          </cell>
          <cell r="P218" t="str">
            <v>$1800</v>
          </cell>
          <cell r="Q218">
            <v>45624</v>
          </cell>
          <cell r="R218" t="str">
            <v>Hyderabad</v>
          </cell>
          <cell r="S218" t="str">
            <v>Tablet</v>
          </cell>
          <cell r="T218" t="str">
            <v>analytics for data</v>
          </cell>
        </row>
        <row r="219">
          <cell r="A219" t="str">
            <v>A1217</v>
          </cell>
          <cell r="B219" t="str">
            <v>Data Analytics Course</v>
          </cell>
          <cell r="C219">
            <v>92</v>
          </cell>
          <cell r="D219">
            <v>92</v>
          </cell>
          <cell r="E219">
            <v>4042</v>
          </cell>
          <cell r="F219">
            <v>4042</v>
          </cell>
          <cell r="G219" t="str">
            <v>$200.75</v>
          </cell>
          <cell r="H219" t="str">
            <v>$200.75</v>
          </cell>
          <cell r="I219">
            <v>15</v>
          </cell>
          <cell r="J219">
            <v>15</v>
          </cell>
          <cell r="K219">
            <v>7</v>
          </cell>
          <cell r="L219">
            <v>7</v>
          </cell>
          <cell r="M219">
            <v>7.6086956521739135E-2</v>
          </cell>
          <cell r="N219">
            <v>7.5999999999999998E-2</v>
          </cell>
          <cell r="O219" t="str">
            <v>$1234</v>
          </cell>
          <cell r="P219" t="str">
            <v>$1234</v>
          </cell>
          <cell r="Q219">
            <v>45620</v>
          </cell>
          <cell r="R219" t="str">
            <v>Hyderabad</v>
          </cell>
          <cell r="S219" t="str">
            <v>Tablet</v>
          </cell>
          <cell r="T219" t="str">
            <v>learn data analytics</v>
          </cell>
        </row>
        <row r="220">
          <cell r="A220" t="str">
            <v>A1218</v>
          </cell>
          <cell r="B220" t="str">
            <v>Data Analytics Course</v>
          </cell>
          <cell r="C220">
            <v>138.95699356913184</v>
          </cell>
          <cell r="E220">
            <v>4883</v>
          </cell>
          <cell r="F220">
            <v>4883</v>
          </cell>
          <cell r="G220" t="str">
            <v>$249.61</v>
          </cell>
          <cell r="H220" t="str">
            <v>$249.61</v>
          </cell>
          <cell r="I220">
            <v>10</v>
          </cell>
          <cell r="J220">
            <v>10</v>
          </cell>
          <cell r="K220">
            <v>3</v>
          </cell>
          <cell r="L220">
            <v>3</v>
          </cell>
          <cell r="M220">
            <v>2.1589413551232915E-2</v>
          </cell>
          <cell r="O220" t="str">
            <v>$1464</v>
          </cell>
          <cell r="P220" t="str">
            <v>$1464</v>
          </cell>
          <cell r="Q220">
            <v>45608</v>
          </cell>
          <cell r="R220" t="str">
            <v>Hyderabad</v>
          </cell>
          <cell r="S220" t="str">
            <v>Tablet</v>
          </cell>
          <cell r="T220" t="str">
            <v>online data analytic</v>
          </cell>
        </row>
        <row r="221">
          <cell r="A221" t="str">
            <v>A1219</v>
          </cell>
          <cell r="B221" t="str">
            <v>Data Analytics Course</v>
          </cell>
          <cell r="C221">
            <v>92</v>
          </cell>
          <cell r="D221">
            <v>92</v>
          </cell>
          <cell r="E221">
            <v>3748</v>
          </cell>
          <cell r="F221">
            <v>3748</v>
          </cell>
          <cell r="G221" t="str">
            <v>$208.15</v>
          </cell>
          <cell r="H221" t="str">
            <v>$208.15</v>
          </cell>
          <cell r="I221">
            <v>14</v>
          </cell>
          <cell r="J221">
            <v>14</v>
          </cell>
          <cell r="K221">
            <v>8</v>
          </cell>
          <cell r="L221">
            <v>8</v>
          </cell>
          <cell r="M221">
            <v>8.6956521739130432E-2</v>
          </cell>
          <cell r="N221">
            <v>8.6999999999999994E-2</v>
          </cell>
          <cell r="O221" t="str">
            <v>$1297</v>
          </cell>
          <cell r="P221" t="str">
            <v>$1297</v>
          </cell>
          <cell r="Q221">
            <v>45598</v>
          </cell>
          <cell r="R221" t="str">
            <v>Hyderabad</v>
          </cell>
          <cell r="S221" t="str">
            <v>Desktop</v>
          </cell>
          <cell r="T221" t="str">
            <v>analytics for data</v>
          </cell>
        </row>
        <row r="222">
          <cell r="A222" t="str">
            <v>A1220</v>
          </cell>
          <cell r="B222" t="str">
            <v>Data Analytics Course</v>
          </cell>
          <cell r="C222">
            <v>135</v>
          </cell>
          <cell r="D222">
            <v>135</v>
          </cell>
          <cell r="E222">
            <v>3480</v>
          </cell>
          <cell r="F222">
            <v>3480</v>
          </cell>
          <cell r="G222" t="str">
            <v>$224.94</v>
          </cell>
          <cell r="H222" t="str">
            <v>$224.94</v>
          </cell>
          <cell r="I222">
            <v>11</v>
          </cell>
          <cell r="J222">
            <v>11</v>
          </cell>
          <cell r="K222">
            <v>4</v>
          </cell>
          <cell r="L222">
            <v>4</v>
          </cell>
          <cell r="M222">
            <v>2.9629629629629631E-2</v>
          </cell>
          <cell r="N222">
            <v>0.03</v>
          </cell>
          <cell r="O222" t="str">
            <v>$1398</v>
          </cell>
          <cell r="P222" t="str">
            <v>$1398</v>
          </cell>
          <cell r="Q222">
            <v>45619</v>
          </cell>
          <cell r="R222" t="str">
            <v>Chennai</v>
          </cell>
          <cell r="S222" t="str">
            <v>Tablet</v>
          </cell>
          <cell r="T222" t="str">
            <v>data analytics online</v>
          </cell>
        </row>
        <row r="223">
          <cell r="A223" t="str">
            <v>A1221</v>
          </cell>
          <cell r="B223" t="str">
            <v>Data Analytics Course</v>
          </cell>
          <cell r="C223">
            <v>177</v>
          </cell>
          <cell r="D223">
            <v>177</v>
          </cell>
          <cell r="E223">
            <v>3007</v>
          </cell>
          <cell r="F223">
            <v>3007</v>
          </cell>
          <cell r="G223" t="str">
            <v>$223.22</v>
          </cell>
          <cell r="H223" t="str">
            <v>$223.22</v>
          </cell>
          <cell r="I223">
            <v>30</v>
          </cell>
          <cell r="J223">
            <v>30</v>
          </cell>
          <cell r="K223">
            <v>8</v>
          </cell>
          <cell r="L223">
            <v>8</v>
          </cell>
          <cell r="M223">
            <v>4.519774011299435E-2</v>
          </cell>
          <cell r="N223">
            <v>4.4999999999999998E-2</v>
          </cell>
          <cell r="O223" t="str">
            <v>$1766</v>
          </cell>
          <cell r="P223" t="str">
            <v>$1766</v>
          </cell>
          <cell r="Q223">
            <v>45598</v>
          </cell>
          <cell r="R223" t="str">
            <v>Bangaluru</v>
          </cell>
          <cell r="S223" t="str">
            <v>Mobile</v>
          </cell>
          <cell r="T223" t="str">
            <v>data analytics online</v>
          </cell>
        </row>
        <row r="224">
          <cell r="A224" t="str">
            <v>A1222</v>
          </cell>
          <cell r="B224" t="str">
            <v>Data Analytics Course</v>
          </cell>
          <cell r="C224">
            <v>117</v>
          </cell>
          <cell r="D224">
            <v>117</v>
          </cell>
          <cell r="E224">
            <v>3380</v>
          </cell>
          <cell r="F224">
            <v>3380</v>
          </cell>
          <cell r="G224" t="str">
            <v>$186.73</v>
          </cell>
          <cell r="H224" t="str">
            <v>$186.73</v>
          </cell>
          <cell r="I224">
            <v>21</v>
          </cell>
          <cell r="J224">
            <v>21</v>
          </cell>
          <cell r="K224">
            <v>10</v>
          </cell>
          <cell r="L224">
            <v>10</v>
          </cell>
          <cell r="M224">
            <v>8.5470085470085472E-2</v>
          </cell>
          <cell r="N224">
            <v>5.5E-2</v>
          </cell>
          <cell r="O224" t="str">
            <v>$1958</v>
          </cell>
          <cell r="P224" t="str">
            <v>$1958</v>
          </cell>
          <cell r="Q224">
            <v>45615</v>
          </cell>
          <cell r="R224" t="str">
            <v>Hyderabad</v>
          </cell>
          <cell r="S224" t="str">
            <v>Desktop</v>
          </cell>
          <cell r="T224" t="str">
            <v>data analytics training</v>
          </cell>
        </row>
        <row r="225">
          <cell r="A225" t="str">
            <v>A1223</v>
          </cell>
          <cell r="B225" t="str">
            <v>Data Analytics Course</v>
          </cell>
          <cell r="C225">
            <v>127</v>
          </cell>
          <cell r="D225">
            <v>127</v>
          </cell>
          <cell r="E225">
            <v>4823</v>
          </cell>
          <cell r="F225">
            <v>4823</v>
          </cell>
          <cell r="G225" t="str">
            <v>$194.69</v>
          </cell>
          <cell r="H225" t="str">
            <v>$194.69</v>
          </cell>
          <cell r="I225">
            <v>11</v>
          </cell>
          <cell r="J225">
            <v>11</v>
          </cell>
          <cell r="K225">
            <v>10</v>
          </cell>
          <cell r="L225">
            <v>10</v>
          </cell>
          <cell r="M225">
            <v>7.874015748031496E-2</v>
          </cell>
          <cell r="N225">
            <v>5.7000000000000002E-2</v>
          </cell>
          <cell r="O225" t="str">
            <v>$1496</v>
          </cell>
          <cell r="P225" t="str">
            <v>$1496</v>
          </cell>
          <cell r="Q225">
            <v>45611</v>
          </cell>
          <cell r="R225" t="str">
            <v>Bangaluru</v>
          </cell>
          <cell r="S225" t="str">
            <v>Desktop</v>
          </cell>
          <cell r="T225" t="str">
            <v>data analytics course</v>
          </cell>
        </row>
        <row r="226">
          <cell r="A226" t="str">
            <v>A1224</v>
          </cell>
          <cell r="B226" t="str">
            <v>Data Analytcis Course</v>
          </cell>
          <cell r="C226">
            <v>132</v>
          </cell>
          <cell r="D226">
            <v>132</v>
          </cell>
          <cell r="E226">
            <v>4490</v>
          </cell>
          <cell r="F226">
            <v>4490</v>
          </cell>
          <cell r="G226" t="str">
            <v>$202.45</v>
          </cell>
          <cell r="H226" t="str">
            <v>$202.45</v>
          </cell>
          <cell r="I226">
            <v>10</v>
          </cell>
          <cell r="J226">
            <v>10</v>
          </cell>
          <cell r="K226">
            <v>7</v>
          </cell>
          <cell r="L226">
            <v>7</v>
          </cell>
          <cell r="M226">
            <v>5.3030303030303032E-2</v>
          </cell>
          <cell r="N226">
            <v>5.2999999999999999E-2</v>
          </cell>
          <cell r="O226" t="str">
            <v>$1441</v>
          </cell>
          <cell r="P226" t="str">
            <v>$1441</v>
          </cell>
          <cell r="Q226">
            <v>45606</v>
          </cell>
          <cell r="R226" t="str">
            <v>Chennai</v>
          </cell>
          <cell r="S226" t="str">
            <v>Mobile</v>
          </cell>
          <cell r="T226" t="str">
            <v>data analytics online</v>
          </cell>
        </row>
        <row r="227">
          <cell r="A227" t="str">
            <v>A1225</v>
          </cell>
          <cell r="B227" t="str">
            <v>Data Analytics Course</v>
          </cell>
          <cell r="C227">
            <v>102</v>
          </cell>
          <cell r="D227">
            <v>102</v>
          </cell>
          <cell r="E227">
            <v>5149</v>
          </cell>
          <cell r="F227">
            <v>5149</v>
          </cell>
          <cell r="G227" t="str">
            <v>$229.48</v>
          </cell>
          <cell r="H227" t="str">
            <v>$229.48</v>
          </cell>
          <cell r="I227">
            <v>27</v>
          </cell>
          <cell r="J227">
            <v>27</v>
          </cell>
          <cell r="K227">
            <v>9</v>
          </cell>
          <cell r="L227">
            <v>9</v>
          </cell>
          <cell r="M227">
            <v>8.8235294117647065E-2</v>
          </cell>
          <cell r="N227">
            <v>8.7999999999999995E-2</v>
          </cell>
          <cell r="O227" t="str">
            <v>$1137</v>
          </cell>
          <cell r="P227" t="str">
            <v>$1137</v>
          </cell>
          <cell r="Q227">
            <v>45622</v>
          </cell>
          <cell r="R227" t="str">
            <v>Hyderabad</v>
          </cell>
          <cell r="S227" t="str">
            <v>Desktop</v>
          </cell>
          <cell r="T227" t="str">
            <v>learn data analytics</v>
          </cell>
        </row>
        <row r="228">
          <cell r="A228" t="str">
            <v>A1226</v>
          </cell>
          <cell r="B228" t="str">
            <v>Data Analytics Course</v>
          </cell>
          <cell r="C228">
            <v>91</v>
          </cell>
          <cell r="D228">
            <v>91</v>
          </cell>
          <cell r="E228">
            <v>4290</v>
          </cell>
          <cell r="F228">
            <v>4290</v>
          </cell>
          <cell r="G228" t="str">
            <v>$213.74</v>
          </cell>
          <cell r="H228" t="str">
            <v>$213.74</v>
          </cell>
          <cell r="I228">
            <v>20.01504082509669</v>
          </cell>
          <cell r="K228">
            <v>10</v>
          </cell>
          <cell r="L228">
            <v>10</v>
          </cell>
          <cell r="M228">
            <v>0.10989010989010989</v>
          </cell>
          <cell r="O228" t="str">
            <v>$1797</v>
          </cell>
          <cell r="P228" t="str">
            <v>$1797</v>
          </cell>
          <cell r="Q228">
            <v>45612</v>
          </cell>
          <cell r="R228" t="str">
            <v>Bangaluru</v>
          </cell>
          <cell r="S228" t="str">
            <v>Mobile</v>
          </cell>
          <cell r="T228" t="str">
            <v>online data analytic</v>
          </cell>
        </row>
        <row r="229">
          <cell r="A229" t="str">
            <v>A1227</v>
          </cell>
          <cell r="B229" t="str">
            <v>Data Analytics Course</v>
          </cell>
          <cell r="C229">
            <v>163</v>
          </cell>
          <cell r="D229">
            <v>163</v>
          </cell>
          <cell r="E229">
            <v>5643</v>
          </cell>
          <cell r="F229">
            <v>5643</v>
          </cell>
          <cell r="G229" t="str">
            <v>$217.4</v>
          </cell>
          <cell r="H229" t="str">
            <v>$217.4</v>
          </cell>
          <cell r="I229">
            <v>30</v>
          </cell>
          <cell r="J229">
            <v>30</v>
          </cell>
          <cell r="K229">
            <v>6</v>
          </cell>
          <cell r="L229">
            <v>6</v>
          </cell>
          <cell r="M229">
            <v>3.6809815950920248E-2</v>
          </cell>
          <cell r="O229" t="str">
            <v>$1678</v>
          </cell>
          <cell r="P229" t="str">
            <v>$1678</v>
          </cell>
          <cell r="Q229">
            <v>45597</v>
          </cell>
          <cell r="R229" t="str">
            <v>Bangaluru</v>
          </cell>
          <cell r="S229" t="str">
            <v>Desktop</v>
          </cell>
          <cell r="T229" t="str">
            <v>data analytics online</v>
          </cell>
        </row>
        <row r="230">
          <cell r="A230" t="str">
            <v>A1228</v>
          </cell>
          <cell r="B230" t="str">
            <v>Data Analytics Course</v>
          </cell>
          <cell r="C230">
            <v>92</v>
          </cell>
          <cell r="D230">
            <v>92</v>
          </cell>
          <cell r="E230">
            <v>3916</v>
          </cell>
          <cell r="F230">
            <v>3916</v>
          </cell>
          <cell r="G230" t="str">
            <v>$188.1</v>
          </cell>
          <cell r="H230" t="str">
            <v>$188.1</v>
          </cell>
          <cell r="I230">
            <v>20.010748065348238</v>
          </cell>
          <cell r="K230">
            <v>6</v>
          </cell>
          <cell r="L230">
            <v>6</v>
          </cell>
          <cell r="M230">
            <v>6.5217391304347824E-2</v>
          </cell>
          <cell r="N230">
            <v>6.5000000000000002E-2</v>
          </cell>
          <cell r="O230" t="str">
            <v>$1005</v>
          </cell>
          <cell r="P230" t="str">
            <v>$1005</v>
          </cell>
          <cell r="Q230">
            <v>45610</v>
          </cell>
          <cell r="R230" t="str">
            <v>Hyderabad</v>
          </cell>
          <cell r="S230" t="str">
            <v>Desktop</v>
          </cell>
          <cell r="T230" t="str">
            <v>online data analytic</v>
          </cell>
        </row>
        <row r="231">
          <cell r="A231" t="str">
            <v>A1229</v>
          </cell>
          <cell r="B231" t="str">
            <v>Data Analytics Course</v>
          </cell>
          <cell r="C231">
            <v>165</v>
          </cell>
          <cell r="D231">
            <v>165</v>
          </cell>
          <cell r="E231">
            <v>4551</v>
          </cell>
          <cell r="F231">
            <v>4551</v>
          </cell>
          <cell r="G231" t="str">
            <v>$185.35</v>
          </cell>
          <cell r="H231" t="str">
            <v>$185.35</v>
          </cell>
          <cell r="I231">
            <v>30</v>
          </cell>
          <cell r="J231">
            <v>30</v>
          </cell>
          <cell r="K231">
            <v>6.4782608695652177</v>
          </cell>
          <cell r="M231">
            <v>3.9262187088274045E-2</v>
          </cell>
          <cell r="O231" t="str">
            <v>$1662</v>
          </cell>
          <cell r="P231" t="str">
            <v>$1662</v>
          </cell>
          <cell r="Q231">
            <v>45602</v>
          </cell>
          <cell r="R231" t="str">
            <v>Chennai</v>
          </cell>
          <cell r="S231" t="str">
            <v>Desktop</v>
          </cell>
          <cell r="T231" t="str">
            <v>data analytics online</v>
          </cell>
        </row>
        <row r="232">
          <cell r="A232" t="str">
            <v>A1230</v>
          </cell>
          <cell r="B232" t="str">
            <v>Data Analytics Course</v>
          </cell>
          <cell r="C232">
            <v>127</v>
          </cell>
          <cell r="D232">
            <v>127</v>
          </cell>
          <cell r="E232">
            <v>3344</v>
          </cell>
          <cell r="F232">
            <v>3344</v>
          </cell>
          <cell r="G232" t="str">
            <v>$201.7</v>
          </cell>
          <cell r="H232" t="str">
            <v>$201.7</v>
          </cell>
          <cell r="I232">
            <v>10</v>
          </cell>
          <cell r="J232">
            <v>10</v>
          </cell>
          <cell r="K232">
            <v>8</v>
          </cell>
          <cell r="L232">
            <v>8</v>
          </cell>
          <cell r="M232">
            <v>6.2992125984251968E-2</v>
          </cell>
          <cell r="O232" t="str">
            <v>$1190</v>
          </cell>
          <cell r="P232" t="str">
            <v>$1190</v>
          </cell>
          <cell r="Q232">
            <v>45607</v>
          </cell>
          <cell r="R232" t="str">
            <v>Hyderabad</v>
          </cell>
          <cell r="S232" t="str">
            <v>Desktop</v>
          </cell>
          <cell r="T232" t="str">
            <v>analytics for data</v>
          </cell>
        </row>
        <row r="233">
          <cell r="A233" t="str">
            <v>A1231</v>
          </cell>
          <cell r="B233" t="str">
            <v>Data Analytics Course</v>
          </cell>
          <cell r="C233">
            <v>178</v>
          </cell>
          <cell r="D233">
            <v>178</v>
          </cell>
          <cell r="E233">
            <v>4441</v>
          </cell>
          <cell r="F233">
            <v>4441</v>
          </cell>
          <cell r="G233" t="str">
            <v>$231.97</v>
          </cell>
          <cell r="H233" t="str">
            <v>$231.97</v>
          </cell>
          <cell r="I233">
            <v>22</v>
          </cell>
          <cell r="J233">
            <v>22</v>
          </cell>
          <cell r="K233">
            <v>4</v>
          </cell>
          <cell r="L233">
            <v>4</v>
          </cell>
          <cell r="M233">
            <v>2.247191011235955E-2</v>
          </cell>
          <cell r="N233">
            <v>2.1999999999999999E-2</v>
          </cell>
          <cell r="O233" t="str">
            <v>$1886</v>
          </cell>
          <cell r="P233" t="str">
            <v>$1886</v>
          </cell>
          <cell r="Q233">
            <v>45620</v>
          </cell>
          <cell r="R233" t="str">
            <v>Hyderabad</v>
          </cell>
          <cell r="S233" t="str">
            <v>Mobile</v>
          </cell>
          <cell r="T233" t="str">
            <v>analytics for data</v>
          </cell>
        </row>
        <row r="234">
          <cell r="A234" t="str">
            <v>A1232</v>
          </cell>
          <cell r="B234" t="str">
            <v>Data Analytics Course</v>
          </cell>
          <cell r="C234">
            <v>101</v>
          </cell>
          <cell r="D234">
            <v>101</v>
          </cell>
          <cell r="E234">
            <v>4523.2808326787117</v>
          </cell>
          <cell r="G234" t="str">
            <v>$234.17</v>
          </cell>
          <cell r="H234" t="str">
            <v>$234.17</v>
          </cell>
          <cell r="I234">
            <v>29</v>
          </cell>
          <cell r="J234">
            <v>29</v>
          </cell>
          <cell r="K234">
            <v>5</v>
          </cell>
          <cell r="L234">
            <v>5</v>
          </cell>
          <cell r="M234">
            <v>4.9504950495049507E-2</v>
          </cell>
          <cell r="N234">
            <v>0.05</v>
          </cell>
          <cell r="O234" t="str">
            <v>$1568</v>
          </cell>
          <cell r="P234" t="str">
            <v>$1568</v>
          </cell>
          <cell r="Q234">
            <v>45623</v>
          </cell>
          <cell r="R234" t="str">
            <v>Hyderabad</v>
          </cell>
          <cell r="S234" t="str">
            <v>Mobile</v>
          </cell>
          <cell r="T234" t="str">
            <v>data analytics training</v>
          </cell>
        </row>
        <row r="235">
          <cell r="A235" t="str">
            <v>A1233</v>
          </cell>
          <cell r="B235" t="str">
            <v>Data Analytics Course</v>
          </cell>
          <cell r="C235">
            <v>161</v>
          </cell>
          <cell r="D235">
            <v>161</v>
          </cell>
          <cell r="E235">
            <v>5977</v>
          </cell>
          <cell r="F235">
            <v>5977</v>
          </cell>
          <cell r="G235" t="str">
            <v>$193.27</v>
          </cell>
          <cell r="H235" t="str">
            <v>$193.27</v>
          </cell>
          <cell r="I235">
            <v>24</v>
          </cell>
          <cell r="J235">
            <v>24</v>
          </cell>
          <cell r="K235">
            <v>6.4793208532868958</v>
          </cell>
          <cell r="M235">
            <v>4.0244228902403083E-2</v>
          </cell>
          <cell r="O235" t="str">
            <v>$1366</v>
          </cell>
          <cell r="P235" t="str">
            <v>$1366</v>
          </cell>
          <cell r="Q235">
            <v>45609</v>
          </cell>
          <cell r="R235" t="str">
            <v>Chennai</v>
          </cell>
          <cell r="S235" t="str">
            <v>Desktop</v>
          </cell>
          <cell r="T235" t="str">
            <v>online data analytic</v>
          </cell>
        </row>
        <row r="236">
          <cell r="A236" t="str">
            <v>A1234</v>
          </cell>
          <cell r="B236" t="str">
            <v>Data Analytics Course</v>
          </cell>
          <cell r="C236">
            <v>95</v>
          </cell>
          <cell r="D236">
            <v>95</v>
          </cell>
          <cell r="E236">
            <v>4562</v>
          </cell>
          <cell r="F236">
            <v>4562</v>
          </cell>
          <cell r="G236" t="str">
            <v>$187.62</v>
          </cell>
          <cell r="H236" t="str">
            <v>$187.62</v>
          </cell>
          <cell r="I236">
            <v>24</v>
          </cell>
          <cell r="J236">
            <v>24</v>
          </cell>
          <cell r="K236">
            <v>9</v>
          </cell>
          <cell r="L236">
            <v>9</v>
          </cell>
          <cell r="M236">
            <v>9.4736842105263161E-2</v>
          </cell>
          <cell r="N236">
            <v>9.5000000000000001E-2</v>
          </cell>
          <cell r="O236" t="str">
            <v>$1239</v>
          </cell>
          <cell r="P236" t="str">
            <v>$1239</v>
          </cell>
          <cell r="Q236">
            <v>45622</v>
          </cell>
          <cell r="R236" t="str">
            <v>Bangaluru</v>
          </cell>
          <cell r="S236" t="str">
            <v>Desktop</v>
          </cell>
          <cell r="T236" t="str">
            <v>data analytics training</v>
          </cell>
        </row>
        <row r="237">
          <cell r="A237" t="str">
            <v>A1235</v>
          </cell>
          <cell r="B237" t="str">
            <v>Data Analytcis Course</v>
          </cell>
          <cell r="C237">
            <v>85</v>
          </cell>
          <cell r="D237">
            <v>85</v>
          </cell>
          <cell r="E237">
            <v>5099</v>
          </cell>
          <cell r="F237">
            <v>5099</v>
          </cell>
          <cell r="G237" t="str">
            <v>$232.56</v>
          </cell>
          <cell r="H237" t="str">
            <v>$232.56</v>
          </cell>
          <cell r="I237">
            <v>28</v>
          </cell>
          <cell r="J237">
            <v>28</v>
          </cell>
          <cell r="K237">
            <v>9</v>
          </cell>
          <cell r="L237">
            <v>9</v>
          </cell>
          <cell r="M237">
            <v>0.10588235294117647</v>
          </cell>
          <cell r="O237" t="str">
            <v>$1526</v>
          </cell>
          <cell r="P237" t="str">
            <v>$1526</v>
          </cell>
          <cell r="Q237">
            <v>45598</v>
          </cell>
          <cell r="R237" t="str">
            <v>Bangaluru</v>
          </cell>
          <cell r="S237" t="str">
            <v>Mobile</v>
          </cell>
          <cell r="T237" t="str">
            <v>data analytics training</v>
          </cell>
        </row>
        <row r="238">
          <cell r="A238" t="str">
            <v>A1236</v>
          </cell>
          <cell r="B238" t="str">
            <v>Data Analytics Course</v>
          </cell>
          <cell r="C238">
            <v>192</v>
          </cell>
          <cell r="D238">
            <v>192</v>
          </cell>
          <cell r="E238">
            <v>5852</v>
          </cell>
          <cell r="F238">
            <v>5852</v>
          </cell>
          <cell r="G238" t="str">
            <v>$181.05</v>
          </cell>
          <cell r="H238" t="str">
            <v>$181.05</v>
          </cell>
          <cell r="I238">
            <v>16</v>
          </cell>
          <cell r="J238">
            <v>16</v>
          </cell>
          <cell r="K238">
            <v>8</v>
          </cell>
          <cell r="L238">
            <v>8</v>
          </cell>
          <cell r="M238">
            <v>4.1666666666666664E-2</v>
          </cell>
          <cell r="N238">
            <v>4.2000000000000003E-2</v>
          </cell>
          <cell r="O238" t="str">
            <v>$1600</v>
          </cell>
          <cell r="P238" t="str">
            <v>$1600</v>
          </cell>
          <cell r="Q238">
            <v>45617</v>
          </cell>
          <cell r="R238" t="str">
            <v>Hyderabad</v>
          </cell>
          <cell r="S238" t="str">
            <v>Desktop</v>
          </cell>
          <cell r="T238" t="str">
            <v>analytics for data</v>
          </cell>
        </row>
        <row r="239">
          <cell r="A239" t="str">
            <v>A1237</v>
          </cell>
          <cell r="B239" t="str">
            <v>Data Analytics Course</v>
          </cell>
          <cell r="C239">
            <v>80</v>
          </cell>
          <cell r="D239">
            <v>80</v>
          </cell>
          <cell r="E239">
            <v>3823</v>
          </cell>
          <cell r="F239">
            <v>3823</v>
          </cell>
          <cell r="G239" t="str">
            <v>$181.57</v>
          </cell>
          <cell r="H239" t="str">
            <v>$181.57</v>
          </cell>
          <cell r="I239">
            <v>13</v>
          </cell>
          <cell r="J239">
            <v>13</v>
          </cell>
          <cell r="K239">
            <v>4</v>
          </cell>
          <cell r="L239">
            <v>4</v>
          </cell>
          <cell r="M239">
            <v>0.05</v>
          </cell>
          <cell r="O239" t="str">
            <v>$1564</v>
          </cell>
          <cell r="P239" t="str">
            <v>$1564</v>
          </cell>
          <cell r="Q239">
            <v>45609</v>
          </cell>
          <cell r="R239" t="str">
            <v>Bangaluru</v>
          </cell>
          <cell r="S239" t="str">
            <v>Desktop</v>
          </cell>
          <cell r="T239" t="str">
            <v>online data analytic</v>
          </cell>
        </row>
        <row r="240">
          <cell r="A240" t="str">
            <v>A1238</v>
          </cell>
          <cell r="B240" t="str">
            <v>Data Analytics Course</v>
          </cell>
          <cell r="C240">
            <v>191</v>
          </cell>
          <cell r="D240">
            <v>191</v>
          </cell>
          <cell r="E240">
            <v>4612</v>
          </cell>
          <cell r="F240">
            <v>4612</v>
          </cell>
          <cell r="G240" t="str">
            <v>$238.23</v>
          </cell>
          <cell r="H240" t="str">
            <v>$238.23</v>
          </cell>
          <cell r="I240">
            <v>20</v>
          </cell>
          <cell r="J240">
            <v>20</v>
          </cell>
          <cell r="K240">
            <v>10</v>
          </cell>
          <cell r="L240">
            <v>10</v>
          </cell>
          <cell r="M240">
            <v>5.2356020942408377E-2</v>
          </cell>
          <cell r="N240">
            <v>5.1999999999999998E-2</v>
          </cell>
          <cell r="O240" t="str">
            <v>$1531</v>
          </cell>
          <cell r="P240" t="str">
            <v>$1531</v>
          </cell>
          <cell r="Q240">
            <v>45597</v>
          </cell>
          <cell r="R240" t="str">
            <v>Chennai</v>
          </cell>
          <cell r="S240" t="str">
            <v>Mobile</v>
          </cell>
          <cell r="T240" t="str">
            <v>learn data analytics</v>
          </cell>
        </row>
        <row r="241">
          <cell r="A241" t="str">
            <v>A1239</v>
          </cell>
          <cell r="B241" t="str">
            <v>Data Analytics Course</v>
          </cell>
          <cell r="C241">
            <v>147</v>
          </cell>
          <cell r="D241">
            <v>147</v>
          </cell>
          <cell r="E241">
            <v>5881</v>
          </cell>
          <cell r="F241">
            <v>5881</v>
          </cell>
          <cell r="G241" t="str">
            <v>$196.34</v>
          </cell>
          <cell r="H241" t="str">
            <v>$196.34</v>
          </cell>
          <cell r="I241">
            <v>23</v>
          </cell>
          <cell r="J241">
            <v>23</v>
          </cell>
          <cell r="K241">
            <v>7</v>
          </cell>
          <cell r="L241">
            <v>7</v>
          </cell>
          <cell r="M241">
            <v>4.7619047619047616E-2</v>
          </cell>
          <cell r="N241">
            <v>4.8000000000000001E-2</v>
          </cell>
          <cell r="O241" t="str">
            <v>$1614</v>
          </cell>
          <cell r="P241" t="str">
            <v>$1614</v>
          </cell>
          <cell r="Q241">
            <v>45614</v>
          </cell>
          <cell r="R241" t="str">
            <v>Hyderabad</v>
          </cell>
          <cell r="S241" t="str">
            <v>Desktop</v>
          </cell>
          <cell r="T241" t="str">
            <v>data analytics training</v>
          </cell>
        </row>
        <row r="242">
          <cell r="A242" t="str">
            <v>A1240</v>
          </cell>
          <cell r="B242" t="str">
            <v>Data Analytics Course</v>
          </cell>
          <cell r="C242">
            <v>100</v>
          </cell>
          <cell r="D242">
            <v>100</v>
          </cell>
          <cell r="E242">
            <v>5204</v>
          </cell>
          <cell r="F242">
            <v>5204</v>
          </cell>
          <cell r="G242" t="str">
            <v>$197.53</v>
          </cell>
          <cell r="H242" t="str">
            <v>$197.53</v>
          </cell>
          <cell r="I242">
            <v>26</v>
          </cell>
          <cell r="J242">
            <v>26</v>
          </cell>
          <cell r="K242">
            <v>4</v>
          </cell>
          <cell r="L242">
            <v>4</v>
          </cell>
          <cell r="M242">
            <v>0.04</v>
          </cell>
          <cell r="N242">
            <v>0.04</v>
          </cell>
          <cell r="O242" t="str">
            <v>$1675</v>
          </cell>
          <cell r="P242" t="str">
            <v>$1675</v>
          </cell>
          <cell r="Q242">
            <v>45620</v>
          </cell>
          <cell r="R242" t="str">
            <v>Bangaluru</v>
          </cell>
          <cell r="S242" t="str">
            <v>Tablet</v>
          </cell>
          <cell r="T242" t="str">
            <v>data analytics course</v>
          </cell>
        </row>
        <row r="243">
          <cell r="A243" t="str">
            <v>A1241</v>
          </cell>
          <cell r="B243" t="str">
            <v>Data Analytcis Course</v>
          </cell>
          <cell r="C243">
            <v>82</v>
          </cell>
          <cell r="D243">
            <v>82</v>
          </cell>
          <cell r="E243">
            <v>5130</v>
          </cell>
          <cell r="F243">
            <v>5130</v>
          </cell>
          <cell r="G243" t="str">
            <v>$233.75</v>
          </cell>
          <cell r="H243" t="str">
            <v>$233.75</v>
          </cell>
          <cell r="I243">
            <v>20</v>
          </cell>
          <cell r="K243">
            <v>9</v>
          </cell>
          <cell r="L243">
            <v>9</v>
          </cell>
          <cell r="M243">
            <v>0.10975609756097561</v>
          </cell>
          <cell r="N243">
            <v>0.11</v>
          </cell>
          <cell r="O243" t="str">
            <v>$1500</v>
          </cell>
          <cell r="Q243">
            <v>45611</v>
          </cell>
          <cell r="R243" t="str">
            <v>Chennai</v>
          </cell>
          <cell r="S243" t="str">
            <v>Mobile</v>
          </cell>
          <cell r="T243" t="str">
            <v>data analytics online</v>
          </cell>
        </row>
        <row r="244">
          <cell r="A244" t="str">
            <v>A1242</v>
          </cell>
          <cell r="B244" t="str">
            <v>Data Analytics Course</v>
          </cell>
          <cell r="C244">
            <v>123</v>
          </cell>
          <cell r="D244">
            <v>123</v>
          </cell>
          <cell r="E244">
            <v>5231</v>
          </cell>
          <cell r="F244">
            <v>5231</v>
          </cell>
          <cell r="G244" t="str">
            <v>$202.93</v>
          </cell>
          <cell r="H244" t="str">
            <v>$202.93</v>
          </cell>
          <cell r="I244">
            <v>30</v>
          </cell>
          <cell r="J244">
            <v>30</v>
          </cell>
          <cell r="K244">
            <v>10</v>
          </cell>
          <cell r="L244">
            <v>10</v>
          </cell>
          <cell r="M244">
            <v>8.1300813008130079E-2</v>
          </cell>
          <cell r="N244">
            <v>8.1000000000000003E-2</v>
          </cell>
          <cell r="O244" t="str">
            <v>$1551</v>
          </cell>
          <cell r="P244" t="str">
            <v>$1551</v>
          </cell>
          <cell r="Q244">
            <v>45619</v>
          </cell>
          <cell r="R244" t="str">
            <v>Hyderabad</v>
          </cell>
          <cell r="S244" t="str">
            <v>Desktop</v>
          </cell>
          <cell r="T244" t="str">
            <v>online data analytic</v>
          </cell>
        </row>
        <row r="245">
          <cell r="A245" t="str">
            <v>A1243</v>
          </cell>
          <cell r="B245" t="str">
            <v>Data Analytics Course</v>
          </cell>
          <cell r="C245">
            <v>165</v>
          </cell>
          <cell r="D245">
            <v>165</v>
          </cell>
          <cell r="E245">
            <v>5980</v>
          </cell>
          <cell r="F245">
            <v>5980</v>
          </cell>
          <cell r="G245" t="str">
            <v>$248.41</v>
          </cell>
          <cell r="H245" t="str">
            <v>$248.41</v>
          </cell>
          <cell r="I245">
            <v>17</v>
          </cell>
          <cell r="J245">
            <v>17</v>
          </cell>
          <cell r="K245">
            <v>3</v>
          </cell>
          <cell r="L245">
            <v>3</v>
          </cell>
          <cell r="M245">
            <v>1.8181818181818181E-2</v>
          </cell>
          <cell r="N245">
            <v>1.7999999999999999E-2</v>
          </cell>
          <cell r="O245" t="str">
            <v>$1803</v>
          </cell>
          <cell r="P245" t="str">
            <v>$1803</v>
          </cell>
          <cell r="Q245">
            <v>45602</v>
          </cell>
          <cell r="R245" t="str">
            <v>Chennai</v>
          </cell>
          <cell r="S245" t="str">
            <v>Tablet</v>
          </cell>
          <cell r="T245" t="str">
            <v>online data analytic</v>
          </cell>
        </row>
        <row r="246">
          <cell r="A246" t="str">
            <v>A1244</v>
          </cell>
          <cell r="B246" t="str">
            <v>Data Analytics Course</v>
          </cell>
          <cell r="C246">
            <v>167</v>
          </cell>
          <cell r="D246">
            <v>167</v>
          </cell>
          <cell r="E246">
            <v>3202</v>
          </cell>
          <cell r="F246">
            <v>3202</v>
          </cell>
          <cell r="G246" t="str">
            <v>$214.87</v>
          </cell>
          <cell r="H246" t="str">
            <v>$214.87</v>
          </cell>
          <cell r="I246">
            <v>26</v>
          </cell>
          <cell r="J246">
            <v>26</v>
          </cell>
          <cell r="K246">
            <v>6</v>
          </cell>
          <cell r="L246">
            <v>6</v>
          </cell>
          <cell r="M246">
            <v>3.5928143712574849E-2</v>
          </cell>
          <cell r="N246">
            <v>3.5999999999999997E-2</v>
          </cell>
          <cell r="O246" t="str">
            <v>$1571</v>
          </cell>
          <cell r="P246" t="str">
            <v>$1571</v>
          </cell>
          <cell r="Q246">
            <v>45608</v>
          </cell>
          <cell r="R246" t="str">
            <v>Hyderabad</v>
          </cell>
          <cell r="S246" t="str">
            <v>Desktop</v>
          </cell>
          <cell r="T246" t="str">
            <v>data analytics online</v>
          </cell>
        </row>
        <row r="247">
          <cell r="A247" t="str">
            <v>A1245</v>
          </cell>
          <cell r="B247" t="str">
            <v>Data Analytics Course</v>
          </cell>
          <cell r="C247">
            <v>111</v>
          </cell>
          <cell r="D247">
            <v>111</v>
          </cell>
          <cell r="E247">
            <v>5847</v>
          </cell>
          <cell r="F247">
            <v>5847</v>
          </cell>
          <cell r="G247" t="str">
            <v>$196.71</v>
          </cell>
          <cell r="H247" t="str">
            <v>$196.71</v>
          </cell>
          <cell r="I247">
            <v>21</v>
          </cell>
          <cell r="J247">
            <v>21</v>
          </cell>
          <cell r="K247">
            <v>9</v>
          </cell>
          <cell r="L247">
            <v>9</v>
          </cell>
          <cell r="M247">
            <v>8.1081081081081086E-2</v>
          </cell>
          <cell r="N247">
            <v>8.1000000000000003E-2</v>
          </cell>
          <cell r="O247" t="str">
            <v>$1445</v>
          </cell>
          <cell r="P247" t="str">
            <v>$1445</v>
          </cell>
          <cell r="Q247">
            <v>45626</v>
          </cell>
          <cell r="R247" t="str">
            <v>Hyderabad</v>
          </cell>
          <cell r="S247" t="str">
            <v>Mobile</v>
          </cell>
          <cell r="T247" t="str">
            <v>online data analytic</v>
          </cell>
        </row>
        <row r="248">
          <cell r="A248" t="str">
            <v>A1246</v>
          </cell>
          <cell r="B248" t="str">
            <v>Data Analytcis Course</v>
          </cell>
          <cell r="C248">
            <v>94</v>
          </cell>
          <cell r="D248">
            <v>94</v>
          </cell>
          <cell r="E248">
            <v>4359</v>
          </cell>
          <cell r="F248">
            <v>4359</v>
          </cell>
          <cell r="G248" t="str">
            <v>$200.00</v>
          </cell>
          <cell r="I248">
            <v>28</v>
          </cell>
          <cell r="J248">
            <v>28</v>
          </cell>
          <cell r="K248">
            <v>5</v>
          </cell>
          <cell r="L248">
            <v>5</v>
          </cell>
          <cell r="M248">
            <v>5.3191489361702128E-2</v>
          </cell>
          <cell r="N248">
            <v>4.4999999999999998E-2</v>
          </cell>
          <cell r="O248" t="str">
            <v>$1920</v>
          </cell>
          <cell r="P248" t="str">
            <v>$1920</v>
          </cell>
          <cell r="Q248">
            <v>45603</v>
          </cell>
          <cell r="R248" t="str">
            <v>Bangaluru</v>
          </cell>
          <cell r="S248" t="str">
            <v>Tablet</v>
          </cell>
          <cell r="T248" t="str">
            <v>learn data analytics</v>
          </cell>
        </row>
        <row r="249">
          <cell r="A249" t="str">
            <v>A1247</v>
          </cell>
          <cell r="B249" t="str">
            <v>Data Analytics Course</v>
          </cell>
          <cell r="C249">
            <v>179</v>
          </cell>
          <cell r="D249">
            <v>179</v>
          </cell>
          <cell r="E249">
            <v>3185</v>
          </cell>
          <cell r="F249">
            <v>3185</v>
          </cell>
          <cell r="G249" t="str">
            <v>$236.74</v>
          </cell>
          <cell r="H249" t="str">
            <v>$236.74</v>
          </cell>
          <cell r="I249">
            <v>29</v>
          </cell>
          <cell r="J249">
            <v>29</v>
          </cell>
          <cell r="K249">
            <v>5</v>
          </cell>
          <cell r="L249">
            <v>5</v>
          </cell>
          <cell r="M249">
            <v>2.7932960893854747E-2</v>
          </cell>
          <cell r="O249" t="str">
            <v>$1156</v>
          </cell>
          <cell r="P249" t="str">
            <v>$1156</v>
          </cell>
          <cell r="Q249">
            <v>45607</v>
          </cell>
          <cell r="R249" t="str">
            <v>Hyderabad</v>
          </cell>
          <cell r="S249" t="str">
            <v>Desktop</v>
          </cell>
          <cell r="T249" t="str">
            <v>data analytics course</v>
          </cell>
        </row>
        <row r="250">
          <cell r="A250" t="str">
            <v>A1248</v>
          </cell>
          <cell r="B250" t="str">
            <v>Data Analytics Course</v>
          </cell>
          <cell r="C250">
            <v>166</v>
          </cell>
          <cell r="D250">
            <v>166</v>
          </cell>
          <cell r="E250">
            <v>5592</v>
          </cell>
          <cell r="F250">
            <v>5592</v>
          </cell>
          <cell r="G250" t="str">
            <v>$183.03</v>
          </cell>
          <cell r="H250" t="str">
            <v>$183.03</v>
          </cell>
          <cell r="I250">
            <v>22</v>
          </cell>
          <cell r="J250">
            <v>22</v>
          </cell>
          <cell r="K250">
            <v>4</v>
          </cell>
          <cell r="L250">
            <v>4</v>
          </cell>
          <cell r="M250">
            <v>2.4096385542168676E-2</v>
          </cell>
          <cell r="N250">
            <v>2.4E-2</v>
          </cell>
          <cell r="O250" t="str">
            <v>$1636</v>
          </cell>
          <cell r="P250" t="str">
            <v>$1636</v>
          </cell>
          <cell r="Q250">
            <v>45618</v>
          </cell>
          <cell r="R250" t="str">
            <v>Hyderabad</v>
          </cell>
          <cell r="S250" t="str">
            <v>Tablet</v>
          </cell>
          <cell r="T250" t="str">
            <v>online data analytic</v>
          </cell>
        </row>
        <row r="251">
          <cell r="A251" t="str">
            <v>A1249</v>
          </cell>
          <cell r="B251" t="str">
            <v>Data Analytcis Course</v>
          </cell>
          <cell r="C251">
            <v>90</v>
          </cell>
          <cell r="D251">
            <v>90</v>
          </cell>
          <cell r="E251">
            <v>5062</v>
          </cell>
          <cell r="F251">
            <v>5062</v>
          </cell>
          <cell r="G251" t="str">
            <v>$191.4</v>
          </cell>
          <cell r="H251" t="str">
            <v>$191.4</v>
          </cell>
          <cell r="I251">
            <v>23</v>
          </cell>
          <cell r="J251">
            <v>23</v>
          </cell>
          <cell r="K251">
            <v>6</v>
          </cell>
          <cell r="L251">
            <v>6</v>
          </cell>
          <cell r="M251">
            <v>6.6666666666666666E-2</v>
          </cell>
          <cell r="O251" t="str">
            <v>$1775</v>
          </cell>
          <cell r="P251" t="str">
            <v>$1775</v>
          </cell>
          <cell r="Q251">
            <v>45615</v>
          </cell>
          <cell r="R251" t="str">
            <v>Hyderabad</v>
          </cell>
          <cell r="S251" t="str">
            <v>Tablet</v>
          </cell>
          <cell r="T251" t="str">
            <v>data analytics course</v>
          </cell>
        </row>
        <row r="252">
          <cell r="A252" t="str">
            <v>A1250</v>
          </cell>
          <cell r="B252" t="str">
            <v>Data Analytcis Course</v>
          </cell>
          <cell r="C252">
            <v>106</v>
          </cell>
          <cell r="D252">
            <v>106</v>
          </cell>
          <cell r="E252">
            <v>5830</v>
          </cell>
          <cell r="F252">
            <v>5830</v>
          </cell>
          <cell r="G252" t="str">
            <v>$241.9</v>
          </cell>
          <cell r="H252" t="str">
            <v>$241.9</v>
          </cell>
          <cell r="I252">
            <v>29</v>
          </cell>
          <cell r="J252">
            <v>29</v>
          </cell>
          <cell r="K252">
            <v>10</v>
          </cell>
          <cell r="L252">
            <v>10</v>
          </cell>
          <cell r="M252">
            <v>9.4339622641509441E-2</v>
          </cell>
          <cell r="N252">
            <v>3.5000000000000003E-2</v>
          </cell>
          <cell r="O252" t="str">
            <v>$1897</v>
          </cell>
          <cell r="P252" t="str">
            <v>$1897</v>
          </cell>
          <cell r="Q252">
            <v>45598</v>
          </cell>
          <cell r="R252" t="str">
            <v>Hyderabad</v>
          </cell>
          <cell r="S252" t="str">
            <v>Desktop</v>
          </cell>
          <cell r="T252" t="str">
            <v>data analytics training</v>
          </cell>
        </row>
        <row r="253">
          <cell r="A253" t="str">
            <v>A1251</v>
          </cell>
          <cell r="B253" t="str">
            <v>Data Analytics Course</v>
          </cell>
          <cell r="C253">
            <v>138.95699356913184</v>
          </cell>
          <cell r="E253">
            <v>4629</v>
          </cell>
          <cell r="F253">
            <v>4629</v>
          </cell>
          <cell r="G253" t="str">
            <v>$236.96</v>
          </cell>
          <cell r="H253" t="str">
            <v>$236.96</v>
          </cell>
          <cell r="I253">
            <v>10</v>
          </cell>
          <cell r="J253">
            <v>10</v>
          </cell>
          <cell r="K253">
            <v>6</v>
          </cell>
          <cell r="L253">
            <v>6</v>
          </cell>
          <cell r="M253">
            <v>4.317882710246583E-2</v>
          </cell>
          <cell r="O253" t="str">
            <v>$1183</v>
          </cell>
          <cell r="P253" t="str">
            <v>$1183</v>
          </cell>
          <cell r="Q253">
            <v>45602</v>
          </cell>
          <cell r="R253" t="str">
            <v>Hyderabad</v>
          </cell>
          <cell r="S253" t="str">
            <v>Desktop</v>
          </cell>
          <cell r="T253" t="str">
            <v>data analytics training</v>
          </cell>
        </row>
        <row r="254">
          <cell r="A254" t="str">
            <v>A1252</v>
          </cell>
          <cell r="B254" t="str">
            <v>Data Analytics Course</v>
          </cell>
          <cell r="C254">
            <v>158</v>
          </cell>
          <cell r="D254">
            <v>158</v>
          </cell>
          <cell r="E254">
            <v>4780</v>
          </cell>
          <cell r="F254">
            <v>4780</v>
          </cell>
          <cell r="G254" t="str">
            <v>$247.2</v>
          </cell>
          <cell r="H254" t="str">
            <v>$247.2</v>
          </cell>
          <cell r="I254">
            <v>23</v>
          </cell>
          <cell r="J254">
            <v>23</v>
          </cell>
          <cell r="K254">
            <v>9</v>
          </cell>
          <cell r="L254">
            <v>9</v>
          </cell>
          <cell r="M254">
            <v>5.6962025316455694E-2</v>
          </cell>
          <cell r="O254" t="str">
            <v>$1005</v>
          </cell>
          <cell r="P254" t="str">
            <v>$1005</v>
          </cell>
          <cell r="Q254">
            <v>45620</v>
          </cell>
          <cell r="R254" t="str">
            <v>Chennai</v>
          </cell>
          <cell r="S254" t="str">
            <v>Desktop</v>
          </cell>
          <cell r="T254" t="str">
            <v>learn data analytics</v>
          </cell>
        </row>
        <row r="255">
          <cell r="A255" t="str">
            <v>A1253</v>
          </cell>
          <cell r="B255" t="str">
            <v>Data Analytics Course</v>
          </cell>
          <cell r="C255">
            <v>187</v>
          </cell>
          <cell r="D255">
            <v>187</v>
          </cell>
          <cell r="E255">
            <v>3800</v>
          </cell>
          <cell r="F255">
            <v>3800</v>
          </cell>
          <cell r="G255" t="str">
            <v>$241.0</v>
          </cell>
          <cell r="H255" t="str">
            <v>$241.0</v>
          </cell>
          <cell r="I255">
            <v>16</v>
          </cell>
          <cell r="J255">
            <v>16</v>
          </cell>
          <cell r="K255">
            <v>8</v>
          </cell>
          <cell r="L255">
            <v>8</v>
          </cell>
          <cell r="M255">
            <v>4.2780748663101602E-2</v>
          </cell>
          <cell r="N255">
            <v>4.2999999999999997E-2</v>
          </cell>
          <cell r="O255" t="str">
            <v>$1842</v>
          </cell>
          <cell r="P255" t="str">
            <v>$1842</v>
          </cell>
          <cell r="Q255">
            <v>45605</v>
          </cell>
          <cell r="R255" t="str">
            <v>Chennai</v>
          </cell>
          <cell r="S255" t="str">
            <v>Mobile</v>
          </cell>
          <cell r="T255" t="str">
            <v>analytics for data</v>
          </cell>
        </row>
        <row r="256">
          <cell r="A256" t="str">
            <v>A1254</v>
          </cell>
          <cell r="B256" t="str">
            <v>Data Analytics Course</v>
          </cell>
          <cell r="C256">
            <v>95</v>
          </cell>
          <cell r="D256">
            <v>95</v>
          </cell>
          <cell r="E256">
            <v>4096</v>
          </cell>
          <cell r="F256">
            <v>4096</v>
          </cell>
          <cell r="G256" t="str">
            <v>$242.69</v>
          </cell>
          <cell r="H256" t="str">
            <v>$242.69</v>
          </cell>
          <cell r="I256">
            <v>26</v>
          </cell>
          <cell r="J256">
            <v>26</v>
          </cell>
          <cell r="K256">
            <v>9</v>
          </cell>
          <cell r="L256">
            <v>9</v>
          </cell>
          <cell r="M256">
            <v>9.4736842105263161E-2</v>
          </cell>
          <cell r="N256">
            <v>9.5000000000000001E-2</v>
          </cell>
          <cell r="O256" t="str">
            <v>$1550</v>
          </cell>
          <cell r="P256" t="str">
            <v>$1550</v>
          </cell>
          <cell r="Q256">
            <v>45618</v>
          </cell>
          <cell r="R256" t="str">
            <v>Chennai</v>
          </cell>
          <cell r="S256" t="str">
            <v>Tablet</v>
          </cell>
          <cell r="T256" t="str">
            <v>online data analytic</v>
          </cell>
        </row>
        <row r="257">
          <cell r="A257" t="str">
            <v>A1255</v>
          </cell>
          <cell r="B257" t="str">
            <v>Data Analytcis Course</v>
          </cell>
          <cell r="C257">
            <v>118</v>
          </cell>
          <cell r="D257">
            <v>118</v>
          </cell>
          <cell r="E257">
            <v>3562</v>
          </cell>
          <cell r="F257">
            <v>3562</v>
          </cell>
          <cell r="G257" t="str">
            <v>$231.5</v>
          </cell>
          <cell r="H257" t="str">
            <v>$231.5</v>
          </cell>
          <cell r="I257">
            <v>12</v>
          </cell>
          <cell r="J257">
            <v>12</v>
          </cell>
          <cell r="K257">
            <v>3</v>
          </cell>
          <cell r="L257">
            <v>3</v>
          </cell>
          <cell r="M257">
            <v>2.5423728813559324E-2</v>
          </cell>
          <cell r="N257">
            <v>2.5000000000000001E-2</v>
          </cell>
          <cell r="O257" t="str">
            <v>$1856</v>
          </cell>
          <cell r="P257" t="str">
            <v>$1856</v>
          </cell>
          <cell r="Q257">
            <v>45615</v>
          </cell>
          <cell r="R257" t="str">
            <v>Bangaluru</v>
          </cell>
          <cell r="S257" t="str">
            <v>Desktop</v>
          </cell>
          <cell r="T257" t="str">
            <v>data analytics course</v>
          </cell>
        </row>
        <row r="258">
          <cell r="A258" t="str">
            <v>A1256</v>
          </cell>
          <cell r="B258" t="str">
            <v>Data Analytics Course</v>
          </cell>
          <cell r="C258">
            <v>166</v>
          </cell>
          <cell r="D258">
            <v>166</v>
          </cell>
          <cell r="E258">
            <v>3910</v>
          </cell>
          <cell r="F258">
            <v>3910</v>
          </cell>
          <cell r="G258" t="str">
            <v>$191.32</v>
          </cell>
          <cell r="H258" t="str">
            <v>$191.32</v>
          </cell>
          <cell r="I258">
            <v>27</v>
          </cell>
          <cell r="J258">
            <v>27</v>
          </cell>
          <cell r="K258">
            <v>7</v>
          </cell>
          <cell r="L258">
            <v>7</v>
          </cell>
          <cell r="M258">
            <v>4.2168674698795178E-2</v>
          </cell>
          <cell r="N258">
            <v>4.2000000000000003E-2</v>
          </cell>
          <cell r="O258" t="str">
            <v>$1500</v>
          </cell>
          <cell r="Q258">
            <v>45611</v>
          </cell>
          <cell r="R258" t="str">
            <v>Bangaluru</v>
          </cell>
          <cell r="S258" t="str">
            <v>Mobile</v>
          </cell>
          <cell r="T258" t="str">
            <v>analytics for data</v>
          </cell>
        </row>
        <row r="259">
          <cell r="A259" t="str">
            <v>A1257</v>
          </cell>
          <cell r="B259" t="str">
            <v>Data Analytics Course</v>
          </cell>
          <cell r="C259">
            <v>146</v>
          </cell>
          <cell r="D259">
            <v>146</v>
          </cell>
          <cell r="E259">
            <v>5411</v>
          </cell>
          <cell r="F259">
            <v>5411</v>
          </cell>
          <cell r="G259" t="str">
            <v>$201.76</v>
          </cell>
          <cell r="H259" t="str">
            <v>$201.76</v>
          </cell>
          <cell r="I259">
            <v>28</v>
          </cell>
          <cell r="J259">
            <v>28</v>
          </cell>
          <cell r="K259">
            <v>7</v>
          </cell>
          <cell r="L259">
            <v>7</v>
          </cell>
          <cell r="M259">
            <v>4.7945205479452052E-2</v>
          </cell>
          <cell r="N259">
            <v>4.8000000000000001E-2</v>
          </cell>
          <cell r="O259" t="str">
            <v>$1393</v>
          </cell>
          <cell r="P259" t="str">
            <v>$1393</v>
          </cell>
          <cell r="Q259">
            <v>45610</v>
          </cell>
          <cell r="R259" t="str">
            <v>Bangaluru</v>
          </cell>
          <cell r="S259" t="str">
            <v>Desktop</v>
          </cell>
          <cell r="T259" t="str">
            <v>data analytics online</v>
          </cell>
        </row>
        <row r="260">
          <cell r="A260" t="str">
            <v>A1258</v>
          </cell>
          <cell r="B260" t="str">
            <v>Data Analytics Course</v>
          </cell>
          <cell r="C260">
            <v>101</v>
          </cell>
          <cell r="D260">
            <v>101</v>
          </cell>
          <cell r="E260">
            <v>4026</v>
          </cell>
          <cell r="F260">
            <v>4026</v>
          </cell>
          <cell r="G260" t="str">
            <v>$219.68</v>
          </cell>
          <cell r="H260" t="str">
            <v>$219.68</v>
          </cell>
          <cell r="I260">
            <v>22</v>
          </cell>
          <cell r="J260">
            <v>22</v>
          </cell>
          <cell r="K260">
            <v>9</v>
          </cell>
          <cell r="L260">
            <v>9</v>
          </cell>
          <cell r="M260">
            <v>8.9108910891089105E-2</v>
          </cell>
          <cell r="N260">
            <v>8.8999999999999996E-2</v>
          </cell>
          <cell r="O260" t="str">
            <v>$1149</v>
          </cell>
          <cell r="P260" t="str">
            <v>$1149</v>
          </cell>
          <cell r="Q260">
            <v>45611</v>
          </cell>
          <cell r="R260" t="str">
            <v>Hyderabad</v>
          </cell>
          <cell r="S260" t="str">
            <v>Desktop</v>
          </cell>
          <cell r="T260" t="str">
            <v>analytics for data</v>
          </cell>
        </row>
        <row r="261">
          <cell r="A261" t="str">
            <v>A1259</v>
          </cell>
          <cell r="B261" t="str">
            <v>Data Analytics Course</v>
          </cell>
          <cell r="C261">
            <v>185</v>
          </cell>
          <cell r="D261">
            <v>185</v>
          </cell>
          <cell r="E261">
            <v>3716</v>
          </cell>
          <cell r="F261">
            <v>3716</v>
          </cell>
          <cell r="G261" t="str">
            <v>$218.23</v>
          </cell>
          <cell r="H261" t="str">
            <v>$218.23</v>
          </cell>
          <cell r="I261">
            <v>27</v>
          </cell>
          <cell r="J261">
            <v>27</v>
          </cell>
          <cell r="K261">
            <v>7</v>
          </cell>
          <cell r="L261">
            <v>7</v>
          </cell>
          <cell r="M261">
            <v>3.783783783783784E-2</v>
          </cell>
          <cell r="N261">
            <v>5.6000000000000001E-2</v>
          </cell>
          <cell r="O261" t="str">
            <v>$1015</v>
          </cell>
          <cell r="P261" t="str">
            <v>$1015</v>
          </cell>
          <cell r="Q261">
            <v>45599</v>
          </cell>
          <cell r="R261" t="str">
            <v>Bangaluru</v>
          </cell>
          <cell r="S261" t="str">
            <v>Desktop</v>
          </cell>
          <cell r="T261" t="str">
            <v>online data analytic</v>
          </cell>
        </row>
        <row r="262">
          <cell r="A262" t="str">
            <v>A1260</v>
          </cell>
          <cell r="B262" t="str">
            <v>Data Analytcis Course</v>
          </cell>
          <cell r="C262">
            <v>147</v>
          </cell>
          <cell r="D262">
            <v>147</v>
          </cell>
          <cell r="E262">
            <v>5162</v>
          </cell>
          <cell r="F262">
            <v>5162</v>
          </cell>
          <cell r="G262" t="str">
            <v>$186.79</v>
          </cell>
          <cell r="H262" t="str">
            <v>$186.79</v>
          </cell>
          <cell r="I262">
            <v>30</v>
          </cell>
          <cell r="J262">
            <v>30</v>
          </cell>
          <cell r="K262">
            <v>7</v>
          </cell>
          <cell r="L262">
            <v>7</v>
          </cell>
          <cell r="M262">
            <v>4.7619047619047616E-2</v>
          </cell>
          <cell r="N262">
            <v>4.8000000000000001E-2</v>
          </cell>
          <cell r="O262" t="str">
            <v>$1733</v>
          </cell>
          <cell r="P262" t="str">
            <v>$1733</v>
          </cell>
          <cell r="Q262">
            <v>45621</v>
          </cell>
          <cell r="R262" t="str">
            <v>Hyderabad</v>
          </cell>
          <cell r="S262" t="str">
            <v>Desktop</v>
          </cell>
          <cell r="T262" t="str">
            <v>analytics for data</v>
          </cell>
        </row>
        <row r="263">
          <cell r="A263" t="str">
            <v>A1261</v>
          </cell>
          <cell r="B263" t="str">
            <v>Data Analytcis Course</v>
          </cell>
          <cell r="C263">
            <v>188</v>
          </cell>
          <cell r="D263">
            <v>188</v>
          </cell>
          <cell r="E263">
            <v>3859</v>
          </cell>
          <cell r="F263">
            <v>3859</v>
          </cell>
          <cell r="G263" t="str">
            <v>$211.83</v>
          </cell>
          <cell r="H263" t="str">
            <v>$211.83</v>
          </cell>
          <cell r="I263">
            <v>30</v>
          </cell>
          <cell r="J263">
            <v>30</v>
          </cell>
          <cell r="K263">
            <v>9</v>
          </cell>
          <cell r="L263">
            <v>9</v>
          </cell>
          <cell r="M263">
            <v>4.7872340425531915E-2</v>
          </cell>
          <cell r="N263">
            <v>4.8000000000000001E-2</v>
          </cell>
          <cell r="O263" t="str">
            <v>$1719</v>
          </cell>
          <cell r="P263" t="str">
            <v>$1719</v>
          </cell>
          <cell r="Q263">
            <v>45624</v>
          </cell>
          <cell r="R263" t="str">
            <v>Hyderabad</v>
          </cell>
          <cell r="S263" t="str">
            <v>Mobile</v>
          </cell>
          <cell r="T263" t="str">
            <v>online data analytic</v>
          </cell>
        </row>
        <row r="264">
          <cell r="A264" t="str">
            <v>A1262</v>
          </cell>
          <cell r="B264" t="str">
            <v>Data Analytics Course</v>
          </cell>
          <cell r="C264">
            <v>122</v>
          </cell>
          <cell r="D264">
            <v>122</v>
          </cell>
          <cell r="E264">
            <v>3350</v>
          </cell>
          <cell r="F264">
            <v>3350</v>
          </cell>
          <cell r="G264" t="str">
            <v>$225.89</v>
          </cell>
          <cell r="H264" t="str">
            <v>$225.89</v>
          </cell>
          <cell r="I264">
            <v>28</v>
          </cell>
          <cell r="J264">
            <v>28</v>
          </cell>
          <cell r="K264">
            <v>3</v>
          </cell>
          <cell r="L264">
            <v>3</v>
          </cell>
          <cell r="M264">
            <v>2.4590163934426229E-2</v>
          </cell>
          <cell r="O264" t="str">
            <v>$1509</v>
          </cell>
          <cell r="P264" t="str">
            <v>$1509</v>
          </cell>
          <cell r="Q264">
            <v>45620</v>
          </cell>
          <cell r="R264" t="str">
            <v>Hyderabad</v>
          </cell>
          <cell r="S264" t="str">
            <v>Desktop</v>
          </cell>
          <cell r="T264" t="str">
            <v>data analytics online</v>
          </cell>
        </row>
        <row r="265">
          <cell r="A265" t="str">
            <v>A1263</v>
          </cell>
          <cell r="B265" t="str">
            <v>Data Analytics Course</v>
          </cell>
          <cell r="C265">
            <v>143</v>
          </cell>
          <cell r="D265">
            <v>143</v>
          </cell>
          <cell r="E265">
            <v>5340</v>
          </cell>
          <cell r="F265">
            <v>5340</v>
          </cell>
          <cell r="G265" t="str">
            <v>$200.00</v>
          </cell>
          <cell r="I265">
            <v>20</v>
          </cell>
          <cell r="J265">
            <v>20</v>
          </cell>
          <cell r="K265">
            <v>9</v>
          </cell>
          <cell r="L265">
            <v>9</v>
          </cell>
          <cell r="M265">
            <v>6.2937062937062943E-2</v>
          </cell>
          <cell r="N265">
            <v>6.3E-2</v>
          </cell>
          <cell r="O265" t="str">
            <v>$1223</v>
          </cell>
          <cell r="P265" t="str">
            <v>$1223</v>
          </cell>
          <cell r="Q265">
            <v>45601</v>
          </cell>
          <cell r="R265" t="str">
            <v>Chennai</v>
          </cell>
          <cell r="S265" t="str">
            <v>Tablet</v>
          </cell>
          <cell r="T265" t="str">
            <v>online data analytic</v>
          </cell>
        </row>
        <row r="266">
          <cell r="A266" t="str">
            <v>A1264</v>
          </cell>
          <cell r="B266" t="str">
            <v>Data Analytics Course</v>
          </cell>
          <cell r="C266">
            <v>170</v>
          </cell>
          <cell r="D266">
            <v>170</v>
          </cell>
          <cell r="E266">
            <v>3124</v>
          </cell>
          <cell r="F266">
            <v>3124</v>
          </cell>
          <cell r="G266" t="str">
            <v>$234.92</v>
          </cell>
          <cell r="H266" t="str">
            <v>$234.92</v>
          </cell>
          <cell r="I266">
            <v>17</v>
          </cell>
          <cell r="J266">
            <v>17</v>
          </cell>
          <cell r="K266">
            <v>3</v>
          </cell>
          <cell r="L266">
            <v>3</v>
          </cell>
          <cell r="M266">
            <v>1.7647058823529412E-2</v>
          </cell>
          <cell r="N266">
            <v>1.7999999999999999E-2</v>
          </cell>
          <cell r="O266" t="str">
            <v>$1232</v>
          </cell>
          <cell r="P266" t="str">
            <v>$1232</v>
          </cell>
          <cell r="Q266">
            <v>45607</v>
          </cell>
          <cell r="R266" t="str">
            <v>Bangaluru</v>
          </cell>
          <cell r="S266" t="str">
            <v>Desktop</v>
          </cell>
          <cell r="T266" t="str">
            <v>data analytics training</v>
          </cell>
        </row>
        <row r="267">
          <cell r="A267" t="str">
            <v>A1265</v>
          </cell>
          <cell r="B267" t="str">
            <v>Data Analytics Course</v>
          </cell>
          <cell r="C267">
            <v>114</v>
          </cell>
          <cell r="D267">
            <v>114</v>
          </cell>
          <cell r="E267">
            <v>5017</v>
          </cell>
          <cell r="F267">
            <v>5017</v>
          </cell>
          <cell r="G267" t="str">
            <v>$242.62</v>
          </cell>
          <cell r="H267" t="str">
            <v>$242.62</v>
          </cell>
          <cell r="I267">
            <v>11</v>
          </cell>
          <cell r="J267">
            <v>11</v>
          </cell>
          <cell r="K267">
            <v>6</v>
          </cell>
          <cell r="L267">
            <v>6</v>
          </cell>
          <cell r="M267">
            <v>5.2631578947368418E-2</v>
          </cell>
          <cell r="N267">
            <v>5.2999999999999999E-2</v>
          </cell>
          <cell r="O267" t="str">
            <v>$1303</v>
          </cell>
          <cell r="P267" t="str">
            <v>$1303</v>
          </cell>
          <cell r="Q267">
            <v>45613</v>
          </cell>
          <cell r="R267" t="str">
            <v>Bangaluru</v>
          </cell>
          <cell r="S267" t="str">
            <v>Mobile</v>
          </cell>
          <cell r="T267" t="str">
            <v>data analytics online</v>
          </cell>
        </row>
        <row r="268">
          <cell r="A268" t="str">
            <v>A1266</v>
          </cell>
          <cell r="B268" t="str">
            <v>Data Analytics Course</v>
          </cell>
          <cell r="C268">
            <v>186</v>
          </cell>
          <cell r="D268">
            <v>186</v>
          </cell>
          <cell r="E268">
            <v>3424</v>
          </cell>
          <cell r="F268">
            <v>3424</v>
          </cell>
          <cell r="G268" t="str">
            <v>$201.81</v>
          </cell>
          <cell r="H268" t="str">
            <v>$201.81</v>
          </cell>
          <cell r="I268">
            <v>27</v>
          </cell>
          <cell r="J268">
            <v>27</v>
          </cell>
          <cell r="K268">
            <v>3</v>
          </cell>
          <cell r="L268">
            <v>3</v>
          </cell>
          <cell r="M268">
            <v>1.6129032258064516E-2</v>
          </cell>
          <cell r="N268">
            <v>1.6E-2</v>
          </cell>
          <cell r="O268" t="str">
            <v>$1337</v>
          </cell>
          <cell r="P268" t="str">
            <v>$1337</v>
          </cell>
          <cell r="Q268">
            <v>45622</v>
          </cell>
          <cell r="R268" t="str">
            <v>Bangaluru</v>
          </cell>
          <cell r="S268" t="str">
            <v>Desktop</v>
          </cell>
          <cell r="T268" t="str">
            <v>data analytics training</v>
          </cell>
        </row>
        <row r="269">
          <cell r="A269" t="str">
            <v>A1267</v>
          </cell>
          <cell r="B269" t="str">
            <v>Data Analytcis Course</v>
          </cell>
          <cell r="C269">
            <v>120</v>
          </cell>
          <cell r="D269">
            <v>120</v>
          </cell>
          <cell r="E269">
            <v>4060</v>
          </cell>
          <cell r="F269">
            <v>4060</v>
          </cell>
          <cell r="G269" t="str">
            <v>$210.95</v>
          </cell>
          <cell r="H269" t="str">
            <v>$210.95</v>
          </cell>
          <cell r="I269">
            <v>24</v>
          </cell>
          <cell r="J269">
            <v>24</v>
          </cell>
          <cell r="K269">
            <v>9</v>
          </cell>
          <cell r="L269">
            <v>9</v>
          </cell>
          <cell r="M269">
            <v>7.4999999999999997E-2</v>
          </cell>
          <cell r="N269">
            <v>7.4999999999999997E-2</v>
          </cell>
          <cell r="O269" t="str">
            <v>$1376</v>
          </cell>
          <cell r="P269" t="str">
            <v>$1376</v>
          </cell>
          <cell r="Q269">
            <v>45601</v>
          </cell>
          <cell r="R269" t="str">
            <v>Bangaluru</v>
          </cell>
          <cell r="S269" t="str">
            <v>Tablet</v>
          </cell>
          <cell r="T269" t="str">
            <v>data analytics online</v>
          </cell>
        </row>
        <row r="270">
          <cell r="A270" t="str">
            <v>A1268</v>
          </cell>
          <cell r="B270" t="str">
            <v>Data Analytcis Course</v>
          </cell>
          <cell r="C270">
            <v>130</v>
          </cell>
          <cell r="D270">
            <v>130</v>
          </cell>
          <cell r="E270">
            <v>5688</v>
          </cell>
          <cell r="F270">
            <v>5688</v>
          </cell>
          <cell r="G270" t="str">
            <v>$212.05</v>
          </cell>
          <cell r="H270" t="str">
            <v>$212.05</v>
          </cell>
          <cell r="I270">
            <v>21</v>
          </cell>
          <cell r="J270">
            <v>21</v>
          </cell>
          <cell r="K270">
            <v>5</v>
          </cell>
          <cell r="L270">
            <v>5</v>
          </cell>
          <cell r="M270">
            <v>3.8461538461538464E-2</v>
          </cell>
          <cell r="N270">
            <v>3.7999999999999999E-2</v>
          </cell>
          <cell r="O270" t="str">
            <v>$1454</v>
          </cell>
          <cell r="P270" t="str">
            <v>$1454</v>
          </cell>
          <cell r="Q270">
            <v>45613</v>
          </cell>
          <cell r="R270" t="str">
            <v>Chennai</v>
          </cell>
          <cell r="S270" t="str">
            <v>Desktop</v>
          </cell>
          <cell r="T270" t="str">
            <v>learn data analytics</v>
          </cell>
        </row>
        <row r="271">
          <cell r="A271" t="str">
            <v>A1269</v>
          </cell>
          <cell r="B271" t="str">
            <v>Data Analytics Course</v>
          </cell>
          <cell r="C271">
            <v>178</v>
          </cell>
          <cell r="D271">
            <v>178</v>
          </cell>
          <cell r="E271">
            <v>5029</v>
          </cell>
          <cell r="F271">
            <v>5029</v>
          </cell>
          <cell r="G271" t="str">
            <v>$189.79</v>
          </cell>
          <cell r="H271" t="str">
            <v>$189.79</v>
          </cell>
          <cell r="I271">
            <v>25</v>
          </cell>
          <cell r="J271">
            <v>25</v>
          </cell>
          <cell r="K271">
            <v>8</v>
          </cell>
          <cell r="L271">
            <v>8</v>
          </cell>
          <cell r="M271">
            <v>4.49438202247191E-2</v>
          </cell>
          <cell r="N271">
            <v>4.4999999999999998E-2</v>
          </cell>
          <cell r="O271" t="str">
            <v>$1510</v>
          </cell>
          <cell r="P271" t="str">
            <v>$1510</v>
          </cell>
          <cell r="Q271">
            <v>45605</v>
          </cell>
          <cell r="R271" t="str">
            <v>Hyderabad</v>
          </cell>
          <cell r="S271" t="str">
            <v>Desktop</v>
          </cell>
          <cell r="T271" t="str">
            <v>data analytics training</v>
          </cell>
        </row>
        <row r="272">
          <cell r="A272" t="str">
            <v>A1270</v>
          </cell>
          <cell r="B272" t="str">
            <v>Data Analytics Course</v>
          </cell>
          <cell r="C272">
            <v>196</v>
          </cell>
          <cell r="D272">
            <v>196</v>
          </cell>
          <cell r="E272">
            <v>5476</v>
          </cell>
          <cell r="F272">
            <v>5476</v>
          </cell>
          <cell r="G272" t="str">
            <v>$204.63</v>
          </cell>
          <cell r="H272" t="str">
            <v>$204.63</v>
          </cell>
          <cell r="I272">
            <v>19</v>
          </cell>
          <cell r="J272">
            <v>19</v>
          </cell>
          <cell r="K272">
            <v>4</v>
          </cell>
          <cell r="L272">
            <v>4</v>
          </cell>
          <cell r="M272">
            <v>2.0408163265306121E-2</v>
          </cell>
          <cell r="N272">
            <v>0.02</v>
          </cell>
          <cell r="O272" t="str">
            <v>$1288</v>
          </cell>
          <cell r="P272" t="str">
            <v>$1288</v>
          </cell>
          <cell r="Q272">
            <v>45622</v>
          </cell>
          <cell r="R272" t="str">
            <v>Hyderabad</v>
          </cell>
          <cell r="S272" t="str">
            <v>Desktop</v>
          </cell>
          <cell r="T272" t="str">
            <v>data analytics training</v>
          </cell>
        </row>
        <row r="273">
          <cell r="A273" t="str">
            <v>A1271</v>
          </cell>
          <cell r="B273" t="str">
            <v>Data Analytcis Course</v>
          </cell>
          <cell r="C273">
            <v>110</v>
          </cell>
          <cell r="D273">
            <v>110</v>
          </cell>
          <cell r="E273">
            <v>5000</v>
          </cell>
          <cell r="F273">
            <v>5000</v>
          </cell>
          <cell r="G273" t="str">
            <v>$197.89</v>
          </cell>
          <cell r="H273" t="str">
            <v>$197.89</v>
          </cell>
          <cell r="I273">
            <v>18</v>
          </cell>
          <cell r="J273">
            <v>18</v>
          </cell>
          <cell r="K273">
            <v>3</v>
          </cell>
          <cell r="L273">
            <v>3</v>
          </cell>
          <cell r="M273">
            <v>2.7272727272727271E-2</v>
          </cell>
          <cell r="N273">
            <v>2.7E-2</v>
          </cell>
          <cell r="O273" t="str">
            <v>$1110</v>
          </cell>
          <cell r="P273" t="str">
            <v>$1110</v>
          </cell>
          <cell r="Q273">
            <v>45608</v>
          </cell>
          <cell r="R273" t="str">
            <v>Hyderabad</v>
          </cell>
          <cell r="S273" t="str">
            <v>Desktop</v>
          </cell>
          <cell r="T273" t="str">
            <v>online data analytic</v>
          </cell>
        </row>
        <row r="274">
          <cell r="A274" t="str">
            <v>A1272</v>
          </cell>
          <cell r="B274" t="str">
            <v>Data Analytcis Course</v>
          </cell>
          <cell r="C274">
            <v>95</v>
          </cell>
          <cell r="D274">
            <v>95</v>
          </cell>
          <cell r="E274">
            <v>4141</v>
          </cell>
          <cell r="F274">
            <v>4141</v>
          </cell>
          <cell r="G274" t="str">
            <v>$207.14</v>
          </cell>
          <cell r="H274" t="str">
            <v>$207.14</v>
          </cell>
          <cell r="I274">
            <v>22</v>
          </cell>
          <cell r="J274">
            <v>22</v>
          </cell>
          <cell r="K274">
            <v>3</v>
          </cell>
          <cell r="L274">
            <v>3</v>
          </cell>
          <cell r="M274">
            <v>3.1578947368421054E-2</v>
          </cell>
          <cell r="N274">
            <v>5.3999999999999999E-2</v>
          </cell>
          <cell r="O274" t="str">
            <v>$1929</v>
          </cell>
          <cell r="P274" t="str">
            <v>$1929</v>
          </cell>
          <cell r="Q274">
            <v>45607</v>
          </cell>
          <cell r="R274" t="str">
            <v>Hyderabad</v>
          </cell>
          <cell r="S274" t="str">
            <v>Tablet</v>
          </cell>
          <cell r="T274" t="str">
            <v>learn data analytics</v>
          </cell>
        </row>
        <row r="275">
          <cell r="A275" t="str">
            <v>A1273</v>
          </cell>
          <cell r="B275" t="str">
            <v>Data Analytics Course</v>
          </cell>
          <cell r="C275">
            <v>183</v>
          </cell>
          <cell r="D275">
            <v>183</v>
          </cell>
          <cell r="E275">
            <v>4791</v>
          </cell>
          <cell r="F275">
            <v>4791</v>
          </cell>
          <cell r="G275" t="str">
            <v>$232.97</v>
          </cell>
          <cell r="H275" t="str">
            <v>$232.97</v>
          </cell>
          <cell r="I275">
            <v>27</v>
          </cell>
          <cell r="J275">
            <v>27</v>
          </cell>
          <cell r="K275">
            <v>5</v>
          </cell>
          <cell r="L275">
            <v>5</v>
          </cell>
          <cell r="M275">
            <v>2.7322404371584699E-2</v>
          </cell>
          <cell r="O275" t="str">
            <v>$1476</v>
          </cell>
          <cell r="P275" t="str">
            <v>$1476</v>
          </cell>
          <cell r="Q275">
            <v>45617</v>
          </cell>
          <cell r="R275" t="str">
            <v>Bangaluru</v>
          </cell>
          <cell r="S275" t="str">
            <v>Desktop</v>
          </cell>
          <cell r="T275" t="str">
            <v>data analytics online</v>
          </cell>
        </row>
        <row r="276">
          <cell r="A276" t="str">
            <v>A1274</v>
          </cell>
          <cell r="B276" t="str">
            <v>Data Analytics Course</v>
          </cell>
          <cell r="C276">
            <v>100</v>
          </cell>
          <cell r="D276">
            <v>100</v>
          </cell>
          <cell r="E276">
            <v>4168</v>
          </cell>
          <cell r="F276">
            <v>4168</v>
          </cell>
          <cell r="G276" t="str">
            <v>$193.6</v>
          </cell>
          <cell r="H276" t="str">
            <v>$193.6</v>
          </cell>
          <cell r="I276">
            <v>30</v>
          </cell>
          <cell r="J276">
            <v>30</v>
          </cell>
          <cell r="K276">
            <v>3</v>
          </cell>
          <cell r="L276">
            <v>3</v>
          </cell>
          <cell r="M276">
            <v>0.03</v>
          </cell>
          <cell r="N276">
            <v>0.03</v>
          </cell>
          <cell r="O276" t="str">
            <v>$1692</v>
          </cell>
          <cell r="P276" t="str">
            <v>$1692</v>
          </cell>
          <cell r="Q276">
            <v>45621</v>
          </cell>
          <cell r="R276" t="str">
            <v>Hyderabad</v>
          </cell>
          <cell r="S276" t="str">
            <v>Desktop</v>
          </cell>
          <cell r="T276" t="str">
            <v>online data analytic</v>
          </cell>
        </row>
        <row r="277">
          <cell r="A277" t="str">
            <v>A1275</v>
          </cell>
          <cell r="B277" t="str">
            <v>Data Analytcis Course</v>
          </cell>
          <cell r="C277">
            <v>187</v>
          </cell>
          <cell r="D277">
            <v>187</v>
          </cell>
          <cell r="E277">
            <v>3741</v>
          </cell>
          <cell r="F277">
            <v>3741</v>
          </cell>
          <cell r="G277" t="str">
            <v>$226.11</v>
          </cell>
          <cell r="H277" t="str">
            <v>$226.11</v>
          </cell>
          <cell r="I277">
            <v>27</v>
          </cell>
          <cell r="J277">
            <v>27</v>
          </cell>
          <cell r="K277">
            <v>10</v>
          </cell>
          <cell r="L277">
            <v>10</v>
          </cell>
          <cell r="M277">
            <v>5.3475935828877004E-2</v>
          </cell>
          <cell r="N277">
            <v>5.2999999999999999E-2</v>
          </cell>
          <cell r="O277" t="str">
            <v>$1342</v>
          </cell>
          <cell r="P277" t="str">
            <v>$1342</v>
          </cell>
          <cell r="Q277">
            <v>45610</v>
          </cell>
          <cell r="R277" t="str">
            <v>Chennai</v>
          </cell>
          <cell r="S277" t="str">
            <v>Tablet</v>
          </cell>
          <cell r="T277" t="str">
            <v>learn data analytics</v>
          </cell>
        </row>
        <row r="278">
          <cell r="A278" t="str">
            <v>A1276</v>
          </cell>
          <cell r="B278" t="str">
            <v>Data Analytcis Course</v>
          </cell>
          <cell r="C278">
            <v>90</v>
          </cell>
          <cell r="D278">
            <v>90</v>
          </cell>
          <cell r="E278">
            <v>3577</v>
          </cell>
          <cell r="F278">
            <v>3577</v>
          </cell>
          <cell r="G278" t="str">
            <v>$233.54</v>
          </cell>
          <cell r="H278" t="str">
            <v>$233.54</v>
          </cell>
          <cell r="I278">
            <v>24</v>
          </cell>
          <cell r="J278">
            <v>24</v>
          </cell>
          <cell r="K278">
            <v>5</v>
          </cell>
          <cell r="L278">
            <v>5</v>
          </cell>
          <cell r="M278">
            <v>5.5555555555555552E-2</v>
          </cell>
          <cell r="N278">
            <v>5.1999999999999998E-2</v>
          </cell>
          <cell r="O278" t="str">
            <v>$1175</v>
          </cell>
          <cell r="P278" t="str">
            <v>$1175</v>
          </cell>
          <cell r="Q278">
            <v>45610</v>
          </cell>
          <cell r="R278" t="str">
            <v>Hyderabad</v>
          </cell>
          <cell r="S278" t="str">
            <v>Tablet</v>
          </cell>
          <cell r="T278" t="str">
            <v>analytics for data</v>
          </cell>
        </row>
        <row r="279">
          <cell r="A279" t="str">
            <v>A1277</v>
          </cell>
          <cell r="B279" t="str">
            <v>Data Analytics Course</v>
          </cell>
          <cell r="C279">
            <v>148</v>
          </cell>
          <cell r="D279">
            <v>148</v>
          </cell>
          <cell r="E279">
            <v>4469</v>
          </cell>
          <cell r="F279">
            <v>4469</v>
          </cell>
          <cell r="G279" t="str">
            <v>$209.76</v>
          </cell>
          <cell r="H279" t="str">
            <v>$209.76</v>
          </cell>
          <cell r="I279">
            <v>25</v>
          </cell>
          <cell r="J279">
            <v>25</v>
          </cell>
          <cell r="K279">
            <v>8</v>
          </cell>
          <cell r="L279">
            <v>8</v>
          </cell>
          <cell r="M279">
            <v>5.4054054054054057E-2</v>
          </cell>
          <cell r="N279">
            <v>5.3999999999999999E-2</v>
          </cell>
          <cell r="O279" t="str">
            <v>$1500</v>
          </cell>
          <cell r="Q279">
            <v>45621</v>
          </cell>
          <cell r="R279" t="str">
            <v>Chennai</v>
          </cell>
          <cell r="S279" t="str">
            <v>Tablet</v>
          </cell>
          <cell r="T279" t="str">
            <v>data analytics course</v>
          </cell>
        </row>
        <row r="280">
          <cell r="A280" t="str">
            <v>A1278</v>
          </cell>
          <cell r="B280" t="str">
            <v>Data Analytcis Course</v>
          </cell>
          <cell r="C280">
            <v>129</v>
          </cell>
          <cell r="D280">
            <v>129</v>
          </cell>
          <cell r="E280">
            <v>3611</v>
          </cell>
          <cell r="F280">
            <v>3611</v>
          </cell>
          <cell r="G280" t="str">
            <v>$227.82</v>
          </cell>
          <cell r="H280" t="str">
            <v>$227.82</v>
          </cell>
          <cell r="I280">
            <v>11</v>
          </cell>
          <cell r="J280">
            <v>11</v>
          </cell>
          <cell r="K280">
            <v>7</v>
          </cell>
          <cell r="L280">
            <v>7</v>
          </cell>
          <cell r="M280">
            <v>5.4263565891472867E-2</v>
          </cell>
          <cell r="N280">
            <v>5.3999999999999999E-2</v>
          </cell>
          <cell r="O280" t="str">
            <v>$1250</v>
          </cell>
          <cell r="P280" t="str">
            <v>$1250</v>
          </cell>
          <cell r="Q280">
            <v>45618</v>
          </cell>
          <cell r="R280" t="str">
            <v>Hyderabad</v>
          </cell>
          <cell r="S280" t="str">
            <v>Tablet</v>
          </cell>
          <cell r="T280" t="str">
            <v>data analytics training</v>
          </cell>
        </row>
        <row r="281">
          <cell r="A281" t="str">
            <v>A1279</v>
          </cell>
          <cell r="B281" t="str">
            <v>Data Analytcis Course</v>
          </cell>
          <cell r="C281">
            <v>120</v>
          </cell>
          <cell r="D281">
            <v>120</v>
          </cell>
          <cell r="E281">
            <v>3947</v>
          </cell>
          <cell r="F281">
            <v>3947</v>
          </cell>
          <cell r="G281" t="str">
            <v>$193.49</v>
          </cell>
          <cell r="H281" t="str">
            <v>$193.49</v>
          </cell>
          <cell r="I281">
            <v>15</v>
          </cell>
          <cell r="J281">
            <v>15</v>
          </cell>
          <cell r="K281">
            <v>6</v>
          </cell>
          <cell r="L281">
            <v>6</v>
          </cell>
          <cell r="M281">
            <v>0.05</v>
          </cell>
          <cell r="N281">
            <v>0.05</v>
          </cell>
          <cell r="O281" t="str">
            <v>$1305</v>
          </cell>
          <cell r="P281" t="str">
            <v>$1305</v>
          </cell>
          <cell r="Q281">
            <v>45608</v>
          </cell>
          <cell r="R281" t="str">
            <v>Bangaluru</v>
          </cell>
          <cell r="S281" t="str">
            <v>Mobile</v>
          </cell>
          <cell r="T281" t="str">
            <v>data analytics training</v>
          </cell>
        </row>
        <row r="282">
          <cell r="A282" t="str">
            <v>A1280</v>
          </cell>
          <cell r="B282" t="str">
            <v>Data Analytcis Course</v>
          </cell>
          <cell r="C282">
            <v>82</v>
          </cell>
          <cell r="D282">
            <v>82</v>
          </cell>
          <cell r="E282">
            <v>4239</v>
          </cell>
          <cell r="F282">
            <v>4239</v>
          </cell>
          <cell r="G282" t="str">
            <v>$191.75</v>
          </cell>
          <cell r="H282" t="str">
            <v>$191.75</v>
          </cell>
          <cell r="I282">
            <v>23</v>
          </cell>
          <cell r="J282">
            <v>23</v>
          </cell>
          <cell r="K282">
            <v>8</v>
          </cell>
          <cell r="L282">
            <v>8</v>
          </cell>
          <cell r="M282">
            <v>9.7560975609756101E-2</v>
          </cell>
          <cell r="O282" t="str">
            <v>$1062</v>
          </cell>
          <cell r="P282" t="str">
            <v>$1062</v>
          </cell>
          <cell r="Q282">
            <v>45618</v>
          </cell>
          <cell r="R282" t="str">
            <v>Chennai</v>
          </cell>
          <cell r="S282" t="str">
            <v>Mobile</v>
          </cell>
          <cell r="T282" t="str">
            <v>learn data analytics</v>
          </cell>
        </row>
        <row r="283">
          <cell r="A283" t="str">
            <v>A1281</v>
          </cell>
          <cell r="B283" t="str">
            <v>Data Analytics Course</v>
          </cell>
          <cell r="C283">
            <v>145</v>
          </cell>
          <cell r="D283">
            <v>145</v>
          </cell>
          <cell r="E283">
            <v>5973</v>
          </cell>
          <cell r="F283">
            <v>5973</v>
          </cell>
          <cell r="G283" t="str">
            <v>$242.16</v>
          </cell>
          <cell r="H283" t="str">
            <v>$242.16</v>
          </cell>
          <cell r="I283">
            <v>12</v>
          </cell>
          <cell r="J283">
            <v>12</v>
          </cell>
          <cell r="K283">
            <v>7</v>
          </cell>
          <cell r="L283">
            <v>7</v>
          </cell>
          <cell r="M283">
            <v>4.8275862068965517E-2</v>
          </cell>
          <cell r="N283">
            <v>4.8000000000000001E-2</v>
          </cell>
          <cell r="O283" t="str">
            <v>$1508</v>
          </cell>
          <cell r="P283" t="str">
            <v>$1508</v>
          </cell>
          <cell r="Q283">
            <v>45610</v>
          </cell>
          <cell r="R283" t="str">
            <v>Hyderabad</v>
          </cell>
          <cell r="S283" t="str">
            <v>Tablet</v>
          </cell>
          <cell r="T283" t="str">
            <v>online data analytic</v>
          </cell>
        </row>
        <row r="284">
          <cell r="A284" t="str">
            <v>A1282</v>
          </cell>
          <cell r="B284" t="str">
            <v>Data Analytics Course</v>
          </cell>
          <cell r="C284">
            <v>190</v>
          </cell>
          <cell r="D284">
            <v>190</v>
          </cell>
          <cell r="E284">
            <v>4525</v>
          </cell>
          <cell r="F284">
            <v>4525</v>
          </cell>
          <cell r="G284" t="str">
            <v>$188.85</v>
          </cell>
          <cell r="H284" t="str">
            <v>$188.85</v>
          </cell>
          <cell r="I284">
            <v>10</v>
          </cell>
          <cell r="J284">
            <v>10</v>
          </cell>
          <cell r="K284">
            <v>5</v>
          </cell>
          <cell r="L284">
            <v>5</v>
          </cell>
          <cell r="M284">
            <v>2.6315789473684209E-2</v>
          </cell>
          <cell r="N284">
            <v>2.5999999999999999E-2</v>
          </cell>
          <cell r="O284" t="str">
            <v>$1875</v>
          </cell>
          <cell r="P284" t="str">
            <v>$1875</v>
          </cell>
          <cell r="Q284">
            <v>45597</v>
          </cell>
          <cell r="R284" t="str">
            <v>Chennai</v>
          </cell>
          <cell r="S284" t="str">
            <v>Tablet</v>
          </cell>
          <cell r="T284" t="str">
            <v>data analytics training</v>
          </cell>
        </row>
        <row r="285">
          <cell r="A285" t="str">
            <v>A1283</v>
          </cell>
          <cell r="B285" t="str">
            <v>Data Analytics Course</v>
          </cell>
          <cell r="C285">
            <v>137</v>
          </cell>
          <cell r="D285">
            <v>137</v>
          </cell>
          <cell r="E285">
            <v>4395</v>
          </cell>
          <cell r="F285">
            <v>4395</v>
          </cell>
          <cell r="G285" t="str">
            <v>$241.58</v>
          </cell>
          <cell r="H285" t="str">
            <v>$241.58</v>
          </cell>
          <cell r="I285">
            <v>24</v>
          </cell>
          <cell r="J285">
            <v>24</v>
          </cell>
          <cell r="K285">
            <v>4</v>
          </cell>
          <cell r="L285">
            <v>4</v>
          </cell>
          <cell r="M285">
            <v>2.9197080291970802E-2</v>
          </cell>
          <cell r="N285">
            <v>4.2999999999999997E-2</v>
          </cell>
          <cell r="O285" t="str">
            <v>$1512</v>
          </cell>
          <cell r="P285" t="str">
            <v>$1512</v>
          </cell>
          <cell r="Q285">
            <v>45602</v>
          </cell>
          <cell r="R285" t="str">
            <v>Hyderabad</v>
          </cell>
          <cell r="S285" t="str">
            <v>Desktop</v>
          </cell>
          <cell r="T285" t="str">
            <v>online data analytic</v>
          </cell>
        </row>
        <row r="286">
          <cell r="A286" t="str">
            <v>A1284</v>
          </cell>
          <cell r="B286" t="str">
            <v>Data Analytics Course</v>
          </cell>
          <cell r="C286">
            <v>157</v>
          </cell>
          <cell r="D286">
            <v>157</v>
          </cell>
          <cell r="E286">
            <v>3047</v>
          </cell>
          <cell r="F286">
            <v>3047</v>
          </cell>
          <cell r="G286" t="str">
            <v>$222.66</v>
          </cell>
          <cell r="H286" t="str">
            <v>$222.66</v>
          </cell>
          <cell r="I286">
            <v>19</v>
          </cell>
          <cell r="J286">
            <v>19</v>
          </cell>
          <cell r="K286">
            <v>3</v>
          </cell>
          <cell r="L286">
            <v>3</v>
          </cell>
          <cell r="M286">
            <v>1.9108280254777069E-2</v>
          </cell>
          <cell r="N286">
            <v>1.9E-2</v>
          </cell>
          <cell r="O286" t="str">
            <v>$1964</v>
          </cell>
          <cell r="P286" t="str">
            <v>$1964</v>
          </cell>
          <cell r="Q286">
            <v>45597</v>
          </cell>
          <cell r="R286" t="str">
            <v>Bangaluru</v>
          </cell>
          <cell r="S286" t="str">
            <v>Mobile</v>
          </cell>
          <cell r="T286" t="str">
            <v>data analytics online</v>
          </cell>
        </row>
        <row r="287">
          <cell r="A287" t="str">
            <v>A1285</v>
          </cell>
          <cell r="B287" t="str">
            <v>Data Analytics Course</v>
          </cell>
          <cell r="C287">
            <v>105</v>
          </cell>
          <cell r="D287">
            <v>105</v>
          </cell>
          <cell r="E287">
            <v>5348</v>
          </cell>
          <cell r="F287">
            <v>5348</v>
          </cell>
          <cell r="G287" t="str">
            <v>$226.1</v>
          </cell>
          <cell r="H287" t="str">
            <v>$226.1</v>
          </cell>
          <cell r="I287">
            <v>27</v>
          </cell>
          <cell r="J287">
            <v>27</v>
          </cell>
          <cell r="K287">
            <v>5</v>
          </cell>
          <cell r="L287">
            <v>5</v>
          </cell>
          <cell r="M287">
            <v>4.7619047619047616E-2</v>
          </cell>
          <cell r="N287">
            <v>4.8000000000000001E-2</v>
          </cell>
          <cell r="O287" t="str">
            <v>$1003</v>
          </cell>
          <cell r="P287" t="str">
            <v>$1003</v>
          </cell>
          <cell r="Q287">
            <v>45608</v>
          </cell>
          <cell r="R287" t="str">
            <v>Hyderabad</v>
          </cell>
          <cell r="S287" t="str">
            <v>Tablet</v>
          </cell>
          <cell r="T287" t="str">
            <v>learn data analytics</v>
          </cell>
        </row>
        <row r="288">
          <cell r="A288" t="str">
            <v>A1286</v>
          </cell>
          <cell r="B288" t="str">
            <v>Data Analytics Course</v>
          </cell>
          <cell r="C288">
            <v>149</v>
          </cell>
          <cell r="D288">
            <v>149</v>
          </cell>
          <cell r="E288">
            <v>3101</v>
          </cell>
          <cell r="F288">
            <v>3101</v>
          </cell>
          <cell r="G288" t="str">
            <v>$231.44</v>
          </cell>
          <cell r="H288" t="str">
            <v>$231.44</v>
          </cell>
          <cell r="I288">
            <v>15</v>
          </cell>
          <cell r="J288">
            <v>15</v>
          </cell>
          <cell r="K288">
            <v>9</v>
          </cell>
          <cell r="L288">
            <v>9</v>
          </cell>
          <cell r="M288">
            <v>6.0402684563758392E-2</v>
          </cell>
          <cell r="N288">
            <v>0.06</v>
          </cell>
          <cell r="O288" t="str">
            <v>$1126</v>
          </cell>
          <cell r="P288" t="str">
            <v>$1126</v>
          </cell>
          <cell r="Q288">
            <v>45602</v>
          </cell>
          <cell r="R288" t="str">
            <v>Hyderabad</v>
          </cell>
          <cell r="S288" t="str">
            <v>Tablet</v>
          </cell>
          <cell r="T288" t="str">
            <v>data analytics training</v>
          </cell>
        </row>
        <row r="289">
          <cell r="A289" t="str">
            <v>A1287</v>
          </cell>
          <cell r="B289" t="str">
            <v>Data Analytics Course</v>
          </cell>
          <cell r="C289">
            <v>159</v>
          </cell>
          <cell r="D289">
            <v>159</v>
          </cell>
          <cell r="E289">
            <v>3693</v>
          </cell>
          <cell r="F289">
            <v>3693</v>
          </cell>
          <cell r="G289" t="str">
            <v>$187.09</v>
          </cell>
          <cell r="H289" t="str">
            <v>$187.09</v>
          </cell>
          <cell r="I289">
            <v>24</v>
          </cell>
          <cell r="J289">
            <v>24</v>
          </cell>
          <cell r="K289">
            <v>6</v>
          </cell>
          <cell r="L289">
            <v>6</v>
          </cell>
          <cell r="M289">
            <v>3.7735849056603772E-2</v>
          </cell>
          <cell r="N289">
            <v>3.7999999999999999E-2</v>
          </cell>
          <cell r="O289" t="str">
            <v>$1256</v>
          </cell>
          <cell r="P289" t="str">
            <v>$1256</v>
          </cell>
          <cell r="Q289">
            <v>45620</v>
          </cell>
          <cell r="R289" t="str">
            <v>Hyderabad</v>
          </cell>
          <cell r="S289" t="str">
            <v>Desktop</v>
          </cell>
          <cell r="T289" t="str">
            <v>learn data analytics</v>
          </cell>
        </row>
        <row r="290">
          <cell r="A290" t="str">
            <v>A1288</v>
          </cell>
          <cell r="B290" t="str">
            <v>Data Analytics Course</v>
          </cell>
          <cell r="C290">
            <v>150</v>
          </cell>
          <cell r="D290">
            <v>150</v>
          </cell>
          <cell r="E290">
            <v>5590</v>
          </cell>
          <cell r="F290">
            <v>5590</v>
          </cell>
          <cell r="G290" t="str">
            <v>$200.00</v>
          </cell>
          <cell r="I290">
            <v>20</v>
          </cell>
          <cell r="J290">
            <v>20</v>
          </cell>
          <cell r="K290">
            <v>8</v>
          </cell>
          <cell r="L290">
            <v>8</v>
          </cell>
          <cell r="M290">
            <v>5.3333333333333337E-2</v>
          </cell>
          <cell r="O290" t="str">
            <v>$1286</v>
          </cell>
          <cell r="P290" t="str">
            <v>$1286</v>
          </cell>
          <cell r="Q290">
            <v>45598</v>
          </cell>
          <cell r="R290" t="str">
            <v>Bangaluru</v>
          </cell>
          <cell r="S290" t="str">
            <v>Mobile</v>
          </cell>
          <cell r="T290" t="str">
            <v>data analytics course</v>
          </cell>
        </row>
        <row r="291">
          <cell r="A291" t="str">
            <v>A1289</v>
          </cell>
          <cell r="B291" t="str">
            <v>Data Analytics Course</v>
          </cell>
          <cell r="C291">
            <v>138.95699356913184</v>
          </cell>
          <cell r="E291">
            <v>5277</v>
          </cell>
          <cell r="F291">
            <v>5277</v>
          </cell>
          <cell r="G291" t="str">
            <v>$227.46</v>
          </cell>
          <cell r="H291" t="str">
            <v>$227.46</v>
          </cell>
          <cell r="I291">
            <v>10</v>
          </cell>
          <cell r="J291">
            <v>10</v>
          </cell>
          <cell r="K291">
            <v>5</v>
          </cell>
          <cell r="L291">
            <v>5</v>
          </cell>
          <cell r="M291">
            <v>3.5982355918721523E-2</v>
          </cell>
          <cell r="O291" t="str">
            <v>$1541</v>
          </cell>
          <cell r="P291" t="str">
            <v>$1541</v>
          </cell>
          <cell r="Q291">
            <v>45611</v>
          </cell>
          <cell r="R291" t="str">
            <v>Hyderabad</v>
          </cell>
          <cell r="S291" t="str">
            <v>Tablet</v>
          </cell>
          <cell r="T291" t="str">
            <v>data analytics online</v>
          </cell>
        </row>
        <row r="292">
          <cell r="A292" t="str">
            <v>A1290</v>
          </cell>
          <cell r="B292" t="str">
            <v>Data Analytics Course</v>
          </cell>
          <cell r="C292">
            <v>98</v>
          </cell>
          <cell r="D292">
            <v>98</v>
          </cell>
          <cell r="E292">
            <v>4653</v>
          </cell>
          <cell r="F292">
            <v>4653</v>
          </cell>
          <cell r="G292" t="str">
            <v>$205.84</v>
          </cell>
          <cell r="H292" t="str">
            <v>$205.84</v>
          </cell>
          <cell r="I292">
            <v>29</v>
          </cell>
          <cell r="J292">
            <v>29</v>
          </cell>
          <cell r="K292">
            <v>5</v>
          </cell>
          <cell r="L292">
            <v>5</v>
          </cell>
          <cell r="M292">
            <v>5.1020408163265307E-2</v>
          </cell>
          <cell r="N292">
            <v>5.0999999999999997E-2</v>
          </cell>
          <cell r="O292" t="str">
            <v>$1866</v>
          </cell>
          <cell r="P292" t="str">
            <v>$1866</v>
          </cell>
          <cell r="Q292">
            <v>45598</v>
          </cell>
          <cell r="R292" t="str">
            <v>Chennai</v>
          </cell>
          <cell r="S292" t="str">
            <v>Mobile</v>
          </cell>
          <cell r="T292" t="str">
            <v>data analytics online</v>
          </cell>
        </row>
        <row r="293">
          <cell r="A293" t="str">
            <v>A1291</v>
          </cell>
          <cell r="B293" t="str">
            <v>Data Analytics Course</v>
          </cell>
          <cell r="C293">
            <v>86</v>
          </cell>
          <cell r="D293">
            <v>86</v>
          </cell>
          <cell r="E293">
            <v>3513</v>
          </cell>
          <cell r="F293">
            <v>3513</v>
          </cell>
          <cell r="G293" t="str">
            <v>$211.16</v>
          </cell>
          <cell r="H293" t="str">
            <v>$211.16</v>
          </cell>
          <cell r="I293">
            <v>22</v>
          </cell>
          <cell r="J293">
            <v>22</v>
          </cell>
          <cell r="K293">
            <v>7</v>
          </cell>
          <cell r="L293">
            <v>7</v>
          </cell>
          <cell r="M293">
            <v>8.1395348837209308E-2</v>
          </cell>
          <cell r="O293" t="str">
            <v>$1917</v>
          </cell>
          <cell r="P293" t="str">
            <v>$1917</v>
          </cell>
          <cell r="Q293">
            <v>45606</v>
          </cell>
          <cell r="R293" t="str">
            <v>Hyderabad</v>
          </cell>
          <cell r="S293" t="str">
            <v>Desktop</v>
          </cell>
          <cell r="T293" t="str">
            <v>data analytics course</v>
          </cell>
        </row>
        <row r="294">
          <cell r="A294" t="str">
            <v>A1292</v>
          </cell>
          <cell r="B294" t="str">
            <v>Data Analytics Course</v>
          </cell>
          <cell r="C294">
            <v>128</v>
          </cell>
          <cell r="D294">
            <v>128</v>
          </cell>
          <cell r="E294">
            <v>5772</v>
          </cell>
          <cell r="F294">
            <v>5772</v>
          </cell>
          <cell r="G294" t="str">
            <v>$235.54</v>
          </cell>
          <cell r="H294" t="str">
            <v>$235.54</v>
          </cell>
          <cell r="I294">
            <v>20</v>
          </cell>
          <cell r="J294">
            <v>20</v>
          </cell>
          <cell r="K294">
            <v>10</v>
          </cell>
          <cell r="L294">
            <v>10</v>
          </cell>
          <cell r="M294">
            <v>7.8125E-2</v>
          </cell>
          <cell r="N294">
            <v>7.8E-2</v>
          </cell>
          <cell r="O294" t="str">
            <v>$1215</v>
          </cell>
          <cell r="P294" t="str">
            <v>$1215</v>
          </cell>
          <cell r="Q294">
            <v>45600</v>
          </cell>
          <cell r="R294" t="str">
            <v>Hyderabad</v>
          </cell>
          <cell r="S294" t="str">
            <v>Desktop</v>
          </cell>
          <cell r="T294" t="str">
            <v>data analytics training</v>
          </cell>
        </row>
        <row r="295">
          <cell r="A295" t="str">
            <v>A1293</v>
          </cell>
          <cell r="B295" t="str">
            <v>Data Analytics Course</v>
          </cell>
          <cell r="C295">
            <v>105</v>
          </cell>
          <cell r="D295">
            <v>105</v>
          </cell>
          <cell r="E295">
            <v>5840</v>
          </cell>
          <cell r="F295">
            <v>5840</v>
          </cell>
          <cell r="G295" t="str">
            <v>$236.56</v>
          </cell>
          <cell r="H295" t="str">
            <v>$236.56</v>
          </cell>
          <cell r="I295">
            <v>22</v>
          </cell>
          <cell r="J295">
            <v>22</v>
          </cell>
          <cell r="K295">
            <v>8</v>
          </cell>
          <cell r="L295">
            <v>8</v>
          </cell>
          <cell r="M295">
            <v>7.6190476190476197E-2</v>
          </cell>
          <cell r="N295">
            <v>4.7E-2</v>
          </cell>
          <cell r="O295" t="str">
            <v>$1811</v>
          </cell>
          <cell r="P295" t="str">
            <v>$1811</v>
          </cell>
          <cell r="Q295">
            <v>45620</v>
          </cell>
          <cell r="R295" t="str">
            <v>Bangaluru</v>
          </cell>
          <cell r="S295" t="str">
            <v>Tablet</v>
          </cell>
          <cell r="T295" t="str">
            <v>data analytics course</v>
          </cell>
        </row>
        <row r="296">
          <cell r="A296" t="str">
            <v>A1294</v>
          </cell>
          <cell r="B296" t="str">
            <v>Data Analytics Course</v>
          </cell>
          <cell r="C296">
            <v>90</v>
          </cell>
          <cell r="D296">
            <v>90</v>
          </cell>
          <cell r="E296">
            <v>4523.2808326787117</v>
          </cell>
          <cell r="G296" t="str">
            <v>$249.0</v>
          </cell>
          <cell r="H296" t="str">
            <v>$249.0</v>
          </cell>
          <cell r="I296">
            <v>21</v>
          </cell>
          <cell r="J296">
            <v>21</v>
          </cell>
          <cell r="K296">
            <v>10</v>
          </cell>
          <cell r="L296">
            <v>10</v>
          </cell>
          <cell r="M296">
            <v>0.1111111111111111</v>
          </cell>
          <cell r="O296" t="str">
            <v>$1245</v>
          </cell>
          <cell r="P296" t="str">
            <v>$1245</v>
          </cell>
          <cell r="Q296">
            <v>45615</v>
          </cell>
          <cell r="R296" t="str">
            <v>Hyderabad</v>
          </cell>
          <cell r="S296" t="str">
            <v>Mobile</v>
          </cell>
          <cell r="T296" t="str">
            <v>data analytics course</v>
          </cell>
        </row>
        <row r="297">
          <cell r="A297" t="str">
            <v>A1295</v>
          </cell>
          <cell r="B297" t="str">
            <v>Data Analytics Course</v>
          </cell>
          <cell r="C297">
            <v>89</v>
          </cell>
          <cell r="D297">
            <v>89</v>
          </cell>
          <cell r="E297">
            <v>5158</v>
          </cell>
          <cell r="F297">
            <v>5158</v>
          </cell>
          <cell r="G297" t="str">
            <v>$211.76</v>
          </cell>
          <cell r="H297" t="str">
            <v>$211.76</v>
          </cell>
          <cell r="I297">
            <v>20</v>
          </cell>
          <cell r="J297">
            <v>20</v>
          </cell>
          <cell r="K297">
            <v>5</v>
          </cell>
          <cell r="L297">
            <v>5</v>
          </cell>
          <cell r="M297">
            <v>5.6179775280898875E-2</v>
          </cell>
          <cell r="N297">
            <v>5.6000000000000001E-2</v>
          </cell>
          <cell r="O297" t="str">
            <v>$1119</v>
          </cell>
          <cell r="P297" t="str">
            <v>$1119</v>
          </cell>
          <cell r="Q297">
            <v>45617</v>
          </cell>
          <cell r="R297" t="str">
            <v>Hyderabad</v>
          </cell>
          <cell r="S297" t="str">
            <v>Desktop</v>
          </cell>
          <cell r="T297" t="str">
            <v>online data analytic</v>
          </cell>
        </row>
        <row r="298">
          <cell r="A298" t="str">
            <v>A1296</v>
          </cell>
          <cell r="B298" t="str">
            <v>Data Analytics Course</v>
          </cell>
          <cell r="C298">
            <v>119</v>
          </cell>
          <cell r="D298">
            <v>119</v>
          </cell>
          <cell r="E298">
            <v>3489</v>
          </cell>
          <cell r="F298">
            <v>3489</v>
          </cell>
          <cell r="G298" t="str">
            <v>$194.36</v>
          </cell>
          <cell r="H298" t="str">
            <v>$194.36</v>
          </cell>
          <cell r="I298">
            <v>14</v>
          </cell>
          <cell r="J298">
            <v>14</v>
          </cell>
          <cell r="K298">
            <v>3</v>
          </cell>
          <cell r="L298">
            <v>3</v>
          </cell>
          <cell r="M298">
            <v>2.5210084033613446E-2</v>
          </cell>
          <cell r="N298">
            <v>5.5E-2</v>
          </cell>
          <cell r="O298" t="str">
            <v>$1633</v>
          </cell>
          <cell r="P298" t="str">
            <v>$1633</v>
          </cell>
          <cell r="Q298">
            <v>45606</v>
          </cell>
          <cell r="R298" t="str">
            <v>Hyderabad</v>
          </cell>
          <cell r="S298" t="str">
            <v>Mobile</v>
          </cell>
          <cell r="T298" t="str">
            <v>data analytics course</v>
          </cell>
        </row>
        <row r="299">
          <cell r="A299" t="str">
            <v>A1297</v>
          </cell>
          <cell r="B299" t="str">
            <v>Data Analytics Course</v>
          </cell>
          <cell r="C299">
            <v>173</v>
          </cell>
          <cell r="D299">
            <v>173</v>
          </cell>
          <cell r="E299">
            <v>3977</v>
          </cell>
          <cell r="F299">
            <v>3977</v>
          </cell>
          <cell r="G299" t="str">
            <v>$229.82</v>
          </cell>
          <cell r="H299" t="str">
            <v>$229.82</v>
          </cell>
          <cell r="I299">
            <v>30</v>
          </cell>
          <cell r="J299">
            <v>30</v>
          </cell>
          <cell r="K299">
            <v>5</v>
          </cell>
          <cell r="L299">
            <v>5</v>
          </cell>
          <cell r="M299">
            <v>2.8901734104046242E-2</v>
          </cell>
          <cell r="N299">
            <v>3.6999999999999998E-2</v>
          </cell>
          <cell r="O299" t="str">
            <v>$1584</v>
          </cell>
          <cell r="P299" t="str">
            <v>$1584</v>
          </cell>
          <cell r="Q299">
            <v>45618</v>
          </cell>
          <cell r="R299" t="str">
            <v>Hyderabad</v>
          </cell>
          <cell r="S299" t="str">
            <v>Desktop</v>
          </cell>
          <cell r="T299" t="str">
            <v>learn data analytics</v>
          </cell>
        </row>
        <row r="300">
          <cell r="A300" t="str">
            <v>A1298</v>
          </cell>
          <cell r="B300" t="str">
            <v>Data Analytics Course</v>
          </cell>
          <cell r="C300">
            <v>95</v>
          </cell>
          <cell r="D300">
            <v>95</v>
          </cell>
          <cell r="E300">
            <v>3397</v>
          </cell>
          <cell r="F300">
            <v>3397</v>
          </cell>
          <cell r="G300" t="str">
            <v>$181.89</v>
          </cell>
          <cell r="H300" t="str">
            <v>$181.89</v>
          </cell>
          <cell r="I300">
            <v>19.951727192205492</v>
          </cell>
          <cell r="K300">
            <v>7</v>
          </cell>
          <cell r="L300">
            <v>7</v>
          </cell>
          <cell r="M300">
            <v>7.3684210526315783E-2</v>
          </cell>
          <cell r="N300">
            <v>7.3999999999999996E-2</v>
          </cell>
          <cell r="O300" t="str">
            <v>$1560</v>
          </cell>
          <cell r="P300" t="str">
            <v>$1560</v>
          </cell>
          <cell r="Q300">
            <v>45623</v>
          </cell>
          <cell r="R300" t="str">
            <v>Hyderabad</v>
          </cell>
          <cell r="S300" t="str">
            <v>Tablet</v>
          </cell>
          <cell r="T300" t="str">
            <v>data analytics course</v>
          </cell>
        </row>
        <row r="301">
          <cell r="A301" t="str">
            <v>A1299</v>
          </cell>
          <cell r="B301" t="str">
            <v>Data Analytics Course</v>
          </cell>
          <cell r="C301">
            <v>112</v>
          </cell>
          <cell r="D301">
            <v>112</v>
          </cell>
          <cell r="E301">
            <v>5194</v>
          </cell>
          <cell r="F301">
            <v>5194</v>
          </cell>
          <cell r="G301" t="str">
            <v>$245.97</v>
          </cell>
          <cell r="H301" t="str">
            <v>$245.97</v>
          </cell>
          <cell r="I301">
            <v>10</v>
          </cell>
          <cell r="J301">
            <v>10</v>
          </cell>
          <cell r="K301">
            <v>5</v>
          </cell>
          <cell r="L301">
            <v>5</v>
          </cell>
          <cell r="M301">
            <v>4.4642857142857144E-2</v>
          </cell>
          <cell r="N301">
            <v>4.4999999999999998E-2</v>
          </cell>
          <cell r="O301" t="str">
            <v>$1016</v>
          </cell>
          <cell r="P301" t="str">
            <v>$1016</v>
          </cell>
          <cell r="Q301">
            <v>45617</v>
          </cell>
          <cell r="R301" t="str">
            <v>Bangaluru</v>
          </cell>
          <cell r="S301" t="str">
            <v>Tablet</v>
          </cell>
          <cell r="T301" t="str">
            <v>data analytics training</v>
          </cell>
        </row>
        <row r="302">
          <cell r="A302" t="str">
            <v>A1300</v>
          </cell>
          <cell r="B302" t="str">
            <v>Data Analytcis Course</v>
          </cell>
          <cell r="C302">
            <v>134</v>
          </cell>
          <cell r="D302">
            <v>134</v>
          </cell>
          <cell r="E302">
            <v>3007</v>
          </cell>
          <cell r="F302">
            <v>3007</v>
          </cell>
          <cell r="G302" t="str">
            <v>$217.53</v>
          </cell>
          <cell r="H302" t="str">
            <v>$217.53</v>
          </cell>
          <cell r="I302">
            <v>10</v>
          </cell>
          <cell r="J302">
            <v>10</v>
          </cell>
          <cell r="K302">
            <v>5</v>
          </cell>
          <cell r="L302">
            <v>5</v>
          </cell>
          <cell r="M302">
            <v>3.7313432835820892E-2</v>
          </cell>
          <cell r="N302">
            <v>3.6999999999999998E-2</v>
          </cell>
          <cell r="O302" t="str">
            <v>$1371</v>
          </cell>
          <cell r="P302" t="str">
            <v>$1371</v>
          </cell>
          <cell r="Q302">
            <v>45626</v>
          </cell>
          <cell r="R302" t="str">
            <v>Bangaluru</v>
          </cell>
          <cell r="S302" t="str">
            <v>Mobile</v>
          </cell>
          <cell r="T302" t="str">
            <v>data analytics training</v>
          </cell>
        </row>
        <row r="303">
          <cell r="A303" t="str">
            <v>A1301</v>
          </cell>
          <cell r="B303" t="str">
            <v>Data Analytcis Course</v>
          </cell>
          <cell r="C303">
            <v>113</v>
          </cell>
          <cell r="D303">
            <v>113</v>
          </cell>
          <cell r="E303">
            <v>5721</v>
          </cell>
          <cell r="F303">
            <v>5721</v>
          </cell>
          <cell r="G303" t="str">
            <v>$216.7</v>
          </cell>
          <cell r="H303" t="str">
            <v>$216.7</v>
          </cell>
          <cell r="I303">
            <v>11</v>
          </cell>
          <cell r="J303">
            <v>11</v>
          </cell>
          <cell r="K303">
            <v>6</v>
          </cell>
          <cell r="L303">
            <v>6</v>
          </cell>
          <cell r="M303">
            <v>5.3097345132743362E-2</v>
          </cell>
          <cell r="N303">
            <v>5.2999999999999999E-2</v>
          </cell>
          <cell r="O303" t="str">
            <v>$1743</v>
          </cell>
          <cell r="P303" t="str">
            <v>$1743</v>
          </cell>
          <cell r="Q303">
            <v>45613</v>
          </cell>
          <cell r="R303" t="str">
            <v>Chennai</v>
          </cell>
          <cell r="S303" t="str">
            <v>Desktop</v>
          </cell>
          <cell r="T303" t="str">
            <v>data analytics training</v>
          </cell>
        </row>
        <row r="304">
          <cell r="A304" t="str">
            <v>A1302</v>
          </cell>
          <cell r="B304" t="str">
            <v>Data Analytics Course</v>
          </cell>
          <cell r="C304">
            <v>157</v>
          </cell>
          <cell r="D304">
            <v>157</v>
          </cell>
          <cell r="E304">
            <v>3546</v>
          </cell>
          <cell r="F304">
            <v>3546</v>
          </cell>
          <cell r="G304" t="str">
            <v>$189.11</v>
          </cell>
          <cell r="H304" t="str">
            <v>$189.11</v>
          </cell>
          <cell r="I304">
            <v>16</v>
          </cell>
          <cell r="J304">
            <v>16</v>
          </cell>
          <cell r="K304">
            <v>5</v>
          </cell>
          <cell r="L304">
            <v>5</v>
          </cell>
          <cell r="M304">
            <v>3.1847133757961783E-2</v>
          </cell>
          <cell r="N304">
            <v>3.2000000000000001E-2</v>
          </cell>
          <cell r="O304" t="str">
            <v>$1333</v>
          </cell>
          <cell r="P304" t="str">
            <v>$1333</v>
          </cell>
          <cell r="Q304">
            <v>45624</v>
          </cell>
          <cell r="R304" t="str">
            <v>Bangaluru</v>
          </cell>
          <cell r="S304" t="str">
            <v>Mobile</v>
          </cell>
          <cell r="T304" t="str">
            <v>data analytics online</v>
          </cell>
        </row>
        <row r="305">
          <cell r="A305" t="str">
            <v>A1303</v>
          </cell>
          <cell r="B305" t="str">
            <v>Data Analytics Course</v>
          </cell>
          <cell r="C305">
            <v>105</v>
          </cell>
          <cell r="D305">
            <v>105</v>
          </cell>
          <cell r="E305">
            <v>3670</v>
          </cell>
          <cell r="F305">
            <v>3670</v>
          </cell>
          <cell r="G305" t="str">
            <v>$245.85</v>
          </cell>
          <cell r="H305" t="str">
            <v>$245.85</v>
          </cell>
          <cell r="I305">
            <v>24</v>
          </cell>
          <cell r="J305">
            <v>24</v>
          </cell>
          <cell r="K305">
            <v>9</v>
          </cell>
          <cell r="L305">
            <v>9</v>
          </cell>
          <cell r="M305">
            <v>8.5714285714285715E-2</v>
          </cell>
          <cell r="O305" t="str">
            <v>$1653</v>
          </cell>
          <cell r="P305" t="str">
            <v>$1653</v>
          </cell>
          <cell r="Q305">
            <v>45620</v>
          </cell>
          <cell r="R305" t="str">
            <v>Bangaluru</v>
          </cell>
          <cell r="S305" t="str">
            <v>Tablet</v>
          </cell>
          <cell r="T305" t="str">
            <v>data analytics course</v>
          </cell>
        </row>
        <row r="306">
          <cell r="A306" t="str">
            <v>A1304</v>
          </cell>
          <cell r="B306" t="str">
            <v>Data Analytics Course</v>
          </cell>
          <cell r="C306">
            <v>162</v>
          </cell>
          <cell r="D306">
            <v>162</v>
          </cell>
          <cell r="E306">
            <v>5915</v>
          </cell>
          <cell r="F306">
            <v>5915</v>
          </cell>
          <cell r="G306" t="str">
            <v>$211.96</v>
          </cell>
          <cell r="H306" t="str">
            <v>$211.96</v>
          </cell>
          <cell r="I306">
            <v>11</v>
          </cell>
          <cell r="J306">
            <v>11</v>
          </cell>
          <cell r="K306">
            <v>6.4813650651100136</v>
          </cell>
          <cell r="M306">
            <v>4.0008426327839589E-2</v>
          </cell>
          <cell r="O306" t="str">
            <v>$1394</v>
          </cell>
          <cell r="P306" t="str">
            <v>$1394</v>
          </cell>
          <cell r="Q306">
            <v>45616</v>
          </cell>
          <cell r="R306" t="str">
            <v>Hyderabad</v>
          </cell>
          <cell r="S306" t="str">
            <v>Tablet</v>
          </cell>
          <cell r="T306" t="str">
            <v>analytics for data</v>
          </cell>
        </row>
        <row r="307">
          <cell r="A307" t="str">
            <v>A1305</v>
          </cell>
          <cell r="B307" t="str">
            <v>Data Analytcis Course</v>
          </cell>
          <cell r="C307">
            <v>138.95699356913184</v>
          </cell>
          <cell r="E307">
            <v>4450</v>
          </cell>
          <cell r="F307">
            <v>4450</v>
          </cell>
          <cell r="G307" t="str">
            <v>$219.21</v>
          </cell>
          <cell r="H307" t="str">
            <v>$219.21</v>
          </cell>
          <cell r="I307">
            <v>16</v>
          </cell>
          <cell r="J307">
            <v>16</v>
          </cell>
          <cell r="K307">
            <v>10</v>
          </cell>
          <cell r="L307">
            <v>10</v>
          </cell>
          <cell r="M307">
            <v>7.1964711837443046E-2</v>
          </cell>
          <cell r="N307">
            <v>5.6000000000000001E-2</v>
          </cell>
          <cell r="O307" t="str">
            <v>$1917</v>
          </cell>
          <cell r="P307" t="str">
            <v>$1917</v>
          </cell>
          <cell r="Q307">
            <v>45606</v>
          </cell>
          <cell r="R307" t="str">
            <v>Hyderabad</v>
          </cell>
          <cell r="S307" t="str">
            <v>Mobile</v>
          </cell>
          <cell r="T307" t="str">
            <v>learn data analytics</v>
          </cell>
        </row>
        <row r="308">
          <cell r="A308" t="str">
            <v>A1306</v>
          </cell>
          <cell r="B308" t="str">
            <v>Data Analytics Course</v>
          </cell>
          <cell r="C308">
            <v>136</v>
          </cell>
          <cell r="D308">
            <v>136</v>
          </cell>
          <cell r="E308">
            <v>5782</v>
          </cell>
          <cell r="F308">
            <v>5782</v>
          </cell>
          <cell r="G308" t="str">
            <v>$189.65</v>
          </cell>
          <cell r="H308" t="str">
            <v>$189.65</v>
          </cell>
          <cell r="I308">
            <v>23</v>
          </cell>
          <cell r="J308">
            <v>23</v>
          </cell>
          <cell r="K308">
            <v>6</v>
          </cell>
          <cell r="L308">
            <v>6</v>
          </cell>
          <cell r="M308">
            <v>4.4117647058823532E-2</v>
          </cell>
          <cell r="N308">
            <v>4.3999999999999997E-2</v>
          </cell>
          <cell r="O308" t="str">
            <v>$1951</v>
          </cell>
          <cell r="P308" t="str">
            <v>$1951</v>
          </cell>
          <cell r="Q308">
            <v>45607</v>
          </cell>
          <cell r="R308" t="str">
            <v>Hyderabad</v>
          </cell>
          <cell r="S308" t="str">
            <v>Tablet</v>
          </cell>
          <cell r="T308" t="str">
            <v>data analytics training</v>
          </cell>
        </row>
        <row r="309">
          <cell r="A309" t="str">
            <v>A1307</v>
          </cell>
          <cell r="B309" t="str">
            <v>Data Analytics Course</v>
          </cell>
          <cell r="C309">
            <v>192</v>
          </cell>
          <cell r="D309">
            <v>192</v>
          </cell>
          <cell r="E309">
            <v>4339</v>
          </cell>
          <cell r="F309">
            <v>4339</v>
          </cell>
          <cell r="G309" t="str">
            <v>$245.57</v>
          </cell>
          <cell r="H309" t="str">
            <v>$245.57</v>
          </cell>
          <cell r="I309">
            <v>24</v>
          </cell>
          <cell r="J309">
            <v>24</v>
          </cell>
          <cell r="K309">
            <v>8</v>
          </cell>
          <cell r="L309">
            <v>8</v>
          </cell>
          <cell r="M309">
            <v>4.1666666666666664E-2</v>
          </cell>
          <cell r="N309">
            <v>4.7E-2</v>
          </cell>
          <cell r="O309" t="str">
            <v>$1284</v>
          </cell>
          <cell r="P309" t="str">
            <v>$1284</v>
          </cell>
          <cell r="Q309">
            <v>45614</v>
          </cell>
          <cell r="R309" t="str">
            <v>Hyderabad</v>
          </cell>
          <cell r="S309" t="str">
            <v>Mobile</v>
          </cell>
          <cell r="T309" t="str">
            <v>learn data analytics</v>
          </cell>
        </row>
        <row r="310">
          <cell r="A310" t="str">
            <v>A1308</v>
          </cell>
          <cell r="B310" t="str">
            <v>Data Analytics Course</v>
          </cell>
          <cell r="C310">
            <v>147</v>
          </cell>
          <cell r="D310">
            <v>147</v>
          </cell>
          <cell r="E310">
            <v>5870</v>
          </cell>
          <cell r="F310">
            <v>5870</v>
          </cell>
          <cell r="G310" t="str">
            <v>$200.00</v>
          </cell>
          <cell r="I310">
            <v>14</v>
          </cell>
          <cell r="J310">
            <v>14</v>
          </cell>
          <cell r="K310">
            <v>8</v>
          </cell>
          <cell r="L310">
            <v>8</v>
          </cell>
          <cell r="M310">
            <v>5.4421768707482991E-2</v>
          </cell>
          <cell r="N310">
            <v>5.3999999999999999E-2</v>
          </cell>
          <cell r="O310" t="str">
            <v>$1748</v>
          </cell>
          <cell r="P310" t="str">
            <v>$1748</v>
          </cell>
          <cell r="Q310">
            <v>45598</v>
          </cell>
          <cell r="R310" t="str">
            <v>Hyderabad</v>
          </cell>
          <cell r="S310" t="str">
            <v>Mobile</v>
          </cell>
          <cell r="T310" t="str">
            <v>data analytics training</v>
          </cell>
        </row>
        <row r="311">
          <cell r="A311" t="str">
            <v>A1309</v>
          </cell>
          <cell r="B311" t="str">
            <v>Data Analytics Course</v>
          </cell>
          <cell r="C311">
            <v>164</v>
          </cell>
          <cell r="D311">
            <v>164</v>
          </cell>
          <cell r="E311">
            <v>5662</v>
          </cell>
          <cell r="F311">
            <v>5662</v>
          </cell>
          <cell r="G311" t="str">
            <v>$186.41</v>
          </cell>
          <cell r="H311" t="str">
            <v>$186.41</v>
          </cell>
          <cell r="I311">
            <v>11</v>
          </cell>
          <cell r="J311">
            <v>11</v>
          </cell>
          <cell r="K311">
            <v>9</v>
          </cell>
          <cell r="L311">
            <v>9</v>
          </cell>
          <cell r="M311">
            <v>5.4878048780487805E-2</v>
          </cell>
          <cell r="N311">
            <v>5.5E-2</v>
          </cell>
          <cell r="O311" t="str">
            <v>$1020</v>
          </cell>
          <cell r="P311" t="str">
            <v>$1020</v>
          </cell>
          <cell r="Q311">
            <v>45613</v>
          </cell>
          <cell r="R311" t="str">
            <v>Bangaluru</v>
          </cell>
          <cell r="S311" t="str">
            <v>Tablet</v>
          </cell>
          <cell r="T311" t="str">
            <v>data analytics course</v>
          </cell>
        </row>
        <row r="312">
          <cell r="A312" t="str">
            <v>A1310</v>
          </cell>
          <cell r="B312" t="str">
            <v>Data Analytics Course</v>
          </cell>
          <cell r="C312">
            <v>192</v>
          </cell>
          <cell r="D312">
            <v>192</v>
          </cell>
          <cell r="E312">
            <v>5130</v>
          </cell>
          <cell r="F312">
            <v>5130</v>
          </cell>
          <cell r="G312" t="str">
            <v>$184.63</v>
          </cell>
          <cell r="H312" t="str">
            <v>$184.63</v>
          </cell>
          <cell r="I312">
            <v>19</v>
          </cell>
          <cell r="J312">
            <v>19</v>
          </cell>
          <cell r="K312">
            <v>4</v>
          </cell>
          <cell r="L312">
            <v>4</v>
          </cell>
          <cell r="M312">
            <v>2.0833333333333332E-2</v>
          </cell>
          <cell r="O312" t="str">
            <v>$1087</v>
          </cell>
          <cell r="P312" t="str">
            <v>$1087</v>
          </cell>
          <cell r="Q312">
            <v>45603</v>
          </cell>
          <cell r="R312" t="str">
            <v>Hyderabad</v>
          </cell>
          <cell r="S312" t="str">
            <v>Desktop</v>
          </cell>
          <cell r="T312" t="str">
            <v>data analytics course</v>
          </cell>
        </row>
        <row r="313">
          <cell r="A313" t="str">
            <v>A1311</v>
          </cell>
          <cell r="B313" t="str">
            <v>Data Analytcis Course</v>
          </cell>
          <cell r="C313">
            <v>139</v>
          </cell>
          <cell r="D313">
            <v>139</v>
          </cell>
          <cell r="E313">
            <v>4608</v>
          </cell>
          <cell r="F313">
            <v>4608</v>
          </cell>
          <cell r="G313" t="str">
            <v>$224.99</v>
          </cell>
          <cell r="H313" t="str">
            <v>$224.99</v>
          </cell>
          <cell r="I313">
            <v>12</v>
          </cell>
          <cell r="J313">
            <v>12</v>
          </cell>
          <cell r="K313">
            <v>8</v>
          </cell>
          <cell r="L313">
            <v>8</v>
          </cell>
          <cell r="M313">
            <v>5.7553956834532377E-2</v>
          </cell>
          <cell r="O313" t="str">
            <v>$1095</v>
          </cell>
          <cell r="P313" t="str">
            <v>$1095</v>
          </cell>
          <cell r="Q313">
            <v>45608</v>
          </cell>
          <cell r="R313" t="str">
            <v>Chennai</v>
          </cell>
          <cell r="S313" t="str">
            <v>Desktop</v>
          </cell>
          <cell r="T313" t="str">
            <v>data analytics training</v>
          </cell>
        </row>
        <row r="314">
          <cell r="A314" t="str">
            <v>A1312</v>
          </cell>
          <cell r="B314" t="str">
            <v>Data Analytics Course</v>
          </cell>
          <cell r="C314">
            <v>199</v>
          </cell>
          <cell r="D314">
            <v>199</v>
          </cell>
          <cell r="E314">
            <v>5290</v>
          </cell>
          <cell r="F314">
            <v>5290</v>
          </cell>
          <cell r="G314" t="str">
            <v>$218.55</v>
          </cell>
          <cell r="H314" t="str">
            <v>$218.55</v>
          </cell>
          <cell r="I314">
            <v>20</v>
          </cell>
          <cell r="J314">
            <v>20</v>
          </cell>
          <cell r="K314">
            <v>7</v>
          </cell>
          <cell r="L314">
            <v>7</v>
          </cell>
          <cell r="M314">
            <v>3.5175879396984924E-2</v>
          </cell>
          <cell r="N314">
            <v>3.5000000000000003E-2</v>
          </cell>
          <cell r="O314" t="str">
            <v>$1234</v>
          </cell>
          <cell r="P314" t="str">
            <v>$1234</v>
          </cell>
          <cell r="Q314">
            <v>45626</v>
          </cell>
          <cell r="R314" t="str">
            <v>Hyderabad</v>
          </cell>
          <cell r="S314" t="str">
            <v>Tablet</v>
          </cell>
          <cell r="T314" t="str">
            <v>learn data analytics</v>
          </cell>
        </row>
        <row r="315">
          <cell r="A315" t="str">
            <v>A1313</v>
          </cell>
          <cell r="B315" t="str">
            <v>Data Analytcis Course</v>
          </cell>
          <cell r="C315">
            <v>82</v>
          </cell>
          <cell r="D315">
            <v>82</v>
          </cell>
          <cell r="E315">
            <v>4961</v>
          </cell>
          <cell r="F315">
            <v>4961</v>
          </cell>
          <cell r="G315" t="str">
            <v>$220.29</v>
          </cell>
          <cell r="H315" t="str">
            <v>$220.29</v>
          </cell>
          <cell r="I315">
            <v>27</v>
          </cell>
          <cell r="J315">
            <v>27</v>
          </cell>
          <cell r="K315">
            <v>7</v>
          </cell>
          <cell r="L315">
            <v>7</v>
          </cell>
          <cell r="M315">
            <v>8.5365853658536592E-2</v>
          </cell>
          <cell r="N315">
            <v>5.8999999999999997E-2</v>
          </cell>
          <cell r="O315" t="str">
            <v>$1149</v>
          </cell>
          <cell r="P315" t="str">
            <v>$1149</v>
          </cell>
          <cell r="Q315">
            <v>45598</v>
          </cell>
          <cell r="R315" t="str">
            <v>Hyderabad</v>
          </cell>
          <cell r="S315" t="str">
            <v>Tablet</v>
          </cell>
          <cell r="T315" t="str">
            <v>data analytics course</v>
          </cell>
        </row>
        <row r="316">
          <cell r="A316" t="str">
            <v>A1314</v>
          </cell>
          <cell r="B316" t="str">
            <v>Data Analytics Course</v>
          </cell>
          <cell r="C316">
            <v>175</v>
          </cell>
          <cell r="D316">
            <v>175</v>
          </cell>
          <cell r="E316">
            <v>4347</v>
          </cell>
          <cell r="F316">
            <v>4347</v>
          </cell>
          <cell r="G316" t="str">
            <v>$242.06</v>
          </cell>
          <cell r="H316" t="str">
            <v>$242.06</v>
          </cell>
          <cell r="I316">
            <v>17</v>
          </cell>
          <cell r="J316">
            <v>17</v>
          </cell>
          <cell r="K316">
            <v>3</v>
          </cell>
          <cell r="L316">
            <v>3</v>
          </cell>
          <cell r="M316">
            <v>1.7142857142857144E-2</v>
          </cell>
          <cell r="N316">
            <v>1.7000000000000001E-2</v>
          </cell>
          <cell r="O316" t="str">
            <v>$1617</v>
          </cell>
          <cell r="P316" t="str">
            <v>$1617</v>
          </cell>
          <cell r="Q316">
            <v>45618</v>
          </cell>
          <cell r="R316" t="str">
            <v>Hyderabad</v>
          </cell>
          <cell r="S316" t="str">
            <v>Desktop</v>
          </cell>
          <cell r="T316" t="str">
            <v>data analytics training</v>
          </cell>
        </row>
        <row r="317">
          <cell r="A317" t="str">
            <v>A1315</v>
          </cell>
          <cell r="B317" t="str">
            <v>Data Analytics Course</v>
          </cell>
          <cell r="C317">
            <v>181</v>
          </cell>
          <cell r="D317">
            <v>181</v>
          </cell>
          <cell r="E317">
            <v>5664</v>
          </cell>
          <cell r="F317">
            <v>5664</v>
          </cell>
          <cell r="G317" t="str">
            <v>$204.74</v>
          </cell>
          <cell r="H317" t="str">
            <v>$204.74</v>
          </cell>
          <cell r="I317">
            <v>22</v>
          </cell>
          <cell r="J317">
            <v>22</v>
          </cell>
          <cell r="K317">
            <v>5</v>
          </cell>
          <cell r="L317">
            <v>5</v>
          </cell>
          <cell r="M317">
            <v>2.7624309392265192E-2</v>
          </cell>
          <cell r="N317">
            <v>2.8000000000000001E-2</v>
          </cell>
          <cell r="O317" t="str">
            <v>$1719</v>
          </cell>
          <cell r="P317" t="str">
            <v>$1719</v>
          </cell>
          <cell r="Q317">
            <v>45618</v>
          </cell>
          <cell r="R317" t="str">
            <v>Hyderabad</v>
          </cell>
          <cell r="S317" t="str">
            <v>Desktop</v>
          </cell>
          <cell r="T317" t="str">
            <v>data analytics course</v>
          </cell>
        </row>
        <row r="318">
          <cell r="A318" t="str">
            <v>A1316</v>
          </cell>
          <cell r="B318" t="str">
            <v>Data Analytics Course</v>
          </cell>
          <cell r="C318">
            <v>146</v>
          </cell>
          <cell r="D318">
            <v>146</v>
          </cell>
          <cell r="E318">
            <v>3757</v>
          </cell>
          <cell r="F318">
            <v>3757</v>
          </cell>
          <cell r="G318" t="str">
            <v>$192.59</v>
          </cell>
          <cell r="H318" t="str">
            <v>$192.59</v>
          </cell>
          <cell r="I318">
            <v>25</v>
          </cell>
          <cell r="J318">
            <v>25</v>
          </cell>
          <cell r="K318">
            <v>9</v>
          </cell>
          <cell r="L318">
            <v>9</v>
          </cell>
          <cell r="M318">
            <v>6.1643835616438353E-2</v>
          </cell>
          <cell r="O318" t="str">
            <v>$1169</v>
          </cell>
          <cell r="P318" t="str">
            <v>$1169</v>
          </cell>
          <cell r="Q318">
            <v>45605</v>
          </cell>
          <cell r="R318" t="str">
            <v>Hyderabad</v>
          </cell>
          <cell r="S318" t="str">
            <v>Desktop</v>
          </cell>
          <cell r="T318" t="str">
            <v>online data analytic</v>
          </cell>
        </row>
        <row r="319">
          <cell r="A319" t="str">
            <v>A1317</v>
          </cell>
          <cell r="B319" t="str">
            <v>Data Analytcis Course</v>
          </cell>
          <cell r="C319">
            <v>192</v>
          </cell>
          <cell r="D319">
            <v>192</v>
          </cell>
          <cell r="E319">
            <v>4225</v>
          </cell>
          <cell r="F319">
            <v>4225</v>
          </cell>
          <cell r="G319" t="str">
            <v>$242.0</v>
          </cell>
          <cell r="H319" t="str">
            <v>$242.0</v>
          </cell>
          <cell r="I319">
            <v>24</v>
          </cell>
          <cell r="J319">
            <v>24</v>
          </cell>
          <cell r="K319">
            <v>6</v>
          </cell>
          <cell r="L319">
            <v>6</v>
          </cell>
          <cell r="M319">
            <v>3.125E-2</v>
          </cell>
          <cell r="N319">
            <v>3.1E-2</v>
          </cell>
          <cell r="O319" t="str">
            <v>$1032</v>
          </cell>
          <cell r="P319" t="str">
            <v>$1032</v>
          </cell>
          <cell r="Q319">
            <v>45597</v>
          </cell>
          <cell r="R319" t="str">
            <v>Bangaluru</v>
          </cell>
          <cell r="S319" t="str">
            <v>Mobile</v>
          </cell>
          <cell r="T319" t="str">
            <v>data analytics online</v>
          </cell>
        </row>
        <row r="320">
          <cell r="A320" t="str">
            <v>A1318</v>
          </cell>
          <cell r="B320" t="str">
            <v>Data Analytics Course</v>
          </cell>
          <cell r="C320">
            <v>149</v>
          </cell>
          <cell r="D320">
            <v>149</v>
          </cell>
          <cell r="E320">
            <v>3410</v>
          </cell>
          <cell r="F320">
            <v>3410</v>
          </cell>
          <cell r="G320" t="str">
            <v>$181.12</v>
          </cell>
          <cell r="H320" t="str">
            <v>$181.12</v>
          </cell>
          <cell r="I320">
            <v>20</v>
          </cell>
          <cell r="J320">
            <v>20</v>
          </cell>
          <cell r="K320">
            <v>4</v>
          </cell>
          <cell r="L320">
            <v>4</v>
          </cell>
          <cell r="M320">
            <v>2.6845637583892617E-2</v>
          </cell>
          <cell r="N320">
            <v>3.3000000000000002E-2</v>
          </cell>
          <cell r="O320" t="str">
            <v>$1806</v>
          </cell>
          <cell r="P320" t="str">
            <v>$1806</v>
          </cell>
          <cell r="Q320">
            <v>45613</v>
          </cell>
          <cell r="R320" t="str">
            <v>Chennai</v>
          </cell>
          <cell r="S320" t="str">
            <v>Desktop</v>
          </cell>
          <cell r="T320" t="str">
            <v>learn data analytics</v>
          </cell>
        </row>
        <row r="321">
          <cell r="A321" t="str">
            <v>A1319</v>
          </cell>
          <cell r="B321" t="str">
            <v>Data Analytcis Course</v>
          </cell>
          <cell r="C321">
            <v>93</v>
          </cell>
          <cell r="D321">
            <v>93</v>
          </cell>
          <cell r="E321">
            <v>3934</v>
          </cell>
          <cell r="F321">
            <v>3934</v>
          </cell>
          <cell r="G321" t="str">
            <v>$226.84</v>
          </cell>
          <cell r="H321" t="str">
            <v>$226.84</v>
          </cell>
          <cell r="I321">
            <v>20</v>
          </cell>
          <cell r="J321">
            <v>20</v>
          </cell>
          <cell r="K321">
            <v>6</v>
          </cell>
          <cell r="L321">
            <v>6</v>
          </cell>
          <cell r="M321">
            <v>6.4516129032258063E-2</v>
          </cell>
          <cell r="N321">
            <v>6.5000000000000002E-2</v>
          </cell>
          <cell r="O321" t="str">
            <v>$1964</v>
          </cell>
          <cell r="P321" t="str">
            <v>$1964</v>
          </cell>
          <cell r="Q321">
            <v>45614</v>
          </cell>
          <cell r="R321" t="str">
            <v>Hyderabad</v>
          </cell>
          <cell r="S321" t="str">
            <v>Mobile</v>
          </cell>
          <cell r="T321" t="str">
            <v>data analytics online</v>
          </cell>
        </row>
        <row r="322">
          <cell r="A322" t="str">
            <v>A1320</v>
          </cell>
          <cell r="B322" t="str">
            <v>Data Analytcis Course</v>
          </cell>
          <cell r="C322">
            <v>182</v>
          </cell>
          <cell r="D322">
            <v>182</v>
          </cell>
          <cell r="E322">
            <v>3384</v>
          </cell>
          <cell r="F322">
            <v>3384</v>
          </cell>
          <cell r="G322" t="str">
            <v>$187.67</v>
          </cell>
          <cell r="H322" t="str">
            <v>$187.67</v>
          </cell>
          <cell r="I322">
            <v>18</v>
          </cell>
          <cell r="J322">
            <v>18</v>
          </cell>
          <cell r="K322">
            <v>8</v>
          </cell>
          <cell r="L322">
            <v>8</v>
          </cell>
          <cell r="M322">
            <v>4.3956043956043959E-2</v>
          </cell>
          <cell r="N322">
            <v>4.3999999999999997E-2</v>
          </cell>
          <cell r="O322" t="str">
            <v>$1769</v>
          </cell>
          <cell r="P322" t="str">
            <v>$1769</v>
          </cell>
          <cell r="Q322">
            <v>45597</v>
          </cell>
          <cell r="R322" t="str">
            <v>Bangaluru</v>
          </cell>
          <cell r="S322" t="str">
            <v>Desktop</v>
          </cell>
          <cell r="T322" t="str">
            <v>analytics for data</v>
          </cell>
        </row>
        <row r="323">
          <cell r="A323" t="str">
            <v>A1321</v>
          </cell>
          <cell r="B323" t="str">
            <v>Data Analytics Course</v>
          </cell>
          <cell r="C323">
            <v>99</v>
          </cell>
          <cell r="D323">
            <v>99</v>
          </cell>
          <cell r="E323">
            <v>3842</v>
          </cell>
          <cell r="F323">
            <v>3842</v>
          </cell>
          <cell r="G323" t="str">
            <v>$246.3</v>
          </cell>
          <cell r="H323" t="str">
            <v>$246.3</v>
          </cell>
          <cell r="I323">
            <v>23</v>
          </cell>
          <cell r="J323">
            <v>23</v>
          </cell>
          <cell r="K323">
            <v>8</v>
          </cell>
          <cell r="L323">
            <v>8</v>
          </cell>
          <cell r="M323">
            <v>8.0808080808080815E-2</v>
          </cell>
          <cell r="N323">
            <v>8.1000000000000003E-2</v>
          </cell>
          <cell r="O323" t="str">
            <v>$1452</v>
          </cell>
          <cell r="P323" t="str">
            <v>$1452</v>
          </cell>
          <cell r="Q323">
            <v>45606</v>
          </cell>
          <cell r="R323" t="str">
            <v>Hyderabad</v>
          </cell>
          <cell r="S323" t="str">
            <v>Tablet</v>
          </cell>
          <cell r="T323" t="str">
            <v>online data analytic</v>
          </cell>
        </row>
        <row r="324">
          <cell r="A324" t="str">
            <v>A1322</v>
          </cell>
          <cell r="B324" t="str">
            <v>Data Analytics Course</v>
          </cell>
          <cell r="C324">
            <v>188</v>
          </cell>
          <cell r="D324">
            <v>188</v>
          </cell>
          <cell r="E324">
            <v>4022</v>
          </cell>
          <cell r="F324">
            <v>4022</v>
          </cell>
          <cell r="G324" t="str">
            <v>$238.61</v>
          </cell>
          <cell r="H324" t="str">
            <v>$238.61</v>
          </cell>
          <cell r="I324">
            <v>20</v>
          </cell>
          <cell r="J324">
            <v>20</v>
          </cell>
          <cell r="K324">
            <v>8</v>
          </cell>
          <cell r="L324">
            <v>8</v>
          </cell>
          <cell r="M324">
            <v>4.2553191489361701E-2</v>
          </cell>
          <cell r="N324">
            <v>4.2999999999999997E-2</v>
          </cell>
          <cell r="O324" t="str">
            <v>$1500</v>
          </cell>
          <cell r="Q324">
            <v>45602</v>
          </cell>
          <cell r="R324" t="str">
            <v>Hyderabad</v>
          </cell>
          <cell r="S324" t="str">
            <v>Mobile</v>
          </cell>
          <cell r="T324" t="str">
            <v>data analytics online</v>
          </cell>
        </row>
        <row r="325">
          <cell r="A325" t="str">
            <v>A1323</v>
          </cell>
          <cell r="B325" t="str">
            <v>Data Analytics Course</v>
          </cell>
          <cell r="C325">
            <v>193</v>
          </cell>
          <cell r="D325">
            <v>193</v>
          </cell>
          <cell r="E325">
            <v>5786</v>
          </cell>
          <cell r="F325">
            <v>5786</v>
          </cell>
          <cell r="G325" t="str">
            <v>$201.51</v>
          </cell>
          <cell r="H325" t="str">
            <v>$201.51</v>
          </cell>
          <cell r="I325">
            <v>16</v>
          </cell>
          <cell r="J325">
            <v>16</v>
          </cell>
          <cell r="K325">
            <v>10</v>
          </cell>
          <cell r="L325">
            <v>10</v>
          </cell>
          <cell r="M325">
            <v>5.181347150259067E-2</v>
          </cell>
          <cell r="N325">
            <v>5.1999999999999998E-2</v>
          </cell>
          <cell r="O325" t="str">
            <v>$1617</v>
          </cell>
          <cell r="P325" t="str">
            <v>$1617</v>
          </cell>
          <cell r="Q325">
            <v>45601</v>
          </cell>
          <cell r="R325" t="str">
            <v>Hyderabad</v>
          </cell>
          <cell r="S325" t="str">
            <v>Tablet</v>
          </cell>
          <cell r="T325" t="str">
            <v>data analytics training</v>
          </cell>
        </row>
        <row r="326">
          <cell r="A326" t="str">
            <v>A1324</v>
          </cell>
          <cell r="B326" t="str">
            <v>Data Analytcis Course</v>
          </cell>
          <cell r="C326">
            <v>107</v>
          </cell>
          <cell r="D326">
            <v>107</v>
          </cell>
          <cell r="E326">
            <v>4423</v>
          </cell>
          <cell r="F326">
            <v>4423</v>
          </cell>
          <cell r="G326" t="str">
            <v>$239.47</v>
          </cell>
          <cell r="H326" t="str">
            <v>$239.47</v>
          </cell>
          <cell r="I326">
            <v>25</v>
          </cell>
          <cell r="J326">
            <v>25</v>
          </cell>
          <cell r="K326">
            <v>9</v>
          </cell>
          <cell r="L326">
            <v>9</v>
          </cell>
          <cell r="M326">
            <v>8.4112149532710276E-2</v>
          </cell>
          <cell r="N326">
            <v>8.4000000000000005E-2</v>
          </cell>
          <cell r="O326" t="str">
            <v>$1370</v>
          </cell>
          <cell r="P326" t="str">
            <v>$1370</v>
          </cell>
          <cell r="Q326">
            <v>45619</v>
          </cell>
          <cell r="R326" t="str">
            <v>Hyderabad</v>
          </cell>
          <cell r="S326" t="str">
            <v>Desktop</v>
          </cell>
          <cell r="T326" t="str">
            <v>analytics for data</v>
          </cell>
        </row>
        <row r="327">
          <cell r="A327" t="str">
            <v>A1325</v>
          </cell>
          <cell r="B327" t="str">
            <v>Data Analytics Course</v>
          </cell>
          <cell r="C327">
            <v>131</v>
          </cell>
          <cell r="D327">
            <v>131</v>
          </cell>
          <cell r="E327">
            <v>4228</v>
          </cell>
          <cell r="F327">
            <v>4228</v>
          </cell>
          <cell r="G327" t="str">
            <v>$230.18</v>
          </cell>
          <cell r="H327" t="str">
            <v>$230.18</v>
          </cell>
          <cell r="I327">
            <v>16</v>
          </cell>
          <cell r="J327">
            <v>16</v>
          </cell>
          <cell r="K327">
            <v>9</v>
          </cell>
          <cell r="L327">
            <v>9</v>
          </cell>
          <cell r="M327">
            <v>6.8702290076335881E-2</v>
          </cell>
          <cell r="N327">
            <v>6.9000000000000006E-2</v>
          </cell>
          <cell r="O327" t="str">
            <v>$1393</v>
          </cell>
          <cell r="P327" t="str">
            <v>$1393</v>
          </cell>
          <cell r="Q327">
            <v>45603</v>
          </cell>
          <cell r="R327" t="str">
            <v>Bangaluru</v>
          </cell>
          <cell r="S327" t="str">
            <v>Desktop</v>
          </cell>
          <cell r="T327" t="str">
            <v>data analytics training</v>
          </cell>
        </row>
        <row r="328">
          <cell r="A328" t="str">
            <v>A1326</v>
          </cell>
          <cell r="B328" t="str">
            <v>Data Analytics Course</v>
          </cell>
          <cell r="C328">
            <v>139</v>
          </cell>
          <cell r="D328">
            <v>139</v>
          </cell>
          <cell r="E328">
            <v>5120</v>
          </cell>
          <cell r="F328">
            <v>5120</v>
          </cell>
          <cell r="G328" t="str">
            <v>$199.3</v>
          </cell>
          <cell r="H328" t="str">
            <v>$199.3</v>
          </cell>
          <cell r="I328">
            <v>24</v>
          </cell>
          <cell r="J328">
            <v>24</v>
          </cell>
          <cell r="K328">
            <v>5</v>
          </cell>
          <cell r="L328">
            <v>5</v>
          </cell>
          <cell r="M328">
            <v>3.5971223021582732E-2</v>
          </cell>
          <cell r="N328">
            <v>3.5999999999999997E-2</v>
          </cell>
          <cell r="O328" t="str">
            <v>$1835</v>
          </cell>
          <cell r="P328" t="str">
            <v>$1835</v>
          </cell>
          <cell r="Q328">
            <v>45619</v>
          </cell>
          <cell r="R328" t="str">
            <v>Bangaluru</v>
          </cell>
          <cell r="S328" t="str">
            <v>Mobile</v>
          </cell>
          <cell r="T328" t="str">
            <v>data analytics course</v>
          </cell>
        </row>
        <row r="329">
          <cell r="A329" t="str">
            <v>A1327</v>
          </cell>
          <cell r="B329" t="str">
            <v>Data Analytics Course</v>
          </cell>
          <cell r="C329">
            <v>141</v>
          </cell>
          <cell r="D329">
            <v>141</v>
          </cell>
          <cell r="E329">
            <v>3600</v>
          </cell>
          <cell r="F329">
            <v>3600</v>
          </cell>
          <cell r="G329" t="str">
            <v>$227.54</v>
          </cell>
          <cell r="H329" t="str">
            <v>$227.54</v>
          </cell>
          <cell r="I329">
            <v>20</v>
          </cell>
          <cell r="J329">
            <v>20</v>
          </cell>
          <cell r="K329">
            <v>6</v>
          </cell>
          <cell r="L329">
            <v>6</v>
          </cell>
          <cell r="M329">
            <v>4.2553191489361701E-2</v>
          </cell>
          <cell r="N329">
            <v>4.2999999999999997E-2</v>
          </cell>
          <cell r="O329" t="str">
            <v>$1367</v>
          </cell>
          <cell r="P329" t="str">
            <v>$1367</v>
          </cell>
          <cell r="Q329">
            <v>45603</v>
          </cell>
          <cell r="R329" t="str">
            <v>Hyderabad</v>
          </cell>
          <cell r="S329" t="str">
            <v>Desktop</v>
          </cell>
          <cell r="T329" t="str">
            <v>learn data analytics</v>
          </cell>
        </row>
        <row r="330">
          <cell r="A330" t="str">
            <v>A1328</v>
          </cell>
          <cell r="B330" t="str">
            <v>Data Analytics Course</v>
          </cell>
          <cell r="C330">
            <v>175</v>
          </cell>
          <cell r="D330">
            <v>175</v>
          </cell>
          <cell r="E330">
            <v>5016</v>
          </cell>
          <cell r="F330">
            <v>5016</v>
          </cell>
          <cell r="G330" t="str">
            <v>$200.00</v>
          </cell>
          <cell r="I330">
            <v>16</v>
          </cell>
          <cell r="J330">
            <v>16</v>
          </cell>
          <cell r="K330">
            <v>3</v>
          </cell>
          <cell r="L330">
            <v>3</v>
          </cell>
          <cell r="M330">
            <v>1.7142857142857144E-2</v>
          </cell>
          <cell r="N330">
            <v>1.7000000000000001E-2</v>
          </cell>
          <cell r="O330" t="str">
            <v>$1836</v>
          </cell>
          <cell r="P330" t="str">
            <v>$1836</v>
          </cell>
          <cell r="Q330">
            <v>45603</v>
          </cell>
          <cell r="R330" t="str">
            <v>Hyderabad</v>
          </cell>
          <cell r="S330" t="str">
            <v>Tablet</v>
          </cell>
          <cell r="T330" t="str">
            <v>learn data analytics</v>
          </cell>
        </row>
        <row r="331">
          <cell r="A331" t="str">
            <v>A1329</v>
          </cell>
          <cell r="B331" t="str">
            <v>Data Analytics Course</v>
          </cell>
          <cell r="C331">
            <v>96</v>
          </cell>
          <cell r="D331">
            <v>96</v>
          </cell>
          <cell r="E331">
            <v>5771</v>
          </cell>
          <cell r="F331">
            <v>5771</v>
          </cell>
          <cell r="G331" t="str">
            <v>$213.98</v>
          </cell>
          <cell r="H331" t="str">
            <v>$213.98</v>
          </cell>
          <cell r="I331">
            <v>30</v>
          </cell>
          <cell r="J331">
            <v>30</v>
          </cell>
          <cell r="K331">
            <v>3</v>
          </cell>
          <cell r="L331">
            <v>3</v>
          </cell>
          <cell r="M331">
            <v>3.125E-2</v>
          </cell>
          <cell r="N331">
            <v>3.1E-2</v>
          </cell>
          <cell r="O331" t="str">
            <v>$1130</v>
          </cell>
          <cell r="P331" t="str">
            <v>$1130</v>
          </cell>
          <cell r="Q331">
            <v>45626</v>
          </cell>
          <cell r="R331" t="str">
            <v>Chennai</v>
          </cell>
          <cell r="S331" t="str">
            <v>Mobile</v>
          </cell>
          <cell r="T331" t="str">
            <v>analytics for data</v>
          </cell>
        </row>
        <row r="332">
          <cell r="A332" t="str">
            <v>A1330</v>
          </cell>
          <cell r="B332" t="str">
            <v>Data Analytics Course</v>
          </cell>
          <cell r="C332">
            <v>138.95699356913184</v>
          </cell>
          <cell r="E332">
            <v>4615</v>
          </cell>
          <cell r="F332">
            <v>4615</v>
          </cell>
          <cell r="G332" t="str">
            <v>$194.89</v>
          </cell>
          <cell r="H332" t="str">
            <v>$194.89</v>
          </cell>
          <cell r="I332">
            <v>12</v>
          </cell>
          <cell r="J332">
            <v>12</v>
          </cell>
          <cell r="K332">
            <v>6</v>
          </cell>
          <cell r="L332">
            <v>6</v>
          </cell>
          <cell r="M332">
            <v>4.317882710246583E-2</v>
          </cell>
          <cell r="O332" t="str">
            <v>$1923</v>
          </cell>
          <cell r="P332" t="str">
            <v>$1923</v>
          </cell>
          <cell r="Q332">
            <v>45621</v>
          </cell>
          <cell r="R332" t="str">
            <v>Chennai</v>
          </cell>
          <cell r="S332" t="str">
            <v>Tablet</v>
          </cell>
          <cell r="T332" t="str">
            <v>data analytics training</v>
          </cell>
        </row>
        <row r="333">
          <cell r="A333" t="str">
            <v>A1331</v>
          </cell>
          <cell r="B333" t="str">
            <v>Data Analytics Course</v>
          </cell>
          <cell r="C333">
            <v>187</v>
          </cell>
          <cell r="D333">
            <v>187</v>
          </cell>
          <cell r="E333">
            <v>3115</v>
          </cell>
          <cell r="F333">
            <v>3115</v>
          </cell>
          <cell r="G333" t="str">
            <v>$184.61</v>
          </cell>
          <cell r="H333" t="str">
            <v>$184.61</v>
          </cell>
          <cell r="I333">
            <v>12</v>
          </cell>
          <cell r="J333">
            <v>12</v>
          </cell>
          <cell r="K333">
            <v>3</v>
          </cell>
          <cell r="L333">
            <v>3</v>
          </cell>
          <cell r="M333">
            <v>1.6042780748663103E-2</v>
          </cell>
          <cell r="N333">
            <v>1.6E-2</v>
          </cell>
          <cell r="O333" t="str">
            <v>$1324</v>
          </cell>
          <cell r="P333" t="str">
            <v>$1324</v>
          </cell>
          <cell r="Q333">
            <v>45626</v>
          </cell>
          <cell r="R333" t="str">
            <v>Chennai</v>
          </cell>
          <cell r="S333" t="str">
            <v>Mobile</v>
          </cell>
          <cell r="T333" t="str">
            <v>learn data analytics</v>
          </cell>
        </row>
        <row r="334">
          <cell r="A334" t="str">
            <v>A1332</v>
          </cell>
          <cell r="B334" t="str">
            <v>Data Analytics Course</v>
          </cell>
          <cell r="C334">
            <v>153</v>
          </cell>
          <cell r="D334">
            <v>153</v>
          </cell>
          <cell r="E334">
            <v>5886</v>
          </cell>
          <cell r="F334">
            <v>5886</v>
          </cell>
          <cell r="G334" t="str">
            <v>$218.33</v>
          </cell>
          <cell r="H334" t="str">
            <v>$218.33</v>
          </cell>
          <cell r="I334">
            <v>29</v>
          </cell>
          <cell r="J334">
            <v>29</v>
          </cell>
          <cell r="K334">
            <v>3</v>
          </cell>
          <cell r="L334">
            <v>3</v>
          </cell>
          <cell r="M334">
            <v>1.9607843137254902E-2</v>
          </cell>
          <cell r="N334">
            <v>0.02</v>
          </cell>
          <cell r="O334" t="str">
            <v>$1424</v>
          </cell>
          <cell r="P334" t="str">
            <v>$1424</v>
          </cell>
          <cell r="Q334">
            <v>45616</v>
          </cell>
          <cell r="R334" t="str">
            <v>Hyderabad</v>
          </cell>
          <cell r="S334" t="str">
            <v>Mobile</v>
          </cell>
          <cell r="T334" t="str">
            <v>analytics for data</v>
          </cell>
        </row>
        <row r="335">
          <cell r="A335" t="str">
            <v>A1333</v>
          </cell>
          <cell r="B335" t="str">
            <v>Data Analytics Course</v>
          </cell>
          <cell r="C335">
            <v>122</v>
          </cell>
          <cell r="D335">
            <v>122</v>
          </cell>
          <cell r="E335">
            <v>4929</v>
          </cell>
          <cell r="F335">
            <v>4929</v>
          </cell>
          <cell r="G335" t="str">
            <v>$192.72</v>
          </cell>
          <cell r="H335" t="str">
            <v>$192.72</v>
          </cell>
          <cell r="I335">
            <v>10</v>
          </cell>
          <cell r="J335">
            <v>10</v>
          </cell>
          <cell r="K335">
            <v>10</v>
          </cell>
          <cell r="L335">
            <v>10</v>
          </cell>
          <cell r="M335">
            <v>8.1967213114754092E-2</v>
          </cell>
          <cell r="N335">
            <v>8.2000000000000003E-2</v>
          </cell>
          <cell r="O335" t="str">
            <v>$1500</v>
          </cell>
          <cell r="Q335">
            <v>45608</v>
          </cell>
          <cell r="R335" t="str">
            <v>Chennai</v>
          </cell>
          <cell r="S335" t="str">
            <v>Desktop</v>
          </cell>
          <cell r="T335" t="str">
            <v>data analytics training</v>
          </cell>
        </row>
        <row r="336">
          <cell r="A336" t="str">
            <v>A1334</v>
          </cell>
          <cell r="B336" t="str">
            <v>Data Analytics Course</v>
          </cell>
          <cell r="C336">
            <v>151</v>
          </cell>
          <cell r="D336">
            <v>151</v>
          </cell>
          <cell r="E336">
            <v>4357</v>
          </cell>
          <cell r="F336">
            <v>4357</v>
          </cell>
          <cell r="G336" t="str">
            <v>$238.69</v>
          </cell>
          <cell r="H336" t="str">
            <v>$238.69</v>
          </cell>
          <cell r="I336">
            <v>28</v>
          </cell>
          <cell r="J336">
            <v>28</v>
          </cell>
          <cell r="K336">
            <v>9</v>
          </cell>
          <cell r="L336">
            <v>9</v>
          </cell>
          <cell r="M336">
            <v>5.9602649006622516E-2</v>
          </cell>
          <cell r="N336">
            <v>0.06</v>
          </cell>
          <cell r="O336" t="str">
            <v>$1447</v>
          </cell>
          <cell r="P336" t="str">
            <v>$1447</v>
          </cell>
          <cell r="Q336">
            <v>45609</v>
          </cell>
          <cell r="R336" t="str">
            <v>Hyderabad</v>
          </cell>
          <cell r="S336" t="str">
            <v>Tablet</v>
          </cell>
          <cell r="T336" t="str">
            <v>analytics for data</v>
          </cell>
        </row>
        <row r="337">
          <cell r="A337" t="str">
            <v>A1335</v>
          </cell>
          <cell r="B337" t="str">
            <v>Data Analytics Course</v>
          </cell>
          <cell r="C337">
            <v>116</v>
          </cell>
          <cell r="D337">
            <v>116</v>
          </cell>
          <cell r="E337">
            <v>4519</v>
          </cell>
          <cell r="F337">
            <v>4519</v>
          </cell>
          <cell r="G337" t="str">
            <v>$184.29</v>
          </cell>
          <cell r="H337" t="str">
            <v>$184.29</v>
          </cell>
          <cell r="I337">
            <v>23</v>
          </cell>
          <cell r="J337">
            <v>23</v>
          </cell>
          <cell r="K337">
            <v>7</v>
          </cell>
          <cell r="L337">
            <v>7</v>
          </cell>
          <cell r="M337">
            <v>6.0344827586206899E-2</v>
          </cell>
          <cell r="O337" t="str">
            <v>$1070</v>
          </cell>
          <cell r="P337" t="str">
            <v>$1070</v>
          </cell>
          <cell r="Q337">
            <v>45608</v>
          </cell>
          <cell r="R337" t="str">
            <v>Hyderabad</v>
          </cell>
          <cell r="S337" t="str">
            <v>Desktop</v>
          </cell>
          <cell r="T337" t="str">
            <v>data analytics training</v>
          </cell>
        </row>
        <row r="338">
          <cell r="A338" t="str">
            <v>A1336</v>
          </cell>
          <cell r="B338" t="str">
            <v>Data Analytics Course</v>
          </cell>
          <cell r="C338">
            <v>145</v>
          </cell>
          <cell r="D338">
            <v>145</v>
          </cell>
          <cell r="E338">
            <v>5612</v>
          </cell>
          <cell r="F338">
            <v>5612</v>
          </cell>
          <cell r="G338" t="str">
            <v>$207.34</v>
          </cell>
          <cell r="H338" t="str">
            <v>$207.34</v>
          </cell>
          <cell r="I338">
            <v>22</v>
          </cell>
          <cell r="J338">
            <v>22</v>
          </cell>
          <cell r="K338">
            <v>4</v>
          </cell>
          <cell r="L338">
            <v>4</v>
          </cell>
          <cell r="M338">
            <v>2.7586206896551724E-2</v>
          </cell>
          <cell r="N338">
            <v>2.8000000000000001E-2</v>
          </cell>
          <cell r="O338" t="str">
            <v>$1689</v>
          </cell>
          <cell r="P338" t="str">
            <v>$1689</v>
          </cell>
          <cell r="Q338">
            <v>45608</v>
          </cell>
          <cell r="R338" t="str">
            <v>Hyderabad</v>
          </cell>
          <cell r="S338" t="str">
            <v>Desktop</v>
          </cell>
          <cell r="T338" t="str">
            <v>learn data analytics</v>
          </cell>
        </row>
        <row r="339">
          <cell r="A339" t="str">
            <v>A1337</v>
          </cell>
          <cell r="B339" t="str">
            <v>Data Analytics Course</v>
          </cell>
          <cell r="C339">
            <v>90</v>
          </cell>
          <cell r="D339">
            <v>90</v>
          </cell>
          <cell r="E339">
            <v>3251</v>
          </cell>
          <cell r="F339">
            <v>3251</v>
          </cell>
          <cell r="G339" t="str">
            <v>$198.69</v>
          </cell>
          <cell r="H339" t="str">
            <v>$198.69</v>
          </cell>
          <cell r="I339">
            <v>12</v>
          </cell>
          <cell r="J339">
            <v>12</v>
          </cell>
          <cell r="K339">
            <v>7</v>
          </cell>
          <cell r="L339">
            <v>7</v>
          </cell>
          <cell r="M339">
            <v>7.7777777777777779E-2</v>
          </cell>
          <cell r="N339">
            <v>7.8E-2</v>
          </cell>
          <cell r="O339" t="str">
            <v>$1044</v>
          </cell>
          <cell r="P339" t="str">
            <v>$1044</v>
          </cell>
          <cell r="Q339">
            <v>45626</v>
          </cell>
          <cell r="R339" t="str">
            <v>Hyderabad</v>
          </cell>
          <cell r="S339" t="str">
            <v>Mobile</v>
          </cell>
          <cell r="T339" t="str">
            <v>learn data analytics</v>
          </cell>
        </row>
        <row r="340">
          <cell r="A340" t="str">
            <v>A1338</v>
          </cell>
          <cell r="B340" t="str">
            <v>Data Analytics Course</v>
          </cell>
          <cell r="C340">
            <v>133</v>
          </cell>
          <cell r="D340">
            <v>133</v>
          </cell>
          <cell r="E340">
            <v>3360</v>
          </cell>
          <cell r="F340">
            <v>3360</v>
          </cell>
          <cell r="G340" t="str">
            <v>$203.78</v>
          </cell>
          <cell r="H340" t="str">
            <v>$203.78</v>
          </cell>
          <cell r="I340">
            <v>13</v>
          </cell>
          <cell r="J340">
            <v>13</v>
          </cell>
          <cell r="K340">
            <v>9</v>
          </cell>
          <cell r="L340">
            <v>9</v>
          </cell>
          <cell r="M340">
            <v>6.7669172932330823E-2</v>
          </cell>
          <cell r="N340">
            <v>6.8000000000000005E-2</v>
          </cell>
          <cell r="O340" t="str">
            <v>$1654</v>
          </cell>
          <cell r="P340" t="str">
            <v>$1654</v>
          </cell>
          <cell r="Q340">
            <v>45610</v>
          </cell>
          <cell r="R340" t="str">
            <v>Bangaluru</v>
          </cell>
          <cell r="S340" t="str">
            <v>Mobile</v>
          </cell>
          <cell r="T340" t="str">
            <v>online data analytic</v>
          </cell>
        </row>
        <row r="341">
          <cell r="A341" t="str">
            <v>A1339</v>
          </cell>
          <cell r="B341" t="str">
            <v>Data Analytics Course</v>
          </cell>
          <cell r="C341">
            <v>135</v>
          </cell>
          <cell r="D341">
            <v>135</v>
          </cell>
          <cell r="E341">
            <v>5891</v>
          </cell>
          <cell r="F341">
            <v>5891</v>
          </cell>
          <cell r="G341" t="str">
            <v>$245.69</v>
          </cell>
          <cell r="H341" t="str">
            <v>$245.69</v>
          </cell>
          <cell r="I341">
            <v>21</v>
          </cell>
          <cell r="J341">
            <v>21</v>
          </cell>
          <cell r="K341">
            <v>6</v>
          </cell>
          <cell r="L341">
            <v>6</v>
          </cell>
          <cell r="M341">
            <v>4.4444444444444446E-2</v>
          </cell>
          <cell r="N341">
            <v>4.3999999999999997E-2</v>
          </cell>
          <cell r="O341" t="str">
            <v>$1947</v>
          </cell>
          <cell r="P341" t="str">
            <v>$1947</v>
          </cell>
          <cell r="Q341">
            <v>45601</v>
          </cell>
          <cell r="R341" t="str">
            <v>Chennai</v>
          </cell>
          <cell r="S341" t="str">
            <v>Mobile</v>
          </cell>
          <cell r="T341" t="str">
            <v>learn data analytics</v>
          </cell>
        </row>
        <row r="342">
          <cell r="A342" t="str">
            <v>A1340</v>
          </cell>
          <cell r="B342" t="str">
            <v>Data Analytcis Course</v>
          </cell>
          <cell r="C342">
            <v>155</v>
          </cell>
          <cell r="D342">
            <v>155</v>
          </cell>
          <cell r="E342">
            <v>5835</v>
          </cell>
          <cell r="F342">
            <v>5835</v>
          </cell>
          <cell r="G342" t="str">
            <v>$239.52</v>
          </cell>
          <cell r="H342" t="str">
            <v>$239.52</v>
          </cell>
          <cell r="I342">
            <v>10</v>
          </cell>
          <cell r="J342">
            <v>10</v>
          </cell>
          <cell r="K342">
            <v>4</v>
          </cell>
          <cell r="L342">
            <v>4</v>
          </cell>
          <cell r="M342">
            <v>2.5806451612903226E-2</v>
          </cell>
          <cell r="N342">
            <v>4.1000000000000002E-2</v>
          </cell>
          <cell r="O342" t="str">
            <v>$1500</v>
          </cell>
          <cell r="Q342">
            <v>45609</v>
          </cell>
          <cell r="R342" t="str">
            <v>Hyderabad</v>
          </cell>
          <cell r="S342" t="str">
            <v>Mobile</v>
          </cell>
          <cell r="T342" t="str">
            <v>analytics for data</v>
          </cell>
        </row>
        <row r="343">
          <cell r="A343" t="str">
            <v>A1341</v>
          </cell>
          <cell r="B343" t="str">
            <v>Data Analytics Course</v>
          </cell>
          <cell r="C343">
            <v>100</v>
          </cell>
          <cell r="D343">
            <v>100</v>
          </cell>
          <cell r="E343">
            <v>4928</v>
          </cell>
          <cell r="F343">
            <v>4928</v>
          </cell>
          <cell r="G343" t="str">
            <v>$186.68</v>
          </cell>
          <cell r="H343" t="str">
            <v>$186.68</v>
          </cell>
          <cell r="I343">
            <v>22</v>
          </cell>
          <cell r="J343">
            <v>22</v>
          </cell>
          <cell r="K343">
            <v>10</v>
          </cell>
          <cell r="L343">
            <v>10</v>
          </cell>
          <cell r="M343">
            <v>0.1</v>
          </cell>
          <cell r="N343">
            <v>0.1</v>
          </cell>
          <cell r="O343" t="str">
            <v>$1071</v>
          </cell>
          <cell r="P343" t="str">
            <v>$1071</v>
          </cell>
          <cell r="Q343">
            <v>45619</v>
          </cell>
          <cell r="R343" t="str">
            <v>Hyderabad</v>
          </cell>
          <cell r="S343" t="str">
            <v>Mobile</v>
          </cell>
          <cell r="T343" t="str">
            <v>analytics for data</v>
          </cell>
        </row>
        <row r="344">
          <cell r="A344" t="str">
            <v>A1342</v>
          </cell>
          <cell r="B344" t="str">
            <v>Data Analytcis Course</v>
          </cell>
          <cell r="C344">
            <v>138</v>
          </cell>
          <cell r="D344">
            <v>138</v>
          </cell>
          <cell r="E344">
            <v>4049</v>
          </cell>
          <cell r="F344">
            <v>4049</v>
          </cell>
          <cell r="G344" t="str">
            <v>$182.66</v>
          </cell>
          <cell r="H344" t="str">
            <v>$182.66</v>
          </cell>
          <cell r="I344">
            <v>20</v>
          </cell>
          <cell r="J344">
            <v>20</v>
          </cell>
          <cell r="K344">
            <v>7</v>
          </cell>
          <cell r="L344">
            <v>7</v>
          </cell>
          <cell r="M344">
            <v>5.0724637681159424E-2</v>
          </cell>
          <cell r="N344">
            <v>5.0999999999999997E-2</v>
          </cell>
          <cell r="O344" t="str">
            <v>$1292</v>
          </cell>
          <cell r="P344" t="str">
            <v>$1292</v>
          </cell>
          <cell r="Q344">
            <v>45616</v>
          </cell>
          <cell r="R344" t="str">
            <v>Hyderabad</v>
          </cell>
          <cell r="S344" t="str">
            <v>Mobile</v>
          </cell>
          <cell r="T344" t="str">
            <v>online data analytic</v>
          </cell>
        </row>
        <row r="345">
          <cell r="A345" t="str">
            <v>A1343</v>
          </cell>
          <cell r="B345" t="str">
            <v>Data Analytics Course</v>
          </cell>
          <cell r="C345">
            <v>109</v>
          </cell>
          <cell r="D345">
            <v>109</v>
          </cell>
          <cell r="E345">
            <v>4114</v>
          </cell>
          <cell r="F345">
            <v>4114</v>
          </cell>
          <cell r="G345" t="str">
            <v>$243.33</v>
          </cell>
          <cell r="H345" t="str">
            <v>$243.33</v>
          </cell>
          <cell r="I345">
            <v>18</v>
          </cell>
          <cell r="J345">
            <v>18</v>
          </cell>
          <cell r="K345">
            <v>6</v>
          </cell>
          <cell r="L345">
            <v>6</v>
          </cell>
          <cell r="M345">
            <v>5.5045871559633031E-2</v>
          </cell>
          <cell r="N345">
            <v>4.3999999999999997E-2</v>
          </cell>
          <cell r="O345" t="str">
            <v>$1456</v>
          </cell>
          <cell r="P345" t="str">
            <v>$1456</v>
          </cell>
          <cell r="Q345">
            <v>45621</v>
          </cell>
          <cell r="R345" t="str">
            <v>Chennai</v>
          </cell>
          <cell r="S345" t="str">
            <v>Tablet</v>
          </cell>
          <cell r="T345" t="str">
            <v>learn data analytics</v>
          </cell>
        </row>
        <row r="346">
          <cell r="A346" t="str">
            <v>A1344</v>
          </cell>
          <cell r="B346" t="str">
            <v>Data Analytics Course</v>
          </cell>
          <cell r="C346">
            <v>124</v>
          </cell>
          <cell r="D346">
            <v>124</v>
          </cell>
          <cell r="E346">
            <v>3947</v>
          </cell>
          <cell r="F346">
            <v>3947</v>
          </cell>
          <cell r="G346" t="str">
            <v>$198.11</v>
          </cell>
          <cell r="H346" t="str">
            <v>$198.11</v>
          </cell>
          <cell r="I346">
            <v>11</v>
          </cell>
          <cell r="J346">
            <v>11</v>
          </cell>
          <cell r="K346">
            <v>4</v>
          </cell>
          <cell r="L346">
            <v>4</v>
          </cell>
          <cell r="M346">
            <v>3.2258064516129031E-2</v>
          </cell>
          <cell r="N346">
            <v>3.2000000000000001E-2</v>
          </cell>
          <cell r="O346" t="str">
            <v>$1308</v>
          </cell>
          <cell r="P346" t="str">
            <v>$1308</v>
          </cell>
          <cell r="Q346">
            <v>45622</v>
          </cell>
          <cell r="R346" t="str">
            <v>Hyderabad</v>
          </cell>
          <cell r="S346" t="str">
            <v>Mobile</v>
          </cell>
          <cell r="T346" t="str">
            <v>data analytics course</v>
          </cell>
        </row>
        <row r="347">
          <cell r="A347" t="str">
            <v>A1345</v>
          </cell>
          <cell r="B347" t="str">
            <v>Data Analytcis Course</v>
          </cell>
          <cell r="C347">
            <v>138.95699356913184</v>
          </cell>
          <cell r="E347">
            <v>3705</v>
          </cell>
          <cell r="F347">
            <v>3705</v>
          </cell>
          <cell r="G347" t="str">
            <v>$239.26</v>
          </cell>
          <cell r="H347" t="str">
            <v>$239.26</v>
          </cell>
          <cell r="I347">
            <v>25</v>
          </cell>
          <cell r="J347">
            <v>25</v>
          </cell>
          <cell r="K347">
            <v>6.4791952446273431</v>
          </cell>
          <cell r="M347">
            <v>4.6627341871813811E-2</v>
          </cell>
          <cell r="O347" t="str">
            <v>$1506</v>
          </cell>
          <cell r="P347" t="str">
            <v>$1506</v>
          </cell>
          <cell r="Q347">
            <v>45598</v>
          </cell>
          <cell r="R347" t="str">
            <v>Hyderabad</v>
          </cell>
          <cell r="S347" t="str">
            <v>Tablet</v>
          </cell>
          <cell r="T347" t="str">
            <v>online data analytic</v>
          </cell>
        </row>
        <row r="348">
          <cell r="A348" t="str">
            <v>A1346</v>
          </cell>
          <cell r="B348" t="str">
            <v>Data Analytics Course</v>
          </cell>
          <cell r="C348">
            <v>197</v>
          </cell>
          <cell r="D348">
            <v>197</v>
          </cell>
          <cell r="E348">
            <v>5365</v>
          </cell>
          <cell r="F348">
            <v>5365</v>
          </cell>
          <cell r="G348" t="str">
            <v>$208.86</v>
          </cell>
          <cell r="H348" t="str">
            <v>$208.86</v>
          </cell>
          <cell r="I348">
            <v>14</v>
          </cell>
          <cell r="J348">
            <v>14</v>
          </cell>
          <cell r="K348">
            <v>4</v>
          </cell>
          <cell r="L348">
            <v>4</v>
          </cell>
          <cell r="M348">
            <v>2.030456852791878E-2</v>
          </cell>
          <cell r="N348">
            <v>3.1E-2</v>
          </cell>
          <cell r="O348" t="str">
            <v>$1106</v>
          </cell>
          <cell r="P348" t="str">
            <v>$1106</v>
          </cell>
          <cell r="Q348">
            <v>45597</v>
          </cell>
          <cell r="R348" t="str">
            <v>Hyderabad</v>
          </cell>
          <cell r="S348" t="str">
            <v>Tablet</v>
          </cell>
          <cell r="T348" t="str">
            <v>data analytics training</v>
          </cell>
        </row>
        <row r="349">
          <cell r="A349" t="str">
            <v>A1347</v>
          </cell>
          <cell r="B349" t="str">
            <v>Data Analytcis Course</v>
          </cell>
          <cell r="C349">
            <v>114</v>
          </cell>
          <cell r="D349">
            <v>114</v>
          </cell>
          <cell r="E349">
            <v>5213</v>
          </cell>
          <cell r="F349">
            <v>5213</v>
          </cell>
          <cell r="G349" t="str">
            <v>$224.65</v>
          </cell>
          <cell r="H349" t="str">
            <v>$224.65</v>
          </cell>
          <cell r="I349">
            <v>26</v>
          </cell>
          <cell r="J349">
            <v>26</v>
          </cell>
          <cell r="K349">
            <v>4</v>
          </cell>
          <cell r="L349">
            <v>4</v>
          </cell>
          <cell r="M349">
            <v>3.5087719298245612E-2</v>
          </cell>
          <cell r="N349">
            <v>3.5000000000000003E-2</v>
          </cell>
          <cell r="O349" t="str">
            <v>$1218</v>
          </cell>
          <cell r="P349" t="str">
            <v>$1218</v>
          </cell>
          <cell r="Q349">
            <v>45625</v>
          </cell>
          <cell r="R349" t="str">
            <v>Hyderabad</v>
          </cell>
          <cell r="S349" t="str">
            <v>Tablet</v>
          </cell>
          <cell r="T349" t="str">
            <v>online data analytic</v>
          </cell>
        </row>
        <row r="350">
          <cell r="A350" t="str">
            <v>A1348</v>
          </cell>
          <cell r="B350" t="str">
            <v>Data Analytics Course</v>
          </cell>
          <cell r="C350">
            <v>117</v>
          </cell>
          <cell r="D350">
            <v>117</v>
          </cell>
          <cell r="E350">
            <v>3951</v>
          </cell>
          <cell r="F350">
            <v>3951</v>
          </cell>
          <cell r="G350" t="str">
            <v>$212.02</v>
          </cell>
          <cell r="H350" t="str">
            <v>$212.02</v>
          </cell>
          <cell r="I350">
            <v>16</v>
          </cell>
          <cell r="J350">
            <v>16</v>
          </cell>
          <cell r="K350">
            <v>5</v>
          </cell>
          <cell r="L350">
            <v>5</v>
          </cell>
          <cell r="M350">
            <v>4.2735042735042736E-2</v>
          </cell>
          <cell r="N350">
            <v>5.1999999999999998E-2</v>
          </cell>
          <cell r="O350" t="str">
            <v>$1949</v>
          </cell>
          <cell r="P350" t="str">
            <v>$1949</v>
          </cell>
          <cell r="Q350">
            <v>45606</v>
          </cell>
          <cell r="R350" t="str">
            <v>Chennai</v>
          </cell>
          <cell r="S350" t="str">
            <v>Desktop</v>
          </cell>
          <cell r="T350" t="str">
            <v>data analytics training</v>
          </cell>
        </row>
        <row r="351">
          <cell r="A351" t="str">
            <v>A1349</v>
          </cell>
          <cell r="B351" t="str">
            <v>Data Analytics Course</v>
          </cell>
          <cell r="C351">
            <v>198</v>
          </cell>
          <cell r="D351">
            <v>198</v>
          </cell>
          <cell r="E351">
            <v>3405</v>
          </cell>
          <cell r="F351">
            <v>3405</v>
          </cell>
          <cell r="G351" t="str">
            <v>$224.9</v>
          </cell>
          <cell r="H351" t="str">
            <v>$224.9</v>
          </cell>
          <cell r="I351">
            <v>13</v>
          </cell>
          <cell r="J351">
            <v>13</v>
          </cell>
          <cell r="K351">
            <v>10</v>
          </cell>
          <cell r="L351">
            <v>10</v>
          </cell>
          <cell r="M351">
            <v>5.0505050505050504E-2</v>
          </cell>
          <cell r="N351">
            <v>5.0999999999999997E-2</v>
          </cell>
          <cell r="O351" t="str">
            <v>$1631</v>
          </cell>
          <cell r="P351" t="str">
            <v>$1631</v>
          </cell>
          <cell r="Q351">
            <v>45610</v>
          </cell>
          <cell r="R351" t="str">
            <v>Hyderabad</v>
          </cell>
          <cell r="S351" t="str">
            <v>Tablet</v>
          </cell>
          <cell r="T351" t="str">
            <v>online data analytic</v>
          </cell>
        </row>
        <row r="352">
          <cell r="A352" t="str">
            <v>A1350</v>
          </cell>
          <cell r="B352" t="str">
            <v>Data Analytcis Course</v>
          </cell>
          <cell r="C352">
            <v>160</v>
          </cell>
          <cell r="D352">
            <v>160</v>
          </cell>
          <cell r="E352">
            <v>5367</v>
          </cell>
          <cell r="F352">
            <v>5367</v>
          </cell>
          <cell r="G352" t="str">
            <v>$208.47</v>
          </cell>
          <cell r="H352" t="str">
            <v>$208.47</v>
          </cell>
          <cell r="I352">
            <v>20</v>
          </cell>
          <cell r="J352">
            <v>20</v>
          </cell>
          <cell r="K352">
            <v>8</v>
          </cell>
          <cell r="L352">
            <v>8</v>
          </cell>
          <cell r="M352">
            <v>0.05</v>
          </cell>
          <cell r="O352" t="str">
            <v>$1853</v>
          </cell>
          <cell r="P352" t="str">
            <v>$1853</v>
          </cell>
          <cell r="Q352">
            <v>45611</v>
          </cell>
          <cell r="R352" t="str">
            <v>Hyderabad</v>
          </cell>
          <cell r="S352" t="str">
            <v>Tablet</v>
          </cell>
          <cell r="T352" t="str">
            <v>data analytics course</v>
          </cell>
        </row>
        <row r="353">
          <cell r="A353" t="str">
            <v>A1351</v>
          </cell>
          <cell r="B353" t="str">
            <v>Data Analytics Course</v>
          </cell>
          <cell r="C353">
            <v>137</v>
          </cell>
          <cell r="D353">
            <v>137</v>
          </cell>
          <cell r="E353">
            <v>3602</v>
          </cell>
          <cell r="F353">
            <v>3602</v>
          </cell>
          <cell r="G353" t="str">
            <v>$194.55</v>
          </cell>
          <cell r="H353" t="str">
            <v>$194.55</v>
          </cell>
          <cell r="I353">
            <v>23</v>
          </cell>
          <cell r="J353">
            <v>23</v>
          </cell>
          <cell r="K353">
            <v>5</v>
          </cell>
          <cell r="L353">
            <v>5</v>
          </cell>
          <cell r="M353">
            <v>3.6496350364963501E-2</v>
          </cell>
          <cell r="N353">
            <v>3.5999999999999997E-2</v>
          </cell>
          <cell r="O353" t="str">
            <v>$1580</v>
          </cell>
          <cell r="P353" t="str">
            <v>$1580</v>
          </cell>
          <cell r="Q353">
            <v>45598</v>
          </cell>
          <cell r="R353" t="str">
            <v>Chennai</v>
          </cell>
          <cell r="S353" t="str">
            <v>Tablet</v>
          </cell>
          <cell r="T353" t="str">
            <v>data analytics course</v>
          </cell>
        </row>
        <row r="354">
          <cell r="A354" t="str">
            <v>A1352</v>
          </cell>
          <cell r="B354" t="str">
            <v>Data Analytics Course</v>
          </cell>
          <cell r="C354">
            <v>163</v>
          </cell>
          <cell r="D354">
            <v>163</v>
          </cell>
          <cell r="E354">
            <v>3917</v>
          </cell>
          <cell r="F354">
            <v>3917</v>
          </cell>
          <cell r="G354" t="str">
            <v>$209.01</v>
          </cell>
          <cell r="H354" t="str">
            <v>$209.01</v>
          </cell>
          <cell r="I354">
            <v>10</v>
          </cell>
          <cell r="J354">
            <v>10</v>
          </cell>
          <cell r="K354">
            <v>3</v>
          </cell>
          <cell r="L354">
            <v>3</v>
          </cell>
          <cell r="M354">
            <v>1.8404907975460124E-2</v>
          </cell>
          <cell r="O354" t="str">
            <v>$1823</v>
          </cell>
          <cell r="P354" t="str">
            <v>$1823</v>
          </cell>
          <cell r="Q354">
            <v>45613</v>
          </cell>
          <cell r="R354" t="str">
            <v>Chennai</v>
          </cell>
          <cell r="S354" t="str">
            <v>Tablet</v>
          </cell>
          <cell r="T354" t="str">
            <v>data analytics training</v>
          </cell>
        </row>
        <row r="355">
          <cell r="A355" t="str">
            <v>A1353</v>
          </cell>
          <cell r="B355" t="str">
            <v>Data Analytics Course</v>
          </cell>
          <cell r="C355">
            <v>138</v>
          </cell>
          <cell r="D355">
            <v>138</v>
          </cell>
          <cell r="E355">
            <v>5671</v>
          </cell>
          <cell r="F355">
            <v>5671</v>
          </cell>
          <cell r="G355" t="str">
            <v>$244.12</v>
          </cell>
          <cell r="H355" t="str">
            <v>$244.12</v>
          </cell>
          <cell r="I355">
            <v>26</v>
          </cell>
          <cell r="J355">
            <v>26</v>
          </cell>
          <cell r="K355">
            <v>3</v>
          </cell>
          <cell r="L355">
            <v>3</v>
          </cell>
          <cell r="M355">
            <v>2.1739130434782608E-2</v>
          </cell>
          <cell r="O355" t="str">
            <v>$1500</v>
          </cell>
          <cell r="Q355">
            <v>45609</v>
          </cell>
          <cell r="R355" t="str">
            <v>Chennai</v>
          </cell>
          <cell r="S355" t="str">
            <v>Tablet</v>
          </cell>
          <cell r="T355" t="str">
            <v>analytics for data</v>
          </cell>
        </row>
        <row r="356">
          <cell r="A356" t="str">
            <v>A1354</v>
          </cell>
          <cell r="B356" t="str">
            <v>Data Analytics Course</v>
          </cell>
          <cell r="C356">
            <v>194</v>
          </cell>
          <cell r="D356">
            <v>194</v>
          </cell>
          <cell r="E356">
            <v>5019</v>
          </cell>
          <cell r="F356">
            <v>5019</v>
          </cell>
          <cell r="G356" t="str">
            <v>$227.67</v>
          </cell>
          <cell r="H356" t="str">
            <v>$227.67</v>
          </cell>
          <cell r="I356">
            <v>28</v>
          </cell>
          <cell r="J356">
            <v>28</v>
          </cell>
          <cell r="K356">
            <v>7</v>
          </cell>
          <cell r="L356">
            <v>7</v>
          </cell>
          <cell r="M356">
            <v>3.608247422680412E-2</v>
          </cell>
          <cell r="N356">
            <v>3.5999999999999997E-2</v>
          </cell>
          <cell r="O356" t="str">
            <v>$1019</v>
          </cell>
          <cell r="P356" t="str">
            <v>$1019</v>
          </cell>
          <cell r="Q356">
            <v>45618</v>
          </cell>
          <cell r="R356" t="str">
            <v>Bangaluru</v>
          </cell>
          <cell r="S356" t="str">
            <v>Mobile</v>
          </cell>
          <cell r="T356" t="str">
            <v>learn data analytics</v>
          </cell>
        </row>
        <row r="357">
          <cell r="A357" t="str">
            <v>A1355</v>
          </cell>
          <cell r="B357" t="str">
            <v>Data Analytics Course</v>
          </cell>
          <cell r="C357">
            <v>177</v>
          </cell>
          <cell r="D357">
            <v>177</v>
          </cell>
          <cell r="E357">
            <v>3569</v>
          </cell>
          <cell r="F357">
            <v>3569</v>
          </cell>
          <cell r="G357" t="str">
            <v>$190.31</v>
          </cell>
          <cell r="H357" t="str">
            <v>$190.31</v>
          </cell>
          <cell r="I357">
            <v>13</v>
          </cell>
          <cell r="J357">
            <v>13</v>
          </cell>
          <cell r="K357">
            <v>8</v>
          </cell>
          <cell r="L357">
            <v>8</v>
          </cell>
          <cell r="M357">
            <v>4.519774011299435E-2</v>
          </cell>
          <cell r="N357">
            <v>3.5000000000000003E-2</v>
          </cell>
          <cell r="O357" t="str">
            <v>$1403</v>
          </cell>
          <cell r="P357" t="str">
            <v>$1403</v>
          </cell>
          <cell r="Q357">
            <v>45621</v>
          </cell>
          <cell r="R357" t="str">
            <v>Chennai</v>
          </cell>
          <cell r="S357" t="str">
            <v>Mobile</v>
          </cell>
          <cell r="T357" t="str">
            <v>online data analytic</v>
          </cell>
        </row>
        <row r="358">
          <cell r="A358" t="str">
            <v>A1356</v>
          </cell>
          <cell r="B358" t="str">
            <v>Data Analytics Course</v>
          </cell>
          <cell r="C358">
            <v>113</v>
          </cell>
          <cell r="D358">
            <v>113</v>
          </cell>
          <cell r="E358">
            <v>3420</v>
          </cell>
          <cell r="F358">
            <v>3420</v>
          </cell>
          <cell r="G358" t="str">
            <v>$223.48</v>
          </cell>
          <cell r="H358" t="str">
            <v>$223.48</v>
          </cell>
          <cell r="I358">
            <v>22</v>
          </cell>
          <cell r="J358">
            <v>22</v>
          </cell>
          <cell r="K358">
            <v>10</v>
          </cell>
          <cell r="L358">
            <v>10</v>
          </cell>
          <cell r="M358">
            <v>8.8495575221238937E-2</v>
          </cell>
          <cell r="N358">
            <v>5.8000000000000003E-2</v>
          </cell>
          <cell r="O358" t="str">
            <v>$1138</v>
          </cell>
          <cell r="P358" t="str">
            <v>$1138</v>
          </cell>
          <cell r="Q358">
            <v>45619</v>
          </cell>
          <cell r="R358" t="str">
            <v>Hyderabad</v>
          </cell>
          <cell r="S358" t="str">
            <v>Mobile</v>
          </cell>
          <cell r="T358" t="str">
            <v>online data analytic</v>
          </cell>
        </row>
        <row r="359">
          <cell r="A359" t="str">
            <v>A1357</v>
          </cell>
          <cell r="B359" t="str">
            <v>Data Analytics Course</v>
          </cell>
          <cell r="C359">
            <v>133</v>
          </cell>
          <cell r="D359">
            <v>133</v>
          </cell>
          <cell r="E359">
            <v>3064</v>
          </cell>
          <cell r="F359">
            <v>3064</v>
          </cell>
          <cell r="G359" t="str">
            <v>$221.8</v>
          </cell>
          <cell r="H359" t="str">
            <v>$221.8</v>
          </cell>
          <cell r="I359">
            <v>22</v>
          </cell>
          <cell r="J359">
            <v>22</v>
          </cell>
          <cell r="K359">
            <v>5</v>
          </cell>
          <cell r="L359">
            <v>5</v>
          </cell>
          <cell r="M359">
            <v>3.7593984962406013E-2</v>
          </cell>
          <cell r="N359">
            <v>3.7999999999999999E-2</v>
          </cell>
          <cell r="O359" t="str">
            <v>$1538</v>
          </cell>
          <cell r="P359" t="str">
            <v>$1538</v>
          </cell>
          <cell r="Q359">
            <v>45607</v>
          </cell>
          <cell r="R359" t="str">
            <v>Hyderabad</v>
          </cell>
          <cell r="S359" t="str">
            <v>Mobile</v>
          </cell>
          <cell r="T359" t="str">
            <v>learn data analytics</v>
          </cell>
        </row>
        <row r="360">
          <cell r="A360" t="str">
            <v>A1358</v>
          </cell>
          <cell r="B360" t="str">
            <v>Data Analytics Course</v>
          </cell>
          <cell r="C360">
            <v>118</v>
          </cell>
          <cell r="D360">
            <v>118</v>
          </cell>
          <cell r="E360">
            <v>3730</v>
          </cell>
          <cell r="F360">
            <v>3730</v>
          </cell>
          <cell r="G360" t="str">
            <v>$207.5</v>
          </cell>
          <cell r="H360" t="str">
            <v>$207.5</v>
          </cell>
          <cell r="I360">
            <v>25</v>
          </cell>
          <cell r="J360">
            <v>25</v>
          </cell>
          <cell r="K360">
            <v>8</v>
          </cell>
          <cell r="L360">
            <v>8</v>
          </cell>
          <cell r="M360">
            <v>6.7796610169491525E-2</v>
          </cell>
          <cell r="N360">
            <v>3.9E-2</v>
          </cell>
          <cell r="O360" t="str">
            <v>$1011</v>
          </cell>
          <cell r="P360" t="str">
            <v>$1011</v>
          </cell>
          <cell r="Q360">
            <v>45608</v>
          </cell>
          <cell r="R360" t="str">
            <v>Bangaluru</v>
          </cell>
          <cell r="S360" t="str">
            <v>Mobile</v>
          </cell>
          <cell r="T360" t="str">
            <v>data analytics training</v>
          </cell>
        </row>
        <row r="361">
          <cell r="A361" t="str">
            <v>A1359</v>
          </cell>
          <cell r="B361" t="str">
            <v>Data Analytcis Course</v>
          </cell>
          <cell r="C361">
            <v>109</v>
          </cell>
          <cell r="D361">
            <v>109</v>
          </cell>
          <cell r="E361">
            <v>5852</v>
          </cell>
          <cell r="F361">
            <v>5852</v>
          </cell>
          <cell r="G361" t="str">
            <v>$235.44</v>
          </cell>
          <cell r="H361" t="str">
            <v>$235.44</v>
          </cell>
          <cell r="I361">
            <v>20</v>
          </cell>
          <cell r="J361">
            <v>20</v>
          </cell>
          <cell r="K361">
            <v>5</v>
          </cell>
          <cell r="L361">
            <v>5</v>
          </cell>
          <cell r="M361">
            <v>4.5871559633027525E-2</v>
          </cell>
          <cell r="N361">
            <v>4.5999999999999999E-2</v>
          </cell>
          <cell r="O361" t="str">
            <v>$1946</v>
          </cell>
          <cell r="P361" t="str">
            <v>$1946</v>
          </cell>
          <cell r="Q361">
            <v>45610</v>
          </cell>
          <cell r="R361" t="str">
            <v>Hyderabad</v>
          </cell>
          <cell r="S361" t="str">
            <v>Desktop</v>
          </cell>
          <cell r="T361" t="str">
            <v>analytics for data</v>
          </cell>
        </row>
        <row r="362">
          <cell r="A362" t="str">
            <v>A1360</v>
          </cell>
          <cell r="B362" t="str">
            <v>Data Analytics Course</v>
          </cell>
          <cell r="C362">
            <v>109</v>
          </cell>
          <cell r="D362">
            <v>109</v>
          </cell>
          <cell r="E362">
            <v>4011</v>
          </cell>
          <cell r="F362">
            <v>4011</v>
          </cell>
          <cell r="G362" t="str">
            <v>$184.51</v>
          </cell>
          <cell r="H362" t="str">
            <v>$184.51</v>
          </cell>
          <cell r="I362">
            <v>13</v>
          </cell>
          <cell r="J362">
            <v>13</v>
          </cell>
          <cell r="K362">
            <v>6</v>
          </cell>
          <cell r="L362">
            <v>6</v>
          </cell>
          <cell r="M362">
            <v>5.5045871559633031E-2</v>
          </cell>
          <cell r="N362">
            <v>5.2999999999999999E-2</v>
          </cell>
          <cell r="O362" t="str">
            <v>$1375</v>
          </cell>
          <cell r="P362" t="str">
            <v>$1375</v>
          </cell>
          <cell r="Q362">
            <v>45619</v>
          </cell>
          <cell r="R362" t="str">
            <v>Hyderabad</v>
          </cell>
          <cell r="S362" t="str">
            <v>Desktop</v>
          </cell>
          <cell r="T362" t="str">
            <v>data analytics online</v>
          </cell>
        </row>
        <row r="363">
          <cell r="A363" t="str">
            <v>A1361</v>
          </cell>
          <cell r="B363" t="str">
            <v>Data Analytcis Course</v>
          </cell>
          <cell r="C363">
            <v>128</v>
          </cell>
          <cell r="D363">
            <v>128</v>
          </cell>
          <cell r="E363">
            <v>4636</v>
          </cell>
          <cell r="F363">
            <v>4636</v>
          </cell>
          <cell r="G363" t="str">
            <v>$243.83</v>
          </cell>
          <cell r="H363" t="str">
            <v>$243.83</v>
          </cell>
          <cell r="I363">
            <v>20</v>
          </cell>
          <cell r="J363">
            <v>20</v>
          </cell>
          <cell r="K363">
            <v>10</v>
          </cell>
          <cell r="L363">
            <v>10</v>
          </cell>
          <cell r="M363">
            <v>7.8125E-2</v>
          </cell>
          <cell r="N363">
            <v>5.8999999999999997E-2</v>
          </cell>
          <cell r="O363" t="str">
            <v>$1941</v>
          </cell>
          <cell r="P363" t="str">
            <v>$1941</v>
          </cell>
          <cell r="Q363">
            <v>45598</v>
          </cell>
          <cell r="R363" t="str">
            <v>Hyderabad</v>
          </cell>
          <cell r="S363" t="str">
            <v>Mobile</v>
          </cell>
          <cell r="T363" t="str">
            <v>data analytics training</v>
          </cell>
        </row>
        <row r="364">
          <cell r="A364" t="str">
            <v>A1362</v>
          </cell>
          <cell r="B364" t="str">
            <v>Data Analytics Course</v>
          </cell>
          <cell r="C364">
            <v>181</v>
          </cell>
          <cell r="D364">
            <v>181</v>
          </cell>
          <cell r="E364">
            <v>3087</v>
          </cell>
          <cell r="F364">
            <v>3087</v>
          </cell>
          <cell r="G364" t="str">
            <v>$201.29</v>
          </cell>
          <cell r="H364" t="str">
            <v>$201.29</v>
          </cell>
          <cell r="I364">
            <v>19</v>
          </cell>
          <cell r="J364">
            <v>19</v>
          </cell>
          <cell r="K364">
            <v>10</v>
          </cell>
          <cell r="L364">
            <v>10</v>
          </cell>
          <cell r="M364">
            <v>5.5248618784530384E-2</v>
          </cell>
          <cell r="O364" t="str">
            <v>$1500</v>
          </cell>
          <cell r="Q364">
            <v>45616</v>
          </cell>
          <cell r="R364" t="str">
            <v>Chennai</v>
          </cell>
          <cell r="S364" t="str">
            <v>Mobile</v>
          </cell>
          <cell r="T364" t="str">
            <v>data analytics online</v>
          </cell>
        </row>
        <row r="365">
          <cell r="A365" t="str">
            <v>A1363</v>
          </cell>
          <cell r="B365" t="str">
            <v>Data Analytics Course</v>
          </cell>
          <cell r="C365">
            <v>89</v>
          </cell>
          <cell r="D365">
            <v>89</v>
          </cell>
          <cell r="E365">
            <v>5872</v>
          </cell>
          <cell r="F365">
            <v>5872</v>
          </cell>
          <cell r="G365" t="str">
            <v>$198.32</v>
          </cell>
          <cell r="H365" t="str">
            <v>$198.32</v>
          </cell>
          <cell r="I365">
            <v>14</v>
          </cell>
          <cell r="J365">
            <v>14</v>
          </cell>
          <cell r="K365">
            <v>6</v>
          </cell>
          <cell r="L365">
            <v>6</v>
          </cell>
          <cell r="M365">
            <v>6.741573033707865E-2</v>
          </cell>
          <cell r="N365">
            <v>6.7000000000000004E-2</v>
          </cell>
          <cell r="O365" t="str">
            <v>$1553</v>
          </cell>
          <cell r="P365" t="str">
            <v>$1553</v>
          </cell>
          <cell r="Q365">
            <v>45616</v>
          </cell>
          <cell r="R365" t="str">
            <v>Hyderabad</v>
          </cell>
          <cell r="S365" t="str">
            <v>Mobile</v>
          </cell>
          <cell r="T365" t="str">
            <v>online data analytic</v>
          </cell>
        </row>
        <row r="366">
          <cell r="A366" t="str">
            <v>A1364</v>
          </cell>
          <cell r="B366" t="str">
            <v>Data Analytics Course</v>
          </cell>
          <cell r="C366">
            <v>157</v>
          </cell>
          <cell r="D366">
            <v>157</v>
          </cell>
          <cell r="E366">
            <v>5762</v>
          </cell>
          <cell r="F366">
            <v>5762</v>
          </cell>
          <cell r="G366" t="str">
            <v>$248.1</v>
          </cell>
          <cell r="H366" t="str">
            <v>$248.1</v>
          </cell>
          <cell r="I366">
            <v>26</v>
          </cell>
          <cell r="J366">
            <v>26</v>
          </cell>
          <cell r="K366">
            <v>4</v>
          </cell>
          <cell r="L366">
            <v>4</v>
          </cell>
          <cell r="M366">
            <v>2.5477707006369428E-2</v>
          </cell>
          <cell r="N366">
            <v>2.5000000000000001E-2</v>
          </cell>
          <cell r="O366" t="str">
            <v>$1999</v>
          </cell>
          <cell r="P366" t="str">
            <v>$1999</v>
          </cell>
          <cell r="Q366">
            <v>45601</v>
          </cell>
          <cell r="R366" t="str">
            <v>Hyderabad</v>
          </cell>
          <cell r="S366" t="str">
            <v>Tablet</v>
          </cell>
          <cell r="T366" t="str">
            <v>data analytics online</v>
          </cell>
        </row>
        <row r="367">
          <cell r="A367" t="str">
            <v>A1365</v>
          </cell>
          <cell r="B367" t="str">
            <v>Data Analytics Course</v>
          </cell>
          <cell r="C367">
            <v>88</v>
          </cell>
          <cell r="D367">
            <v>88</v>
          </cell>
          <cell r="E367">
            <v>3396</v>
          </cell>
          <cell r="F367">
            <v>3396</v>
          </cell>
          <cell r="G367" t="str">
            <v>$193.79</v>
          </cell>
          <cell r="H367" t="str">
            <v>$193.79</v>
          </cell>
          <cell r="I367">
            <v>19</v>
          </cell>
          <cell r="J367">
            <v>19</v>
          </cell>
          <cell r="K367">
            <v>5</v>
          </cell>
          <cell r="L367">
            <v>5</v>
          </cell>
          <cell r="M367">
            <v>5.6818181818181816E-2</v>
          </cell>
          <cell r="N367">
            <v>5.7000000000000002E-2</v>
          </cell>
          <cell r="O367" t="str">
            <v>$1860</v>
          </cell>
          <cell r="P367" t="str">
            <v>$1860</v>
          </cell>
          <cell r="Q367">
            <v>45614</v>
          </cell>
          <cell r="R367" t="str">
            <v>Bangaluru</v>
          </cell>
          <cell r="S367" t="str">
            <v>Mobile</v>
          </cell>
          <cell r="T367" t="str">
            <v>online data analytic</v>
          </cell>
        </row>
        <row r="368">
          <cell r="A368" t="str">
            <v>A1366</v>
          </cell>
          <cell r="B368" t="str">
            <v>Data Analytics Course</v>
          </cell>
          <cell r="C368">
            <v>130</v>
          </cell>
          <cell r="D368">
            <v>130</v>
          </cell>
          <cell r="E368">
            <v>3092</v>
          </cell>
          <cell r="F368">
            <v>3092</v>
          </cell>
          <cell r="G368" t="str">
            <v>$211.39</v>
          </cell>
          <cell r="H368" t="str">
            <v>$211.39</v>
          </cell>
          <cell r="I368">
            <v>28</v>
          </cell>
          <cell r="J368">
            <v>28</v>
          </cell>
          <cell r="K368">
            <v>7</v>
          </cell>
          <cell r="L368">
            <v>7</v>
          </cell>
          <cell r="M368">
            <v>5.3846153846153849E-2</v>
          </cell>
          <cell r="N368">
            <v>5.3999999999999999E-2</v>
          </cell>
          <cell r="O368" t="str">
            <v>$1031</v>
          </cell>
          <cell r="P368" t="str">
            <v>$1031</v>
          </cell>
          <cell r="Q368">
            <v>45620</v>
          </cell>
          <cell r="R368" t="str">
            <v>Bangaluru</v>
          </cell>
          <cell r="S368" t="str">
            <v>Tablet</v>
          </cell>
          <cell r="T368" t="str">
            <v>data analytics course</v>
          </cell>
        </row>
        <row r="369">
          <cell r="A369" t="str">
            <v>A1367</v>
          </cell>
          <cell r="B369" t="str">
            <v>Data Analytics Course</v>
          </cell>
          <cell r="C369">
            <v>194</v>
          </cell>
          <cell r="D369">
            <v>194</v>
          </cell>
          <cell r="E369">
            <v>4240</v>
          </cell>
          <cell r="F369">
            <v>4240</v>
          </cell>
          <cell r="G369" t="str">
            <v>$213.45</v>
          </cell>
          <cell r="H369" t="str">
            <v>$213.45</v>
          </cell>
          <cell r="I369">
            <v>18</v>
          </cell>
          <cell r="J369">
            <v>18</v>
          </cell>
          <cell r="K369">
            <v>4</v>
          </cell>
          <cell r="L369">
            <v>4</v>
          </cell>
          <cell r="M369">
            <v>2.0618556701030927E-2</v>
          </cell>
          <cell r="O369" t="str">
            <v>$1890</v>
          </cell>
          <cell r="P369" t="str">
            <v>$1890</v>
          </cell>
          <cell r="Q369">
            <v>45619</v>
          </cell>
          <cell r="R369" t="str">
            <v>Hyderabad</v>
          </cell>
          <cell r="S369" t="str">
            <v>Tablet</v>
          </cell>
          <cell r="T369" t="str">
            <v>data analytics online</v>
          </cell>
        </row>
        <row r="370">
          <cell r="A370" t="str">
            <v>A1368</v>
          </cell>
          <cell r="B370" t="str">
            <v>Data Analytics Course</v>
          </cell>
          <cell r="C370">
            <v>180</v>
          </cell>
          <cell r="D370">
            <v>180</v>
          </cell>
          <cell r="E370">
            <v>4297</v>
          </cell>
          <cell r="F370">
            <v>4297</v>
          </cell>
          <cell r="G370" t="str">
            <v>$200.04</v>
          </cell>
          <cell r="H370" t="str">
            <v>$200.04</v>
          </cell>
          <cell r="I370">
            <v>24</v>
          </cell>
          <cell r="J370">
            <v>24</v>
          </cell>
          <cell r="K370">
            <v>5</v>
          </cell>
          <cell r="L370">
            <v>5</v>
          </cell>
          <cell r="M370">
            <v>2.7777777777777776E-2</v>
          </cell>
          <cell r="O370" t="str">
            <v>$1050</v>
          </cell>
          <cell r="P370" t="str">
            <v>$1050</v>
          </cell>
          <cell r="Q370">
            <v>45614</v>
          </cell>
          <cell r="R370" t="str">
            <v>Hyderabad</v>
          </cell>
          <cell r="S370" t="str">
            <v>Mobile</v>
          </cell>
          <cell r="T370" t="str">
            <v>data analytics course</v>
          </cell>
        </row>
        <row r="371">
          <cell r="A371" t="str">
            <v>A1369</v>
          </cell>
          <cell r="B371" t="str">
            <v>Data Analytics Course</v>
          </cell>
          <cell r="C371">
            <v>138.95699356913184</v>
          </cell>
          <cell r="E371">
            <v>5518</v>
          </cell>
          <cell r="F371">
            <v>5518</v>
          </cell>
          <cell r="G371" t="str">
            <v>$243.83</v>
          </cell>
          <cell r="H371" t="str">
            <v>$243.83</v>
          </cell>
          <cell r="I371">
            <v>15</v>
          </cell>
          <cell r="J371">
            <v>15</v>
          </cell>
          <cell r="K371">
            <v>10</v>
          </cell>
          <cell r="L371">
            <v>10</v>
          </cell>
          <cell r="M371">
            <v>7.1964711837443046E-2</v>
          </cell>
          <cell r="O371" t="str">
            <v>$1862</v>
          </cell>
          <cell r="P371" t="str">
            <v>$1862</v>
          </cell>
          <cell r="Q371">
            <v>45618</v>
          </cell>
          <cell r="R371" t="str">
            <v>Hyderabad</v>
          </cell>
          <cell r="S371" t="str">
            <v>Mobile</v>
          </cell>
          <cell r="T371" t="str">
            <v>data analytics online</v>
          </cell>
        </row>
        <row r="372">
          <cell r="A372" t="str">
            <v>A1370</v>
          </cell>
          <cell r="B372" t="str">
            <v>Data Analytics Course</v>
          </cell>
          <cell r="C372">
            <v>138.95699356913184</v>
          </cell>
          <cell r="E372">
            <v>5039</v>
          </cell>
          <cell r="F372">
            <v>5039</v>
          </cell>
          <cell r="G372" t="str">
            <v>$235.44</v>
          </cell>
          <cell r="H372" t="str">
            <v>$235.44</v>
          </cell>
          <cell r="I372">
            <v>24</v>
          </cell>
          <cell r="J372">
            <v>24</v>
          </cell>
          <cell r="K372">
            <v>7</v>
          </cell>
          <cell r="L372">
            <v>7</v>
          </cell>
          <cell r="M372">
            <v>5.0375298286210138E-2</v>
          </cell>
          <cell r="O372" t="str">
            <v>$1839</v>
          </cell>
          <cell r="P372" t="str">
            <v>$1839</v>
          </cell>
          <cell r="Q372">
            <v>45604</v>
          </cell>
          <cell r="R372" t="str">
            <v>Hyderabad</v>
          </cell>
          <cell r="S372" t="str">
            <v>Desktop</v>
          </cell>
          <cell r="T372" t="str">
            <v>data analytics online</v>
          </cell>
        </row>
        <row r="373">
          <cell r="A373" t="str">
            <v>A1371</v>
          </cell>
          <cell r="B373" t="str">
            <v>Data Analytcis Course</v>
          </cell>
          <cell r="C373">
            <v>138.95699356913184</v>
          </cell>
          <cell r="E373">
            <v>3596</v>
          </cell>
          <cell r="F373">
            <v>3596</v>
          </cell>
          <cell r="G373" t="str">
            <v>$210.31</v>
          </cell>
          <cell r="H373" t="str">
            <v>$210.31</v>
          </cell>
          <cell r="I373">
            <v>23</v>
          </cell>
          <cell r="J373">
            <v>23</v>
          </cell>
          <cell r="K373">
            <v>9</v>
          </cell>
          <cell r="L373">
            <v>9</v>
          </cell>
          <cell r="M373">
            <v>6.4768240653698753E-2</v>
          </cell>
          <cell r="O373" t="str">
            <v>$1269</v>
          </cell>
          <cell r="P373" t="str">
            <v>$1269</v>
          </cell>
          <cell r="Q373">
            <v>45597</v>
          </cell>
          <cell r="R373" t="str">
            <v>Chennai</v>
          </cell>
          <cell r="S373" t="str">
            <v>Tablet</v>
          </cell>
          <cell r="T373" t="str">
            <v>online data analytic</v>
          </cell>
        </row>
        <row r="374">
          <cell r="A374" t="str">
            <v>A1372</v>
          </cell>
          <cell r="B374" t="str">
            <v>Data Analytics Course</v>
          </cell>
          <cell r="C374">
            <v>118</v>
          </cell>
          <cell r="D374">
            <v>118</v>
          </cell>
          <cell r="E374">
            <v>4845</v>
          </cell>
          <cell r="F374">
            <v>4845</v>
          </cell>
          <cell r="G374" t="str">
            <v>$190.25</v>
          </cell>
          <cell r="H374" t="str">
            <v>$190.25</v>
          </cell>
          <cell r="I374">
            <v>11</v>
          </cell>
          <cell r="J374">
            <v>11</v>
          </cell>
          <cell r="K374">
            <v>3</v>
          </cell>
          <cell r="L374">
            <v>3</v>
          </cell>
          <cell r="M374">
            <v>2.5423728813559324E-2</v>
          </cell>
          <cell r="N374">
            <v>4.5999999999999999E-2</v>
          </cell>
          <cell r="O374" t="str">
            <v>$1446</v>
          </cell>
          <cell r="P374" t="str">
            <v>$1446</v>
          </cell>
          <cell r="Q374">
            <v>45614</v>
          </cell>
          <cell r="R374" t="str">
            <v>Bangaluru</v>
          </cell>
          <cell r="S374" t="str">
            <v>Desktop</v>
          </cell>
          <cell r="T374" t="str">
            <v>analytics for data</v>
          </cell>
        </row>
        <row r="375">
          <cell r="A375" t="str">
            <v>A1373</v>
          </cell>
          <cell r="B375" t="str">
            <v>Data Analytics Course</v>
          </cell>
          <cell r="C375">
            <v>101</v>
          </cell>
          <cell r="D375">
            <v>101</v>
          </cell>
          <cell r="E375">
            <v>4883</v>
          </cell>
          <cell r="F375">
            <v>4883</v>
          </cell>
          <cell r="G375" t="str">
            <v>$237.89</v>
          </cell>
          <cell r="H375" t="str">
            <v>$237.89</v>
          </cell>
          <cell r="I375">
            <v>11</v>
          </cell>
          <cell r="J375">
            <v>11</v>
          </cell>
          <cell r="K375">
            <v>6</v>
          </cell>
          <cell r="L375">
            <v>6</v>
          </cell>
          <cell r="M375">
            <v>5.9405940594059403E-2</v>
          </cell>
          <cell r="O375" t="str">
            <v>$1368</v>
          </cell>
          <cell r="P375" t="str">
            <v>$1368</v>
          </cell>
          <cell r="Q375">
            <v>45610</v>
          </cell>
          <cell r="R375" t="str">
            <v>Chennai</v>
          </cell>
          <cell r="S375" t="str">
            <v>Desktop</v>
          </cell>
          <cell r="T375" t="str">
            <v>analytics for data</v>
          </cell>
        </row>
        <row r="376">
          <cell r="A376" t="str">
            <v>A1374</v>
          </cell>
          <cell r="B376" t="str">
            <v>Data Analytics Course</v>
          </cell>
          <cell r="C376">
            <v>120</v>
          </cell>
          <cell r="D376">
            <v>120</v>
          </cell>
          <cell r="E376">
            <v>4618</v>
          </cell>
          <cell r="F376">
            <v>4618</v>
          </cell>
          <cell r="G376" t="str">
            <v>$200.91</v>
          </cell>
          <cell r="H376" t="str">
            <v>$200.91</v>
          </cell>
          <cell r="I376">
            <v>18</v>
          </cell>
          <cell r="J376">
            <v>18</v>
          </cell>
          <cell r="K376">
            <v>7</v>
          </cell>
          <cell r="L376">
            <v>7</v>
          </cell>
          <cell r="M376">
            <v>5.8333333333333334E-2</v>
          </cell>
          <cell r="N376">
            <v>5.8000000000000003E-2</v>
          </cell>
          <cell r="O376" t="str">
            <v>$1775</v>
          </cell>
          <cell r="P376" t="str">
            <v>$1775</v>
          </cell>
          <cell r="Q376">
            <v>45598</v>
          </cell>
          <cell r="R376" t="str">
            <v>Bangaluru</v>
          </cell>
          <cell r="S376" t="str">
            <v>Tablet</v>
          </cell>
          <cell r="T376" t="str">
            <v>data analytics online</v>
          </cell>
        </row>
        <row r="377">
          <cell r="A377" t="str">
            <v>A1375</v>
          </cell>
          <cell r="B377" t="str">
            <v>Data Analytcis Course</v>
          </cell>
          <cell r="C377">
            <v>194</v>
          </cell>
          <cell r="D377">
            <v>194</v>
          </cell>
          <cell r="E377">
            <v>3941</v>
          </cell>
          <cell r="F377">
            <v>3941</v>
          </cell>
          <cell r="G377" t="str">
            <v>$240.35</v>
          </cell>
          <cell r="H377" t="str">
            <v>$240.35</v>
          </cell>
          <cell r="I377">
            <v>27</v>
          </cell>
          <cell r="J377">
            <v>27</v>
          </cell>
          <cell r="K377">
            <v>10</v>
          </cell>
          <cell r="L377">
            <v>10</v>
          </cell>
          <cell r="M377">
            <v>5.1546391752577317E-2</v>
          </cell>
          <cell r="N377">
            <v>5.1999999999999998E-2</v>
          </cell>
          <cell r="O377" t="str">
            <v>$1373</v>
          </cell>
          <cell r="P377" t="str">
            <v>$1373</v>
          </cell>
          <cell r="Q377">
            <v>45607</v>
          </cell>
          <cell r="R377" t="str">
            <v>Hyderabad</v>
          </cell>
          <cell r="S377" t="str">
            <v>Desktop</v>
          </cell>
          <cell r="T377" t="str">
            <v>data analytics course</v>
          </cell>
        </row>
        <row r="378">
          <cell r="A378" t="str">
            <v>A1376</v>
          </cell>
          <cell r="B378" t="str">
            <v>Data Analytcis Course</v>
          </cell>
          <cell r="C378">
            <v>135</v>
          </cell>
          <cell r="D378">
            <v>135</v>
          </cell>
          <cell r="E378">
            <v>5096</v>
          </cell>
          <cell r="F378">
            <v>5096</v>
          </cell>
          <cell r="G378" t="str">
            <v>$230.32</v>
          </cell>
          <cell r="H378" t="str">
            <v>$230.32</v>
          </cell>
          <cell r="I378">
            <v>14</v>
          </cell>
          <cell r="J378">
            <v>14</v>
          </cell>
          <cell r="K378">
            <v>4</v>
          </cell>
          <cell r="L378">
            <v>4</v>
          </cell>
          <cell r="M378">
            <v>2.9629629629629631E-2</v>
          </cell>
          <cell r="N378">
            <v>0.03</v>
          </cell>
          <cell r="O378" t="str">
            <v>$1478</v>
          </cell>
          <cell r="P378" t="str">
            <v>$1478</v>
          </cell>
          <cell r="Q378">
            <v>45614</v>
          </cell>
          <cell r="R378" t="str">
            <v>Chennai</v>
          </cell>
          <cell r="S378" t="str">
            <v>Mobile</v>
          </cell>
          <cell r="T378" t="str">
            <v>data analytics training</v>
          </cell>
        </row>
        <row r="379">
          <cell r="A379" t="str">
            <v>A1377</v>
          </cell>
          <cell r="B379" t="str">
            <v>Data Analytics Course</v>
          </cell>
          <cell r="C379">
            <v>190</v>
          </cell>
          <cell r="D379">
            <v>190</v>
          </cell>
          <cell r="E379">
            <v>5537</v>
          </cell>
          <cell r="F379">
            <v>5537</v>
          </cell>
          <cell r="G379" t="str">
            <v>$188.98</v>
          </cell>
          <cell r="H379" t="str">
            <v>$188.98</v>
          </cell>
          <cell r="I379">
            <v>20</v>
          </cell>
          <cell r="J379">
            <v>20</v>
          </cell>
          <cell r="K379">
            <v>4</v>
          </cell>
          <cell r="L379">
            <v>4</v>
          </cell>
          <cell r="M379">
            <v>2.1052631578947368E-2</v>
          </cell>
          <cell r="N379">
            <v>2.1000000000000001E-2</v>
          </cell>
          <cell r="O379" t="str">
            <v>$1989</v>
          </cell>
          <cell r="P379" t="str">
            <v>$1989</v>
          </cell>
          <cell r="Q379">
            <v>45600</v>
          </cell>
          <cell r="R379" t="str">
            <v>Hyderabad</v>
          </cell>
          <cell r="S379" t="str">
            <v>Tablet</v>
          </cell>
          <cell r="T379" t="str">
            <v>learn data analytics</v>
          </cell>
        </row>
        <row r="380">
          <cell r="A380" t="str">
            <v>A1378</v>
          </cell>
          <cell r="B380" t="str">
            <v>Data Analytcis Course</v>
          </cell>
          <cell r="C380">
            <v>198</v>
          </cell>
          <cell r="D380">
            <v>198</v>
          </cell>
          <cell r="E380">
            <v>4208</v>
          </cell>
          <cell r="F380">
            <v>4208</v>
          </cell>
          <cell r="G380" t="str">
            <v>$180.06</v>
          </cell>
          <cell r="H380" t="str">
            <v>$180.06</v>
          </cell>
          <cell r="I380">
            <v>19</v>
          </cell>
          <cell r="J380">
            <v>19</v>
          </cell>
          <cell r="K380">
            <v>8</v>
          </cell>
          <cell r="L380">
            <v>8</v>
          </cell>
          <cell r="M380">
            <v>4.0404040404040407E-2</v>
          </cell>
          <cell r="N380">
            <v>0.04</v>
          </cell>
          <cell r="O380" t="str">
            <v>$1462</v>
          </cell>
          <cell r="P380" t="str">
            <v>$1462</v>
          </cell>
          <cell r="Q380">
            <v>45604</v>
          </cell>
          <cell r="R380" t="str">
            <v>Hyderabad</v>
          </cell>
          <cell r="S380" t="str">
            <v>Mobile</v>
          </cell>
          <cell r="T380" t="str">
            <v>data analytics training</v>
          </cell>
        </row>
        <row r="381">
          <cell r="A381" t="str">
            <v>A1379</v>
          </cell>
          <cell r="B381" t="str">
            <v>Data Analytics Course</v>
          </cell>
          <cell r="C381">
            <v>87</v>
          </cell>
          <cell r="D381">
            <v>87</v>
          </cell>
          <cell r="E381">
            <v>5358</v>
          </cell>
          <cell r="F381">
            <v>5358</v>
          </cell>
          <cell r="G381" t="str">
            <v>$236.57</v>
          </cell>
          <cell r="H381" t="str">
            <v>$236.57</v>
          </cell>
          <cell r="I381">
            <v>19</v>
          </cell>
          <cell r="J381">
            <v>19</v>
          </cell>
          <cell r="K381">
            <v>5</v>
          </cell>
          <cell r="L381">
            <v>5</v>
          </cell>
          <cell r="M381">
            <v>5.7471264367816091E-2</v>
          </cell>
          <cell r="N381">
            <v>5.7000000000000002E-2</v>
          </cell>
          <cell r="O381" t="str">
            <v>$1141</v>
          </cell>
          <cell r="P381" t="str">
            <v>$1141</v>
          </cell>
          <cell r="Q381">
            <v>45598</v>
          </cell>
          <cell r="R381" t="str">
            <v>Chennai</v>
          </cell>
          <cell r="S381" t="str">
            <v>Tablet</v>
          </cell>
          <cell r="T381" t="str">
            <v>learn data analytics</v>
          </cell>
        </row>
        <row r="382">
          <cell r="A382" t="str">
            <v>A1380</v>
          </cell>
          <cell r="B382" t="str">
            <v>Data Analytcis Course</v>
          </cell>
          <cell r="C382">
            <v>106</v>
          </cell>
          <cell r="D382">
            <v>106</v>
          </cell>
          <cell r="E382">
            <v>5583</v>
          </cell>
          <cell r="F382">
            <v>5583</v>
          </cell>
          <cell r="G382" t="str">
            <v>$218.81</v>
          </cell>
          <cell r="H382" t="str">
            <v>$218.81</v>
          </cell>
          <cell r="I382">
            <v>13</v>
          </cell>
          <cell r="J382">
            <v>13</v>
          </cell>
          <cell r="K382">
            <v>3</v>
          </cell>
          <cell r="L382">
            <v>3</v>
          </cell>
          <cell r="M382">
            <v>2.8301886792452831E-2</v>
          </cell>
          <cell r="N382">
            <v>2.8000000000000001E-2</v>
          </cell>
          <cell r="O382" t="str">
            <v>$1049</v>
          </cell>
          <cell r="P382" t="str">
            <v>$1049</v>
          </cell>
          <cell r="Q382">
            <v>45611</v>
          </cell>
          <cell r="R382" t="str">
            <v>Hyderabad</v>
          </cell>
          <cell r="S382" t="str">
            <v>Desktop</v>
          </cell>
          <cell r="T382" t="str">
            <v>data analytics course</v>
          </cell>
        </row>
        <row r="383">
          <cell r="A383" t="str">
            <v>A1381</v>
          </cell>
          <cell r="B383" t="str">
            <v>Data Analytics Course</v>
          </cell>
          <cell r="C383">
            <v>169</v>
          </cell>
          <cell r="D383">
            <v>169</v>
          </cell>
          <cell r="E383">
            <v>3069</v>
          </cell>
          <cell r="F383">
            <v>3069</v>
          </cell>
          <cell r="G383" t="str">
            <v>$227.7</v>
          </cell>
          <cell r="H383" t="str">
            <v>$227.7</v>
          </cell>
          <cell r="I383">
            <v>12</v>
          </cell>
          <cell r="J383">
            <v>12</v>
          </cell>
          <cell r="K383">
            <v>5</v>
          </cell>
          <cell r="L383">
            <v>5</v>
          </cell>
          <cell r="M383">
            <v>2.9585798816568046E-2</v>
          </cell>
          <cell r="N383">
            <v>0.03</v>
          </cell>
          <cell r="O383" t="str">
            <v>$1063</v>
          </cell>
          <cell r="P383" t="str">
            <v>$1063</v>
          </cell>
          <cell r="Q383">
            <v>45624</v>
          </cell>
          <cell r="R383" t="str">
            <v>Hyderabad</v>
          </cell>
          <cell r="S383" t="str">
            <v>Mobile</v>
          </cell>
          <cell r="T383" t="str">
            <v>data analytics course</v>
          </cell>
        </row>
        <row r="384">
          <cell r="A384" t="str">
            <v>A1382</v>
          </cell>
          <cell r="B384" t="str">
            <v>Data Analytics Course</v>
          </cell>
          <cell r="C384">
            <v>195</v>
          </cell>
          <cell r="D384">
            <v>195</v>
          </cell>
          <cell r="E384">
            <v>3738</v>
          </cell>
          <cell r="F384">
            <v>3738</v>
          </cell>
          <cell r="G384" t="str">
            <v>$202.08</v>
          </cell>
          <cell r="H384" t="str">
            <v>$202.08</v>
          </cell>
          <cell r="I384">
            <v>18</v>
          </cell>
          <cell r="J384">
            <v>18</v>
          </cell>
          <cell r="K384">
            <v>7</v>
          </cell>
          <cell r="L384">
            <v>7</v>
          </cell>
          <cell r="M384">
            <v>3.5897435897435895E-2</v>
          </cell>
          <cell r="O384" t="str">
            <v>$1647</v>
          </cell>
          <cell r="P384" t="str">
            <v>$1647</v>
          </cell>
          <cell r="Q384">
            <v>45612</v>
          </cell>
          <cell r="R384" t="str">
            <v>Hyderabad</v>
          </cell>
          <cell r="S384" t="str">
            <v>Tablet</v>
          </cell>
          <cell r="T384" t="str">
            <v>online data analytic</v>
          </cell>
        </row>
        <row r="385">
          <cell r="A385" t="str">
            <v>A1383</v>
          </cell>
          <cell r="B385" t="str">
            <v>Data Analytics Course</v>
          </cell>
          <cell r="C385">
            <v>161</v>
          </cell>
          <cell r="D385">
            <v>161</v>
          </cell>
          <cell r="E385">
            <v>4852</v>
          </cell>
          <cell r="F385">
            <v>4852</v>
          </cell>
          <cell r="G385" t="str">
            <v>$235.1</v>
          </cell>
          <cell r="H385" t="str">
            <v>$235.1</v>
          </cell>
          <cell r="I385">
            <v>10</v>
          </cell>
          <cell r="J385">
            <v>10</v>
          </cell>
          <cell r="K385">
            <v>8</v>
          </cell>
          <cell r="L385">
            <v>8</v>
          </cell>
          <cell r="M385">
            <v>4.9689440993788817E-2</v>
          </cell>
          <cell r="N385">
            <v>0.05</v>
          </cell>
          <cell r="O385" t="str">
            <v>$1738</v>
          </cell>
          <cell r="P385" t="str">
            <v>$1738</v>
          </cell>
          <cell r="Q385">
            <v>45620</v>
          </cell>
          <cell r="R385" t="str">
            <v>Hyderabad</v>
          </cell>
          <cell r="S385" t="str">
            <v>Desktop</v>
          </cell>
          <cell r="T385" t="str">
            <v>online data analytic</v>
          </cell>
        </row>
        <row r="386">
          <cell r="A386" t="str">
            <v>A1384</v>
          </cell>
          <cell r="B386" t="str">
            <v>Data Analytics Course</v>
          </cell>
          <cell r="C386">
            <v>195</v>
          </cell>
          <cell r="D386">
            <v>195</v>
          </cell>
          <cell r="E386">
            <v>5120</v>
          </cell>
          <cell r="F386">
            <v>5120</v>
          </cell>
          <cell r="G386" t="str">
            <v>$249.6</v>
          </cell>
          <cell r="H386" t="str">
            <v>$249.6</v>
          </cell>
          <cell r="I386">
            <v>26</v>
          </cell>
          <cell r="J386">
            <v>26</v>
          </cell>
          <cell r="K386">
            <v>3</v>
          </cell>
          <cell r="L386">
            <v>3</v>
          </cell>
          <cell r="M386">
            <v>1.5384615384615385E-2</v>
          </cell>
          <cell r="N386">
            <v>1.4999999999999999E-2</v>
          </cell>
          <cell r="O386" t="str">
            <v>$1571</v>
          </cell>
          <cell r="P386" t="str">
            <v>$1571</v>
          </cell>
          <cell r="Q386">
            <v>45600</v>
          </cell>
          <cell r="R386" t="str">
            <v>Hyderabad</v>
          </cell>
          <cell r="S386" t="str">
            <v>Mobile</v>
          </cell>
          <cell r="T386" t="str">
            <v>data analytics training</v>
          </cell>
        </row>
        <row r="387">
          <cell r="A387" t="str">
            <v>A1385</v>
          </cell>
          <cell r="B387" t="str">
            <v>Data Analytcis Course</v>
          </cell>
          <cell r="C387">
            <v>111</v>
          </cell>
          <cell r="D387">
            <v>111</v>
          </cell>
          <cell r="E387">
            <v>3550</v>
          </cell>
          <cell r="F387">
            <v>3550</v>
          </cell>
          <cell r="G387" t="str">
            <v>$231.81</v>
          </cell>
          <cell r="H387" t="str">
            <v>$231.81</v>
          </cell>
          <cell r="I387">
            <v>10</v>
          </cell>
          <cell r="J387">
            <v>10</v>
          </cell>
          <cell r="K387">
            <v>9</v>
          </cell>
          <cell r="L387">
            <v>9</v>
          </cell>
          <cell r="M387">
            <v>8.1081081081081086E-2</v>
          </cell>
          <cell r="N387">
            <v>8.1000000000000003E-2</v>
          </cell>
          <cell r="O387" t="str">
            <v>$1462</v>
          </cell>
          <cell r="P387" t="str">
            <v>$1462</v>
          </cell>
          <cell r="Q387">
            <v>45622</v>
          </cell>
          <cell r="R387" t="str">
            <v>Hyderabad</v>
          </cell>
          <cell r="S387" t="str">
            <v>Mobile</v>
          </cell>
          <cell r="T387" t="str">
            <v>data analytics training</v>
          </cell>
        </row>
        <row r="388">
          <cell r="A388" t="str">
            <v>A1386</v>
          </cell>
          <cell r="B388" t="str">
            <v>Data Analytics Course</v>
          </cell>
          <cell r="C388">
            <v>124</v>
          </cell>
          <cell r="D388">
            <v>124</v>
          </cell>
          <cell r="E388">
            <v>5618</v>
          </cell>
          <cell r="F388">
            <v>5618</v>
          </cell>
          <cell r="G388" t="str">
            <v>$205.95</v>
          </cell>
          <cell r="H388" t="str">
            <v>$205.95</v>
          </cell>
          <cell r="I388">
            <v>25</v>
          </cell>
          <cell r="J388">
            <v>25</v>
          </cell>
          <cell r="K388">
            <v>7</v>
          </cell>
          <cell r="L388">
            <v>7</v>
          </cell>
          <cell r="M388">
            <v>5.6451612903225805E-2</v>
          </cell>
          <cell r="N388">
            <v>5.6000000000000001E-2</v>
          </cell>
          <cell r="O388" t="str">
            <v>$1374</v>
          </cell>
          <cell r="P388" t="str">
            <v>$1374</v>
          </cell>
          <cell r="Q388">
            <v>45615</v>
          </cell>
          <cell r="R388" t="str">
            <v>Chennai</v>
          </cell>
          <cell r="S388" t="str">
            <v>Mobile</v>
          </cell>
          <cell r="T388" t="str">
            <v>data analytics course</v>
          </cell>
        </row>
        <row r="389">
          <cell r="A389" t="str">
            <v>A1387</v>
          </cell>
          <cell r="B389" t="str">
            <v>Data Analytics Course</v>
          </cell>
          <cell r="C389">
            <v>89</v>
          </cell>
          <cell r="D389">
            <v>89</v>
          </cell>
          <cell r="E389">
            <v>4700</v>
          </cell>
          <cell r="F389">
            <v>4700</v>
          </cell>
          <cell r="G389" t="str">
            <v>$219.95</v>
          </cell>
          <cell r="H389" t="str">
            <v>$219.95</v>
          </cell>
          <cell r="I389">
            <v>28</v>
          </cell>
          <cell r="J389">
            <v>28</v>
          </cell>
          <cell r="K389">
            <v>6</v>
          </cell>
          <cell r="L389">
            <v>6</v>
          </cell>
          <cell r="M389">
            <v>6.741573033707865E-2</v>
          </cell>
          <cell r="N389">
            <v>6.7000000000000004E-2</v>
          </cell>
          <cell r="O389" t="str">
            <v>$1493</v>
          </cell>
          <cell r="P389" t="str">
            <v>$1493</v>
          </cell>
          <cell r="Q389">
            <v>45615</v>
          </cell>
          <cell r="R389" t="str">
            <v>Hyderabad</v>
          </cell>
          <cell r="S389" t="str">
            <v>Mobile</v>
          </cell>
          <cell r="T389" t="str">
            <v>data analytics course</v>
          </cell>
        </row>
        <row r="390">
          <cell r="A390" t="str">
            <v>A1388</v>
          </cell>
          <cell r="B390" t="str">
            <v>Data Analytics Course</v>
          </cell>
          <cell r="C390">
            <v>122</v>
          </cell>
          <cell r="D390">
            <v>122</v>
          </cell>
          <cell r="E390">
            <v>5874</v>
          </cell>
          <cell r="F390">
            <v>5874</v>
          </cell>
          <cell r="G390" t="str">
            <v>$201.04</v>
          </cell>
          <cell r="H390" t="str">
            <v>$201.04</v>
          </cell>
          <cell r="I390">
            <v>10</v>
          </cell>
          <cell r="J390">
            <v>10</v>
          </cell>
          <cell r="K390">
            <v>7</v>
          </cell>
          <cell r="L390">
            <v>7</v>
          </cell>
          <cell r="M390">
            <v>5.737704918032787E-2</v>
          </cell>
          <cell r="O390" t="str">
            <v>$1352</v>
          </cell>
          <cell r="P390" t="str">
            <v>$1352</v>
          </cell>
          <cell r="Q390">
            <v>45626</v>
          </cell>
          <cell r="R390" t="str">
            <v>Chennai</v>
          </cell>
          <cell r="S390" t="str">
            <v>Desktop</v>
          </cell>
          <cell r="T390" t="str">
            <v>data analytics course</v>
          </cell>
        </row>
        <row r="391">
          <cell r="A391" t="str">
            <v>A1389</v>
          </cell>
          <cell r="B391" t="str">
            <v>Data Analytics Course</v>
          </cell>
          <cell r="C391">
            <v>177</v>
          </cell>
          <cell r="D391">
            <v>177</v>
          </cell>
          <cell r="E391">
            <v>5965</v>
          </cell>
          <cell r="F391">
            <v>5965</v>
          </cell>
          <cell r="G391" t="str">
            <v>$199.7</v>
          </cell>
          <cell r="H391" t="str">
            <v>$199.7</v>
          </cell>
          <cell r="I391">
            <v>28</v>
          </cell>
          <cell r="J391">
            <v>28</v>
          </cell>
          <cell r="K391">
            <v>3</v>
          </cell>
          <cell r="L391">
            <v>3</v>
          </cell>
          <cell r="M391">
            <v>1.6949152542372881E-2</v>
          </cell>
          <cell r="N391">
            <v>1.7000000000000001E-2</v>
          </cell>
          <cell r="O391" t="str">
            <v>$1090</v>
          </cell>
          <cell r="P391" t="str">
            <v>$1090</v>
          </cell>
          <cell r="Q391">
            <v>45609</v>
          </cell>
          <cell r="R391" t="str">
            <v>Hyderabad</v>
          </cell>
          <cell r="S391" t="str">
            <v>Mobile</v>
          </cell>
          <cell r="T391" t="str">
            <v>data analytics online</v>
          </cell>
        </row>
        <row r="392">
          <cell r="A392" t="str">
            <v>A1390</v>
          </cell>
          <cell r="B392" t="str">
            <v>Data Analytics Course</v>
          </cell>
          <cell r="C392">
            <v>163</v>
          </cell>
          <cell r="D392">
            <v>163</v>
          </cell>
          <cell r="E392">
            <v>5774</v>
          </cell>
          <cell r="F392">
            <v>5774</v>
          </cell>
          <cell r="G392" t="str">
            <v>$221.61</v>
          </cell>
          <cell r="H392" t="str">
            <v>$221.61</v>
          </cell>
          <cell r="I392">
            <v>29</v>
          </cell>
          <cell r="J392">
            <v>29</v>
          </cell>
          <cell r="K392">
            <v>9</v>
          </cell>
          <cell r="L392">
            <v>9</v>
          </cell>
          <cell r="M392">
            <v>5.5214723926380369E-2</v>
          </cell>
          <cell r="N392">
            <v>5.5E-2</v>
          </cell>
          <cell r="O392" t="str">
            <v>$1396</v>
          </cell>
          <cell r="P392" t="str">
            <v>$1396</v>
          </cell>
          <cell r="Q392">
            <v>45604</v>
          </cell>
          <cell r="R392" t="str">
            <v>Hyderabad</v>
          </cell>
          <cell r="S392" t="str">
            <v>Desktop</v>
          </cell>
          <cell r="T392" t="str">
            <v>learn data analytics</v>
          </cell>
        </row>
        <row r="393">
          <cell r="A393" t="str">
            <v>A1391</v>
          </cell>
          <cell r="B393" t="str">
            <v>Data Analytics Course</v>
          </cell>
          <cell r="C393">
            <v>124</v>
          </cell>
          <cell r="D393">
            <v>124</v>
          </cell>
          <cell r="E393">
            <v>4079</v>
          </cell>
          <cell r="F393">
            <v>4079</v>
          </cell>
          <cell r="G393" t="str">
            <v>$189.07</v>
          </cell>
          <cell r="H393" t="str">
            <v>$189.07</v>
          </cell>
          <cell r="I393">
            <v>18</v>
          </cell>
          <cell r="J393">
            <v>18</v>
          </cell>
          <cell r="K393">
            <v>3</v>
          </cell>
          <cell r="L393">
            <v>3</v>
          </cell>
          <cell r="M393">
            <v>2.4193548387096774E-2</v>
          </cell>
          <cell r="N393">
            <v>2.4E-2</v>
          </cell>
          <cell r="O393" t="str">
            <v>$1430</v>
          </cell>
          <cell r="P393" t="str">
            <v>$1430</v>
          </cell>
          <cell r="Q393">
            <v>45619</v>
          </cell>
          <cell r="R393" t="str">
            <v>Chennai</v>
          </cell>
          <cell r="S393" t="str">
            <v>Desktop</v>
          </cell>
          <cell r="T393" t="str">
            <v>data analytics course</v>
          </cell>
        </row>
        <row r="394">
          <cell r="A394" t="str">
            <v>A1392</v>
          </cell>
          <cell r="B394" t="str">
            <v>Data Analytics Course</v>
          </cell>
          <cell r="C394">
            <v>105</v>
          </cell>
          <cell r="D394">
            <v>105</v>
          </cell>
          <cell r="E394">
            <v>3670</v>
          </cell>
          <cell r="F394">
            <v>3670</v>
          </cell>
          <cell r="G394" t="str">
            <v>$218.45</v>
          </cell>
          <cell r="H394" t="str">
            <v>$218.45</v>
          </cell>
          <cell r="I394">
            <v>25</v>
          </cell>
          <cell r="J394">
            <v>25</v>
          </cell>
          <cell r="K394">
            <v>6</v>
          </cell>
          <cell r="L394">
            <v>6</v>
          </cell>
          <cell r="M394">
            <v>5.7142857142857141E-2</v>
          </cell>
          <cell r="O394" t="str">
            <v>$1650</v>
          </cell>
          <cell r="P394" t="str">
            <v>$1650</v>
          </cell>
          <cell r="Q394">
            <v>45618</v>
          </cell>
          <cell r="R394" t="str">
            <v>Bangaluru</v>
          </cell>
          <cell r="S394" t="str">
            <v>Desktop</v>
          </cell>
          <cell r="T394" t="str">
            <v>online data analytic</v>
          </cell>
        </row>
        <row r="395">
          <cell r="A395" t="str">
            <v>A1393</v>
          </cell>
          <cell r="B395" t="str">
            <v>Data Analytics Course</v>
          </cell>
          <cell r="C395">
            <v>122</v>
          </cell>
          <cell r="D395">
            <v>122</v>
          </cell>
          <cell r="E395">
            <v>3394</v>
          </cell>
          <cell r="F395">
            <v>3394</v>
          </cell>
          <cell r="G395" t="str">
            <v>$200.00</v>
          </cell>
          <cell r="I395">
            <v>20</v>
          </cell>
          <cell r="J395">
            <v>20</v>
          </cell>
          <cell r="K395">
            <v>4</v>
          </cell>
          <cell r="L395">
            <v>4</v>
          </cell>
          <cell r="M395">
            <v>3.2786885245901641E-2</v>
          </cell>
          <cell r="O395" t="str">
            <v>$1053</v>
          </cell>
          <cell r="P395" t="str">
            <v>$1053</v>
          </cell>
          <cell r="Q395">
            <v>45599</v>
          </cell>
          <cell r="R395" t="str">
            <v>Bangaluru</v>
          </cell>
          <cell r="S395" t="str">
            <v>Mobile</v>
          </cell>
          <cell r="T395" t="str">
            <v>data analytics online</v>
          </cell>
        </row>
        <row r="396">
          <cell r="A396" t="str">
            <v>A1394</v>
          </cell>
          <cell r="B396" t="str">
            <v>Data Analytics Course</v>
          </cell>
          <cell r="C396">
            <v>166</v>
          </cell>
          <cell r="D396">
            <v>166</v>
          </cell>
          <cell r="E396">
            <v>5730</v>
          </cell>
          <cell r="F396">
            <v>5730</v>
          </cell>
          <cell r="G396" t="str">
            <v>$241.3</v>
          </cell>
          <cell r="H396" t="str">
            <v>$241.3</v>
          </cell>
          <cell r="I396">
            <v>16</v>
          </cell>
          <cell r="J396">
            <v>16</v>
          </cell>
          <cell r="K396">
            <v>5</v>
          </cell>
          <cell r="L396">
            <v>5</v>
          </cell>
          <cell r="M396">
            <v>3.0120481927710843E-2</v>
          </cell>
          <cell r="N396">
            <v>0.03</v>
          </cell>
          <cell r="O396" t="str">
            <v>$1500</v>
          </cell>
          <cell r="Q396">
            <v>45613</v>
          </cell>
          <cell r="R396" t="str">
            <v>Hyderabad</v>
          </cell>
          <cell r="S396" t="str">
            <v>Mobile</v>
          </cell>
          <cell r="T396" t="str">
            <v>data analytics online</v>
          </cell>
        </row>
        <row r="397">
          <cell r="A397" t="str">
            <v>A1395</v>
          </cell>
          <cell r="B397" t="str">
            <v>Data Analytcis Course</v>
          </cell>
          <cell r="C397">
            <v>96</v>
          </cell>
          <cell r="D397">
            <v>96</v>
          </cell>
          <cell r="E397">
            <v>3761</v>
          </cell>
          <cell r="F397">
            <v>3761</v>
          </cell>
          <cell r="G397" t="str">
            <v>$196.45</v>
          </cell>
          <cell r="H397" t="str">
            <v>$196.45</v>
          </cell>
          <cell r="I397">
            <v>10</v>
          </cell>
          <cell r="J397">
            <v>10</v>
          </cell>
          <cell r="K397">
            <v>5</v>
          </cell>
          <cell r="L397">
            <v>5</v>
          </cell>
          <cell r="M397">
            <v>5.2083333333333336E-2</v>
          </cell>
          <cell r="N397">
            <v>3.5000000000000003E-2</v>
          </cell>
          <cell r="O397" t="str">
            <v>$1518</v>
          </cell>
          <cell r="P397" t="str">
            <v>$1518</v>
          </cell>
          <cell r="Q397">
            <v>45626</v>
          </cell>
          <cell r="R397" t="str">
            <v>Bangaluru</v>
          </cell>
          <cell r="S397" t="str">
            <v>Tablet</v>
          </cell>
          <cell r="T397" t="str">
            <v>online data analytic</v>
          </cell>
        </row>
        <row r="398">
          <cell r="A398" t="str">
            <v>A1396</v>
          </cell>
          <cell r="B398" t="str">
            <v>Data Analytics Course</v>
          </cell>
          <cell r="C398">
            <v>135</v>
          </cell>
          <cell r="D398">
            <v>135</v>
          </cell>
          <cell r="E398">
            <v>4505</v>
          </cell>
          <cell r="F398">
            <v>4505</v>
          </cell>
          <cell r="G398" t="str">
            <v>$214.64</v>
          </cell>
          <cell r="H398" t="str">
            <v>$214.64</v>
          </cell>
          <cell r="I398">
            <v>17</v>
          </cell>
          <cell r="J398">
            <v>17</v>
          </cell>
          <cell r="K398">
            <v>9</v>
          </cell>
          <cell r="L398">
            <v>9</v>
          </cell>
          <cell r="M398">
            <v>6.6666666666666666E-2</v>
          </cell>
          <cell r="O398" t="str">
            <v>$1500</v>
          </cell>
          <cell r="P398" t="str">
            <v>$1500</v>
          </cell>
          <cell r="Q398">
            <v>45602</v>
          </cell>
          <cell r="R398" t="str">
            <v>Hyderabad</v>
          </cell>
          <cell r="S398" t="str">
            <v>Mobile</v>
          </cell>
          <cell r="T398" t="str">
            <v>online data analytic</v>
          </cell>
        </row>
        <row r="399">
          <cell r="A399" t="str">
            <v>A1397</v>
          </cell>
          <cell r="B399" t="str">
            <v>Data Analytics Course</v>
          </cell>
          <cell r="C399">
            <v>179</v>
          </cell>
          <cell r="D399">
            <v>179</v>
          </cell>
          <cell r="E399">
            <v>3975</v>
          </cell>
          <cell r="F399">
            <v>3975</v>
          </cell>
          <cell r="G399" t="str">
            <v>$183.25</v>
          </cell>
          <cell r="H399" t="str">
            <v>$183.25</v>
          </cell>
          <cell r="I399">
            <v>14</v>
          </cell>
          <cell r="J399">
            <v>14</v>
          </cell>
          <cell r="K399">
            <v>3</v>
          </cell>
          <cell r="L399">
            <v>3</v>
          </cell>
          <cell r="M399">
            <v>1.6759776536312849E-2</v>
          </cell>
          <cell r="N399">
            <v>1.7000000000000001E-2</v>
          </cell>
          <cell r="O399" t="str">
            <v>$1500</v>
          </cell>
          <cell r="Q399">
            <v>45602</v>
          </cell>
          <cell r="R399" t="str">
            <v>Bangaluru</v>
          </cell>
          <cell r="S399" t="str">
            <v>Tablet</v>
          </cell>
          <cell r="T399" t="str">
            <v>data analytics course</v>
          </cell>
        </row>
        <row r="400">
          <cell r="A400" t="str">
            <v>A1398</v>
          </cell>
          <cell r="B400" t="str">
            <v>Data Analytcis Course</v>
          </cell>
          <cell r="C400">
            <v>163</v>
          </cell>
          <cell r="D400">
            <v>163</v>
          </cell>
          <cell r="E400">
            <v>4523.2808326787117</v>
          </cell>
          <cell r="G400" t="str">
            <v>$206.46</v>
          </cell>
          <cell r="H400" t="str">
            <v>$206.46</v>
          </cell>
          <cell r="I400">
            <v>14</v>
          </cell>
          <cell r="J400">
            <v>14</v>
          </cell>
          <cell r="K400">
            <v>3</v>
          </cell>
          <cell r="L400">
            <v>3</v>
          </cell>
          <cell r="M400">
            <v>1.8404907975460124E-2</v>
          </cell>
          <cell r="O400" t="str">
            <v>$1103</v>
          </cell>
          <cell r="P400" t="str">
            <v>$1103</v>
          </cell>
          <cell r="Q400">
            <v>45608</v>
          </cell>
          <cell r="R400" t="str">
            <v>Hyderabad</v>
          </cell>
          <cell r="S400" t="str">
            <v>Tablet</v>
          </cell>
          <cell r="T400" t="str">
            <v>learn data analytics</v>
          </cell>
        </row>
        <row r="401">
          <cell r="A401" t="str">
            <v>A1399</v>
          </cell>
          <cell r="B401" t="str">
            <v>Data Analytcis Course</v>
          </cell>
          <cell r="C401">
            <v>198</v>
          </cell>
          <cell r="D401">
            <v>198</v>
          </cell>
          <cell r="E401">
            <v>5883</v>
          </cell>
          <cell r="F401">
            <v>5883</v>
          </cell>
          <cell r="G401" t="str">
            <v>$200.00</v>
          </cell>
          <cell r="I401">
            <v>19</v>
          </cell>
          <cell r="J401">
            <v>19</v>
          </cell>
          <cell r="K401">
            <v>9</v>
          </cell>
          <cell r="L401">
            <v>9</v>
          </cell>
          <cell r="M401">
            <v>4.5454545454545456E-2</v>
          </cell>
          <cell r="N401">
            <v>4.4999999999999998E-2</v>
          </cell>
          <cell r="O401" t="str">
            <v>$1182</v>
          </cell>
          <cell r="P401" t="str">
            <v>$1182</v>
          </cell>
          <cell r="Q401">
            <v>45623</v>
          </cell>
          <cell r="R401" t="str">
            <v>Hyderabad</v>
          </cell>
          <cell r="S401" t="str">
            <v>Mobile</v>
          </cell>
          <cell r="T401" t="str">
            <v>data analytics online</v>
          </cell>
        </row>
        <row r="402">
          <cell r="A402" t="str">
            <v>A1400</v>
          </cell>
          <cell r="B402" t="str">
            <v>Data Analytcis Course</v>
          </cell>
          <cell r="C402">
            <v>86</v>
          </cell>
          <cell r="D402">
            <v>86</v>
          </cell>
          <cell r="E402">
            <v>3555</v>
          </cell>
          <cell r="F402">
            <v>3555</v>
          </cell>
          <cell r="G402" t="str">
            <v>$225.23</v>
          </cell>
          <cell r="H402" t="str">
            <v>$225.23</v>
          </cell>
          <cell r="I402">
            <v>11</v>
          </cell>
          <cell r="J402">
            <v>11</v>
          </cell>
          <cell r="K402">
            <v>6</v>
          </cell>
          <cell r="L402">
            <v>6</v>
          </cell>
          <cell r="M402">
            <v>6.9767441860465115E-2</v>
          </cell>
          <cell r="N402">
            <v>3.5000000000000003E-2</v>
          </cell>
          <cell r="O402" t="str">
            <v>$1193</v>
          </cell>
          <cell r="P402" t="str">
            <v>$1193</v>
          </cell>
          <cell r="Q402">
            <v>45607</v>
          </cell>
          <cell r="R402" t="str">
            <v>Hyderabad</v>
          </cell>
          <cell r="S402" t="str">
            <v>Desktop</v>
          </cell>
          <cell r="T402" t="str">
            <v>data analytics training</v>
          </cell>
        </row>
        <row r="403">
          <cell r="A403" t="str">
            <v>A1401</v>
          </cell>
          <cell r="B403" t="str">
            <v>Data Analytcis Course</v>
          </cell>
          <cell r="C403">
            <v>89</v>
          </cell>
          <cell r="D403">
            <v>89</v>
          </cell>
          <cell r="E403">
            <v>3760</v>
          </cell>
          <cell r="F403">
            <v>3760</v>
          </cell>
          <cell r="G403" t="str">
            <v>$218.69</v>
          </cell>
          <cell r="H403" t="str">
            <v>$218.69</v>
          </cell>
          <cell r="I403">
            <v>21</v>
          </cell>
          <cell r="J403">
            <v>21</v>
          </cell>
          <cell r="K403">
            <v>9</v>
          </cell>
          <cell r="L403">
            <v>9</v>
          </cell>
          <cell r="M403">
            <v>0.10112359550561797</v>
          </cell>
          <cell r="N403">
            <v>0.10100000000000001</v>
          </cell>
          <cell r="O403" t="str">
            <v>$1474</v>
          </cell>
          <cell r="P403" t="str">
            <v>$1474</v>
          </cell>
          <cell r="Q403">
            <v>45621</v>
          </cell>
          <cell r="R403" t="str">
            <v>Chennai</v>
          </cell>
          <cell r="S403" t="str">
            <v>Desktop</v>
          </cell>
          <cell r="T403" t="str">
            <v>learn data analytics</v>
          </cell>
        </row>
        <row r="404">
          <cell r="A404" t="str">
            <v>A1402</v>
          </cell>
          <cell r="B404" t="str">
            <v>Data Analytics Course</v>
          </cell>
          <cell r="C404">
            <v>118</v>
          </cell>
          <cell r="D404">
            <v>118</v>
          </cell>
          <cell r="E404">
            <v>3596</v>
          </cell>
          <cell r="F404">
            <v>3596</v>
          </cell>
          <cell r="G404" t="str">
            <v>$236.66</v>
          </cell>
          <cell r="H404" t="str">
            <v>$236.66</v>
          </cell>
          <cell r="I404">
            <v>29</v>
          </cell>
          <cell r="J404">
            <v>29</v>
          </cell>
          <cell r="K404">
            <v>9</v>
          </cell>
          <cell r="L404">
            <v>9</v>
          </cell>
          <cell r="M404">
            <v>7.6271186440677971E-2</v>
          </cell>
          <cell r="N404">
            <v>7.5999999999999998E-2</v>
          </cell>
          <cell r="O404" t="str">
            <v>$1154</v>
          </cell>
          <cell r="P404" t="str">
            <v>$1154</v>
          </cell>
          <cell r="Q404">
            <v>45619</v>
          </cell>
          <cell r="R404" t="str">
            <v>Hyderabad</v>
          </cell>
          <cell r="S404" t="str">
            <v>Tablet</v>
          </cell>
          <cell r="T404" t="str">
            <v>data analytics course</v>
          </cell>
        </row>
        <row r="405">
          <cell r="A405" t="str">
            <v>A1403</v>
          </cell>
          <cell r="B405" t="str">
            <v>Data Analytics Course</v>
          </cell>
          <cell r="C405">
            <v>138.95699356913184</v>
          </cell>
          <cell r="E405">
            <v>3217</v>
          </cell>
          <cell r="F405">
            <v>3217</v>
          </cell>
          <cell r="G405" t="str">
            <v>$232.15</v>
          </cell>
          <cell r="H405" t="str">
            <v>$232.15</v>
          </cell>
          <cell r="I405">
            <v>21</v>
          </cell>
          <cell r="J405">
            <v>21</v>
          </cell>
          <cell r="K405">
            <v>8</v>
          </cell>
          <cell r="L405">
            <v>8</v>
          </cell>
          <cell r="M405">
            <v>5.7571769469954438E-2</v>
          </cell>
          <cell r="O405" t="str">
            <v>$1726</v>
          </cell>
          <cell r="P405" t="str">
            <v>$1726</v>
          </cell>
          <cell r="Q405">
            <v>45617</v>
          </cell>
          <cell r="R405" t="str">
            <v>Hyderabad</v>
          </cell>
          <cell r="S405" t="str">
            <v>Mobile</v>
          </cell>
          <cell r="T405" t="str">
            <v>data analytics training</v>
          </cell>
        </row>
        <row r="406">
          <cell r="A406" t="str">
            <v>A1404</v>
          </cell>
          <cell r="B406" t="str">
            <v>Data Analytcis Course</v>
          </cell>
          <cell r="C406">
            <v>95</v>
          </cell>
          <cell r="D406">
            <v>95</v>
          </cell>
          <cell r="E406">
            <v>5386</v>
          </cell>
          <cell r="F406">
            <v>5386</v>
          </cell>
          <cell r="G406" t="str">
            <v>$184.96</v>
          </cell>
          <cell r="H406" t="str">
            <v>$184.96</v>
          </cell>
          <cell r="I406">
            <v>23</v>
          </cell>
          <cell r="J406">
            <v>23</v>
          </cell>
          <cell r="K406">
            <v>8</v>
          </cell>
          <cell r="L406">
            <v>8</v>
          </cell>
          <cell r="M406">
            <v>8.4210526315789472E-2</v>
          </cell>
          <cell r="N406">
            <v>5.0999999999999997E-2</v>
          </cell>
          <cell r="O406" t="str">
            <v>$1045</v>
          </cell>
          <cell r="P406" t="str">
            <v>$1045</v>
          </cell>
          <cell r="Q406">
            <v>45616</v>
          </cell>
          <cell r="R406" t="str">
            <v>Bangaluru</v>
          </cell>
          <cell r="S406" t="str">
            <v>Desktop</v>
          </cell>
          <cell r="T406" t="str">
            <v>online data analytic</v>
          </cell>
        </row>
        <row r="407">
          <cell r="A407" t="str">
            <v>A1405</v>
          </cell>
          <cell r="B407" t="str">
            <v>Data Analytics Course</v>
          </cell>
          <cell r="C407">
            <v>144</v>
          </cell>
          <cell r="D407">
            <v>144</v>
          </cell>
          <cell r="E407">
            <v>5381</v>
          </cell>
          <cell r="F407">
            <v>5381</v>
          </cell>
          <cell r="G407" t="str">
            <v>$199.43</v>
          </cell>
          <cell r="H407" t="str">
            <v>$199.43</v>
          </cell>
          <cell r="I407">
            <v>10</v>
          </cell>
          <cell r="J407">
            <v>10</v>
          </cell>
          <cell r="K407">
            <v>10</v>
          </cell>
          <cell r="L407">
            <v>10</v>
          </cell>
          <cell r="M407">
            <v>6.9444444444444448E-2</v>
          </cell>
          <cell r="N407">
            <v>6.9000000000000006E-2</v>
          </cell>
          <cell r="O407" t="str">
            <v>$1085</v>
          </cell>
          <cell r="P407" t="str">
            <v>$1085</v>
          </cell>
          <cell r="Q407">
            <v>45605</v>
          </cell>
          <cell r="R407" t="str">
            <v>Chennai</v>
          </cell>
          <cell r="S407" t="str">
            <v>Desktop</v>
          </cell>
          <cell r="T407" t="str">
            <v>data analytics training</v>
          </cell>
        </row>
        <row r="408">
          <cell r="A408" t="str">
            <v>A1406</v>
          </cell>
          <cell r="B408" t="str">
            <v>Data Analytcis Course</v>
          </cell>
          <cell r="C408">
            <v>107</v>
          </cell>
          <cell r="D408">
            <v>107</v>
          </cell>
          <cell r="E408">
            <v>5536</v>
          </cell>
          <cell r="F408">
            <v>5536</v>
          </cell>
          <cell r="G408" t="str">
            <v>$238.75</v>
          </cell>
          <cell r="H408" t="str">
            <v>$238.75</v>
          </cell>
          <cell r="I408">
            <v>15</v>
          </cell>
          <cell r="J408">
            <v>15</v>
          </cell>
          <cell r="K408">
            <v>3</v>
          </cell>
          <cell r="L408">
            <v>3</v>
          </cell>
          <cell r="M408">
            <v>2.8037383177570093E-2</v>
          </cell>
          <cell r="N408">
            <v>3.4000000000000002E-2</v>
          </cell>
          <cell r="O408" t="str">
            <v>$1822</v>
          </cell>
          <cell r="P408" t="str">
            <v>$1822</v>
          </cell>
          <cell r="Q408">
            <v>45613</v>
          </cell>
          <cell r="R408" t="str">
            <v>Hyderabad</v>
          </cell>
          <cell r="S408" t="str">
            <v>Mobile</v>
          </cell>
          <cell r="T408" t="str">
            <v>analytics for data</v>
          </cell>
        </row>
        <row r="409">
          <cell r="A409" t="str">
            <v>A1407</v>
          </cell>
          <cell r="B409" t="str">
            <v>Data Analytics Course</v>
          </cell>
          <cell r="C409">
            <v>146</v>
          </cell>
          <cell r="D409">
            <v>146</v>
          </cell>
          <cell r="E409">
            <v>3165</v>
          </cell>
          <cell r="F409">
            <v>3165</v>
          </cell>
          <cell r="G409" t="str">
            <v>$211.09</v>
          </cell>
          <cell r="H409" t="str">
            <v>$211.09</v>
          </cell>
          <cell r="I409">
            <v>16</v>
          </cell>
          <cell r="J409">
            <v>16</v>
          </cell>
          <cell r="K409">
            <v>7</v>
          </cell>
          <cell r="L409">
            <v>7</v>
          </cell>
          <cell r="M409">
            <v>4.7945205479452052E-2</v>
          </cell>
          <cell r="N409">
            <v>4.8000000000000001E-2</v>
          </cell>
          <cell r="O409" t="str">
            <v>$1706</v>
          </cell>
          <cell r="P409" t="str">
            <v>$1706</v>
          </cell>
          <cell r="Q409">
            <v>45604</v>
          </cell>
          <cell r="R409" t="str">
            <v>Hyderabad</v>
          </cell>
          <cell r="S409" t="str">
            <v>Mobile</v>
          </cell>
          <cell r="T409" t="str">
            <v>learn data analytics</v>
          </cell>
        </row>
        <row r="410">
          <cell r="A410" t="str">
            <v>A1408</v>
          </cell>
          <cell r="B410" t="str">
            <v>Data Analytics Course</v>
          </cell>
          <cell r="C410">
            <v>114</v>
          </cell>
          <cell r="D410">
            <v>114</v>
          </cell>
          <cell r="E410">
            <v>5217</v>
          </cell>
          <cell r="F410">
            <v>5217</v>
          </cell>
          <cell r="G410" t="str">
            <v>$247.94</v>
          </cell>
          <cell r="H410" t="str">
            <v>$247.94</v>
          </cell>
          <cell r="I410">
            <v>11</v>
          </cell>
          <cell r="J410">
            <v>11</v>
          </cell>
          <cell r="K410">
            <v>10</v>
          </cell>
          <cell r="L410">
            <v>10</v>
          </cell>
          <cell r="M410">
            <v>8.771929824561403E-2</v>
          </cell>
          <cell r="N410">
            <v>8.7999999999999995E-2</v>
          </cell>
          <cell r="O410" t="str">
            <v>$1876</v>
          </cell>
          <cell r="P410" t="str">
            <v>$1876</v>
          </cell>
          <cell r="Q410">
            <v>45614</v>
          </cell>
          <cell r="R410" t="str">
            <v>Hyderabad</v>
          </cell>
          <cell r="S410" t="str">
            <v>Desktop</v>
          </cell>
          <cell r="T410" t="str">
            <v>data analytics online</v>
          </cell>
        </row>
        <row r="411">
          <cell r="A411" t="str">
            <v>A1409</v>
          </cell>
          <cell r="B411" t="str">
            <v>Data Analytcis Course</v>
          </cell>
          <cell r="C411">
            <v>162</v>
          </cell>
          <cell r="D411">
            <v>162</v>
          </cell>
          <cell r="E411">
            <v>4301</v>
          </cell>
          <cell r="F411">
            <v>4301</v>
          </cell>
          <cell r="G411" t="str">
            <v>$223.77</v>
          </cell>
          <cell r="H411" t="str">
            <v>$223.77</v>
          </cell>
          <cell r="I411">
            <v>21</v>
          </cell>
          <cell r="J411">
            <v>21</v>
          </cell>
          <cell r="K411">
            <v>7</v>
          </cell>
          <cell r="L411">
            <v>7</v>
          </cell>
          <cell r="M411">
            <v>4.3209876543209874E-2</v>
          </cell>
          <cell r="N411">
            <v>4.2999999999999997E-2</v>
          </cell>
          <cell r="O411" t="str">
            <v>$1066</v>
          </cell>
          <cell r="P411" t="str">
            <v>$1066</v>
          </cell>
          <cell r="Q411">
            <v>45616</v>
          </cell>
          <cell r="R411" t="str">
            <v>Bangaluru</v>
          </cell>
          <cell r="S411" t="str">
            <v>Mobile</v>
          </cell>
          <cell r="T411" t="str">
            <v>learn data analytics</v>
          </cell>
        </row>
        <row r="412">
          <cell r="A412" t="str">
            <v>A1410</v>
          </cell>
          <cell r="B412" t="str">
            <v>Data Analytics Course</v>
          </cell>
          <cell r="C412">
            <v>95</v>
          </cell>
          <cell r="D412">
            <v>95</v>
          </cell>
          <cell r="E412">
            <v>5971</v>
          </cell>
          <cell r="F412">
            <v>5971</v>
          </cell>
          <cell r="G412" t="str">
            <v>$214.57</v>
          </cell>
          <cell r="H412" t="str">
            <v>$214.57</v>
          </cell>
          <cell r="I412">
            <v>29</v>
          </cell>
          <cell r="J412">
            <v>29</v>
          </cell>
          <cell r="K412">
            <v>10</v>
          </cell>
          <cell r="L412">
            <v>10</v>
          </cell>
          <cell r="M412">
            <v>0.10526315789473684</v>
          </cell>
          <cell r="O412" t="str">
            <v>$1539</v>
          </cell>
          <cell r="P412" t="str">
            <v>$1539</v>
          </cell>
          <cell r="Q412">
            <v>45612</v>
          </cell>
          <cell r="R412" t="str">
            <v>Hyderabad</v>
          </cell>
          <cell r="S412" t="str">
            <v>Mobile</v>
          </cell>
          <cell r="T412" t="str">
            <v>analytics for data</v>
          </cell>
        </row>
        <row r="413">
          <cell r="A413" t="str">
            <v>A1411</v>
          </cell>
          <cell r="B413" t="str">
            <v>Data Analytics Course</v>
          </cell>
          <cell r="C413">
            <v>163</v>
          </cell>
          <cell r="D413">
            <v>163</v>
          </cell>
          <cell r="E413">
            <v>5160</v>
          </cell>
          <cell r="F413">
            <v>5160</v>
          </cell>
          <cell r="G413" t="str">
            <v>$184.84</v>
          </cell>
          <cell r="H413" t="str">
            <v>$184.84</v>
          </cell>
          <cell r="I413">
            <v>19</v>
          </cell>
          <cell r="J413">
            <v>19</v>
          </cell>
          <cell r="K413">
            <v>4</v>
          </cell>
          <cell r="L413">
            <v>4</v>
          </cell>
          <cell r="M413">
            <v>2.4539877300613498E-2</v>
          </cell>
          <cell r="N413">
            <v>4.1000000000000002E-2</v>
          </cell>
          <cell r="O413" t="str">
            <v>$1773</v>
          </cell>
          <cell r="P413" t="str">
            <v>$1773</v>
          </cell>
          <cell r="Q413">
            <v>45619</v>
          </cell>
          <cell r="R413" t="str">
            <v>Bangaluru</v>
          </cell>
          <cell r="S413" t="str">
            <v>Desktop</v>
          </cell>
          <cell r="T413" t="str">
            <v>data analytics course</v>
          </cell>
        </row>
        <row r="414">
          <cell r="A414" t="str">
            <v>A1412</v>
          </cell>
          <cell r="B414" t="str">
            <v>Data Analytics Course</v>
          </cell>
          <cell r="C414">
            <v>148</v>
          </cell>
          <cell r="D414">
            <v>148</v>
          </cell>
          <cell r="E414">
            <v>5947</v>
          </cell>
          <cell r="F414">
            <v>5947</v>
          </cell>
          <cell r="G414" t="str">
            <v>$212.38</v>
          </cell>
          <cell r="H414" t="str">
            <v>$212.38</v>
          </cell>
          <cell r="I414">
            <v>12</v>
          </cell>
          <cell r="J414">
            <v>12</v>
          </cell>
          <cell r="K414">
            <v>4</v>
          </cell>
          <cell r="L414">
            <v>4</v>
          </cell>
          <cell r="M414">
            <v>2.7027027027027029E-2</v>
          </cell>
          <cell r="O414" t="str">
            <v>$1294</v>
          </cell>
          <cell r="P414" t="str">
            <v>$1294</v>
          </cell>
          <cell r="Q414">
            <v>45620</v>
          </cell>
          <cell r="R414" t="str">
            <v>Chennai</v>
          </cell>
          <cell r="S414" t="str">
            <v>Mobile</v>
          </cell>
          <cell r="T414" t="str">
            <v>online data analytic</v>
          </cell>
        </row>
        <row r="415">
          <cell r="A415" t="str">
            <v>A1413</v>
          </cell>
          <cell r="B415" t="str">
            <v>Data Analytics Course</v>
          </cell>
          <cell r="C415">
            <v>156</v>
          </cell>
          <cell r="D415">
            <v>156</v>
          </cell>
          <cell r="E415">
            <v>4150</v>
          </cell>
          <cell r="F415">
            <v>4150</v>
          </cell>
          <cell r="G415" t="str">
            <v>$223.17</v>
          </cell>
          <cell r="H415" t="str">
            <v>$223.17</v>
          </cell>
          <cell r="I415">
            <v>20</v>
          </cell>
          <cell r="J415">
            <v>20</v>
          </cell>
          <cell r="K415">
            <v>10</v>
          </cell>
          <cell r="L415">
            <v>10</v>
          </cell>
          <cell r="M415">
            <v>6.4102564102564097E-2</v>
          </cell>
          <cell r="N415">
            <v>6.4000000000000001E-2</v>
          </cell>
          <cell r="O415" t="str">
            <v>$1940</v>
          </cell>
          <cell r="P415" t="str">
            <v>$1940</v>
          </cell>
          <cell r="Q415">
            <v>45610</v>
          </cell>
          <cell r="R415" t="str">
            <v>Chennai</v>
          </cell>
          <cell r="S415" t="str">
            <v>Tablet</v>
          </cell>
          <cell r="T415" t="str">
            <v>learn data analytics</v>
          </cell>
        </row>
        <row r="416">
          <cell r="A416" t="str">
            <v>A1414</v>
          </cell>
          <cell r="B416" t="str">
            <v>Data Analytcis Course</v>
          </cell>
          <cell r="C416">
            <v>99</v>
          </cell>
          <cell r="D416">
            <v>99</v>
          </cell>
          <cell r="E416">
            <v>4040</v>
          </cell>
          <cell r="F416">
            <v>4040</v>
          </cell>
          <cell r="G416" t="str">
            <v>$200.00</v>
          </cell>
          <cell r="I416">
            <v>13</v>
          </cell>
          <cell r="J416">
            <v>13</v>
          </cell>
          <cell r="K416">
            <v>5</v>
          </cell>
          <cell r="L416">
            <v>5</v>
          </cell>
          <cell r="M416">
            <v>5.0505050505050504E-2</v>
          </cell>
          <cell r="N416">
            <v>5.0999999999999997E-2</v>
          </cell>
          <cell r="O416" t="str">
            <v>$1502</v>
          </cell>
          <cell r="P416" t="str">
            <v>$1502</v>
          </cell>
          <cell r="Q416">
            <v>45622</v>
          </cell>
          <cell r="R416" t="str">
            <v>Hyderabad</v>
          </cell>
          <cell r="S416" t="str">
            <v>Tablet</v>
          </cell>
          <cell r="T416" t="str">
            <v>online data analytic</v>
          </cell>
        </row>
        <row r="417">
          <cell r="A417" t="str">
            <v>A1415</v>
          </cell>
          <cell r="B417" t="str">
            <v>Data Analytics Course</v>
          </cell>
          <cell r="C417">
            <v>124</v>
          </cell>
          <cell r="D417">
            <v>124</v>
          </cell>
          <cell r="E417">
            <v>5956</v>
          </cell>
          <cell r="F417">
            <v>5956</v>
          </cell>
          <cell r="G417" t="str">
            <v>$201.44</v>
          </cell>
          <cell r="H417" t="str">
            <v>$201.44</v>
          </cell>
          <cell r="I417">
            <v>12</v>
          </cell>
          <cell r="J417">
            <v>12</v>
          </cell>
          <cell r="K417">
            <v>9</v>
          </cell>
          <cell r="L417">
            <v>9</v>
          </cell>
          <cell r="M417">
            <v>7.2580645161290328E-2</v>
          </cell>
          <cell r="N417">
            <v>7.2999999999999995E-2</v>
          </cell>
          <cell r="O417" t="str">
            <v>$1598</v>
          </cell>
          <cell r="P417" t="str">
            <v>$1598</v>
          </cell>
          <cell r="Q417">
            <v>45620</v>
          </cell>
          <cell r="R417" t="str">
            <v>Hyderabad</v>
          </cell>
          <cell r="S417" t="str">
            <v>Tablet</v>
          </cell>
          <cell r="T417" t="str">
            <v>data analytics online</v>
          </cell>
        </row>
        <row r="418">
          <cell r="A418" t="str">
            <v>A1416</v>
          </cell>
          <cell r="B418" t="str">
            <v>Data Analytics Course</v>
          </cell>
          <cell r="C418">
            <v>138</v>
          </cell>
          <cell r="D418">
            <v>138</v>
          </cell>
          <cell r="E418">
            <v>4769</v>
          </cell>
          <cell r="F418">
            <v>4769</v>
          </cell>
          <cell r="G418" t="str">
            <v>$229.44</v>
          </cell>
          <cell r="H418" t="str">
            <v>$229.44</v>
          </cell>
          <cell r="I418">
            <v>27</v>
          </cell>
          <cell r="J418">
            <v>27</v>
          </cell>
          <cell r="K418">
            <v>8</v>
          </cell>
          <cell r="L418">
            <v>8</v>
          </cell>
          <cell r="M418">
            <v>5.7971014492753624E-2</v>
          </cell>
          <cell r="N418">
            <v>5.8000000000000003E-2</v>
          </cell>
          <cell r="O418" t="str">
            <v>$1500</v>
          </cell>
          <cell r="Q418">
            <v>45615</v>
          </cell>
          <cell r="R418" t="str">
            <v>Bangaluru</v>
          </cell>
          <cell r="S418" t="str">
            <v>Mobile</v>
          </cell>
          <cell r="T418" t="str">
            <v>data analytics training</v>
          </cell>
        </row>
        <row r="419">
          <cell r="A419" t="str">
            <v>A1417</v>
          </cell>
          <cell r="B419" t="str">
            <v>Data Analytics Course</v>
          </cell>
          <cell r="C419">
            <v>140</v>
          </cell>
          <cell r="D419">
            <v>140</v>
          </cell>
          <cell r="E419">
            <v>3822</v>
          </cell>
          <cell r="F419">
            <v>3822</v>
          </cell>
          <cell r="G419" t="str">
            <v>$241.68</v>
          </cell>
          <cell r="H419" t="str">
            <v>$241.68</v>
          </cell>
          <cell r="I419">
            <v>30</v>
          </cell>
          <cell r="J419">
            <v>30</v>
          </cell>
          <cell r="K419">
            <v>10</v>
          </cell>
          <cell r="L419">
            <v>10</v>
          </cell>
          <cell r="M419">
            <v>7.1428571428571425E-2</v>
          </cell>
          <cell r="N419">
            <v>5.7000000000000002E-2</v>
          </cell>
          <cell r="O419" t="str">
            <v>$1138</v>
          </cell>
          <cell r="P419" t="str">
            <v>$1138</v>
          </cell>
          <cell r="Q419">
            <v>45615</v>
          </cell>
          <cell r="R419" t="str">
            <v>Hyderabad</v>
          </cell>
          <cell r="S419" t="str">
            <v>Tablet</v>
          </cell>
          <cell r="T419" t="str">
            <v>data analytics course</v>
          </cell>
        </row>
        <row r="420">
          <cell r="A420" t="str">
            <v>A1418</v>
          </cell>
          <cell r="B420" t="str">
            <v>Data Analytics Course</v>
          </cell>
          <cell r="C420">
            <v>81</v>
          </cell>
          <cell r="D420">
            <v>81</v>
          </cell>
          <cell r="E420">
            <v>3147</v>
          </cell>
          <cell r="F420">
            <v>3147</v>
          </cell>
          <cell r="G420" t="str">
            <v>$232.2</v>
          </cell>
          <cell r="H420" t="str">
            <v>$232.2</v>
          </cell>
          <cell r="I420">
            <v>30</v>
          </cell>
          <cell r="J420">
            <v>30</v>
          </cell>
          <cell r="K420">
            <v>9</v>
          </cell>
          <cell r="L420">
            <v>9</v>
          </cell>
          <cell r="M420">
            <v>0.1111111111111111</v>
          </cell>
          <cell r="N420">
            <v>0.111</v>
          </cell>
          <cell r="O420" t="str">
            <v>$1066</v>
          </cell>
          <cell r="P420" t="str">
            <v>$1066</v>
          </cell>
          <cell r="Q420">
            <v>45625</v>
          </cell>
          <cell r="R420" t="str">
            <v>Bangaluru</v>
          </cell>
          <cell r="S420" t="str">
            <v>Mobile</v>
          </cell>
          <cell r="T420" t="str">
            <v>data analytics course</v>
          </cell>
        </row>
        <row r="421">
          <cell r="A421" t="str">
            <v>A1419</v>
          </cell>
          <cell r="B421" t="str">
            <v>Data Analytics Course</v>
          </cell>
          <cell r="C421">
            <v>165</v>
          </cell>
          <cell r="D421">
            <v>165</v>
          </cell>
          <cell r="E421">
            <v>4613</v>
          </cell>
          <cell r="F421">
            <v>4613</v>
          </cell>
          <cell r="G421" t="str">
            <v>$246.72</v>
          </cell>
          <cell r="H421" t="str">
            <v>$246.72</v>
          </cell>
          <cell r="I421">
            <v>19</v>
          </cell>
          <cell r="J421">
            <v>19</v>
          </cell>
          <cell r="K421">
            <v>3</v>
          </cell>
          <cell r="L421">
            <v>3</v>
          </cell>
          <cell r="M421">
            <v>1.8181818181818181E-2</v>
          </cell>
          <cell r="N421">
            <v>1.7999999999999999E-2</v>
          </cell>
          <cell r="O421" t="str">
            <v>$1055</v>
          </cell>
          <cell r="P421" t="str">
            <v>$1055</v>
          </cell>
          <cell r="Q421">
            <v>45607</v>
          </cell>
          <cell r="R421" t="str">
            <v>Hyderabad</v>
          </cell>
          <cell r="S421" t="str">
            <v>Tablet</v>
          </cell>
          <cell r="T421" t="str">
            <v>data analytics training</v>
          </cell>
        </row>
        <row r="422">
          <cell r="A422" t="str">
            <v>A1420</v>
          </cell>
          <cell r="B422" t="str">
            <v>Data Analytcis Course</v>
          </cell>
          <cell r="C422">
            <v>193</v>
          </cell>
          <cell r="D422">
            <v>193</v>
          </cell>
          <cell r="E422">
            <v>4919</v>
          </cell>
          <cell r="F422">
            <v>4919</v>
          </cell>
          <cell r="G422" t="str">
            <v>$247.24</v>
          </cell>
          <cell r="H422" t="str">
            <v>$247.24</v>
          </cell>
          <cell r="I422">
            <v>19</v>
          </cell>
          <cell r="J422">
            <v>19</v>
          </cell>
          <cell r="K422">
            <v>4</v>
          </cell>
          <cell r="L422">
            <v>4</v>
          </cell>
          <cell r="M422">
            <v>2.072538860103627E-2</v>
          </cell>
          <cell r="N422">
            <v>2.1000000000000001E-2</v>
          </cell>
          <cell r="O422" t="str">
            <v>$1933</v>
          </cell>
          <cell r="P422" t="str">
            <v>$1933</v>
          </cell>
          <cell r="Q422">
            <v>45621</v>
          </cell>
          <cell r="R422" t="str">
            <v>Bangaluru</v>
          </cell>
          <cell r="S422" t="str">
            <v>Desktop</v>
          </cell>
          <cell r="T422" t="str">
            <v>data analytics online</v>
          </cell>
        </row>
        <row r="423">
          <cell r="A423" t="str">
            <v>A1421</v>
          </cell>
          <cell r="B423" t="str">
            <v>Data Analytics Course</v>
          </cell>
          <cell r="C423">
            <v>149</v>
          </cell>
          <cell r="D423">
            <v>149</v>
          </cell>
          <cell r="E423">
            <v>5205</v>
          </cell>
          <cell r="F423">
            <v>5205</v>
          </cell>
          <cell r="G423" t="str">
            <v>$218.42</v>
          </cell>
          <cell r="H423" t="str">
            <v>$218.42</v>
          </cell>
          <cell r="I423">
            <v>20</v>
          </cell>
          <cell r="J423">
            <v>20</v>
          </cell>
          <cell r="K423">
            <v>4</v>
          </cell>
          <cell r="L423">
            <v>4</v>
          </cell>
          <cell r="M423">
            <v>2.6845637583892617E-2</v>
          </cell>
          <cell r="O423" t="str">
            <v>$1070</v>
          </cell>
          <cell r="P423" t="str">
            <v>$1070</v>
          </cell>
          <cell r="Q423">
            <v>45624</v>
          </cell>
          <cell r="R423" t="str">
            <v>Bangaluru</v>
          </cell>
          <cell r="S423" t="str">
            <v>Mobile</v>
          </cell>
          <cell r="T423" t="str">
            <v>online data analytic</v>
          </cell>
        </row>
        <row r="424">
          <cell r="A424" t="str">
            <v>A1422</v>
          </cell>
          <cell r="B424" t="str">
            <v>Data Analytics Course</v>
          </cell>
          <cell r="C424">
            <v>81</v>
          </cell>
          <cell r="D424">
            <v>81</v>
          </cell>
          <cell r="E424">
            <v>3497</v>
          </cell>
          <cell r="F424">
            <v>3497</v>
          </cell>
          <cell r="G424" t="str">
            <v>$226.66</v>
          </cell>
          <cell r="H424" t="str">
            <v>$226.66</v>
          </cell>
          <cell r="I424">
            <v>11</v>
          </cell>
          <cell r="J424">
            <v>11</v>
          </cell>
          <cell r="K424">
            <v>6</v>
          </cell>
          <cell r="L424">
            <v>6</v>
          </cell>
          <cell r="M424">
            <v>7.407407407407407E-2</v>
          </cell>
          <cell r="N424">
            <v>7.3999999999999996E-2</v>
          </cell>
          <cell r="O424" t="str">
            <v>$1047</v>
          </cell>
          <cell r="P424" t="str">
            <v>$1047</v>
          </cell>
          <cell r="Q424">
            <v>45615</v>
          </cell>
          <cell r="R424" t="str">
            <v>Bangaluru</v>
          </cell>
          <cell r="S424" t="str">
            <v>Mobile</v>
          </cell>
          <cell r="T424" t="str">
            <v>data analytics online</v>
          </cell>
        </row>
        <row r="425">
          <cell r="A425" t="str">
            <v>A1423</v>
          </cell>
          <cell r="B425" t="str">
            <v>Data Analytics Course</v>
          </cell>
          <cell r="C425">
            <v>153</v>
          </cell>
          <cell r="D425">
            <v>153</v>
          </cell>
          <cell r="E425">
            <v>4057</v>
          </cell>
          <cell r="F425">
            <v>4057</v>
          </cell>
          <cell r="G425" t="str">
            <v>$197.54</v>
          </cell>
          <cell r="H425" t="str">
            <v>$197.54</v>
          </cell>
          <cell r="I425">
            <v>23</v>
          </cell>
          <cell r="J425">
            <v>23</v>
          </cell>
          <cell r="K425">
            <v>5</v>
          </cell>
          <cell r="L425">
            <v>5</v>
          </cell>
          <cell r="M425">
            <v>3.2679738562091505E-2</v>
          </cell>
          <cell r="O425" t="str">
            <v>$1926</v>
          </cell>
          <cell r="P425" t="str">
            <v>$1926</v>
          </cell>
          <cell r="Q425">
            <v>45618</v>
          </cell>
          <cell r="R425" t="str">
            <v>Hyderabad</v>
          </cell>
          <cell r="S425" t="str">
            <v>Tablet</v>
          </cell>
          <cell r="T425" t="str">
            <v>data analytics online</v>
          </cell>
        </row>
        <row r="426">
          <cell r="A426" t="str">
            <v>A1424</v>
          </cell>
          <cell r="B426" t="str">
            <v>Data Analytics Course</v>
          </cell>
          <cell r="C426">
            <v>127</v>
          </cell>
          <cell r="D426">
            <v>127</v>
          </cell>
          <cell r="E426">
            <v>5018</v>
          </cell>
          <cell r="F426">
            <v>5018</v>
          </cell>
          <cell r="G426" t="str">
            <v>$194.25</v>
          </cell>
          <cell r="H426" t="str">
            <v>$194.25</v>
          </cell>
          <cell r="I426">
            <v>17</v>
          </cell>
          <cell r="J426">
            <v>17</v>
          </cell>
          <cell r="K426">
            <v>8</v>
          </cell>
          <cell r="L426">
            <v>8</v>
          </cell>
          <cell r="M426">
            <v>6.2992125984251968E-2</v>
          </cell>
          <cell r="O426" t="str">
            <v>$1350</v>
          </cell>
          <cell r="P426" t="str">
            <v>$1350</v>
          </cell>
          <cell r="Q426">
            <v>45617</v>
          </cell>
          <cell r="R426" t="str">
            <v>Hyderabad</v>
          </cell>
          <cell r="S426" t="str">
            <v>Mobile</v>
          </cell>
          <cell r="T426" t="str">
            <v>data analytics online</v>
          </cell>
        </row>
        <row r="427">
          <cell r="A427" t="str">
            <v>A1425</v>
          </cell>
          <cell r="B427" t="str">
            <v>Data Analytics Course</v>
          </cell>
          <cell r="C427">
            <v>99</v>
          </cell>
          <cell r="D427">
            <v>99</v>
          </cell>
          <cell r="E427">
            <v>4012</v>
          </cell>
          <cell r="F427">
            <v>4012</v>
          </cell>
          <cell r="G427" t="str">
            <v>$220.76</v>
          </cell>
          <cell r="H427" t="str">
            <v>$220.76</v>
          </cell>
          <cell r="I427">
            <v>14</v>
          </cell>
          <cell r="J427">
            <v>14</v>
          </cell>
          <cell r="K427">
            <v>4</v>
          </cell>
          <cell r="L427">
            <v>4</v>
          </cell>
          <cell r="M427">
            <v>4.0404040404040407E-2</v>
          </cell>
          <cell r="N427">
            <v>0.04</v>
          </cell>
          <cell r="O427" t="str">
            <v>$1698</v>
          </cell>
          <cell r="P427" t="str">
            <v>$1698</v>
          </cell>
          <cell r="Q427">
            <v>45608</v>
          </cell>
          <cell r="R427" t="str">
            <v>Chennai</v>
          </cell>
          <cell r="S427" t="str">
            <v>Tablet</v>
          </cell>
          <cell r="T427" t="str">
            <v>data analytics training</v>
          </cell>
        </row>
        <row r="428">
          <cell r="A428" t="str">
            <v>A1426</v>
          </cell>
          <cell r="B428" t="str">
            <v>Data Analytics Course</v>
          </cell>
          <cell r="C428">
            <v>104</v>
          </cell>
          <cell r="D428">
            <v>104</v>
          </cell>
          <cell r="E428">
            <v>3013</v>
          </cell>
          <cell r="F428">
            <v>3013</v>
          </cell>
          <cell r="G428" t="str">
            <v>$204.07</v>
          </cell>
          <cell r="H428" t="str">
            <v>$204.07</v>
          </cell>
          <cell r="I428">
            <v>12</v>
          </cell>
          <cell r="J428">
            <v>12</v>
          </cell>
          <cell r="K428">
            <v>3</v>
          </cell>
          <cell r="L428">
            <v>3</v>
          </cell>
          <cell r="M428">
            <v>2.8846153846153848E-2</v>
          </cell>
          <cell r="N428">
            <v>5.8000000000000003E-2</v>
          </cell>
          <cell r="O428" t="str">
            <v>$1016</v>
          </cell>
          <cell r="P428" t="str">
            <v>$1016</v>
          </cell>
          <cell r="Q428">
            <v>45616</v>
          </cell>
          <cell r="R428" t="str">
            <v>Chennai</v>
          </cell>
          <cell r="S428" t="str">
            <v>Mobile</v>
          </cell>
          <cell r="T428" t="str">
            <v>learn data analytics</v>
          </cell>
        </row>
        <row r="429">
          <cell r="A429" t="str">
            <v>A1427</v>
          </cell>
          <cell r="B429" t="str">
            <v>Data Analytcis Course</v>
          </cell>
          <cell r="C429">
            <v>118</v>
          </cell>
          <cell r="D429">
            <v>118</v>
          </cell>
          <cell r="E429">
            <v>3824</v>
          </cell>
          <cell r="F429">
            <v>3824</v>
          </cell>
          <cell r="G429" t="str">
            <v>$184.8</v>
          </cell>
          <cell r="H429" t="str">
            <v>$184.8</v>
          </cell>
          <cell r="I429">
            <v>16</v>
          </cell>
          <cell r="J429">
            <v>16</v>
          </cell>
          <cell r="K429">
            <v>5</v>
          </cell>
          <cell r="L429">
            <v>5</v>
          </cell>
          <cell r="M429">
            <v>4.2372881355932202E-2</v>
          </cell>
          <cell r="N429">
            <v>4.2000000000000003E-2</v>
          </cell>
          <cell r="O429" t="str">
            <v>$1818</v>
          </cell>
          <cell r="P429" t="str">
            <v>$1818</v>
          </cell>
          <cell r="Q429">
            <v>45615</v>
          </cell>
          <cell r="R429" t="str">
            <v>Hyderabad</v>
          </cell>
          <cell r="S429" t="str">
            <v>Desktop</v>
          </cell>
          <cell r="T429" t="str">
            <v>learn data analytics</v>
          </cell>
        </row>
        <row r="430">
          <cell r="A430" t="str">
            <v>A1428</v>
          </cell>
          <cell r="B430" t="str">
            <v>Data Analytics Course</v>
          </cell>
          <cell r="C430">
            <v>148</v>
          </cell>
          <cell r="D430">
            <v>148</v>
          </cell>
          <cell r="E430">
            <v>5000</v>
          </cell>
          <cell r="F430">
            <v>5000</v>
          </cell>
          <cell r="G430" t="str">
            <v>$224.41</v>
          </cell>
          <cell r="H430" t="str">
            <v>$224.41</v>
          </cell>
          <cell r="I430">
            <v>11</v>
          </cell>
          <cell r="J430">
            <v>11</v>
          </cell>
          <cell r="K430">
            <v>3</v>
          </cell>
          <cell r="L430">
            <v>3</v>
          </cell>
          <cell r="M430">
            <v>2.0270270270270271E-2</v>
          </cell>
          <cell r="O430" t="str">
            <v>$1491</v>
          </cell>
          <cell r="P430" t="str">
            <v>$1491</v>
          </cell>
          <cell r="Q430">
            <v>45626</v>
          </cell>
          <cell r="R430" t="str">
            <v>Hyderabad</v>
          </cell>
          <cell r="S430" t="str">
            <v>Mobile</v>
          </cell>
          <cell r="T430" t="str">
            <v>online data analytic</v>
          </cell>
        </row>
        <row r="431">
          <cell r="A431" t="str">
            <v>A1429</v>
          </cell>
          <cell r="B431" t="str">
            <v>Data Analytics Course</v>
          </cell>
          <cell r="C431">
            <v>88</v>
          </cell>
          <cell r="D431">
            <v>88</v>
          </cell>
          <cell r="E431">
            <v>3804</v>
          </cell>
          <cell r="F431">
            <v>3804</v>
          </cell>
          <cell r="G431" t="str">
            <v>$249.2</v>
          </cell>
          <cell r="H431" t="str">
            <v>$249.2</v>
          </cell>
          <cell r="I431">
            <v>10</v>
          </cell>
          <cell r="J431">
            <v>10</v>
          </cell>
          <cell r="K431">
            <v>8</v>
          </cell>
          <cell r="L431">
            <v>8</v>
          </cell>
          <cell r="M431">
            <v>9.0909090909090912E-2</v>
          </cell>
          <cell r="N431">
            <v>3.7999999999999999E-2</v>
          </cell>
          <cell r="O431" t="str">
            <v>$1044</v>
          </cell>
          <cell r="P431" t="str">
            <v>$1044</v>
          </cell>
          <cell r="Q431">
            <v>45605</v>
          </cell>
          <cell r="R431" t="str">
            <v>Hyderabad</v>
          </cell>
          <cell r="S431" t="str">
            <v>Tablet</v>
          </cell>
          <cell r="T431" t="str">
            <v>data analytics training</v>
          </cell>
        </row>
        <row r="432">
          <cell r="A432" t="str">
            <v>A1430</v>
          </cell>
          <cell r="B432" t="str">
            <v>Data Analytcis Course</v>
          </cell>
          <cell r="C432">
            <v>142</v>
          </cell>
          <cell r="D432">
            <v>142</v>
          </cell>
          <cell r="E432">
            <v>3791</v>
          </cell>
          <cell r="F432">
            <v>3791</v>
          </cell>
          <cell r="G432" t="str">
            <v>$207.86</v>
          </cell>
          <cell r="H432" t="str">
            <v>$207.86</v>
          </cell>
          <cell r="I432">
            <v>23</v>
          </cell>
          <cell r="J432">
            <v>23</v>
          </cell>
          <cell r="K432">
            <v>4</v>
          </cell>
          <cell r="L432">
            <v>4</v>
          </cell>
          <cell r="M432">
            <v>2.8169014084507043E-2</v>
          </cell>
          <cell r="N432">
            <v>2.8000000000000001E-2</v>
          </cell>
          <cell r="O432" t="str">
            <v>$1073</v>
          </cell>
          <cell r="P432" t="str">
            <v>$1073</v>
          </cell>
          <cell r="Q432">
            <v>45616</v>
          </cell>
          <cell r="R432" t="str">
            <v>Hyderabad</v>
          </cell>
          <cell r="S432" t="str">
            <v>Tablet</v>
          </cell>
          <cell r="T432" t="str">
            <v>data analytics online</v>
          </cell>
        </row>
        <row r="433">
          <cell r="A433" t="str">
            <v>A1431</v>
          </cell>
          <cell r="B433" t="str">
            <v>Data Analytics Course</v>
          </cell>
          <cell r="C433">
            <v>127</v>
          </cell>
          <cell r="D433">
            <v>127</v>
          </cell>
          <cell r="E433">
            <v>5198</v>
          </cell>
          <cell r="F433">
            <v>5198</v>
          </cell>
          <cell r="G433" t="str">
            <v>$242.56</v>
          </cell>
          <cell r="H433" t="str">
            <v>$242.56</v>
          </cell>
          <cell r="I433">
            <v>26</v>
          </cell>
          <cell r="J433">
            <v>26</v>
          </cell>
          <cell r="K433">
            <v>6</v>
          </cell>
          <cell r="L433">
            <v>6</v>
          </cell>
          <cell r="M433">
            <v>4.7244094488188976E-2</v>
          </cell>
          <cell r="N433">
            <v>4.7E-2</v>
          </cell>
          <cell r="O433" t="str">
            <v>$1872</v>
          </cell>
          <cell r="P433" t="str">
            <v>$1872</v>
          </cell>
          <cell r="Q433">
            <v>45612</v>
          </cell>
          <cell r="R433" t="str">
            <v>Hyderabad</v>
          </cell>
          <cell r="S433" t="str">
            <v>Tablet</v>
          </cell>
          <cell r="T433" t="str">
            <v>learn data analytics</v>
          </cell>
        </row>
        <row r="434">
          <cell r="A434" t="str">
            <v>A1432</v>
          </cell>
          <cell r="B434" t="str">
            <v>Data Analytcis Course</v>
          </cell>
          <cell r="C434">
            <v>117</v>
          </cell>
          <cell r="D434">
            <v>117</v>
          </cell>
          <cell r="E434">
            <v>5329</v>
          </cell>
          <cell r="F434">
            <v>5329</v>
          </cell>
          <cell r="G434" t="str">
            <v>$212.49</v>
          </cell>
          <cell r="H434" t="str">
            <v>$212.49</v>
          </cell>
          <cell r="I434">
            <v>14</v>
          </cell>
          <cell r="J434">
            <v>14</v>
          </cell>
          <cell r="K434">
            <v>5</v>
          </cell>
          <cell r="L434">
            <v>5</v>
          </cell>
          <cell r="M434">
            <v>4.2735042735042736E-2</v>
          </cell>
          <cell r="O434" t="str">
            <v>$1888</v>
          </cell>
          <cell r="P434" t="str">
            <v>$1888</v>
          </cell>
          <cell r="Q434">
            <v>45599</v>
          </cell>
          <cell r="R434" t="str">
            <v>Bangaluru</v>
          </cell>
          <cell r="S434" t="str">
            <v>Mobile</v>
          </cell>
          <cell r="T434" t="str">
            <v>data analytics course</v>
          </cell>
        </row>
        <row r="435">
          <cell r="A435" t="str">
            <v>A1433</v>
          </cell>
          <cell r="B435" t="str">
            <v>Data Analytics Course</v>
          </cell>
          <cell r="C435">
            <v>125</v>
          </cell>
          <cell r="D435">
            <v>125</v>
          </cell>
          <cell r="E435">
            <v>5435</v>
          </cell>
          <cell r="F435">
            <v>5435</v>
          </cell>
          <cell r="G435" t="str">
            <v>$202.65</v>
          </cell>
          <cell r="H435" t="str">
            <v>$202.65</v>
          </cell>
          <cell r="I435">
            <v>25</v>
          </cell>
          <cell r="J435">
            <v>25</v>
          </cell>
          <cell r="K435">
            <v>5</v>
          </cell>
          <cell r="L435">
            <v>5</v>
          </cell>
          <cell r="M435">
            <v>0.04</v>
          </cell>
          <cell r="N435">
            <v>0.04</v>
          </cell>
          <cell r="O435" t="str">
            <v>$1767</v>
          </cell>
          <cell r="P435" t="str">
            <v>$1767</v>
          </cell>
          <cell r="Q435">
            <v>45619</v>
          </cell>
          <cell r="R435" t="str">
            <v>Bangaluru</v>
          </cell>
          <cell r="S435" t="str">
            <v>Desktop</v>
          </cell>
          <cell r="T435" t="str">
            <v>online data analytic</v>
          </cell>
        </row>
        <row r="436">
          <cell r="A436" t="str">
            <v>A1434</v>
          </cell>
          <cell r="B436" t="str">
            <v>Data Analytics Course</v>
          </cell>
          <cell r="C436">
            <v>92</v>
          </cell>
          <cell r="D436">
            <v>92</v>
          </cell>
          <cell r="E436">
            <v>4977</v>
          </cell>
          <cell r="F436">
            <v>4977</v>
          </cell>
          <cell r="G436" t="str">
            <v>$209.78</v>
          </cell>
          <cell r="H436" t="str">
            <v>$209.78</v>
          </cell>
          <cell r="I436">
            <v>26</v>
          </cell>
          <cell r="J436">
            <v>26</v>
          </cell>
          <cell r="K436">
            <v>3</v>
          </cell>
          <cell r="L436">
            <v>3</v>
          </cell>
          <cell r="M436">
            <v>3.2608695652173912E-2</v>
          </cell>
          <cell r="O436" t="str">
            <v>$1834</v>
          </cell>
          <cell r="P436" t="str">
            <v>$1834</v>
          </cell>
          <cell r="Q436">
            <v>45608</v>
          </cell>
          <cell r="R436" t="str">
            <v>Hyderabad</v>
          </cell>
          <cell r="S436" t="str">
            <v>Tablet</v>
          </cell>
          <cell r="T436" t="str">
            <v>learn data analytics</v>
          </cell>
        </row>
        <row r="437">
          <cell r="A437" t="str">
            <v>A1435</v>
          </cell>
          <cell r="B437" t="str">
            <v>Data Analytics Course</v>
          </cell>
          <cell r="C437">
            <v>112</v>
          </cell>
          <cell r="D437">
            <v>112</v>
          </cell>
          <cell r="E437">
            <v>3850</v>
          </cell>
          <cell r="F437">
            <v>3850</v>
          </cell>
          <cell r="G437" t="str">
            <v>$233.52</v>
          </cell>
          <cell r="H437" t="str">
            <v>$233.52</v>
          </cell>
          <cell r="I437">
            <v>14</v>
          </cell>
          <cell r="J437">
            <v>14</v>
          </cell>
          <cell r="K437">
            <v>8</v>
          </cell>
          <cell r="L437">
            <v>8</v>
          </cell>
          <cell r="M437">
            <v>7.1428571428571425E-2</v>
          </cell>
          <cell r="N437">
            <v>3.3000000000000002E-2</v>
          </cell>
          <cell r="O437" t="str">
            <v>$1760</v>
          </cell>
          <cell r="P437" t="str">
            <v>$1760</v>
          </cell>
          <cell r="Q437">
            <v>45618</v>
          </cell>
          <cell r="R437" t="str">
            <v>Bangaluru</v>
          </cell>
          <cell r="S437" t="str">
            <v>Desktop</v>
          </cell>
          <cell r="T437" t="str">
            <v>data analytics course</v>
          </cell>
        </row>
        <row r="438">
          <cell r="A438" t="str">
            <v>A1436</v>
          </cell>
          <cell r="B438" t="str">
            <v>Data Analytics Course</v>
          </cell>
          <cell r="C438">
            <v>144</v>
          </cell>
          <cell r="D438">
            <v>144</v>
          </cell>
          <cell r="E438">
            <v>5976</v>
          </cell>
          <cell r="F438">
            <v>5976</v>
          </cell>
          <cell r="G438" t="str">
            <v>$197.65</v>
          </cell>
          <cell r="H438" t="str">
            <v>$197.65</v>
          </cell>
          <cell r="I438">
            <v>13</v>
          </cell>
          <cell r="J438">
            <v>13</v>
          </cell>
          <cell r="K438">
            <v>9</v>
          </cell>
          <cell r="L438">
            <v>9</v>
          </cell>
          <cell r="M438">
            <v>6.25E-2</v>
          </cell>
          <cell r="N438">
            <v>6.2E-2</v>
          </cell>
          <cell r="O438" t="str">
            <v>$1743</v>
          </cell>
          <cell r="P438" t="str">
            <v>$1743</v>
          </cell>
          <cell r="Q438">
            <v>45618</v>
          </cell>
          <cell r="R438" t="str">
            <v>Hyderabad</v>
          </cell>
          <cell r="S438" t="str">
            <v>Mobile</v>
          </cell>
          <cell r="T438" t="str">
            <v>data analytics course</v>
          </cell>
        </row>
        <row r="439">
          <cell r="A439" t="str">
            <v>A1437</v>
          </cell>
          <cell r="B439" t="str">
            <v>Data Analytcis Course</v>
          </cell>
          <cell r="C439">
            <v>103</v>
          </cell>
          <cell r="D439">
            <v>103</v>
          </cell>
          <cell r="E439">
            <v>4693</v>
          </cell>
          <cell r="F439">
            <v>4693</v>
          </cell>
          <cell r="G439" t="str">
            <v>$218.67</v>
          </cell>
          <cell r="H439" t="str">
            <v>$218.67</v>
          </cell>
          <cell r="I439">
            <v>14</v>
          </cell>
          <cell r="J439">
            <v>14</v>
          </cell>
          <cell r="K439">
            <v>10</v>
          </cell>
          <cell r="L439">
            <v>10</v>
          </cell>
          <cell r="M439">
            <v>9.7087378640776698E-2</v>
          </cell>
          <cell r="O439" t="str">
            <v>$1390</v>
          </cell>
          <cell r="P439" t="str">
            <v>$1390</v>
          </cell>
          <cell r="Q439">
            <v>45605</v>
          </cell>
          <cell r="R439" t="str">
            <v>Bangaluru</v>
          </cell>
          <cell r="S439" t="str">
            <v>Mobile</v>
          </cell>
          <cell r="T439" t="str">
            <v>learn data analytics</v>
          </cell>
        </row>
        <row r="440">
          <cell r="A440" t="str">
            <v>A1438</v>
          </cell>
          <cell r="B440" t="str">
            <v>Data Analytics Course</v>
          </cell>
          <cell r="C440">
            <v>117</v>
          </cell>
          <cell r="D440">
            <v>117</v>
          </cell>
          <cell r="E440">
            <v>4367</v>
          </cell>
          <cell r="F440">
            <v>4367</v>
          </cell>
          <cell r="G440" t="str">
            <v>$233.27</v>
          </cell>
          <cell r="H440" t="str">
            <v>$233.27</v>
          </cell>
          <cell r="I440">
            <v>24</v>
          </cell>
          <cell r="J440">
            <v>24</v>
          </cell>
          <cell r="K440">
            <v>3</v>
          </cell>
          <cell r="L440">
            <v>3</v>
          </cell>
          <cell r="M440">
            <v>2.564102564102564E-2</v>
          </cell>
          <cell r="O440" t="str">
            <v>$1238</v>
          </cell>
          <cell r="P440" t="str">
            <v>$1238</v>
          </cell>
          <cell r="Q440">
            <v>45620</v>
          </cell>
          <cell r="R440" t="str">
            <v>Hyderabad</v>
          </cell>
          <cell r="S440" t="str">
            <v>Tablet</v>
          </cell>
          <cell r="T440" t="str">
            <v>learn data analytics</v>
          </cell>
        </row>
        <row r="441">
          <cell r="A441" t="str">
            <v>A1439</v>
          </cell>
          <cell r="B441" t="str">
            <v>Data Analytics Course</v>
          </cell>
          <cell r="C441">
            <v>100</v>
          </cell>
          <cell r="D441">
            <v>100</v>
          </cell>
          <cell r="E441">
            <v>5481</v>
          </cell>
          <cell r="F441">
            <v>5481</v>
          </cell>
          <cell r="G441" t="str">
            <v>$180.72</v>
          </cell>
          <cell r="H441" t="str">
            <v>$180.72</v>
          </cell>
          <cell r="I441">
            <v>14</v>
          </cell>
          <cell r="J441">
            <v>14</v>
          </cell>
          <cell r="K441">
            <v>7</v>
          </cell>
          <cell r="L441">
            <v>7</v>
          </cell>
          <cell r="M441">
            <v>7.0000000000000007E-2</v>
          </cell>
          <cell r="N441">
            <v>7.0000000000000007E-2</v>
          </cell>
          <cell r="O441" t="str">
            <v>$1185</v>
          </cell>
          <cell r="P441" t="str">
            <v>$1185</v>
          </cell>
          <cell r="Q441">
            <v>45598</v>
          </cell>
          <cell r="R441" t="str">
            <v>Chennai</v>
          </cell>
          <cell r="S441" t="str">
            <v>Desktop</v>
          </cell>
          <cell r="T441" t="str">
            <v>analytics for data</v>
          </cell>
        </row>
        <row r="442">
          <cell r="A442" t="str">
            <v>A1440</v>
          </cell>
          <cell r="B442" t="str">
            <v>Data Analytics Course</v>
          </cell>
          <cell r="C442">
            <v>179</v>
          </cell>
          <cell r="D442">
            <v>179</v>
          </cell>
          <cell r="E442">
            <v>4109</v>
          </cell>
          <cell r="F442">
            <v>4109</v>
          </cell>
          <cell r="G442" t="str">
            <v>$191.84</v>
          </cell>
          <cell r="H442" t="str">
            <v>$191.84</v>
          </cell>
          <cell r="I442">
            <v>19</v>
          </cell>
          <cell r="J442">
            <v>19</v>
          </cell>
          <cell r="K442">
            <v>4</v>
          </cell>
          <cell r="L442">
            <v>4</v>
          </cell>
          <cell r="M442">
            <v>2.23463687150838E-2</v>
          </cell>
          <cell r="N442">
            <v>2.1999999999999999E-2</v>
          </cell>
          <cell r="O442" t="str">
            <v>$1961</v>
          </cell>
          <cell r="P442" t="str">
            <v>$1961</v>
          </cell>
          <cell r="Q442">
            <v>45598</v>
          </cell>
          <cell r="R442" t="str">
            <v>Hyderabad</v>
          </cell>
          <cell r="S442" t="str">
            <v>Tablet</v>
          </cell>
          <cell r="T442" t="str">
            <v>online data analytic</v>
          </cell>
        </row>
        <row r="443">
          <cell r="A443" t="str">
            <v>A1441</v>
          </cell>
          <cell r="B443" t="str">
            <v>Data Analytics Course</v>
          </cell>
          <cell r="C443">
            <v>180</v>
          </cell>
          <cell r="D443">
            <v>180</v>
          </cell>
          <cell r="E443">
            <v>3887</v>
          </cell>
          <cell r="F443">
            <v>3887</v>
          </cell>
          <cell r="G443" t="str">
            <v>$186.26</v>
          </cell>
          <cell r="H443" t="str">
            <v>$186.26</v>
          </cell>
          <cell r="I443">
            <v>18</v>
          </cell>
          <cell r="J443">
            <v>18</v>
          </cell>
          <cell r="K443">
            <v>6</v>
          </cell>
          <cell r="L443">
            <v>6</v>
          </cell>
          <cell r="M443">
            <v>3.3333333333333333E-2</v>
          </cell>
          <cell r="N443">
            <v>3.3000000000000002E-2</v>
          </cell>
          <cell r="O443" t="str">
            <v>$1048</v>
          </cell>
          <cell r="P443" t="str">
            <v>$1048</v>
          </cell>
          <cell r="Q443">
            <v>45601</v>
          </cell>
          <cell r="R443" t="str">
            <v>Hyderabad</v>
          </cell>
          <cell r="S443" t="str">
            <v>Desktop</v>
          </cell>
          <cell r="T443" t="str">
            <v>data analytics course</v>
          </cell>
        </row>
        <row r="444">
          <cell r="A444" t="str">
            <v>A1442</v>
          </cell>
          <cell r="B444" t="str">
            <v>Data Analytcis Course</v>
          </cell>
          <cell r="C444">
            <v>146</v>
          </cell>
          <cell r="D444">
            <v>146</v>
          </cell>
          <cell r="E444">
            <v>4633</v>
          </cell>
          <cell r="F444">
            <v>4633</v>
          </cell>
          <cell r="G444" t="str">
            <v>$186.07</v>
          </cell>
          <cell r="H444" t="str">
            <v>$186.07</v>
          </cell>
          <cell r="I444">
            <v>26</v>
          </cell>
          <cell r="J444">
            <v>26</v>
          </cell>
          <cell r="K444">
            <v>3</v>
          </cell>
          <cell r="L444">
            <v>3</v>
          </cell>
          <cell r="M444">
            <v>2.0547945205479451E-2</v>
          </cell>
          <cell r="N444">
            <v>2.1000000000000001E-2</v>
          </cell>
          <cell r="O444" t="str">
            <v>$1053</v>
          </cell>
          <cell r="P444" t="str">
            <v>$1053</v>
          </cell>
          <cell r="Q444">
            <v>45621</v>
          </cell>
          <cell r="R444" t="str">
            <v>Hyderabad</v>
          </cell>
          <cell r="S444" t="str">
            <v>Desktop</v>
          </cell>
          <cell r="T444" t="str">
            <v>data analytics training</v>
          </cell>
        </row>
        <row r="445">
          <cell r="A445" t="str">
            <v>A1443</v>
          </cell>
          <cell r="B445" t="str">
            <v>Data Analytics Course</v>
          </cell>
          <cell r="C445">
            <v>124</v>
          </cell>
          <cell r="D445">
            <v>124</v>
          </cell>
          <cell r="E445">
            <v>5353</v>
          </cell>
          <cell r="F445">
            <v>5353</v>
          </cell>
          <cell r="G445" t="str">
            <v>$239.69</v>
          </cell>
          <cell r="H445" t="str">
            <v>$239.69</v>
          </cell>
          <cell r="I445">
            <v>13</v>
          </cell>
          <cell r="J445">
            <v>13</v>
          </cell>
          <cell r="K445">
            <v>4</v>
          </cell>
          <cell r="L445">
            <v>4</v>
          </cell>
          <cell r="M445">
            <v>3.2258064516129031E-2</v>
          </cell>
          <cell r="N445">
            <v>3.2000000000000001E-2</v>
          </cell>
          <cell r="O445" t="str">
            <v>$1493</v>
          </cell>
          <cell r="P445" t="str">
            <v>$1493</v>
          </cell>
          <cell r="Q445">
            <v>45615</v>
          </cell>
          <cell r="R445" t="str">
            <v>Chennai</v>
          </cell>
          <cell r="S445" t="str">
            <v>Desktop</v>
          </cell>
          <cell r="T445" t="str">
            <v>learn data analytics</v>
          </cell>
        </row>
        <row r="446">
          <cell r="A446" t="str">
            <v>A1444</v>
          </cell>
          <cell r="B446" t="str">
            <v>Data Analytics Course</v>
          </cell>
          <cell r="C446">
            <v>169</v>
          </cell>
          <cell r="D446">
            <v>169</v>
          </cell>
          <cell r="E446">
            <v>5380</v>
          </cell>
          <cell r="F446">
            <v>5380</v>
          </cell>
          <cell r="G446" t="str">
            <v>$199.66</v>
          </cell>
          <cell r="H446" t="str">
            <v>$199.66</v>
          </cell>
          <cell r="I446">
            <v>27</v>
          </cell>
          <cell r="J446">
            <v>27</v>
          </cell>
          <cell r="K446">
            <v>6</v>
          </cell>
          <cell r="L446">
            <v>6</v>
          </cell>
          <cell r="M446">
            <v>3.5502958579881658E-2</v>
          </cell>
          <cell r="N446">
            <v>3.5999999999999997E-2</v>
          </cell>
          <cell r="O446" t="str">
            <v>$1059</v>
          </cell>
          <cell r="P446" t="str">
            <v>$1059</v>
          </cell>
          <cell r="Q446">
            <v>45599</v>
          </cell>
          <cell r="R446" t="str">
            <v>Bangaluru</v>
          </cell>
          <cell r="S446" t="str">
            <v>Desktop</v>
          </cell>
          <cell r="T446" t="str">
            <v>data analytics training</v>
          </cell>
        </row>
        <row r="447">
          <cell r="A447" t="str">
            <v>A1445</v>
          </cell>
          <cell r="B447" t="str">
            <v>Data Analytics Course</v>
          </cell>
          <cell r="C447">
            <v>91</v>
          </cell>
          <cell r="D447">
            <v>91</v>
          </cell>
          <cell r="E447">
            <v>5104</v>
          </cell>
          <cell r="F447">
            <v>5104</v>
          </cell>
          <cell r="G447" t="str">
            <v>$211.85</v>
          </cell>
          <cell r="H447" t="str">
            <v>$211.85</v>
          </cell>
          <cell r="I447">
            <v>29</v>
          </cell>
          <cell r="J447">
            <v>29</v>
          </cell>
          <cell r="K447">
            <v>9</v>
          </cell>
          <cell r="L447">
            <v>9</v>
          </cell>
          <cell r="M447">
            <v>9.8901098901098897E-2</v>
          </cell>
          <cell r="O447" t="str">
            <v>$1309</v>
          </cell>
          <cell r="P447" t="str">
            <v>$1309</v>
          </cell>
          <cell r="Q447">
            <v>45612</v>
          </cell>
          <cell r="R447" t="str">
            <v>Hyderabad</v>
          </cell>
          <cell r="S447" t="str">
            <v>Tablet</v>
          </cell>
          <cell r="T447" t="str">
            <v>data analytics course</v>
          </cell>
        </row>
        <row r="448">
          <cell r="A448" t="str">
            <v>A1446</v>
          </cell>
          <cell r="B448" t="str">
            <v>Data Analytcis Course</v>
          </cell>
          <cell r="C448">
            <v>145</v>
          </cell>
          <cell r="D448">
            <v>145</v>
          </cell>
          <cell r="E448">
            <v>4523.2808326787117</v>
          </cell>
          <cell r="G448" t="str">
            <v>$236.03</v>
          </cell>
          <cell r="H448" t="str">
            <v>$236.03</v>
          </cell>
          <cell r="I448">
            <v>24</v>
          </cell>
          <cell r="J448">
            <v>24</v>
          </cell>
          <cell r="K448">
            <v>8</v>
          </cell>
          <cell r="L448">
            <v>8</v>
          </cell>
          <cell r="M448">
            <v>5.5172413793103448E-2</v>
          </cell>
          <cell r="O448" t="str">
            <v>$1220</v>
          </cell>
          <cell r="P448" t="str">
            <v>$1220</v>
          </cell>
          <cell r="Q448">
            <v>45613</v>
          </cell>
          <cell r="R448" t="str">
            <v>Bangaluru</v>
          </cell>
          <cell r="S448" t="str">
            <v>Desktop</v>
          </cell>
          <cell r="T448" t="str">
            <v>online data analytic</v>
          </cell>
        </row>
        <row r="449">
          <cell r="A449" t="str">
            <v>A1447</v>
          </cell>
          <cell r="B449" t="str">
            <v>Data Analytcis Course</v>
          </cell>
          <cell r="C449">
            <v>115</v>
          </cell>
          <cell r="D449">
            <v>115</v>
          </cell>
          <cell r="E449">
            <v>4345</v>
          </cell>
          <cell r="F449">
            <v>4345</v>
          </cell>
          <cell r="G449" t="str">
            <v>$229.71</v>
          </cell>
          <cell r="H449" t="str">
            <v>$229.71</v>
          </cell>
          <cell r="I449">
            <v>15</v>
          </cell>
          <cell r="J449">
            <v>15</v>
          </cell>
          <cell r="K449">
            <v>4</v>
          </cell>
          <cell r="L449">
            <v>4</v>
          </cell>
          <cell r="M449">
            <v>3.4782608695652174E-2</v>
          </cell>
          <cell r="O449" t="str">
            <v>$1467</v>
          </cell>
          <cell r="P449" t="str">
            <v>$1467</v>
          </cell>
          <cell r="Q449">
            <v>45622</v>
          </cell>
          <cell r="R449" t="str">
            <v>Hyderabad</v>
          </cell>
          <cell r="S449" t="str">
            <v>Mobile</v>
          </cell>
          <cell r="T449" t="str">
            <v>data analytics course</v>
          </cell>
        </row>
        <row r="450">
          <cell r="A450" t="str">
            <v>A1448</v>
          </cell>
          <cell r="B450" t="str">
            <v>Data Analytics Course</v>
          </cell>
          <cell r="C450">
            <v>123</v>
          </cell>
          <cell r="D450">
            <v>123</v>
          </cell>
          <cell r="E450">
            <v>3527</v>
          </cell>
          <cell r="F450">
            <v>3527</v>
          </cell>
          <cell r="G450" t="str">
            <v>$239.31</v>
          </cell>
          <cell r="H450" t="str">
            <v>$239.31</v>
          </cell>
          <cell r="I450">
            <v>21</v>
          </cell>
          <cell r="J450">
            <v>21</v>
          </cell>
          <cell r="K450">
            <v>3</v>
          </cell>
          <cell r="L450">
            <v>3</v>
          </cell>
          <cell r="M450">
            <v>2.4390243902439025E-2</v>
          </cell>
          <cell r="N450">
            <v>2.4E-2</v>
          </cell>
          <cell r="O450" t="str">
            <v>$1536</v>
          </cell>
          <cell r="P450" t="str">
            <v>$1536</v>
          </cell>
          <cell r="Q450">
            <v>45600</v>
          </cell>
          <cell r="R450" t="str">
            <v>Hyderabad</v>
          </cell>
          <cell r="S450" t="str">
            <v>Tablet</v>
          </cell>
          <cell r="T450" t="str">
            <v>analytics for data</v>
          </cell>
        </row>
        <row r="451">
          <cell r="A451" t="str">
            <v>A1449</v>
          </cell>
          <cell r="B451" t="str">
            <v>Data Analytics Course</v>
          </cell>
          <cell r="C451">
            <v>101</v>
          </cell>
          <cell r="D451">
            <v>101</v>
          </cell>
          <cell r="E451">
            <v>3330</v>
          </cell>
          <cell r="F451">
            <v>3330</v>
          </cell>
          <cell r="G451" t="str">
            <v>$209.8</v>
          </cell>
          <cell r="H451" t="str">
            <v>$209.8</v>
          </cell>
          <cell r="I451">
            <v>19</v>
          </cell>
          <cell r="J451">
            <v>19</v>
          </cell>
          <cell r="K451">
            <v>10</v>
          </cell>
          <cell r="L451">
            <v>10</v>
          </cell>
          <cell r="M451">
            <v>9.9009900990099015E-2</v>
          </cell>
          <cell r="N451">
            <v>9.9000000000000005E-2</v>
          </cell>
          <cell r="O451" t="str">
            <v>$1296</v>
          </cell>
          <cell r="P451" t="str">
            <v>$1296</v>
          </cell>
          <cell r="Q451">
            <v>45610</v>
          </cell>
          <cell r="R451" t="str">
            <v>Bangaluru</v>
          </cell>
          <cell r="S451" t="str">
            <v>Mobile</v>
          </cell>
          <cell r="T451" t="str">
            <v>data analytics training</v>
          </cell>
        </row>
        <row r="452">
          <cell r="A452" t="str">
            <v>A1450</v>
          </cell>
          <cell r="B452" t="str">
            <v>Data Analytics Course</v>
          </cell>
          <cell r="C452">
            <v>141</v>
          </cell>
          <cell r="D452">
            <v>141</v>
          </cell>
          <cell r="E452">
            <v>3913</v>
          </cell>
          <cell r="F452">
            <v>3913</v>
          </cell>
          <cell r="G452" t="str">
            <v>$245.32</v>
          </cell>
          <cell r="H452" t="str">
            <v>$245.32</v>
          </cell>
          <cell r="I452">
            <v>21</v>
          </cell>
          <cell r="J452">
            <v>21</v>
          </cell>
          <cell r="K452">
            <v>3</v>
          </cell>
          <cell r="L452">
            <v>3</v>
          </cell>
          <cell r="M452">
            <v>2.1276595744680851E-2</v>
          </cell>
          <cell r="N452">
            <v>5.6000000000000001E-2</v>
          </cell>
          <cell r="O452" t="str">
            <v>$1904</v>
          </cell>
          <cell r="P452" t="str">
            <v>$1904</v>
          </cell>
          <cell r="Q452">
            <v>45611</v>
          </cell>
          <cell r="R452" t="str">
            <v>Hyderabad</v>
          </cell>
          <cell r="S452" t="str">
            <v>Desktop</v>
          </cell>
          <cell r="T452" t="str">
            <v>analytics for data</v>
          </cell>
        </row>
        <row r="453">
          <cell r="A453" t="str">
            <v>A1451</v>
          </cell>
          <cell r="B453" t="str">
            <v>Data Analytics Course</v>
          </cell>
          <cell r="C453">
            <v>160</v>
          </cell>
          <cell r="D453">
            <v>160</v>
          </cell>
          <cell r="E453">
            <v>4597</v>
          </cell>
          <cell r="F453">
            <v>4597</v>
          </cell>
          <cell r="G453" t="str">
            <v>$211.88</v>
          </cell>
          <cell r="H453" t="str">
            <v>$211.88</v>
          </cell>
          <cell r="I453">
            <v>21</v>
          </cell>
          <cell r="J453">
            <v>21</v>
          </cell>
          <cell r="K453">
            <v>4</v>
          </cell>
          <cell r="L453">
            <v>4</v>
          </cell>
          <cell r="M453">
            <v>2.5000000000000001E-2</v>
          </cell>
          <cell r="N453">
            <v>2.5000000000000001E-2</v>
          </cell>
          <cell r="O453" t="str">
            <v>$1500</v>
          </cell>
          <cell r="Q453">
            <v>45617</v>
          </cell>
          <cell r="R453" t="str">
            <v>Hyderabad</v>
          </cell>
          <cell r="S453" t="str">
            <v>Desktop</v>
          </cell>
          <cell r="T453" t="str">
            <v>data analytics training</v>
          </cell>
        </row>
        <row r="454">
          <cell r="A454" t="str">
            <v>A1452</v>
          </cell>
          <cell r="B454" t="str">
            <v>Data Analytics Course</v>
          </cell>
          <cell r="C454">
            <v>105</v>
          </cell>
          <cell r="D454">
            <v>105</v>
          </cell>
          <cell r="E454">
            <v>3008</v>
          </cell>
          <cell r="F454">
            <v>3008</v>
          </cell>
          <cell r="G454" t="str">
            <v>$206.91</v>
          </cell>
          <cell r="H454" t="str">
            <v>$206.91</v>
          </cell>
          <cell r="I454">
            <v>21</v>
          </cell>
          <cell r="J454">
            <v>21</v>
          </cell>
          <cell r="K454">
            <v>4</v>
          </cell>
          <cell r="L454">
            <v>4</v>
          </cell>
          <cell r="M454">
            <v>3.8095238095238099E-2</v>
          </cell>
          <cell r="N454">
            <v>3.7999999999999999E-2</v>
          </cell>
          <cell r="O454" t="str">
            <v>$1009</v>
          </cell>
          <cell r="P454" t="str">
            <v>$1009</v>
          </cell>
          <cell r="Q454">
            <v>45606</v>
          </cell>
          <cell r="R454" t="str">
            <v>Chennai</v>
          </cell>
          <cell r="S454" t="str">
            <v>Desktop</v>
          </cell>
          <cell r="T454" t="str">
            <v>online data analytic</v>
          </cell>
        </row>
        <row r="455">
          <cell r="A455" t="str">
            <v>A1453</v>
          </cell>
          <cell r="B455" t="str">
            <v>Data Analytcis Course</v>
          </cell>
          <cell r="C455">
            <v>178</v>
          </cell>
          <cell r="D455">
            <v>178</v>
          </cell>
          <cell r="E455">
            <v>5318</v>
          </cell>
          <cell r="F455">
            <v>5318</v>
          </cell>
          <cell r="G455" t="str">
            <v>$207.05</v>
          </cell>
          <cell r="H455" t="str">
            <v>$207.05</v>
          </cell>
          <cell r="I455">
            <v>18</v>
          </cell>
          <cell r="J455">
            <v>18</v>
          </cell>
          <cell r="K455">
            <v>4</v>
          </cell>
          <cell r="L455">
            <v>4</v>
          </cell>
          <cell r="M455">
            <v>2.247191011235955E-2</v>
          </cell>
          <cell r="N455">
            <v>3.1E-2</v>
          </cell>
          <cell r="O455" t="str">
            <v>$1421</v>
          </cell>
          <cell r="P455" t="str">
            <v>$1421</v>
          </cell>
          <cell r="Q455">
            <v>45616</v>
          </cell>
          <cell r="R455" t="str">
            <v>Hyderabad</v>
          </cell>
          <cell r="S455" t="str">
            <v>Desktop</v>
          </cell>
          <cell r="T455" t="str">
            <v>data analytics online</v>
          </cell>
        </row>
        <row r="456">
          <cell r="A456" t="str">
            <v>A1454</v>
          </cell>
          <cell r="B456" t="str">
            <v>Data Analytcis Course</v>
          </cell>
          <cell r="C456">
            <v>189</v>
          </cell>
          <cell r="D456">
            <v>189</v>
          </cell>
          <cell r="E456">
            <v>5244</v>
          </cell>
          <cell r="F456">
            <v>5244</v>
          </cell>
          <cell r="G456" t="str">
            <v>$242.18</v>
          </cell>
          <cell r="H456" t="str">
            <v>$242.18</v>
          </cell>
          <cell r="I456">
            <v>29</v>
          </cell>
          <cell r="J456">
            <v>29</v>
          </cell>
          <cell r="K456">
            <v>3</v>
          </cell>
          <cell r="L456">
            <v>3</v>
          </cell>
          <cell r="M456">
            <v>1.5873015873015872E-2</v>
          </cell>
          <cell r="N456">
            <v>1.6E-2</v>
          </cell>
          <cell r="O456" t="str">
            <v>$1080</v>
          </cell>
          <cell r="P456" t="str">
            <v>$1080</v>
          </cell>
          <cell r="Q456">
            <v>45603</v>
          </cell>
          <cell r="R456" t="str">
            <v>Chennai</v>
          </cell>
          <cell r="S456" t="str">
            <v>Mobile</v>
          </cell>
          <cell r="T456" t="str">
            <v>analytics for data</v>
          </cell>
        </row>
        <row r="457">
          <cell r="A457" t="str">
            <v>A1455</v>
          </cell>
          <cell r="B457" t="str">
            <v>Data Analytics Course</v>
          </cell>
          <cell r="C457">
            <v>114</v>
          </cell>
          <cell r="D457">
            <v>114</v>
          </cell>
          <cell r="E457">
            <v>4804</v>
          </cell>
          <cell r="F457">
            <v>4804</v>
          </cell>
          <cell r="G457" t="str">
            <v>$249.33</v>
          </cell>
          <cell r="H457" t="str">
            <v>$249.33</v>
          </cell>
          <cell r="I457">
            <v>14</v>
          </cell>
          <cell r="J457">
            <v>14</v>
          </cell>
          <cell r="K457">
            <v>6</v>
          </cell>
          <cell r="L457">
            <v>6</v>
          </cell>
          <cell r="M457">
            <v>5.2631578947368418E-2</v>
          </cell>
          <cell r="N457">
            <v>5.2999999999999999E-2</v>
          </cell>
          <cell r="O457" t="str">
            <v>$1879</v>
          </cell>
          <cell r="P457" t="str">
            <v>$1879</v>
          </cell>
          <cell r="Q457">
            <v>45601</v>
          </cell>
          <cell r="R457" t="str">
            <v>Chennai</v>
          </cell>
          <cell r="S457" t="str">
            <v>Mobile</v>
          </cell>
          <cell r="T457" t="str">
            <v>data analytics course</v>
          </cell>
        </row>
        <row r="458">
          <cell r="A458" t="str">
            <v>A1456</v>
          </cell>
          <cell r="B458" t="str">
            <v>Data Analytics Course</v>
          </cell>
          <cell r="C458">
            <v>160</v>
          </cell>
          <cell r="D458">
            <v>160</v>
          </cell>
          <cell r="E458">
            <v>5920</v>
          </cell>
          <cell r="F458">
            <v>5920</v>
          </cell>
          <cell r="G458" t="str">
            <v>$201.3</v>
          </cell>
          <cell r="H458" t="str">
            <v>$201.3</v>
          </cell>
          <cell r="I458">
            <v>30</v>
          </cell>
          <cell r="J458">
            <v>30</v>
          </cell>
          <cell r="K458">
            <v>7</v>
          </cell>
          <cell r="L458">
            <v>7</v>
          </cell>
          <cell r="M458">
            <v>4.3749999999999997E-2</v>
          </cell>
          <cell r="N458">
            <v>4.7E-2</v>
          </cell>
          <cell r="O458" t="str">
            <v>$1080</v>
          </cell>
          <cell r="P458" t="str">
            <v>$1080</v>
          </cell>
          <cell r="Q458">
            <v>45614</v>
          </cell>
          <cell r="R458" t="str">
            <v>Bangaluru</v>
          </cell>
          <cell r="S458" t="str">
            <v>Tablet</v>
          </cell>
          <cell r="T458" t="str">
            <v>data analytics course</v>
          </cell>
        </row>
        <row r="459">
          <cell r="A459" t="str">
            <v>A1457</v>
          </cell>
          <cell r="B459" t="str">
            <v>Data Analytics Course</v>
          </cell>
          <cell r="C459">
            <v>101</v>
          </cell>
          <cell r="D459">
            <v>101</v>
          </cell>
          <cell r="E459">
            <v>5280</v>
          </cell>
          <cell r="F459">
            <v>5280</v>
          </cell>
          <cell r="G459" t="str">
            <v>$234.72</v>
          </cell>
          <cell r="H459" t="str">
            <v>$234.72</v>
          </cell>
          <cell r="I459">
            <v>18</v>
          </cell>
          <cell r="J459">
            <v>18</v>
          </cell>
          <cell r="K459">
            <v>9</v>
          </cell>
          <cell r="L459">
            <v>9</v>
          </cell>
          <cell r="M459">
            <v>8.9108910891089105E-2</v>
          </cell>
          <cell r="O459" t="str">
            <v>$1046</v>
          </cell>
          <cell r="P459" t="str">
            <v>$1046</v>
          </cell>
          <cell r="Q459">
            <v>45623</v>
          </cell>
          <cell r="R459" t="str">
            <v>Chennai</v>
          </cell>
          <cell r="S459" t="str">
            <v>Tablet</v>
          </cell>
          <cell r="T459" t="str">
            <v>data analytics course</v>
          </cell>
        </row>
        <row r="460">
          <cell r="A460" t="str">
            <v>A1458</v>
          </cell>
          <cell r="B460" t="str">
            <v>Data Analytics Course</v>
          </cell>
          <cell r="C460">
            <v>146</v>
          </cell>
          <cell r="D460">
            <v>146</v>
          </cell>
          <cell r="E460">
            <v>3887</v>
          </cell>
          <cell r="F460">
            <v>3887</v>
          </cell>
          <cell r="G460" t="str">
            <v>$206.59</v>
          </cell>
          <cell r="H460" t="str">
            <v>$206.59</v>
          </cell>
          <cell r="I460">
            <v>26</v>
          </cell>
          <cell r="J460">
            <v>26</v>
          </cell>
          <cell r="K460">
            <v>9</v>
          </cell>
          <cell r="L460">
            <v>9</v>
          </cell>
          <cell r="M460">
            <v>6.1643835616438353E-2</v>
          </cell>
          <cell r="N460">
            <v>6.2E-2</v>
          </cell>
          <cell r="O460" t="str">
            <v>$1042</v>
          </cell>
          <cell r="P460" t="str">
            <v>$1042</v>
          </cell>
          <cell r="Q460">
            <v>45603</v>
          </cell>
          <cell r="R460" t="str">
            <v>Hyderabad</v>
          </cell>
          <cell r="S460" t="str">
            <v>Desktop</v>
          </cell>
          <cell r="T460" t="str">
            <v>online data analytic</v>
          </cell>
        </row>
        <row r="461">
          <cell r="A461" t="str">
            <v>A1459</v>
          </cell>
          <cell r="B461" t="str">
            <v>Data Analytcis Course</v>
          </cell>
          <cell r="C461">
            <v>128</v>
          </cell>
          <cell r="D461">
            <v>128</v>
          </cell>
          <cell r="E461">
            <v>4532</v>
          </cell>
          <cell r="F461">
            <v>4532</v>
          </cell>
          <cell r="G461" t="str">
            <v>$183.28</v>
          </cell>
          <cell r="H461" t="str">
            <v>$183.28</v>
          </cell>
          <cell r="I461">
            <v>11</v>
          </cell>
          <cell r="J461">
            <v>11</v>
          </cell>
          <cell r="K461">
            <v>6.4975891996142723</v>
          </cell>
          <cell r="M461">
            <v>5.0762415621986502E-2</v>
          </cell>
          <cell r="O461" t="str">
            <v>$1571</v>
          </cell>
          <cell r="P461" t="str">
            <v>$1571</v>
          </cell>
          <cell r="Q461">
            <v>45621</v>
          </cell>
          <cell r="R461" t="str">
            <v>Bangaluru</v>
          </cell>
          <cell r="S461" t="str">
            <v>Desktop</v>
          </cell>
          <cell r="T461" t="str">
            <v>data analytics training</v>
          </cell>
        </row>
        <row r="462">
          <cell r="A462" t="str">
            <v>A1460</v>
          </cell>
          <cell r="B462" t="str">
            <v>Data Analytics Course</v>
          </cell>
          <cell r="C462">
            <v>163</v>
          </cell>
          <cell r="D462">
            <v>163</v>
          </cell>
          <cell r="E462">
            <v>4125</v>
          </cell>
          <cell r="F462">
            <v>4125</v>
          </cell>
          <cell r="G462" t="str">
            <v>$246.09</v>
          </cell>
          <cell r="H462" t="str">
            <v>$246.09</v>
          </cell>
          <cell r="I462">
            <v>27</v>
          </cell>
          <cell r="J462">
            <v>27</v>
          </cell>
          <cell r="K462">
            <v>5</v>
          </cell>
          <cell r="L462">
            <v>5</v>
          </cell>
          <cell r="M462">
            <v>3.0674846625766871E-2</v>
          </cell>
          <cell r="N462">
            <v>3.1E-2</v>
          </cell>
          <cell r="O462" t="str">
            <v>$1910</v>
          </cell>
          <cell r="P462" t="str">
            <v>$1910</v>
          </cell>
          <cell r="Q462">
            <v>45623</v>
          </cell>
          <cell r="R462" t="str">
            <v>Hyderabad</v>
          </cell>
          <cell r="S462" t="str">
            <v>Mobile</v>
          </cell>
          <cell r="T462" t="str">
            <v>learn data analytics</v>
          </cell>
        </row>
        <row r="463">
          <cell r="A463" t="str">
            <v>A1461</v>
          </cell>
          <cell r="B463" t="str">
            <v>Data Analytcis Course</v>
          </cell>
          <cell r="C463">
            <v>193</v>
          </cell>
          <cell r="D463">
            <v>193</v>
          </cell>
          <cell r="E463">
            <v>5571</v>
          </cell>
          <cell r="F463">
            <v>5571</v>
          </cell>
          <cell r="G463" t="str">
            <v>$213.5</v>
          </cell>
          <cell r="H463" t="str">
            <v>$213.5</v>
          </cell>
          <cell r="I463">
            <v>19</v>
          </cell>
          <cell r="J463">
            <v>19</v>
          </cell>
          <cell r="K463">
            <v>8</v>
          </cell>
          <cell r="L463">
            <v>8</v>
          </cell>
          <cell r="M463">
            <v>4.145077720207254E-2</v>
          </cell>
          <cell r="N463">
            <v>5.8999999999999997E-2</v>
          </cell>
          <cell r="O463" t="str">
            <v>$1754</v>
          </cell>
          <cell r="P463" t="str">
            <v>$1754</v>
          </cell>
          <cell r="Q463">
            <v>45624</v>
          </cell>
          <cell r="R463" t="str">
            <v>Hyderabad</v>
          </cell>
          <cell r="S463" t="str">
            <v>Mobile</v>
          </cell>
          <cell r="T463" t="str">
            <v>analytics for data</v>
          </cell>
        </row>
        <row r="464">
          <cell r="A464" t="str">
            <v>A1462</v>
          </cell>
          <cell r="B464" t="str">
            <v>Data Analytics Course</v>
          </cell>
          <cell r="C464">
            <v>179</v>
          </cell>
          <cell r="D464">
            <v>179</v>
          </cell>
          <cell r="E464">
            <v>4309</v>
          </cell>
          <cell r="F464">
            <v>4309</v>
          </cell>
          <cell r="G464" t="str">
            <v>$237.62</v>
          </cell>
          <cell r="H464" t="str">
            <v>$237.62</v>
          </cell>
          <cell r="I464">
            <v>21</v>
          </cell>
          <cell r="J464">
            <v>21</v>
          </cell>
          <cell r="K464">
            <v>7</v>
          </cell>
          <cell r="L464">
            <v>7</v>
          </cell>
          <cell r="M464">
            <v>3.9106145251396648E-2</v>
          </cell>
          <cell r="N464">
            <v>3.9E-2</v>
          </cell>
          <cell r="O464" t="str">
            <v>$1719</v>
          </cell>
          <cell r="P464" t="str">
            <v>$1719</v>
          </cell>
          <cell r="Q464">
            <v>45610</v>
          </cell>
          <cell r="R464" t="str">
            <v>Hyderabad</v>
          </cell>
          <cell r="S464" t="str">
            <v>Mobile</v>
          </cell>
          <cell r="T464" t="str">
            <v>data analytics course</v>
          </cell>
        </row>
        <row r="465">
          <cell r="A465" t="str">
            <v>A1463</v>
          </cell>
          <cell r="B465" t="str">
            <v>Data Analytics Course</v>
          </cell>
          <cell r="C465">
            <v>86</v>
          </cell>
          <cell r="D465">
            <v>86</v>
          </cell>
          <cell r="E465">
            <v>5538</v>
          </cell>
          <cell r="F465">
            <v>5538</v>
          </cell>
          <cell r="G465" t="str">
            <v>$223.13</v>
          </cell>
          <cell r="H465" t="str">
            <v>$223.13</v>
          </cell>
          <cell r="I465">
            <v>22</v>
          </cell>
          <cell r="J465">
            <v>22</v>
          </cell>
          <cell r="K465">
            <v>7</v>
          </cell>
          <cell r="L465">
            <v>7</v>
          </cell>
          <cell r="M465">
            <v>8.1395348837209308E-2</v>
          </cell>
          <cell r="N465">
            <v>3.6999999999999998E-2</v>
          </cell>
          <cell r="O465" t="str">
            <v>$1544</v>
          </cell>
          <cell r="P465" t="str">
            <v>$1544</v>
          </cell>
          <cell r="Q465">
            <v>45626</v>
          </cell>
          <cell r="R465" t="str">
            <v>Bangaluru</v>
          </cell>
          <cell r="S465" t="str">
            <v>Tablet</v>
          </cell>
          <cell r="T465" t="str">
            <v>data analytics training</v>
          </cell>
        </row>
        <row r="466">
          <cell r="A466" t="str">
            <v>A1464</v>
          </cell>
          <cell r="B466" t="str">
            <v>Data Analytics Course</v>
          </cell>
          <cell r="C466">
            <v>92</v>
          </cell>
          <cell r="D466">
            <v>92</v>
          </cell>
          <cell r="E466">
            <v>3162</v>
          </cell>
          <cell r="F466">
            <v>3162</v>
          </cell>
          <cell r="G466" t="str">
            <v>$202.76</v>
          </cell>
          <cell r="H466" t="str">
            <v>$202.76</v>
          </cell>
          <cell r="I466">
            <v>25</v>
          </cell>
          <cell r="J466">
            <v>25</v>
          </cell>
          <cell r="K466">
            <v>5</v>
          </cell>
          <cell r="L466">
            <v>5</v>
          </cell>
          <cell r="M466">
            <v>5.434782608695652E-2</v>
          </cell>
          <cell r="O466" t="str">
            <v>$1577</v>
          </cell>
          <cell r="P466" t="str">
            <v>$1577</v>
          </cell>
          <cell r="Q466">
            <v>45597</v>
          </cell>
          <cell r="R466" t="str">
            <v>Bangaluru</v>
          </cell>
          <cell r="S466" t="str">
            <v>Mobile</v>
          </cell>
          <cell r="T466" t="str">
            <v>data analytics training</v>
          </cell>
        </row>
        <row r="467">
          <cell r="A467" t="str">
            <v>A1465</v>
          </cell>
          <cell r="B467" t="str">
            <v>Data Analytics Course</v>
          </cell>
          <cell r="C467">
            <v>125</v>
          </cell>
          <cell r="D467">
            <v>125</v>
          </cell>
          <cell r="E467">
            <v>5811</v>
          </cell>
          <cell r="F467">
            <v>5811</v>
          </cell>
          <cell r="G467" t="str">
            <v>$194.92</v>
          </cell>
          <cell r="H467" t="str">
            <v>$194.92</v>
          </cell>
          <cell r="I467">
            <v>14</v>
          </cell>
          <cell r="J467">
            <v>14</v>
          </cell>
          <cell r="K467">
            <v>6.4978250362493961</v>
          </cell>
          <cell r="M467">
            <v>5.1982600289995171E-2</v>
          </cell>
          <cell r="N467">
            <v>0.03</v>
          </cell>
          <cell r="O467" t="str">
            <v>$1500</v>
          </cell>
          <cell r="Q467">
            <v>45618</v>
          </cell>
          <cell r="R467" t="str">
            <v>Bangaluru</v>
          </cell>
          <cell r="S467" t="str">
            <v>Tablet</v>
          </cell>
          <cell r="T467" t="str">
            <v>data analytics training</v>
          </cell>
        </row>
        <row r="468">
          <cell r="A468" t="str">
            <v>A1466</v>
          </cell>
          <cell r="B468" t="str">
            <v>Data Analytcis Course</v>
          </cell>
          <cell r="C468">
            <v>147</v>
          </cell>
          <cell r="D468">
            <v>147</v>
          </cell>
          <cell r="E468">
            <v>3112</v>
          </cell>
          <cell r="F468">
            <v>3112</v>
          </cell>
          <cell r="G468" t="str">
            <v>$206.74</v>
          </cell>
          <cell r="H468" t="str">
            <v>$206.74</v>
          </cell>
          <cell r="I468">
            <v>12</v>
          </cell>
          <cell r="J468">
            <v>12</v>
          </cell>
          <cell r="K468">
            <v>8</v>
          </cell>
          <cell r="L468">
            <v>8</v>
          </cell>
          <cell r="M468">
            <v>5.4421768707482991E-2</v>
          </cell>
          <cell r="N468">
            <v>5.3999999999999999E-2</v>
          </cell>
          <cell r="O468" t="str">
            <v>$1815</v>
          </cell>
          <cell r="P468" t="str">
            <v>$1815</v>
          </cell>
          <cell r="Q468">
            <v>45614</v>
          </cell>
          <cell r="R468" t="str">
            <v>Bangaluru</v>
          </cell>
          <cell r="S468" t="str">
            <v>Mobile</v>
          </cell>
          <cell r="T468" t="str">
            <v>data analytics course</v>
          </cell>
        </row>
        <row r="469">
          <cell r="A469" t="str">
            <v>A1467</v>
          </cell>
          <cell r="B469" t="str">
            <v>Data Analytics Course</v>
          </cell>
          <cell r="C469">
            <v>143</v>
          </cell>
          <cell r="D469">
            <v>143</v>
          </cell>
          <cell r="E469">
            <v>4492</v>
          </cell>
          <cell r="F469">
            <v>4492</v>
          </cell>
          <cell r="G469" t="str">
            <v>$188.98</v>
          </cell>
          <cell r="H469" t="str">
            <v>$188.98</v>
          </cell>
          <cell r="I469">
            <v>13</v>
          </cell>
          <cell r="J469">
            <v>13</v>
          </cell>
          <cell r="K469">
            <v>3</v>
          </cell>
          <cell r="L469">
            <v>3</v>
          </cell>
          <cell r="M469">
            <v>2.097902097902098E-2</v>
          </cell>
          <cell r="N469">
            <v>5.6000000000000001E-2</v>
          </cell>
          <cell r="O469" t="str">
            <v>$1500</v>
          </cell>
          <cell r="Q469">
            <v>45605</v>
          </cell>
          <cell r="R469" t="str">
            <v>Hyderabad</v>
          </cell>
          <cell r="S469" t="str">
            <v>Mobile</v>
          </cell>
          <cell r="T469" t="str">
            <v>online data analytic</v>
          </cell>
        </row>
        <row r="470">
          <cell r="A470" t="str">
            <v>A1468</v>
          </cell>
          <cell r="B470" t="str">
            <v>Data Analytics Course</v>
          </cell>
          <cell r="C470">
            <v>181</v>
          </cell>
          <cell r="D470">
            <v>181</v>
          </cell>
          <cell r="E470">
            <v>4523.2808326787117</v>
          </cell>
          <cell r="G470" t="str">
            <v>$208.33</v>
          </cell>
          <cell r="H470" t="str">
            <v>$208.33</v>
          </cell>
          <cell r="I470">
            <v>22</v>
          </cell>
          <cell r="J470">
            <v>22</v>
          </cell>
          <cell r="K470">
            <v>8</v>
          </cell>
          <cell r="L470">
            <v>8</v>
          </cell>
          <cell r="M470">
            <v>4.4198895027624308E-2</v>
          </cell>
          <cell r="N470">
            <v>4.3999999999999997E-2</v>
          </cell>
          <cell r="O470" t="str">
            <v>$1932</v>
          </cell>
          <cell r="P470" t="str">
            <v>$1932</v>
          </cell>
          <cell r="Q470">
            <v>45601</v>
          </cell>
          <cell r="R470" t="str">
            <v>Hyderabad</v>
          </cell>
          <cell r="S470" t="str">
            <v>Tablet</v>
          </cell>
          <cell r="T470" t="str">
            <v>online data analytic</v>
          </cell>
        </row>
        <row r="471">
          <cell r="A471" t="str">
            <v>A1469</v>
          </cell>
          <cell r="B471" t="str">
            <v>Data Analytcis Course</v>
          </cell>
          <cell r="C471">
            <v>164</v>
          </cell>
          <cell r="D471">
            <v>164</v>
          </cell>
          <cell r="E471">
            <v>3872</v>
          </cell>
          <cell r="F471">
            <v>3872</v>
          </cell>
          <cell r="G471" t="str">
            <v>$210.53</v>
          </cell>
          <cell r="H471" t="str">
            <v>$210.53</v>
          </cell>
          <cell r="I471">
            <v>12</v>
          </cell>
          <cell r="J471">
            <v>12</v>
          </cell>
          <cell r="K471">
            <v>5</v>
          </cell>
          <cell r="L471">
            <v>5</v>
          </cell>
          <cell r="M471">
            <v>3.048780487804878E-2</v>
          </cell>
          <cell r="N471">
            <v>0.03</v>
          </cell>
          <cell r="O471" t="str">
            <v>$1532</v>
          </cell>
          <cell r="P471" t="str">
            <v>$1532</v>
          </cell>
          <cell r="Q471">
            <v>45608</v>
          </cell>
          <cell r="R471" t="str">
            <v>Bangaluru</v>
          </cell>
          <cell r="S471" t="str">
            <v>Tablet</v>
          </cell>
          <cell r="T471" t="str">
            <v>data analytics online</v>
          </cell>
        </row>
        <row r="472">
          <cell r="A472" t="str">
            <v>A1470</v>
          </cell>
          <cell r="B472" t="str">
            <v>Data Analytcis Course</v>
          </cell>
          <cell r="C472">
            <v>199</v>
          </cell>
          <cell r="D472">
            <v>199</v>
          </cell>
          <cell r="E472">
            <v>4255</v>
          </cell>
          <cell r="F472">
            <v>4255</v>
          </cell>
          <cell r="G472" t="str">
            <v>$212.84</v>
          </cell>
          <cell r="H472" t="str">
            <v>$212.84</v>
          </cell>
          <cell r="I472">
            <v>14</v>
          </cell>
          <cell r="J472">
            <v>14</v>
          </cell>
          <cell r="K472">
            <v>6</v>
          </cell>
          <cell r="L472">
            <v>6</v>
          </cell>
          <cell r="M472">
            <v>3.015075376884422E-2</v>
          </cell>
          <cell r="N472">
            <v>5.3999999999999999E-2</v>
          </cell>
          <cell r="O472" t="str">
            <v>$1125</v>
          </cell>
          <cell r="P472" t="str">
            <v>$1125</v>
          </cell>
          <cell r="Q472">
            <v>45618</v>
          </cell>
          <cell r="R472" t="str">
            <v>Chennai</v>
          </cell>
          <cell r="S472" t="str">
            <v>Desktop</v>
          </cell>
          <cell r="T472" t="str">
            <v>learn data analytics</v>
          </cell>
        </row>
        <row r="473">
          <cell r="A473" t="str">
            <v>A1471</v>
          </cell>
          <cell r="B473" t="str">
            <v>Data Analytics Course</v>
          </cell>
          <cell r="C473">
            <v>83</v>
          </cell>
          <cell r="D473">
            <v>83</v>
          </cell>
          <cell r="E473">
            <v>4523.2808326787117</v>
          </cell>
          <cell r="G473" t="str">
            <v>$229.97</v>
          </cell>
          <cell r="H473" t="str">
            <v>$229.97</v>
          </cell>
          <cell r="I473">
            <v>12</v>
          </cell>
          <cell r="J473">
            <v>12</v>
          </cell>
          <cell r="K473">
            <v>8</v>
          </cell>
          <cell r="L473">
            <v>8</v>
          </cell>
          <cell r="M473">
            <v>9.6385542168674704E-2</v>
          </cell>
          <cell r="N473">
            <v>9.6000000000000002E-2</v>
          </cell>
          <cell r="O473" t="str">
            <v>$2000</v>
          </cell>
          <cell r="P473" t="str">
            <v>$2000</v>
          </cell>
          <cell r="Q473">
            <v>45626</v>
          </cell>
          <cell r="R473" t="str">
            <v>Chennai</v>
          </cell>
          <cell r="S473" t="str">
            <v>Desktop</v>
          </cell>
          <cell r="T473" t="str">
            <v>analytics for data</v>
          </cell>
        </row>
        <row r="474">
          <cell r="A474" t="str">
            <v>A1472</v>
          </cell>
          <cell r="B474" t="str">
            <v>Data Analytcis Course</v>
          </cell>
          <cell r="C474">
            <v>150</v>
          </cell>
          <cell r="D474">
            <v>150</v>
          </cell>
          <cell r="E474">
            <v>5619</v>
          </cell>
          <cell r="F474">
            <v>5619</v>
          </cell>
          <cell r="G474" t="str">
            <v>$191.89</v>
          </cell>
          <cell r="H474" t="str">
            <v>$191.89</v>
          </cell>
          <cell r="I474">
            <v>23</v>
          </cell>
          <cell r="J474">
            <v>23</v>
          </cell>
          <cell r="K474">
            <v>6</v>
          </cell>
          <cell r="L474">
            <v>6</v>
          </cell>
          <cell r="M474">
            <v>0.04</v>
          </cell>
          <cell r="N474">
            <v>0.04</v>
          </cell>
          <cell r="O474" t="str">
            <v>$1735</v>
          </cell>
          <cell r="P474" t="str">
            <v>$1735</v>
          </cell>
          <cell r="Q474">
            <v>45615</v>
          </cell>
          <cell r="R474" t="str">
            <v>Bangaluru</v>
          </cell>
          <cell r="S474" t="str">
            <v>Desktop</v>
          </cell>
          <cell r="T474" t="str">
            <v>data analytics training</v>
          </cell>
        </row>
        <row r="475">
          <cell r="A475" t="str">
            <v>A1473</v>
          </cell>
          <cell r="B475" t="str">
            <v>Data Analytcis Course</v>
          </cell>
          <cell r="C475">
            <v>171</v>
          </cell>
          <cell r="D475">
            <v>171</v>
          </cell>
          <cell r="E475">
            <v>5157</v>
          </cell>
          <cell r="F475">
            <v>5157</v>
          </cell>
          <cell r="G475" t="str">
            <v>$183.26</v>
          </cell>
          <cell r="H475" t="str">
            <v>$183.26</v>
          </cell>
          <cell r="I475">
            <v>24</v>
          </cell>
          <cell r="J475">
            <v>24</v>
          </cell>
          <cell r="K475">
            <v>9</v>
          </cell>
          <cell r="L475">
            <v>9</v>
          </cell>
          <cell r="M475">
            <v>5.2631578947368418E-2</v>
          </cell>
          <cell r="N475">
            <v>4.5999999999999999E-2</v>
          </cell>
          <cell r="O475" t="str">
            <v>$1430</v>
          </cell>
          <cell r="P475" t="str">
            <v>$1430</v>
          </cell>
          <cell r="Q475">
            <v>45605</v>
          </cell>
          <cell r="R475" t="str">
            <v>Bangaluru</v>
          </cell>
          <cell r="S475" t="str">
            <v>Desktop</v>
          </cell>
          <cell r="T475" t="str">
            <v>data analytics online</v>
          </cell>
        </row>
        <row r="476">
          <cell r="A476" t="str">
            <v>A1474</v>
          </cell>
          <cell r="B476" t="str">
            <v>Data Analytcis Course</v>
          </cell>
          <cell r="C476">
            <v>139</v>
          </cell>
          <cell r="D476">
            <v>139</v>
          </cell>
          <cell r="E476">
            <v>4871</v>
          </cell>
          <cell r="F476">
            <v>4871</v>
          </cell>
          <cell r="G476" t="str">
            <v>$211.4</v>
          </cell>
          <cell r="H476" t="str">
            <v>$211.4</v>
          </cell>
          <cell r="I476">
            <v>25</v>
          </cell>
          <cell r="J476">
            <v>25</v>
          </cell>
          <cell r="K476">
            <v>9</v>
          </cell>
          <cell r="L476">
            <v>9</v>
          </cell>
          <cell r="M476">
            <v>6.4748201438848921E-2</v>
          </cell>
          <cell r="N476">
            <v>6.5000000000000002E-2</v>
          </cell>
          <cell r="O476" t="str">
            <v>$1247</v>
          </cell>
          <cell r="P476" t="str">
            <v>$1247</v>
          </cell>
          <cell r="Q476">
            <v>45625</v>
          </cell>
          <cell r="R476" t="str">
            <v>Bangaluru</v>
          </cell>
          <cell r="S476" t="str">
            <v>Mobile</v>
          </cell>
          <cell r="T476" t="str">
            <v>data analytics training</v>
          </cell>
        </row>
        <row r="477">
          <cell r="A477" t="str">
            <v>A1475</v>
          </cell>
          <cell r="B477" t="str">
            <v>Data Analytics Course</v>
          </cell>
          <cell r="C477">
            <v>117</v>
          </cell>
          <cell r="D477">
            <v>117</v>
          </cell>
          <cell r="E477">
            <v>5863</v>
          </cell>
          <cell r="F477">
            <v>5863</v>
          </cell>
          <cell r="G477" t="str">
            <v>$224.69</v>
          </cell>
          <cell r="H477" t="str">
            <v>$224.69</v>
          </cell>
          <cell r="I477">
            <v>24</v>
          </cell>
          <cell r="J477">
            <v>24</v>
          </cell>
          <cell r="K477">
            <v>10</v>
          </cell>
          <cell r="L477">
            <v>10</v>
          </cell>
          <cell r="M477">
            <v>8.5470085470085472E-2</v>
          </cell>
          <cell r="N477">
            <v>5.3999999999999999E-2</v>
          </cell>
          <cell r="O477" t="str">
            <v>$1580</v>
          </cell>
          <cell r="P477" t="str">
            <v>$1580</v>
          </cell>
          <cell r="Q477">
            <v>45612</v>
          </cell>
          <cell r="R477" t="str">
            <v>Chennai</v>
          </cell>
          <cell r="S477" t="str">
            <v>Mobile</v>
          </cell>
          <cell r="T477" t="str">
            <v>data analytics online</v>
          </cell>
        </row>
        <row r="478">
          <cell r="A478" t="str">
            <v>A1476</v>
          </cell>
          <cell r="B478" t="str">
            <v>Data Analytcis Course</v>
          </cell>
          <cell r="C478">
            <v>196</v>
          </cell>
          <cell r="D478">
            <v>196</v>
          </cell>
          <cell r="E478">
            <v>3205</v>
          </cell>
          <cell r="F478">
            <v>3205</v>
          </cell>
          <cell r="G478" t="str">
            <v>$188.82</v>
          </cell>
          <cell r="H478" t="str">
            <v>$188.82</v>
          </cell>
          <cell r="I478">
            <v>24</v>
          </cell>
          <cell r="J478">
            <v>24</v>
          </cell>
          <cell r="K478">
            <v>8</v>
          </cell>
          <cell r="L478">
            <v>8</v>
          </cell>
          <cell r="M478">
            <v>4.0816326530612242E-2</v>
          </cell>
          <cell r="N478">
            <v>4.1000000000000002E-2</v>
          </cell>
          <cell r="O478" t="str">
            <v>$1837</v>
          </cell>
          <cell r="P478" t="str">
            <v>$1837</v>
          </cell>
          <cell r="Q478">
            <v>45620</v>
          </cell>
          <cell r="R478" t="str">
            <v>Hyderabad</v>
          </cell>
          <cell r="S478" t="str">
            <v>Desktop</v>
          </cell>
          <cell r="T478" t="str">
            <v>data analytics course</v>
          </cell>
        </row>
        <row r="479">
          <cell r="A479" t="str">
            <v>A1477</v>
          </cell>
          <cell r="B479" t="str">
            <v>Data Analytics Course</v>
          </cell>
          <cell r="C479">
            <v>184</v>
          </cell>
          <cell r="D479">
            <v>184</v>
          </cell>
          <cell r="E479">
            <v>5463</v>
          </cell>
          <cell r="F479">
            <v>5463</v>
          </cell>
          <cell r="G479" t="str">
            <v>$224.58</v>
          </cell>
          <cell r="H479" t="str">
            <v>$224.58</v>
          </cell>
          <cell r="I479">
            <v>30</v>
          </cell>
          <cell r="J479">
            <v>30</v>
          </cell>
          <cell r="K479">
            <v>6</v>
          </cell>
          <cell r="L479">
            <v>6</v>
          </cell>
          <cell r="M479">
            <v>3.2608695652173912E-2</v>
          </cell>
          <cell r="N479">
            <v>3.3000000000000002E-2</v>
          </cell>
          <cell r="O479" t="str">
            <v>$1565</v>
          </cell>
          <cell r="P479" t="str">
            <v>$1565</v>
          </cell>
          <cell r="Q479">
            <v>45622</v>
          </cell>
          <cell r="R479" t="str">
            <v>Hyderabad</v>
          </cell>
          <cell r="S479" t="str">
            <v>Tablet</v>
          </cell>
          <cell r="T479" t="str">
            <v>data analytics training</v>
          </cell>
        </row>
        <row r="480">
          <cell r="A480" t="str">
            <v>A1478</v>
          </cell>
          <cell r="B480" t="str">
            <v>Data Analytics Course</v>
          </cell>
          <cell r="C480">
            <v>103</v>
          </cell>
          <cell r="D480">
            <v>103</v>
          </cell>
          <cell r="E480">
            <v>5667</v>
          </cell>
          <cell r="F480">
            <v>5667</v>
          </cell>
          <cell r="G480" t="str">
            <v>$232.48</v>
          </cell>
          <cell r="H480" t="str">
            <v>$232.48</v>
          </cell>
          <cell r="I480">
            <v>26</v>
          </cell>
          <cell r="J480">
            <v>26</v>
          </cell>
          <cell r="K480">
            <v>8</v>
          </cell>
          <cell r="L480">
            <v>8</v>
          </cell>
          <cell r="M480">
            <v>7.7669902912621352E-2</v>
          </cell>
          <cell r="O480" t="str">
            <v>$1888</v>
          </cell>
          <cell r="P480" t="str">
            <v>$1888</v>
          </cell>
          <cell r="Q480">
            <v>45612</v>
          </cell>
          <cell r="R480" t="str">
            <v>Chennai</v>
          </cell>
          <cell r="S480" t="str">
            <v>Tablet</v>
          </cell>
          <cell r="T480" t="str">
            <v>learn data analytics</v>
          </cell>
        </row>
        <row r="481">
          <cell r="A481" t="str">
            <v>A1479</v>
          </cell>
          <cell r="B481" t="str">
            <v>Data Analytics Course</v>
          </cell>
          <cell r="C481">
            <v>120</v>
          </cell>
          <cell r="D481">
            <v>120</v>
          </cell>
          <cell r="E481">
            <v>4666</v>
          </cell>
          <cell r="F481">
            <v>4666</v>
          </cell>
          <cell r="G481" t="str">
            <v>$180.72</v>
          </cell>
          <cell r="H481" t="str">
            <v>$180.72</v>
          </cell>
          <cell r="I481">
            <v>30</v>
          </cell>
          <cell r="J481">
            <v>30</v>
          </cell>
          <cell r="K481">
            <v>3</v>
          </cell>
          <cell r="L481">
            <v>3</v>
          </cell>
          <cell r="M481">
            <v>2.5000000000000001E-2</v>
          </cell>
          <cell r="N481">
            <v>5.2999999999999999E-2</v>
          </cell>
          <cell r="O481" t="str">
            <v>$1627</v>
          </cell>
          <cell r="P481" t="str">
            <v>$1627</v>
          </cell>
          <cell r="Q481">
            <v>45620</v>
          </cell>
          <cell r="R481" t="str">
            <v>Bangaluru</v>
          </cell>
          <cell r="S481" t="str">
            <v>Mobile</v>
          </cell>
          <cell r="T481" t="str">
            <v>analytics for data</v>
          </cell>
        </row>
        <row r="482">
          <cell r="A482" t="str">
            <v>A1480</v>
          </cell>
          <cell r="B482" t="str">
            <v>Data Analytics Course</v>
          </cell>
          <cell r="C482">
            <v>148</v>
          </cell>
          <cell r="D482">
            <v>148</v>
          </cell>
          <cell r="E482">
            <v>3632</v>
          </cell>
          <cell r="F482">
            <v>3632</v>
          </cell>
          <cell r="G482" t="str">
            <v>$214.46</v>
          </cell>
          <cell r="H482" t="str">
            <v>$214.46</v>
          </cell>
          <cell r="I482">
            <v>28</v>
          </cell>
          <cell r="J482">
            <v>28</v>
          </cell>
          <cell r="K482">
            <v>10</v>
          </cell>
          <cell r="L482">
            <v>10</v>
          </cell>
          <cell r="M482">
            <v>6.7567567567567571E-2</v>
          </cell>
          <cell r="O482" t="str">
            <v>$1589</v>
          </cell>
          <cell r="P482" t="str">
            <v>$1589</v>
          </cell>
          <cell r="Q482">
            <v>45614</v>
          </cell>
          <cell r="R482" t="str">
            <v>Bangaluru</v>
          </cell>
          <cell r="S482" t="str">
            <v>Mobile</v>
          </cell>
          <cell r="T482" t="str">
            <v>data analytics training</v>
          </cell>
        </row>
        <row r="483">
          <cell r="A483" t="str">
            <v>A1481</v>
          </cell>
          <cell r="B483" t="str">
            <v>Data Analytics Course</v>
          </cell>
          <cell r="C483">
            <v>80</v>
          </cell>
          <cell r="D483">
            <v>80</v>
          </cell>
          <cell r="E483">
            <v>3834</v>
          </cell>
          <cell r="F483">
            <v>3834</v>
          </cell>
          <cell r="G483" t="str">
            <v>$181.22</v>
          </cell>
          <cell r="H483" t="str">
            <v>$181.22</v>
          </cell>
          <cell r="I483">
            <v>15</v>
          </cell>
          <cell r="J483">
            <v>15</v>
          </cell>
          <cell r="K483">
            <v>3</v>
          </cell>
          <cell r="L483">
            <v>3</v>
          </cell>
          <cell r="M483">
            <v>3.7499999999999999E-2</v>
          </cell>
          <cell r="N483">
            <v>3.6999999999999998E-2</v>
          </cell>
          <cell r="O483" t="str">
            <v>$1270</v>
          </cell>
          <cell r="P483" t="str">
            <v>$1270</v>
          </cell>
          <cell r="Q483">
            <v>45618</v>
          </cell>
          <cell r="R483" t="str">
            <v>Hyderabad</v>
          </cell>
          <cell r="S483" t="str">
            <v>Tablet</v>
          </cell>
          <cell r="T483" t="str">
            <v>learn data analytics</v>
          </cell>
        </row>
        <row r="484">
          <cell r="A484" t="str">
            <v>A1482</v>
          </cell>
          <cell r="B484" t="str">
            <v>Data Analytics Course</v>
          </cell>
          <cell r="C484">
            <v>168</v>
          </cell>
          <cell r="D484">
            <v>168</v>
          </cell>
          <cell r="E484">
            <v>3934</v>
          </cell>
          <cell r="F484">
            <v>3934</v>
          </cell>
          <cell r="G484" t="str">
            <v>$246.09</v>
          </cell>
          <cell r="H484" t="str">
            <v>$246.09</v>
          </cell>
          <cell r="I484">
            <v>24</v>
          </cell>
          <cell r="J484">
            <v>24</v>
          </cell>
          <cell r="K484">
            <v>6</v>
          </cell>
          <cell r="L484">
            <v>6</v>
          </cell>
          <cell r="M484">
            <v>3.5714285714285712E-2</v>
          </cell>
          <cell r="N484">
            <v>4.1000000000000002E-2</v>
          </cell>
          <cell r="O484" t="str">
            <v>$1592</v>
          </cell>
          <cell r="P484" t="str">
            <v>$1592</v>
          </cell>
          <cell r="Q484">
            <v>45620</v>
          </cell>
          <cell r="R484" t="str">
            <v>Hyderabad</v>
          </cell>
          <cell r="S484" t="str">
            <v>Tablet</v>
          </cell>
          <cell r="T484" t="str">
            <v>data analytics online</v>
          </cell>
        </row>
        <row r="485">
          <cell r="A485" t="str">
            <v>A1483</v>
          </cell>
          <cell r="B485" t="str">
            <v>Data Analytcis Course</v>
          </cell>
          <cell r="C485">
            <v>136</v>
          </cell>
          <cell r="D485">
            <v>136</v>
          </cell>
          <cell r="E485">
            <v>5724</v>
          </cell>
          <cell r="F485">
            <v>5724</v>
          </cell>
          <cell r="G485" t="str">
            <v>$218.37</v>
          </cell>
          <cell r="H485" t="str">
            <v>$218.37</v>
          </cell>
          <cell r="I485">
            <v>25</v>
          </cell>
          <cell r="J485">
            <v>25</v>
          </cell>
          <cell r="K485">
            <v>10</v>
          </cell>
          <cell r="L485">
            <v>10</v>
          </cell>
          <cell r="M485">
            <v>7.3529411764705885E-2</v>
          </cell>
          <cell r="N485">
            <v>7.3999999999999996E-2</v>
          </cell>
          <cell r="O485" t="str">
            <v>$1268</v>
          </cell>
          <cell r="P485" t="str">
            <v>$1268</v>
          </cell>
          <cell r="Q485">
            <v>45614</v>
          </cell>
          <cell r="R485" t="str">
            <v>Chennai</v>
          </cell>
          <cell r="S485" t="str">
            <v>Desktop</v>
          </cell>
          <cell r="T485" t="str">
            <v>data analytics course</v>
          </cell>
        </row>
        <row r="486">
          <cell r="A486" t="str">
            <v>A1484</v>
          </cell>
          <cell r="B486" t="str">
            <v>Data Analytics Course</v>
          </cell>
          <cell r="C486">
            <v>86</v>
          </cell>
          <cell r="D486">
            <v>86</v>
          </cell>
          <cell r="E486">
            <v>4763</v>
          </cell>
          <cell r="F486">
            <v>4763</v>
          </cell>
          <cell r="G486" t="str">
            <v>$243.78</v>
          </cell>
          <cell r="H486" t="str">
            <v>$243.78</v>
          </cell>
          <cell r="I486">
            <v>11</v>
          </cell>
          <cell r="J486">
            <v>11</v>
          </cell>
          <cell r="K486">
            <v>8</v>
          </cell>
          <cell r="L486">
            <v>8</v>
          </cell>
          <cell r="M486">
            <v>9.3023255813953487E-2</v>
          </cell>
          <cell r="N486">
            <v>9.2999999999999999E-2</v>
          </cell>
          <cell r="O486" t="str">
            <v>$1770</v>
          </cell>
          <cell r="P486" t="str">
            <v>$1770</v>
          </cell>
          <cell r="Q486">
            <v>45609</v>
          </cell>
          <cell r="R486" t="str">
            <v>Bangaluru</v>
          </cell>
          <cell r="S486" t="str">
            <v>Mobile</v>
          </cell>
          <cell r="T486" t="str">
            <v>learn data analytics</v>
          </cell>
        </row>
        <row r="487">
          <cell r="A487" t="str">
            <v>A1485</v>
          </cell>
          <cell r="B487" t="str">
            <v>Data Analytics Course</v>
          </cell>
          <cell r="C487">
            <v>175</v>
          </cell>
          <cell r="D487">
            <v>175</v>
          </cell>
          <cell r="E487">
            <v>3095</v>
          </cell>
          <cell r="F487">
            <v>3095</v>
          </cell>
          <cell r="G487" t="str">
            <v>$236.86</v>
          </cell>
          <cell r="H487" t="str">
            <v>$236.86</v>
          </cell>
          <cell r="I487">
            <v>22</v>
          </cell>
          <cell r="J487">
            <v>22</v>
          </cell>
          <cell r="K487">
            <v>4</v>
          </cell>
          <cell r="L487">
            <v>4</v>
          </cell>
          <cell r="M487">
            <v>2.2857142857142857E-2</v>
          </cell>
          <cell r="N487">
            <v>2.3E-2</v>
          </cell>
          <cell r="O487" t="str">
            <v>$1617</v>
          </cell>
          <cell r="P487" t="str">
            <v>$1617</v>
          </cell>
          <cell r="Q487">
            <v>45616</v>
          </cell>
          <cell r="R487" t="str">
            <v>Hyderabad</v>
          </cell>
          <cell r="S487" t="str">
            <v>Mobile</v>
          </cell>
          <cell r="T487" t="str">
            <v>analytics for data</v>
          </cell>
        </row>
        <row r="488">
          <cell r="A488" t="str">
            <v>A1486</v>
          </cell>
          <cell r="B488" t="str">
            <v>Data Analytics Course</v>
          </cell>
          <cell r="C488">
            <v>173</v>
          </cell>
          <cell r="D488">
            <v>173</v>
          </cell>
          <cell r="E488">
            <v>5554</v>
          </cell>
          <cell r="F488">
            <v>5554</v>
          </cell>
          <cell r="G488" t="str">
            <v>$185.09</v>
          </cell>
          <cell r="H488" t="str">
            <v>$185.09</v>
          </cell>
          <cell r="I488">
            <v>22</v>
          </cell>
          <cell r="J488">
            <v>22</v>
          </cell>
          <cell r="K488">
            <v>4</v>
          </cell>
          <cell r="L488">
            <v>4</v>
          </cell>
          <cell r="M488">
            <v>2.3121387283236993E-2</v>
          </cell>
          <cell r="N488">
            <v>2.3E-2</v>
          </cell>
          <cell r="O488" t="str">
            <v>$1000</v>
          </cell>
          <cell r="P488" t="str">
            <v>$1000</v>
          </cell>
          <cell r="Q488">
            <v>45597</v>
          </cell>
          <cell r="R488" t="str">
            <v>Chennai</v>
          </cell>
          <cell r="S488" t="str">
            <v>Desktop</v>
          </cell>
          <cell r="T488" t="str">
            <v>data analytics course</v>
          </cell>
        </row>
        <row r="489">
          <cell r="A489" t="str">
            <v>A1487</v>
          </cell>
          <cell r="B489" t="str">
            <v>Data Analytics Course</v>
          </cell>
          <cell r="C489">
            <v>192</v>
          </cell>
          <cell r="D489">
            <v>192</v>
          </cell>
          <cell r="E489">
            <v>3407</v>
          </cell>
          <cell r="F489">
            <v>3407</v>
          </cell>
          <cell r="G489" t="str">
            <v>$223.29</v>
          </cell>
          <cell r="H489" t="str">
            <v>$223.29</v>
          </cell>
          <cell r="I489">
            <v>29</v>
          </cell>
          <cell r="J489">
            <v>29</v>
          </cell>
          <cell r="K489">
            <v>9</v>
          </cell>
          <cell r="L489">
            <v>9</v>
          </cell>
          <cell r="M489">
            <v>4.6875E-2</v>
          </cell>
          <cell r="N489">
            <v>4.7E-2</v>
          </cell>
          <cell r="O489" t="str">
            <v>$1538</v>
          </cell>
          <cell r="P489" t="str">
            <v>$1538</v>
          </cell>
          <cell r="Q489">
            <v>45621</v>
          </cell>
          <cell r="R489" t="str">
            <v>Chennai</v>
          </cell>
          <cell r="S489" t="str">
            <v>Tablet</v>
          </cell>
          <cell r="T489" t="str">
            <v>data analytics training</v>
          </cell>
        </row>
        <row r="490">
          <cell r="A490" t="str">
            <v>A1488</v>
          </cell>
          <cell r="B490" t="str">
            <v>Data Analytics Course</v>
          </cell>
          <cell r="C490">
            <v>190</v>
          </cell>
          <cell r="D490">
            <v>190</v>
          </cell>
          <cell r="E490">
            <v>4465</v>
          </cell>
          <cell r="F490">
            <v>4465</v>
          </cell>
          <cell r="G490" t="str">
            <v>$241.38</v>
          </cell>
          <cell r="H490" t="str">
            <v>$241.38</v>
          </cell>
          <cell r="I490">
            <v>28</v>
          </cell>
          <cell r="J490">
            <v>28</v>
          </cell>
          <cell r="K490">
            <v>5</v>
          </cell>
          <cell r="L490">
            <v>5</v>
          </cell>
          <cell r="M490">
            <v>2.6315789473684209E-2</v>
          </cell>
          <cell r="N490">
            <v>2.5999999999999999E-2</v>
          </cell>
          <cell r="O490" t="str">
            <v>$1910</v>
          </cell>
          <cell r="P490" t="str">
            <v>$1910</v>
          </cell>
          <cell r="Q490">
            <v>45600</v>
          </cell>
          <cell r="R490" t="str">
            <v>Hyderabad</v>
          </cell>
          <cell r="S490" t="str">
            <v>Desktop</v>
          </cell>
          <cell r="T490" t="str">
            <v>analytics for data</v>
          </cell>
        </row>
        <row r="491">
          <cell r="A491" t="str">
            <v>A1489</v>
          </cell>
          <cell r="B491" t="str">
            <v>Data Analytics Course</v>
          </cell>
          <cell r="C491">
            <v>161</v>
          </cell>
          <cell r="D491">
            <v>161</v>
          </cell>
          <cell r="E491">
            <v>3311</v>
          </cell>
          <cell r="F491">
            <v>3311</v>
          </cell>
          <cell r="G491" t="str">
            <v>$221.64</v>
          </cell>
          <cell r="H491" t="str">
            <v>$221.64</v>
          </cell>
          <cell r="I491">
            <v>16</v>
          </cell>
          <cell r="J491">
            <v>16</v>
          </cell>
          <cell r="K491">
            <v>5</v>
          </cell>
          <cell r="L491">
            <v>5</v>
          </cell>
          <cell r="M491">
            <v>3.1055900621118012E-2</v>
          </cell>
          <cell r="N491">
            <v>3.1E-2</v>
          </cell>
          <cell r="O491" t="str">
            <v>$1006</v>
          </cell>
          <cell r="P491" t="str">
            <v>$1006</v>
          </cell>
          <cell r="Q491">
            <v>45598</v>
          </cell>
          <cell r="R491" t="str">
            <v>Hyderabad</v>
          </cell>
          <cell r="S491" t="str">
            <v>Tablet</v>
          </cell>
          <cell r="T491" t="str">
            <v>online data analytic</v>
          </cell>
        </row>
        <row r="492">
          <cell r="A492" t="str">
            <v>A1490</v>
          </cell>
          <cell r="B492" t="str">
            <v>Data Analytics Course</v>
          </cell>
          <cell r="C492">
            <v>197</v>
          </cell>
          <cell r="D492">
            <v>197</v>
          </cell>
          <cell r="E492">
            <v>3265</v>
          </cell>
          <cell r="F492">
            <v>3265</v>
          </cell>
          <cell r="G492" t="str">
            <v>$200.4</v>
          </cell>
          <cell r="H492" t="str">
            <v>$200.4</v>
          </cell>
          <cell r="I492">
            <v>15</v>
          </cell>
          <cell r="J492">
            <v>15</v>
          </cell>
          <cell r="K492">
            <v>3</v>
          </cell>
          <cell r="L492">
            <v>3</v>
          </cell>
          <cell r="M492">
            <v>1.5228426395939087E-2</v>
          </cell>
          <cell r="N492">
            <v>1.4999999999999999E-2</v>
          </cell>
          <cell r="O492" t="str">
            <v>$1882</v>
          </cell>
          <cell r="P492" t="str">
            <v>$1882</v>
          </cell>
          <cell r="Q492">
            <v>45597</v>
          </cell>
          <cell r="R492" t="str">
            <v>Chennai</v>
          </cell>
          <cell r="S492" t="str">
            <v>Mobile</v>
          </cell>
          <cell r="T492" t="str">
            <v>learn data analytics</v>
          </cell>
        </row>
        <row r="493">
          <cell r="A493" t="str">
            <v>A1491</v>
          </cell>
          <cell r="B493" t="str">
            <v>Data Analytics Course</v>
          </cell>
          <cell r="C493">
            <v>80</v>
          </cell>
          <cell r="D493">
            <v>80</v>
          </cell>
          <cell r="E493">
            <v>4969</v>
          </cell>
          <cell r="F493">
            <v>4969</v>
          </cell>
          <cell r="G493" t="str">
            <v>$210.7</v>
          </cell>
          <cell r="H493" t="str">
            <v>$210.7</v>
          </cell>
          <cell r="I493">
            <v>25</v>
          </cell>
          <cell r="J493">
            <v>25</v>
          </cell>
          <cell r="K493">
            <v>3</v>
          </cell>
          <cell r="L493">
            <v>3</v>
          </cell>
          <cell r="M493">
            <v>3.7499999999999999E-2</v>
          </cell>
          <cell r="N493">
            <v>3.6999999999999998E-2</v>
          </cell>
          <cell r="O493" t="str">
            <v>$1146</v>
          </cell>
          <cell r="P493" t="str">
            <v>$1146</v>
          </cell>
          <cell r="Q493">
            <v>45601</v>
          </cell>
          <cell r="R493" t="str">
            <v>Hyderabad</v>
          </cell>
          <cell r="S493" t="str">
            <v>Tablet</v>
          </cell>
          <cell r="T493" t="str">
            <v>analytics for data</v>
          </cell>
        </row>
        <row r="494">
          <cell r="A494" t="str">
            <v>A1492</v>
          </cell>
          <cell r="B494" t="str">
            <v>Data Analytcis Course</v>
          </cell>
          <cell r="C494">
            <v>145</v>
          </cell>
          <cell r="D494">
            <v>145</v>
          </cell>
          <cell r="E494">
            <v>5368</v>
          </cell>
          <cell r="F494">
            <v>5368</v>
          </cell>
          <cell r="G494" t="str">
            <v>$200.88</v>
          </cell>
          <cell r="H494" t="str">
            <v>$200.88</v>
          </cell>
          <cell r="I494">
            <v>14</v>
          </cell>
          <cell r="J494">
            <v>14</v>
          </cell>
          <cell r="K494">
            <v>4</v>
          </cell>
          <cell r="L494">
            <v>4</v>
          </cell>
          <cell r="M494">
            <v>2.7586206896551724E-2</v>
          </cell>
          <cell r="N494">
            <v>2.8000000000000001E-2</v>
          </cell>
          <cell r="O494" t="str">
            <v>$1125</v>
          </cell>
          <cell r="P494" t="str">
            <v>$1125</v>
          </cell>
          <cell r="Q494">
            <v>45623</v>
          </cell>
          <cell r="R494" t="str">
            <v>Hyderabad</v>
          </cell>
          <cell r="S494" t="str">
            <v>Tablet</v>
          </cell>
          <cell r="T494" t="str">
            <v>learn data analytics</v>
          </cell>
        </row>
        <row r="495">
          <cell r="A495" t="str">
            <v>A1493</v>
          </cell>
          <cell r="B495" t="str">
            <v>Data Analytics Course</v>
          </cell>
          <cell r="C495">
            <v>90</v>
          </cell>
          <cell r="D495">
            <v>90</v>
          </cell>
          <cell r="E495">
            <v>5851</v>
          </cell>
          <cell r="F495">
            <v>5851</v>
          </cell>
          <cell r="G495" t="str">
            <v>$232.94</v>
          </cell>
          <cell r="H495" t="str">
            <v>$232.94</v>
          </cell>
          <cell r="I495">
            <v>22</v>
          </cell>
          <cell r="J495">
            <v>22</v>
          </cell>
          <cell r="K495">
            <v>8</v>
          </cell>
          <cell r="L495">
            <v>8</v>
          </cell>
          <cell r="M495">
            <v>8.8888888888888892E-2</v>
          </cell>
          <cell r="N495">
            <v>8.8999999999999996E-2</v>
          </cell>
          <cell r="O495" t="str">
            <v>$1421</v>
          </cell>
          <cell r="P495" t="str">
            <v>$1421</v>
          </cell>
          <cell r="Q495">
            <v>45624</v>
          </cell>
          <cell r="R495" t="str">
            <v>Bangaluru</v>
          </cell>
          <cell r="S495" t="str">
            <v>Desktop</v>
          </cell>
          <cell r="T495" t="str">
            <v>learn data analytics</v>
          </cell>
        </row>
        <row r="496">
          <cell r="A496" t="str">
            <v>A1494</v>
          </cell>
          <cell r="B496" t="str">
            <v>Data Analytcis Course</v>
          </cell>
          <cell r="C496">
            <v>109</v>
          </cell>
          <cell r="D496">
            <v>109</v>
          </cell>
          <cell r="E496">
            <v>4884</v>
          </cell>
          <cell r="F496">
            <v>4884</v>
          </cell>
          <cell r="G496" t="str">
            <v>$228.13</v>
          </cell>
          <cell r="H496" t="str">
            <v>$228.13</v>
          </cell>
          <cell r="I496">
            <v>11</v>
          </cell>
          <cell r="J496">
            <v>11</v>
          </cell>
          <cell r="K496">
            <v>8</v>
          </cell>
          <cell r="L496">
            <v>8</v>
          </cell>
          <cell r="M496">
            <v>7.3394495412844041E-2</v>
          </cell>
          <cell r="O496" t="str">
            <v>$1680</v>
          </cell>
          <cell r="P496" t="str">
            <v>$1680</v>
          </cell>
          <cell r="Q496">
            <v>45611</v>
          </cell>
          <cell r="R496" t="str">
            <v>Chennai</v>
          </cell>
          <cell r="S496" t="str">
            <v>Desktop</v>
          </cell>
          <cell r="T496" t="str">
            <v>data analytics training</v>
          </cell>
        </row>
        <row r="497">
          <cell r="A497" t="str">
            <v>A1495</v>
          </cell>
          <cell r="B497" t="str">
            <v>Data Analytics Course</v>
          </cell>
          <cell r="C497">
            <v>130</v>
          </cell>
          <cell r="D497">
            <v>130</v>
          </cell>
          <cell r="E497">
            <v>5719</v>
          </cell>
          <cell r="F497">
            <v>5719</v>
          </cell>
          <cell r="G497" t="str">
            <v>$200.00</v>
          </cell>
          <cell r="I497">
            <v>10</v>
          </cell>
          <cell r="J497">
            <v>10</v>
          </cell>
          <cell r="K497">
            <v>5</v>
          </cell>
          <cell r="L497">
            <v>5</v>
          </cell>
          <cell r="M497">
            <v>3.8461538461538464E-2</v>
          </cell>
          <cell r="N497">
            <v>0.03</v>
          </cell>
          <cell r="O497" t="str">
            <v>$1208</v>
          </cell>
          <cell r="P497" t="str">
            <v>$1208</v>
          </cell>
          <cell r="Q497">
            <v>45619</v>
          </cell>
          <cell r="R497" t="str">
            <v>Chennai</v>
          </cell>
          <cell r="S497" t="str">
            <v>Desktop</v>
          </cell>
          <cell r="T497" t="str">
            <v>analytics for data</v>
          </cell>
        </row>
        <row r="498">
          <cell r="A498" t="str">
            <v>A1496</v>
          </cell>
          <cell r="B498" t="str">
            <v>Data Analytcis Course</v>
          </cell>
          <cell r="C498">
            <v>179</v>
          </cell>
          <cell r="D498">
            <v>179</v>
          </cell>
          <cell r="E498">
            <v>5828</v>
          </cell>
          <cell r="F498">
            <v>5828</v>
          </cell>
          <cell r="G498" t="str">
            <v>$247.84</v>
          </cell>
          <cell r="H498" t="str">
            <v>$247.84</v>
          </cell>
          <cell r="I498">
            <v>15</v>
          </cell>
          <cell r="J498">
            <v>15</v>
          </cell>
          <cell r="K498">
            <v>4</v>
          </cell>
          <cell r="L498">
            <v>4</v>
          </cell>
          <cell r="M498">
            <v>2.23463687150838E-2</v>
          </cell>
          <cell r="N498">
            <v>2.1999999999999999E-2</v>
          </cell>
          <cell r="O498" t="str">
            <v>$1127</v>
          </cell>
          <cell r="P498" t="str">
            <v>$1127</v>
          </cell>
          <cell r="Q498">
            <v>45610</v>
          </cell>
          <cell r="R498" t="str">
            <v>Hyderabad</v>
          </cell>
          <cell r="S498" t="str">
            <v>Mobile</v>
          </cell>
          <cell r="T498" t="str">
            <v>analytics for data</v>
          </cell>
        </row>
        <row r="499">
          <cell r="A499" t="str">
            <v>A1497</v>
          </cell>
          <cell r="B499" t="str">
            <v>Data Analytics Course</v>
          </cell>
          <cell r="C499">
            <v>181</v>
          </cell>
          <cell r="D499">
            <v>181</v>
          </cell>
          <cell r="E499">
            <v>4935</v>
          </cell>
          <cell r="F499">
            <v>4935</v>
          </cell>
          <cell r="G499" t="str">
            <v>$239.29</v>
          </cell>
          <cell r="H499" t="str">
            <v>$239.29</v>
          </cell>
          <cell r="I499">
            <v>15</v>
          </cell>
          <cell r="J499">
            <v>15</v>
          </cell>
          <cell r="K499">
            <v>5</v>
          </cell>
          <cell r="L499">
            <v>5</v>
          </cell>
          <cell r="M499">
            <v>2.7624309392265192E-2</v>
          </cell>
          <cell r="N499">
            <v>0.03</v>
          </cell>
          <cell r="O499" t="str">
            <v>$1497</v>
          </cell>
          <cell r="P499" t="str">
            <v>$1497</v>
          </cell>
          <cell r="Q499">
            <v>45605</v>
          </cell>
          <cell r="R499" t="str">
            <v>Hyderabad</v>
          </cell>
          <cell r="S499" t="str">
            <v>Desktop</v>
          </cell>
          <cell r="T499" t="str">
            <v>data analytics training</v>
          </cell>
        </row>
        <row r="500">
          <cell r="A500" t="str">
            <v>A1498</v>
          </cell>
          <cell r="B500" t="str">
            <v>Data Analytics Course</v>
          </cell>
          <cell r="C500">
            <v>188</v>
          </cell>
          <cell r="D500">
            <v>188</v>
          </cell>
          <cell r="E500">
            <v>4491</v>
          </cell>
          <cell r="F500">
            <v>4491</v>
          </cell>
          <cell r="G500" t="str">
            <v>$201.73</v>
          </cell>
          <cell r="H500" t="str">
            <v>$201.73</v>
          </cell>
          <cell r="I500">
            <v>24</v>
          </cell>
          <cell r="J500">
            <v>24</v>
          </cell>
          <cell r="K500">
            <v>7</v>
          </cell>
          <cell r="L500">
            <v>7</v>
          </cell>
          <cell r="M500">
            <v>3.7234042553191488E-2</v>
          </cell>
          <cell r="N500">
            <v>3.6999999999999998E-2</v>
          </cell>
          <cell r="O500" t="str">
            <v>$1906</v>
          </cell>
          <cell r="P500" t="str">
            <v>$1906</v>
          </cell>
          <cell r="Q500">
            <v>45617</v>
          </cell>
          <cell r="R500" t="str">
            <v>Chennai</v>
          </cell>
          <cell r="S500" t="str">
            <v>Mobile</v>
          </cell>
          <cell r="T500" t="str">
            <v>online data analytic</v>
          </cell>
        </row>
        <row r="501">
          <cell r="A501" t="str">
            <v>A1499</v>
          </cell>
          <cell r="B501" t="str">
            <v>Data Analytics Course</v>
          </cell>
          <cell r="C501">
            <v>139</v>
          </cell>
          <cell r="D501">
            <v>139</v>
          </cell>
          <cell r="E501">
            <v>3659</v>
          </cell>
          <cell r="F501">
            <v>3659</v>
          </cell>
          <cell r="G501" t="str">
            <v>$189.09</v>
          </cell>
          <cell r="H501" t="str">
            <v>$189.09</v>
          </cell>
          <cell r="I501">
            <v>16</v>
          </cell>
          <cell r="J501">
            <v>16</v>
          </cell>
          <cell r="K501">
            <v>4</v>
          </cell>
          <cell r="L501">
            <v>4</v>
          </cell>
          <cell r="M501">
            <v>2.8776978417266189E-2</v>
          </cell>
          <cell r="N501">
            <v>2.9000000000000001E-2</v>
          </cell>
          <cell r="O501" t="str">
            <v>$1892</v>
          </cell>
          <cell r="P501" t="str">
            <v>$1892</v>
          </cell>
          <cell r="Q501">
            <v>45625</v>
          </cell>
          <cell r="R501" t="str">
            <v>Chennai</v>
          </cell>
          <cell r="S501" t="str">
            <v>Desktop</v>
          </cell>
          <cell r="T501" t="str">
            <v>data analytics training</v>
          </cell>
        </row>
        <row r="502">
          <cell r="A502" t="str">
            <v>A1500</v>
          </cell>
          <cell r="B502" t="str">
            <v>Data Analytics Course</v>
          </cell>
          <cell r="C502">
            <v>99</v>
          </cell>
          <cell r="D502">
            <v>99</v>
          </cell>
          <cell r="E502">
            <v>4809</v>
          </cell>
          <cell r="F502">
            <v>4809</v>
          </cell>
          <cell r="G502" t="str">
            <v>$210.6</v>
          </cell>
          <cell r="H502" t="str">
            <v>$210.6</v>
          </cell>
          <cell r="I502">
            <v>24</v>
          </cell>
          <cell r="J502">
            <v>24</v>
          </cell>
          <cell r="K502">
            <v>8</v>
          </cell>
          <cell r="L502">
            <v>8</v>
          </cell>
          <cell r="M502">
            <v>8.0808080808080815E-2</v>
          </cell>
          <cell r="N502">
            <v>8.1000000000000003E-2</v>
          </cell>
          <cell r="O502" t="str">
            <v>$1500</v>
          </cell>
          <cell r="Q502">
            <v>45609</v>
          </cell>
          <cell r="R502" t="str">
            <v>Bangaluru</v>
          </cell>
          <cell r="S502" t="str">
            <v>Mobile</v>
          </cell>
          <cell r="T502" t="str">
            <v>data analytics course</v>
          </cell>
        </row>
        <row r="503">
          <cell r="A503" t="str">
            <v>A1501</v>
          </cell>
          <cell r="B503" t="str">
            <v>Data Analytics Course</v>
          </cell>
          <cell r="C503">
            <v>95</v>
          </cell>
          <cell r="D503">
            <v>95</v>
          </cell>
          <cell r="E503">
            <v>5844</v>
          </cell>
          <cell r="F503">
            <v>5844</v>
          </cell>
          <cell r="G503" t="str">
            <v>$211.95</v>
          </cell>
          <cell r="H503" t="str">
            <v>$211.95</v>
          </cell>
          <cell r="I503">
            <v>10</v>
          </cell>
          <cell r="J503">
            <v>10</v>
          </cell>
          <cell r="K503">
            <v>9</v>
          </cell>
          <cell r="L503">
            <v>9</v>
          </cell>
          <cell r="M503">
            <v>9.4736842105263161E-2</v>
          </cell>
          <cell r="N503">
            <v>9.5000000000000001E-2</v>
          </cell>
          <cell r="O503" t="str">
            <v>$1444</v>
          </cell>
          <cell r="P503" t="str">
            <v>$1444</v>
          </cell>
          <cell r="Q503">
            <v>45604</v>
          </cell>
          <cell r="R503" t="str">
            <v>Hyderabad</v>
          </cell>
          <cell r="S503" t="str">
            <v>Tablet</v>
          </cell>
          <cell r="T503" t="str">
            <v>learn data analytics</v>
          </cell>
        </row>
        <row r="504">
          <cell r="A504" t="str">
            <v>A1502</v>
          </cell>
          <cell r="B504" t="str">
            <v>Data Analytics Course</v>
          </cell>
          <cell r="C504">
            <v>131</v>
          </cell>
          <cell r="D504">
            <v>131</v>
          </cell>
          <cell r="E504">
            <v>5559</v>
          </cell>
          <cell r="F504">
            <v>5559</v>
          </cell>
          <cell r="G504" t="str">
            <v>$200.00</v>
          </cell>
          <cell r="I504">
            <v>28</v>
          </cell>
          <cell r="J504">
            <v>28</v>
          </cell>
          <cell r="K504">
            <v>5</v>
          </cell>
          <cell r="L504">
            <v>5</v>
          </cell>
          <cell r="M504">
            <v>3.8167938931297711E-2</v>
          </cell>
          <cell r="N504">
            <v>3.5000000000000003E-2</v>
          </cell>
          <cell r="O504" t="str">
            <v>$1604</v>
          </cell>
          <cell r="P504" t="str">
            <v>$1604</v>
          </cell>
          <cell r="Q504">
            <v>45625</v>
          </cell>
          <cell r="R504" t="str">
            <v>Chennai</v>
          </cell>
          <cell r="S504" t="str">
            <v>Desktop</v>
          </cell>
          <cell r="T504" t="str">
            <v>analytics for data</v>
          </cell>
        </row>
        <row r="505">
          <cell r="A505" t="str">
            <v>A1503</v>
          </cell>
          <cell r="B505" t="str">
            <v>Data Analytics Course</v>
          </cell>
          <cell r="C505">
            <v>190</v>
          </cell>
          <cell r="D505">
            <v>190</v>
          </cell>
          <cell r="E505">
            <v>4630</v>
          </cell>
          <cell r="F505">
            <v>4630</v>
          </cell>
          <cell r="G505" t="str">
            <v>$217.6</v>
          </cell>
          <cell r="H505" t="str">
            <v>$217.6</v>
          </cell>
          <cell r="I505">
            <v>27</v>
          </cell>
          <cell r="J505">
            <v>27</v>
          </cell>
          <cell r="K505">
            <v>4</v>
          </cell>
          <cell r="L505">
            <v>4</v>
          </cell>
          <cell r="M505">
            <v>2.1052631578947368E-2</v>
          </cell>
          <cell r="O505" t="str">
            <v>$1900</v>
          </cell>
          <cell r="P505" t="str">
            <v>$1900</v>
          </cell>
          <cell r="Q505">
            <v>45619</v>
          </cell>
          <cell r="R505" t="str">
            <v>Hyderabad</v>
          </cell>
          <cell r="S505" t="str">
            <v>Tablet</v>
          </cell>
          <cell r="T505" t="str">
            <v>data analytics training</v>
          </cell>
        </row>
        <row r="506">
          <cell r="A506" t="str">
            <v>A1504</v>
          </cell>
          <cell r="B506" t="str">
            <v>Data Analytcis Course</v>
          </cell>
          <cell r="C506">
            <v>123</v>
          </cell>
          <cell r="D506">
            <v>123</v>
          </cell>
          <cell r="E506">
            <v>3340</v>
          </cell>
          <cell r="F506">
            <v>3340</v>
          </cell>
          <cell r="G506" t="str">
            <v>$225.16</v>
          </cell>
          <cell r="H506" t="str">
            <v>$225.16</v>
          </cell>
          <cell r="I506">
            <v>23</v>
          </cell>
          <cell r="J506">
            <v>23</v>
          </cell>
          <cell r="K506">
            <v>8</v>
          </cell>
          <cell r="L506">
            <v>8</v>
          </cell>
          <cell r="M506">
            <v>6.5040650406504072E-2</v>
          </cell>
          <cell r="O506" t="str">
            <v>$1563</v>
          </cell>
          <cell r="P506" t="str">
            <v>$1563</v>
          </cell>
          <cell r="Q506">
            <v>45622</v>
          </cell>
          <cell r="R506" t="str">
            <v>Hyderabad</v>
          </cell>
          <cell r="S506" t="str">
            <v>Mobile</v>
          </cell>
          <cell r="T506" t="str">
            <v>online data analytic</v>
          </cell>
        </row>
        <row r="507">
          <cell r="A507" t="str">
            <v>A1505</v>
          </cell>
          <cell r="B507" t="str">
            <v>Data Analytics Course</v>
          </cell>
          <cell r="C507">
            <v>97</v>
          </cell>
          <cell r="D507">
            <v>97</v>
          </cell>
          <cell r="E507">
            <v>3330</v>
          </cell>
          <cell r="F507">
            <v>3330</v>
          </cell>
          <cell r="G507" t="str">
            <v>$182.98</v>
          </cell>
          <cell r="H507" t="str">
            <v>$182.98</v>
          </cell>
          <cell r="I507">
            <v>15</v>
          </cell>
          <cell r="J507">
            <v>15</v>
          </cell>
          <cell r="K507">
            <v>3</v>
          </cell>
          <cell r="L507">
            <v>3</v>
          </cell>
          <cell r="M507">
            <v>3.0927835051546393E-2</v>
          </cell>
          <cell r="N507">
            <v>3.1E-2</v>
          </cell>
          <cell r="O507" t="str">
            <v>$1102</v>
          </cell>
          <cell r="P507" t="str">
            <v>$1102</v>
          </cell>
          <cell r="Q507">
            <v>45610</v>
          </cell>
          <cell r="R507" t="str">
            <v>Chennai</v>
          </cell>
          <cell r="S507" t="str">
            <v>Tablet</v>
          </cell>
          <cell r="T507" t="str">
            <v>data analytics online</v>
          </cell>
        </row>
        <row r="508">
          <cell r="A508" t="str">
            <v>A1506</v>
          </cell>
          <cell r="B508" t="str">
            <v>Data Analytcis Course</v>
          </cell>
          <cell r="C508">
            <v>164</v>
          </cell>
          <cell r="D508">
            <v>164</v>
          </cell>
          <cell r="E508">
            <v>3117</v>
          </cell>
          <cell r="F508">
            <v>3117</v>
          </cell>
          <cell r="G508" t="str">
            <v>$198.53</v>
          </cell>
          <cell r="H508" t="str">
            <v>$198.53</v>
          </cell>
          <cell r="I508">
            <v>25</v>
          </cell>
          <cell r="J508">
            <v>25</v>
          </cell>
          <cell r="K508">
            <v>5</v>
          </cell>
          <cell r="L508">
            <v>5</v>
          </cell>
          <cell r="M508">
            <v>3.048780487804878E-2</v>
          </cell>
          <cell r="O508" t="str">
            <v>$1749</v>
          </cell>
          <cell r="P508" t="str">
            <v>$1749</v>
          </cell>
          <cell r="Q508">
            <v>45625</v>
          </cell>
          <cell r="R508" t="str">
            <v>Chennai</v>
          </cell>
          <cell r="S508" t="str">
            <v>Mobile</v>
          </cell>
          <cell r="T508" t="str">
            <v>analytics for data</v>
          </cell>
        </row>
        <row r="509">
          <cell r="A509" t="str">
            <v>A1507</v>
          </cell>
          <cell r="B509" t="str">
            <v>Data Analytics Course</v>
          </cell>
          <cell r="C509">
            <v>134</v>
          </cell>
          <cell r="D509">
            <v>134</v>
          </cell>
          <cell r="E509">
            <v>3562</v>
          </cell>
          <cell r="F509">
            <v>3562</v>
          </cell>
          <cell r="G509" t="str">
            <v>$247.59</v>
          </cell>
          <cell r="H509" t="str">
            <v>$247.59</v>
          </cell>
          <cell r="I509">
            <v>24</v>
          </cell>
          <cell r="J509">
            <v>24</v>
          </cell>
          <cell r="K509">
            <v>10</v>
          </cell>
          <cell r="L509">
            <v>10</v>
          </cell>
          <cell r="M509">
            <v>7.4626865671641784E-2</v>
          </cell>
          <cell r="N509">
            <v>7.4999999999999997E-2</v>
          </cell>
          <cell r="O509" t="str">
            <v>$1295</v>
          </cell>
          <cell r="P509" t="str">
            <v>$1295</v>
          </cell>
          <cell r="Q509">
            <v>45597</v>
          </cell>
          <cell r="R509" t="str">
            <v>Hyderabad</v>
          </cell>
          <cell r="S509" t="str">
            <v>Tablet</v>
          </cell>
          <cell r="T509" t="str">
            <v>analytics for data</v>
          </cell>
        </row>
        <row r="510">
          <cell r="A510" t="str">
            <v>A1508</v>
          </cell>
          <cell r="B510" t="str">
            <v>Data Analytics Course</v>
          </cell>
          <cell r="C510">
            <v>117</v>
          </cell>
          <cell r="D510">
            <v>117</v>
          </cell>
          <cell r="E510">
            <v>5144</v>
          </cell>
          <cell r="F510">
            <v>5144</v>
          </cell>
          <cell r="G510" t="str">
            <v>$221.76</v>
          </cell>
          <cell r="H510" t="str">
            <v>$221.76</v>
          </cell>
          <cell r="I510">
            <v>23</v>
          </cell>
          <cell r="J510">
            <v>23</v>
          </cell>
          <cell r="K510">
            <v>3</v>
          </cell>
          <cell r="L510">
            <v>3</v>
          </cell>
          <cell r="M510">
            <v>2.564102564102564E-2</v>
          </cell>
          <cell r="N510">
            <v>3.7999999999999999E-2</v>
          </cell>
          <cell r="O510" t="str">
            <v>$1338</v>
          </cell>
          <cell r="P510" t="str">
            <v>$1338</v>
          </cell>
          <cell r="Q510">
            <v>45607</v>
          </cell>
          <cell r="R510" t="str">
            <v>Chennai</v>
          </cell>
          <cell r="S510" t="str">
            <v>Mobile</v>
          </cell>
          <cell r="T510" t="str">
            <v>analytics for data</v>
          </cell>
        </row>
        <row r="511">
          <cell r="A511" t="str">
            <v>A1509</v>
          </cell>
          <cell r="B511" t="str">
            <v>Data Analytics Course</v>
          </cell>
          <cell r="C511">
            <v>168</v>
          </cell>
          <cell r="D511">
            <v>168</v>
          </cell>
          <cell r="E511">
            <v>4375</v>
          </cell>
          <cell r="F511">
            <v>4375</v>
          </cell>
          <cell r="G511" t="str">
            <v>$200.00</v>
          </cell>
          <cell r="I511">
            <v>19</v>
          </cell>
          <cell r="J511">
            <v>19</v>
          </cell>
          <cell r="K511">
            <v>8</v>
          </cell>
          <cell r="L511">
            <v>8</v>
          </cell>
          <cell r="M511">
            <v>4.7619047619047616E-2</v>
          </cell>
          <cell r="N511">
            <v>4.8000000000000001E-2</v>
          </cell>
          <cell r="O511" t="str">
            <v>$1267</v>
          </cell>
          <cell r="P511" t="str">
            <v>$1267</v>
          </cell>
          <cell r="Q511">
            <v>45602</v>
          </cell>
          <cell r="R511" t="str">
            <v>Chennai</v>
          </cell>
          <cell r="S511" t="str">
            <v>Mobile</v>
          </cell>
          <cell r="T511" t="str">
            <v>online data analytic</v>
          </cell>
        </row>
        <row r="512">
          <cell r="A512" t="str">
            <v>A1510</v>
          </cell>
          <cell r="B512" t="str">
            <v>Data Analytcis Course</v>
          </cell>
          <cell r="C512">
            <v>173</v>
          </cell>
          <cell r="D512">
            <v>173</v>
          </cell>
          <cell r="E512">
            <v>3328</v>
          </cell>
          <cell r="F512">
            <v>3328</v>
          </cell>
          <cell r="G512" t="str">
            <v>$224.17</v>
          </cell>
          <cell r="H512" t="str">
            <v>$224.17</v>
          </cell>
          <cell r="I512">
            <v>15</v>
          </cell>
          <cell r="J512">
            <v>15</v>
          </cell>
          <cell r="K512">
            <v>10</v>
          </cell>
          <cell r="L512">
            <v>10</v>
          </cell>
          <cell r="M512">
            <v>5.7803468208092484E-2</v>
          </cell>
          <cell r="N512">
            <v>4.2999999999999997E-2</v>
          </cell>
          <cell r="O512" t="str">
            <v>$1904</v>
          </cell>
          <cell r="P512" t="str">
            <v>$1904</v>
          </cell>
          <cell r="Q512">
            <v>45624</v>
          </cell>
          <cell r="R512" t="str">
            <v>Bangaluru</v>
          </cell>
          <cell r="S512" t="str">
            <v>Mobile</v>
          </cell>
          <cell r="T512" t="str">
            <v>online data analytic</v>
          </cell>
        </row>
        <row r="513">
          <cell r="A513" t="str">
            <v>A1511</v>
          </cell>
          <cell r="B513" t="str">
            <v>Data Analytics Course</v>
          </cell>
          <cell r="C513">
            <v>158</v>
          </cell>
          <cell r="D513">
            <v>158</v>
          </cell>
          <cell r="E513">
            <v>4336</v>
          </cell>
          <cell r="F513">
            <v>4336</v>
          </cell>
          <cell r="G513" t="str">
            <v>$238.29</v>
          </cell>
          <cell r="H513" t="str">
            <v>$238.29</v>
          </cell>
          <cell r="I513">
            <v>26</v>
          </cell>
          <cell r="J513">
            <v>26</v>
          </cell>
          <cell r="K513">
            <v>9</v>
          </cell>
          <cell r="L513">
            <v>9</v>
          </cell>
          <cell r="M513">
            <v>5.6962025316455694E-2</v>
          </cell>
          <cell r="N513">
            <v>5.1999999999999998E-2</v>
          </cell>
          <cell r="O513" t="str">
            <v>$1245</v>
          </cell>
          <cell r="P513" t="str">
            <v>$1245</v>
          </cell>
          <cell r="Q513">
            <v>45626</v>
          </cell>
          <cell r="R513" t="str">
            <v>Chennai</v>
          </cell>
          <cell r="S513" t="str">
            <v>Tablet</v>
          </cell>
          <cell r="T513" t="str">
            <v>online data analytic</v>
          </cell>
        </row>
        <row r="514">
          <cell r="A514" t="str">
            <v>A1512</v>
          </cell>
          <cell r="B514" t="str">
            <v>Data Analytcis Course</v>
          </cell>
          <cell r="C514">
            <v>135</v>
          </cell>
          <cell r="D514">
            <v>135</v>
          </cell>
          <cell r="E514">
            <v>5063</v>
          </cell>
          <cell r="F514">
            <v>5063</v>
          </cell>
          <cell r="G514" t="str">
            <v>$195.58</v>
          </cell>
          <cell r="H514" t="str">
            <v>$195.58</v>
          </cell>
          <cell r="I514">
            <v>22</v>
          </cell>
          <cell r="J514">
            <v>22</v>
          </cell>
          <cell r="K514">
            <v>6</v>
          </cell>
          <cell r="L514">
            <v>6</v>
          </cell>
          <cell r="M514">
            <v>4.4444444444444446E-2</v>
          </cell>
          <cell r="N514">
            <v>4.3999999999999997E-2</v>
          </cell>
          <cell r="O514" t="str">
            <v>$1500</v>
          </cell>
          <cell r="Q514">
            <v>45625</v>
          </cell>
          <cell r="R514" t="str">
            <v>Chennai</v>
          </cell>
          <cell r="S514" t="str">
            <v>Tablet</v>
          </cell>
          <cell r="T514" t="str">
            <v>learn data analytics</v>
          </cell>
        </row>
        <row r="515">
          <cell r="A515" t="str">
            <v>A1513</v>
          </cell>
          <cell r="B515" t="str">
            <v>Data Analytics Course</v>
          </cell>
          <cell r="C515">
            <v>182</v>
          </cell>
          <cell r="D515">
            <v>182</v>
          </cell>
          <cell r="E515">
            <v>5993</v>
          </cell>
          <cell r="F515">
            <v>5993</v>
          </cell>
          <cell r="G515" t="str">
            <v>$200.00</v>
          </cell>
          <cell r="I515">
            <v>19</v>
          </cell>
          <cell r="J515">
            <v>19</v>
          </cell>
          <cell r="K515">
            <v>3</v>
          </cell>
          <cell r="L515">
            <v>3</v>
          </cell>
          <cell r="M515">
            <v>1.6483516483516484E-2</v>
          </cell>
          <cell r="O515" t="str">
            <v>$1254</v>
          </cell>
          <cell r="P515" t="str">
            <v>$1254</v>
          </cell>
          <cell r="Q515">
            <v>45615</v>
          </cell>
          <cell r="R515" t="str">
            <v>Hyderabad</v>
          </cell>
          <cell r="S515" t="str">
            <v>Desktop</v>
          </cell>
          <cell r="T515" t="str">
            <v>data analytics training</v>
          </cell>
        </row>
        <row r="516">
          <cell r="A516" t="str">
            <v>A1514</v>
          </cell>
          <cell r="B516" t="str">
            <v>Data Analytics Course</v>
          </cell>
          <cell r="C516">
            <v>83</v>
          </cell>
          <cell r="D516">
            <v>83</v>
          </cell>
          <cell r="E516">
            <v>3926</v>
          </cell>
          <cell r="F516">
            <v>3926</v>
          </cell>
          <cell r="G516" t="str">
            <v>$237.07</v>
          </cell>
          <cell r="H516" t="str">
            <v>$237.07</v>
          </cell>
          <cell r="I516">
            <v>22</v>
          </cell>
          <cell r="J516">
            <v>22</v>
          </cell>
          <cell r="K516">
            <v>5</v>
          </cell>
          <cell r="L516">
            <v>5</v>
          </cell>
          <cell r="M516">
            <v>6.0240963855421686E-2</v>
          </cell>
          <cell r="N516">
            <v>0.06</v>
          </cell>
          <cell r="O516" t="str">
            <v>$1667</v>
          </cell>
          <cell r="P516" t="str">
            <v>$1667</v>
          </cell>
          <cell r="Q516">
            <v>45603</v>
          </cell>
          <cell r="R516" t="str">
            <v>Bangaluru</v>
          </cell>
          <cell r="S516" t="str">
            <v>Mobile</v>
          </cell>
          <cell r="T516" t="str">
            <v>analytics for data</v>
          </cell>
        </row>
        <row r="517">
          <cell r="A517" t="str">
            <v>A1515</v>
          </cell>
          <cell r="B517" t="str">
            <v>Data Analytics Course</v>
          </cell>
          <cell r="C517">
            <v>85</v>
          </cell>
          <cell r="D517">
            <v>85</v>
          </cell>
          <cell r="E517">
            <v>5570</v>
          </cell>
          <cell r="F517">
            <v>5570</v>
          </cell>
          <cell r="G517" t="str">
            <v>$221.73</v>
          </cell>
          <cell r="H517" t="str">
            <v>$221.73</v>
          </cell>
          <cell r="I517">
            <v>14</v>
          </cell>
          <cell r="J517">
            <v>14</v>
          </cell>
          <cell r="K517">
            <v>7</v>
          </cell>
          <cell r="L517">
            <v>7</v>
          </cell>
          <cell r="M517">
            <v>8.2352941176470587E-2</v>
          </cell>
          <cell r="O517" t="str">
            <v>$1292</v>
          </cell>
          <cell r="P517" t="str">
            <v>$1292</v>
          </cell>
          <cell r="Q517">
            <v>45625</v>
          </cell>
          <cell r="R517" t="str">
            <v>Hyderabad</v>
          </cell>
          <cell r="S517" t="str">
            <v>Tablet</v>
          </cell>
          <cell r="T517" t="str">
            <v>data analytics online</v>
          </cell>
        </row>
        <row r="518">
          <cell r="A518" t="str">
            <v>A1516</v>
          </cell>
          <cell r="B518" t="str">
            <v>Data Analytics Course</v>
          </cell>
          <cell r="C518">
            <v>98</v>
          </cell>
          <cell r="D518">
            <v>98</v>
          </cell>
          <cell r="E518">
            <v>5571</v>
          </cell>
          <cell r="F518">
            <v>5571</v>
          </cell>
          <cell r="G518" t="str">
            <v>$208.4</v>
          </cell>
          <cell r="H518" t="str">
            <v>$208.4</v>
          </cell>
          <cell r="I518">
            <v>15</v>
          </cell>
          <cell r="J518">
            <v>15</v>
          </cell>
          <cell r="K518">
            <v>7</v>
          </cell>
          <cell r="L518">
            <v>7</v>
          </cell>
          <cell r="M518">
            <v>7.1428571428571425E-2</v>
          </cell>
          <cell r="N518">
            <v>7.0999999999999994E-2</v>
          </cell>
          <cell r="O518" t="str">
            <v>$1890</v>
          </cell>
          <cell r="P518" t="str">
            <v>$1890</v>
          </cell>
          <cell r="Q518">
            <v>45610</v>
          </cell>
          <cell r="R518" t="str">
            <v>Hyderabad</v>
          </cell>
          <cell r="S518" t="str">
            <v>Desktop</v>
          </cell>
          <cell r="T518" t="str">
            <v>analytics for data</v>
          </cell>
        </row>
        <row r="519">
          <cell r="A519" t="str">
            <v>A1517</v>
          </cell>
          <cell r="B519" t="str">
            <v>Data Analytics Course</v>
          </cell>
          <cell r="C519">
            <v>151</v>
          </cell>
          <cell r="D519">
            <v>151</v>
          </cell>
          <cell r="E519">
            <v>5700</v>
          </cell>
          <cell r="F519">
            <v>5700</v>
          </cell>
          <cell r="G519" t="str">
            <v>$182.27</v>
          </cell>
          <cell r="H519" t="str">
            <v>$182.27</v>
          </cell>
          <cell r="I519">
            <v>13</v>
          </cell>
          <cell r="J519">
            <v>13</v>
          </cell>
          <cell r="K519">
            <v>3</v>
          </cell>
          <cell r="L519">
            <v>3</v>
          </cell>
          <cell r="M519">
            <v>1.9867549668874173E-2</v>
          </cell>
          <cell r="N519">
            <v>5.3999999999999999E-2</v>
          </cell>
          <cell r="O519" t="str">
            <v>$1255</v>
          </cell>
          <cell r="P519" t="str">
            <v>$1255</v>
          </cell>
          <cell r="Q519">
            <v>45619</v>
          </cell>
          <cell r="R519" t="str">
            <v>Bangaluru</v>
          </cell>
          <cell r="S519" t="str">
            <v>Mobile</v>
          </cell>
          <cell r="T519" t="str">
            <v>data analytics course</v>
          </cell>
        </row>
        <row r="520">
          <cell r="A520" t="str">
            <v>A1518</v>
          </cell>
          <cell r="B520" t="str">
            <v>Data Analytics Course</v>
          </cell>
          <cell r="C520">
            <v>122</v>
          </cell>
          <cell r="D520">
            <v>122</v>
          </cell>
          <cell r="E520">
            <v>4441</v>
          </cell>
          <cell r="F520">
            <v>4441</v>
          </cell>
          <cell r="G520" t="str">
            <v>$244.38</v>
          </cell>
          <cell r="H520" t="str">
            <v>$244.38</v>
          </cell>
          <cell r="I520">
            <v>25</v>
          </cell>
          <cell r="J520">
            <v>25</v>
          </cell>
          <cell r="K520">
            <v>6</v>
          </cell>
          <cell r="L520">
            <v>6</v>
          </cell>
          <cell r="M520">
            <v>4.9180327868852458E-2</v>
          </cell>
          <cell r="N520">
            <v>4.9000000000000002E-2</v>
          </cell>
          <cell r="O520" t="str">
            <v>$1500</v>
          </cell>
          <cell r="Q520">
            <v>45598</v>
          </cell>
          <cell r="R520" t="str">
            <v>Bangaluru</v>
          </cell>
          <cell r="S520" t="str">
            <v>Desktop</v>
          </cell>
          <cell r="T520" t="str">
            <v>analytics for data</v>
          </cell>
        </row>
        <row r="521">
          <cell r="A521" t="str">
            <v>A1519</v>
          </cell>
          <cell r="B521" t="str">
            <v>Data Analytcis Course</v>
          </cell>
          <cell r="C521">
            <v>84</v>
          </cell>
          <cell r="D521">
            <v>84</v>
          </cell>
          <cell r="E521">
            <v>4646</v>
          </cell>
          <cell r="F521">
            <v>4646</v>
          </cell>
          <cell r="G521" t="str">
            <v>$226.32</v>
          </cell>
          <cell r="H521" t="str">
            <v>$226.32</v>
          </cell>
          <cell r="I521">
            <v>11</v>
          </cell>
          <cell r="J521">
            <v>11</v>
          </cell>
          <cell r="K521">
            <v>7</v>
          </cell>
          <cell r="L521">
            <v>7</v>
          </cell>
          <cell r="M521">
            <v>8.3333333333333329E-2</v>
          </cell>
          <cell r="N521">
            <v>5.0999999999999997E-2</v>
          </cell>
          <cell r="O521" t="str">
            <v>$1596</v>
          </cell>
          <cell r="P521" t="str">
            <v>$1596</v>
          </cell>
          <cell r="Q521">
            <v>45626</v>
          </cell>
          <cell r="R521" t="str">
            <v>Hyderabad</v>
          </cell>
          <cell r="S521" t="str">
            <v>Tablet</v>
          </cell>
          <cell r="T521" t="str">
            <v>analytics for data</v>
          </cell>
        </row>
        <row r="522">
          <cell r="A522" t="str">
            <v>A1520</v>
          </cell>
          <cell r="B522" t="str">
            <v>Data Analytcis Course</v>
          </cell>
          <cell r="C522">
            <v>127</v>
          </cell>
          <cell r="D522">
            <v>127</v>
          </cell>
          <cell r="E522">
            <v>5964</v>
          </cell>
          <cell r="F522">
            <v>5964</v>
          </cell>
          <cell r="G522" t="str">
            <v>$182.01</v>
          </cell>
          <cell r="H522" t="str">
            <v>$182.01</v>
          </cell>
          <cell r="I522">
            <v>26</v>
          </cell>
          <cell r="J522">
            <v>26</v>
          </cell>
          <cell r="K522">
            <v>6.5042183622828782</v>
          </cell>
          <cell r="M522">
            <v>5.121431781325101E-2</v>
          </cell>
          <cell r="O522" t="str">
            <v>$1490</v>
          </cell>
          <cell r="P522" t="str">
            <v>$1490</v>
          </cell>
          <cell r="Q522">
            <v>45621</v>
          </cell>
          <cell r="R522" t="str">
            <v>Chennai</v>
          </cell>
          <cell r="S522" t="str">
            <v>Desktop</v>
          </cell>
          <cell r="T522" t="str">
            <v>data analytics course</v>
          </cell>
        </row>
        <row r="523">
          <cell r="A523" t="str">
            <v>A1521</v>
          </cell>
          <cell r="B523" t="str">
            <v>Data Analytcis Course</v>
          </cell>
          <cell r="C523">
            <v>148</v>
          </cell>
          <cell r="D523">
            <v>148</v>
          </cell>
          <cell r="E523">
            <v>4725</v>
          </cell>
          <cell r="F523">
            <v>4725</v>
          </cell>
          <cell r="G523" t="str">
            <v>$187.02</v>
          </cell>
          <cell r="H523" t="str">
            <v>$187.02</v>
          </cell>
          <cell r="I523">
            <v>25</v>
          </cell>
          <cell r="J523">
            <v>25</v>
          </cell>
          <cell r="K523">
            <v>3</v>
          </cell>
          <cell r="L523">
            <v>3</v>
          </cell>
          <cell r="M523">
            <v>2.0270270270270271E-2</v>
          </cell>
          <cell r="N523">
            <v>0.02</v>
          </cell>
          <cell r="O523" t="str">
            <v>$1586</v>
          </cell>
          <cell r="P523" t="str">
            <v>$1586</v>
          </cell>
          <cell r="Q523">
            <v>45611</v>
          </cell>
          <cell r="R523" t="str">
            <v>Hyderabad</v>
          </cell>
          <cell r="S523" t="str">
            <v>Mobile</v>
          </cell>
          <cell r="T523" t="str">
            <v>learn data analytics</v>
          </cell>
        </row>
        <row r="524">
          <cell r="A524" t="str">
            <v>A1522</v>
          </cell>
          <cell r="B524" t="str">
            <v>Data Analytics Course</v>
          </cell>
          <cell r="C524">
            <v>85</v>
          </cell>
          <cell r="D524">
            <v>85</v>
          </cell>
          <cell r="E524">
            <v>4230</v>
          </cell>
          <cell r="F524">
            <v>4230</v>
          </cell>
          <cell r="G524" t="str">
            <v>$233.73</v>
          </cell>
          <cell r="H524" t="str">
            <v>$233.73</v>
          </cell>
          <cell r="I524">
            <v>18</v>
          </cell>
          <cell r="J524">
            <v>18</v>
          </cell>
          <cell r="K524">
            <v>8</v>
          </cell>
          <cell r="L524">
            <v>8</v>
          </cell>
          <cell r="M524">
            <v>9.4117647058823528E-2</v>
          </cell>
          <cell r="O524" t="str">
            <v>$1998</v>
          </cell>
          <cell r="P524" t="str">
            <v>$1998</v>
          </cell>
          <cell r="Q524">
            <v>45604</v>
          </cell>
          <cell r="R524" t="str">
            <v>Chennai</v>
          </cell>
          <cell r="S524" t="str">
            <v>Tablet</v>
          </cell>
          <cell r="T524" t="str">
            <v>data analytics course</v>
          </cell>
        </row>
        <row r="525">
          <cell r="A525" t="str">
            <v>A1523</v>
          </cell>
          <cell r="B525" t="str">
            <v>Data Analytcis Course</v>
          </cell>
          <cell r="C525">
            <v>105</v>
          </cell>
          <cell r="D525">
            <v>105</v>
          </cell>
          <cell r="E525">
            <v>3880</v>
          </cell>
          <cell r="F525">
            <v>3880</v>
          </cell>
          <cell r="G525" t="str">
            <v>$246.63</v>
          </cell>
          <cell r="H525" t="str">
            <v>$246.63</v>
          </cell>
          <cell r="I525">
            <v>19</v>
          </cell>
          <cell r="J525">
            <v>19</v>
          </cell>
          <cell r="K525">
            <v>8</v>
          </cell>
          <cell r="L525">
            <v>8</v>
          </cell>
          <cell r="M525">
            <v>7.6190476190476197E-2</v>
          </cell>
          <cell r="N525">
            <v>5.0999999999999997E-2</v>
          </cell>
          <cell r="O525" t="str">
            <v>$1598</v>
          </cell>
          <cell r="P525" t="str">
            <v>$1598</v>
          </cell>
          <cell r="Q525">
            <v>45609</v>
          </cell>
          <cell r="R525" t="str">
            <v>Bangaluru</v>
          </cell>
          <cell r="S525" t="str">
            <v>Mobile</v>
          </cell>
          <cell r="T525" t="str">
            <v>data analytics training</v>
          </cell>
        </row>
        <row r="526">
          <cell r="A526" t="str">
            <v>A1524</v>
          </cell>
          <cell r="B526" t="str">
            <v>Data Analytics Course</v>
          </cell>
          <cell r="C526">
            <v>187</v>
          </cell>
          <cell r="D526">
            <v>187</v>
          </cell>
          <cell r="E526">
            <v>3842</v>
          </cell>
          <cell r="F526">
            <v>3842</v>
          </cell>
          <cell r="G526" t="str">
            <v>$214.35</v>
          </cell>
          <cell r="H526" t="str">
            <v>$214.35</v>
          </cell>
          <cell r="I526">
            <v>28</v>
          </cell>
          <cell r="J526">
            <v>28</v>
          </cell>
          <cell r="K526">
            <v>5</v>
          </cell>
          <cell r="L526">
            <v>5</v>
          </cell>
          <cell r="M526">
            <v>2.6737967914438502E-2</v>
          </cell>
          <cell r="N526">
            <v>3.1E-2</v>
          </cell>
          <cell r="O526" t="str">
            <v>$1596</v>
          </cell>
          <cell r="P526" t="str">
            <v>$1596</v>
          </cell>
          <cell r="Q526">
            <v>45609</v>
          </cell>
          <cell r="R526" t="str">
            <v>Hyderabad</v>
          </cell>
          <cell r="S526" t="str">
            <v>Mobile</v>
          </cell>
          <cell r="T526" t="str">
            <v>online data analytic</v>
          </cell>
        </row>
        <row r="527">
          <cell r="A527" t="str">
            <v>A1525</v>
          </cell>
          <cell r="B527" t="str">
            <v>Data Analytcis Course</v>
          </cell>
          <cell r="C527">
            <v>153</v>
          </cell>
          <cell r="D527">
            <v>153</v>
          </cell>
          <cell r="E527">
            <v>3143</v>
          </cell>
          <cell r="F527">
            <v>3143</v>
          </cell>
          <cell r="G527" t="str">
            <v>$244.73</v>
          </cell>
          <cell r="H527" t="str">
            <v>$244.73</v>
          </cell>
          <cell r="I527">
            <v>12</v>
          </cell>
          <cell r="J527">
            <v>12</v>
          </cell>
          <cell r="K527">
            <v>10</v>
          </cell>
          <cell r="L527">
            <v>10</v>
          </cell>
          <cell r="M527">
            <v>6.535947712418301E-2</v>
          </cell>
          <cell r="N527">
            <v>6.5000000000000002E-2</v>
          </cell>
          <cell r="O527" t="str">
            <v>$1365</v>
          </cell>
          <cell r="P527" t="str">
            <v>$1365</v>
          </cell>
          <cell r="Q527">
            <v>45611</v>
          </cell>
          <cell r="R527" t="str">
            <v>Hyderabad</v>
          </cell>
          <cell r="S527" t="str">
            <v>Mobile</v>
          </cell>
          <cell r="T527" t="str">
            <v>online data analytic</v>
          </cell>
        </row>
        <row r="528">
          <cell r="A528" t="str">
            <v>A1526</v>
          </cell>
          <cell r="B528" t="str">
            <v>Data Analytics Course</v>
          </cell>
          <cell r="C528">
            <v>143</v>
          </cell>
          <cell r="D528">
            <v>143</v>
          </cell>
          <cell r="E528">
            <v>5781</v>
          </cell>
          <cell r="F528">
            <v>5781</v>
          </cell>
          <cell r="G528" t="str">
            <v>$208.63</v>
          </cell>
          <cell r="H528" t="str">
            <v>$208.63</v>
          </cell>
          <cell r="I528">
            <v>21</v>
          </cell>
          <cell r="J528">
            <v>21</v>
          </cell>
          <cell r="K528">
            <v>9</v>
          </cell>
          <cell r="L528">
            <v>9</v>
          </cell>
          <cell r="M528">
            <v>6.2937062937062943E-2</v>
          </cell>
          <cell r="N528">
            <v>0.05</v>
          </cell>
          <cell r="O528" t="str">
            <v>$1443</v>
          </cell>
          <cell r="P528" t="str">
            <v>$1443</v>
          </cell>
          <cell r="Q528">
            <v>45622</v>
          </cell>
          <cell r="R528" t="str">
            <v>Chennai</v>
          </cell>
          <cell r="S528" t="str">
            <v>Mobile</v>
          </cell>
          <cell r="T528" t="str">
            <v>data analytics online</v>
          </cell>
        </row>
        <row r="529">
          <cell r="A529" t="str">
            <v>A1527</v>
          </cell>
          <cell r="B529" t="str">
            <v>Data Analytics Course</v>
          </cell>
          <cell r="C529">
            <v>183</v>
          </cell>
          <cell r="D529">
            <v>183</v>
          </cell>
          <cell r="E529">
            <v>3790</v>
          </cell>
          <cell r="F529">
            <v>3790</v>
          </cell>
          <cell r="G529" t="str">
            <v>$202.48</v>
          </cell>
          <cell r="H529" t="str">
            <v>$202.48</v>
          </cell>
          <cell r="I529">
            <v>21</v>
          </cell>
          <cell r="J529">
            <v>21</v>
          </cell>
          <cell r="K529">
            <v>8</v>
          </cell>
          <cell r="L529">
            <v>8</v>
          </cell>
          <cell r="M529">
            <v>4.3715846994535519E-2</v>
          </cell>
          <cell r="N529">
            <v>3.6999999999999998E-2</v>
          </cell>
          <cell r="O529" t="str">
            <v>$1215</v>
          </cell>
          <cell r="P529" t="str">
            <v>$1215</v>
          </cell>
          <cell r="Q529">
            <v>45622</v>
          </cell>
          <cell r="R529" t="str">
            <v>Hyderabad</v>
          </cell>
          <cell r="S529" t="str">
            <v>Desktop</v>
          </cell>
          <cell r="T529" t="str">
            <v>data analytics training</v>
          </cell>
        </row>
        <row r="530">
          <cell r="A530" t="str">
            <v>A1528</v>
          </cell>
          <cell r="B530" t="str">
            <v>Data Analytics Course</v>
          </cell>
          <cell r="C530">
            <v>172</v>
          </cell>
          <cell r="D530">
            <v>172</v>
          </cell>
          <cell r="E530">
            <v>4250</v>
          </cell>
          <cell r="F530">
            <v>4250</v>
          </cell>
          <cell r="G530" t="str">
            <v>$235.2</v>
          </cell>
          <cell r="H530" t="str">
            <v>$235.2</v>
          </cell>
          <cell r="I530">
            <v>28</v>
          </cell>
          <cell r="J530">
            <v>28</v>
          </cell>
          <cell r="K530">
            <v>7</v>
          </cell>
          <cell r="L530">
            <v>7</v>
          </cell>
          <cell r="M530">
            <v>4.0697674418604654E-2</v>
          </cell>
          <cell r="O530" t="str">
            <v>$1036</v>
          </cell>
          <cell r="P530" t="str">
            <v>$1036</v>
          </cell>
          <cell r="Q530">
            <v>45602</v>
          </cell>
          <cell r="R530" t="str">
            <v>Chennai</v>
          </cell>
          <cell r="S530" t="str">
            <v>Mobile</v>
          </cell>
          <cell r="T530" t="str">
            <v>learn data analytics</v>
          </cell>
        </row>
        <row r="531">
          <cell r="A531" t="str">
            <v>A1529</v>
          </cell>
          <cell r="B531" t="str">
            <v>Data Analytics Course</v>
          </cell>
          <cell r="C531">
            <v>98</v>
          </cell>
          <cell r="D531">
            <v>98</v>
          </cell>
          <cell r="E531">
            <v>3800</v>
          </cell>
          <cell r="F531">
            <v>3800</v>
          </cell>
          <cell r="G531" t="str">
            <v>$240.45</v>
          </cell>
          <cell r="H531" t="str">
            <v>$240.45</v>
          </cell>
          <cell r="I531">
            <v>16</v>
          </cell>
          <cell r="J531">
            <v>16</v>
          </cell>
          <cell r="K531">
            <v>3</v>
          </cell>
          <cell r="L531">
            <v>3</v>
          </cell>
          <cell r="M531">
            <v>3.0612244897959183E-2</v>
          </cell>
          <cell r="N531">
            <v>3.1E-2</v>
          </cell>
          <cell r="O531" t="str">
            <v>$1700</v>
          </cell>
          <cell r="P531" t="str">
            <v>$1700</v>
          </cell>
          <cell r="Q531">
            <v>45597</v>
          </cell>
          <cell r="R531" t="str">
            <v>Hyderabad</v>
          </cell>
          <cell r="S531" t="str">
            <v>Desktop</v>
          </cell>
          <cell r="T531" t="str">
            <v>data analytics course</v>
          </cell>
        </row>
        <row r="532">
          <cell r="A532" t="str">
            <v>A1530</v>
          </cell>
          <cell r="B532" t="str">
            <v>Data Analytics Course</v>
          </cell>
          <cell r="C532">
            <v>87</v>
          </cell>
          <cell r="D532">
            <v>87</v>
          </cell>
          <cell r="E532">
            <v>4675</v>
          </cell>
          <cell r="F532">
            <v>4675</v>
          </cell>
          <cell r="G532" t="str">
            <v>$200.71</v>
          </cell>
          <cell r="H532" t="str">
            <v>$200.71</v>
          </cell>
          <cell r="I532">
            <v>28</v>
          </cell>
          <cell r="J532">
            <v>28</v>
          </cell>
          <cell r="K532">
            <v>6</v>
          </cell>
          <cell r="L532">
            <v>6</v>
          </cell>
          <cell r="M532">
            <v>6.8965517241379309E-2</v>
          </cell>
          <cell r="N532">
            <v>6.9000000000000006E-2</v>
          </cell>
          <cell r="O532" t="str">
            <v>$1428</v>
          </cell>
          <cell r="P532" t="str">
            <v>$1428</v>
          </cell>
          <cell r="Q532">
            <v>45616</v>
          </cell>
          <cell r="R532" t="str">
            <v>Chennai</v>
          </cell>
          <cell r="S532" t="str">
            <v>Mobile</v>
          </cell>
          <cell r="T532" t="str">
            <v>analytics for data</v>
          </cell>
        </row>
        <row r="533">
          <cell r="A533" t="str">
            <v>A1531</v>
          </cell>
          <cell r="B533" t="str">
            <v>Data Analytics Course</v>
          </cell>
          <cell r="C533">
            <v>84</v>
          </cell>
          <cell r="D533">
            <v>84</v>
          </cell>
          <cell r="E533">
            <v>5711</v>
          </cell>
          <cell r="F533">
            <v>5711</v>
          </cell>
          <cell r="G533" t="str">
            <v>$216.02</v>
          </cell>
          <cell r="H533" t="str">
            <v>$216.02</v>
          </cell>
          <cell r="I533">
            <v>13</v>
          </cell>
          <cell r="J533">
            <v>13</v>
          </cell>
          <cell r="K533">
            <v>6</v>
          </cell>
          <cell r="L533">
            <v>6</v>
          </cell>
          <cell r="M533">
            <v>7.1428571428571425E-2</v>
          </cell>
          <cell r="O533" t="str">
            <v>$1654</v>
          </cell>
          <cell r="P533" t="str">
            <v>$1654</v>
          </cell>
          <cell r="Q533">
            <v>45613</v>
          </cell>
          <cell r="R533" t="str">
            <v>Hyderabad</v>
          </cell>
          <cell r="S533" t="str">
            <v>Desktop</v>
          </cell>
          <cell r="T533" t="str">
            <v>data analytics training</v>
          </cell>
        </row>
        <row r="534">
          <cell r="A534" t="str">
            <v>A1532</v>
          </cell>
          <cell r="B534" t="str">
            <v>Data Analytcis Course</v>
          </cell>
          <cell r="C534">
            <v>151</v>
          </cell>
          <cell r="D534">
            <v>151</v>
          </cell>
          <cell r="E534">
            <v>3022</v>
          </cell>
          <cell r="F534">
            <v>3022</v>
          </cell>
          <cell r="G534" t="str">
            <v>$191.35</v>
          </cell>
          <cell r="H534" t="str">
            <v>$191.35</v>
          </cell>
          <cell r="I534">
            <v>13</v>
          </cell>
          <cell r="J534">
            <v>13</v>
          </cell>
          <cell r="K534">
            <v>4</v>
          </cell>
          <cell r="L534">
            <v>4</v>
          </cell>
          <cell r="M534">
            <v>2.6490066225165563E-2</v>
          </cell>
          <cell r="N534">
            <v>2.5999999999999999E-2</v>
          </cell>
          <cell r="O534" t="str">
            <v>$1133</v>
          </cell>
          <cell r="P534" t="str">
            <v>$1133</v>
          </cell>
          <cell r="Q534">
            <v>45614</v>
          </cell>
          <cell r="R534" t="str">
            <v>Hyderabad</v>
          </cell>
          <cell r="S534" t="str">
            <v>Mobile</v>
          </cell>
          <cell r="T534" t="str">
            <v>learn data analytics</v>
          </cell>
        </row>
        <row r="535">
          <cell r="A535" t="str">
            <v>A1533</v>
          </cell>
          <cell r="B535" t="str">
            <v>Data Analytics Course</v>
          </cell>
          <cell r="C535">
            <v>113</v>
          </cell>
          <cell r="D535">
            <v>113</v>
          </cell>
          <cell r="E535">
            <v>5407</v>
          </cell>
          <cell r="F535">
            <v>5407</v>
          </cell>
          <cell r="G535" t="str">
            <v>$203.23</v>
          </cell>
          <cell r="H535" t="str">
            <v>$203.23</v>
          </cell>
          <cell r="I535">
            <v>15</v>
          </cell>
          <cell r="J535">
            <v>15</v>
          </cell>
          <cell r="K535">
            <v>9</v>
          </cell>
          <cell r="L535">
            <v>9</v>
          </cell>
          <cell r="M535">
            <v>7.9646017699115043E-2</v>
          </cell>
          <cell r="N535">
            <v>3.6999999999999998E-2</v>
          </cell>
          <cell r="O535" t="str">
            <v>$1745</v>
          </cell>
          <cell r="P535" t="str">
            <v>$1745</v>
          </cell>
          <cell r="Q535">
            <v>45612</v>
          </cell>
          <cell r="R535" t="str">
            <v>Hyderabad</v>
          </cell>
          <cell r="S535" t="str">
            <v>Desktop</v>
          </cell>
          <cell r="T535" t="str">
            <v>data analytics training</v>
          </cell>
        </row>
        <row r="536">
          <cell r="A536" t="str">
            <v>A1534</v>
          </cell>
          <cell r="B536" t="str">
            <v>Data Analytics Course</v>
          </cell>
          <cell r="C536">
            <v>89</v>
          </cell>
          <cell r="D536">
            <v>89</v>
          </cell>
          <cell r="E536">
            <v>5095</v>
          </cell>
          <cell r="F536">
            <v>5095</v>
          </cell>
          <cell r="G536" t="str">
            <v>$202.21</v>
          </cell>
          <cell r="H536" t="str">
            <v>$202.21</v>
          </cell>
          <cell r="I536">
            <v>22</v>
          </cell>
          <cell r="J536">
            <v>22</v>
          </cell>
          <cell r="K536">
            <v>4</v>
          </cell>
          <cell r="L536">
            <v>4</v>
          </cell>
          <cell r="M536">
            <v>4.49438202247191E-2</v>
          </cell>
          <cell r="N536">
            <v>5.6000000000000001E-2</v>
          </cell>
          <cell r="O536" t="str">
            <v>$1065</v>
          </cell>
          <cell r="P536" t="str">
            <v>$1065</v>
          </cell>
          <cell r="Q536">
            <v>45603</v>
          </cell>
          <cell r="R536" t="str">
            <v>Hyderabad</v>
          </cell>
          <cell r="S536" t="str">
            <v>Tablet</v>
          </cell>
          <cell r="T536" t="str">
            <v>data analytics course</v>
          </cell>
        </row>
        <row r="537">
          <cell r="A537" t="str">
            <v>A1535</v>
          </cell>
          <cell r="B537" t="str">
            <v>Data Analytcis Course</v>
          </cell>
          <cell r="C537">
            <v>174</v>
          </cell>
          <cell r="D537">
            <v>174</v>
          </cell>
          <cell r="E537">
            <v>3587</v>
          </cell>
          <cell r="F537">
            <v>3587</v>
          </cell>
          <cell r="G537" t="str">
            <v>$217.67</v>
          </cell>
          <cell r="H537" t="str">
            <v>$217.67</v>
          </cell>
          <cell r="I537">
            <v>10</v>
          </cell>
          <cell r="J537">
            <v>10</v>
          </cell>
          <cell r="K537">
            <v>7</v>
          </cell>
          <cell r="L537">
            <v>7</v>
          </cell>
          <cell r="M537">
            <v>4.0229885057471264E-2</v>
          </cell>
          <cell r="N537">
            <v>0.04</v>
          </cell>
          <cell r="O537" t="str">
            <v>$1226</v>
          </cell>
          <cell r="P537" t="str">
            <v>$1226</v>
          </cell>
          <cell r="Q537">
            <v>45618</v>
          </cell>
          <cell r="R537" t="str">
            <v>Hyderabad</v>
          </cell>
          <cell r="S537" t="str">
            <v>Mobile</v>
          </cell>
          <cell r="T537" t="str">
            <v>data analytics training</v>
          </cell>
        </row>
        <row r="538">
          <cell r="A538" t="str">
            <v>A1536</v>
          </cell>
          <cell r="B538" t="str">
            <v>Data Analytics Course</v>
          </cell>
          <cell r="C538">
            <v>166</v>
          </cell>
          <cell r="D538">
            <v>166</v>
          </cell>
          <cell r="E538">
            <v>5524</v>
          </cell>
          <cell r="F538">
            <v>5524</v>
          </cell>
          <cell r="G538" t="str">
            <v>$205.53</v>
          </cell>
          <cell r="H538" t="str">
            <v>$205.53</v>
          </cell>
          <cell r="I538">
            <v>25</v>
          </cell>
          <cell r="J538">
            <v>25</v>
          </cell>
          <cell r="K538">
            <v>7</v>
          </cell>
          <cell r="L538">
            <v>7</v>
          </cell>
          <cell r="M538">
            <v>4.2168674698795178E-2</v>
          </cell>
          <cell r="O538" t="str">
            <v>$1241</v>
          </cell>
          <cell r="P538" t="str">
            <v>$1241</v>
          </cell>
          <cell r="Q538">
            <v>45620</v>
          </cell>
          <cell r="R538" t="str">
            <v>Hyderabad</v>
          </cell>
          <cell r="S538" t="str">
            <v>Mobile</v>
          </cell>
          <cell r="T538" t="str">
            <v>analytics for data</v>
          </cell>
        </row>
        <row r="539">
          <cell r="A539" t="str">
            <v>A1537</v>
          </cell>
          <cell r="B539" t="str">
            <v>Data Analytcis Course</v>
          </cell>
          <cell r="C539">
            <v>196</v>
          </cell>
          <cell r="D539">
            <v>196</v>
          </cell>
          <cell r="E539">
            <v>3777</v>
          </cell>
          <cell r="F539">
            <v>3777</v>
          </cell>
          <cell r="G539" t="str">
            <v>$246.52</v>
          </cell>
          <cell r="H539" t="str">
            <v>$246.52</v>
          </cell>
          <cell r="I539">
            <v>20.027722772277226</v>
          </cell>
          <cell r="K539">
            <v>5</v>
          </cell>
          <cell r="L539">
            <v>5</v>
          </cell>
          <cell r="M539">
            <v>2.5510204081632654E-2</v>
          </cell>
          <cell r="N539">
            <v>2.5999999999999999E-2</v>
          </cell>
          <cell r="O539" t="str">
            <v>$1159</v>
          </cell>
          <cell r="P539" t="str">
            <v>$1159</v>
          </cell>
          <cell r="Q539">
            <v>45611</v>
          </cell>
          <cell r="R539" t="str">
            <v>Hyderabad</v>
          </cell>
          <cell r="S539" t="str">
            <v>Desktop</v>
          </cell>
          <cell r="T539" t="str">
            <v>data analytics course</v>
          </cell>
        </row>
        <row r="540">
          <cell r="A540" t="str">
            <v>A1538</v>
          </cell>
          <cell r="B540" t="str">
            <v>Data Analytics Course</v>
          </cell>
          <cell r="C540">
            <v>97</v>
          </cell>
          <cell r="D540">
            <v>97</v>
          </cell>
          <cell r="E540">
            <v>3480</v>
          </cell>
          <cell r="F540">
            <v>3480</v>
          </cell>
          <cell r="G540" t="str">
            <v>$233.32</v>
          </cell>
          <cell r="H540" t="str">
            <v>$233.32</v>
          </cell>
          <cell r="I540">
            <v>22</v>
          </cell>
          <cell r="J540">
            <v>22</v>
          </cell>
          <cell r="K540">
            <v>3</v>
          </cell>
          <cell r="L540">
            <v>3</v>
          </cell>
          <cell r="M540">
            <v>3.0927835051546393E-2</v>
          </cell>
          <cell r="N540">
            <v>3.1E-2</v>
          </cell>
          <cell r="O540" t="str">
            <v>$1008</v>
          </cell>
          <cell r="P540" t="str">
            <v>$1008</v>
          </cell>
          <cell r="Q540">
            <v>45624</v>
          </cell>
          <cell r="R540" t="str">
            <v>Bangaluru</v>
          </cell>
          <cell r="S540" t="str">
            <v>Desktop</v>
          </cell>
          <cell r="T540" t="str">
            <v>data analytics online</v>
          </cell>
        </row>
        <row r="541">
          <cell r="A541" t="str">
            <v>A1539</v>
          </cell>
          <cell r="B541" t="str">
            <v>Data Analytics Course</v>
          </cell>
          <cell r="C541">
            <v>89</v>
          </cell>
          <cell r="D541">
            <v>89</v>
          </cell>
          <cell r="E541">
            <v>4200</v>
          </cell>
          <cell r="F541">
            <v>4200</v>
          </cell>
          <cell r="G541" t="str">
            <v>$200.98</v>
          </cell>
          <cell r="H541" t="str">
            <v>$200.98</v>
          </cell>
          <cell r="I541">
            <v>23</v>
          </cell>
          <cell r="J541">
            <v>23</v>
          </cell>
          <cell r="K541">
            <v>8</v>
          </cell>
          <cell r="L541">
            <v>8</v>
          </cell>
          <cell r="M541">
            <v>8.98876404494382E-2</v>
          </cell>
          <cell r="O541" t="str">
            <v>$1476</v>
          </cell>
          <cell r="P541" t="str">
            <v>$1476</v>
          </cell>
          <cell r="Q541">
            <v>45619</v>
          </cell>
          <cell r="R541" t="str">
            <v>Hyderabad</v>
          </cell>
          <cell r="S541" t="str">
            <v>Mobile</v>
          </cell>
          <cell r="T541" t="str">
            <v>data analytics course</v>
          </cell>
        </row>
        <row r="542">
          <cell r="A542" t="str">
            <v>A1540</v>
          </cell>
          <cell r="B542" t="str">
            <v>Data Analytcis Course</v>
          </cell>
          <cell r="C542">
            <v>130</v>
          </cell>
          <cell r="D542">
            <v>130</v>
          </cell>
          <cell r="E542">
            <v>5384</v>
          </cell>
          <cell r="F542">
            <v>5384</v>
          </cell>
          <cell r="G542" t="str">
            <v>$218.6</v>
          </cell>
          <cell r="H542" t="str">
            <v>$218.6</v>
          </cell>
          <cell r="I542">
            <v>24</v>
          </cell>
          <cell r="J542">
            <v>24</v>
          </cell>
          <cell r="K542">
            <v>8</v>
          </cell>
          <cell r="L542">
            <v>8</v>
          </cell>
          <cell r="M542">
            <v>6.1538461538461542E-2</v>
          </cell>
          <cell r="N542">
            <v>6.2E-2</v>
          </cell>
          <cell r="O542" t="str">
            <v>$1943</v>
          </cell>
          <cell r="P542" t="str">
            <v>$1943</v>
          </cell>
          <cell r="Q542">
            <v>45624</v>
          </cell>
          <cell r="R542" t="str">
            <v>Chennai</v>
          </cell>
          <cell r="S542" t="str">
            <v>Mobile</v>
          </cell>
          <cell r="T542" t="str">
            <v>learn data analytics</v>
          </cell>
        </row>
        <row r="543">
          <cell r="A543" t="str">
            <v>A1541</v>
          </cell>
          <cell r="B543" t="str">
            <v>Data Analytics Course</v>
          </cell>
          <cell r="C543">
            <v>103</v>
          </cell>
          <cell r="D543">
            <v>103</v>
          </cell>
          <cell r="E543">
            <v>4766</v>
          </cell>
          <cell r="F543">
            <v>4766</v>
          </cell>
          <cell r="G543" t="str">
            <v>$245.34</v>
          </cell>
          <cell r="H543" t="str">
            <v>$245.34</v>
          </cell>
          <cell r="I543">
            <v>11</v>
          </cell>
          <cell r="J543">
            <v>11</v>
          </cell>
          <cell r="K543">
            <v>8</v>
          </cell>
          <cell r="L543">
            <v>8</v>
          </cell>
          <cell r="M543">
            <v>7.7669902912621352E-2</v>
          </cell>
          <cell r="N543">
            <v>7.8E-2</v>
          </cell>
          <cell r="O543" t="str">
            <v>$1488</v>
          </cell>
          <cell r="P543" t="str">
            <v>$1488</v>
          </cell>
          <cell r="Q543">
            <v>45604</v>
          </cell>
          <cell r="R543" t="str">
            <v>Hyderabad</v>
          </cell>
          <cell r="S543" t="str">
            <v>Desktop</v>
          </cell>
          <cell r="T543" t="str">
            <v>analytics for data</v>
          </cell>
        </row>
        <row r="544">
          <cell r="A544" t="str">
            <v>A1542</v>
          </cell>
          <cell r="B544" t="str">
            <v>Data Analytics Course</v>
          </cell>
          <cell r="C544">
            <v>138</v>
          </cell>
          <cell r="D544">
            <v>138</v>
          </cell>
          <cell r="E544">
            <v>3322</v>
          </cell>
          <cell r="F544">
            <v>3322</v>
          </cell>
          <cell r="G544" t="str">
            <v>$196.83</v>
          </cell>
          <cell r="H544" t="str">
            <v>$196.83</v>
          </cell>
          <cell r="I544">
            <v>17</v>
          </cell>
          <cell r="J544">
            <v>17</v>
          </cell>
          <cell r="K544">
            <v>8</v>
          </cell>
          <cell r="L544">
            <v>8</v>
          </cell>
          <cell r="M544">
            <v>5.7971014492753624E-2</v>
          </cell>
          <cell r="N544">
            <v>5.8000000000000003E-2</v>
          </cell>
          <cell r="O544" t="str">
            <v>$1500</v>
          </cell>
          <cell r="Q544">
            <v>45597</v>
          </cell>
          <cell r="R544" t="str">
            <v>Hyderabad</v>
          </cell>
          <cell r="S544" t="str">
            <v>Desktop</v>
          </cell>
          <cell r="T544" t="str">
            <v>online data analytic</v>
          </cell>
        </row>
        <row r="545">
          <cell r="A545" t="str">
            <v>A1543</v>
          </cell>
          <cell r="B545" t="str">
            <v>Data Analytics Course</v>
          </cell>
          <cell r="C545">
            <v>127</v>
          </cell>
          <cell r="D545">
            <v>127</v>
          </cell>
          <cell r="E545">
            <v>4625</v>
          </cell>
          <cell r="F545">
            <v>4625</v>
          </cell>
          <cell r="G545" t="str">
            <v>$207.62</v>
          </cell>
          <cell r="H545" t="str">
            <v>$207.62</v>
          </cell>
          <cell r="I545">
            <v>17</v>
          </cell>
          <cell r="J545">
            <v>17</v>
          </cell>
          <cell r="K545">
            <v>3</v>
          </cell>
          <cell r="L545">
            <v>3</v>
          </cell>
          <cell r="M545">
            <v>2.3622047244094488E-2</v>
          </cell>
          <cell r="N545">
            <v>2.4E-2</v>
          </cell>
          <cell r="O545" t="str">
            <v>$1811</v>
          </cell>
          <cell r="P545" t="str">
            <v>$1811</v>
          </cell>
          <cell r="Q545">
            <v>45613</v>
          </cell>
          <cell r="R545" t="str">
            <v>Hyderabad</v>
          </cell>
          <cell r="S545" t="str">
            <v>Desktop</v>
          </cell>
          <cell r="T545" t="str">
            <v>learn data analytics</v>
          </cell>
        </row>
        <row r="546">
          <cell r="A546" t="str">
            <v>A1544</v>
          </cell>
          <cell r="B546" t="str">
            <v>Data Analytics Course</v>
          </cell>
          <cell r="C546">
            <v>170</v>
          </cell>
          <cell r="D546">
            <v>170</v>
          </cell>
          <cell r="E546">
            <v>4689</v>
          </cell>
          <cell r="F546">
            <v>4689</v>
          </cell>
          <cell r="G546" t="str">
            <v>$195.98</v>
          </cell>
          <cell r="H546" t="str">
            <v>$195.98</v>
          </cell>
          <cell r="I546">
            <v>26</v>
          </cell>
          <cell r="J546">
            <v>26</v>
          </cell>
          <cell r="K546">
            <v>6</v>
          </cell>
          <cell r="L546">
            <v>6</v>
          </cell>
          <cell r="M546">
            <v>3.5294117647058823E-2</v>
          </cell>
          <cell r="N546">
            <v>3.5000000000000003E-2</v>
          </cell>
          <cell r="O546" t="str">
            <v>$1873</v>
          </cell>
          <cell r="P546" t="str">
            <v>$1873</v>
          </cell>
          <cell r="Q546">
            <v>45610</v>
          </cell>
          <cell r="R546" t="str">
            <v>Hyderabad</v>
          </cell>
          <cell r="S546" t="str">
            <v>Desktop</v>
          </cell>
          <cell r="T546" t="str">
            <v>data analytics online</v>
          </cell>
        </row>
        <row r="547">
          <cell r="A547" t="str">
            <v>A1545</v>
          </cell>
          <cell r="B547" t="str">
            <v>Data Analytics Course</v>
          </cell>
          <cell r="C547">
            <v>115</v>
          </cell>
          <cell r="D547">
            <v>115</v>
          </cell>
          <cell r="E547">
            <v>3764</v>
          </cell>
          <cell r="F547">
            <v>3764</v>
          </cell>
          <cell r="G547" t="str">
            <v>$197.47</v>
          </cell>
          <cell r="H547" t="str">
            <v>$197.47</v>
          </cell>
          <cell r="I547">
            <v>20</v>
          </cell>
          <cell r="J547">
            <v>20</v>
          </cell>
          <cell r="K547">
            <v>5</v>
          </cell>
          <cell r="L547">
            <v>5</v>
          </cell>
          <cell r="M547">
            <v>4.3478260869565216E-2</v>
          </cell>
          <cell r="O547" t="str">
            <v>$1952</v>
          </cell>
          <cell r="P547" t="str">
            <v>$1952</v>
          </cell>
          <cell r="Q547">
            <v>45623</v>
          </cell>
          <cell r="R547" t="str">
            <v>Hyderabad</v>
          </cell>
          <cell r="S547" t="str">
            <v>Desktop</v>
          </cell>
          <cell r="T547" t="str">
            <v>learn data analytics</v>
          </cell>
        </row>
        <row r="548">
          <cell r="A548" t="str">
            <v>A1546</v>
          </cell>
          <cell r="B548" t="str">
            <v>Data Analytcis Course</v>
          </cell>
          <cell r="C548">
            <v>132</v>
          </cell>
          <cell r="D548">
            <v>132</v>
          </cell>
          <cell r="E548">
            <v>3365</v>
          </cell>
          <cell r="F548">
            <v>3365</v>
          </cell>
          <cell r="G548" t="str">
            <v>$198.01</v>
          </cell>
          <cell r="H548" t="str">
            <v>$198.01</v>
          </cell>
          <cell r="I548">
            <v>17</v>
          </cell>
          <cell r="J548">
            <v>17</v>
          </cell>
          <cell r="K548">
            <v>9</v>
          </cell>
          <cell r="L548">
            <v>9</v>
          </cell>
          <cell r="M548">
            <v>6.8181818181818177E-2</v>
          </cell>
          <cell r="N548">
            <v>6.8000000000000005E-2</v>
          </cell>
          <cell r="O548" t="str">
            <v>$1161</v>
          </cell>
          <cell r="P548" t="str">
            <v>$1161</v>
          </cell>
          <cell r="Q548">
            <v>45610</v>
          </cell>
          <cell r="R548" t="str">
            <v>Bangaluru</v>
          </cell>
          <cell r="S548" t="str">
            <v>Desktop</v>
          </cell>
          <cell r="T548" t="str">
            <v>analytics for data</v>
          </cell>
        </row>
        <row r="549">
          <cell r="A549" t="str">
            <v>A1547</v>
          </cell>
          <cell r="B549" t="str">
            <v>Data Analytics Course</v>
          </cell>
          <cell r="C549">
            <v>168</v>
          </cell>
          <cell r="D549">
            <v>168</v>
          </cell>
          <cell r="E549">
            <v>3392</v>
          </cell>
          <cell r="F549">
            <v>3392</v>
          </cell>
          <cell r="G549" t="str">
            <v>$230.77</v>
          </cell>
          <cell r="H549" t="str">
            <v>$230.77</v>
          </cell>
          <cell r="I549">
            <v>15</v>
          </cell>
          <cell r="J549">
            <v>15</v>
          </cell>
          <cell r="K549">
            <v>9</v>
          </cell>
          <cell r="L549">
            <v>9</v>
          </cell>
          <cell r="M549">
            <v>5.3571428571428568E-2</v>
          </cell>
          <cell r="N549">
            <v>5.3999999999999999E-2</v>
          </cell>
          <cell r="O549" t="str">
            <v>$1504</v>
          </cell>
          <cell r="P549" t="str">
            <v>$1504</v>
          </cell>
          <cell r="Q549">
            <v>45607</v>
          </cell>
          <cell r="R549" t="str">
            <v>Hyderabad</v>
          </cell>
          <cell r="S549" t="str">
            <v>Mobile</v>
          </cell>
          <cell r="T549" t="str">
            <v>online data analytic</v>
          </cell>
        </row>
        <row r="550">
          <cell r="A550" t="str">
            <v>A1548</v>
          </cell>
          <cell r="B550" t="str">
            <v>Data Analytics Course</v>
          </cell>
          <cell r="C550">
            <v>145</v>
          </cell>
          <cell r="D550">
            <v>145</v>
          </cell>
          <cell r="E550">
            <v>5978</v>
          </cell>
          <cell r="F550">
            <v>5978</v>
          </cell>
          <cell r="G550" t="str">
            <v>$223.3</v>
          </cell>
          <cell r="H550" t="str">
            <v>$223.3</v>
          </cell>
          <cell r="I550">
            <v>30</v>
          </cell>
          <cell r="J550">
            <v>30</v>
          </cell>
          <cell r="K550">
            <v>10</v>
          </cell>
          <cell r="L550">
            <v>10</v>
          </cell>
          <cell r="M550">
            <v>6.8965517241379309E-2</v>
          </cell>
          <cell r="O550" t="str">
            <v>$1859</v>
          </cell>
          <cell r="P550" t="str">
            <v>$1859</v>
          </cell>
          <cell r="Q550">
            <v>45616</v>
          </cell>
          <cell r="R550" t="str">
            <v>Hyderabad</v>
          </cell>
          <cell r="S550" t="str">
            <v>Mobile</v>
          </cell>
          <cell r="T550" t="str">
            <v>online data analytic</v>
          </cell>
        </row>
        <row r="551">
          <cell r="A551" t="str">
            <v>A1549</v>
          </cell>
          <cell r="B551" t="str">
            <v>Data Analytics Course</v>
          </cell>
          <cell r="C551">
            <v>163</v>
          </cell>
          <cell r="D551">
            <v>163</v>
          </cell>
          <cell r="E551">
            <v>3340</v>
          </cell>
          <cell r="F551">
            <v>3340</v>
          </cell>
          <cell r="G551" t="str">
            <v>$217.35</v>
          </cell>
          <cell r="H551" t="str">
            <v>$217.35</v>
          </cell>
          <cell r="I551">
            <v>26</v>
          </cell>
          <cell r="J551">
            <v>26</v>
          </cell>
          <cell r="K551">
            <v>7</v>
          </cell>
          <cell r="L551">
            <v>7</v>
          </cell>
          <cell r="M551">
            <v>4.2944785276073622E-2</v>
          </cell>
          <cell r="N551">
            <v>4.2999999999999997E-2</v>
          </cell>
          <cell r="O551" t="str">
            <v>$1751</v>
          </cell>
          <cell r="P551" t="str">
            <v>$1751</v>
          </cell>
          <cell r="Q551">
            <v>45620</v>
          </cell>
          <cell r="R551" t="str">
            <v>Hyderabad</v>
          </cell>
          <cell r="S551" t="str">
            <v>Tablet</v>
          </cell>
          <cell r="T551" t="str">
            <v>data analytics training</v>
          </cell>
        </row>
        <row r="552">
          <cell r="A552" t="str">
            <v>A1550</v>
          </cell>
          <cell r="B552" t="str">
            <v>Data Analytics Course</v>
          </cell>
          <cell r="C552">
            <v>84</v>
          </cell>
          <cell r="D552">
            <v>84</v>
          </cell>
          <cell r="E552">
            <v>4407</v>
          </cell>
          <cell r="F552">
            <v>4407</v>
          </cell>
          <cell r="G552" t="str">
            <v>$192.52</v>
          </cell>
          <cell r="H552" t="str">
            <v>$192.52</v>
          </cell>
          <cell r="I552">
            <v>19</v>
          </cell>
          <cell r="J552">
            <v>19</v>
          </cell>
          <cell r="K552">
            <v>10</v>
          </cell>
          <cell r="L552">
            <v>10</v>
          </cell>
          <cell r="M552">
            <v>0.11904761904761904</v>
          </cell>
          <cell r="N552">
            <v>0.11899999999999999</v>
          </cell>
          <cell r="O552" t="str">
            <v>$1221</v>
          </cell>
          <cell r="P552" t="str">
            <v>$1221</v>
          </cell>
          <cell r="Q552">
            <v>45599</v>
          </cell>
          <cell r="R552" t="str">
            <v>Hyderabad</v>
          </cell>
          <cell r="S552" t="str">
            <v>Tablet</v>
          </cell>
          <cell r="T552" t="str">
            <v>learn data analytics</v>
          </cell>
        </row>
        <row r="553">
          <cell r="A553" t="str">
            <v>A1551</v>
          </cell>
          <cell r="B553" t="str">
            <v>Data Analytics Course</v>
          </cell>
          <cell r="C553">
            <v>124</v>
          </cell>
          <cell r="D553">
            <v>124</v>
          </cell>
          <cell r="E553">
            <v>3180</v>
          </cell>
          <cell r="F553">
            <v>3180</v>
          </cell>
          <cell r="G553" t="str">
            <v>$180.8</v>
          </cell>
          <cell r="H553" t="str">
            <v>$180.8</v>
          </cell>
          <cell r="I553">
            <v>17</v>
          </cell>
          <cell r="J553">
            <v>17</v>
          </cell>
          <cell r="K553">
            <v>6</v>
          </cell>
          <cell r="L553">
            <v>6</v>
          </cell>
          <cell r="M553">
            <v>4.8387096774193547E-2</v>
          </cell>
          <cell r="N553">
            <v>4.8000000000000001E-2</v>
          </cell>
          <cell r="O553" t="str">
            <v>$1822</v>
          </cell>
          <cell r="P553" t="str">
            <v>$1822</v>
          </cell>
          <cell r="Q553">
            <v>45607</v>
          </cell>
          <cell r="R553" t="str">
            <v>Hyderabad</v>
          </cell>
          <cell r="S553" t="str">
            <v>Mobile</v>
          </cell>
          <cell r="T553" t="str">
            <v>online data analytic</v>
          </cell>
        </row>
        <row r="554">
          <cell r="A554" t="str">
            <v>A1552</v>
          </cell>
          <cell r="B554" t="str">
            <v>Data Analytics Course</v>
          </cell>
          <cell r="C554">
            <v>162</v>
          </cell>
          <cell r="D554">
            <v>162</v>
          </cell>
          <cell r="E554">
            <v>4947</v>
          </cell>
          <cell r="F554">
            <v>4947</v>
          </cell>
          <cell r="G554" t="str">
            <v>$233.76</v>
          </cell>
          <cell r="H554" t="str">
            <v>$233.76</v>
          </cell>
          <cell r="I554">
            <v>23</v>
          </cell>
          <cell r="J554">
            <v>23</v>
          </cell>
          <cell r="K554">
            <v>6</v>
          </cell>
          <cell r="L554">
            <v>6</v>
          </cell>
          <cell r="M554">
            <v>3.7037037037037035E-2</v>
          </cell>
          <cell r="N554">
            <v>4.4999999999999998E-2</v>
          </cell>
          <cell r="O554" t="str">
            <v>$1973</v>
          </cell>
          <cell r="P554" t="str">
            <v>$1973</v>
          </cell>
          <cell r="Q554">
            <v>45611</v>
          </cell>
          <cell r="R554" t="str">
            <v>Bangaluru</v>
          </cell>
          <cell r="S554" t="str">
            <v>Tablet</v>
          </cell>
          <cell r="T554" t="str">
            <v>data analytics course</v>
          </cell>
        </row>
        <row r="555">
          <cell r="A555" t="str">
            <v>A1553</v>
          </cell>
          <cell r="B555" t="str">
            <v>Data Analytics Course</v>
          </cell>
          <cell r="C555">
            <v>119</v>
          </cell>
          <cell r="D555">
            <v>119</v>
          </cell>
          <cell r="E555">
            <v>4480</v>
          </cell>
          <cell r="F555">
            <v>4480</v>
          </cell>
          <cell r="G555" t="str">
            <v>$184.25</v>
          </cell>
          <cell r="H555" t="str">
            <v>$184.25</v>
          </cell>
          <cell r="I555">
            <v>20</v>
          </cell>
          <cell r="J555">
            <v>20</v>
          </cell>
          <cell r="K555">
            <v>3</v>
          </cell>
          <cell r="L555">
            <v>3</v>
          </cell>
          <cell r="M555">
            <v>2.5210084033613446E-2</v>
          </cell>
          <cell r="N555">
            <v>2.5000000000000001E-2</v>
          </cell>
          <cell r="O555" t="str">
            <v>$1985</v>
          </cell>
          <cell r="P555" t="str">
            <v>$1985</v>
          </cell>
          <cell r="Q555">
            <v>45618</v>
          </cell>
          <cell r="R555" t="str">
            <v>Hyderabad</v>
          </cell>
          <cell r="S555" t="str">
            <v>Mobile</v>
          </cell>
          <cell r="T555" t="str">
            <v>online data analytic</v>
          </cell>
        </row>
        <row r="556">
          <cell r="A556" t="str">
            <v>A1554</v>
          </cell>
          <cell r="B556" t="str">
            <v>Data Analytics Course</v>
          </cell>
          <cell r="C556">
            <v>151</v>
          </cell>
          <cell r="D556">
            <v>151</v>
          </cell>
          <cell r="E556">
            <v>5595</v>
          </cell>
          <cell r="F556">
            <v>5595</v>
          </cell>
          <cell r="G556" t="str">
            <v>$246.66</v>
          </cell>
          <cell r="H556" t="str">
            <v>$246.66</v>
          </cell>
          <cell r="I556">
            <v>24</v>
          </cell>
          <cell r="J556">
            <v>24</v>
          </cell>
          <cell r="K556">
            <v>4</v>
          </cell>
          <cell r="L556">
            <v>4</v>
          </cell>
          <cell r="M556">
            <v>2.6490066225165563E-2</v>
          </cell>
          <cell r="N556">
            <v>2.5999999999999999E-2</v>
          </cell>
          <cell r="O556" t="str">
            <v>$1921</v>
          </cell>
          <cell r="P556" t="str">
            <v>$1921</v>
          </cell>
          <cell r="Q556">
            <v>45625</v>
          </cell>
          <cell r="R556" t="str">
            <v>Hyderabad</v>
          </cell>
          <cell r="S556" t="str">
            <v>Desktop</v>
          </cell>
          <cell r="T556" t="str">
            <v>learn data analytics</v>
          </cell>
        </row>
        <row r="557">
          <cell r="A557" t="str">
            <v>A1555</v>
          </cell>
          <cell r="B557" t="str">
            <v>Data Analytics Course</v>
          </cell>
          <cell r="C557">
            <v>190</v>
          </cell>
          <cell r="D557">
            <v>190</v>
          </cell>
          <cell r="E557">
            <v>4808</v>
          </cell>
          <cell r="F557">
            <v>4808</v>
          </cell>
          <cell r="G557" t="str">
            <v>$199.94</v>
          </cell>
          <cell r="H557" t="str">
            <v>$199.94</v>
          </cell>
          <cell r="I557">
            <v>16</v>
          </cell>
          <cell r="J557">
            <v>16</v>
          </cell>
          <cell r="K557">
            <v>6</v>
          </cell>
          <cell r="L557">
            <v>6</v>
          </cell>
          <cell r="M557">
            <v>3.1578947368421054E-2</v>
          </cell>
          <cell r="N557">
            <v>3.2000000000000001E-2</v>
          </cell>
          <cell r="O557" t="str">
            <v>$1454</v>
          </cell>
          <cell r="P557" t="str">
            <v>$1454</v>
          </cell>
          <cell r="Q557">
            <v>45599</v>
          </cell>
          <cell r="R557" t="str">
            <v>Hyderabad</v>
          </cell>
          <cell r="S557" t="str">
            <v>Desktop</v>
          </cell>
          <cell r="T557" t="str">
            <v>data analytics online</v>
          </cell>
        </row>
        <row r="558">
          <cell r="A558" t="str">
            <v>A1556</v>
          </cell>
          <cell r="B558" t="str">
            <v>Data Analytics Course</v>
          </cell>
          <cell r="C558">
            <v>138</v>
          </cell>
          <cell r="D558">
            <v>138</v>
          </cell>
          <cell r="E558">
            <v>3382</v>
          </cell>
          <cell r="F558">
            <v>3382</v>
          </cell>
          <cell r="G558" t="str">
            <v>$204.12</v>
          </cell>
          <cell r="H558" t="str">
            <v>$204.12</v>
          </cell>
          <cell r="I558">
            <v>27</v>
          </cell>
          <cell r="J558">
            <v>27</v>
          </cell>
          <cell r="K558">
            <v>7</v>
          </cell>
          <cell r="L558">
            <v>7</v>
          </cell>
          <cell r="M558">
            <v>5.0724637681159424E-2</v>
          </cell>
          <cell r="N558">
            <v>5.0999999999999997E-2</v>
          </cell>
          <cell r="O558" t="str">
            <v>$1386</v>
          </cell>
          <cell r="P558" t="str">
            <v>$1386</v>
          </cell>
          <cell r="Q558">
            <v>45601</v>
          </cell>
          <cell r="R558" t="str">
            <v>Bangaluru</v>
          </cell>
          <cell r="S558" t="str">
            <v>Tablet</v>
          </cell>
          <cell r="T558" t="str">
            <v>learn data analytics</v>
          </cell>
        </row>
        <row r="559">
          <cell r="A559" t="str">
            <v>A1557</v>
          </cell>
          <cell r="B559" t="str">
            <v>Data Analytics Course</v>
          </cell>
          <cell r="C559">
            <v>100</v>
          </cell>
          <cell r="D559">
            <v>100</v>
          </cell>
          <cell r="E559">
            <v>4643</v>
          </cell>
          <cell r="F559">
            <v>4643</v>
          </cell>
          <cell r="G559" t="str">
            <v>$214.46</v>
          </cell>
          <cell r="H559" t="str">
            <v>$214.46</v>
          </cell>
          <cell r="I559">
            <v>16</v>
          </cell>
          <cell r="J559">
            <v>16</v>
          </cell>
          <cell r="K559">
            <v>9</v>
          </cell>
          <cell r="L559">
            <v>9</v>
          </cell>
          <cell r="M559">
            <v>0.09</v>
          </cell>
          <cell r="N559">
            <v>0.09</v>
          </cell>
          <cell r="O559" t="str">
            <v>$1179</v>
          </cell>
          <cell r="P559" t="str">
            <v>$1179</v>
          </cell>
          <cell r="Q559">
            <v>45599</v>
          </cell>
          <cell r="R559" t="str">
            <v>Bangaluru</v>
          </cell>
          <cell r="S559" t="str">
            <v>Tablet</v>
          </cell>
          <cell r="T559" t="str">
            <v>online data analytic</v>
          </cell>
        </row>
        <row r="560">
          <cell r="A560" t="str">
            <v>A1558</v>
          </cell>
          <cell r="B560" t="str">
            <v>Data Analytics Course</v>
          </cell>
          <cell r="C560">
            <v>187</v>
          </cell>
          <cell r="D560">
            <v>187</v>
          </cell>
          <cell r="E560">
            <v>5400</v>
          </cell>
          <cell r="F560">
            <v>5400</v>
          </cell>
          <cell r="G560" t="str">
            <v>$210.0</v>
          </cell>
          <cell r="H560" t="str">
            <v>$210.0</v>
          </cell>
          <cell r="I560">
            <v>14</v>
          </cell>
          <cell r="J560">
            <v>14</v>
          </cell>
          <cell r="K560">
            <v>7</v>
          </cell>
          <cell r="L560">
            <v>7</v>
          </cell>
          <cell r="M560">
            <v>3.7433155080213901E-2</v>
          </cell>
          <cell r="O560" t="str">
            <v>$1945</v>
          </cell>
          <cell r="P560" t="str">
            <v>$1945</v>
          </cell>
          <cell r="Q560">
            <v>45611</v>
          </cell>
          <cell r="R560" t="str">
            <v>Chennai</v>
          </cell>
          <cell r="S560" t="str">
            <v>Desktop</v>
          </cell>
          <cell r="T560" t="str">
            <v>analytics for data</v>
          </cell>
        </row>
        <row r="561">
          <cell r="A561" t="str">
            <v>A1559</v>
          </cell>
          <cell r="B561" t="str">
            <v>Data Analytcis Course</v>
          </cell>
          <cell r="C561">
            <v>176</v>
          </cell>
          <cell r="D561">
            <v>176</v>
          </cell>
          <cell r="E561">
            <v>3400</v>
          </cell>
          <cell r="F561">
            <v>3400</v>
          </cell>
          <cell r="G561" t="str">
            <v>$191.5</v>
          </cell>
          <cell r="H561" t="str">
            <v>$191.5</v>
          </cell>
          <cell r="I561">
            <v>29</v>
          </cell>
          <cell r="J561">
            <v>29</v>
          </cell>
          <cell r="K561">
            <v>3</v>
          </cell>
          <cell r="L561">
            <v>3</v>
          </cell>
          <cell r="M561">
            <v>1.7045454545454544E-2</v>
          </cell>
          <cell r="O561" t="str">
            <v>$1429</v>
          </cell>
          <cell r="P561" t="str">
            <v>$1429</v>
          </cell>
          <cell r="Q561">
            <v>45624</v>
          </cell>
          <cell r="R561" t="str">
            <v>Chennai</v>
          </cell>
          <cell r="S561" t="str">
            <v>Mobile</v>
          </cell>
          <cell r="T561" t="str">
            <v>online data analytic</v>
          </cell>
        </row>
        <row r="562">
          <cell r="A562" t="str">
            <v>A1560</v>
          </cell>
          <cell r="B562" t="str">
            <v>Data Analytics Course</v>
          </cell>
          <cell r="C562">
            <v>117</v>
          </cell>
          <cell r="D562">
            <v>117</v>
          </cell>
          <cell r="E562">
            <v>4223</v>
          </cell>
          <cell r="F562">
            <v>4223</v>
          </cell>
          <cell r="G562" t="str">
            <v>$200.00</v>
          </cell>
          <cell r="I562">
            <v>28</v>
          </cell>
          <cell r="J562">
            <v>28</v>
          </cell>
          <cell r="K562">
            <v>6</v>
          </cell>
          <cell r="L562">
            <v>6</v>
          </cell>
          <cell r="M562">
            <v>5.128205128205128E-2</v>
          </cell>
          <cell r="N562">
            <v>5.8999999999999997E-2</v>
          </cell>
          <cell r="O562" t="str">
            <v>$1489</v>
          </cell>
          <cell r="P562" t="str">
            <v>$1489</v>
          </cell>
          <cell r="Q562">
            <v>45606</v>
          </cell>
          <cell r="R562" t="str">
            <v>Hyderabad</v>
          </cell>
          <cell r="S562" t="str">
            <v>Mobile</v>
          </cell>
          <cell r="T562" t="str">
            <v>data analytics training</v>
          </cell>
        </row>
        <row r="563">
          <cell r="A563" t="str">
            <v>A1561</v>
          </cell>
          <cell r="B563" t="str">
            <v>Data Analytics Course</v>
          </cell>
          <cell r="C563">
            <v>196</v>
          </cell>
          <cell r="D563">
            <v>196</v>
          </cell>
          <cell r="E563">
            <v>4523.2808326787117</v>
          </cell>
          <cell r="G563" t="str">
            <v>$206.31</v>
          </cell>
          <cell r="H563" t="str">
            <v>$206.31</v>
          </cell>
          <cell r="I563">
            <v>24</v>
          </cell>
          <cell r="J563">
            <v>24</v>
          </cell>
          <cell r="K563">
            <v>8</v>
          </cell>
          <cell r="L563">
            <v>8</v>
          </cell>
          <cell r="M563">
            <v>4.0816326530612242E-2</v>
          </cell>
          <cell r="N563">
            <v>5.0999999999999997E-2</v>
          </cell>
          <cell r="O563" t="str">
            <v>$1426</v>
          </cell>
          <cell r="P563" t="str">
            <v>$1426</v>
          </cell>
          <cell r="Q563">
            <v>45619</v>
          </cell>
          <cell r="R563" t="str">
            <v>Hyderabad</v>
          </cell>
          <cell r="S563" t="str">
            <v>Tablet</v>
          </cell>
          <cell r="T563" t="str">
            <v>data analytics online</v>
          </cell>
        </row>
        <row r="564">
          <cell r="A564" t="str">
            <v>A1562</v>
          </cell>
          <cell r="B564" t="str">
            <v>Data Analytics Course</v>
          </cell>
          <cell r="C564">
            <v>155</v>
          </cell>
          <cell r="D564">
            <v>155</v>
          </cell>
          <cell r="E564">
            <v>3864</v>
          </cell>
          <cell r="F564">
            <v>3864</v>
          </cell>
          <cell r="G564" t="str">
            <v>$222.17</v>
          </cell>
          <cell r="H564" t="str">
            <v>$222.17</v>
          </cell>
          <cell r="I564">
            <v>12</v>
          </cell>
          <cell r="J564">
            <v>12</v>
          </cell>
          <cell r="K564">
            <v>3</v>
          </cell>
          <cell r="L564">
            <v>3</v>
          </cell>
          <cell r="M564">
            <v>1.935483870967742E-2</v>
          </cell>
          <cell r="O564" t="str">
            <v>$1407</v>
          </cell>
          <cell r="P564" t="str">
            <v>$1407</v>
          </cell>
          <cell r="Q564">
            <v>45617</v>
          </cell>
          <cell r="R564" t="str">
            <v>Bangaluru</v>
          </cell>
          <cell r="S564" t="str">
            <v>Mobile</v>
          </cell>
          <cell r="T564" t="str">
            <v>data analytics training</v>
          </cell>
        </row>
        <row r="565">
          <cell r="A565" t="str">
            <v>A1563</v>
          </cell>
          <cell r="B565" t="str">
            <v>Data Analytics Course</v>
          </cell>
          <cell r="C565">
            <v>188</v>
          </cell>
          <cell r="D565">
            <v>188</v>
          </cell>
          <cell r="E565">
            <v>3838</v>
          </cell>
          <cell r="F565">
            <v>3838</v>
          </cell>
          <cell r="G565" t="str">
            <v>$240.99</v>
          </cell>
          <cell r="H565" t="str">
            <v>$240.99</v>
          </cell>
          <cell r="I565">
            <v>15</v>
          </cell>
          <cell r="J565">
            <v>15</v>
          </cell>
          <cell r="K565">
            <v>3</v>
          </cell>
          <cell r="L565">
            <v>3</v>
          </cell>
          <cell r="M565">
            <v>1.5957446808510637E-2</v>
          </cell>
          <cell r="N565">
            <v>1.6E-2</v>
          </cell>
          <cell r="O565" t="str">
            <v>$1951</v>
          </cell>
          <cell r="P565" t="str">
            <v>$1951</v>
          </cell>
          <cell r="Q565">
            <v>45606</v>
          </cell>
          <cell r="R565" t="str">
            <v>Bangaluru</v>
          </cell>
          <cell r="S565" t="str">
            <v>Mobile</v>
          </cell>
          <cell r="T565" t="str">
            <v>data analytics course</v>
          </cell>
        </row>
        <row r="566">
          <cell r="A566" t="str">
            <v>A1564</v>
          </cell>
          <cell r="B566" t="str">
            <v>Data Analytcis Course</v>
          </cell>
          <cell r="C566">
            <v>81</v>
          </cell>
          <cell r="D566">
            <v>81</v>
          </cell>
          <cell r="E566">
            <v>5659</v>
          </cell>
          <cell r="F566">
            <v>5659</v>
          </cell>
          <cell r="G566" t="str">
            <v>$222.98</v>
          </cell>
          <cell r="H566" t="str">
            <v>$222.98</v>
          </cell>
          <cell r="I566">
            <v>25</v>
          </cell>
          <cell r="J566">
            <v>25</v>
          </cell>
          <cell r="K566">
            <v>4</v>
          </cell>
          <cell r="L566">
            <v>4</v>
          </cell>
          <cell r="M566">
            <v>4.9382716049382713E-2</v>
          </cell>
          <cell r="N566">
            <v>5.7000000000000002E-2</v>
          </cell>
          <cell r="O566" t="str">
            <v>$1654</v>
          </cell>
          <cell r="P566" t="str">
            <v>$1654</v>
          </cell>
          <cell r="Q566">
            <v>45615</v>
          </cell>
          <cell r="R566" t="str">
            <v>Hyderabad</v>
          </cell>
          <cell r="S566" t="str">
            <v>Tablet</v>
          </cell>
          <cell r="T566" t="str">
            <v>data analytics online</v>
          </cell>
        </row>
        <row r="567">
          <cell r="A567" t="str">
            <v>A1565</v>
          </cell>
          <cell r="B567" t="str">
            <v>Data Analytics Course</v>
          </cell>
          <cell r="C567">
            <v>125</v>
          </cell>
          <cell r="D567">
            <v>125</v>
          </cell>
          <cell r="E567">
            <v>4794</v>
          </cell>
          <cell r="F567">
            <v>4794</v>
          </cell>
          <cell r="G567" t="str">
            <v>$200.00</v>
          </cell>
          <cell r="I567">
            <v>28</v>
          </cell>
          <cell r="J567">
            <v>28</v>
          </cell>
          <cell r="K567">
            <v>7</v>
          </cell>
          <cell r="L567">
            <v>7</v>
          </cell>
          <cell r="M567">
            <v>5.6000000000000001E-2</v>
          </cell>
          <cell r="N567">
            <v>5.0999999999999997E-2</v>
          </cell>
          <cell r="O567" t="str">
            <v>$1453</v>
          </cell>
          <cell r="P567" t="str">
            <v>$1453</v>
          </cell>
          <cell r="Q567">
            <v>45618</v>
          </cell>
          <cell r="R567" t="str">
            <v>Hyderabad</v>
          </cell>
          <cell r="S567" t="str">
            <v>Desktop</v>
          </cell>
          <cell r="T567" t="str">
            <v>data analytics online</v>
          </cell>
        </row>
        <row r="568">
          <cell r="A568" t="str">
            <v>A1566</v>
          </cell>
          <cell r="B568" t="str">
            <v>Data Analytics Course</v>
          </cell>
          <cell r="C568">
            <v>158</v>
          </cell>
          <cell r="D568">
            <v>158</v>
          </cell>
          <cell r="E568">
            <v>5214</v>
          </cell>
          <cell r="F568">
            <v>5214</v>
          </cell>
          <cell r="G568" t="str">
            <v>$222.28</v>
          </cell>
          <cell r="H568" t="str">
            <v>$222.28</v>
          </cell>
          <cell r="I568">
            <v>21</v>
          </cell>
          <cell r="J568">
            <v>21</v>
          </cell>
          <cell r="K568">
            <v>3</v>
          </cell>
          <cell r="L568">
            <v>3</v>
          </cell>
          <cell r="M568">
            <v>1.8987341772151899E-2</v>
          </cell>
          <cell r="N568">
            <v>1.9E-2</v>
          </cell>
          <cell r="O568" t="str">
            <v>$1630</v>
          </cell>
          <cell r="P568" t="str">
            <v>$1630</v>
          </cell>
          <cell r="Q568">
            <v>45599</v>
          </cell>
          <cell r="R568" t="str">
            <v>Bangaluru</v>
          </cell>
          <cell r="S568" t="str">
            <v>Desktop</v>
          </cell>
          <cell r="T568" t="str">
            <v>data analytics course</v>
          </cell>
        </row>
        <row r="569">
          <cell r="A569" t="str">
            <v>A1567</v>
          </cell>
          <cell r="B569" t="str">
            <v>Data Analytics Course</v>
          </cell>
          <cell r="C569">
            <v>133</v>
          </cell>
          <cell r="D569">
            <v>133</v>
          </cell>
          <cell r="E569">
            <v>5762</v>
          </cell>
          <cell r="F569">
            <v>5762</v>
          </cell>
          <cell r="G569" t="str">
            <v>$196.02</v>
          </cell>
          <cell r="H569" t="str">
            <v>$196.02</v>
          </cell>
          <cell r="I569">
            <v>10</v>
          </cell>
          <cell r="J569">
            <v>10</v>
          </cell>
          <cell r="K569">
            <v>5</v>
          </cell>
          <cell r="L569">
            <v>5</v>
          </cell>
          <cell r="M569">
            <v>3.7593984962406013E-2</v>
          </cell>
          <cell r="N569">
            <v>3.7999999999999999E-2</v>
          </cell>
          <cell r="O569" t="str">
            <v>$1500</v>
          </cell>
          <cell r="Q569">
            <v>45599</v>
          </cell>
          <cell r="R569" t="str">
            <v>Hyderabad</v>
          </cell>
          <cell r="S569" t="str">
            <v>Tablet</v>
          </cell>
          <cell r="T569" t="str">
            <v>data analytics course</v>
          </cell>
        </row>
        <row r="570">
          <cell r="A570" t="str">
            <v>A1568</v>
          </cell>
          <cell r="B570" t="str">
            <v>Data Analytcis Course</v>
          </cell>
          <cell r="C570">
            <v>128</v>
          </cell>
          <cell r="D570">
            <v>128</v>
          </cell>
          <cell r="E570">
            <v>5026</v>
          </cell>
          <cell r="F570">
            <v>5026</v>
          </cell>
          <cell r="G570" t="str">
            <v>$239.88</v>
          </cell>
          <cell r="H570" t="str">
            <v>$239.88</v>
          </cell>
          <cell r="I570">
            <v>15</v>
          </cell>
          <cell r="J570">
            <v>15</v>
          </cell>
          <cell r="K570">
            <v>9</v>
          </cell>
          <cell r="L570">
            <v>9</v>
          </cell>
          <cell r="M570">
            <v>7.03125E-2</v>
          </cell>
          <cell r="N570">
            <v>7.0000000000000007E-2</v>
          </cell>
          <cell r="O570" t="str">
            <v>$1745</v>
          </cell>
          <cell r="P570" t="str">
            <v>$1745</v>
          </cell>
          <cell r="Q570">
            <v>45621</v>
          </cell>
          <cell r="R570" t="str">
            <v>Chennai</v>
          </cell>
          <cell r="S570" t="str">
            <v>Mobile</v>
          </cell>
          <cell r="T570" t="str">
            <v>analytics for data</v>
          </cell>
        </row>
        <row r="571">
          <cell r="A571" t="str">
            <v>A1569</v>
          </cell>
          <cell r="B571" t="str">
            <v>Data Analytcis Course</v>
          </cell>
          <cell r="C571">
            <v>148</v>
          </cell>
          <cell r="D571">
            <v>148</v>
          </cell>
          <cell r="E571">
            <v>3883</v>
          </cell>
          <cell r="F571">
            <v>3883</v>
          </cell>
          <cell r="G571" t="str">
            <v>$181.4</v>
          </cell>
          <cell r="H571" t="str">
            <v>$181.4</v>
          </cell>
          <cell r="I571">
            <v>30</v>
          </cell>
          <cell r="J571">
            <v>30</v>
          </cell>
          <cell r="K571">
            <v>4</v>
          </cell>
          <cell r="L571">
            <v>4</v>
          </cell>
          <cell r="M571">
            <v>2.7027027027027029E-2</v>
          </cell>
          <cell r="N571">
            <v>2.7E-2</v>
          </cell>
          <cell r="O571" t="str">
            <v>$1966</v>
          </cell>
          <cell r="P571" t="str">
            <v>$1966</v>
          </cell>
          <cell r="Q571">
            <v>45612</v>
          </cell>
          <cell r="R571" t="str">
            <v>Bangaluru</v>
          </cell>
          <cell r="S571" t="str">
            <v>Desktop</v>
          </cell>
          <cell r="T571" t="str">
            <v>analytics for data</v>
          </cell>
        </row>
        <row r="572">
          <cell r="A572" t="str">
            <v>A1570</v>
          </cell>
          <cell r="B572" t="str">
            <v>Data Analytics Course</v>
          </cell>
          <cell r="C572">
            <v>92</v>
          </cell>
          <cell r="D572">
            <v>92</v>
          </cell>
          <cell r="E572">
            <v>4605</v>
          </cell>
          <cell r="F572">
            <v>4605</v>
          </cell>
          <cell r="G572" t="str">
            <v>$234.69</v>
          </cell>
          <cell r="H572" t="str">
            <v>$234.69</v>
          </cell>
          <cell r="I572">
            <v>29</v>
          </cell>
          <cell r="J572">
            <v>29</v>
          </cell>
          <cell r="K572">
            <v>3</v>
          </cell>
          <cell r="L572">
            <v>3</v>
          </cell>
          <cell r="M572">
            <v>3.2608695652173912E-2</v>
          </cell>
          <cell r="O572" t="str">
            <v>$1264</v>
          </cell>
          <cell r="P572" t="str">
            <v>$1264</v>
          </cell>
          <cell r="Q572">
            <v>45626</v>
          </cell>
          <cell r="R572" t="str">
            <v>Chennai</v>
          </cell>
          <cell r="S572" t="str">
            <v>Mobile</v>
          </cell>
          <cell r="T572" t="str">
            <v>data analytics training</v>
          </cell>
        </row>
        <row r="573">
          <cell r="A573" t="str">
            <v>A1571</v>
          </cell>
          <cell r="B573" t="str">
            <v>Data Analytics Course</v>
          </cell>
          <cell r="C573">
            <v>147</v>
          </cell>
          <cell r="D573">
            <v>147</v>
          </cell>
          <cell r="E573">
            <v>4523.2808326787117</v>
          </cell>
          <cell r="G573" t="str">
            <v>$205.83</v>
          </cell>
          <cell r="H573" t="str">
            <v>$205.83</v>
          </cell>
          <cell r="I573">
            <v>25</v>
          </cell>
          <cell r="J573">
            <v>25</v>
          </cell>
          <cell r="K573">
            <v>8</v>
          </cell>
          <cell r="L573">
            <v>8</v>
          </cell>
          <cell r="M573">
            <v>5.4421768707482991E-2</v>
          </cell>
          <cell r="O573" t="str">
            <v>$1728</v>
          </cell>
          <cell r="P573" t="str">
            <v>$1728</v>
          </cell>
          <cell r="Q573">
            <v>45598</v>
          </cell>
          <cell r="R573" t="str">
            <v>Bangaluru</v>
          </cell>
          <cell r="S573" t="str">
            <v>Desktop</v>
          </cell>
          <cell r="T573" t="str">
            <v>data analytics course</v>
          </cell>
        </row>
        <row r="574">
          <cell r="A574" t="str">
            <v>A1572</v>
          </cell>
          <cell r="B574" t="str">
            <v>Data Analytics Course</v>
          </cell>
          <cell r="C574">
            <v>136</v>
          </cell>
          <cell r="D574">
            <v>136</v>
          </cell>
          <cell r="E574">
            <v>5454</v>
          </cell>
          <cell r="F574">
            <v>5454</v>
          </cell>
          <cell r="G574" t="str">
            <v>$247.7</v>
          </cell>
          <cell r="H574" t="str">
            <v>$247.7</v>
          </cell>
          <cell r="I574">
            <v>13</v>
          </cell>
          <cell r="J574">
            <v>13</v>
          </cell>
          <cell r="K574">
            <v>6</v>
          </cell>
          <cell r="L574">
            <v>6</v>
          </cell>
          <cell r="M574">
            <v>4.4117647058823532E-2</v>
          </cell>
          <cell r="N574">
            <v>4.3999999999999997E-2</v>
          </cell>
          <cell r="O574" t="str">
            <v>$1687</v>
          </cell>
          <cell r="P574" t="str">
            <v>$1687</v>
          </cell>
          <cell r="Q574">
            <v>45602</v>
          </cell>
          <cell r="R574" t="str">
            <v>Bangaluru</v>
          </cell>
          <cell r="S574" t="str">
            <v>Mobile</v>
          </cell>
          <cell r="T574" t="str">
            <v>data analytics online</v>
          </cell>
        </row>
        <row r="575">
          <cell r="A575" t="str">
            <v>A1573</v>
          </cell>
          <cell r="B575" t="str">
            <v>Data Analytics Course</v>
          </cell>
          <cell r="C575">
            <v>132</v>
          </cell>
          <cell r="D575">
            <v>132</v>
          </cell>
          <cell r="E575">
            <v>4957</v>
          </cell>
          <cell r="F575">
            <v>4957</v>
          </cell>
          <cell r="G575" t="str">
            <v>$220.43</v>
          </cell>
          <cell r="H575" t="str">
            <v>$220.43</v>
          </cell>
          <cell r="I575">
            <v>28</v>
          </cell>
          <cell r="J575">
            <v>28</v>
          </cell>
          <cell r="K575">
            <v>6</v>
          </cell>
          <cell r="L575">
            <v>6</v>
          </cell>
          <cell r="M575">
            <v>4.5454545454545456E-2</v>
          </cell>
          <cell r="N575">
            <v>4.4999999999999998E-2</v>
          </cell>
          <cell r="O575" t="str">
            <v>$1218</v>
          </cell>
          <cell r="P575" t="str">
            <v>$1218</v>
          </cell>
          <cell r="Q575">
            <v>45599</v>
          </cell>
          <cell r="R575" t="str">
            <v>Chennai</v>
          </cell>
          <cell r="S575" t="str">
            <v>Mobile</v>
          </cell>
          <cell r="T575" t="str">
            <v>online data analytic</v>
          </cell>
        </row>
        <row r="576">
          <cell r="A576" t="str">
            <v>A1574</v>
          </cell>
          <cell r="B576" t="str">
            <v>Data Analytics Course</v>
          </cell>
          <cell r="C576">
            <v>173</v>
          </cell>
          <cell r="D576">
            <v>173</v>
          </cell>
          <cell r="E576">
            <v>4523.2808326787117</v>
          </cell>
          <cell r="G576" t="str">
            <v>$241.61</v>
          </cell>
          <cell r="H576" t="str">
            <v>$241.61</v>
          </cell>
          <cell r="I576">
            <v>28</v>
          </cell>
          <cell r="J576">
            <v>28</v>
          </cell>
          <cell r="K576">
            <v>3</v>
          </cell>
          <cell r="L576">
            <v>3</v>
          </cell>
          <cell r="M576">
            <v>1.7341040462427744E-2</v>
          </cell>
          <cell r="N576">
            <v>1.7000000000000001E-2</v>
          </cell>
          <cell r="O576" t="str">
            <v>$1191</v>
          </cell>
          <cell r="P576" t="str">
            <v>$1191</v>
          </cell>
          <cell r="Q576">
            <v>45609</v>
          </cell>
          <cell r="R576" t="str">
            <v>Hyderabad</v>
          </cell>
          <cell r="S576" t="str">
            <v>Tablet</v>
          </cell>
          <cell r="T576" t="str">
            <v>learn data analytics</v>
          </cell>
        </row>
        <row r="577">
          <cell r="A577" t="str">
            <v>A1575</v>
          </cell>
          <cell r="B577" t="str">
            <v>Data Analytics Course</v>
          </cell>
          <cell r="C577">
            <v>85</v>
          </cell>
          <cell r="D577">
            <v>85</v>
          </cell>
          <cell r="E577">
            <v>4747</v>
          </cell>
          <cell r="F577">
            <v>4747</v>
          </cell>
          <cell r="G577" t="str">
            <v>$224.35</v>
          </cell>
          <cell r="H577" t="str">
            <v>$224.35</v>
          </cell>
          <cell r="I577">
            <v>26</v>
          </cell>
          <cell r="J577">
            <v>26</v>
          </cell>
          <cell r="K577">
            <v>5</v>
          </cell>
          <cell r="L577">
            <v>5</v>
          </cell>
          <cell r="M577">
            <v>5.8823529411764705E-2</v>
          </cell>
          <cell r="N577">
            <v>5.8999999999999997E-2</v>
          </cell>
          <cell r="O577" t="str">
            <v>$1087</v>
          </cell>
          <cell r="P577" t="str">
            <v>$1087</v>
          </cell>
          <cell r="Q577">
            <v>45597</v>
          </cell>
          <cell r="R577" t="str">
            <v>Hyderabad</v>
          </cell>
          <cell r="S577" t="str">
            <v>Tablet</v>
          </cell>
          <cell r="T577" t="str">
            <v>data analytics course</v>
          </cell>
        </row>
        <row r="578">
          <cell r="A578" t="str">
            <v>A1576</v>
          </cell>
          <cell r="B578" t="str">
            <v>Data Analytcis Course</v>
          </cell>
          <cell r="C578">
            <v>129</v>
          </cell>
          <cell r="D578">
            <v>129</v>
          </cell>
          <cell r="E578">
            <v>5874</v>
          </cell>
          <cell r="F578">
            <v>5874</v>
          </cell>
          <cell r="G578" t="str">
            <v>$200.17</v>
          </cell>
          <cell r="H578" t="str">
            <v>$200.17</v>
          </cell>
          <cell r="I578">
            <v>12</v>
          </cell>
          <cell r="J578">
            <v>12</v>
          </cell>
          <cell r="K578">
            <v>5</v>
          </cell>
          <cell r="L578">
            <v>5</v>
          </cell>
          <cell r="M578">
            <v>3.875968992248062E-2</v>
          </cell>
          <cell r="N578">
            <v>3.9E-2</v>
          </cell>
          <cell r="O578" t="str">
            <v>$1405</v>
          </cell>
          <cell r="P578" t="str">
            <v>$1405</v>
          </cell>
          <cell r="Q578">
            <v>45625</v>
          </cell>
          <cell r="R578" t="str">
            <v>Hyderabad</v>
          </cell>
          <cell r="S578" t="str">
            <v>Tablet</v>
          </cell>
          <cell r="T578" t="str">
            <v>online data analytic</v>
          </cell>
        </row>
        <row r="579">
          <cell r="A579" t="str">
            <v>A1577</v>
          </cell>
          <cell r="B579" t="str">
            <v>Data Analytics Course</v>
          </cell>
          <cell r="C579">
            <v>181</v>
          </cell>
          <cell r="D579">
            <v>181</v>
          </cell>
          <cell r="E579">
            <v>4730</v>
          </cell>
          <cell r="F579">
            <v>4730</v>
          </cell>
          <cell r="G579" t="str">
            <v>$243.35</v>
          </cell>
          <cell r="H579" t="str">
            <v>$243.35</v>
          </cell>
          <cell r="I579">
            <v>16</v>
          </cell>
          <cell r="J579">
            <v>16</v>
          </cell>
          <cell r="K579">
            <v>4</v>
          </cell>
          <cell r="L579">
            <v>4</v>
          </cell>
          <cell r="M579">
            <v>2.2099447513812154E-2</v>
          </cell>
          <cell r="O579" t="str">
            <v>$1975</v>
          </cell>
          <cell r="P579" t="str">
            <v>$1975</v>
          </cell>
          <cell r="Q579">
            <v>45616</v>
          </cell>
          <cell r="R579" t="str">
            <v>Hyderabad</v>
          </cell>
          <cell r="S579" t="str">
            <v>Mobile</v>
          </cell>
          <cell r="T579" t="str">
            <v>online data analytic</v>
          </cell>
        </row>
        <row r="580">
          <cell r="A580" t="str">
            <v>A1578</v>
          </cell>
          <cell r="B580" t="str">
            <v>Data Analytcis Course</v>
          </cell>
          <cell r="C580">
            <v>85</v>
          </cell>
          <cell r="D580">
            <v>85</v>
          </cell>
          <cell r="E580">
            <v>5341</v>
          </cell>
          <cell r="F580">
            <v>5341</v>
          </cell>
          <cell r="G580" t="str">
            <v>$249.64</v>
          </cell>
          <cell r="H580" t="str">
            <v>$249.64</v>
          </cell>
          <cell r="I580">
            <v>21</v>
          </cell>
          <cell r="J580">
            <v>21</v>
          </cell>
          <cell r="K580">
            <v>6</v>
          </cell>
          <cell r="L580">
            <v>6</v>
          </cell>
          <cell r="M580">
            <v>7.0588235294117646E-2</v>
          </cell>
          <cell r="N580">
            <v>3.2000000000000001E-2</v>
          </cell>
          <cell r="O580" t="str">
            <v>$1388</v>
          </cell>
          <cell r="P580" t="str">
            <v>$1388</v>
          </cell>
          <cell r="Q580">
            <v>45606</v>
          </cell>
          <cell r="R580" t="str">
            <v>Chennai</v>
          </cell>
          <cell r="S580" t="str">
            <v>Mobile</v>
          </cell>
          <cell r="T580" t="str">
            <v>online data analytic</v>
          </cell>
        </row>
        <row r="581">
          <cell r="A581" t="str">
            <v>A1579</v>
          </cell>
          <cell r="B581" t="str">
            <v>Data Analytcis Course</v>
          </cell>
          <cell r="C581">
            <v>92</v>
          </cell>
          <cell r="D581">
            <v>92</v>
          </cell>
          <cell r="E581">
            <v>4327</v>
          </cell>
          <cell r="F581">
            <v>4327</v>
          </cell>
          <cell r="G581" t="str">
            <v>$188.6</v>
          </cell>
          <cell r="H581" t="str">
            <v>$188.6</v>
          </cell>
          <cell r="I581">
            <v>14</v>
          </cell>
          <cell r="J581">
            <v>14</v>
          </cell>
          <cell r="K581">
            <v>7</v>
          </cell>
          <cell r="L581">
            <v>7</v>
          </cell>
          <cell r="M581">
            <v>7.6086956521739135E-2</v>
          </cell>
          <cell r="O581" t="str">
            <v>$1140</v>
          </cell>
          <cell r="P581" t="str">
            <v>$1140</v>
          </cell>
          <cell r="Q581">
            <v>45618</v>
          </cell>
          <cell r="R581" t="str">
            <v>Bangaluru</v>
          </cell>
          <cell r="S581" t="str">
            <v>Tablet</v>
          </cell>
          <cell r="T581" t="str">
            <v>data analytics training</v>
          </cell>
        </row>
        <row r="582">
          <cell r="A582" t="str">
            <v>A1580</v>
          </cell>
          <cell r="B582" t="str">
            <v>Data Analytics Course</v>
          </cell>
          <cell r="C582">
            <v>192</v>
          </cell>
          <cell r="D582">
            <v>192</v>
          </cell>
          <cell r="E582">
            <v>4523.2808326787117</v>
          </cell>
          <cell r="G582" t="str">
            <v>$180.82</v>
          </cell>
          <cell r="H582" t="str">
            <v>$180.82</v>
          </cell>
          <cell r="I582">
            <v>27</v>
          </cell>
          <cell r="J582">
            <v>27</v>
          </cell>
          <cell r="K582">
            <v>4</v>
          </cell>
          <cell r="L582">
            <v>4</v>
          </cell>
          <cell r="M582">
            <v>2.0833333333333332E-2</v>
          </cell>
          <cell r="N582">
            <v>2.1000000000000001E-2</v>
          </cell>
          <cell r="O582" t="str">
            <v>$1847</v>
          </cell>
          <cell r="P582" t="str">
            <v>$1847</v>
          </cell>
          <cell r="Q582">
            <v>45605</v>
          </cell>
          <cell r="R582" t="str">
            <v>Bangaluru</v>
          </cell>
          <cell r="S582" t="str">
            <v>Mobile</v>
          </cell>
          <cell r="T582" t="str">
            <v>data analytics training</v>
          </cell>
        </row>
        <row r="583">
          <cell r="A583" t="str">
            <v>A1581</v>
          </cell>
          <cell r="B583" t="str">
            <v>Data Analytcis Course</v>
          </cell>
          <cell r="C583">
            <v>146</v>
          </cell>
          <cell r="D583">
            <v>146</v>
          </cell>
          <cell r="E583">
            <v>4484</v>
          </cell>
          <cell r="F583">
            <v>4484</v>
          </cell>
          <cell r="G583" t="str">
            <v>$194.67</v>
          </cell>
          <cell r="H583" t="str">
            <v>$194.67</v>
          </cell>
          <cell r="I583">
            <v>27</v>
          </cell>
          <cell r="J583">
            <v>27</v>
          </cell>
          <cell r="K583">
            <v>9</v>
          </cell>
          <cell r="L583">
            <v>9</v>
          </cell>
          <cell r="M583">
            <v>6.1643835616438353E-2</v>
          </cell>
          <cell r="N583">
            <v>5.1999999999999998E-2</v>
          </cell>
          <cell r="O583" t="str">
            <v>$1234</v>
          </cell>
          <cell r="P583" t="str">
            <v>$1234</v>
          </cell>
          <cell r="Q583">
            <v>45598</v>
          </cell>
          <cell r="R583" t="str">
            <v>Chennai</v>
          </cell>
          <cell r="S583" t="str">
            <v>Tablet</v>
          </cell>
          <cell r="T583" t="str">
            <v>data analytics training</v>
          </cell>
        </row>
        <row r="584">
          <cell r="A584" t="str">
            <v>A1582</v>
          </cell>
          <cell r="B584" t="str">
            <v>Data Analytics Course</v>
          </cell>
          <cell r="C584">
            <v>178</v>
          </cell>
          <cell r="D584">
            <v>178</v>
          </cell>
          <cell r="E584">
            <v>4311</v>
          </cell>
          <cell r="F584">
            <v>4311</v>
          </cell>
          <cell r="G584" t="str">
            <v>$205.46</v>
          </cell>
          <cell r="H584" t="str">
            <v>$205.46</v>
          </cell>
          <cell r="I584">
            <v>18</v>
          </cell>
          <cell r="J584">
            <v>18</v>
          </cell>
          <cell r="K584">
            <v>4</v>
          </cell>
          <cell r="L584">
            <v>4</v>
          </cell>
          <cell r="M584">
            <v>2.247191011235955E-2</v>
          </cell>
          <cell r="N584">
            <v>2.1999999999999999E-2</v>
          </cell>
          <cell r="O584" t="str">
            <v>$1671</v>
          </cell>
          <cell r="P584" t="str">
            <v>$1671</v>
          </cell>
          <cell r="Q584">
            <v>45614</v>
          </cell>
          <cell r="R584" t="str">
            <v>Hyderabad</v>
          </cell>
          <cell r="S584" t="str">
            <v>Tablet</v>
          </cell>
          <cell r="T584" t="str">
            <v>analytics for data</v>
          </cell>
        </row>
        <row r="585">
          <cell r="A585" t="str">
            <v>A1583</v>
          </cell>
          <cell r="B585" t="str">
            <v>Data Analytics Course</v>
          </cell>
          <cell r="C585">
            <v>197</v>
          </cell>
          <cell r="D585">
            <v>197</v>
          </cell>
          <cell r="E585">
            <v>3009</v>
          </cell>
          <cell r="F585">
            <v>3009</v>
          </cell>
          <cell r="G585" t="str">
            <v>$233.44</v>
          </cell>
          <cell r="H585" t="str">
            <v>$233.44</v>
          </cell>
          <cell r="I585">
            <v>22</v>
          </cell>
          <cell r="J585">
            <v>22</v>
          </cell>
          <cell r="K585">
            <v>9</v>
          </cell>
          <cell r="L585">
            <v>9</v>
          </cell>
          <cell r="M585">
            <v>4.5685279187817257E-2</v>
          </cell>
          <cell r="N585">
            <v>4.5999999999999999E-2</v>
          </cell>
          <cell r="O585" t="str">
            <v>$1374</v>
          </cell>
          <cell r="P585" t="str">
            <v>$1374</v>
          </cell>
          <cell r="Q585">
            <v>45614</v>
          </cell>
          <cell r="R585" t="str">
            <v>Bangaluru</v>
          </cell>
          <cell r="S585" t="str">
            <v>Tablet</v>
          </cell>
          <cell r="T585" t="str">
            <v>analytics for data</v>
          </cell>
        </row>
        <row r="586">
          <cell r="A586" t="str">
            <v>A1584</v>
          </cell>
          <cell r="B586" t="str">
            <v>Data Analytics Course</v>
          </cell>
          <cell r="C586">
            <v>176</v>
          </cell>
          <cell r="D586">
            <v>176</v>
          </cell>
          <cell r="E586">
            <v>3110</v>
          </cell>
          <cell r="F586">
            <v>3110</v>
          </cell>
          <cell r="G586" t="str">
            <v>$205.23</v>
          </cell>
          <cell r="H586" t="str">
            <v>$205.23</v>
          </cell>
          <cell r="I586">
            <v>23</v>
          </cell>
          <cell r="J586">
            <v>23</v>
          </cell>
          <cell r="K586">
            <v>5</v>
          </cell>
          <cell r="L586">
            <v>5</v>
          </cell>
          <cell r="M586">
            <v>2.8409090909090908E-2</v>
          </cell>
          <cell r="N586">
            <v>2.8000000000000001E-2</v>
          </cell>
          <cell r="O586" t="str">
            <v>$1746</v>
          </cell>
          <cell r="P586" t="str">
            <v>$1746</v>
          </cell>
          <cell r="Q586">
            <v>45615</v>
          </cell>
          <cell r="R586" t="str">
            <v>Hyderabad</v>
          </cell>
          <cell r="S586" t="str">
            <v>Desktop</v>
          </cell>
          <cell r="T586" t="str">
            <v>online data analytic</v>
          </cell>
        </row>
        <row r="587">
          <cell r="A587" t="str">
            <v>A1585</v>
          </cell>
          <cell r="B587" t="str">
            <v>Data Analytics Course</v>
          </cell>
          <cell r="C587">
            <v>98</v>
          </cell>
          <cell r="D587">
            <v>98</v>
          </cell>
          <cell r="E587">
            <v>3365</v>
          </cell>
          <cell r="F587">
            <v>3365</v>
          </cell>
          <cell r="G587" t="str">
            <v>$224.28</v>
          </cell>
          <cell r="H587" t="str">
            <v>$224.28</v>
          </cell>
          <cell r="I587">
            <v>27</v>
          </cell>
          <cell r="J587">
            <v>27</v>
          </cell>
          <cell r="K587">
            <v>9</v>
          </cell>
          <cell r="L587">
            <v>9</v>
          </cell>
          <cell r="M587">
            <v>9.1836734693877556E-2</v>
          </cell>
          <cell r="O587" t="str">
            <v>$1108</v>
          </cell>
          <cell r="P587" t="str">
            <v>$1108</v>
          </cell>
          <cell r="Q587">
            <v>45623</v>
          </cell>
          <cell r="R587" t="str">
            <v>Hyderabad</v>
          </cell>
          <cell r="S587" t="str">
            <v>Desktop</v>
          </cell>
          <cell r="T587" t="str">
            <v>data analytics training</v>
          </cell>
        </row>
        <row r="588">
          <cell r="A588" t="str">
            <v>A1586</v>
          </cell>
          <cell r="B588" t="str">
            <v>Data Analytics Course</v>
          </cell>
          <cell r="C588">
            <v>105</v>
          </cell>
          <cell r="D588">
            <v>105</v>
          </cell>
          <cell r="E588">
            <v>3274</v>
          </cell>
          <cell r="F588">
            <v>3274</v>
          </cell>
          <cell r="G588" t="str">
            <v>$187.89</v>
          </cell>
          <cell r="H588" t="str">
            <v>$187.89</v>
          </cell>
          <cell r="I588">
            <v>24</v>
          </cell>
          <cell r="J588">
            <v>24</v>
          </cell>
          <cell r="K588">
            <v>4</v>
          </cell>
          <cell r="L588">
            <v>4</v>
          </cell>
          <cell r="M588">
            <v>3.8095238095238099E-2</v>
          </cell>
          <cell r="N588">
            <v>3.7999999999999999E-2</v>
          </cell>
          <cell r="O588" t="str">
            <v>$1360</v>
          </cell>
          <cell r="P588" t="str">
            <v>$1360</v>
          </cell>
          <cell r="Q588">
            <v>45605</v>
          </cell>
          <cell r="R588" t="str">
            <v>Hyderabad</v>
          </cell>
          <cell r="S588" t="str">
            <v>Desktop</v>
          </cell>
          <cell r="T588" t="str">
            <v>learn data analytics</v>
          </cell>
        </row>
        <row r="589">
          <cell r="A589" t="str">
            <v>A1587</v>
          </cell>
          <cell r="B589" t="str">
            <v>Data Analytics Course</v>
          </cell>
          <cell r="C589">
            <v>113</v>
          </cell>
          <cell r="D589">
            <v>113</v>
          </cell>
          <cell r="E589">
            <v>3231</v>
          </cell>
          <cell r="F589">
            <v>3231</v>
          </cell>
          <cell r="G589" t="str">
            <v>$210.13</v>
          </cell>
          <cell r="H589" t="str">
            <v>$210.13</v>
          </cell>
          <cell r="I589">
            <v>19</v>
          </cell>
          <cell r="J589">
            <v>19</v>
          </cell>
          <cell r="K589">
            <v>10</v>
          </cell>
          <cell r="L589">
            <v>10</v>
          </cell>
          <cell r="M589">
            <v>8.8495575221238937E-2</v>
          </cell>
          <cell r="N589">
            <v>4.1000000000000002E-2</v>
          </cell>
          <cell r="O589" t="str">
            <v>$1234</v>
          </cell>
          <cell r="P589" t="str">
            <v>$1234</v>
          </cell>
          <cell r="Q589">
            <v>45611</v>
          </cell>
          <cell r="R589" t="str">
            <v>Chennai</v>
          </cell>
          <cell r="S589" t="str">
            <v>Desktop</v>
          </cell>
          <cell r="T589" t="str">
            <v>online data analytic</v>
          </cell>
        </row>
        <row r="590">
          <cell r="A590" t="str">
            <v>A1588</v>
          </cell>
          <cell r="B590" t="str">
            <v>Data Analytics Course</v>
          </cell>
          <cell r="C590">
            <v>138.95699356913184</v>
          </cell>
          <cell r="E590">
            <v>3440</v>
          </cell>
          <cell r="F590">
            <v>3440</v>
          </cell>
          <cell r="G590" t="str">
            <v>$246.53</v>
          </cell>
          <cell r="H590" t="str">
            <v>$246.53</v>
          </cell>
          <cell r="I590">
            <v>13</v>
          </cell>
          <cell r="J590">
            <v>13</v>
          </cell>
          <cell r="K590">
            <v>10</v>
          </cell>
          <cell r="L590">
            <v>10</v>
          </cell>
          <cell r="M590">
            <v>7.1964711837443046E-2</v>
          </cell>
          <cell r="O590" t="str">
            <v>$1217</v>
          </cell>
          <cell r="P590" t="str">
            <v>$1217</v>
          </cell>
          <cell r="Q590">
            <v>45623</v>
          </cell>
          <cell r="R590" t="str">
            <v>Hyderabad</v>
          </cell>
          <cell r="S590" t="str">
            <v>Tablet</v>
          </cell>
          <cell r="T590" t="str">
            <v>online data analytic</v>
          </cell>
        </row>
        <row r="591">
          <cell r="A591" t="str">
            <v>A1589</v>
          </cell>
          <cell r="B591" t="str">
            <v>Data Analytcis Course</v>
          </cell>
          <cell r="C591">
            <v>88</v>
          </cell>
          <cell r="D591">
            <v>88</v>
          </cell>
          <cell r="E591">
            <v>5196</v>
          </cell>
          <cell r="F591">
            <v>5196</v>
          </cell>
          <cell r="G591" t="str">
            <v>$197.32</v>
          </cell>
          <cell r="H591" t="str">
            <v>$197.32</v>
          </cell>
          <cell r="I591">
            <v>26</v>
          </cell>
          <cell r="J591">
            <v>26</v>
          </cell>
          <cell r="K591">
            <v>5</v>
          </cell>
          <cell r="L591">
            <v>5</v>
          </cell>
          <cell r="M591">
            <v>5.6818181818181816E-2</v>
          </cell>
          <cell r="N591">
            <v>5.7000000000000002E-2</v>
          </cell>
          <cell r="O591" t="str">
            <v>$1438</v>
          </cell>
          <cell r="P591" t="str">
            <v>$1438</v>
          </cell>
          <cell r="Q591">
            <v>45599</v>
          </cell>
          <cell r="R591" t="str">
            <v>Bangaluru</v>
          </cell>
          <cell r="S591" t="str">
            <v>Desktop</v>
          </cell>
          <cell r="T591" t="str">
            <v>online data analytic</v>
          </cell>
        </row>
        <row r="592">
          <cell r="A592" t="str">
            <v>A1590</v>
          </cell>
          <cell r="B592" t="str">
            <v>Data Analytics Course</v>
          </cell>
          <cell r="C592">
            <v>106</v>
          </cell>
          <cell r="D592">
            <v>106</v>
          </cell>
          <cell r="E592">
            <v>5321</v>
          </cell>
          <cell r="F592">
            <v>5321</v>
          </cell>
          <cell r="G592" t="str">
            <v>$239.76</v>
          </cell>
          <cell r="H592" t="str">
            <v>$239.76</v>
          </cell>
          <cell r="I592">
            <v>11</v>
          </cell>
          <cell r="J592">
            <v>11</v>
          </cell>
          <cell r="K592">
            <v>7</v>
          </cell>
          <cell r="L592">
            <v>7</v>
          </cell>
          <cell r="M592">
            <v>6.6037735849056603E-2</v>
          </cell>
          <cell r="N592">
            <v>6.6000000000000003E-2</v>
          </cell>
          <cell r="O592" t="str">
            <v>$1910</v>
          </cell>
          <cell r="P592" t="str">
            <v>$1910</v>
          </cell>
          <cell r="Q592">
            <v>45620</v>
          </cell>
          <cell r="R592" t="str">
            <v>Bangaluru</v>
          </cell>
          <cell r="S592" t="str">
            <v>Desktop</v>
          </cell>
          <cell r="T592" t="str">
            <v>data analytics training</v>
          </cell>
        </row>
        <row r="593">
          <cell r="A593" t="str">
            <v>A1591</v>
          </cell>
          <cell r="B593" t="str">
            <v>Data Analytics Course</v>
          </cell>
          <cell r="C593">
            <v>148</v>
          </cell>
          <cell r="D593">
            <v>148</v>
          </cell>
          <cell r="E593">
            <v>5841</v>
          </cell>
          <cell r="F593">
            <v>5841</v>
          </cell>
          <cell r="G593" t="str">
            <v>$243.09</v>
          </cell>
          <cell r="H593" t="str">
            <v>$243.09</v>
          </cell>
          <cell r="I593">
            <v>15</v>
          </cell>
          <cell r="J593">
            <v>15</v>
          </cell>
          <cell r="K593">
            <v>7</v>
          </cell>
          <cell r="L593">
            <v>7</v>
          </cell>
          <cell r="M593">
            <v>4.72972972972973E-2</v>
          </cell>
          <cell r="N593">
            <v>4.7E-2</v>
          </cell>
          <cell r="O593" t="str">
            <v>$1535</v>
          </cell>
          <cell r="P593" t="str">
            <v>$1535</v>
          </cell>
          <cell r="Q593">
            <v>45625</v>
          </cell>
          <cell r="R593" t="str">
            <v>Hyderabad</v>
          </cell>
          <cell r="S593" t="str">
            <v>Mobile</v>
          </cell>
          <cell r="T593" t="str">
            <v>data analytics online</v>
          </cell>
        </row>
        <row r="594">
          <cell r="A594" t="str">
            <v>A1592</v>
          </cell>
          <cell r="B594" t="str">
            <v>Data Analytcis Course</v>
          </cell>
          <cell r="C594">
            <v>174</v>
          </cell>
          <cell r="D594">
            <v>174</v>
          </cell>
          <cell r="E594">
            <v>4523.2808326787117</v>
          </cell>
          <cell r="G594" t="str">
            <v>$227.96</v>
          </cell>
          <cell r="H594" t="str">
            <v>$227.96</v>
          </cell>
          <cell r="I594">
            <v>25</v>
          </cell>
          <cell r="J594">
            <v>25</v>
          </cell>
          <cell r="K594">
            <v>5</v>
          </cell>
          <cell r="L594">
            <v>5</v>
          </cell>
          <cell r="M594">
            <v>2.8735632183908046E-2</v>
          </cell>
          <cell r="N594">
            <v>2.9000000000000001E-2</v>
          </cell>
          <cell r="O594" t="str">
            <v>$1566</v>
          </cell>
          <cell r="P594" t="str">
            <v>$1566</v>
          </cell>
          <cell r="Q594">
            <v>45611</v>
          </cell>
          <cell r="R594" t="str">
            <v>Chennai</v>
          </cell>
          <cell r="S594" t="str">
            <v>Tablet</v>
          </cell>
          <cell r="T594" t="str">
            <v>online data analytic</v>
          </cell>
        </row>
        <row r="595">
          <cell r="A595" t="str">
            <v>A1593</v>
          </cell>
          <cell r="B595" t="str">
            <v>Data Analytics Course</v>
          </cell>
          <cell r="C595">
            <v>196</v>
          </cell>
          <cell r="D595">
            <v>196</v>
          </cell>
          <cell r="E595">
            <v>5776</v>
          </cell>
          <cell r="F595">
            <v>5776</v>
          </cell>
          <cell r="G595" t="str">
            <v>$227.24</v>
          </cell>
          <cell r="H595" t="str">
            <v>$227.24</v>
          </cell>
          <cell r="I595">
            <v>30</v>
          </cell>
          <cell r="J595">
            <v>30</v>
          </cell>
          <cell r="K595">
            <v>4</v>
          </cell>
          <cell r="L595">
            <v>4</v>
          </cell>
          <cell r="M595">
            <v>2.0408163265306121E-2</v>
          </cell>
          <cell r="N595">
            <v>0.02</v>
          </cell>
          <cell r="O595" t="str">
            <v>$1500</v>
          </cell>
          <cell r="Q595">
            <v>45600</v>
          </cell>
          <cell r="R595" t="str">
            <v>Hyderabad</v>
          </cell>
          <cell r="S595" t="str">
            <v>Mobile</v>
          </cell>
          <cell r="T595" t="str">
            <v>data analytics training</v>
          </cell>
        </row>
        <row r="596">
          <cell r="A596" t="str">
            <v>A1594</v>
          </cell>
          <cell r="B596" t="str">
            <v>Data Analytics Course</v>
          </cell>
          <cell r="C596">
            <v>128</v>
          </cell>
          <cell r="D596">
            <v>128</v>
          </cell>
          <cell r="E596">
            <v>4729</v>
          </cell>
          <cell r="F596">
            <v>4729</v>
          </cell>
          <cell r="G596" t="str">
            <v>$243.45</v>
          </cell>
          <cell r="H596" t="str">
            <v>$243.45</v>
          </cell>
          <cell r="I596">
            <v>25</v>
          </cell>
          <cell r="J596">
            <v>25</v>
          </cell>
          <cell r="K596">
            <v>9</v>
          </cell>
          <cell r="L596">
            <v>9</v>
          </cell>
          <cell r="M596">
            <v>7.03125E-2</v>
          </cell>
          <cell r="N596">
            <v>3.1E-2</v>
          </cell>
          <cell r="O596" t="str">
            <v>$1782</v>
          </cell>
          <cell r="P596" t="str">
            <v>$1782</v>
          </cell>
          <cell r="Q596">
            <v>45619</v>
          </cell>
          <cell r="R596" t="str">
            <v>Bangaluru</v>
          </cell>
          <cell r="S596" t="str">
            <v>Desktop</v>
          </cell>
          <cell r="T596" t="str">
            <v>learn data analytics</v>
          </cell>
        </row>
        <row r="597">
          <cell r="A597" t="str">
            <v>A1595</v>
          </cell>
          <cell r="B597" t="str">
            <v>Data Analytcis Course</v>
          </cell>
          <cell r="C597">
            <v>163</v>
          </cell>
          <cell r="D597">
            <v>163</v>
          </cell>
          <cell r="E597">
            <v>5371</v>
          </cell>
          <cell r="F597">
            <v>5371</v>
          </cell>
          <cell r="G597" t="str">
            <v>$215.89</v>
          </cell>
          <cell r="H597" t="str">
            <v>$215.89</v>
          </cell>
          <cell r="I597">
            <v>29</v>
          </cell>
          <cell r="J597">
            <v>29</v>
          </cell>
          <cell r="K597">
            <v>7</v>
          </cell>
          <cell r="L597">
            <v>7</v>
          </cell>
          <cell r="M597">
            <v>4.2944785276073622E-2</v>
          </cell>
          <cell r="N597">
            <v>4.2999999999999997E-2</v>
          </cell>
          <cell r="O597" t="str">
            <v>$1906</v>
          </cell>
          <cell r="P597" t="str">
            <v>$1906</v>
          </cell>
          <cell r="Q597">
            <v>45601</v>
          </cell>
          <cell r="R597" t="str">
            <v>Bangaluru</v>
          </cell>
          <cell r="S597" t="str">
            <v>Tablet</v>
          </cell>
          <cell r="T597" t="str">
            <v>data analytics course</v>
          </cell>
        </row>
        <row r="598">
          <cell r="A598" t="str">
            <v>A1596</v>
          </cell>
          <cell r="B598" t="str">
            <v>Data Analytics Course</v>
          </cell>
          <cell r="C598">
            <v>183</v>
          </cell>
          <cell r="D598">
            <v>183</v>
          </cell>
          <cell r="E598">
            <v>5268</v>
          </cell>
          <cell r="F598">
            <v>5268</v>
          </cell>
          <cell r="G598" t="str">
            <v>$203.65</v>
          </cell>
          <cell r="H598" t="str">
            <v>$203.65</v>
          </cell>
          <cell r="I598">
            <v>17</v>
          </cell>
          <cell r="J598">
            <v>17</v>
          </cell>
          <cell r="K598">
            <v>5</v>
          </cell>
          <cell r="L598">
            <v>5</v>
          </cell>
          <cell r="M598">
            <v>2.7322404371584699E-2</v>
          </cell>
          <cell r="N598">
            <v>2.7E-2</v>
          </cell>
          <cell r="O598" t="str">
            <v>$1731</v>
          </cell>
          <cell r="P598" t="str">
            <v>$1731</v>
          </cell>
          <cell r="Q598">
            <v>45608</v>
          </cell>
          <cell r="R598" t="str">
            <v>Hyderabad</v>
          </cell>
          <cell r="S598" t="str">
            <v>Mobile</v>
          </cell>
          <cell r="T598" t="str">
            <v>learn data analytics</v>
          </cell>
        </row>
        <row r="599">
          <cell r="A599" t="str">
            <v>A1597</v>
          </cell>
          <cell r="B599" t="str">
            <v>Data Analytics Course</v>
          </cell>
          <cell r="C599">
            <v>196</v>
          </cell>
          <cell r="D599">
            <v>196</v>
          </cell>
          <cell r="E599">
            <v>5386</v>
          </cell>
          <cell r="F599">
            <v>5386</v>
          </cell>
          <cell r="G599" t="str">
            <v>$224.31</v>
          </cell>
          <cell r="H599" t="str">
            <v>$224.31</v>
          </cell>
          <cell r="I599">
            <v>23</v>
          </cell>
          <cell r="J599">
            <v>23</v>
          </cell>
          <cell r="K599">
            <v>4</v>
          </cell>
          <cell r="L599">
            <v>4</v>
          </cell>
          <cell r="M599">
            <v>2.0408163265306121E-2</v>
          </cell>
          <cell r="N599">
            <v>0.02</v>
          </cell>
          <cell r="O599" t="str">
            <v>$1423</v>
          </cell>
          <cell r="P599" t="str">
            <v>$1423</v>
          </cell>
          <cell r="Q599">
            <v>45626</v>
          </cell>
          <cell r="R599" t="str">
            <v>Hyderabad</v>
          </cell>
          <cell r="S599" t="str">
            <v>Tablet</v>
          </cell>
          <cell r="T599" t="str">
            <v>learn data analytics</v>
          </cell>
        </row>
        <row r="600">
          <cell r="A600" t="str">
            <v>A1598</v>
          </cell>
          <cell r="B600" t="str">
            <v>Data Analytics Course</v>
          </cell>
          <cell r="C600">
            <v>121</v>
          </cell>
          <cell r="D600">
            <v>121</v>
          </cell>
          <cell r="E600">
            <v>4432</v>
          </cell>
          <cell r="F600">
            <v>4432</v>
          </cell>
          <cell r="G600" t="str">
            <v>$218.71</v>
          </cell>
          <cell r="H600" t="str">
            <v>$218.71</v>
          </cell>
          <cell r="I600">
            <v>25</v>
          </cell>
          <cell r="J600">
            <v>25</v>
          </cell>
          <cell r="K600">
            <v>10</v>
          </cell>
          <cell r="L600">
            <v>10</v>
          </cell>
          <cell r="M600">
            <v>8.2644628099173556E-2</v>
          </cell>
          <cell r="O600" t="str">
            <v>$1568</v>
          </cell>
          <cell r="P600" t="str">
            <v>$1568</v>
          </cell>
          <cell r="Q600">
            <v>45609</v>
          </cell>
          <cell r="R600" t="str">
            <v>Bangaluru</v>
          </cell>
          <cell r="S600" t="str">
            <v>Desktop</v>
          </cell>
          <cell r="T600" t="str">
            <v>analytics for data</v>
          </cell>
        </row>
        <row r="601">
          <cell r="A601" t="str">
            <v>A1599</v>
          </cell>
          <cell r="B601" t="str">
            <v>Data Analytics Course</v>
          </cell>
          <cell r="C601">
            <v>174</v>
          </cell>
          <cell r="D601">
            <v>174</v>
          </cell>
          <cell r="E601">
            <v>3031</v>
          </cell>
          <cell r="F601">
            <v>3031</v>
          </cell>
          <cell r="G601" t="str">
            <v>$242.32</v>
          </cell>
          <cell r="H601" t="str">
            <v>$242.32</v>
          </cell>
          <cell r="I601">
            <v>25</v>
          </cell>
          <cell r="J601">
            <v>25</v>
          </cell>
          <cell r="K601">
            <v>6</v>
          </cell>
          <cell r="L601">
            <v>6</v>
          </cell>
          <cell r="M601">
            <v>3.4482758620689655E-2</v>
          </cell>
          <cell r="N601">
            <v>3.4000000000000002E-2</v>
          </cell>
          <cell r="O601" t="str">
            <v>$1381</v>
          </cell>
          <cell r="P601" t="str">
            <v>$1381</v>
          </cell>
          <cell r="Q601">
            <v>45604</v>
          </cell>
          <cell r="R601" t="str">
            <v>Hyderabad</v>
          </cell>
          <cell r="S601" t="str">
            <v>Mobile</v>
          </cell>
          <cell r="T601" t="str">
            <v>online data analytic</v>
          </cell>
        </row>
        <row r="602">
          <cell r="A602" t="str">
            <v>A1600</v>
          </cell>
          <cell r="B602" t="str">
            <v>Data Analytics Course</v>
          </cell>
          <cell r="C602">
            <v>142</v>
          </cell>
          <cell r="D602">
            <v>142</v>
          </cell>
          <cell r="E602">
            <v>5999</v>
          </cell>
          <cell r="F602">
            <v>5999</v>
          </cell>
          <cell r="G602" t="str">
            <v>$214.05</v>
          </cell>
          <cell r="H602" t="str">
            <v>$214.05</v>
          </cell>
          <cell r="I602">
            <v>27</v>
          </cell>
          <cell r="J602">
            <v>27</v>
          </cell>
          <cell r="K602">
            <v>6.5154958677685952</v>
          </cell>
          <cell r="M602">
            <v>4.5883773716680246E-2</v>
          </cell>
          <cell r="O602" t="str">
            <v>$1064</v>
          </cell>
          <cell r="P602" t="str">
            <v>$1064</v>
          </cell>
          <cell r="Q602">
            <v>45617</v>
          </cell>
          <cell r="R602" t="str">
            <v>Hyderabad</v>
          </cell>
          <cell r="S602" t="str">
            <v>Desktop</v>
          </cell>
          <cell r="T602" t="str">
            <v>analytics for data</v>
          </cell>
        </row>
        <row r="603">
          <cell r="A603" t="str">
            <v>A1601</v>
          </cell>
          <cell r="B603" t="str">
            <v>Data Analytics Course</v>
          </cell>
          <cell r="C603">
            <v>118</v>
          </cell>
          <cell r="D603">
            <v>118</v>
          </cell>
          <cell r="E603">
            <v>3274</v>
          </cell>
          <cell r="F603">
            <v>3274</v>
          </cell>
          <cell r="G603" t="str">
            <v>$222.62</v>
          </cell>
          <cell r="H603" t="str">
            <v>$222.62</v>
          </cell>
          <cell r="I603">
            <v>10</v>
          </cell>
          <cell r="J603">
            <v>10</v>
          </cell>
          <cell r="K603">
            <v>3</v>
          </cell>
          <cell r="L603">
            <v>3</v>
          </cell>
          <cell r="M603">
            <v>2.5423728813559324E-2</v>
          </cell>
          <cell r="N603">
            <v>2.5000000000000001E-2</v>
          </cell>
          <cell r="O603" t="str">
            <v>$1716</v>
          </cell>
          <cell r="P603" t="str">
            <v>$1716</v>
          </cell>
          <cell r="Q603">
            <v>45605</v>
          </cell>
          <cell r="R603" t="str">
            <v>Chennai</v>
          </cell>
          <cell r="S603" t="str">
            <v>Tablet</v>
          </cell>
          <cell r="T603" t="str">
            <v>analytics for data</v>
          </cell>
        </row>
        <row r="604">
          <cell r="A604" t="str">
            <v>A1602</v>
          </cell>
          <cell r="B604" t="str">
            <v>Data Analytics Course</v>
          </cell>
          <cell r="C604">
            <v>118</v>
          </cell>
          <cell r="D604">
            <v>118</v>
          </cell>
          <cell r="E604">
            <v>5889</v>
          </cell>
          <cell r="F604">
            <v>5889</v>
          </cell>
          <cell r="G604" t="str">
            <v>$193.01</v>
          </cell>
          <cell r="H604" t="str">
            <v>$193.01</v>
          </cell>
          <cell r="I604">
            <v>17</v>
          </cell>
          <cell r="J604">
            <v>17</v>
          </cell>
          <cell r="K604">
            <v>10</v>
          </cell>
          <cell r="L604">
            <v>10</v>
          </cell>
          <cell r="M604">
            <v>8.4745762711864403E-2</v>
          </cell>
          <cell r="N604">
            <v>8.5000000000000006E-2</v>
          </cell>
          <cell r="O604" t="str">
            <v>$1789</v>
          </cell>
          <cell r="P604" t="str">
            <v>$1789</v>
          </cell>
          <cell r="Q604">
            <v>45606</v>
          </cell>
          <cell r="R604" t="str">
            <v>Hyderabad</v>
          </cell>
          <cell r="S604" t="str">
            <v>Desktop</v>
          </cell>
          <cell r="T604" t="str">
            <v>online data analytic</v>
          </cell>
        </row>
        <row r="605">
          <cell r="A605" t="str">
            <v>A1603</v>
          </cell>
          <cell r="B605" t="str">
            <v>Data Analytics Course</v>
          </cell>
          <cell r="C605">
            <v>149</v>
          </cell>
          <cell r="D605">
            <v>149</v>
          </cell>
          <cell r="E605">
            <v>5601</v>
          </cell>
          <cell r="F605">
            <v>5601</v>
          </cell>
          <cell r="G605" t="str">
            <v>$222.01</v>
          </cell>
          <cell r="H605" t="str">
            <v>$222.01</v>
          </cell>
          <cell r="I605">
            <v>15</v>
          </cell>
          <cell r="J605">
            <v>15</v>
          </cell>
          <cell r="K605">
            <v>6</v>
          </cell>
          <cell r="L605">
            <v>6</v>
          </cell>
          <cell r="M605">
            <v>4.0268456375838924E-2</v>
          </cell>
          <cell r="N605">
            <v>0.04</v>
          </cell>
          <cell r="O605" t="str">
            <v>$1514</v>
          </cell>
          <cell r="P605" t="str">
            <v>$1514</v>
          </cell>
          <cell r="Q605">
            <v>45621</v>
          </cell>
          <cell r="R605" t="str">
            <v>Bangaluru</v>
          </cell>
          <cell r="S605" t="str">
            <v>Desktop</v>
          </cell>
          <cell r="T605" t="str">
            <v>analytics for data</v>
          </cell>
        </row>
        <row r="606">
          <cell r="A606" t="str">
            <v>A1604</v>
          </cell>
          <cell r="B606" t="str">
            <v>Data Analytics Course</v>
          </cell>
          <cell r="C606">
            <v>127</v>
          </cell>
          <cell r="D606">
            <v>127</v>
          </cell>
          <cell r="E606">
            <v>4295</v>
          </cell>
          <cell r="F606">
            <v>4295</v>
          </cell>
          <cell r="G606" t="str">
            <v>$212.6</v>
          </cell>
          <cell r="H606" t="str">
            <v>$212.6</v>
          </cell>
          <cell r="I606">
            <v>26</v>
          </cell>
          <cell r="J606">
            <v>26</v>
          </cell>
          <cell r="K606">
            <v>10</v>
          </cell>
          <cell r="L606">
            <v>10</v>
          </cell>
          <cell r="M606">
            <v>7.874015748031496E-2</v>
          </cell>
          <cell r="N606">
            <v>7.9000000000000001E-2</v>
          </cell>
          <cell r="O606" t="str">
            <v>$1713</v>
          </cell>
          <cell r="P606" t="str">
            <v>$1713</v>
          </cell>
          <cell r="Q606">
            <v>45615</v>
          </cell>
          <cell r="R606" t="str">
            <v>Hyderabad</v>
          </cell>
          <cell r="S606" t="str">
            <v>Tablet</v>
          </cell>
          <cell r="T606" t="str">
            <v>data analytics course</v>
          </cell>
        </row>
        <row r="607">
          <cell r="A607" t="str">
            <v>A1605</v>
          </cell>
          <cell r="B607" t="str">
            <v>Data Analytics Course</v>
          </cell>
          <cell r="C607">
            <v>195</v>
          </cell>
          <cell r="D607">
            <v>195</v>
          </cell>
          <cell r="E607">
            <v>5135</v>
          </cell>
          <cell r="F607">
            <v>5135</v>
          </cell>
          <cell r="G607" t="str">
            <v>$226.37</v>
          </cell>
          <cell r="H607" t="str">
            <v>$226.37</v>
          </cell>
          <cell r="I607">
            <v>17</v>
          </cell>
          <cell r="J607">
            <v>17</v>
          </cell>
          <cell r="K607">
            <v>3</v>
          </cell>
          <cell r="L607">
            <v>3</v>
          </cell>
          <cell r="M607">
            <v>1.5384615384615385E-2</v>
          </cell>
          <cell r="O607" t="str">
            <v>$1500</v>
          </cell>
          <cell r="Q607">
            <v>45620</v>
          </cell>
          <cell r="R607" t="str">
            <v>Chennai</v>
          </cell>
          <cell r="S607" t="str">
            <v>Desktop</v>
          </cell>
          <cell r="T607" t="str">
            <v>data analytics training</v>
          </cell>
        </row>
        <row r="608">
          <cell r="A608" t="str">
            <v>A1606</v>
          </cell>
          <cell r="B608" t="str">
            <v>Data Analytics Course</v>
          </cell>
          <cell r="C608">
            <v>173</v>
          </cell>
          <cell r="D608">
            <v>173</v>
          </cell>
          <cell r="E608">
            <v>5233</v>
          </cell>
          <cell r="F608">
            <v>5233</v>
          </cell>
          <cell r="G608" t="str">
            <v>$229.38</v>
          </cell>
          <cell r="H608" t="str">
            <v>$229.38</v>
          </cell>
          <cell r="I608">
            <v>28</v>
          </cell>
          <cell r="J608">
            <v>28</v>
          </cell>
          <cell r="K608">
            <v>7</v>
          </cell>
          <cell r="L608">
            <v>7</v>
          </cell>
          <cell r="M608">
            <v>4.046242774566474E-2</v>
          </cell>
          <cell r="O608" t="str">
            <v>$1322</v>
          </cell>
          <cell r="P608" t="str">
            <v>$1322</v>
          </cell>
          <cell r="Q608">
            <v>45612</v>
          </cell>
          <cell r="R608" t="str">
            <v>Hyderabad</v>
          </cell>
          <cell r="S608" t="str">
            <v>Mobile</v>
          </cell>
          <cell r="T608" t="str">
            <v>learn data analytics</v>
          </cell>
        </row>
        <row r="609">
          <cell r="A609" t="str">
            <v>A1607</v>
          </cell>
          <cell r="B609" t="str">
            <v>Data Analytics Course</v>
          </cell>
          <cell r="C609">
            <v>131</v>
          </cell>
          <cell r="D609">
            <v>131</v>
          </cell>
          <cell r="E609">
            <v>5727</v>
          </cell>
          <cell r="F609">
            <v>5727</v>
          </cell>
          <cell r="G609" t="str">
            <v>$218.65</v>
          </cell>
          <cell r="H609" t="str">
            <v>$218.65</v>
          </cell>
          <cell r="I609">
            <v>28</v>
          </cell>
          <cell r="J609">
            <v>28</v>
          </cell>
          <cell r="K609">
            <v>4</v>
          </cell>
          <cell r="L609">
            <v>4</v>
          </cell>
          <cell r="M609">
            <v>3.0534351145038167E-2</v>
          </cell>
          <cell r="N609">
            <v>3.1E-2</v>
          </cell>
          <cell r="O609" t="str">
            <v>$1631</v>
          </cell>
          <cell r="P609" t="str">
            <v>$1631</v>
          </cell>
          <cell r="Q609">
            <v>45603</v>
          </cell>
          <cell r="R609" t="str">
            <v>Bangaluru</v>
          </cell>
          <cell r="S609" t="str">
            <v>Mobile</v>
          </cell>
          <cell r="T609" t="str">
            <v>data analytics training</v>
          </cell>
        </row>
        <row r="610">
          <cell r="A610" t="str">
            <v>A1608</v>
          </cell>
          <cell r="B610" t="str">
            <v>Data Analytics Course</v>
          </cell>
          <cell r="C610">
            <v>105</v>
          </cell>
          <cell r="D610">
            <v>105</v>
          </cell>
          <cell r="E610">
            <v>4691</v>
          </cell>
          <cell r="F610">
            <v>4691</v>
          </cell>
          <cell r="G610" t="str">
            <v>$213.15</v>
          </cell>
          <cell r="H610" t="str">
            <v>$213.15</v>
          </cell>
          <cell r="I610">
            <v>21</v>
          </cell>
          <cell r="J610">
            <v>21</v>
          </cell>
          <cell r="K610">
            <v>3</v>
          </cell>
          <cell r="L610">
            <v>3</v>
          </cell>
          <cell r="M610">
            <v>2.8571428571428571E-2</v>
          </cell>
          <cell r="N610">
            <v>3.5000000000000003E-2</v>
          </cell>
          <cell r="O610" t="str">
            <v>$1276</v>
          </cell>
          <cell r="P610" t="str">
            <v>$1276</v>
          </cell>
          <cell r="Q610">
            <v>45618</v>
          </cell>
          <cell r="R610" t="str">
            <v>Hyderabad</v>
          </cell>
          <cell r="S610" t="str">
            <v>Desktop</v>
          </cell>
          <cell r="T610" t="str">
            <v>analytics for data</v>
          </cell>
        </row>
        <row r="611">
          <cell r="A611" t="str">
            <v>A1609</v>
          </cell>
          <cell r="B611" t="str">
            <v>Data Analytcis Course</v>
          </cell>
          <cell r="C611">
            <v>104</v>
          </cell>
          <cell r="D611">
            <v>104</v>
          </cell>
          <cell r="E611">
            <v>3409</v>
          </cell>
          <cell r="F611">
            <v>3409</v>
          </cell>
          <cell r="G611" t="str">
            <v>$207.63</v>
          </cell>
          <cell r="H611" t="str">
            <v>$207.63</v>
          </cell>
          <cell r="I611">
            <v>19</v>
          </cell>
          <cell r="J611">
            <v>19</v>
          </cell>
          <cell r="K611">
            <v>4</v>
          </cell>
          <cell r="L611">
            <v>4</v>
          </cell>
          <cell r="M611">
            <v>3.8461538461538464E-2</v>
          </cell>
          <cell r="O611" t="str">
            <v>$1195</v>
          </cell>
          <cell r="P611" t="str">
            <v>$1195</v>
          </cell>
          <cell r="Q611">
            <v>45612</v>
          </cell>
          <cell r="R611" t="str">
            <v>Bangaluru</v>
          </cell>
          <cell r="S611" t="str">
            <v>Mobile</v>
          </cell>
          <cell r="T611" t="str">
            <v>analytics for data</v>
          </cell>
        </row>
        <row r="612">
          <cell r="A612" t="str">
            <v>A1610</v>
          </cell>
          <cell r="B612" t="str">
            <v>Data Analytics Course</v>
          </cell>
          <cell r="C612">
            <v>139</v>
          </cell>
          <cell r="D612">
            <v>139</v>
          </cell>
          <cell r="E612">
            <v>4333</v>
          </cell>
          <cell r="F612">
            <v>4333</v>
          </cell>
          <cell r="G612" t="str">
            <v>$230.05</v>
          </cell>
          <cell r="H612" t="str">
            <v>$230.05</v>
          </cell>
          <cell r="I612">
            <v>19</v>
          </cell>
          <cell r="J612">
            <v>19</v>
          </cell>
          <cell r="K612">
            <v>6</v>
          </cell>
          <cell r="L612">
            <v>6</v>
          </cell>
          <cell r="M612">
            <v>4.3165467625899283E-2</v>
          </cell>
          <cell r="N612">
            <v>4.2999999999999997E-2</v>
          </cell>
          <cell r="O612" t="str">
            <v>$1407</v>
          </cell>
          <cell r="P612" t="str">
            <v>$1407</v>
          </cell>
          <cell r="Q612">
            <v>45617</v>
          </cell>
          <cell r="R612" t="str">
            <v>Chennai</v>
          </cell>
          <cell r="S612" t="str">
            <v>Desktop</v>
          </cell>
          <cell r="T612" t="str">
            <v>analytics for data</v>
          </cell>
        </row>
        <row r="613">
          <cell r="A613" t="str">
            <v>A1611</v>
          </cell>
          <cell r="B613" t="str">
            <v>Data Analytcis Course</v>
          </cell>
          <cell r="C613">
            <v>110</v>
          </cell>
          <cell r="D613">
            <v>110</v>
          </cell>
          <cell r="E613">
            <v>4430</v>
          </cell>
          <cell r="F613">
            <v>4430</v>
          </cell>
          <cell r="G613" t="str">
            <v>$197.84</v>
          </cell>
          <cell r="H613" t="str">
            <v>$197.84</v>
          </cell>
          <cell r="I613">
            <v>23</v>
          </cell>
          <cell r="J613">
            <v>23</v>
          </cell>
          <cell r="K613">
            <v>5</v>
          </cell>
          <cell r="L613">
            <v>5</v>
          </cell>
          <cell r="M613">
            <v>4.5454545454545456E-2</v>
          </cell>
          <cell r="N613">
            <v>4.4999999999999998E-2</v>
          </cell>
          <cell r="O613" t="str">
            <v>$1500</v>
          </cell>
          <cell r="Q613">
            <v>45611</v>
          </cell>
          <cell r="R613" t="str">
            <v>Hyderabad</v>
          </cell>
          <cell r="S613" t="str">
            <v>Mobile</v>
          </cell>
          <cell r="T613" t="str">
            <v>learn data analytics</v>
          </cell>
        </row>
        <row r="614">
          <cell r="A614" t="str">
            <v>A1612</v>
          </cell>
          <cell r="B614" t="str">
            <v>Data Analytcis Course</v>
          </cell>
          <cell r="C614">
            <v>193</v>
          </cell>
          <cell r="D614">
            <v>193</v>
          </cell>
          <cell r="E614">
            <v>4860</v>
          </cell>
          <cell r="F614">
            <v>4860</v>
          </cell>
          <cell r="G614" t="str">
            <v>$181.27</v>
          </cell>
          <cell r="H614" t="str">
            <v>$181.27</v>
          </cell>
          <cell r="I614">
            <v>14</v>
          </cell>
          <cell r="J614">
            <v>14</v>
          </cell>
          <cell r="K614">
            <v>5</v>
          </cell>
          <cell r="L614">
            <v>5</v>
          </cell>
          <cell r="M614">
            <v>2.5906735751295335E-2</v>
          </cell>
          <cell r="N614">
            <v>2.5999999999999999E-2</v>
          </cell>
          <cell r="O614" t="str">
            <v>$1500</v>
          </cell>
          <cell r="Q614">
            <v>45612</v>
          </cell>
          <cell r="R614" t="str">
            <v>Hyderabad</v>
          </cell>
          <cell r="S614" t="str">
            <v>Desktop</v>
          </cell>
          <cell r="T614" t="str">
            <v>online data analytic</v>
          </cell>
        </row>
        <row r="615">
          <cell r="A615" t="str">
            <v>A1613</v>
          </cell>
          <cell r="B615" t="str">
            <v>Data Analytics Course</v>
          </cell>
          <cell r="C615">
            <v>109</v>
          </cell>
          <cell r="D615">
            <v>109</v>
          </cell>
          <cell r="E615">
            <v>4396</v>
          </cell>
          <cell r="F615">
            <v>4396</v>
          </cell>
          <cell r="G615" t="str">
            <v>$188.6</v>
          </cell>
          <cell r="H615" t="str">
            <v>$188.6</v>
          </cell>
          <cell r="I615">
            <v>11</v>
          </cell>
          <cell r="J615">
            <v>11</v>
          </cell>
          <cell r="K615">
            <v>10</v>
          </cell>
          <cell r="L615">
            <v>10</v>
          </cell>
          <cell r="M615">
            <v>9.1743119266055051E-2</v>
          </cell>
          <cell r="N615">
            <v>9.1999999999999998E-2</v>
          </cell>
          <cell r="O615" t="str">
            <v>$1451</v>
          </cell>
          <cell r="P615" t="str">
            <v>$1451</v>
          </cell>
          <cell r="Q615">
            <v>45614</v>
          </cell>
          <cell r="R615" t="str">
            <v>Hyderabad</v>
          </cell>
          <cell r="S615" t="str">
            <v>Mobile</v>
          </cell>
          <cell r="T615" t="str">
            <v>data analytics training</v>
          </cell>
        </row>
        <row r="616">
          <cell r="A616" t="str">
            <v>A1614</v>
          </cell>
          <cell r="B616" t="str">
            <v>Data Analytics Course</v>
          </cell>
          <cell r="C616">
            <v>141</v>
          </cell>
          <cell r="D616">
            <v>141</v>
          </cell>
          <cell r="E616">
            <v>5000</v>
          </cell>
          <cell r="F616">
            <v>5000</v>
          </cell>
          <cell r="G616" t="str">
            <v>$223.7</v>
          </cell>
          <cell r="H616" t="str">
            <v>$223.7</v>
          </cell>
          <cell r="I616">
            <v>29</v>
          </cell>
          <cell r="J616">
            <v>29</v>
          </cell>
          <cell r="K616">
            <v>10</v>
          </cell>
          <cell r="L616">
            <v>10</v>
          </cell>
          <cell r="M616">
            <v>7.0921985815602842E-2</v>
          </cell>
          <cell r="N616">
            <v>7.0999999999999994E-2</v>
          </cell>
          <cell r="O616" t="str">
            <v>$1909</v>
          </cell>
          <cell r="P616" t="str">
            <v>$1909</v>
          </cell>
          <cell r="Q616">
            <v>45608</v>
          </cell>
          <cell r="R616" t="str">
            <v>Bangaluru</v>
          </cell>
          <cell r="S616" t="str">
            <v>Tablet</v>
          </cell>
          <cell r="T616" t="str">
            <v>data analytics online</v>
          </cell>
        </row>
        <row r="617">
          <cell r="A617" t="str">
            <v>A1615</v>
          </cell>
          <cell r="B617" t="str">
            <v>Data Analytics Course</v>
          </cell>
          <cell r="C617">
            <v>182</v>
          </cell>
          <cell r="D617">
            <v>182</v>
          </cell>
          <cell r="E617">
            <v>3487</v>
          </cell>
          <cell r="F617">
            <v>3487</v>
          </cell>
          <cell r="G617" t="str">
            <v>$211.71</v>
          </cell>
          <cell r="H617" t="str">
            <v>$211.71</v>
          </cell>
          <cell r="I617">
            <v>23</v>
          </cell>
          <cell r="J617">
            <v>23</v>
          </cell>
          <cell r="K617">
            <v>7</v>
          </cell>
          <cell r="L617">
            <v>7</v>
          </cell>
          <cell r="M617">
            <v>3.8461538461538464E-2</v>
          </cell>
          <cell r="N617">
            <v>3.7999999999999999E-2</v>
          </cell>
          <cell r="O617" t="str">
            <v>$1027</v>
          </cell>
          <cell r="P617" t="str">
            <v>$1027</v>
          </cell>
          <cell r="Q617">
            <v>45620</v>
          </cell>
          <cell r="R617" t="str">
            <v>Hyderabad</v>
          </cell>
          <cell r="S617" t="str">
            <v>Mobile</v>
          </cell>
          <cell r="T617" t="str">
            <v>data analytics online</v>
          </cell>
        </row>
        <row r="618">
          <cell r="A618" t="str">
            <v>A1616</v>
          </cell>
          <cell r="B618" t="str">
            <v>Data Analytcis Course</v>
          </cell>
          <cell r="C618">
            <v>179</v>
          </cell>
          <cell r="D618">
            <v>179</v>
          </cell>
          <cell r="E618">
            <v>4236</v>
          </cell>
          <cell r="F618">
            <v>4236</v>
          </cell>
          <cell r="G618" t="str">
            <v>$245.01</v>
          </cell>
          <cell r="H618" t="str">
            <v>$245.01</v>
          </cell>
          <cell r="I618">
            <v>23</v>
          </cell>
          <cell r="J618">
            <v>23</v>
          </cell>
          <cell r="K618">
            <v>7</v>
          </cell>
          <cell r="L618">
            <v>7</v>
          </cell>
          <cell r="M618">
            <v>3.9106145251396648E-2</v>
          </cell>
          <cell r="N618">
            <v>3.9E-2</v>
          </cell>
          <cell r="O618" t="str">
            <v>$1822</v>
          </cell>
          <cell r="P618" t="str">
            <v>$1822</v>
          </cell>
          <cell r="Q618">
            <v>45603</v>
          </cell>
          <cell r="R618" t="str">
            <v>Bangaluru</v>
          </cell>
          <cell r="S618" t="str">
            <v>Mobile</v>
          </cell>
          <cell r="T618" t="str">
            <v>learn data analytics</v>
          </cell>
        </row>
        <row r="619">
          <cell r="A619" t="str">
            <v>A1617</v>
          </cell>
          <cell r="B619" t="str">
            <v>Data Analytcis Course</v>
          </cell>
          <cell r="C619">
            <v>89</v>
          </cell>
          <cell r="D619">
            <v>89</v>
          </cell>
          <cell r="E619">
            <v>5349</v>
          </cell>
          <cell r="F619">
            <v>5349</v>
          </cell>
          <cell r="G619" t="str">
            <v>$200.00</v>
          </cell>
          <cell r="I619">
            <v>19.980422462648118</v>
          </cell>
          <cell r="K619">
            <v>8</v>
          </cell>
          <cell r="L619">
            <v>8</v>
          </cell>
          <cell r="M619">
            <v>8.98876404494382E-2</v>
          </cell>
          <cell r="N619">
            <v>0.09</v>
          </cell>
          <cell r="O619" t="str">
            <v>$1371</v>
          </cell>
          <cell r="P619" t="str">
            <v>$1371</v>
          </cell>
          <cell r="Q619">
            <v>45624</v>
          </cell>
          <cell r="R619" t="str">
            <v>Bangaluru</v>
          </cell>
          <cell r="S619" t="str">
            <v>Tablet</v>
          </cell>
          <cell r="T619" t="str">
            <v>data analytics online</v>
          </cell>
        </row>
        <row r="620">
          <cell r="A620" t="str">
            <v>A1618</v>
          </cell>
          <cell r="B620" t="str">
            <v>Data Analytics Course</v>
          </cell>
          <cell r="C620">
            <v>181</v>
          </cell>
          <cell r="D620">
            <v>181</v>
          </cell>
          <cell r="E620">
            <v>5678</v>
          </cell>
          <cell r="F620">
            <v>5678</v>
          </cell>
          <cell r="G620" t="str">
            <v>$226.89</v>
          </cell>
          <cell r="H620" t="str">
            <v>$226.89</v>
          </cell>
          <cell r="I620">
            <v>22</v>
          </cell>
          <cell r="J620">
            <v>22</v>
          </cell>
          <cell r="K620">
            <v>10</v>
          </cell>
          <cell r="L620">
            <v>10</v>
          </cell>
          <cell r="M620">
            <v>5.5248618784530384E-2</v>
          </cell>
          <cell r="O620" t="str">
            <v>$1992</v>
          </cell>
          <cell r="P620" t="str">
            <v>$1992</v>
          </cell>
          <cell r="Q620">
            <v>45598</v>
          </cell>
          <cell r="R620" t="str">
            <v>Chennai</v>
          </cell>
          <cell r="S620" t="str">
            <v>Tablet</v>
          </cell>
          <cell r="T620" t="str">
            <v>data analytics training</v>
          </cell>
        </row>
        <row r="621">
          <cell r="A621" t="str">
            <v>A1619</v>
          </cell>
          <cell r="B621" t="str">
            <v>Data Analytics Course</v>
          </cell>
          <cell r="C621">
            <v>85</v>
          </cell>
          <cell r="D621">
            <v>85</v>
          </cell>
          <cell r="E621">
            <v>5247</v>
          </cell>
          <cell r="F621">
            <v>5247</v>
          </cell>
          <cell r="G621" t="str">
            <v>$219.97</v>
          </cell>
          <cell r="H621" t="str">
            <v>$219.97</v>
          </cell>
          <cell r="I621">
            <v>15</v>
          </cell>
          <cell r="J621">
            <v>15</v>
          </cell>
          <cell r="K621">
            <v>7</v>
          </cell>
          <cell r="L621">
            <v>7</v>
          </cell>
          <cell r="M621">
            <v>8.2352941176470587E-2</v>
          </cell>
          <cell r="N621">
            <v>8.2000000000000003E-2</v>
          </cell>
          <cell r="O621" t="str">
            <v>$1612</v>
          </cell>
          <cell r="P621" t="str">
            <v>$1612</v>
          </cell>
          <cell r="Q621">
            <v>45616</v>
          </cell>
          <cell r="R621" t="str">
            <v>Hyderabad</v>
          </cell>
          <cell r="S621" t="str">
            <v>Desktop</v>
          </cell>
          <cell r="T621" t="str">
            <v>analytics for data</v>
          </cell>
        </row>
        <row r="622">
          <cell r="A622" t="str">
            <v>A1620</v>
          </cell>
          <cell r="B622" t="str">
            <v>Data Analytics Course</v>
          </cell>
          <cell r="C622">
            <v>179</v>
          </cell>
          <cell r="D622">
            <v>179</v>
          </cell>
          <cell r="E622">
            <v>3685</v>
          </cell>
          <cell r="F622">
            <v>3685</v>
          </cell>
          <cell r="G622" t="str">
            <v>$202.66</v>
          </cell>
          <cell r="H622" t="str">
            <v>$202.66</v>
          </cell>
          <cell r="I622">
            <v>15</v>
          </cell>
          <cell r="J622">
            <v>15</v>
          </cell>
          <cell r="K622">
            <v>6.5148669796557117</v>
          </cell>
          <cell r="M622">
            <v>3.6395904914277716E-2</v>
          </cell>
          <cell r="N622">
            <v>3.9E-2</v>
          </cell>
          <cell r="O622" t="str">
            <v>$1634</v>
          </cell>
          <cell r="P622" t="str">
            <v>$1634</v>
          </cell>
          <cell r="Q622">
            <v>45614</v>
          </cell>
          <cell r="R622" t="str">
            <v>Hyderabad</v>
          </cell>
          <cell r="S622" t="str">
            <v>Desktop</v>
          </cell>
          <cell r="T622" t="str">
            <v>data analytics course</v>
          </cell>
        </row>
        <row r="623">
          <cell r="A623" t="str">
            <v>A1621</v>
          </cell>
          <cell r="B623" t="str">
            <v>Data Analytics Course</v>
          </cell>
          <cell r="C623">
            <v>172</v>
          </cell>
          <cell r="D623">
            <v>172</v>
          </cell>
          <cell r="E623">
            <v>5862</v>
          </cell>
          <cell r="F623">
            <v>5862</v>
          </cell>
          <cell r="G623" t="str">
            <v>$202.0</v>
          </cell>
          <cell r="H623" t="str">
            <v>$202.0</v>
          </cell>
          <cell r="I623">
            <v>23</v>
          </cell>
          <cell r="J623">
            <v>23</v>
          </cell>
          <cell r="K623">
            <v>4</v>
          </cell>
          <cell r="L623">
            <v>4</v>
          </cell>
          <cell r="M623">
            <v>2.3255813953488372E-2</v>
          </cell>
          <cell r="N623">
            <v>2.3E-2</v>
          </cell>
          <cell r="O623" t="str">
            <v>$1469</v>
          </cell>
          <cell r="P623" t="str">
            <v>$1469</v>
          </cell>
          <cell r="Q623">
            <v>45624</v>
          </cell>
          <cell r="R623" t="str">
            <v>Chennai</v>
          </cell>
          <cell r="S623" t="str">
            <v>Desktop</v>
          </cell>
          <cell r="T623" t="str">
            <v>online data analytic</v>
          </cell>
        </row>
        <row r="624">
          <cell r="A624" t="str">
            <v>A1622</v>
          </cell>
          <cell r="B624" t="str">
            <v>Data Analytics Course</v>
          </cell>
          <cell r="C624">
            <v>196</v>
          </cell>
          <cell r="D624">
            <v>196</v>
          </cell>
          <cell r="E624">
            <v>5040</v>
          </cell>
          <cell r="F624">
            <v>5040</v>
          </cell>
          <cell r="G624" t="str">
            <v>$197.08</v>
          </cell>
          <cell r="H624" t="str">
            <v>$197.08</v>
          </cell>
          <cell r="I624">
            <v>11</v>
          </cell>
          <cell r="J624">
            <v>11</v>
          </cell>
          <cell r="K624">
            <v>9</v>
          </cell>
          <cell r="L624">
            <v>9</v>
          </cell>
          <cell r="M624">
            <v>4.5918367346938778E-2</v>
          </cell>
          <cell r="N624">
            <v>4.5999999999999999E-2</v>
          </cell>
          <cell r="O624" t="str">
            <v>$1774</v>
          </cell>
          <cell r="P624" t="str">
            <v>$1774</v>
          </cell>
          <cell r="Q624">
            <v>45618</v>
          </cell>
          <cell r="R624" t="str">
            <v>Bangaluru</v>
          </cell>
          <cell r="S624" t="str">
            <v>Desktop</v>
          </cell>
          <cell r="T624" t="str">
            <v>data analytics course</v>
          </cell>
        </row>
        <row r="625">
          <cell r="A625" t="str">
            <v>A1623</v>
          </cell>
          <cell r="B625" t="str">
            <v>Data Analytics Course</v>
          </cell>
          <cell r="C625">
            <v>138.95699356913184</v>
          </cell>
          <cell r="E625">
            <v>3423</v>
          </cell>
          <cell r="F625">
            <v>3423</v>
          </cell>
          <cell r="G625" t="str">
            <v>$223.95</v>
          </cell>
          <cell r="H625" t="str">
            <v>$223.95</v>
          </cell>
          <cell r="I625">
            <v>30</v>
          </cell>
          <cell r="J625">
            <v>30</v>
          </cell>
          <cell r="K625">
            <v>4</v>
          </cell>
          <cell r="L625">
            <v>4</v>
          </cell>
          <cell r="M625">
            <v>2.8785884734977219E-2</v>
          </cell>
          <cell r="N625">
            <v>5.5E-2</v>
          </cell>
          <cell r="O625" t="str">
            <v>$1480</v>
          </cell>
          <cell r="P625" t="str">
            <v>$1480</v>
          </cell>
          <cell r="Q625">
            <v>45599</v>
          </cell>
          <cell r="R625" t="str">
            <v>Hyderabad</v>
          </cell>
          <cell r="S625" t="str">
            <v>Desktop</v>
          </cell>
          <cell r="T625" t="str">
            <v>analytics for data</v>
          </cell>
        </row>
        <row r="626">
          <cell r="A626" t="str">
            <v>A1624</v>
          </cell>
          <cell r="B626" t="str">
            <v>Data Analytics Course</v>
          </cell>
          <cell r="C626">
            <v>135</v>
          </cell>
          <cell r="D626">
            <v>135</v>
          </cell>
          <cell r="E626">
            <v>5981</v>
          </cell>
          <cell r="F626">
            <v>5981</v>
          </cell>
          <cell r="G626" t="str">
            <v>$228.66</v>
          </cell>
          <cell r="H626" t="str">
            <v>$228.66</v>
          </cell>
          <cell r="I626">
            <v>26</v>
          </cell>
          <cell r="J626">
            <v>26</v>
          </cell>
          <cell r="K626">
            <v>6</v>
          </cell>
          <cell r="L626">
            <v>6</v>
          </cell>
          <cell r="M626">
            <v>4.4444444444444446E-2</v>
          </cell>
          <cell r="O626" t="str">
            <v>$1515</v>
          </cell>
          <cell r="P626" t="str">
            <v>$1515</v>
          </cell>
          <cell r="Q626">
            <v>45608</v>
          </cell>
          <cell r="R626" t="str">
            <v>Hyderabad</v>
          </cell>
          <cell r="S626" t="str">
            <v>Desktop</v>
          </cell>
          <cell r="T626" t="str">
            <v>data analytics training</v>
          </cell>
        </row>
        <row r="627">
          <cell r="A627" t="str">
            <v>A1625</v>
          </cell>
          <cell r="B627" t="str">
            <v>Data Analytcis Course</v>
          </cell>
          <cell r="C627">
            <v>97</v>
          </cell>
          <cell r="D627">
            <v>97</v>
          </cell>
          <cell r="E627">
            <v>3495</v>
          </cell>
          <cell r="F627">
            <v>3495</v>
          </cell>
          <cell r="G627" t="str">
            <v>$230.83</v>
          </cell>
          <cell r="H627" t="str">
            <v>$230.83</v>
          </cell>
          <cell r="I627">
            <v>16</v>
          </cell>
          <cell r="J627">
            <v>16</v>
          </cell>
          <cell r="K627">
            <v>6</v>
          </cell>
          <cell r="L627">
            <v>6</v>
          </cell>
          <cell r="M627">
            <v>6.1855670103092786E-2</v>
          </cell>
          <cell r="N627">
            <v>6.2E-2</v>
          </cell>
          <cell r="O627" t="str">
            <v>$1675</v>
          </cell>
          <cell r="P627" t="str">
            <v>$1675</v>
          </cell>
          <cell r="Q627">
            <v>45619</v>
          </cell>
          <cell r="R627" t="str">
            <v>Hyderabad</v>
          </cell>
          <cell r="S627" t="str">
            <v>Tablet</v>
          </cell>
          <cell r="T627" t="str">
            <v>analytics for data</v>
          </cell>
        </row>
        <row r="628">
          <cell r="A628" t="str">
            <v>A1626</v>
          </cell>
          <cell r="B628" t="str">
            <v>Data Analytics Course</v>
          </cell>
          <cell r="C628">
            <v>137</v>
          </cell>
          <cell r="D628">
            <v>137</v>
          </cell>
          <cell r="E628">
            <v>3702</v>
          </cell>
          <cell r="F628">
            <v>3702</v>
          </cell>
          <cell r="G628" t="str">
            <v>$215.41</v>
          </cell>
          <cell r="H628" t="str">
            <v>$215.41</v>
          </cell>
          <cell r="I628">
            <v>25</v>
          </cell>
          <cell r="J628">
            <v>25</v>
          </cell>
          <cell r="K628">
            <v>9</v>
          </cell>
          <cell r="L628">
            <v>9</v>
          </cell>
          <cell r="M628">
            <v>6.569343065693431E-2</v>
          </cell>
          <cell r="N628">
            <v>6.6000000000000003E-2</v>
          </cell>
          <cell r="O628" t="str">
            <v>$1010</v>
          </cell>
          <cell r="P628" t="str">
            <v>$1010</v>
          </cell>
          <cell r="Q628">
            <v>45606</v>
          </cell>
          <cell r="R628" t="str">
            <v>Hyderabad</v>
          </cell>
          <cell r="S628" t="str">
            <v>Desktop</v>
          </cell>
          <cell r="T628" t="str">
            <v>learn data analytics</v>
          </cell>
        </row>
        <row r="629">
          <cell r="A629" t="str">
            <v>A1627</v>
          </cell>
          <cell r="B629" t="str">
            <v>Data Analytcis Course</v>
          </cell>
          <cell r="C629">
            <v>164</v>
          </cell>
          <cell r="D629">
            <v>164</v>
          </cell>
          <cell r="E629">
            <v>3405</v>
          </cell>
          <cell r="F629">
            <v>3405</v>
          </cell>
          <cell r="G629" t="str">
            <v>$217.58</v>
          </cell>
          <cell r="H629" t="str">
            <v>$217.58</v>
          </cell>
          <cell r="I629">
            <v>10</v>
          </cell>
          <cell r="J629">
            <v>10</v>
          </cell>
          <cell r="K629">
            <v>3</v>
          </cell>
          <cell r="L629">
            <v>3</v>
          </cell>
          <cell r="M629">
            <v>1.8292682926829267E-2</v>
          </cell>
          <cell r="N629">
            <v>1.7999999999999999E-2</v>
          </cell>
          <cell r="O629" t="str">
            <v>$1885</v>
          </cell>
          <cell r="P629" t="str">
            <v>$1885</v>
          </cell>
          <cell r="Q629">
            <v>45626</v>
          </cell>
          <cell r="R629" t="str">
            <v>Chennai</v>
          </cell>
          <cell r="S629" t="str">
            <v>Desktop</v>
          </cell>
          <cell r="T629" t="str">
            <v>data analytics online</v>
          </cell>
        </row>
        <row r="630">
          <cell r="A630" t="str">
            <v>A1628</v>
          </cell>
          <cell r="B630" t="str">
            <v>Data Analytics Course</v>
          </cell>
          <cell r="C630">
            <v>178</v>
          </cell>
          <cell r="D630">
            <v>178</v>
          </cell>
          <cell r="E630">
            <v>3370</v>
          </cell>
          <cell r="F630">
            <v>3370</v>
          </cell>
          <cell r="G630" t="str">
            <v>$180.66</v>
          </cell>
          <cell r="H630" t="str">
            <v>$180.66</v>
          </cell>
          <cell r="I630">
            <v>25</v>
          </cell>
          <cell r="J630">
            <v>25</v>
          </cell>
          <cell r="K630">
            <v>9</v>
          </cell>
          <cell r="L630">
            <v>9</v>
          </cell>
          <cell r="M630">
            <v>5.0561797752808987E-2</v>
          </cell>
          <cell r="N630">
            <v>5.0999999999999997E-2</v>
          </cell>
          <cell r="O630" t="str">
            <v>$1830</v>
          </cell>
          <cell r="P630" t="str">
            <v>$1830</v>
          </cell>
          <cell r="Q630">
            <v>45620</v>
          </cell>
          <cell r="R630" t="str">
            <v>Chennai</v>
          </cell>
          <cell r="S630" t="str">
            <v>Desktop</v>
          </cell>
          <cell r="T630" t="str">
            <v>online data analytic</v>
          </cell>
        </row>
        <row r="631">
          <cell r="A631" t="str">
            <v>A1629</v>
          </cell>
          <cell r="B631" t="str">
            <v>Data Analytics Course</v>
          </cell>
          <cell r="C631">
            <v>146</v>
          </cell>
          <cell r="D631">
            <v>146</v>
          </cell>
          <cell r="E631">
            <v>4455</v>
          </cell>
          <cell r="F631">
            <v>4455</v>
          </cell>
          <cell r="G631" t="str">
            <v>$227.13</v>
          </cell>
          <cell r="H631" t="str">
            <v>$227.13</v>
          </cell>
          <cell r="I631">
            <v>16</v>
          </cell>
          <cell r="J631">
            <v>16</v>
          </cell>
          <cell r="K631">
            <v>5</v>
          </cell>
          <cell r="L631">
            <v>5</v>
          </cell>
          <cell r="M631">
            <v>3.4246575342465752E-2</v>
          </cell>
          <cell r="O631" t="str">
            <v>$1040</v>
          </cell>
          <cell r="P631" t="str">
            <v>$1040</v>
          </cell>
          <cell r="Q631">
            <v>45620</v>
          </cell>
          <cell r="R631" t="str">
            <v>Chennai</v>
          </cell>
          <cell r="S631" t="str">
            <v>Tablet</v>
          </cell>
          <cell r="T631" t="str">
            <v>online data analytic</v>
          </cell>
        </row>
        <row r="632">
          <cell r="A632" t="str">
            <v>A1630</v>
          </cell>
          <cell r="B632" t="str">
            <v>Data Analytics Course</v>
          </cell>
          <cell r="C632">
            <v>149</v>
          </cell>
          <cell r="D632">
            <v>149</v>
          </cell>
          <cell r="E632">
            <v>4670</v>
          </cell>
          <cell r="F632">
            <v>4670</v>
          </cell>
          <cell r="G632" t="str">
            <v>$218.31</v>
          </cell>
          <cell r="H632" t="str">
            <v>$218.31</v>
          </cell>
          <cell r="I632">
            <v>10</v>
          </cell>
          <cell r="J632">
            <v>10</v>
          </cell>
          <cell r="K632">
            <v>10</v>
          </cell>
          <cell r="L632">
            <v>10</v>
          </cell>
          <cell r="M632">
            <v>6.7114093959731544E-2</v>
          </cell>
          <cell r="N632">
            <v>6.7000000000000004E-2</v>
          </cell>
          <cell r="O632" t="str">
            <v>$1623</v>
          </cell>
          <cell r="P632" t="str">
            <v>$1623</v>
          </cell>
          <cell r="Q632">
            <v>45598</v>
          </cell>
          <cell r="R632" t="str">
            <v>Chennai</v>
          </cell>
          <cell r="S632" t="str">
            <v>Mobile</v>
          </cell>
          <cell r="T632" t="str">
            <v>analytics for data</v>
          </cell>
        </row>
        <row r="633">
          <cell r="A633" t="str">
            <v>A1631</v>
          </cell>
          <cell r="B633" t="str">
            <v>Data Analytics Course</v>
          </cell>
          <cell r="C633">
            <v>193</v>
          </cell>
          <cell r="D633">
            <v>193</v>
          </cell>
          <cell r="E633">
            <v>4287</v>
          </cell>
          <cell r="F633">
            <v>4287</v>
          </cell>
          <cell r="G633" t="str">
            <v>$204.62</v>
          </cell>
          <cell r="H633" t="str">
            <v>$204.62</v>
          </cell>
          <cell r="I633">
            <v>15</v>
          </cell>
          <cell r="J633">
            <v>15</v>
          </cell>
          <cell r="K633">
            <v>3</v>
          </cell>
          <cell r="L633">
            <v>3</v>
          </cell>
          <cell r="M633">
            <v>1.5544041450777202E-2</v>
          </cell>
          <cell r="O633" t="str">
            <v>$1800</v>
          </cell>
          <cell r="P633" t="str">
            <v>$1800</v>
          </cell>
          <cell r="Q633">
            <v>45605</v>
          </cell>
          <cell r="R633" t="str">
            <v>Hyderabad</v>
          </cell>
          <cell r="S633" t="str">
            <v>Tablet</v>
          </cell>
          <cell r="T633" t="str">
            <v>data analytics training</v>
          </cell>
        </row>
        <row r="634">
          <cell r="A634" t="str">
            <v>A1632</v>
          </cell>
          <cell r="B634" t="str">
            <v>Data Analytics Course</v>
          </cell>
          <cell r="C634">
            <v>138.95699356913184</v>
          </cell>
          <cell r="E634">
            <v>3546</v>
          </cell>
          <cell r="F634">
            <v>3546</v>
          </cell>
          <cell r="G634" t="str">
            <v>$183.41</v>
          </cell>
          <cell r="H634" t="str">
            <v>$183.41</v>
          </cell>
          <cell r="I634">
            <v>27</v>
          </cell>
          <cell r="J634">
            <v>27</v>
          </cell>
          <cell r="K634">
            <v>7</v>
          </cell>
          <cell r="L634">
            <v>7</v>
          </cell>
          <cell r="M634">
            <v>5.0375298286210138E-2</v>
          </cell>
          <cell r="O634" t="str">
            <v>$1701</v>
          </cell>
          <cell r="P634" t="str">
            <v>$1701</v>
          </cell>
          <cell r="Q634">
            <v>45624</v>
          </cell>
          <cell r="R634" t="str">
            <v>Bangaluru</v>
          </cell>
          <cell r="S634" t="str">
            <v>Mobile</v>
          </cell>
          <cell r="T634" t="str">
            <v>data analytics training</v>
          </cell>
        </row>
        <row r="635">
          <cell r="A635" t="str">
            <v>A1633</v>
          </cell>
          <cell r="B635" t="str">
            <v>Data Analytcis Course</v>
          </cell>
          <cell r="C635">
            <v>106</v>
          </cell>
          <cell r="D635">
            <v>106</v>
          </cell>
          <cell r="E635">
            <v>4740</v>
          </cell>
          <cell r="F635">
            <v>4740</v>
          </cell>
          <cell r="G635" t="str">
            <v>$229.13</v>
          </cell>
          <cell r="H635" t="str">
            <v>$229.13</v>
          </cell>
          <cell r="I635">
            <v>19</v>
          </cell>
          <cell r="J635">
            <v>19</v>
          </cell>
          <cell r="K635">
            <v>3</v>
          </cell>
          <cell r="L635">
            <v>3</v>
          </cell>
          <cell r="M635">
            <v>2.8301886792452831E-2</v>
          </cell>
          <cell r="N635">
            <v>2.8000000000000001E-2</v>
          </cell>
          <cell r="O635" t="str">
            <v>$1149</v>
          </cell>
          <cell r="P635" t="str">
            <v>$1149</v>
          </cell>
          <cell r="Q635">
            <v>45607</v>
          </cell>
          <cell r="R635" t="str">
            <v>Hyderabad</v>
          </cell>
          <cell r="S635" t="str">
            <v>Desktop</v>
          </cell>
          <cell r="T635" t="str">
            <v>online data analytic</v>
          </cell>
        </row>
        <row r="636">
          <cell r="A636" t="str">
            <v>A1634</v>
          </cell>
          <cell r="B636" t="str">
            <v>Data Analytics Course</v>
          </cell>
          <cell r="C636">
            <v>131</v>
          </cell>
          <cell r="D636">
            <v>131</v>
          </cell>
          <cell r="E636">
            <v>5642</v>
          </cell>
          <cell r="F636">
            <v>5642</v>
          </cell>
          <cell r="G636" t="str">
            <v>$184.57</v>
          </cell>
          <cell r="H636" t="str">
            <v>$184.57</v>
          </cell>
          <cell r="I636">
            <v>20</v>
          </cell>
          <cell r="J636">
            <v>20</v>
          </cell>
          <cell r="K636">
            <v>9</v>
          </cell>
          <cell r="L636">
            <v>9</v>
          </cell>
          <cell r="M636">
            <v>6.8702290076335881E-2</v>
          </cell>
          <cell r="O636" t="str">
            <v>$1827</v>
          </cell>
          <cell r="P636" t="str">
            <v>$1827</v>
          </cell>
          <cell r="Q636">
            <v>45612</v>
          </cell>
          <cell r="R636" t="str">
            <v>Hyderabad</v>
          </cell>
          <cell r="S636" t="str">
            <v>Mobile</v>
          </cell>
          <cell r="T636" t="str">
            <v>data analytics course</v>
          </cell>
        </row>
        <row r="637">
          <cell r="A637" t="str">
            <v>A1635</v>
          </cell>
          <cell r="B637" t="str">
            <v>Data Analytcis Course</v>
          </cell>
          <cell r="C637">
            <v>111</v>
          </cell>
          <cell r="D637">
            <v>111</v>
          </cell>
          <cell r="E637">
            <v>4161</v>
          </cell>
          <cell r="F637">
            <v>4161</v>
          </cell>
          <cell r="G637" t="str">
            <v>$185.58</v>
          </cell>
          <cell r="H637" t="str">
            <v>$185.58</v>
          </cell>
          <cell r="I637">
            <v>10</v>
          </cell>
          <cell r="J637">
            <v>10</v>
          </cell>
          <cell r="K637">
            <v>7</v>
          </cell>
          <cell r="L637">
            <v>7</v>
          </cell>
          <cell r="M637">
            <v>6.3063063063063057E-2</v>
          </cell>
          <cell r="O637" t="str">
            <v>$1434</v>
          </cell>
          <cell r="P637" t="str">
            <v>$1434</v>
          </cell>
          <cell r="Q637">
            <v>45600</v>
          </cell>
          <cell r="R637" t="str">
            <v>Hyderabad</v>
          </cell>
          <cell r="S637" t="str">
            <v>Desktop</v>
          </cell>
          <cell r="T637" t="str">
            <v>data analytics training</v>
          </cell>
        </row>
        <row r="638">
          <cell r="A638" t="str">
            <v>A1636</v>
          </cell>
          <cell r="B638" t="str">
            <v>Data Analytcis Course</v>
          </cell>
          <cell r="C638">
            <v>144</v>
          </cell>
          <cell r="D638">
            <v>144</v>
          </cell>
          <cell r="E638">
            <v>4241</v>
          </cell>
          <cell r="F638">
            <v>4241</v>
          </cell>
          <cell r="G638" t="str">
            <v>$181.4</v>
          </cell>
          <cell r="H638" t="str">
            <v>$181.4</v>
          </cell>
          <cell r="I638">
            <v>24</v>
          </cell>
          <cell r="J638">
            <v>24</v>
          </cell>
          <cell r="K638">
            <v>5</v>
          </cell>
          <cell r="L638">
            <v>5</v>
          </cell>
          <cell r="M638">
            <v>3.4722222222222224E-2</v>
          </cell>
          <cell r="N638">
            <v>3.5000000000000003E-2</v>
          </cell>
          <cell r="O638" t="str">
            <v>$1693</v>
          </cell>
          <cell r="P638" t="str">
            <v>$1693</v>
          </cell>
          <cell r="Q638">
            <v>45615</v>
          </cell>
          <cell r="R638" t="str">
            <v>Bangaluru</v>
          </cell>
          <cell r="S638" t="str">
            <v>Mobile</v>
          </cell>
          <cell r="T638" t="str">
            <v>online data analytic</v>
          </cell>
        </row>
        <row r="639">
          <cell r="A639" t="str">
            <v>A1637</v>
          </cell>
          <cell r="B639" t="str">
            <v>Data Analytics Course</v>
          </cell>
          <cell r="C639">
            <v>151</v>
          </cell>
          <cell r="D639">
            <v>151</v>
          </cell>
          <cell r="E639">
            <v>5875</v>
          </cell>
          <cell r="F639">
            <v>5875</v>
          </cell>
          <cell r="G639" t="str">
            <v>$192.46</v>
          </cell>
          <cell r="H639" t="str">
            <v>$192.46</v>
          </cell>
          <cell r="I639">
            <v>28</v>
          </cell>
          <cell r="J639">
            <v>28</v>
          </cell>
          <cell r="K639">
            <v>6.5176223040504997</v>
          </cell>
          <cell r="M639">
            <v>4.3163061616228474E-2</v>
          </cell>
          <cell r="O639" t="str">
            <v>$1459</v>
          </cell>
          <cell r="P639" t="str">
            <v>$1459</v>
          </cell>
          <cell r="Q639">
            <v>45614</v>
          </cell>
          <cell r="R639" t="str">
            <v>Hyderabad</v>
          </cell>
          <cell r="S639" t="str">
            <v>Mobile</v>
          </cell>
          <cell r="T639" t="str">
            <v>data analytics online</v>
          </cell>
        </row>
        <row r="640">
          <cell r="A640" t="str">
            <v>A1638</v>
          </cell>
          <cell r="B640" t="str">
            <v>Data Analytics Course</v>
          </cell>
          <cell r="C640">
            <v>146</v>
          </cell>
          <cell r="D640">
            <v>146</v>
          </cell>
          <cell r="E640">
            <v>5457</v>
          </cell>
          <cell r="F640">
            <v>5457</v>
          </cell>
          <cell r="G640" t="str">
            <v>$200.00</v>
          </cell>
          <cell r="I640">
            <v>15</v>
          </cell>
          <cell r="J640">
            <v>15</v>
          </cell>
          <cell r="K640">
            <v>5</v>
          </cell>
          <cell r="L640">
            <v>5</v>
          </cell>
          <cell r="M640">
            <v>3.4246575342465752E-2</v>
          </cell>
          <cell r="N640">
            <v>3.4000000000000002E-2</v>
          </cell>
          <cell r="O640" t="str">
            <v>$1029</v>
          </cell>
          <cell r="P640" t="str">
            <v>$1029</v>
          </cell>
          <cell r="Q640">
            <v>45598</v>
          </cell>
          <cell r="R640" t="str">
            <v>Chennai</v>
          </cell>
          <cell r="S640" t="str">
            <v>Desktop</v>
          </cell>
          <cell r="T640" t="str">
            <v>data analytics course</v>
          </cell>
        </row>
        <row r="641">
          <cell r="A641" t="str">
            <v>A1639</v>
          </cell>
          <cell r="B641" t="str">
            <v>Data Analytics Course</v>
          </cell>
          <cell r="C641">
            <v>133</v>
          </cell>
          <cell r="D641">
            <v>133</v>
          </cell>
          <cell r="E641">
            <v>4780</v>
          </cell>
          <cell r="F641">
            <v>4780</v>
          </cell>
          <cell r="G641" t="str">
            <v>$198.66</v>
          </cell>
          <cell r="H641" t="str">
            <v>$198.66</v>
          </cell>
          <cell r="I641">
            <v>22</v>
          </cell>
          <cell r="J641">
            <v>22</v>
          </cell>
          <cell r="K641">
            <v>4</v>
          </cell>
          <cell r="L641">
            <v>4</v>
          </cell>
          <cell r="M641">
            <v>3.007518796992481E-2</v>
          </cell>
          <cell r="N641">
            <v>0.03</v>
          </cell>
          <cell r="O641" t="str">
            <v>$1905</v>
          </cell>
          <cell r="P641" t="str">
            <v>$1905</v>
          </cell>
          <cell r="Q641">
            <v>45605</v>
          </cell>
          <cell r="R641" t="str">
            <v>Bangaluru</v>
          </cell>
          <cell r="S641" t="str">
            <v>Tablet</v>
          </cell>
          <cell r="T641" t="str">
            <v>online data analytic</v>
          </cell>
        </row>
        <row r="642">
          <cell r="A642" t="str">
            <v>A1640</v>
          </cell>
          <cell r="B642" t="str">
            <v>Data Analytics Course</v>
          </cell>
          <cell r="C642">
            <v>138.95699356913184</v>
          </cell>
          <cell r="E642">
            <v>5922</v>
          </cell>
          <cell r="F642">
            <v>5922</v>
          </cell>
          <cell r="G642" t="str">
            <v>$239.1</v>
          </cell>
          <cell r="H642" t="str">
            <v>$239.1</v>
          </cell>
          <cell r="I642">
            <v>12</v>
          </cell>
          <cell r="J642">
            <v>12</v>
          </cell>
          <cell r="K642">
            <v>3</v>
          </cell>
          <cell r="L642">
            <v>3</v>
          </cell>
          <cell r="M642">
            <v>2.1589413551232915E-2</v>
          </cell>
          <cell r="N642">
            <v>4.8000000000000001E-2</v>
          </cell>
          <cell r="O642" t="str">
            <v>$1733</v>
          </cell>
          <cell r="P642" t="str">
            <v>$1733</v>
          </cell>
          <cell r="Q642">
            <v>45602</v>
          </cell>
          <cell r="R642" t="str">
            <v>Hyderabad</v>
          </cell>
          <cell r="S642" t="str">
            <v>Desktop</v>
          </cell>
          <cell r="T642" t="str">
            <v>data analytics course</v>
          </cell>
        </row>
        <row r="643">
          <cell r="A643" t="str">
            <v>A1641</v>
          </cell>
          <cell r="B643" t="str">
            <v>Data Analytcis Course</v>
          </cell>
          <cell r="C643">
            <v>82</v>
          </cell>
          <cell r="D643">
            <v>82</v>
          </cell>
          <cell r="E643">
            <v>3454</v>
          </cell>
          <cell r="F643">
            <v>3454</v>
          </cell>
          <cell r="G643" t="str">
            <v>$228.02</v>
          </cell>
          <cell r="H643" t="str">
            <v>$228.02</v>
          </cell>
          <cell r="I643">
            <v>30</v>
          </cell>
          <cell r="J643">
            <v>30</v>
          </cell>
          <cell r="K643">
            <v>7</v>
          </cell>
          <cell r="L643">
            <v>7</v>
          </cell>
          <cell r="M643">
            <v>8.5365853658536592E-2</v>
          </cell>
          <cell r="N643">
            <v>4.9000000000000002E-2</v>
          </cell>
          <cell r="O643" t="str">
            <v>$1463</v>
          </cell>
          <cell r="P643" t="str">
            <v>$1463</v>
          </cell>
          <cell r="Q643">
            <v>45605</v>
          </cell>
          <cell r="R643" t="str">
            <v>Hyderabad</v>
          </cell>
          <cell r="S643" t="str">
            <v>Desktop</v>
          </cell>
          <cell r="T643" t="str">
            <v>learn data analytics</v>
          </cell>
        </row>
        <row r="644">
          <cell r="A644" t="str">
            <v>A1642</v>
          </cell>
          <cell r="B644" t="str">
            <v>Data Analytcis Course</v>
          </cell>
          <cell r="C644">
            <v>135</v>
          </cell>
          <cell r="D644">
            <v>135</v>
          </cell>
          <cell r="E644">
            <v>3449</v>
          </cell>
          <cell r="F644">
            <v>3449</v>
          </cell>
          <cell r="G644" t="str">
            <v>$200.06</v>
          </cell>
          <cell r="H644" t="str">
            <v>$200.06</v>
          </cell>
          <cell r="I644">
            <v>17</v>
          </cell>
          <cell r="J644">
            <v>17</v>
          </cell>
          <cell r="K644">
            <v>5</v>
          </cell>
          <cell r="L644">
            <v>5</v>
          </cell>
          <cell r="M644">
            <v>3.7037037037037035E-2</v>
          </cell>
          <cell r="N644">
            <v>3.6999999999999998E-2</v>
          </cell>
          <cell r="O644" t="str">
            <v>$1950</v>
          </cell>
          <cell r="P644" t="str">
            <v>$1950</v>
          </cell>
          <cell r="Q644">
            <v>45603</v>
          </cell>
          <cell r="R644" t="str">
            <v>Bangaluru</v>
          </cell>
          <cell r="S644" t="str">
            <v>Mobile</v>
          </cell>
          <cell r="T644" t="str">
            <v>data analytics course</v>
          </cell>
        </row>
        <row r="645">
          <cell r="A645" t="str">
            <v>A1643</v>
          </cell>
          <cell r="B645" t="str">
            <v>Data Analytcis Course</v>
          </cell>
          <cell r="C645">
            <v>199</v>
          </cell>
          <cell r="D645">
            <v>199</v>
          </cell>
          <cell r="E645">
            <v>4287</v>
          </cell>
          <cell r="F645">
            <v>4287</v>
          </cell>
          <cell r="G645" t="str">
            <v>$235.58</v>
          </cell>
          <cell r="H645" t="str">
            <v>$235.58</v>
          </cell>
          <cell r="I645">
            <v>12</v>
          </cell>
          <cell r="J645">
            <v>12</v>
          </cell>
          <cell r="K645">
            <v>10</v>
          </cell>
          <cell r="L645">
            <v>10</v>
          </cell>
          <cell r="M645">
            <v>5.0251256281407038E-2</v>
          </cell>
          <cell r="N645">
            <v>0.05</v>
          </cell>
          <cell r="O645" t="str">
            <v>$1276</v>
          </cell>
          <cell r="P645" t="str">
            <v>$1276</v>
          </cell>
          <cell r="Q645">
            <v>45606</v>
          </cell>
          <cell r="R645" t="str">
            <v>Bangaluru</v>
          </cell>
          <cell r="S645" t="str">
            <v>Tablet</v>
          </cell>
          <cell r="T645" t="str">
            <v>data analytics course</v>
          </cell>
        </row>
        <row r="646">
          <cell r="A646" t="str">
            <v>A1644</v>
          </cell>
          <cell r="B646" t="str">
            <v>Data Analytics Course</v>
          </cell>
          <cell r="C646">
            <v>123</v>
          </cell>
          <cell r="D646">
            <v>123</v>
          </cell>
          <cell r="E646">
            <v>5000</v>
          </cell>
          <cell r="F646">
            <v>5000</v>
          </cell>
          <cell r="G646" t="str">
            <v>$187.67</v>
          </cell>
          <cell r="H646" t="str">
            <v>$187.67</v>
          </cell>
          <cell r="I646">
            <v>25</v>
          </cell>
          <cell r="J646">
            <v>25</v>
          </cell>
          <cell r="K646">
            <v>3</v>
          </cell>
          <cell r="L646">
            <v>3</v>
          </cell>
          <cell r="M646">
            <v>2.4390243902439025E-2</v>
          </cell>
          <cell r="N646">
            <v>2.4E-2</v>
          </cell>
          <cell r="O646" t="str">
            <v>$1351</v>
          </cell>
          <cell r="P646" t="str">
            <v>$1351</v>
          </cell>
          <cell r="Q646">
            <v>45603</v>
          </cell>
          <cell r="R646" t="str">
            <v>Hyderabad</v>
          </cell>
          <cell r="S646" t="str">
            <v>Tablet</v>
          </cell>
          <cell r="T646" t="str">
            <v>data analytics online</v>
          </cell>
        </row>
        <row r="647">
          <cell r="A647" t="str">
            <v>A1645</v>
          </cell>
          <cell r="B647" t="str">
            <v>Data Analytics Course</v>
          </cell>
          <cell r="C647">
            <v>154</v>
          </cell>
          <cell r="D647">
            <v>154</v>
          </cell>
          <cell r="E647">
            <v>3437</v>
          </cell>
          <cell r="F647">
            <v>3437</v>
          </cell>
          <cell r="G647" t="str">
            <v>$211.63</v>
          </cell>
          <cell r="H647" t="str">
            <v>$211.63</v>
          </cell>
          <cell r="I647">
            <v>28</v>
          </cell>
          <cell r="J647">
            <v>28</v>
          </cell>
          <cell r="K647">
            <v>4</v>
          </cell>
          <cell r="L647">
            <v>4</v>
          </cell>
          <cell r="M647">
            <v>2.5974025974025976E-2</v>
          </cell>
          <cell r="N647">
            <v>2.5999999999999999E-2</v>
          </cell>
          <cell r="O647" t="str">
            <v>$1604</v>
          </cell>
          <cell r="P647" t="str">
            <v>$1604</v>
          </cell>
          <cell r="Q647">
            <v>45610</v>
          </cell>
          <cell r="R647" t="str">
            <v>Bangaluru</v>
          </cell>
          <cell r="S647" t="str">
            <v>Tablet</v>
          </cell>
          <cell r="T647" t="str">
            <v>data analytics training</v>
          </cell>
        </row>
        <row r="648">
          <cell r="A648" t="str">
            <v>A1646</v>
          </cell>
          <cell r="B648" t="str">
            <v>Data Analytics Course</v>
          </cell>
          <cell r="C648">
            <v>88</v>
          </cell>
          <cell r="D648">
            <v>88</v>
          </cell>
          <cell r="E648">
            <v>3475</v>
          </cell>
          <cell r="F648">
            <v>3475</v>
          </cell>
          <cell r="G648" t="str">
            <v>$191.96</v>
          </cell>
          <cell r="H648" t="str">
            <v>$191.96</v>
          </cell>
          <cell r="I648">
            <v>12</v>
          </cell>
          <cell r="J648">
            <v>12</v>
          </cell>
          <cell r="K648">
            <v>7</v>
          </cell>
          <cell r="L648">
            <v>7</v>
          </cell>
          <cell r="M648">
            <v>7.9545454545454544E-2</v>
          </cell>
          <cell r="N648">
            <v>0.08</v>
          </cell>
          <cell r="O648" t="str">
            <v>$1204</v>
          </cell>
          <cell r="P648" t="str">
            <v>$1204</v>
          </cell>
          <cell r="Q648">
            <v>45621</v>
          </cell>
          <cell r="R648" t="str">
            <v>Hyderabad</v>
          </cell>
          <cell r="S648" t="str">
            <v>Desktop</v>
          </cell>
          <cell r="T648" t="str">
            <v>online data analytic</v>
          </cell>
        </row>
        <row r="649">
          <cell r="A649" t="str">
            <v>A1647</v>
          </cell>
          <cell r="B649" t="str">
            <v>Data Analytics Course</v>
          </cell>
          <cell r="C649">
            <v>165</v>
          </cell>
          <cell r="D649">
            <v>165</v>
          </cell>
          <cell r="E649">
            <v>4889</v>
          </cell>
          <cell r="F649">
            <v>4889</v>
          </cell>
          <cell r="G649" t="str">
            <v>$180.19</v>
          </cell>
          <cell r="H649" t="str">
            <v>$180.19</v>
          </cell>
          <cell r="I649">
            <v>21</v>
          </cell>
          <cell r="J649">
            <v>21</v>
          </cell>
          <cell r="K649">
            <v>4</v>
          </cell>
          <cell r="L649">
            <v>4</v>
          </cell>
          <cell r="M649">
            <v>2.4242424242424242E-2</v>
          </cell>
          <cell r="N649">
            <v>2.4E-2</v>
          </cell>
          <cell r="O649" t="str">
            <v>$1458</v>
          </cell>
          <cell r="P649" t="str">
            <v>$1458</v>
          </cell>
          <cell r="Q649">
            <v>45615</v>
          </cell>
          <cell r="R649" t="str">
            <v>Bangaluru</v>
          </cell>
          <cell r="S649" t="str">
            <v>Mobile</v>
          </cell>
          <cell r="T649" t="str">
            <v>analytics for data</v>
          </cell>
        </row>
        <row r="650">
          <cell r="A650" t="str">
            <v>A1648</v>
          </cell>
          <cell r="B650" t="str">
            <v>Data Analytics Course</v>
          </cell>
          <cell r="C650">
            <v>87</v>
          </cell>
          <cell r="D650">
            <v>87</v>
          </cell>
          <cell r="E650">
            <v>3639</v>
          </cell>
          <cell r="F650">
            <v>3639</v>
          </cell>
          <cell r="G650" t="str">
            <v>$220.76</v>
          </cell>
          <cell r="H650" t="str">
            <v>$220.76</v>
          </cell>
          <cell r="I650">
            <v>22</v>
          </cell>
          <cell r="J650">
            <v>22</v>
          </cell>
          <cell r="K650">
            <v>3</v>
          </cell>
          <cell r="L650">
            <v>3</v>
          </cell>
          <cell r="M650">
            <v>3.4482758620689655E-2</v>
          </cell>
          <cell r="N650">
            <v>3.5999999999999997E-2</v>
          </cell>
          <cell r="O650" t="str">
            <v>$1231</v>
          </cell>
          <cell r="P650" t="str">
            <v>$1231</v>
          </cell>
          <cell r="Q650">
            <v>45610</v>
          </cell>
          <cell r="R650" t="str">
            <v>Hyderabad</v>
          </cell>
          <cell r="S650" t="str">
            <v>Mobile</v>
          </cell>
          <cell r="T650" t="str">
            <v>analytics for data</v>
          </cell>
        </row>
        <row r="651">
          <cell r="A651" t="str">
            <v>A1649</v>
          </cell>
          <cell r="B651" t="str">
            <v>Data Analytics Course</v>
          </cell>
          <cell r="C651">
            <v>147</v>
          </cell>
          <cell r="D651">
            <v>147</v>
          </cell>
          <cell r="E651">
            <v>3959</v>
          </cell>
          <cell r="F651">
            <v>3959</v>
          </cell>
          <cell r="G651" t="str">
            <v>$181.18</v>
          </cell>
          <cell r="H651" t="str">
            <v>$181.18</v>
          </cell>
          <cell r="I651">
            <v>27</v>
          </cell>
          <cell r="J651">
            <v>27</v>
          </cell>
          <cell r="K651">
            <v>9</v>
          </cell>
          <cell r="L651">
            <v>9</v>
          </cell>
          <cell r="M651">
            <v>6.1224489795918366E-2</v>
          </cell>
          <cell r="N651">
            <v>6.0999999999999999E-2</v>
          </cell>
          <cell r="O651" t="str">
            <v>$1627</v>
          </cell>
          <cell r="P651" t="str">
            <v>$1627</v>
          </cell>
          <cell r="Q651">
            <v>45622</v>
          </cell>
          <cell r="R651" t="str">
            <v>Chennai</v>
          </cell>
          <cell r="S651" t="str">
            <v>Mobile</v>
          </cell>
          <cell r="T651" t="str">
            <v>analytics for data</v>
          </cell>
        </row>
        <row r="652">
          <cell r="A652" t="str">
            <v>A1650</v>
          </cell>
          <cell r="B652" t="str">
            <v>Data Analytcis Course</v>
          </cell>
          <cell r="C652">
            <v>137</v>
          </cell>
          <cell r="D652">
            <v>137</v>
          </cell>
          <cell r="E652">
            <v>5400</v>
          </cell>
          <cell r="F652">
            <v>5400</v>
          </cell>
          <cell r="G652" t="str">
            <v>$180.04</v>
          </cell>
          <cell r="H652" t="str">
            <v>$180.04</v>
          </cell>
          <cell r="I652">
            <v>10</v>
          </cell>
          <cell r="J652">
            <v>10</v>
          </cell>
          <cell r="K652">
            <v>10</v>
          </cell>
          <cell r="L652">
            <v>10</v>
          </cell>
          <cell r="M652">
            <v>7.2992700729927001E-2</v>
          </cell>
          <cell r="N652">
            <v>7.2999999999999995E-2</v>
          </cell>
          <cell r="O652" t="str">
            <v>$1375</v>
          </cell>
          <cell r="P652" t="str">
            <v>$1375</v>
          </cell>
          <cell r="Q652">
            <v>45625</v>
          </cell>
          <cell r="R652" t="str">
            <v>Bangaluru</v>
          </cell>
          <cell r="S652" t="str">
            <v>Tablet</v>
          </cell>
          <cell r="T652" t="str">
            <v>analytics for data</v>
          </cell>
        </row>
        <row r="653">
          <cell r="A653" t="str">
            <v>A1651</v>
          </cell>
          <cell r="B653" t="str">
            <v>Data Analytics Course</v>
          </cell>
          <cell r="C653">
            <v>188</v>
          </cell>
          <cell r="D653">
            <v>188</v>
          </cell>
          <cell r="E653">
            <v>5528</v>
          </cell>
          <cell r="F653">
            <v>5528</v>
          </cell>
          <cell r="G653" t="str">
            <v>$245.03</v>
          </cell>
          <cell r="H653" t="str">
            <v>$245.03</v>
          </cell>
          <cell r="I653">
            <v>13</v>
          </cell>
          <cell r="J653">
            <v>13</v>
          </cell>
          <cell r="K653">
            <v>10</v>
          </cell>
          <cell r="L653">
            <v>10</v>
          </cell>
          <cell r="M653">
            <v>5.3191489361702128E-2</v>
          </cell>
          <cell r="N653">
            <v>5.2999999999999999E-2</v>
          </cell>
          <cell r="O653" t="str">
            <v>$1202</v>
          </cell>
          <cell r="P653" t="str">
            <v>$1202</v>
          </cell>
          <cell r="Q653">
            <v>45625</v>
          </cell>
          <cell r="R653" t="str">
            <v>Hyderabad</v>
          </cell>
          <cell r="S653" t="str">
            <v>Desktop</v>
          </cell>
          <cell r="T653" t="str">
            <v>analytics for data</v>
          </cell>
        </row>
        <row r="654">
          <cell r="A654" t="str">
            <v>A1652</v>
          </cell>
          <cell r="B654" t="str">
            <v>Data Analytics Course</v>
          </cell>
          <cell r="C654">
            <v>162</v>
          </cell>
          <cell r="D654">
            <v>162</v>
          </cell>
          <cell r="E654">
            <v>5456</v>
          </cell>
          <cell r="F654">
            <v>5456</v>
          </cell>
          <cell r="G654" t="str">
            <v>$193.69</v>
          </cell>
          <cell r="H654" t="str">
            <v>$193.69</v>
          </cell>
          <cell r="I654">
            <v>10</v>
          </cell>
          <cell r="J654">
            <v>10</v>
          </cell>
          <cell r="K654">
            <v>6</v>
          </cell>
          <cell r="L654">
            <v>6</v>
          </cell>
          <cell r="M654">
            <v>3.7037037037037035E-2</v>
          </cell>
          <cell r="N654">
            <v>3.6999999999999998E-2</v>
          </cell>
          <cell r="O654" t="str">
            <v>$1992</v>
          </cell>
          <cell r="P654" t="str">
            <v>$1992</v>
          </cell>
          <cell r="Q654">
            <v>45625</v>
          </cell>
          <cell r="R654" t="str">
            <v>Hyderabad</v>
          </cell>
          <cell r="S654" t="str">
            <v>Tablet</v>
          </cell>
          <cell r="T654" t="str">
            <v>online data analytic</v>
          </cell>
        </row>
        <row r="655">
          <cell r="A655" t="str">
            <v>A1653</v>
          </cell>
          <cell r="B655" t="str">
            <v>Data Analytcis Course</v>
          </cell>
          <cell r="C655">
            <v>102</v>
          </cell>
          <cell r="D655">
            <v>102</v>
          </cell>
          <cell r="E655">
            <v>4308</v>
          </cell>
          <cell r="F655">
            <v>4308</v>
          </cell>
          <cell r="G655" t="str">
            <v>$221.54</v>
          </cell>
          <cell r="H655" t="str">
            <v>$221.54</v>
          </cell>
          <cell r="I655">
            <v>13</v>
          </cell>
          <cell r="J655">
            <v>13</v>
          </cell>
          <cell r="K655">
            <v>7</v>
          </cell>
          <cell r="L655">
            <v>7</v>
          </cell>
          <cell r="M655">
            <v>6.8627450980392163E-2</v>
          </cell>
          <cell r="N655">
            <v>0.06</v>
          </cell>
          <cell r="O655" t="str">
            <v>$1096</v>
          </cell>
          <cell r="P655" t="str">
            <v>$1096</v>
          </cell>
          <cell r="Q655">
            <v>45604</v>
          </cell>
          <cell r="R655" t="str">
            <v>Hyderabad</v>
          </cell>
          <cell r="S655" t="str">
            <v>Mobile</v>
          </cell>
          <cell r="T655" t="str">
            <v>data analytics online</v>
          </cell>
        </row>
        <row r="656">
          <cell r="A656" t="str">
            <v>A1654</v>
          </cell>
          <cell r="B656" t="str">
            <v>Data Analytics Course</v>
          </cell>
          <cell r="C656">
            <v>120</v>
          </cell>
          <cell r="D656">
            <v>120</v>
          </cell>
          <cell r="E656">
            <v>3245</v>
          </cell>
          <cell r="F656">
            <v>3245</v>
          </cell>
          <cell r="G656" t="str">
            <v>$196.09</v>
          </cell>
          <cell r="H656" t="str">
            <v>$196.09</v>
          </cell>
          <cell r="I656">
            <v>15</v>
          </cell>
          <cell r="J656">
            <v>15</v>
          </cell>
          <cell r="K656">
            <v>9</v>
          </cell>
          <cell r="L656">
            <v>9</v>
          </cell>
          <cell r="M656">
            <v>7.4999999999999997E-2</v>
          </cell>
          <cell r="N656">
            <v>7.4999999999999997E-2</v>
          </cell>
          <cell r="O656" t="str">
            <v>$1056</v>
          </cell>
          <cell r="P656" t="str">
            <v>$1056</v>
          </cell>
          <cell r="Q656">
            <v>45618</v>
          </cell>
          <cell r="R656" t="str">
            <v>Hyderabad</v>
          </cell>
          <cell r="S656" t="str">
            <v>Desktop</v>
          </cell>
          <cell r="T656" t="str">
            <v>data analytics training</v>
          </cell>
        </row>
        <row r="657">
          <cell r="A657" t="str">
            <v>A1655</v>
          </cell>
          <cell r="B657" t="str">
            <v>Data Analytcis Course</v>
          </cell>
          <cell r="C657">
            <v>125</v>
          </cell>
          <cell r="D657">
            <v>125</v>
          </cell>
          <cell r="E657">
            <v>3339</v>
          </cell>
          <cell r="F657">
            <v>3339</v>
          </cell>
          <cell r="G657" t="str">
            <v>$205.32</v>
          </cell>
          <cell r="H657" t="str">
            <v>$205.32</v>
          </cell>
          <cell r="I657">
            <v>18</v>
          </cell>
          <cell r="J657">
            <v>18</v>
          </cell>
          <cell r="K657">
            <v>4</v>
          </cell>
          <cell r="L657">
            <v>4</v>
          </cell>
          <cell r="M657">
            <v>3.2000000000000001E-2</v>
          </cell>
          <cell r="N657">
            <v>5.3999999999999999E-2</v>
          </cell>
          <cell r="O657" t="str">
            <v>$1985</v>
          </cell>
          <cell r="P657" t="str">
            <v>$1985</v>
          </cell>
          <cell r="Q657">
            <v>45624</v>
          </cell>
          <cell r="R657" t="str">
            <v>Bangaluru</v>
          </cell>
          <cell r="S657" t="str">
            <v>Desktop</v>
          </cell>
          <cell r="T657" t="str">
            <v>data analytics course</v>
          </cell>
        </row>
        <row r="658">
          <cell r="A658" t="str">
            <v>A1656</v>
          </cell>
          <cell r="B658" t="str">
            <v>Data Analytics Course</v>
          </cell>
          <cell r="C658">
            <v>155</v>
          </cell>
          <cell r="D658">
            <v>155</v>
          </cell>
          <cell r="E658">
            <v>5977</v>
          </cell>
          <cell r="F658">
            <v>5977</v>
          </cell>
          <cell r="G658" t="str">
            <v>$187.28</v>
          </cell>
          <cell r="H658" t="str">
            <v>$187.28</v>
          </cell>
          <cell r="I658">
            <v>16</v>
          </cell>
          <cell r="J658">
            <v>16</v>
          </cell>
          <cell r="K658">
            <v>7</v>
          </cell>
          <cell r="L658">
            <v>7</v>
          </cell>
          <cell r="M658">
            <v>4.5161290322580643E-2</v>
          </cell>
          <cell r="O658" t="str">
            <v>$1607</v>
          </cell>
          <cell r="P658" t="str">
            <v>$1607</v>
          </cell>
          <cell r="Q658">
            <v>45606</v>
          </cell>
          <cell r="R658" t="str">
            <v>Hyderabad</v>
          </cell>
          <cell r="S658" t="str">
            <v>Desktop</v>
          </cell>
          <cell r="T658" t="str">
            <v>online data analytic</v>
          </cell>
        </row>
        <row r="659">
          <cell r="A659" t="str">
            <v>A1657</v>
          </cell>
          <cell r="B659" t="str">
            <v>Data Analytcis Course</v>
          </cell>
          <cell r="C659">
            <v>137</v>
          </cell>
          <cell r="D659">
            <v>137</v>
          </cell>
          <cell r="E659">
            <v>4231</v>
          </cell>
          <cell r="F659">
            <v>4231</v>
          </cell>
          <cell r="G659" t="str">
            <v>$226.49</v>
          </cell>
          <cell r="H659" t="str">
            <v>$226.49</v>
          </cell>
          <cell r="I659">
            <v>25</v>
          </cell>
          <cell r="J659">
            <v>25</v>
          </cell>
          <cell r="K659">
            <v>5</v>
          </cell>
          <cell r="L659">
            <v>5</v>
          </cell>
          <cell r="M659">
            <v>3.6496350364963501E-2</v>
          </cell>
          <cell r="N659">
            <v>3.5999999999999997E-2</v>
          </cell>
          <cell r="O659" t="str">
            <v>$1078</v>
          </cell>
          <cell r="P659" t="str">
            <v>$1078</v>
          </cell>
          <cell r="Q659">
            <v>45608</v>
          </cell>
          <cell r="R659" t="str">
            <v>Bangaluru</v>
          </cell>
          <cell r="S659" t="str">
            <v>Tablet</v>
          </cell>
          <cell r="T659" t="str">
            <v>analytics for data</v>
          </cell>
        </row>
        <row r="660">
          <cell r="A660" t="str">
            <v>A1658</v>
          </cell>
          <cell r="B660" t="str">
            <v>Data Analytcis Course</v>
          </cell>
          <cell r="C660">
            <v>91</v>
          </cell>
          <cell r="D660">
            <v>91</v>
          </cell>
          <cell r="E660">
            <v>4506</v>
          </cell>
          <cell r="F660">
            <v>4506</v>
          </cell>
          <cell r="G660" t="str">
            <v>$195.99</v>
          </cell>
          <cell r="H660" t="str">
            <v>$195.99</v>
          </cell>
          <cell r="I660">
            <v>12</v>
          </cell>
          <cell r="J660">
            <v>12</v>
          </cell>
          <cell r="K660">
            <v>3</v>
          </cell>
          <cell r="L660">
            <v>3</v>
          </cell>
          <cell r="M660">
            <v>3.2967032967032968E-2</v>
          </cell>
          <cell r="N660">
            <v>4.4999999999999998E-2</v>
          </cell>
          <cell r="O660" t="str">
            <v>$1179</v>
          </cell>
          <cell r="P660" t="str">
            <v>$1179</v>
          </cell>
          <cell r="Q660">
            <v>45618</v>
          </cell>
          <cell r="R660" t="str">
            <v>Chennai</v>
          </cell>
          <cell r="S660" t="str">
            <v>Tablet</v>
          </cell>
          <cell r="T660" t="str">
            <v>learn data analytics</v>
          </cell>
        </row>
        <row r="661">
          <cell r="A661" t="str">
            <v>A1659</v>
          </cell>
          <cell r="B661" t="str">
            <v>Data Analytics Course</v>
          </cell>
          <cell r="C661">
            <v>87</v>
          </cell>
          <cell r="D661">
            <v>87</v>
          </cell>
          <cell r="E661">
            <v>4869</v>
          </cell>
          <cell r="F661">
            <v>4869</v>
          </cell>
          <cell r="G661" t="str">
            <v>$220.97</v>
          </cell>
          <cell r="H661" t="str">
            <v>$220.97</v>
          </cell>
          <cell r="I661">
            <v>29</v>
          </cell>
          <cell r="J661">
            <v>29</v>
          </cell>
          <cell r="K661">
            <v>5</v>
          </cell>
          <cell r="L661">
            <v>5</v>
          </cell>
          <cell r="M661">
            <v>5.7471264367816091E-2</v>
          </cell>
          <cell r="N661">
            <v>5.7000000000000002E-2</v>
          </cell>
          <cell r="O661" t="str">
            <v>$1480</v>
          </cell>
          <cell r="P661" t="str">
            <v>$1480</v>
          </cell>
          <cell r="Q661">
            <v>45601</v>
          </cell>
          <cell r="R661" t="str">
            <v>Bangaluru</v>
          </cell>
          <cell r="S661" t="str">
            <v>Desktop</v>
          </cell>
          <cell r="T661" t="str">
            <v>data analytics training</v>
          </cell>
        </row>
        <row r="662">
          <cell r="A662" t="str">
            <v>A1660</v>
          </cell>
          <cell r="B662" t="str">
            <v>Data Analytics Course</v>
          </cell>
          <cell r="C662">
            <v>124</v>
          </cell>
          <cell r="D662">
            <v>124</v>
          </cell>
          <cell r="E662">
            <v>5716</v>
          </cell>
          <cell r="F662">
            <v>5716</v>
          </cell>
          <cell r="G662" t="str">
            <v>$217.84</v>
          </cell>
          <cell r="H662" t="str">
            <v>$217.84</v>
          </cell>
          <cell r="I662">
            <v>28</v>
          </cell>
          <cell r="J662">
            <v>28</v>
          </cell>
          <cell r="K662">
            <v>8</v>
          </cell>
          <cell r="L662">
            <v>8</v>
          </cell>
          <cell r="M662">
            <v>6.4516129032258063E-2</v>
          </cell>
          <cell r="O662" t="str">
            <v>$1791</v>
          </cell>
          <cell r="P662" t="str">
            <v>$1791</v>
          </cell>
          <cell r="Q662">
            <v>45620</v>
          </cell>
          <cell r="R662" t="str">
            <v>Hyderabad</v>
          </cell>
          <cell r="S662" t="str">
            <v>Mobile</v>
          </cell>
          <cell r="T662" t="str">
            <v>data analytics training</v>
          </cell>
        </row>
        <row r="663">
          <cell r="A663" t="str">
            <v>A1661</v>
          </cell>
          <cell r="B663" t="str">
            <v>Data Analytics Course</v>
          </cell>
          <cell r="C663">
            <v>128</v>
          </cell>
          <cell r="D663">
            <v>128</v>
          </cell>
          <cell r="E663">
            <v>3243</v>
          </cell>
          <cell r="F663">
            <v>3243</v>
          </cell>
          <cell r="G663" t="str">
            <v>$208.41</v>
          </cell>
          <cell r="H663" t="str">
            <v>$208.41</v>
          </cell>
          <cell r="I663">
            <v>14</v>
          </cell>
          <cell r="J663">
            <v>14</v>
          </cell>
          <cell r="K663">
            <v>6</v>
          </cell>
          <cell r="L663">
            <v>6</v>
          </cell>
          <cell r="M663">
            <v>4.6875E-2</v>
          </cell>
          <cell r="N663">
            <v>3.6999999999999998E-2</v>
          </cell>
          <cell r="O663" t="str">
            <v>$1514</v>
          </cell>
          <cell r="P663" t="str">
            <v>$1514</v>
          </cell>
          <cell r="Q663">
            <v>45598</v>
          </cell>
          <cell r="R663" t="str">
            <v>Hyderabad</v>
          </cell>
          <cell r="S663" t="str">
            <v>Mobile</v>
          </cell>
          <cell r="T663" t="str">
            <v>online data analytic</v>
          </cell>
        </row>
        <row r="664">
          <cell r="A664" t="str">
            <v>A1662</v>
          </cell>
          <cell r="B664" t="str">
            <v>Data Analytcis Course</v>
          </cell>
          <cell r="C664">
            <v>111</v>
          </cell>
          <cell r="D664">
            <v>111</v>
          </cell>
          <cell r="E664">
            <v>3911</v>
          </cell>
          <cell r="F664">
            <v>3911</v>
          </cell>
          <cell r="G664" t="str">
            <v>$239.24</v>
          </cell>
          <cell r="H664" t="str">
            <v>$239.24</v>
          </cell>
          <cell r="I664">
            <v>28</v>
          </cell>
          <cell r="J664">
            <v>28</v>
          </cell>
          <cell r="K664">
            <v>9</v>
          </cell>
          <cell r="L664">
            <v>9</v>
          </cell>
          <cell r="M664">
            <v>8.1081081081081086E-2</v>
          </cell>
          <cell r="O664" t="str">
            <v>$1097</v>
          </cell>
          <cell r="P664" t="str">
            <v>$1097</v>
          </cell>
          <cell r="Q664">
            <v>45597</v>
          </cell>
          <cell r="R664" t="str">
            <v>Hyderabad</v>
          </cell>
          <cell r="S664" t="str">
            <v>Tablet</v>
          </cell>
          <cell r="T664" t="str">
            <v>online data analytic</v>
          </cell>
        </row>
        <row r="665">
          <cell r="A665" t="str">
            <v>A1663</v>
          </cell>
          <cell r="B665" t="str">
            <v>Data Analytics Course</v>
          </cell>
          <cell r="C665">
            <v>89</v>
          </cell>
          <cell r="D665">
            <v>89</v>
          </cell>
          <cell r="E665">
            <v>3982</v>
          </cell>
          <cell r="F665">
            <v>3982</v>
          </cell>
          <cell r="G665" t="str">
            <v>$209.87</v>
          </cell>
          <cell r="H665" t="str">
            <v>$209.87</v>
          </cell>
          <cell r="I665">
            <v>27</v>
          </cell>
          <cell r="J665">
            <v>27</v>
          </cell>
          <cell r="K665">
            <v>7</v>
          </cell>
          <cell r="L665">
            <v>7</v>
          </cell>
          <cell r="M665">
            <v>7.8651685393258425E-2</v>
          </cell>
          <cell r="N665">
            <v>7.9000000000000001E-2</v>
          </cell>
          <cell r="O665" t="str">
            <v>$1920</v>
          </cell>
          <cell r="P665" t="str">
            <v>$1920</v>
          </cell>
          <cell r="Q665">
            <v>45600</v>
          </cell>
          <cell r="R665" t="str">
            <v>Bangaluru</v>
          </cell>
          <cell r="S665" t="str">
            <v>Desktop</v>
          </cell>
          <cell r="T665" t="str">
            <v>data analytics course</v>
          </cell>
        </row>
        <row r="666">
          <cell r="A666" t="str">
            <v>A1664</v>
          </cell>
          <cell r="B666" t="str">
            <v>Data Analytics Course</v>
          </cell>
          <cell r="C666">
            <v>107</v>
          </cell>
          <cell r="D666">
            <v>107</v>
          </cell>
          <cell r="E666">
            <v>5299</v>
          </cell>
          <cell r="F666">
            <v>5299</v>
          </cell>
          <cell r="G666" t="str">
            <v>$207.36</v>
          </cell>
          <cell r="H666" t="str">
            <v>$207.36</v>
          </cell>
          <cell r="I666">
            <v>19</v>
          </cell>
          <cell r="J666">
            <v>19</v>
          </cell>
          <cell r="K666">
            <v>8</v>
          </cell>
          <cell r="L666">
            <v>8</v>
          </cell>
          <cell r="M666">
            <v>7.476635514018691E-2</v>
          </cell>
          <cell r="O666" t="str">
            <v>$1567</v>
          </cell>
          <cell r="P666" t="str">
            <v>$1567</v>
          </cell>
          <cell r="Q666">
            <v>45622</v>
          </cell>
          <cell r="R666" t="str">
            <v>Bangaluru</v>
          </cell>
          <cell r="S666" t="str">
            <v>Tablet</v>
          </cell>
          <cell r="T666" t="str">
            <v>data analytics training</v>
          </cell>
        </row>
        <row r="667">
          <cell r="A667" t="str">
            <v>A1665</v>
          </cell>
          <cell r="B667" t="str">
            <v>Data Analytics Course</v>
          </cell>
          <cell r="C667">
            <v>181</v>
          </cell>
          <cell r="D667">
            <v>181</v>
          </cell>
          <cell r="E667">
            <v>4150</v>
          </cell>
          <cell r="F667">
            <v>4150</v>
          </cell>
          <cell r="G667" t="str">
            <v>$236.69</v>
          </cell>
          <cell r="H667" t="str">
            <v>$236.69</v>
          </cell>
          <cell r="I667">
            <v>15</v>
          </cell>
          <cell r="J667">
            <v>15</v>
          </cell>
          <cell r="K667">
            <v>5</v>
          </cell>
          <cell r="L667">
            <v>5</v>
          </cell>
          <cell r="M667">
            <v>2.7624309392265192E-2</v>
          </cell>
          <cell r="O667" t="str">
            <v>$1251</v>
          </cell>
          <cell r="P667" t="str">
            <v>$1251</v>
          </cell>
          <cell r="Q667">
            <v>45606</v>
          </cell>
          <cell r="R667" t="str">
            <v>Hyderabad</v>
          </cell>
          <cell r="S667" t="str">
            <v>Mobile</v>
          </cell>
          <cell r="T667" t="str">
            <v>data analytics online</v>
          </cell>
        </row>
        <row r="668">
          <cell r="A668" t="str">
            <v>A1666</v>
          </cell>
          <cell r="B668" t="str">
            <v>Data Analytics Course</v>
          </cell>
          <cell r="C668">
            <v>110</v>
          </cell>
          <cell r="D668">
            <v>110</v>
          </cell>
          <cell r="E668">
            <v>5925</v>
          </cell>
          <cell r="F668">
            <v>5925</v>
          </cell>
          <cell r="G668" t="str">
            <v>$188.18</v>
          </cell>
          <cell r="H668" t="str">
            <v>$188.18</v>
          </cell>
          <cell r="I668">
            <v>29</v>
          </cell>
          <cell r="J668">
            <v>29</v>
          </cell>
          <cell r="K668">
            <v>9</v>
          </cell>
          <cell r="L668">
            <v>9</v>
          </cell>
          <cell r="M668">
            <v>8.1818181818181818E-2</v>
          </cell>
          <cell r="N668">
            <v>8.2000000000000003E-2</v>
          </cell>
          <cell r="O668" t="str">
            <v>$1682</v>
          </cell>
          <cell r="P668" t="str">
            <v>$1682</v>
          </cell>
          <cell r="Q668">
            <v>45619</v>
          </cell>
          <cell r="R668" t="str">
            <v>Bangaluru</v>
          </cell>
          <cell r="S668" t="str">
            <v>Desktop</v>
          </cell>
          <cell r="T668" t="str">
            <v>data analytics training</v>
          </cell>
        </row>
        <row r="669">
          <cell r="A669" t="str">
            <v>A1667</v>
          </cell>
          <cell r="B669" t="str">
            <v>Data Analytcis Course</v>
          </cell>
          <cell r="C669">
            <v>85</v>
          </cell>
          <cell r="D669">
            <v>85</v>
          </cell>
          <cell r="E669">
            <v>4010</v>
          </cell>
          <cell r="F669">
            <v>4010</v>
          </cell>
          <cell r="G669" t="str">
            <v>$195.26</v>
          </cell>
          <cell r="H669" t="str">
            <v>$195.26</v>
          </cell>
          <cell r="I669">
            <v>17</v>
          </cell>
          <cell r="J669">
            <v>17</v>
          </cell>
          <cell r="K669">
            <v>4</v>
          </cell>
          <cell r="L669">
            <v>4</v>
          </cell>
          <cell r="M669">
            <v>4.7058823529411764E-2</v>
          </cell>
          <cell r="N669">
            <v>4.2000000000000003E-2</v>
          </cell>
          <cell r="O669" t="str">
            <v>$1853</v>
          </cell>
          <cell r="P669" t="str">
            <v>$1853</v>
          </cell>
          <cell r="Q669">
            <v>45602</v>
          </cell>
          <cell r="R669" t="str">
            <v>Bangaluru</v>
          </cell>
          <cell r="S669" t="str">
            <v>Mobile</v>
          </cell>
          <cell r="T669" t="str">
            <v>data analytics online</v>
          </cell>
        </row>
        <row r="670">
          <cell r="A670" t="str">
            <v>A1668</v>
          </cell>
          <cell r="B670" t="str">
            <v>Data Analytics Course</v>
          </cell>
          <cell r="C670">
            <v>125</v>
          </cell>
          <cell r="D670">
            <v>125</v>
          </cell>
          <cell r="E670">
            <v>5767</v>
          </cell>
          <cell r="F670">
            <v>5767</v>
          </cell>
          <cell r="G670" t="str">
            <v>$200.00</v>
          </cell>
          <cell r="I670">
            <v>12</v>
          </cell>
          <cell r="J670">
            <v>12</v>
          </cell>
          <cell r="K670">
            <v>8</v>
          </cell>
          <cell r="L670">
            <v>8</v>
          </cell>
          <cell r="M670">
            <v>6.4000000000000001E-2</v>
          </cell>
          <cell r="N670">
            <v>3.5000000000000003E-2</v>
          </cell>
          <cell r="O670" t="str">
            <v>$1020</v>
          </cell>
          <cell r="P670" t="str">
            <v>$1020</v>
          </cell>
          <cell r="Q670">
            <v>45615</v>
          </cell>
          <cell r="R670" t="str">
            <v>Hyderabad</v>
          </cell>
          <cell r="S670" t="str">
            <v>Tablet</v>
          </cell>
          <cell r="T670" t="str">
            <v>data analytics online</v>
          </cell>
        </row>
        <row r="671">
          <cell r="A671" t="str">
            <v>A1669</v>
          </cell>
          <cell r="B671" t="str">
            <v>Data Analytics Course</v>
          </cell>
          <cell r="C671">
            <v>163</v>
          </cell>
          <cell r="D671">
            <v>163</v>
          </cell>
          <cell r="E671">
            <v>4523.2808326787117</v>
          </cell>
          <cell r="G671" t="str">
            <v>$200.00</v>
          </cell>
          <cell r="I671">
            <v>11</v>
          </cell>
          <cell r="J671">
            <v>11</v>
          </cell>
          <cell r="K671">
            <v>3</v>
          </cell>
          <cell r="L671">
            <v>3</v>
          </cell>
          <cell r="M671">
            <v>1.8404907975460124E-2</v>
          </cell>
          <cell r="N671">
            <v>1.7999999999999999E-2</v>
          </cell>
          <cell r="O671" t="str">
            <v>$1819</v>
          </cell>
          <cell r="P671" t="str">
            <v>$1819</v>
          </cell>
          <cell r="Q671">
            <v>45616</v>
          </cell>
          <cell r="R671" t="str">
            <v>Bangaluru</v>
          </cell>
          <cell r="S671" t="str">
            <v>Tablet</v>
          </cell>
          <cell r="T671" t="str">
            <v>data analytics training</v>
          </cell>
        </row>
        <row r="672">
          <cell r="A672" t="str">
            <v>A1670</v>
          </cell>
          <cell r="B672" t="str">
            <v>Data Analytics Course</v>
          </cell>
          <cell r="C672">
            <v>129</v>
          </cell>
          <cell r="D672">
            <v>129</v>
          </cell>
          <cell r="E672">
            <v>3787</v>
          </cell>
          <cell r="F672">
            <v>3787</v>
          </cell>
          <cell r="G672" t="str">
            <v>$229.81</v>
          </cell>
          <cell r="H672" t="str">
            <v>$229.81</v>
          </cell>
          <cell r="I672">
            <v>10</v>
          </cell>
          <cell r="J672">
            <v>10</v>
          </cell>
          <cell r="K672">
            <v>6</v>
          </cell>
          <cell r="L672">
            <v>6</v>
          </cell>
          <cell r="M672">
            <v>4.6511627906976744E-2</v>
          </cell>
          <cell r="N672">
            <v>4.7E-2</v>
          </cell>
          <cell r="O672" t="str">
            <v>$1221</v>
          </cell>
          <cell r="P672" t="str">
            <v>$1221</v>
          </cell>
          <cell r="Q672">
            <v>45609</v>
          </cell>
          <cell r="R672" t="str">
            <v>Bangaluru</v>
          </cell>
          <cell r="S672" t="str">
            <v>Desktop</v>
          </cell>
          <cell r="T672" t="str">
            <v>online data analytic</v>
          </cell>
        </row>
        <row r="673">
          <cell r="A673" t="str">
            <v>A1671</v>
          </cell>
          <cell r="B673" t="str">
            <v>Data Analytcis Course</v>
          </cell>
          <cell r="C673">
            <v>112</v>
          </cell>
          <cell r="D673">
            <v>112</v>
          </cell>
          <cell r="E673">
            <v>4834</v>
          </cell>
          <cell r="F673">
            <v>4834</v>
          </cell>
          <cell r="G673" t="str">
            <v>$212.27</v>
          </cell>
          <cell r="H673" t="str">
            <v>$212.27</v>
          </cell>
          <cell r="I673">
            <v>11</v>
          </cell>
          <cell r="J673">
            <v>11</v>
          </cell>
          <cell r="K673">
            <v>7</v>
          </cell>
          <cell r="L673">
            <v>7</v>
          </cell>
          <cell r="M673">
            <v>6.25E-2</v>
          </cell>
          <cell r="N673">
            <v>6.2E-2</v>
          </cell>
          <cell r="O673" t="str">
            <v>$1524</v>
          </cell>
          <cell r="P673" t="str">
            <v>$1524</v>
          </cell>
          <cell r="Q673">
            <v>45623</v>
          </cell>
          <cell r="R673" t="str">
            <v>Hyderabad</v>
          </cell>
          <cell r="S673" t="str">
            <v>Mobile</v>
          </cell>
          <cell r="T673" t="str">
            <v>data analytics online</v>
          </cell>
        </row>
        <row r="674">
          <cell r="A674" t="str">
            <v>A1672</v>
          </cell>
          <cell r="B674" t="str">
            <v>Data Analytcis Course</v>
          </cell>
          <cell r="C674">
            <v>104</v>
          </cell>
          <cell r="D674">
            <v>104</v>
          </cell>
          <cell r="E674">
            <v>3031</v>
          </cell>
          <cell r="F674">
            <v>3031</v>
          </cell>
          <cell r="G674" t="str">
            <v>$188.47</v>
          </cell>
          <cell r="H674" t="str">
            <v>$188.47</v>
          </cell>
          <cell r="I674">
            <v>13</v>
          </cell>
          <cell r="J674">
            <v>13</v>
          </cell>
          <cell r="K674">
            <v>6</v>
          </cell>
          <cell r="L674">
            <v>6</v>
          </cell>
          <cell r="M674">
            <v>5.7692307692307696E-2</v>
          </cell>
          <cell r="N674">
            <v>4.2999999999999997E-2</v>
          </cell>
          <cell r="O674" t="str">
            <v>$1998</v>
          </cell>
          <cell r="P674" t="str">
            <v>$1998</v>
          </cell>
          <cell r="Q674">
            <v>45601</v>
          </cell>
          <cell r="R674" t="str">
            <v>Bangaluru</v>
          </cell>
          <cell r="S674" t="str">
            <v>Desktop</v>
          </cell>
          <cell r="T674" t="str">
            <v>data analytics training</v>
          </cell>
        </row>
        <row r="675">
          <cell r="A675" t="str">
            <v>A1673</v>
          </cell>
          <cell r="B675" t="str">
            <v>Data Analytics Course</v>
          </cell>
          <cell r="C675">
            <v>132</v>
          </cell>
          <cell r="D675">
            <v>132</v>
          </cell>
          <cell r="E675">
            <v>3754</v>
          </cell>
          <cell r="F675">
            <v>3754</v>
          </cell>
          <cell r="G675" t="str">
            <v>$180.88</v>
          </cell>
          <cell r="H675" t="str">
            <v>$180.88</v>
          </cell>
          <cell r="I675">
            <v>21</v>
          </cell>
          <cell r="J675">
            <v>21</v>
          </cell>
          <cell r="K675">
            <v>10</v>
          </cell>
          <cell r="L675">
            <v>10</v>
          </cell>
          <cell r="M675">
            <v>7.575757575757576E-2</v>
          </cell>
          <cell r="N675">
            <v>7.5999999999999998E-2</v>
          </cell>
          <cell r="O675" t="str">
            <v>$1601</v>
          </cell>
          <cell r="P675" t="str">
            <v>$1601</v>
          </cell>
          <cell r="Q675">
            <v>45620</v>
          </cell>
          <cell r="R675" t="str">
            <v>Hyderabad</v>
          </cell>
          <cell r="S675" t="str">
            <v>Mobile</v>
          </cell>
          <cell r="T675" t="str">
            <v>online data analytic</v>
          </cell>
        </row>
        <row r="676">
          <cell r="A676" t="str">
            <v>A1674</v>
          </cell>
          <cell r="B676" t="str">
            <v>Data Analytics Course</v>
          </cell>
          <cell r="C676">
            <v>113</v>
          </cell>
          <cell r="D676">
            <v>113</v>
          </cell>
          <cell r="E676">
            <v>3281</v>
          </cell>
          <cell r="F676">
            <v>3281</v>
          </cell>
          <cell r="G676" t="str">
            <v>$241.85</v>
          </cell>
          <cell r="H676" t="str">
            <v>$241.85</v>
          </cell>
          <cell r="I676">
            <v>16</v>
          </cell>
          <cell r="J676">
            <v>16</v>
          </cell>
          <cell r="K676">
            <v>6</v>
          </cell>
          <cell r="L676">
            <v>6</v>
          </cell>
          <cell r="M676">
            <v>5.3097345132743362E-2</v>
          </cell>
          <cell r="N676">
            <v>5.2999999999999999E-2</v>
          </cell>
          <cell r="O676" t="str">
            <v>$1500</v>
          </cell>
          <cell r="Q676">
            <v>45604</v>
          </cell>
          <cell r="R676" t="str">
            <v>Hyderabad</v>
          </cell>
          <cell r="S676" t="str">
            <v>Tablet</v>
          </cell>
          <cell r="T676" t="str">
            <v>data analytics online</v>
          </cell>
        </row>
        <row r="677">
          <cell r="A677" t="str">
            <v>A1675</v>
          </cell>
          <cell r="B677" t="str">
            <v>Data Analytics Course</v>
          </cell>
          <cell r="C677">
            <v>109</v>
          </cell>
          <cell r="D677">
            <v>109</v>
          </cell>
          <cell r="E677">
            <v>4910</v>
          </cell>
          <cell r="F677">
            <v>4910</v>
          </cell>
          <cell r="G677" t="str">
            <v>$236.2</v>
          </cell>
          <cell r="H677" t="str">
            <v>$236.2</v>
          </cell>
          <cell r="I677">
            <v>20.021231422505309</v>
          </cell>
          <cell r="K677">
            <v>8</v>
          </cell>
          <cell r="L677">
            <v>8</v>
          </cell>
          <cell r="M677">
            <v>7.3394495412844041E-2</v>
          </cell>
          <cell r="N677">
            <v>5.3999999999999999E-2</v>
          </cell>
          <cell r="O677" t="str">
            <v>$1145</v>
          </cell>
          <cell r="P677" t="str">
            <v>$1145</v>
          </cell>
          <cell r="Q677">
            <v>45604</v>
          </cell>
          <cell r="R677" t="str">
            <v>Bangaluru</v>
          </cell>
          <cell r="S677" t="str">
            <v>Tablet</v>
          </cell>
          <cell r="T677" t="str">
            <v>data analytics training</v>
          </cell>
        </row>
        <row r="678">
          <cell r="A678" t="str">
            <v>A1676</v>
          </cell>
          <cell r="B678" t="str">
            <v>Data Analytics Course</v>
          </cell>
          <cell r="C678">
            <v>144</v>
          </cell>
          <cell r="D678">
            <v>144</v>
          </cell>
          <cell r="E678">
            <v>5026</v>
          </cell>
          <cell r="F678">
            <v>5026</v>
          </cell>
          <cell r="G678" t="str">
            <v>$231.82</v>
          </cell>
          <cell r="H678" t="str">
            <v>$231.82</v>
          </cell>
          <cell r="I678">
            <v>14</v>
          </cell>
          <cell r="J678">
            <v>14</v>
          </cell>
          <cell r="K678">
            <v>4</v>
          </cell>
          <cell r="L678">
            <v>4</v>
          </cell>
          <cell r="M678">
            <v>2.7777777777777776E-2</v>
          </cell>
          <cell r="N678">
            <v>2.8000000000000001E-2</v>
          </cell>
          <cell r="O678" t="str">
            <v>$1645</v>
          </cell>
          <cell r="P678" t="str">
            <v>$1645</v>
          </cell>
          <cell r="Q678">
            <v>45606</v>
          </cell>
          <cell r="R678" t="str">
            <v>Chennai</v>
          </cell>
          <cell r="S678" t="str">
            <v>Desktop</v>
          </cell>
          <cell r="T678" t="str">
            <v>data analytics course</v>
          </cell>
        </row>
        <row r="679">
          <cell r="A679" t="str">
            <v>A1677</v>
          </cell>
          <cell r="B679" t="str">
            <v>Data Analytics Course</v>
          </cell>
          <cell r="C679">
            <v>179</v>
          </cell>
          <cell r="D679">
            <v>179</v>
          </cell>
          <cell r="E679">
            <v>5091</v>
          </cell>
          <cell r="F679">
            <v>5091</v>
          </cell>
          <cell r="G679" t="str">
            <v>$238.62</v>
          </cell>
          <cell r="H679" t="str">
            <v>$238.62</v>
          </cell>
          <cell r="I679">
            <v>10</v>
          </cell>
          <cell r="J679">
            <v>10</v>
          </cell>
          <cell r="K679">
            <v>6</v>
          </cell>
          <cell r="L679">
            <v>6</v>
          </cell>
          <cell r="M679">
            <v>3.3519553072625698E-2</v>
          </cell>
          <cell r="N679">
            <v>3.4000000000000002E-2</v>
          </cell>
          <cell r="O679" t="str">
            <v>$1259</v>
          </cell>
          <cell r="P679" t="str">
            <v>$1259</v>
          </cell>
          <cell r="Q679">
            <v>45620</v>
          </cell>
          <cell r="R679" t="str">
            <v>Hyderabad</v>
          </cell>
          <cell r="S679" t="str">
            <v>Mobile</v>
          </cell>
          <cell r="T679" t="str">
            <v>learn data analytics</v>
          </cell>
        </row>
        <row r="680">
          <cell r="A680" t="str">
            <v>A1678</v>
          </cell>
          <cell r="B680" t="str">
            <v>Data Analytcis Course</v>
          </cell>
          <cell r="C680">
            <v>138.95699356913184</v>
          </cell>
          <cell r="E680">
            <v>5622</v>
          </cell>
          <cell r="F680">
            <v>5622</v>
          </cell>
          <cell r="G680" t="str">
            <v>$190.87</v>
          </cell>
          <cell r="H680" t="str">
            <v>$190.87</v>
          </cell>
          <cell r="I680">
            <v>14</v>
          </cell>
          <cell r="J680">
            <v>14</v>
          </cell>
          <cell r="K680">
            <v>8</v>
          </cell>
          <cell r="L680">
            <v>8</v>
          </cell>
          <cell r="M680">
            <v>5.7571769469954438E-2</v>
          </cell>
          <cell r="O680" t="str">
            <v>$1400</v>
          </cell>
          <cell r="P680" t="str">
            <v>$1400</v>
          </cell>
          <cell r="Q680">
            <v>45613</v>
          </cell>
          <cell r="R680" t="str">
            <v>Chennai</v>
          </cell>
          <cell r="S680" t="str">
            <v>Mobile</v>
          </cell>
          <cell r="T680" t="str">
            <v>analytics for data</v>
          </cell>
        </row>
        <row r="681">
          <cell r="A681" t="str">
            <v>A1679</v>
          </cell>
          <cell r="B681" t="str">
            <v>Data Analytics Course</v>
          </cell>
          <cell r="C681">
            <v>116</v>
          </cell>
          <cell r="D681">
            <v>116</v>
          </cell>
          <cell r="E681">
            <v>4538</v>
          </cell>
          <cell r="F681">
            <v>4538</v>
          </cell>
          <cell r="G681" t="str">
            <v>$221.74</v>
          </cell>
          <cell r="H681" t="str">
            <v>$221.74</v>
          </cell>
          <cell r="I681">
            <v>23</v>
          </cell>
          <cell r="J681">
            <v>23</v>
          </cell>
          <cell r="K681">
            <v>9</v>
          </cell>
          <cell r="L681">
            <v>9</v>
          </cell>
          <cell r="M681">
            <v>7.7586206896551727E-2</v>
          </cell>
          <cell r="N681">
            <v>7.8E-2</v>
          </cell>
          <cell r="O681" t="str">
            <v>$1639</v>
          </cell>
          <cell r="P681" t="str">
            <v>$1639</v>
          </cell>
          <cell r="Q681">
            <v>45620</v>
          </cell>
          <cell r="R681" t="str">
            <v>Chennai</v>
          </cell>
          <cell r="S681" t="str">
            <v>Desktop</v>
          </cell>
          <cell r="T681" t="str">
            <v>data analytics training</v>
          </cell>
        </row>
        <row r="682">
          <cell r="A682" t="str">
            <v>A1680</v>
          </cell>
          <cell r="B682" t="str">
            <v>Data Analytics Course</v>
          </cell>
          <cell r="C682">
            <v>89</v>
          </cell>
          <cell r="D682">
            <v>89</v>
          </cell>
          <cell r="E682">
            <v>3509</v>
          </cell>
          <cell r="F682">
            <v>3509</v>
          </cell>
          <cell r="G682" t="str">
            <v>$192.14</v>
          </cell>
          <cell r="H682" t="str">
            <v>$192.14</v>
          </cell>
          <cell r="I682">
            <v>27</v>
          </cell>
          <cell r="J682">
            <v>27</v>
          </cell>
          <cell r="K682">
            <v>9</v>
          </cell>
          <cell r="L682">
            <v>9</v>
          </cell>
          <cell r="M682">
            <v>0.10112359550561797</v>
          </cell>
          <cell r="N682">
            <v>0.10100000000000001</v>
          </cell>
          <cell r="O682" t="str">
            <v>$1564</v>
          </cell>
          <cell r="P682" t="str">
            <v>$1564</v>
          </cell>
          <cell r="Q682">
            <v>45608</v>
          </cell>
          <cell r="R682" t="str">
            <v>Hyderabad</v>
          </cell>
          <cell r="S682" t="str">
            <v>Mobile</v>
          </cell>
          <cell r="T682" t="str">
            <v>online data analytic</v>
          </cell>
        </row>
        <row r="683">
          <cell r="A683" t="str">
            <v>A1681</v>
          </cell>
          <cell r="B683" t="str">
            <v>Data Analytics Course</v>
          </cell>
          <cell r="C683">
            <v>96</v>
          </cell>
          <cell r="D683">
            <v>96</v>
          </cell>
          <cell r="E683">
            <v>3346</v>
          </cell>
          <cell r="F683">
            <v>3346</v>
          </cell>
          <cell r="G683" t="str">
            <v>$248.48</v>
          </cell>
          <cell r="H683" t="str">
            <v>$248.48</v>
          </cell>
          <cell r="I683">
            <v>15</v>
          </cell>
          <cell r="J683">
            <v>15</v>
          </cell>
          <cell r="K683">
            <v>7</v>
          </cell>
          <cell r="L683">
            <v>7</v>
          </cell>
          <cell r="M683">
            <v>7.2916666666666671E-2</v>
          </cell>
          <cell r="N683">
            <v>7.2999999999999995E-2</v>
          </cell>
          <cell r="O683" t="str">
            <v>$1118</v>
          </cell>
          <cell r="P683" t="str">
            <v>$1118</v>
          </cell>
          <cell r="Q683">
            <v>45624</v>
          </cell>
          <cell r="R683" t="str">
            <v>Chennai</v>
          </cell>
          <cell r="S683" t="str">
            <v>Desktop</v>
          </cell>
          <cell r="T683" t="str">
            <v>data analytics online</v>
          </cell>
        </row>
        <row r="684">
          <cell r="A684" t="str">
            <v>A1682</v>
          </cell>
          <cell r="B684" t="str">
            <v>Data Analytics Course</v>
          </cell>
          <cell r="C684">
            <v>193</v>
          </cell>
          <cell r="D684">
            <v>193</v>
          </cell>
          <cell r="E684">
            <v>4706</v>
          </cell>
          <cell r="F684">
            <v>4706</v>
          </cell>
          <cell r="G684" t="str">
            <v>$213.41</v>
          </cell>
          <cell r="H684" t="str">
            <v>$213.41</v>
          </cell>
          <cell r="I684">
            <v>24</v>
          </cell>
          <cell r="J684">
            <v>24</v>
          </cell>
          <cell r="K684">
            <v>8</v>
          </cell>
          <cell r="L684">
            <v>8</v>
          </cell>
          <cell r="M684">
            <v>4.145077720207254E-2</v>
          </cell>
          <cell r="N684">
            <v>4.5999999999999999E-2</v>
          </cell>
          <cell r="O684" t="str">
            <v>$1058</v>
          </cell>
          <cell r="P684" t="str">
            <v>$1058</v>
          </cell>
          <cell r="Q684">
            <v>45605</v>
          </cell>
          <cell r="R684" t="str">
            <v>Hyderabad</v>
          </cell>
          <cell r="S684" t="str">
            <v>Desktop</v>
          </cell>
          <cell r="T684" t="str">
            <v>data analytics course</v>
          </cell>
        </row>
        <row r="685">
          <cell r="A685" t="str">
            <v>A1683</v>
          </cell>
          <cell r="B685" t="str">
            <v>Data Analytcis Course</v>
          </cell>
          <cell r="C685">
            <v>122</v>
          </cell>
          <cell r="D685">
            <v>122</v>
          </cell>
          <cell r="E685">
            <v>3896</v>
          </cell>
          <cell r="F685">
            <v>3896</v>
          </cell>
          <cell r="G685" t="str">
            <v>$194.3</v>
          </cell>
          <cell r="H685" t="str">
            <v>$194.3</v>
          </cell>
          <cell r="I685">
            <v>23</v>
          </cell>
          <cell r="J685">
            <v>23</v>
          </cell>
          <cell r="K685">
            <v>3</v>
          </cell>
          <cell r="L685">
            <v>3</v>
          </cell>
          <cell r="M685">
            <v>2.4590163934426229E-2</v>
          </cell>
          <cell r="N685">
            <v>2.5000000000000001E-2</v>
          </cell>
          <cell r="O685" t="str">
            <v>$1355</v>
          </cell>
          <cell r="P685" t="str">
            <v>$1355</v>
          </cell>
          <cell r="Q685">
            <v>45617</v>
          </cell>
          <cell r="R685" t="str">
            <v>Hyderabad</v>
          </cell>
          <cell r="S685" t="str">
            <v>Mobile</v>
          </cell>
          <cell r="T685" t="str">
            <v>data analytics course</v>
          </cell>
        </row>
        <row r="686">
          <cell r="A686" t="str">
            <v>A1684</v>
          </cell>
          <cell r="B686" t="str">
            <v>Data Analytics Course</v>
          </cell>
          <cell r="C686">
            <v>133</v>
          </cell>
          <cell r="D686">
            <v>133</v>
          </cell>
          <cell r="E686">
            <v>3332</v>
          </cell>
          <cell r="F686">
            <v>3332</v>
          </cell>
          <cell r="G686" t="str">
            <v>$201.59</v>
          </cell>
          <cell r="H686" t="str">
            <v>$201.59</v>
          </cell>
          <cell r="I686">
            <v>14</v>
          </cell>
          <cell r="J686">
            <v>14</v>
          </cell>
          <cell r="K686">
            <v>7</v>
          </cell>
          <cell r="L686">
            <v>7</v>
          </cell>
          <cell r="M686">
            <v>5.2631578947368418E-2</v>
          </cell>
          <cell r="O686" t="str">
            <v>$1943</v>
          </cell>
          <cell r="P686" t="str">
            <v>$1943</v>
          </cell>
          <cell r="Q686">
            <v>45611</v>
          </cell>
          <cell r="R686" t="str">
            <v>Hyderabad</v>
          </cell>
          <cell r="S686" t="str">
            <v>Tablet</v>
          </cell>
          <cell r="T686" t="str">
            <v>data analytics course</v>
          </cell>
        </row>
        <row r="687">
          <cell r="A687" t="str">
            <v>A1685</v>
          </cell>
          <cell r="B687" t="str">
            <v>Data Analytics Course</v>
          </cell>
          <cell r="C687">
            <v>177</v>
          </cell>
          <cell r="D687">
            <v>177</v>
          </cell>
          <cell r="E687">
            <v>5738</v>
          </cell>
          <cell r="F687">
            <v>5738</v>
          </cell>
          <cell r="G687" t="str">
            <v>$249.21</v>
          </cell>
          <cell r="H687" t="str">
            <v>$249.21</v>
          </cell>
          <cell r="I687">
            <v>11</v>
          </cell>
          <cell r="J687">
            <v>11</v>
          </cell>
          <cell r="K687">
            <v>7</v>
          </cell>
          <cell r="L687">
            <v>7</v>
          </cell>
          <cell r="M687">
            <v>3.954802259887006E-2</v>
          </cell>
          <cell r="N687">
            <v>0.04</v>
          </cell>
          <cell r="O687" t="str">
            <v>$1435</v>
          </cell>
          <cell r="P687" t="str">
            <v>$1435</v>
          </cell>
          <cell r="Q687">
            <v>45612</v>
          </cell>
          <cell r="R687" t="str">
            <v>Hyderabad</v>
          </cell>
          <cell r="S687" t="str">
            <v>Mobile</v>
          </cell>
          <cell r="T687" t="str">
            <v>data analytics training</v>
          </cell>
        </row>
        <row r="688">
          <cell r="A688" t="str">
            <v>A1686</v>
          </cell>
          <cell r="B688" t="str">
            <v>Data Analytics Course</v>
          </cell>
          <cell r="C688">
            <v>162</v>
          </cell>
          <cell r="D688">
            <v>162</v>
          </cell>
          <cell r="E688">
            <v>5346</v>
          </cell>
          <cell r="F688">
            <v>5346</v>
          </cell>
          <cell r="G688" t="str">
            <v>$223.12</v>
          </cell>
          <cell r="H688" t="str">
            <v>$223.12</v>
          </cell>
          <cell r="I688">
            <v>25</v>
          </cell>
          <cell r="J688">
            <v>25</v>
          </cell>
          <cell r="K688">
            <v>5</v>
          </cell>
          <cell r="L688">
            <v>5</v>
          </cell>
          <cell r="M688">
            <v>3.0864197530864196E-2</v>
          </cell>
          <cell r="N688">
            <v>3.1E-2</v>
          </cell>
          <cell r="O688" t="str">
            <v>$1052</v>
          </cell>
          <cell r="P688" t="str">
            <v>$1052</v>
          </cell>
          <cell r="Q688">
            <v>45624</v>
          </cell>
          <cell r="R688" t="str">
            <v>Chennai</v>
          </cell>
          <cell r="S688" t="str">
            <v>Desktop</v>
          </cell>
          <cell r="T688" t="str">
            <v>data analytics course</v>
          </cell>
        </row>
        <row r="689">
          <cell r="A689" t="str">
            <v>A1687</v>
          </cell>
          <cell r="B689" t="str">
            <v>Data Analytics Course</v>
          </cell>
          <cell r="C689">
            <v>182</v>
          </cell>
          <cell r="D689">
            <v>182</v>
          </cell>
          <cell r="E689">
            <v>5857</v>
          </cell>
          <cell r="F689">
            <v>5857</v>
          </cell>
          <cell r="G689" t="str">
            <v>$192.69</v>
          </cell>
          <cell r="H689" t="str">
            <v>$192.69</v>
          </cell>
          <cell r="I689">
            <v>15</v>
          </cell>
          <cell r="J689">
            <v>15</v>
          </cell>
          <cell r="K689">
            <v>4</v>
          </cell>
          <cell r="L689">
            <v>4</v>
          </cell>
          <cell r="M689">
            <v>2.197802197802198E-2</v>
          </cell>
          <cell r="N689">
            <v>4.8000000000000001E-2</v>
          </cell>
          <cell r="O689" t="str">
            <v>$1384</v>
          </cell>
          <cell r="P689" t="str">
            <v>$1384</v>
          </cell>
          <cell r="Q689">
            <v>45598</v>
          </cell>
          <cell r="R689" t="str">
            <v>Hyderabad</v>
          </cell>
          <cell r="S689" t="str">
            <v>Desktop</v>
          </cell>
          <cell r="T689" t="str">
            <v>data analytics course</v>
          </cell>
        </row>
        <row r="690">
          <cell r="A690" t="str">
            <v>A1688</v>
          </cell>
          <cell r="B690" t="str">
            <v>Data Analytics Course</v>
          </cell>
          <cell r="C690">
            <v>154</v>
          </cell>
          <cell r="D690">
            <v>154</v>
          </cell>
          <cell r="E690">
            <v>4836</v>
          </cell>
          <cell r="F690">
            <v>4836</v>
          </cell>
          <cell r="G690" t="str">
            <v>$233.8</v>
          </cell>
          <cell r="H690" t="str">
            <v>$233.8</v>
          </cell>
          <cell r="I690">
            <v>26</v>
          </cell>
          <cell r="J690">
            <v>26</v>
          </cell>
          <cell r="K690">
            <v>10</v>
          </cell>
          <cell r="L690">
            <v>10</v>
          </cell>
          <cell r="M690">
            <v>6.4935064935064929E-2</v>
          </cell>
          <cell r="O690" t="str">
            <v>$1838</v>
          </cell>
          <cell r="P690" t="str">
            <v>$1838</v>
          </cell>
          <cell r="Q690">
            <v>45626</v>
          </cell>
          <cell r="R690" t="str">
            <v>Bangaluru</v>
          </cell>
          <cell r="S690" t="str">
            <v>Desktop</v>
          </cell>
          <cell r="T690" t="str">
            <v>data analytics course</v>
          </cell>
        </row>
        <row r="691">
          <cell r="A691" t="str">
            <v>A1689</v>
          </cell>
          <cell r="B691" t="str">
            <v>Data Analytics Course</v>
          </cell>
          <cell r="C691">
            <v>104</v>
          </cell>
          <cell r="D691">
            <v>104</v>
          </cell>
          <cell r="E691">
            <v>5291</v>
          </cell>
          <cell r="F691">
            <v>5291</v>
          </cell>
          <cell r="G691" t="str">
            <v>$186.93</v>
          </cell>
          <cell r="H691" t="str">
            <v>$186.93</v>
          </cell>
          <cell r="I691">
            <v>19</v>
          </cell>
          <cell r="J691">
            <v>19</v>
          </cell>
          <cell r="K691">
            <v>10</v>
          </cell>
          <cell r="L691">
            <v>10</v>
          </cell>
          <cell r="M691">
            <v>9.6153846153846159E-2</v>
          </cell>
          <cell r="N691">
            <v>9.6000000000000002E-2</v>
          </cell>
          <cell r="O691" t="str">
            <v>$1805</v>
          </cell>
          <cell r="P691" t="str">
            <v>$1805</v>
          </cell>
          <cell r="Q691">
            <v>45625</v>
          </cell>
          <cell r="R691" t="str">
            <v>Chennai</v>
          </cell>
          <cell r="S691" t="str">
            <v>Tablet</v>
          </cell>
          <cell r="T691" t="str">
            <v>data analytics course</v>
          </cell>
        </row>
        <row r="692">
          <cell r="A692" t="str">
            <v>A1690</v>
          </cell>
          <cell r="B692" t="str">
            <v>Data Analytcis Course</v>
          </cell>
          <cell r="C692">
            <v>101</v>
          </cell>
          <cell r="D692">
            <v>101</v>
          </cell>
          <cell r="E692">
            <v>4840</v>
          </cell>
          <cell r="F692">
            <v>4840</v>
          </cell>
          <cell r="G692" t="str">
            <v>$230.68</v>
          </cell>
          <cell r="H692" t="str">
            <v>$230.68</v>
          </cell>
          <cell r="I692">
            <v>21</v>
          </cell>
          <cell r="J692">
            <v>21</v>
          </cell>
          <cell r="K692">
            <v>9</v>
          </cell>
          <cell r="L692">
            <v>9</v>
          </cell>
          <cell r="M692">
            <v>8.9108910891089105E-2</v>
          </cell>
          <cell r="N692">
            <v>8.8999999999999996E-2</v>
          </cell>
          <cell r="O692" t="str">
            <v>$1556</v>
          </cell>
          <cell r="P692" t="str">
            <v>$1556</v>
          </cell>
          <cell r="Q692">
            <v>45618</v>
          </cell>
          <cell r="R692" t="str">
            <v>Bangaluru</v>
          </cell>
          <cell r="S692" t="str">
            <v>Desktop</v>
          </cell>
          <cell r="T692" t="str">
            <v>data analytics training</v>
          </cell>
        </row>
        <row r="693">
          <cell r="A693" t="str">
            <v>A1691</v>
          </cell>
          <cell r="B693" t="str">
            <v>Data Analytcis Course</v>
          </cell>
          <cell r="C693">
            <v>173</v>
          </cell>
          <cell r="D693">
            <v>173</v>
          </cell>
          <cell r="E693">
            <v>4246</v>
          </cell>
          <cell r="F693">
            <v>4246</v>
          </cell>
          <cell r="G693" t="str">
            <v>$202.95</v>
          </cell>
          <cell r="H693" t="str">
            <v>$202.95</v>
          </cell>
          <cell r="I693">
            <v>27</v>
          </cell>
          <cell r="J693">
            <v>27</v>
          </cell>
          <cell r="K693">
            <v>3</v>
          </cell>
          <cell r="L693">
            <v>3</v>
          </cell>
          <cell r="M693">
            <v>1.7341040462427744E-2</v>
          </cell>
          <cell r="N693">
            <v>1.7000000000000001E-2</v>
          </cell>
          <cell r="O693" t="str">
            <v>$1276</v>
          </cell>
          <cell r="P693" t="str">
            <v>$1276</v>
          </cell>
          <cell r="Q693">
            <v>45625</v>
          </cell>
          <cell r="R693" t="str">
            <v>Hyderabad</v>
          </cell>
          <cell r="S693" t="str">
            <v>Tablet</v>
          </cell>
          <cell r="T693" t="str">
            <v>learn data analytics</v>
          </cell>
        </row>
        <row r="694">
          <cell r="A694" t="str">
            <v>A1692</v>
          </cell>
          <cell r="B694" t="str">
            <v>Data Analytics Course</v>
          </cell>
          <cell r="C694">
            <v>186</v>
          </cell>
          <cell r="D694">
            <v>186</v>
          </cell>
          <cell r="E694">
            <v>5824</v>
          </cell>
          <cell r="F694">
            <v>5824</v>
          </cell>
          <cell r="G694" t="str">
            <v>$224.48</v>
          </cell>
          <cell r="H694" t="str">
            <v>$224.48</v>
          </cell>
          <cell r="I694">
            <v>29</v>
          </cell>
          <cell r="J694">
            <v>29</v>
          </cell>
          <cell r="K694">
            <v>6</v>
          </cell>
          <cell r="L694">
            <v>6</v>
          </cell>
          <cell r="M694">
            <v>3.2258064516129031E-2</v>
          </cell>
          <cell r="O694" t="str">
            <v>$1882</v>
          </cell>
          <cell r="P694" t="str">
            <v>$1882</v>
          </cell>
          <cell r="Q694">
            <v>45624</v>
          </cell>
          <cell r="R694" t="str">
            <v>Hyderabad</v>
          </cell>
          <cell r="S694" t="str">
            <v>Mobile</v>
          </cell>
          <cell r="T694" t="str">
            <v>data analytics online</v>
          </cell>
        </row>
        <row r="695">
          <cell r="A695" t="str">
            <v>A1693</v>
          </cell>
          <cell r="B695" t="str">
            <v>Data Analytcis Course</v>
          </cell>
          <cell r="C695">
            <v>148</v>
          </cell>
          <cell r="D695">
            <v>148</v>
          </cell>
          <cell r="E695">
            <v>5952</v>
          </cell>
          <cell r="F695">
            <v>5952</v>
          </cell>
          <cell r="G695" t="str">
            <v>$186.32</v>
          </cell>
          <cell r="H695" t="str">
            <v>$186.32</v>
          </cell>
          <cell r="I695">
            <v>14</v>
          </cell>
          <cell r="J695">
            <v>14</v>
          </cell>
          <cell r="K695">
            <v>4</v>
          </cell>
          <cell r="L695">
            <v>4</v>
          </cell>
          <cell r="M695">
            <v>2.7027027027027029E-2</v>
          </cell>
          <cell r="N695">
            <v>4.3999999999999997E-2</v>
          </cell>
          <cell r="O695" t="str">
            <v>$1469</v>
          </cell>
          <cell r="P695" t="str">
            <v>$1469</v>
          </cell>
          <cell r="Q695">
            <v>45606</v>
          </cell>
          <cell r="R695" t="str">
            <v>Bangaluru</v>
          </cell>
          <cell r="S695" t="str">
            <v>Mobile</v>
          </cell>
          <cell r="T695" t="str">
            <v>data analytics course</v>
          </cell>
        </row>
        <row r="696">
          <cell r="A696" t="str">
            <v>A1694</v>
          </cell>
          <cell r="B696" t="str">
            <v>Data Analytics Course</v>
          </cell>
          <cell r="C696">
            <v>181</v>
          </cell>
          <cell r="D696">
            <v>181</v>
          </cell>
          <cell r="E696">
            <v>3691</v>
          </cell>
          <cell r="F696">
            <v>3691</v>
          </cell>
          <cell r="G696" t="str">
            <v>$229.14</v>
          </cell>
          <cell r="H696" t="str">
            <v>$229.14</v>
          </cell>
          <cell r="I696">
            <v>25</v>
          </cell>
          <cell r="J696">
            <v>25</v>
          </cell>
          <cell r="K696">
            <v>10</v>
          </cell>
          <cell r="L696">
            <v>10</v>
          </cell>
          <cell r="M696">
            <v>5.5248618784530384E-2</v>
          </cell>
          <cell r="O696" t="str">
            <v>$1375</v>
          </cell>
          <cell r="P696" t="str">
            <v>$1375</v>
          </cell>
          <cell r="Q696">
            <v>45602</v>
          </cell>
          <cell r="R696" t="str">
            <v>Chennai</v>
          </cell>
          <cell r="S696" t="str">
            <v>Mobile</v>
          </cell>
          <cell r="T696" t="str">
            <v>analytics for data</v>
          </cell>
        </row>
        <row r="697">
          <cell r="A697" t="str">
            <v>A1695</v>
          </cell>
          <cell r="B697" t="str">
            <v>Data Analytcis Course</v>
          </cell>
          <cell r="C697">
            <v>110</v>
          </cell>
          <cell r="D697">
            <v>110</v>
          </cell>
          <cell r="E697">
            <v>4350</v>
          </cell>
          <cell r="F697">
            <v>4350</v>
          </cell>
          <cell r="G697" t="str">
            <v>$243.88</v>
          </cell>
          <cell r="H697" t="str">
            <v>$243.88</v>
          </cell>
          <cell r="I697">
            <v>16</v>
          </cell>
          <cell r="J697">
            <v>16</v>
          </cell>
          <cell r="K697">
            <v>9</v>
          </cell>
          <cell r="L697">
            <v>9</v>
          </cell>
          <cell r="M697">
            <v>8.1818181818181818E-2</v>
          </cell>
          <cell r="O697" t="str">
            <v>$1157</v>
          </cell>
          <cell r="P697" t="str">
            <v>$1157</v>
          </cell>
          <cell r="Q697">
            <v>45611</v>
          </cell>
          <cell r="R697" t="str">
            <v>Chennai</v>
          </cell>
          <cell r="S697" t="str">
            <v>Tablet</v>
          </cell>
          <cell r="T697" t="str">
            <v>online data analytic</v>
          </cell>
        </row>
        <row r="698">
          <cell r="A698" t="str">
            <v>A1696</v>
          </cell>
          <cell r="B698" t="str">
            <v>Data Analytics Course</v>
          </cell>
          <cell r="C698">
            <v>151</v>
          </cell>
          <cell r="D698">
            <v>151</v>
          </cell>
          <cell r="E698">
            <v>5656</v>
          </cell>
          <cell r="F698">
            <v>5656</v>
          </cell>
          <cell r="G698" t="str">
            <v>$191.95</v>
          </cell>
          <cell r="H698" t="str">
            <v>$191.95</v>
          </cell>
          <cell r="I698">
            <v>18</v>
          </cell>
          <cell r="J698">
            <v>18</v>
          </cell>
          <cell r="K698">
            <v>7</v>
          </cell>
          <cell r="L698">
            <v>7</v>
          </cell>
          <cell r="M698">
            <v>4.6357615894039736E-2</v>
          </cell>
          <cell r="O698" t="str">
            <v>$1813</v>
          </cell>
          <cell r="P698" t="str">
            <v>$1813</v>
          </cell>
          <cell r="Q698">
            <v>45598</v>
          </cell>
          <cell r="R698" t="str">
            <v>Bangaluru</v>
          </cell>
          <cell r="S698" t="str">
            <v>Mobile</v>
          </cell>
          <cell r="T698" t="str">
            <v>data analytics online</v>
          </cell>
        </row>
        <row r="699">
          <cell r="A699" t="str">
            <v>A1697</v>
          </cell>
          <cell r="B699" t="str">
            <v>Data Analytcis Course</v>
          </cell>
          <cell r="C699">
            <v>90</v>
          </cell>
          <cell r="D699">
            <v>90</v>
          </cell>
          <cell r="E699">
            <v>4566</v>
          </cell>
          <cell r="F699">
            <v>4566</v>
          </cell>
          <cell r="G699" t="str">
            <v>$228.82</v>
          </cell>
          <cell r="H699" t="str">
            <v>$228.82</v>
          </cell>
          <cell r="I699">
            <v>29</v>
          </cell>
          <cell r="J699">
            <v>29</v>
          </cell>
          <cell r="K699">
            <v>9</v>
          </cell>
          <cell r="L699">
            <v>9</v>
          </cell>
          <cell r="M699">
            <v>0.1</v>
          </cell>
          <cell r="N699">
            <v>5.0999999999999997E-2</v>
          </cell>
          <cell r="O699" t="str">
            <v>$1697</v>
          </cell>
          <cell r="P699" t="str">
            <v>$1697</v>
          </cell>
          <cell r="Q699">
            <v>45609</v>
          </cell>
          <cell r="R699" t="str">
            <v>Chennai</v>
          </cell>
          <cell r="S699" t="str">
            <v>Desktop</v>
          </cell>
          <cell r="T699" t="str">
            <v>data analytics training</v>
          </cell>
        </row>
        <row r="700">
          <cell r="A700" t="str">
            <v>A1698</v>
          </cell>
          <cell r="B700" t="str">
            <v>Data Analytics Course</v>
          </cell>
          <cell r="C700">
            <v>111</v>
          </cell>
          <cell r="D700">
            <v>111</v>
          </cell>
          <cell r="E700">
            <v>4245</v>
          </cell>
          <cell r="F700">
            <v>4245</v>
          </cell>
          <cell r="G700" t="str">
            <v>$245.76</v>
          </cell>
          <cell r="H700" t="str">
            <v>$245.76</v>
          </cell>
          <cell r="I700">
            <v>22</v>
          </cell>
          <cell r="J700">
            <v>22</v>
          </cell>
          <cell r="K700">
            <v>8</v>
          </cell>
          <cell r="L700">
            <v>8</v>
          </cell>
          <cell r="M700">
            <v>7.2072072072072071E-2</v>
          </cell>
          <cell r="N700">
            <v>7.1999999999999995E-2</v>
          </cell>
          <cell r="O700" t="str">
            <v>$1500</v>
          </cell>
          <cell r="Q700">
            <v>45603</v>
          </cell>
          <cell r="R700" t="str">
            <v>Chennai</v>
          </cell>
          <cell r="S700" t="str">
            <v>Desktop</v>
          </cell>
          <cell r="T700" t="str">
            <v>online data analytic</v>
          </cell>
        </row>
        <row r="701">
          <cell r="A701" t="str">
            <v>A1699</v>
          </cell>
          <cell r="B701" t="str">
            <v>Data Analytics Course</v>
          </cell>
          <cell r="C701">
            <v>170</v>
          </cell>
          <cell r="D701">
            <v>170</v>
          </cell>
          <cell r="E701">
            <v>5053</v>
          </cell>
          <cell r="F701">
            <v>5053</v>
          </cell>
          <cell r="G701" t="str">
            <v>$217.41</v>
          </cell>
          <cell r="H701" t="str">
            <v>$217.41</v>
          </cell>
          <cell r="I701">
            <v>16</v>
          </cell>
          <cell r="J701">
            <v>16</v>
          </cell>
          <cell r="K701">
            <v>9</v>
          </cell>
          <cell r="L701">
            <v>9</v>
          </cell>
          <cell r="M701">
            <v>5.2941176470588235E-2</v>
          </cell>
          <cell r="N701">
            <v>3.1E-2</v>
          </cell>
          <cell r="O701" t="str">
            <v>$1497</v>
          </cell>
          <cell r="P701" t="str">
            <v>$1497</v>
          </cell>
          <cell r="Q701">
            <v>45613</v>
          </cell>
          <cell r="R701" t="str">
            <v>Hyderabad</v>
          </cell>
          <cell r="S701" t="str">
            <v>Mobile</v>
          </cell>
          <cell r="T701" t="str">
            <v>data analytics training</v>
          </cell>
        </row>
        <row r="702">
          <cell r="A702" t="str">
            <v>A1700</v>
          </cell>
          <cell r="B702" t="str">
            <v>Data Analytics Course</v>
          </cell>
          <cell r="C702">
            <v>112</v>
          </cell>
          <cell r="D702">
            <v>112</v>
          </cell>
          <cell r="E702">
            <v>5093</v>
          </cell>
          <cell r="F702">
            <v>5093</v>
          </cell>
          <cell r="G702" t="str">
            <v>$228.8</v>
          </cell>
          <cell r="H702" t="str">
            <v>$228.8</v>
          </cell>
          <cell r="I702">
            <v>23</v>
          </cell>
          <cell r="J702">
            <v>23</v>
          </cell>
          <cell r="K702">
            <v>7</v>
          </cell>
          <cell r="L702">
            <v>7</v>
          </cell>
          <cell r="M702">
            <v>6.25E-2</v>
          </cell>
          <cell r="N702">
            <v>6.2E-2</v>
          </cell>
          <cell r="O702" t="str">
            <v>$1188</v>
          </cell>
          <cell r="P702" t="str">
            <v>$1188</v>
          </cell>
          <cell r="Q702">
            <v>45613</v>
          </cell>
          <cell r="R702" t="str">
            <v>Hyderabad</v>
          </cell>
          <cell r="S702" t="str">
            <v>Desktop</v>
          </cell>
          <cell r="T702" t="str">
            <v>analytics for data</v>
          </cell>
        </row>
        <row r="703">
          <cell r="A703" t="str">
            <v>A1701</v>
          </cell>
          <cell r="B703" t="str">
            <v>Data Analytics Course</v>
          </cell>
          <cell r="C703">
            <v>188</v>
          </cell>
          <cell r="D703">
            <v>188</v>
          </cell>
          <cell r="E703">
            <v>5336</v>
          </cell>
          <cell r="F703">
            <v>5336</v>
          </cell>
          <cell r="G703" t="str">
            <v>$188.73</v>
          </cell>
          <cell r="H703" t="str">
            <v>$188.73</v>
          </cell>
          <cell r="I703">
            <v>17</v>
          </cell>
          <cell r="J703">
            <v>17</v>
          </cell>
          <cell r="K703">
            <v>3</v>
          </cell>
          <cell r="L703">
            <v>3</v>
          </cell>
          <cell r="M703">
            <v>1.5957446808510637E-2</v>
          </cell>
          <cell r="N703">
            <v>1.6E-2</v>
          </cell>
          <cell r="O703" t="str">
            <v>$1601</v>
          </cell>
          <cell r="P703" t="str">
            <v>$1601</v>
          </cell>
          <cell r="Q703">
            <v>45599</v>
          </cell>
          <cell r="R703" t="str">
            <v>Hyderabad</v>
          </cell>
          <cell r="S703" t="str">
            <v>Tablet</v>
          </cell>
          <cell r="T703" t="str">
            <v>online data analytic</v>
          </cell>
        </row>
        <row r="704">
          <cell r="A704" t="str">
            <v>A1702</v>
          </cell>
          <cell r="B704" t="str">
            <v>Data Analytics Course</v>
          </cell>
          <cell r="C704">
            <v>85</v>
          </cell>
          <cell r="D704">
            <v>85</v>
          </cell>
          <cell r="E704">
            <v>4963</v>
          </cell>
          <cell r="F704">
            <v>4963</v>
          </cell>
          <cell r="G704" t="str">
            <v>$186.21</v>
          </cell>
          <cell r="H704" t="str">
            <v>$186.21</v>
          </cell>
          <cell r="I704">
            <v>14</v>
          </cell>
          <cell r="J704">
            <v>14</v>
          </cell>
          <cell r="K704">
            <v>6</v>
          </cell>
          <cell r="L704">
            <v>6</v>
          </cell>
          <cell r="M704">
            <v>7.0588235294117646E-2</v>
          </cell>
          <cell r="O704" t="str">
            <v>$1747</v>
          </cell>
          <cell r="P704" t="str">
            <v>$1747</v>
          </cell>
          <cell r="Q704">
            <v>45601</v>
          </cell>
          <cell r="R704" t="str">
            <v>Hyderabad</v>
          </cell>
          <cell r="S704" t="str">
            <v>Mobile</v>
          </cell>
          <cell r="T704" t="str">
            <v>data analytics course</v>
          </cell>
        </row>
        <row r="705">
          <cell r="A705" t="str">
            <v>A1703</v>
          </cell>
          <cell r="B705" t="str">
            <v>Data Analytcis Course</v>
          </cell>
          <cell r="C705">
            <v>94</v>
          </cell>
          <cell r="D705">
            <v>94</v>
          </cell>
          <cell r="E705">
            <v>4544</v>
          </cell>
          <cell r="F705">
            <v>4544</v>
          </cell>
          <cell r="G705" t="str">
            <v>$235.77</v>
          </cell>
          <cell r="H705" t="str">
            <v>$235.77</v>
          </cell>
          <cell r="I705">
            <v>23</v>
          </cell>
          <cell r="J705">
            <v>23</v>
          </cell>
          <cell r="K705">
            <v>8</v>
          </cell>
          <cell r="L705">
            <v>8</v>
          </cell>
          <cell r="M705">
            <v>8.5106382978723402E-2</v>
          </cell>
          <cell r="O705" t="str">
            <v>$1342</v>
          </cell>
          <cell r="P705" t="str">
            <v>$1342</v>
          </cell>
          <cell r="Q705">
            <v>45601</v>
          </cell>
          <cell r="R705" t="str">
            <v>Hyderabad</v>
          </cell>
          <cell r="S705" t="str">
            <v>Tablet</v>
          </cell>
          <cell r="T705" t="str">
            <v>online data analytic</v>
          </cell>
        </row>
        <row r="706">
          <cell r="A706" t="str">
            <v>A1704</v>
          </cell>
          <cell r="B706" t="str">
            <v>Data Analytcis Course</v>
          </cell>
          <cell r="C706">
            <v>177</v>
          </cell>
          <cell r="D706">
            <v>177</v>
          </cell>
          <cell r="E706">
            <v>4901</v>
          </cell>
          <cell r="F706">
            <v>4901</v>
          </cell>
          <cell r="G706" t="str">
            <v>$217.54</v>
          </cell>
          <cell r="H706" t="str">
            <v>$217.54</v>
          </cell>
          <cell r="I706">
            <v>20</v>
          </cell>
          <cell r="J706">
            <v>20</v>
          </cell>
          <cell r="K706">
            <v>10</v>
          </cell>
          <cell r="L706">
            <v>10</v>
          </cell>
          <cell r="M706">
            <v>5.6497175141242938E-2</v>
          </cell>
          <cell r="N706">
            <v>5.6000000000000001E-2</v>
          </cell>
          <cell r="O706" t="str">
            <v>$1975</v>
          </cell>
          <cell r="P706" t="str">
            <v>$1975</v>
          </cell>
          <cell r="Q706">
            <v>45609</v>
          </cell>
          <cell r="R706" t="str">
            <v>Hyderabad</v>
          </cell>
          <cell r="S706" t="str">
            <v>Tablet</v>
          </cell>
          <cell r="T706" t="str">
            <v>data analytics online</v>
          </cell>
        </row>
        <row r="707">
          <cell r="A707" t="str">
            <v>A1705</v>
          </cell>
          <cell r="B707" t="str">
            <v>Data Analytics Course</v>
          </cell>
          <cell r="C707">
            <v>150</v>
          </cell>
          <cell r="D707">
            <v>150</v>
          </cell>
          <cell r="E707">
            <v>5275</v>
          </cell>
          <cell r="F707">
            <v>5275</v>
          </cell>
          <cell r="G707" t="str">
            <v>$192.7</v>
          </cell>
          <cell r="H707" t="str">
            <v>$192.7</v>
          </cell>
          <cell r="I707">
            <v>14</v>
          </cell>
          <cell r="J707">
            <v>14</v>
          </cell>
          <cell r="K707">
            <v>4</v>
          </cell>
          <cell r="L707">
            <v>4</v>
          </cell>
          <cell r="M707">
            <v>2.6666666666666668E-2</v>
          </cell>
          <cell r="N707">
            <v>2.7E-2</v>
          </cell>
          <cell r="O707" t="str">
            <v>$1170</v>
          </cell>
          <cell r="P707" t="str">
            <v>$1170</v>
          </cell>
          <cell r="Q707">
            <v>45623</v>
          </cell>
          <cell r="R707" t="str">
            <v>Bangaluru</v>
          </cell>
          <cell r="S707" t="str">
            <v>Tablet</v>
          </cell>
          <cell r="T707" t="str">
            <v>data analytics online</v>
          </cell>
        </row>
        <row r="708">
          <cell r="A708" t="str">
            <v>A1706</v>
          </cell>
          <cell r="B708" t="str">
            <v>Data Analytcis Course</v>
          </cell>
          <cell r="C708">
            <v>88</v>
          </cell>
          <cell r="D708">
            <v>88</v>
          </cell>
          <cell r="E708">
            <v>5225</v>
          </cell>
          <cell r="F708">
            <v>5225</v>
          </cell>
          <cell r="G708" t="str">
            <v>$202.97</v>
          </cell>
          <cell r="H708" t="str">
            <v>$202.97</v>
          </cell>
          <cell r="I708">
            <v>22</v>
          </cell>
          <cell r="J708">
            <v>22</v>
          </cell>
          <cell r="K708">
            <v>6</v>
          </cell>
          <cell r="L708">
            <v>6</v>
          </cell>
          <cell r="M708">
            <v>6.8181818181818177E-2</v>
          </cell>
          <cell r="N708">
            <v>6.8000000000000005E-2</v>
          </cell>
          <cell r="O708" t="str">
            <v>$1128</v>
          </cell>
          <cell r="P708" t="str">
            <v>$1128</v>
          </cell>
          <cell r="Q708">
            <v>45609</v>
          </cell>
          <cell r="R708" t="str">
            <v>Chennai</v>
          </cell>
          <cell r="S708" t="str">
            <v>Tablet</v>
          </cell>
          <cell r="T708" t="str">
            <v>online data analytic</v>
          </cell>
        </row>
        <row r="709">
          <cell r="A709" t="str">
            <v>A1707</v>
          </cell>
          <cell r="B709" t="str">
            <v>Data Analytics Course</v>
          </cell>
          <cell r="C709">
            <v>128</v>
          </cell>
          <cell r="D709">
            <v>128</v>
          </cell>
          <cell r="E709">
            <v>4857</v>
          </cell>
          <cell r="F709">
            <v>4857</v>
          </cell>
          <cell r="G709" t="str">
            <v>$212.61</v>
          </cell>
          <cell r="H709" t="str">
            <v>$212.61</v>
          </cell>
          <cell r="I709">
            <v>14</v>
          </cell>
          <cell r="J709">
            <v>14</v>
          </cell>
          <cell r="K709">
            <v>5</v>
          </cell>
          <cell r="L709">
            <v>5</v>
          </cell>
          <cell r="M709">
            <v>3.90625E-2</v>
          </cell>
          <cell r="N709">
            <v>3.9E-2</v>
          </cell>
          <cell r="O709" t="str">
            <v>$1538</v>
          </cell>
          <cell r="P709" t="str">
            <v>$1538</v>
          </cell>
          <cell r="Q709">
            <v>45621</v>
          </cell>
          <cell r="R709" t="str">
            <v>Chennai</v>
          </cell>
          <cell r="S709" t="str">
            <v>Desktop</v>
          </cell>
          <cell r="T709" t="str">
            <v>data analytics online</v>
          </cell>
        </row>
        <row r="710">
          <cell r="A710" t="str">
            <v>A1708</v>
          </cell>
          <cell r="B710" t="str">
            <v>Data Analytcis Course</v>
          </cell>
          <cell r="C710">
            <v>163</v>
          </cell>
          <cell r="D710">
            <v>163</v>
          </cell>
          <cell r="E710">
            <v>5310</v>
          </cell>
          <cell r="F710">
            <v>5310</v>
          </cell>
          <cell r="G710" t="str">
            <v>$242.76</v>
          </cell>
          <cell r="H710" t="str">
            <v>$242.76</v>
          </cell>
          <cell r="I710">
            <v>26</v>
          </cell>
          <cell r="J710">
            <v>26</v>
          </cell>
          <cell r="K710">
            <v>9</v>
          </cell>
          <cell r="L710">
            <v>9</v>
          </cell>
          <cell r="M710">
            <v>5.5214723926380369E-2</v>
          </cell>
          <cell r="N710">
            <v>5.5E-2</v>
          </cell>
          <cell r="O710" t="str">
            <v>$1793</v>
          </cell>
          <cell r="P710" t="str">
            <v>$1793</v>
          </cell>
          <cell r="Q710">
            <v>45608</v>
          </cell>
          <cell r="R710" t="str">
            <v>Hyderabad</v>
          </cell>
          <cell r="S710" t="str">
            <v>Mobile</v>
          </cell>
          <cell r="T710" t="str">
            <v>learn data analytics</v>
          </cell>
        </row>
        <row r="711">
          <cell r="A711" t="str">
            <v>A1709</v>
          </cell>
          <cell r="B711" t="str">
            <v>Data Analytics Course</v>
          </cell>
          <cell r="C711">
            <v>147</v>
          </cell>
          <cell r="D711">
            <v>147</v>
          </cell>
          <cell r="E711">
            <v>5014</v>
          </cell>
          <cell r="F711">
            <v>5014</v>
          </cell>
          <cell r="G711" t="str">
            <v>$193.08</v>
          </cell>
          <cell r="H711" t="str">
            <v>$193.08</v>
          </cell>
          <cell r="I711">
            <v>12</v>
          </cell>
          <cell r="J711">
            <v>12</v>
          </cell>
          <cell r="K711">
            <v>8</v>
          </cell>
          <cell r="L711">
            <v>8</v>
          </cell>
          <cell r="M711">
            <v>5.4421768707482991E-2</v>
          </cell>
          <cell r="N711">
            <v>5.3999999999999999E-2</v>
          </cell>
          <cell r="O711" t="str">
            <v>$1017</v>
          </cell>
          <cell r="P711" t="str">
            <v>$1017</v>
          </cell>
          <cell r="Q711">
            <v>45607</v>
          </cell>
          <cell r="R711" t="str">
            <v>Hyderabad</v>
          </cell>
          <cell r="S711" t="str">
            <v>Tablet</v>
          </cell>
          <cell r="T711" t="str">
            <v>online data analytic</v>
          </cell>
        </row>
        <row r="712">
          <cell r="A712" t="str">
            <v>A1710</v>
          </cell>
          <cell r="B712" t="str">
            <v>Data Analytics Course</v>
          </cell>
          <cell r="C712">
            <v>191</v>
          </cell>
          <cell r="D712">
            <v>191</v>
          </cell>
          <cell r="E712">
            <v>5855</v>
          </cell>
          <cell r="F712">
            <v>5855</v>
          </cell>
          <cell r="G712" t="str">
            <v>$196.54</v>
          </cell>
          <cell r="H712" t="str">
            <v>$196.54</v>
          </cell>
          <cell r="I712">
            <v>29</v>
          </cell>
          <cell r="J712">
            <v>29</v>
          </cell>
          <cell r="K712">
            <v>3</v>
          </cell>
          <cell r="L712">
            <v>3</v>
          </cell>
          <cell r="M712">
            <v>1.5706806282722512E-2</v>
          </cell>
          <cell r="N712">
            <v>1.6E-2</v>
          </cell>
          <cell r="O712" t="str">
            <v>$1085</v>
          </cell>
          <cell r="P712" t="str">
            <v>$1085</v>
          </cell>
          <cell r="Q712">
            <v>45617</v>
          </cell>
          <cell r="R712" t="str">
            <v>Chennai</v>
          </cell>
          <cell r="S712" t="str">
            <v>Desktop</v>
          </cell>
          <cell r="T712" t="str">
            <v>data analytics course</v>
          </cell>
        </row>
        <row r="713">
          <cell r="A713" t="str">
            <v>A1711</v>
          </cell>
          <cell r="B713" t="str">
            <v>Data Analytics Course</v>
          </cell>
          <cell r="C713">
            <v>138.95699356913184</v>
          </cell>
          <cell r="E713">
            <v>5916</v>
          </cell>
          <cell r="F713">
            <v>5916</v>
          </cell>
          <cell r="G713" t="str">
            <v>$234.46</v>
          </cell>
          <cell r="H713" t="str">
            <v>$234.46</v>
          </cell>
          <cell r="I713">
            <v>17</v>
          </cell>
          <cell r="J713">
            <v>17</v>
          </cell>
          <cell r="K713">
            <v>6</v>
          </cell>
          <cell r="L713">
            <v>6</v>
          </cell>
          <cell r="M713">
            <v>4.317882710246583E-2</v>
          </cell>
          <cell r="N713">
            <v>4.3999999999999997E-2</v>
          </cell>
          <cell r="O713" t="str">
            <v>$1982</v>
          </cell>
          <cell r="P713" t="str">
            <v>$1982</v>
          </cell>
          <cell r="Q713">
            <v>45598</v>
          </cell>
          <cell r="R713" t="str">
            <v>Bangaluru</v>
          </cell>
          <cell r="S713" t="str">
            <v>Desktop</v>
          </cell>
          <cell r="T713" t="str">
            <v>data analytics course</v>
          </cell>
        </row>
        <row r="714">
          <cell r="A714" t="str">
            <v>A1712</v>
          </cell>
          <cell r="B714" t="str">
            <v>Data Analytcis Course</v>
          </cell>
          <cell r="C714">
            <v>115</v>
          </cell>
          <cell r="D714">
            <v>115</v>
          </cell>
          <cell r="E714">
            <v>3952</v>
          </cell>
          <cell r="F714">
            <v>3952</v>
          </cell>
          <cell r="G714" t="str">
            <v>$229.18</v>
          </cell>
          <cell r="H714" t="str">
            <v>$229.18</v>
          </cell>
          <cell r="I714">
            <v>25</v>
          </cell>
          <cell r="J714">
            <v>25</v>
          </cell>
          <cell r="K714">
            <v>4</v>
          </cell>
          <cell r="L714">
            <v>4</v>
          </cell>
          <cell r="M714">
            <v>3.4782608695652174E-2</v>
          </cell>
          <cell r="N714">
            <v>3.5000000000000003E-2</v>
          </cell>
          <cell r="O714" t="str">
            <v>$1440</v>
          </cell>
          <cell r="P714" t="str">
            <v>$1440</v>
          </cell>
          <cell r="Q714">
            <v>45616</v>
          </cell>
          <cell r="R714" t="str">
            <v>Hyderabad</v>
          </cell>
          <cell r="S714" t="str">
            <v>Tablet</v>
          </cell>
          <cell r="T714" t="str">
            <v>online data analytic</v>
          </cell>
        </row>
        <row r="715">
          <cell r="A715" t="str">
            <v>A1713</v>
          </cell>
          <cell r="B715" t="str">
            <v>Data Analytics Course</v>
          </cell>
          <cell r="C715">
            <v>123</v>
          </cell>
          <cell r="D715">
            <v>123</v>
          </cell>
          <cell r="E715">
            <v>4208</v>
          </cell>
          <cell r="F715">
            <v>4208</v>
          </cell>
          <cell r="G715" t="str">
            <v>$212.92</v>
          </cell>
          <cell r="H715" t="str">
            <v>$212.92</v>
          </cell>
          <cell r="I715">
            <v>29</v>
          </cell>
          <cell r="J715">
            <v>29</v>
          </cell>
          <cell r="K715">
            <v>6</v>
          </cell>
          <cell r="L715">
            <v>6</v>
          </cell>
          <cell r="M715">
            <v>4.878048780487805E-2</v>
          </cell>
          <cell r="N715">
            <v>4.9000000000000002E-2</v>
          </cell>
          <cell r="O715" t="str">
            <v>$1184</v>
          </cell>
          <cell r="P715" t="str">
            <v>$1184</v>
          </cell>
          <cell r="Q715">
            <v>45601</v>
          </cell>
          <cell r="R715" t="str">
            <v>Chennai</v>
          </cell>
          <cell r="S715" t="str">
            <v>Desktop</v>
          </cell>
          <cell r="T715" t="str">
            <v>learn data analytics</v>
          </cell>
        </row>
        <row r="716">
          <cell r="A716" t="str">
            <v>A1714</v>
          </cell>
          <cell r="B716" t="str">
            <v>Data Analytics Course</v>
          </cell>
          <cell r="C716">
            <v>121</v>
          </cell>
          <cell r="D716">
            <v>121</v>
          </cell>
          <cell r="E716">
            <v>5517</v>
          </cell>
          <cell r="F716">
            <v>5517</v>
          </cell>
          <cell r="G716" t="str">
            <v>$222.14</v>
          </cell>
          <cell r="H716" t="str">
            <v>$222.14</v>
          </cell>
          <cell r="I716">
            <v>16</v>
          </cell>
          <cell r="J716">
            <v>16</v>
          </cell>
          <cell r="K716">
            <v>7</v>
          </cell>
          <cell r="L716">
            <v>7</v>
          </cell>
          <cell r="M716">
            <v>5.7851239669421489E-2</v>
          </cell>
          <cell r="O716" t="str">
            <v>$1682</v>
          </cell>
          <cell r="P716" t="str">
            <v>$1682</v>
          </cell>
          <cell r="Q716">
            <v>45598</v>
          </cell>
          <cell r="R716" t="str">
            <v>Hyderabad</v>
          </cell>
          <cell r="S716" t="str">
            <v>Tablet</v>
          </cell>
          <cell r="T716" t="str">
            <v>learn data analytics</v>
          </cell>
        </row>
        <row r="717">
          <cell r="A717" t="str">
            <v>A1715</v>
          </cell>
          <cell r="B717" t="str">
            <v>Data Analytcis Course</v>
          </cell>
          <cell r="C717">
            <v>126</v>
          </cell>
          <cell r="D717">
            <v>126</v>
          </cell>
          <cell r="E717">
            <v>5460</v>
          </cell>
          <cell r="F717">
            <v>5460</v>
          </cell>
          <cell r="G717" t="str">
            <v>$210.83</v>
          </cell>
          <cell r="H717" t="str">
            <v>$210.83</v>
          </cell>
          <cell r="I717">
            <v>24</v>
          </cell>
          <cell r="J717">
            <v>24</v>
          </cell>
          <cell r="K717">
            <v>10</v>
          </cell>
          <cell r="L717">
            <v>10</v>
          </cell>
          <cell r="M717">
            <v>7.9365079365079361E-2</v>
          </cell>
          <cell r="N717">
            <v>7.9000000000000001E-2</v>
          </cell>
          <cell r="O717" t="str">
            <v>$1326</v>
          </cell>
          <cell r="P717" t="str">
            <v>$1326</v>
          </cell>
          <cell r="Q717">
            <v>45610</v>
          </cell>
          <cell r="R717" t="str">
            <v>Bangaluru</v>
          </cell>
          <cell r="S717" t="str">
            <v>Tablet</v>
          </cell>
          <cell r="T717" t="str">
            <v>online data analytic</v>
          </cell>
        </row>
        <row r="718">
          <cell r="A718" t="str">
            <v>A1716</v>
          </cell>
          <cell r="B718" t="str">
            <v>Data Analytics Course</v>
          </cell>
          <cell r="C718">
            <v>110</v>
          </cell>
          <cell r="D718">
            <v>110</v>
          </cell>
          <cell r="E718">
            <v>3159</v>
          </cell>
          <cell r="F718">
            <v>3159</v>
          </cell>
          <cell r="G718" t="str">
            <v>$197.92</v>
          </cell>
          <cell r="H718" t="str">
            <v>$197.92</v>
          </cell>
          <cell r="I718">
            <v>26</v>
          </cell>
          <cell r="J718">
            <v>26</v>
          </cell>
          <cell r="K718">
            <v>10</v>
          </cell>
          <cell r="L718">
            <v>10</v>
          </cell>
          <cell r="M718">
            <v>9.0909090909090912E-2</v>
          </cell>
          <cell r="N718">
            <v>9.0999999999999998E-2</v>
          </cell>
          <cell r="O718" t="str">
            <v>$1608</v>
          </cell>
          <cell r="P718" t="str">
            <v>$1608</v>
          </cell>
          <cell r="Q718">
            <v>45614</v>
          </cell>
          <cell r="R718" t="str">
            <v>Bangaluru</v>
          </cell>
          <cell r="S718" t="str">
            <v>Mobile</v>
          </cell>
          <cell r="T718" t="str">
            <v>data analytics online</v>
          </cell>
        </row>
        <row r="719">
          <cell r="A719" t="str">
            <v>A1717</v>
          </cell>
          <cell r="B719" t="str">
            <v>Data Analytics Course</v>
          </cell>
          <cell r="C719">
            <v>190</v>
          </cell>
          <cell r="D719">
            <v>190</v>
          </cell>
          <cell r="E719">
            <v>5545</v>
          </cell>
          <cell r="F719">
            <v>5545</v>
          </cell>
          <cell r="G719" t="str">
            <v>$223.96</v>
          </cell>
          <cell r="H719" t="str">
            <v>$223.96</v>
          </cell>
          <cell r="I719">
            <v>13</v>
          </cell>
          <cell r="J719">
            <v>13</v>
          </cell>
          <cell r="K719">
            <v>7</v>
          </cell>
          <cell r="L719">
            <v>7</v>
          </cell>
          <cell r="M719">
            <v>3.6842105263157891E-2</v>
          </cell>
          <cell r="N719">
            <v>3.6999999999999998E-2</v>
          </cell>
          <cell r="O719" t="str">
            <v>$1344</v>
          </cell>
          <cell r="P719" t="str">
            <v>$1344</v>
          </cell>
          <cell r="Q719">
            <v>45610</v>
          </cell>
          <cell r="R719" t="str">
            <v>Chennai</v>
          </cell>
          <cell r="S719" t="str">
            <v>Tablet</v>
          </cell>
          <cell r="T719" t="str">
            <v>analytics for data</v>
          </cell>
        </row>
        <row r="720">
          <cell r="A720" t="str">
            <v>A1718</v>
          </cell>
          <cell r="B720" t="str">
            <v>Data Analytics Course</v>
          </cell>
          <cell r="C720">
            <v>148</v>
          </cell>
          <cell r="D720">
            <v>148</v>
          </cell>
          <cell r="E720">
            <v>3668</v>
          </cell>
          <cell r="F720">
            <v>3668</v>
          </cell>
          <cell r="G720" t="str">
            <v>$245.79</v>
          </cell>
          <cell r="H720" t="str">
            <v>$245.79</v>
          </cell>
          <cell r="I720">
            <v>15</v>
          </cell>
          <cell r="J720">
            <v>15</v>
          </cell>
          <cell r="K720">
            <v>10</v>
          </cell>
          <cell r="L720">
            <v>10</v>
          </cell>
          <cell r="M720">
            <v>6.7567567567567571E-2</v>
          </cell>
          <cell r="N720">
            <v>6.8000000000000005E-2</v>
          </cell>
          <cell r="O720" t="str">
            <v>$1718</v>
          </cell>
          <cell r="P720" t="str">
            <v>$1718</v>
          </cell>
          <cell r="Q720">
            <v>45621</v>
          </cell>
          <cell r="R720" t="str">
            <v>Hyderabad</v>
          </cell>
          <cell r="S720" t="str">
            <v>Desktop</v>
          </cell>
          <cell r="T720" t="str">
            <v>data analytics course</v>
          </cell>
        </row>
        <row r="721">
          <cell r="A721" t="str">
            <v>A1719</v>
          </cell>
          <cell r="B721" t="str">
            <v>Data Analytics Course</v>
          </cell>
          <cell r="C721">
            <v>86</v>
          </cell>
          <cell r="D721">
            <v>86</v>
          </cell>
          <cell r="E721">
            <v>5663</v>
          </cell>
          <cell r="F721">
            <v>5663</v>
          </cell>
          <cell r="G721" t="str">
            <v>$231.79</v>
          </cell>
          <cell r="H721" t="str">
            <v>$231.79</v>
          </cell>
          <cell r="I721">
            <v>19</v>
          </cell>
          <cell r="J721">
            <v>19</v>
          </cell>
          <cell r="K721">
            <v>10</v>
          </cell>
          <cell r="L721">
            <v>10</v>
          </cell>
          <cell r="M721">
            <v>0.11627906976744186</v>
          </cell>
          <cell r="N721">
            <v>0.11600000000000001</v>
          </cell>
          <cell r="O721" t="str">
            <v>$1547</v>
          </cell>
          <cell r="P721" t="str">
            <v>$1547</v>
          </cell>
          <cell r="Q721">
            <v>45613</v>
          </cell>
          <cell r="R721" t="str">
            <v>Hyderabad</v>
          </cell>
          <cell r="S721" t="str">
            <v>Mobile</v>
          </cell>
          <cell r="T721" t="str">
            <v>data analytics training</v>
          </cell>
        </row>
        <row r="722">
          <cell r="A722" t="str">
            <v>A1720</v>
          </cell>
          <cell r="B722" t="str">
            <v>Data Analytics Course</v>
          </cell>
          <cell r="C722">
            <v>172</v>
          </cell>
          <cell r="D722">
            <v>172</v>
          </cell>
          <cell r="E722">
            <v>3123</v>
          </cell>
          <cell r="F722">
            <v>3123</v>
          </cell>
          <cell r="G722" t="str">
            <v>$216.67</v>
          </cell>
          <cell r="H722" t="str">
            <v>$216.67</v>
          </cell>
          <cell r="I722">
            <v>15</v>
          </cell>
          <cell r="J722">
            <v>15</v>
          </cell>
          <cell r="K722">
            <v>6.5090709180868611</v>
          </cell>
          <cell r="M722">
            <v>3.7843435570272449E-2</v>
          </cell>
          <cell r="O722" t="str">
            <v>$1759</v>
          </cell>
          <cell r="P722" t="str">
            <v>$1759</v>
          </cell>
          <cell r="Q722">
            <v>45598</v>
          </cell>
          <cell r="R722" t="str">
            <v>Bangaluru</v>
          </cell>
          <cell r="S722" t="str">
            <v>Desktop</v>
          </cell>
          <cell r="T722" t="str">
            <v>online data analytic</v>
          </cell>
        </row>
        <row r="723">
          <cell r="A723" t="str">
            <v>A1721</v>
          </cell>
          <cell r="B723" t="str">
            <v>Data Analytics Course</v>
          </cell>
          <cell r="C723">
            <v>143</v>
          </cell>
          <cell r="D723">
            <v>143</v>
          </cell>
          <cell r="E723">
            <v>5638</v>
          </cell>
          <cell r="F723">
            <v>5638</v>
          </cell>
          <cell r="G723" t="str">
            <v>$229.41</v>
          </cell>
          <cell r="H723" t="str">
            <v>$229.41</v>
          </cell>
          <cell r="I723">
            <v>23</v>
          </cell>
          <cell r="J723">
            <v>23</v>
          </cell>
          <cell r="K723">
            <v>4</v>
          </cell>
          <cell r="L723">
            <v>4</v>
          </cell>
          <cell r="M723">
            <v>2.7972027972027972E-2</v>
          </cell>
          <cell r="N723">
            <v>5.8000000000000003E-2</v>
          </cell>
          <cell r="O723" t="str">
            <v>$1398</v>
          </cell>
          <cell r="P723" t="str">
            <v>$1398</v>
          </cell>
          <cell r="Q723">
            <v>45599</v>
          </cell>
          <cell r="R723" t="str">
            <v>Chennai</v>
          </cell>
          <cell r="S723" t="str">
            <v>Desktop</v>
          </cell>
          <cell r="T723" t="str">
            <v>online data analytic</v>
          </cell>
        </row>
        <row r="724">
          <cell r="A724" t="str">
            <v>A1722</v>
          </cell>
          <cell r="B724" t="str">
            <v>Data Analytics Course</v>
          </cell>
          <cell r="C724">
            <v>172</v>
          </cell>
          <cell r="D724">
            <v>172</v>
          </cell>
          <cell r="E724">
            <v>4436</v>
          </cell>
          <cell r="F724">
            <v>4436</v>
          </cell>
          <cell r="G724" t="str">
            <v>$232.16</v>
          </cell>
          <cell r="H724" t="str">
            <v>$232.16</v>
          </cell>
          <cell r="I724">
            <v>21</v>
          </cell>
          <cell r="J724">
            <v>21</v>
          </cell>
          <cell r="K724">
            <v>7</v>
          </cell>
          <cell r="L724">
            <v>7</v>
          </cell>
          <cell r="M724">
            <v>4.0697674418604654E-2</v>
          </cell>
          <cell r="N724">
            <v>4.1000000000000002E-2</v>
          </cell>
          <cell r="O724" t="str">
            <v>$1050</v>
          </cell>
          <cell r="P724" t="str">
            <v>$1050</v>
          </cell>
          <cell r="Q724">
            <v>45623</v>
          </cell>
          <cell r="R724" t="str">
            <v>Hyderabad</v>
          </cell>
          <cell r="S724" t="str">
            <v>Mobile</v>
          </cell>
          <cell r="T724" t="str">
            <v>learn data analytics</v>
          </cell>
        </row>
        <row r="725">
          <cell r="A725" t="str">
            <v>A1723</v>
          </cell>
          <cell r="B725" t="str">
            <v>Data Analytcis Course</v>
          </cell>
          <cell r="C725">
            <v>138</v>
          </cell>
          <cell r="D725">
            <v>138</v>
          </cell>
          <cell r="E725">
            <v>5555</v>
          </cell>
          <cell r="F725">
            <v>5555</v>
          </cell>
          <cell r="G725" t="str">
            <v>$188.55</v>
          </cell>
          <cell r="H725" t="str">
            <v>$188.55</v>
          </cell>
          <cell r="I725">
            <v>14</v>
          </cell>
          <cell r="J725">
            <v>14</v>
          </cell>
          <cell r="K725">
            <v>8</v>
          </cell>
          <cell r="L725">
            <v>8</v>
          </cell>
          <cell r="M725">
            <v>5.7971014492753624E-2</v>
          </cell>
          <cell r="N725">
            <v>5.8000000000000003E-2</v>
          </cell>
          <cell r="O725" t="str">
            <v>$1593</v>
          </cell>
          <cell r="P725" t="str">
            <v>$1593</v>
          </cell>
          <cell r="Q725">
            <v>45620</v>
          </cell>
          <cell r="R725" t="str">
            <v>Bangaluru</v>
          </cell>
          <cell r="S725" t="str">
            <v>Desktop</v>
          </cell>
          <cell r="T725" t="str">
            <v>data analytics training</v>
          </cell>
        </row>
        <row r="726">
          <cell r="A726" t="str">
            <v>A1724</v>
          </cell>
          <cell r="B726" t="str">
            <v>Data Analytcis Course</v>
          </cell>
          <cell r="C726">
            <v>132</v>
          </cell>
          <cell r="D726">
            <v>132</v>
          </cell>
          <cell r="E726">
            <v>4972</v>
          </cell>
          <cell r="F726">
            <v>4972</v>
          </cell>
          <cell r="G726" t="str">
            <v>$248.45</v>
          </cell>
          <cell r="H726" t="str">
            <v>$248.45</v>
          </cell>
          <cell r="I726">
            <v>25</v>
          </cell>
          <cell r="J726">
            <v>25</v>
          </cell>
          <cell r="K726">
            <v>9</v>
          </cell>
          <cell r="L726">
            <v>9</v>
          </cell>
          <cell r="M726">
            <v>6.8181818181818177E-2</v>
          </cell>
          <cell r="O726" t="str">
            <v>$1126</v>
          </cell>
          <cell r="P726" t="str">
            <v>$1126</v>
          </cell>
          <cell r="Q726">
            <v>45615</v>
          </cell>
          <cell r="R726" t="str">
            <v>Hyderabad</v>
          </cell>
          <cell r="S726" t="str">
            <v>Tablet</v>
          </cell>
          <cell r="T726" t="str">
            <v>data analytics online</v>
          </cell>
        </row>
        <row r="727">
          <cell r="A727" t="str">
            <v>A1725</v>
          </cell>
          <cell r="B727" t="str">
            <v>Data Analytcis Course</v>
          </cell>
          <cell r="C727">
            <v>174</v>
          </cell>
          <cell r="D727">
            <v>174</v>
          </cell>
          <cell r="E727">
            <v>3231</v>
          </cell>
          <cell r="F727">
            <v>3231</v>
          </cell>
          <cell r="G727" t="str">
            <v>$200.00</v>
          </cell>
          <cell r="I727">
            <v>10</v>
          </cell>
          <cell r="J727">
            <v>10</v>
          </cell>
          <cell r="K727">
            <v>7</v>
          </cell>
          <cell r="L727">
            <v>7</v>
          </cell>
          <cell r="M727">
            <v>4.0229885057471264E-2</v>
          </cell>
          <cell r="N727">
            <v>0.04</v>
          </cell>
          <cell r="O727" t="str">
            <v>$1128</v>
          </cell>
          <cell r="P727" t="str">
            <v>$1128</v>
          </cell>
          <cell r="Q727">
            <v>45608</v>
          </cell>
          <cell r="R727" t="str">
            <v>Hyderabad</v>
          </cell>
          <cell r="S727" t="str">
            <v>Mobile</v>
          </cell>
          <cell r="T727" t="str">
            <v>data analytics course</v>
          </cell>
        </row>
        <row r="728">
          <cell r="A728" t="str">
            <v>A1726</v>
          </cell>
          <cell r="B728" t="str">
            <v>Data Analytcis Course</v>
          </cell>
          <cell r="C728">
            <v>154</v>
          </cell>
          <cell r="D728">
            <v>154</v>
          </cell>
          <cell r="E728">
            <v>3461</v>
          </cell>
          <cell r="F728">
            <v>3461</v>
          </cell>
          <cell r="G728" t="str">
            <v>$235.36</v>
          </cell>
          <cell r="H728" t="str">
            <v>$235.36</v>
          </cell>
          <cell r="I728">
            <v>18</v>
          </cell>
          <cell r="J728">
            <v>18</v>
          </cell>
          <cell r="K728">
            <v>4</v>
          </cell>
          <cell r="L728">
            <v>4</v>
          </cell>
          <cell r="M728">
            <v>2.5974025974025976E-2</v>
          </cell>
          <cell r="O728" t="str">
            <v>$1212</v>
          </cell>
          <cell r="P728" t="str">
            <v>$1212</v>
          </cell>
          <cell r="Q728">
            <v>45614</v>
          </cell>
          <cell r="R728" t="str">
            <v>Bangaluru</v>
          </cell>
          <cell r="S728" t="str">
            <v>Tablet</v>
          </cell>
          <cell r="T728" t="str">
            <v>data analytics online</v>
          </cell>
        </row>
        <row r="729">
          <cell r="A729" t="str">
            <v>A1727</v>
          </cell>
          <cell r="B729" t="str">
            <v>Data Analytcis Course</v>
          </cell>
          <cell r="C729">
            <v>126</v>
          </cell>
          <cell r="D729">
            <v>126</v>
          </cell>
          <cell r="E729">
            <v>3423</v>
          </cell>
          <cell r="F729">
            <v>3423</v>
          </cell>
          <cell r="G729" t="str">
            <v>$236.21</v>
          </cell>
          <cell r="H729" t="str">
            <v>$236.21</v>
          </cell>
          <cell r="I729">
            <v>25</v>
          </cell>
          <cell r="J729">
            <v>25</v>
          </cell>
          <cell r="K729">
            <v>9</v>
          </cell>
          <cell r="L729">
            <v>9</v>
          </cell>
          <cell r="M729">
            <v>7.1428571428571425E-2</v>
          </cell>
          <cell r="N729">
            <v>7.0999999999999994E-2</v>
          </cell>
          <cell r="O729" t="str">
            <v>$1106</v>
          </cell>
          <cell r="P729" t="str">
            <v>$1106</v>
          </cell>
          <cell r="Q729">
            <v>45616</v>
          </cell>
          <cell r="R729" t="str">
            <v>Hyderabad</v>
          </cell>
          <cell r="S729" t="str">
            <v>Tablet</v>
          </cell>
          <cell r="T729" t="str">
            <v>data analytics training</v>
          </cell>
        </row>
        <row r="730">
          <cell r="A730" t="str">
            <v>A1728</v>
          </cell>
          <cell r="B730" t="str">
            <v>Data Analytics Course</v>
          </cell>
          <cell r="C730">
            <v>138</v>
          </cell>
          <cell r="D730">
            <v>138</v>
          </cell>
          <cell r="E730">
            <v>4025</v>
          </cell>
          <cell r="F730">
            <v>4025</v>
          </cell>
          <cell r="G730" t="str">
            <v>$220.96</v>
          </cell>
          <cell r="H730" t="str">
            <v>$220.96</v>
          </cell>
          <cell r="I730">
            <v>21</v>
          </cell>
          <cell r="J730">
            <v>21</v>
          </cell>
          <cell r="K730">
            <v>7</v>
          </cell>
          <cell r="L730">
            <v>7</v>
          </cell>
          <cell r="M730">
            <v>5.0724637681159424E-2</v>
          </cell>
          <cell r="N730">
            <v>5.0999999999999997E-2</v>
          </cell>
          <cell r="O730" t="str">
            <v>$1416</v>
          </cell>
          <cell r="P730" t="str">
            <v>$1416</v>
          </cell>
          <cell r="Q730">
            <v>45620</v>
          </cell>
          <cell r="R730" t="str">
            <v>Hyderabad</v>
          </cell>
          <cell r="S730" t="str">
            <v>Tablet</v>
          </cell>
          <cell r="T730" t="str">
            <v>data analytics online</v>
          </cell>
        </row>
        <row r="731">
          <cell r="A731" t="str">
            <v>A1729</v>
          </cell>
          <cell r="B731" t="str">
            <v>Data Analytcis Course</v>
          </cell>
          <cell r="C731">
            <v>193</v>
          </cell>
          <cell r="D731">
            <v>193</v>
          </cell>
          <cell r="E731">
            <v>3800</v>
          </cell>
          <cell r="F731">
            <v>3800</v>
          </cell>
          <cell r="G731" t="str">
            <v>$199.76</v>
          </cell>
          <cell r="H731" t="str">
            <v>$199.76</v>
          </cell>
          <cell r="I731">
            <v>27</v>
          </cell>
          <cell r="J731">
            <v>27</v>
          </cell>
          <cell r="K731">
            <v>9</v>
          </cell>
          <cell r="L731">
            <v>9</v>
          </cell>
          <cell r="M731">
            <v>4.6632124352331605E-2</v>
          </cell>
          <cell r="N731">
            <v>4.7E-2</v>
          </cell>
          <cell r="O731" t="str">
            <v>$1393</v>
          </cell>
          <cell r="P731" t="str">
            <v>$1393</v>
          </cell>
          <cell r="Q731">
            <v>45613</v>
          </cell>
          <cell r="R731" t="str">
            <v>Hyderabad</v>
          </cell>
          <cell r="S731" t="str">
            <v>Mobile</v>
          </cell>
          <cell r="T731" t="str">
            <v>data analytics course</v>
          </cell>
        </row>
        <row r="732">
          <cell r="A732" t="str">
            <v>A1730</v>
          </cell>
          <cell r="B732" t="str">
            <v>Data Analytics Course</v>
          </cell>
          <cell r="C732">
            <v>156</v>
          </cell>
          <cell r="D732">
            <v>156</v>
          </cell>
          <cell r="E732">
            <v>5293</v>
          </cell>
          <cell r="F732">
            <v>5293</v>
          </cell>
          <cell r="G732" t="str">
            <v>$210.43</v>
          </cell>
          <cell r="H732" t="str">
            <v>$210.43</v>
          </cell>
          <cell r="I732">
            <v>26</v>
          </cell>
          <cell r="J732">
            <v>26</v>
          </cell>
          <cell r="K732">
            <v>6</v>
          </cell>
          <cell r="L732">
            <v>6</v>
          </cell>
          <cell r="M732">
            <v>3.8461538461538464E-2</v>
          </cell>
          <cell r="N732">
            <v>3.7999999999999999E-2</v>
          </cell>
          <cell r="O732" t="str">
            <v>$1449</v>
          </cell>
          <cell r="P732" t="str">
            <v>$1449</v>
          </cell>
          <cell r="Q732">
            <v>45624</v>
          </cell>
          <cell r="R732" t="str">
            <v>Bangaluru</v>
          </cell>
          <cell r="S732" t="str">
            <v>Tablet</v>
          </cell>
          <cell r="T732" t="str">
            <v>data analytics course</v>
          </cell>
        </row>
        <row r="733">
          <cell r="A733" t="str">
            <v>A1731</v>
          </cell>
          <cell r="B733" t="str">
            <v>Data Analytics Course</v>
          </cell>
          <cell r="C733">
            <v>142</v>
          </cell>
          <cell r="D733">
            <v>142</v>
          </cell>
          <cell r="E733">
            <v>3565</v>
          </cell>
          <cell r="F733">
            <v>3565</v>
          </cell>
          <cell r="G733" t="str">
            <v>$180.39</v>
          </cell>
          <cell r="H733" t="str">
            <v>$180.39</v>
          </cell>
          <cell r="I733">
            <v>26</v>
          </cell>
          <cell r="J733">
            <v>26</v>
          </cell>
          <cell r="K733">
            <v>5</v>
          </cell>
          <cell r="L733">
            <v>5</v>
          </cell>
          <cell r="M733">
            <v>3.5211267605633804E-2</v>
          </cell>
          <cell r="N733">
            <v>3.5000000000000003E-2</v>
          </cell>
          <cell r="O733" t="str">
            <v>$1147</v>
          </cell>
          <cell r="P733" t="str">
            <v>$1147</v>
          </cell>
          <cell r="Q733">
            <v>45597</v>
          </cell>
          <cell r="R733" t="str">
            <v>Bangaluru</v>
          </cell>
          <cell r="S733" t="str">
            <v>Tablet</v>
          </cell>
          <cell r="T733" t="str">
            <v>data analytics training</v>
          </cell>
        </row>
        <row r="734">
          <cell r="A734" t="str">
            <v>A1732</v>
          </cell>
          <cell r="B734" t="str">
            <v>Data Analytcis Course</v>
          </cell>
          <cell r="C734">
            <v>92</v>
          </cell>
          <cell r="D734">
            <v>92</v>
          </cell>
          <cell r="E734">
            <v>4296</v>
          </cell>
          <cell r="F734">
            <v>4296</v>
          </cell>
          <cell r="G734" t="str">
            <v>$239.12</v>
          </cell>
          <cell r="H734" t="str">
            <v>$239.12</v>
          </cell>
          <cell r="I734">
            <v>11</v>
          </cell>
          <cell r="J734">
            <v>11</v>
          </cell>
          <cell r="K734">
            <v>10</v>
          </cell>
          <cell r="L734">
            <v>10</v>
          </cell>
          <cell r="M734">
            <v>0.10869565217391304</v>
          </cell>
          <cell r="O734" t="str">
            <v>$1169</v>
          </cell>
          <cell r="P734" t="str">
            <v>$1169</v>
          </cell>
          <cell r="Q734">
            <v>45598</v>
          </cell>
          <cell r="R734" t="str">
            <v>Hyderabad</v>
          </cell>
          <cell r="S734" t="str">
            <v>Tablet</v>
          </cell>
          <cell r="T734" t="str">
            <v>data analytics training</v>
          </cell>
        </row>
        <row r="735">
          <cell r="A735" t="str">
            <v>A1733</v>
          </cell>
          <cell r="B735" t="str">
            <v>Data Analytics Course</v>
          </cell>
          <cell r="C735">
            <v>190</v>
          </cell>
          <cell r="D735">
            <v>190</v>
          </cell>
          <cell r="E735">
            <v>3567</v>
          </cell>
          <cell r="F735">
            <v>3567</v>
          </cell>
          <cell r="G735" t="str">
            <v>$249.26</v>
          </cell>
          <cell r="H735" t="str">
            <v>$249.26</v>
          </cell>
          <cell r="I735">
            <v>20.023535851122059</v>
          </cell>
          <cell r="K735">
            <v>7</v>
          </cell>
          <cell r="L735">
            <v>7</v>
          </cell>
          <cell r="M735">
            <v>3.6842105263157891E-2</v>
          </cell>
          <cell r="N735">
            <v>5.7000000000000002E-2</v>
          </cell>
          <cell r="O735" t="str">
            <v>$1517</v>
          </cell>
          <cell r="P735" t="str">
            <v>$1517</v>
          </cell>
          <cell r="Q735">
            <v>45622</v>
          </cell>
          <cell r="R735" t="str">
            <v>Chennai</v>
          </cell>
          <cell r="S735" t="str">
            <v>Desktop</v>
          </cell>
          <cell r="T735" t="str">
            <v>data analytics online</v>
          </cell>
        </row>
        <row r="736">
          <cell r="A736" t="str">
            <v>A1734</v>
          </cell>
          <cell r="B736" t="str">
            <v>Data Analytics Course</v>
          </cell>
          <cell r="C736">
            <v>134</v>
          </cell>
          <cell r="D736">
            <v>134</v>
          </cell>
          <cell r="E736">
            <v>4854</v>
          </cell>
          <cell r="F736">
            <v>4854</v>
          </cell>
          <cell r="G736" t="str">
            <v>$198.93</v>
          </cell>
          <cell r="H736" t="str">
            <v>$198.93</v>
          </cell>
          <cell r="I736">
            <v>21</v>
          </cell>
          <cell r="J736">
            <v>21</v>
          </cell>
          <cell r="K736">
            <v>8</v>
          </cell>
          <cell r="L736">
            <v>8</v>
          </cell>
          <cell r="M736">
            <v>5.9701492537313432E-2</v>
          </cell>
          <cell r="N736">
            <v>0.06</v>
          </cell>
          <cell r="O736" t="str">
            <v>$1101</v>
          </cell>
          <cell r="P736" t="str">
            <v>$1101</v>
          </cell>
          <cell r="Q736">
            <v>45599</v>
          </cell>
          <cell r="R736" t="str">
            <v>Bangaluru</v>
          </cell>
          <cell r="S736" t="str">
            <v>Desktop</v>
          </cell>
          <cell r="T736" t="str">
            <v>analytics for data</v>
          </cell>
        </row>
        <row r="737">
          <cell r="A737" t="str">
            <v>A1735</v>
          </cell>
          <cell r="B737" t="str">
            <v>Data Analytics Course</v>
          </cell>
          <cell r="C737">
            <v>144</v>
          </cell>
          <cell r="D737">
            <v>144</v>
          </cell>
          <cell r="E737">
            <v>4523.2808326787117</v>
          </cell>
          <cell r="G737" t="str">
            <v>$186.47</v>
          </cell>
          <cell r="H737" t="str">
            <v>$186.47</v>
          </cell>
          <cell r="I737">
            <v>29</v>
          </cell>
          <cell r="J737">
            <v>29</v>
          </cell>
          <cell r="K737">
            <v>8</v>
          </cell>
          <cell r="L737">
            <v>8</v>
          </cell>
          <cell r="M737">
            <v>5.5555555555555552E-2</v>
          </cell>
          <cell r="N737">
            <v>5.6000000000000001E-2</v>
          </cell>
          <cell r="O737" t="str">
            <v>$1437</v>
          </cell>
          <cell r="P737" t="str">
            <v>$1437</v>
          </cell>
          <cell r="Q737">
            <v>45625</v>
          </cell>
          <cell r="R737" t="str">
            <v>Bangaluru</v>
          </cell>
          <cell r="S737" t="str">
            <v>Mobile</v>
          </cell>
          <cell r="T737" t="str">
            <v>data analytics course</v>
          </cell>
        </row>
        <row r="738">
          <cell r="A738" t="str">
            <v>A1736</v>
          </cell>
          <cell r="B738" t="str">
            <v>Data Analytics Course</v>
          </cell>
          <cell r="C738">
            <v>117</v>
          </cell>
          <cell r="D738">
            <v>117</v>
          </cell>
          <cell r="E738">
            <v>4630</v>
          </cell>
          <cell r="F738">
            <v>4630</v>
          </cell>
          <cell r="G738" t="str">
            <v>$196.66</v>
          </cell>
          <cell r="H738" t="str">
            <v>$196.66</v>
          </cell>
          <cell r="I738">
            <v>15</v>
          </cell>
          <cell r="J738">
            <v>15</v>
          </cell>
          <cell r="K738">
            <v>8</v>
          </cell>
          <cell r="L738">
            <v>8</v>
          </cell>
          <cell r="M738">
            <v>6.8376068376068383E-2</v>
          </cell>
          <cell r="O738" t="str">
            <v>$1361</v>
          </cell>
          <cell r="P738" t="str">
            <v>$1361</v>
          </cell>
          <cell r="Q738">
            <v>45613</v>
          </cell>
          <cell r="R738" t="str">
            <v>Bangaluru</v>
          </cell>
          <cell r="S738" t="str">
            <v>Desktop</v>
          </cell>
          <cell r="T738" t="str">
            <v>online data analytic</v>
          </cell>
        </row>
        <row r="739">
          <cell r="A739" t="str">
            <v>A1737</v>
          </cell>
          <cell r="B739" t="str">
            <v>Data Analytics Course</v>
          </cell>
          <cell r="C739">
            <v>160</v>
          </cell>
          <cell r="D739">
            <v>160</v>
          </cell>
          <cell r="E739">
            <v>3448</v>
          </cell>
          <cell r="F739">
            <v>3448</v>
          </cell>
          <cell r="G739" t="str">
            <v>$210.38</v>
          </cell>
          <cell r="H739" t="str">
            <v>$210.38</v>
          </cell>
          <cell r="I739">
            <v>19</v>
          </cell>
          <cell r="J739">
            <v>19</v>
          </cell>
          <cell r="K739">
            <v>7</v>
          </cell>
          <cell r="L739">
            <v>7</v>
          </cell>
          <cell r="M739">
            <v>4.3749999999999997E-2</v>
          </cell>
          <cell r="N739">
            <v>4.3999999999999997E-2</v>
          </cell>
          <cell r="O739" t="str">
            <v>$1705</v>
          </cell>
          <cell r="P739" t="str">
            <v>$1705</v>
          </cell>
          <cell r="Q739">
            <v>45610</v>
          </cell>
          <cell r="R739" t="str">
            <v>Chennai</v>
          </cell>
          <cell r="S739" t="str">
            <v>Desktop</v>
          </cell>
          <cell r="T739" t="str">
            <v>data analytics course</v>
          </cell>
        </row>
        <row r="740">
          <cell r="A740" t="str">
            <v>A1738</v>
          </cell>
          <cell r="B740" t="str">
            <v>Data Analytics Course</v>
          </cell>
          <cell r="C740">
            <v>146</v>
          </cell>
          <cell r="D740">
            <v>146</v>
          </cell>
          <cell r="E740">
            <v>5297</v>
          </cell>
          <cell r="F740">
            <v>5297</v>
          </cell>
          <cell r="G740" t="str">
            <v>$198.89</v>
          </cell>
          <cell r="H740" t="str">
            <v>$198.89</v>
          </cell>
          <cell r="I740">
            <v>30</v>
          </cell>
          <cell r="J740">
            <v>30</v>
          </cell>
          <cell r="K740">
            <v>8</v>
          </cell>
          <cell r="L740">
            <v>8</v>
          </cell>
          <cell r="M740">
            <v>5.4794520547945202E-2</v>
          </cell>
          <cell r="N740">
            <v>5.5E-2</v>
          </cell>
          <cell r="O740" t="str">
            <v>$2000</v>
          </cell>
          <cell r="P740" t="str">
            <v>$2000</v>
          </cell>
          <cell r="Q740">
            <v>45598</v>
          </cell>
          <cell r="R740" t="str">
            <v>Chennai</v>
          </cell>
          <cell r="S740" t="str">
            <v>Desktop</v>
          </cell>
          <cell r="T740" t="str">
            <v>data analytics training</v>
          </cell>
        </row>
        <row r="741">
          <cell r="A741" t="str">
            <v>A1739</v>
          </cell>
          <cell r="B741" t="str">
            <v>Data Analytcis Course</v>
          </cell>
          <cell r="C741">
            <v>175</v>
          </cell>
          <cell r="D741">
            <v>175</v>
          </cell>
          <cell r="E741">
            <v>3818</v>
          </cell>
          <cell r="F741">
            <v>3818</v>
          </cell>
          <cell r="G741" t="str">
            <v>$190.89</v>
          </cell>
          <cell r="H741" t="str">
            <v>$190.89</v>
          </cell>
          <cell r="I741">
            <v>30</v>
          </cell>
          <cell r="J741">
            <v>30</v>
          </cell>
          <cell r="K741">
            <v>10</v>
          </cell>
          <cell r="L741">
            <v>10</v>
          </cell>
          <cell r="M741">
            <v>5.7142857142857141E-2</v>
          </cell>
          <cell r="N741">
            <v>3.9E-2</v>
          </cell>
          <cell r="O741" t="str">
            <v>$1088</v>
          </cell>
          <cell r="P741" t="str">
            <v>$1088</v>
          </cell>
          <cell r="Q741">
            <v>45606</v>
          </cell>
          <cell r="R741" t="str">
            <v>Bangaluru</v>
          </cell>
          <cell r="S741" t="str">
            <v>Tablet</v>
          </cell>
          <cell r="T741" t="str">
            <v>data analytics online</v>
          </cell>
        </row>
        <row r="742">
          <cell r="A742" t="str">
            <v>A1740</v>
          </cell>
          <cell r="B742" t="str">
            <v>Data Analytcis Course</v>
          </cell>
          <cell r="C742">
            <v>122</v>
          </cell>
          <cell r="D742">
            <v>122</v>
          </cell>
          <cell r="E742">
            <v>4791</v>
          </cell>
          <cell r="F742">
            <v>4791</v>
          </cell>
          <cell r="G742" t="str">
            <v>$223.16</v>
          </cell>
          <cell r="H742" t="str">
            <v>$223.16</v>
          </cell>
          <cell r="I742">
            <v>12</v>
          </cell>
          <cell r="J742">
            <v>12</v>
          </cell>
          <cell r="K742">
            <v>4</v>
          </cell>
          <cell r="L742">
            <v>4</v>
          </cell>
          <cell r="M742">
            <v>3.2786885245901641E-2</v>
          </cell>
          <cell r="N742">
            <v>3.3000000000000002E-2</v>
          </cell>
          <cell r="O742" t="str">
            <v>$1246</v>
          </cell>
          <cell r="P742" t="str">
            <v>$1246</v>
          </cell>
          <cell r="Q742">
            <v>45601</v>
          </cell>
          <cell r="R742" t="str">
            <v>Chennai</v>
          </cell>
          <cell r="S742" t="str">
            <v>Tablet</v>
          </cell>
          <cell r="T742" t="str">
            <v>learn data analytics</v>
          </cell>
        </row>
        <row r="743">
          <cell r="A743" t="str">
            <v>A1741</v>
          </cell>
          <cell r="B743" t="str">
            <v>Data Analytcis Course</v>
          </cell>
          <cell r="C743">
            <v>85</v>
          </cell>
          <cell r="D743">
            <v>85</v>
          </cell>
          <cell r="E743">
            <v>3713</v>
          </cell>
          <cell r="F743">
            <v>3713</v>
          </cell>
          <cell r="G743" t="str">
            <v>$225.74</v>
          </cell>
          <cell r="H743" t="str">
            <v>$225.74</v>
          </cell>
          <cell r="I743">
            <v>23</v>
          </cell>
          <cell r="J743">
            <v>23</v>
          </cell>
          <cell r="K743">
            <v>5</v>
          </cell>
          <cell r="L743">
            <v>5</v>
          </cell>
          <cell r="M743">
            <v>5.8823529411764705E-2</v>
          </cell>
          <cell r="N743">
            <v>4.7E-2</v>
          </cell>
          <cell r="O743" t="str">
            <v>$1867</v>
          </cell>
          <cell r="P743" t="str">
            <v>$1867</v>
          </cell>
          <cell r="Q743">
            <v>45620</v>
          </cell>
          <cell r="R743" t="str">
            <v>Bangaluru</v>
          </cell>
          <cell r="S743" t="str">
            <v>Tablet</v>
          </cell>
          <cell r="T743" t="str">
            <v>data analytics online</v>
          </cell>
        </row>
        <row r="744">
          <cell r="A744" t="str">
            <v>A1742</v>
          </cell>
          <cell r="B744" t="str">
            <v>Data Analytics Course</v>
          </cell>
          <cell r="C744">
            <v>167</v>
          </cell>
          <cell r="D744">
            <v>167</v>
          </cell>
          <cell r="E744">
            <v>3634</v>
          </cell>
          <cell r="F744">
            <v>3634</v>
          </cell>
          <cell r="G744" t="str">
            <v>$202.75</v>
          </cell>
          <cell r="H744" t="str">
            <v>$202.75</v>
          </cell>
          <cell r="I744">
            <v>30</v>
          </cell>
          <cell r="J744">
            <v>30</v>
          </cell>
          <cell r="K744">
            <v>10</v>
          </cell>
          <cell r="L744">
            <v>10</v>
          </cell>
          <cell r="M744">
            <v>5.9880239520958084E-2</v>
          </cell>
          <cell r="N744">
            <v>0.06</v>
          </cell>
          <cell r="O744" t="str">
            <v>$1503</v>
          </cell>
          <cell r="P744" t="str">
            <v>$1503</v>
          </cell>
          <cell r="Q744">
            <v>45619</v>
          </cell>
          <cell r="R744" t="str">
            <v>Chennai</v>
          </cell>
          <cell r="S744" t="str">
            <v>Desktop</v>
          </cell>
          <cell r="T744" t="str">
            <v>data analytics training</v>
          </cell>
        </row>
        <row r="745">
          <cell r="A745" t="str">
            <v>A1743</v>
          </cell>
          <cell r="B745" t="str">
            <v>Data Analytics Course</v>
          </cell>
          <cell r="C745">
            <v>158</v>
          </cell>
          <cell r="D745">
            <v>158</v>
          </cell>
          <cell r="E745">
            <v>3025</v>
          </cell>
          <cell r="F745">
            <v>3025</v>
          </cell>
          <cell r="G745" t="str">
            <v>$180.5</v>
          </cell>
          <cell r="H745" t="str">
            <v>$180.5</v>
          </cell>
          <cell r="I745">
            <v>24</v>
          </cell>
          <cell r="J745">
            <v>24</v>
          </cell>
          <cell r="K745">
            <v>9</v>
          </cell>
          <cell r="L745">
            <v>9</v>
          </cell>
          <cell r="M745">
            <v>5.6962025316455694E-2</v>
          </cell>
          <cell r="O745" t="str">
            <v>$1725</v>
          </cell>
          <cell r="P745" t="str">
            <v>$1725</v>
          </cell>
          <cell r="Q745">
            <v>45622</v>
          </cell>
          <cell r="R745" t="str">
            <v>Hyderabad</v>
          </cell>
          <cell r="S745" t="str">
            <v>Tablet</v>
          </cell>
          <cell r="T745" t="str">
            <v>data analytics training</v>
          </cell>
        </row>
        <row r="746">
          <cell r="A746" t="str">
            <v>A1744</v>
          </cell>
          <cell r="B746" t="str">
            <v>Data Analytics Course</v>
          </cell>
          <cell r="C746">
            <v>176</v>
          </cell>
          <cell r="D746">
            <v>176</v>
          </cell>
          <cell r="E746">
            <v>5868</v>
          </cell>
          <cell r="F746">
            <v>5868</v>
          </cell>
          <cell r="G746" t="str">
            <v>$184.46</v>
          </cell>
          <cell r="H746" t="str">
            <v>$184.46</v>
          </cell>
          <cell r="I746">
            <v>20.005503577325261</v>
          </cell>
          <cell r="K746">
            <v>4</v>
          </cell>
          <cell r="L746">
            <v>4</v>
          </cell>
          <cell r="M746">
            <v>2.2727272727272728E-2</v>
          </cell>
          <cell r="N746">
            <v>2.3E-2</v>
          </cell>
          <cell r="O746" t="str">
            <v>$1229</v>
          </cell>
          <cell r="P746" t="str">
            <v>$1229</v>
          </cell>
          <cell r="Q746">
            <v>45616</v>
          </cell>
          <cell r="R746" t="str">
            <v>Hyderabad</v>
          </cell>
          <cell r="S746" t="str">
            <v>Desktop</v>
          </cell>
          <cell r="T746" t="str">
            <v>data analytics course</v>
          </cell>
        </row>
        <row r="747">
          <cell r="A747" t="str">
            <v>A1745</v>
          </cell>
          <cell r="B747" t="str">
            <v>Data Analytics Course</v>
          </cell>
          <cell r="C747">
            <v>111</v>
          </cell>
          <cell r="D747">
            <v>111</v>
          </cell>
          <cell r="E747">
            <v>3050</v>
          </cell>
          <cell r="F747">
            <v>3050</v>
          </cell>
          <cell r="G747" t="str">
            <v>$208.87</v>
          </cell>
          <cell r="H747" t="str">
            <v>$208.87</v>
          </cell>
          <cell r="I747">
            <v>10</v>
          </cell>
          <cell r="J747">
            <v>10</v>
          </cell>
          <cell r="K747">
            <v>7</v>
          </cell>
          <cell r="L747">
            <v>7</v>
          </cell>
          <cell r="M747">
            <v>6.3063063063063057E-2</v>
          </cell>
          <cell r="N747">
            <v>6.3E-2</v>
          </cell>
          <cell r="O747" t="str">
            <v>$1774</v>
          </cell>
          <cell r="P747" t="str">
            <v>$1774</v>
          </cell>
          <cell r="Q747">
            <v>45622</v>
          </cell>
          <cell r="R747" t="str">
            <v>Hyderabad</v>
          </cell>
          <cell r="S747" t="str">
            <v>Tablet</v>
          </cell>
          <cell r="T747" t="str">
            <v>analytics for data</v>
          </cell>
        </row>
        <row r="748">
          <cell r="A748" t="str">
            <v>A1746</v>
          </cell>
          <cell r="B748" t="str">
            <v>Data Analytics Course</v>
          </cell>
          <cell r="C748">
            <v>186</v>
          </cell>
          <cell r="D748">
            <v>186</v>
          </cell>
          <cell r="E748">
            <v>5301</v>
          </cell>
          <cell r="F748">
            <v>5301</v>
          </cell>
          <cell r="G748" t="str">
            <v>$200.00</v>
          </cell>
          <cell r="I748">
            <v>14</v>
          </cell>
          <cell r="J748">
            <v>14</v>
          </cell>
          <cell r="K748">
            <v>9</v>
          </cell>
          <cell r="L748">
            <v>9</v>
          </cell>
          <cell r="M748">
            <v>4.8387096774193547E-2</v>
          </cell>
          <cell r="O748" t="str">
            <v>$1230</v>
          </cell>
          <cell r="P748" t="str">
            <v>$1230</v>
          </cell>
          <cell r="Q748">
            <v>45613</v>
          </cell>
          <cell r="R748" t="str">
            <v>Bangaluru</v>
          </cell>
          <cell r="S748" t="str">
            <v>Desktop</v>
          </cell>
          <cell r="T748" t="str">
            <v>learn data analytics</v>
          </cell>
        </row>
        <row r="749">
          <cell r="A749" t="str">
            <v>A1747</v>
          </cell>
          <cell r="B749" t="str">
            <v>Data Analytics Course</v>
          </cell>
          <cell r="C749">
            <v>177</v>
          </cell>
          <cell r="D749">
            <v>177</v>
          </cell>
          <cell r="E749">
            <v>3042</v>
          </cell>
          <cell r="F749">
            <v>3042</v>
          </cell>
          <cell r="G749" t="str">
            <v>$239.64</v>
          </cell>
          <cell r="H749" t="str">
            <v>$239.64</v>
          </cell>
          <cell r="I749">
            <v>26</v>
          </cell>
          <cell r="J749">
            <v>26</v>
          </cell>
          <cell r="K749">
            <v>4</v>
          </cell>
          <cell r="L749">
            <v>4</v>
          </cell>
          <cell r="M749">
            <v>2.2598870056497175E-2</v>
          </cell>
          <cell r="N749">
            <v>2.3E-2</v>
          </cell>
          <cell r="O749" t="str">
            <v>$1646</v>
          </cell>
          <cell r="P749" t="str">
            <v>$1646</v>
          </cell>
          <cell r="Q749">
            <v>45616</v>
          </cell>
          <cell r="R749" t="str">
            <v>Hyderabad</v>
          </cell>
          <cell r="S749" t="str">
            <v>Mobile</v>
          </cell>
          <cell r="T749" t="str">
            <v>data analytics course</v>
          </cell>
        </row>
        <row r="750">
          <cell r="A750" t="str">
            <v>A1748</v>
          </cell>
          <cell r="B750" t="str">
            <v>Data Analytcis Course</v>
          </cell>
          <cell r="C750">
            <v>150</v>
          </cell>
          <cell r="D750">
            <v>150</v>
          </cell>
          <cell r="E750">
            <v>5272</v>
          </cell>
          <cell r="F750">
            <v>5272</v>
          </cell>
          <cell r="G750" t="str">
            <v>$239.06</v>
          </cell>
          <cell r="H750" t="str">
            <v>$239.06</v>
          </cell>
          <cell r="I750">
            <v>13</v>
          </cell>
          <cell r="J750">
            <v>13</v>
          </cell>
          <cell r="K750">
            <v>9</v>
          </cell>
          <cell r="L750">
            <v>9</v>
          </cell>
          <cell r="M750">
            <v>0.06</v>
          </cell>
          <cell r="N750">
            <v>0.06</v>
          </cell>
          <cell r="O750" t="str">
            <v>$1232</v>
          </cell>
          <cell r="P750" t="str">
            <v>$1232</v>
          </cell>
          <cell r="Q750">
            <v>45597</v>
          </cell>
          <cell r="R750" t="str">
            <v>Hyderabad</v>
          </cell>
          <cell r="S750" t="str">
            <v>Desktop</v>
          </cell>
          <cell r="T750" t="str">
            <v>online data analytic</v>
          </cell>
        </row>
        <row r="751">
          <cell r="A751" t="str">
            <v>A1749</v>
          </cell>
          <cell r="B751" t="str">
            <v>Data Analytics Course</v>
          </cell>
          <cell r="C751">
            <v>160</v>
          </cell>
          <cell r="D751">
            <v>160</v>
          </cell>
          <cell r="E751">
            <v>4279</v>
          </cell>
          <cell r="F751">
            <v>4279</v>
          </cell>
          <cell r="G751" t="str">
            <v>$191.56</v>
          </cell>
          <cell r="H751" t="str">
            <v>$191.56</v>
          </cell>
          <cell r="I751">
            <v>22</v>
          </cell>
          <cell r="J751">
            <v>22</v>
          </cell>
          <cell r="K751">
            <v>10</v>
          </cell>
          <cell r="L751">
            <v>10</v>
          </cell>
          <cell r="M751">
            <v>6.25E-2</v>
          </cell>
          <cell r="N751">
            <v>3.9E-2</v>
          </cell>
          <cell r="O751" t="str">
            <v>$1234</v>
          </cell>
          <cell r="P751" t="str">
            <v>$1234</v>
          </cell>
          <cell r="Q751">
            <v>45608</v>
          </cell>
          <cell r="R751" t="str">
            <v>Chennai</v>
          </cell>
          <cell r="S751" t="str">
            <v>Mobile</v>
          </cell>
          <cell r="T751" t="str">
            <v>data analytics course</v>
          </cell>
        </row>
        <row r="752">
          <cell r="A752" t="str">
            <v>A1750</v>
          </cell>
          <cell r="B752" t="str">
            <v>Data Analytics Course</v>
          </cell>
          <cell r="C752">
            <v>147</v>
          </cell>
          <cell r="D752">
            <v>147</v>
          </cell>
          <cell r="E752">
            <v>5659</v>
          </cell>
          <cell r="F752">
            <v>5659</v>
          </cell>
          <cell r="G752" t="str">
            <v>$188.07</v>
          </cell>
          <cell r="H752" t="str">
            <v>$188.07</v>
          </cell>
          <cell r="I752">
            <v>22</v>
          </cell>
          <cell r="J752">
            <v>22</v>
          </cell>
          <cell r="K752">
            <v>4</v>
          </cell>
          <cell r="L752">
            <v>4</v>
          </cell>
          <cell r="M752">
            <v>2.7210884353741496E-2</v>
          </cell>
          <cell r="N752">
            <v>4.4999999999999998E-2</v>
          </cell>
          <cell r="O752" t="str">
            <v>$1796</v>
          </cell>
          <cell r="P752" t="str">
            <v>$1796</v>
          </cell>
          <cell r="Q752">
            <v>45621</v>
          </cell>
          <cell r="R752" t="str">
            <v>Hyderabad</v>
          </cell>
          <cell r="S752" t="str">
            <v>Mobile</v>
          </cell>
          <cell r="T752" t="str">
            <v>analytics for data</v>
          </cell>
        </row>
        <row r="753">
          <cell r="A753" t="str">
            <v>A1751</v>
          </cell>
          <cell r="B753" t="str">
            <v>Data Analytics Course</v>
          </cell>
          <cell r="C753">
            <v>198</v>
          </cell>
          <cell r="D753">
            <v>198</v>
          </cell>
          <cell r="E753">
            <v>4816</v>
          </cell>
          <cell r="F753">
            <v>4816</v>
          </cell>
          <cell r="G753" t="str">
            <v>$224.96</v>
          </cell>
          <cell r="H753" t="str">
            <v>$224.96</v>
          </cell>
          <cell r="I753">
            <v>21</v>
          </cell>
          <cell r="J753">
            <v>21</v>
          </cell>
          <cell r="K753">
            <v>4</v>
          </cell>
          <cell r="L753">
            <v>4</v>
          </cell>
          <cell r="M753">
            <v>2.0202020202020204E-2</v>
          </cell>
          <cell r="N753">
            <v>4.2000000000000003E-2</v>
          </cell>
          <cell r="O753" t="str">
            <v>$1601</v>
          </cell>
          <cell r="P753" t="str">
            <v>$1601</v>
          </cell>
          <cell r="Q753">
            <v>45601</v>
          </cell>
          <cell r="R753" t="str">
            <v>Bangaluru</v>
          </cell>
          <cell r="S753" t="str">
            <v>Mobile</v>
          </cell>
          <cell r="T753" t="str">
            <v>online data analytic</v>
          </cell>
        </row>
        <row r="754">
          <cell r="A754" t="str">
            <v>A1752</v>
          </cell>
          <cell r="B754" t="str">
            <v>Data Analytics Course</v>
          </cell>
          <cell r="C754">
            <v>145</v>
          </cell>
          <cell r="D754">
            <v>145</v>
          </cell>
          <cell r="E754">
            <v>3874</v>
          </cell>
          <cell r="F754">
            <v>3874</v>
          </cell>
          <cell r="G754" t="str">
            <v>$200.00</v>
          </cell>
          <cell r="I754">
            <v>10</v>
          </cell>
          <cell r="J754">
            <v>10</v>
          </cell>
          <cell r="K754">
            <v>10</v>
          </cell>
          <cell r="L754">
            <v>10</v>
          </cell>
          <cell r="M754">
            <v>6.8965517241379309E-2</v>
          </cell>
          <cell r="N754">
            <v>6.9000000000000006E-2</v>
          </cell>
          <cell r="O754" t="str">
            <v>$1153</v>
          </cell>
          <cell r="P754" t="str">
            <v>$1153</v>
          </cell>
          <cell r="Q754">
            <v>45626</v>
          </cell>
          <cell r="R754" t="str">
            <v>Hyderabad</v>
          </cell>
          <cell r="S754" t="str">
            <v>Mobile</v>
          </cell>
          <cell r="T754" t="str">
            <v>data analytics training</v>
          </cell>
        </row>
        <row r="755">
          <cell r="A755" t="str">
            <v>A1753</v>
          </cell>
          <cell r="B755" t="str">
            <v>Data Analytics Course</v>
          </cell>
          <cell r="C755">
            <v>94</v>
          </cell>
          <cell r="D755">
            <v>94</v>
          </cell>
          <cell r="E755">
            <v>5221</v>
          </cell>
          <cell r="F755">
            <v>5221</v>
          </cell>
          <cell r="G755" t="str">
            <v>$225.23</v>
          </cell>
          <cell r="H755" t="str">
            <v>$225.23</v>
          </cell>
          <cell r="I755">
            <v>17</v>
          </cell>
          <cell r="J755">
            <v>17</v>
          </cell>
          <cell r="K755">
            <v>3</v>
          </cell>
          <cell r="L755">
            <v>3</v>
          </cell>
          <cell r="M755">
            <v>3.1914893617021274E-2</v>
          </cell>
          <cell r="N755">
            <v>3.5999999999999997E-2</v>
          </cell>
          <cell r="O755" t="str">
            <v>$1209</v>
          </cell>
          <cell r="P755" t="str">
            <v>$1209</v>
          </cell>
          <cell r="Q755">
            <v>45615</v>
          </cell>
          <cell r="R755" t="str">
            <v>Chennai</v>
          </cell>
          <cell r="S755" t="str">
            <v>Tablet</v>
          </cell>
          <cell r="T755" t="str">
            <v>learn data analytics</v>
          </cell>
        </row>
        <row r="756">
          <cell r="A756" t="str">
            <v>A1754</v>
          </cell>
          <cell r="B756" t="str">
            <v>Data Analytics Course</v>
          </cell>
          <cell r="C756">
            <v>90</v>
          </cell>
          <cell r="D756">
            <v>90</v>
          </cell>
          <cell r="E756">
            <v>5859</v>
          </cell>
          <cell r="F756">
            <v>5859</v>
          </cell>
          <cell r="G756" t="str">
            <v>$187.29</v>
          </cell>
          <cell r="H756" t="str">
            <v>$187.29</v>
          </cell>
          <cell r="I756">
            <v>17</v>
          </cell>
          <cell r="J756">
            <v>17</v>
          </cell>
          <cell r="K756">
            <v>5</v>
          </cell>
          <cell r="L756">
            <v>5</v>
          </cell>
          <cell r="M756">
            <v>5.5555555555555552E-2</v>
          </cell>
          <cell r="N756">
            <v>5.6000000000000001E-2</v>
          </cell>
          <cell r="O756" t="str">
            <v>$1375</v>
          </cell>
          <cell r="P756" t="str">
            <v>$1375</v>
          </cell>
          <cell r="Q756">
            <v>45612</v>
          </cell>
          <cell r="R756" t="str">
            <v>Chennai</v>
          </cell>
          <cell r="S756" t="str">
            <v>Mobile</v>
          </cell>
          <cell r="T756" t="str">
            <v>analytics for data</v>
          </cell>
        </row>
        <row r="757">
          <cell r="A757" t="str">
            <v>A1755</v>
          </cell>
          <cell r="B757" t="str">
            <v>Data Analytics Course</v>
          </cell>
          <cell r="C757">
            <v>182</v>
          </cell>
          <cell r="D757">
            <v>182</v>
          </cell>
          <cell r="E757">
            <v>5055</v>
          </cell>
          <cell r="F757">
            <v>5055</v>
          </cell>
          <cell r="G757" t="str">
            <v>$232.64</v>
          </cell>
          <cell r="H757" t="str">
            <v>$232.64</v>
          </cell>
          <cell r="I757">
            <v>26</v>
          </cell>
          <cell r="J757">
            <v>26</v>
          </cell>
          <cell r="K757">
            <v>8</v>
          </cell>
          <cell r="L757">
            <v>8</v>
          </cell>
          <cell r="M757">
            <v>4.3956043956043959E-2</v>
          </cell>
          <cell r="N757">
            <v>3.5999999999999997E-2</v>
          </cell>
          <cell r="O757" t="str">
            <v>$1815</v>
          </cell>
          <cell r="P757" t="str">
            <v>$1815</v>
          </cell>
          <cell r="Q757">
            <v>45606</v>
          </cell>
          <cell r="R757" t="str">
            <v>Hyderabad</v>
          </cell>
          <cell r="S757" t="str">
            <v>Mobile</v>
          </cell>
          <cell r="T757" t="str">
            <v>data analytics training</v>
          </cell>
        </row>
        <row r="758">
          <cell r="A758" t="str">
            <v>A1756</v>
          </cell>
          <cell r="B758" t="str">
            <v>Data Analytics Course</v>
          </cell>
          <cell r="C758">
            <v>138.95699356913184</v>
          </cell>
          <cell r="E758">
            <v>4373</v>
          </cell>
          <cell r="F758">
            <v>4373</v>
          </cell>
          <cell r="G758" t="str">
            <v>$199.32</v>
          </cell>
          <cell r="H758" t="str">
            <v>$199.32</v>
          </cell>
          <cell r="I758">
            <v>16</v>
          </cell>
          <cell r="J758">
            <v>16</v>
          </cell>
          <cell r="K758">
            <v>5</v>
          </cell>
          <cell r="L758">
            <v>5</v>
          </cell>
          <cell r="M758">
            <v>3.5982355918721523E-2</v>
          </cell>
          <cell r="O758" t="str">
            <v>$1150</v>
          </cell>
          <cell r="P758" t="str">
            <v>$1150</v>
          </cell>
          <cell r="Q758">
            <v>45598</v>
          </cell>
          <cell r="R758" t="str">
            <v>Chennai</v>
          </cell>
          <cell r="S758" t="str">
            <v>Desktop</v>
          </cell>
          <cell r="T758" t="str">
            <v>data analytics training</v>
          </cell>
        </row>
        <row r="759">
          <cell r="A759" t="str">
            <v>A1757</v>
          </cell>
          <cell r="B759" t="str">
            <v>Data Analytics Course</v>
          </cell>
          <cell r="C759">
            <v>138.95699356913184</v>
          </cell>
          <cell r="E759">
            <v>4523.2808326787117</v>
          </cell>
          <cell r="G759" t="str">
            <v>$234.85</v>
          </cell>
          <cell r="H759" t="str">
            <v>$234.85</v>
          </cell>
          <cell r="I759">
            <v>11</v>
          </cell>
          <cell r="J759">
            <v>11</v>
          </cell>
          <cell r="K759">
            <v>8</v>
          </cell>
          <cell r="L759">
            <v>8</v>
          </cell>
          <cell r="M759">
            <v>5.7571769469954438E-2</v>
          </cell>
          <cell r="O759" t="str">
            <v>$1398</v>
          </cell>
          <cell r="P759" t="str">
            <v>$1398</v>
          </cell>
          <cell r="Q759">
            <v>45600</v>
          </cell>
          <cell r="R759" t="str">
            <v>Hyderabad</v>
          </cell>
          <cell r="S759" t="str">
            <v>Desktop</v>
          </cell>
          <cell r="T759" t="str">
            <v>data analytics training</v>
          </cell>
        </row>
        <row r="760">
          <cell r="A760" t="str">
            <v>A1758</v>
          </cell>
          <cell r="B760" t="str">
            <v>Data Analytcis Course</v>
          </cell>
          <cell r="C760">
            <v>103</v>
          </cell>
          <cell r="D760">
            <v>103</v>
          </cell>
          <cell r="E760">
            <v>3547</v>
          </cell>
          <cell r="F760">
            <v>3547</v>
          </cell>
          <cell r="G760" t="str">
            <v>$232.35</v>
          </cell>
          <cell r="H760" t="str">
            <v>$232.35</v>
          </cell>
          <cell r="I760">
            <v>11</v>
          </cell>
          <cell r="J760">
            <v>11</v>
          </cell>
          <cell r="K760">
            <v>8</v>
          </cell>
          <cell r="L760">
            <v>8</v>
          </cell>
          <cell r="M760">
            <v>7.7669902912621352E-2</v>
          </cell>
          <cell r="N760">
            <v>7.8E-2</v>
          </cell>
          <cell r="O760" t="str">
            <v>$1663</v>
          </cell>
          <cell r="P760" t="str">
            <v>$1663</v>
          </cell>
          <cell r="Q760">
            <v>45622</v>
          </cell>
          <cell r="R760" t="str">
            <v>Chennai</v>
          </cell>
          <cell r="S760" t="str">
            <v>Tablet</v>
          </cell>
          <cell r="T760" t="str">
            <v>learn data analytics</v>
          </cell>
        </row>
        <row r="761">
          <cell r="A761" t="str">
            <v>A1759</v>
          </cell>
          <cell r="B761" t="str">
            <v>Data Analytics Course</v>
          </cell>
          <cell r="C761">
            <v>148</v>
          </cell>
          <cell r="D761">
            <v>148</v>
          </cell>
          <cell r="E761">
            <v>3128</v>
          </cell>
          <cell r="F761">
            <v>3128</v>
          </cell>
          <cell r="G761" t="str">
            <v>$197.02</v>
          </cell>
          <cell r="H761" t="str">
            <v>$197.02</v>
          </cell>
          <cell r="I761">
            <v>27</v>
          </cell>
          <cell r="J761">
            <v>27</v>
          </cell>
          <cell r="K761">
            <v>9</v>
          </cell>
          <cell r="L761">
            <v>9</v>
          </cell>
          <cell r="M761">
            <v>6.0810810810810814E-2</v>
          </cell>
          <cell r="N761">
            <v>6.0999999999999999E-2</v>
          </cell>
          <cell r="O761" t="str">
            <v>$1214</v>
          </cell>
          <cell r="P761" t="str">
            <v>$1214</v>
          </cell>
          <cell r="Q761">
            <v>45608</v>
          </cell>
          <cell r="R761" t="str">
            <v>Hyderabad</v>
          </cell>
          <cell r="S761" t="str">
            <v>Tablet</v>
          </cell>
          <cell r="T761" t="str">
            <v>data analytics training</v>
          </cell>
        </row>
        <row r="762">
          <cell r="A762" t="str">
            <v>A1760</v>
          </cell>
          <cell r="B762" t="str">
            <v>Data Analytics Course</v>
          </cell>
          <cell r="C762">
            <v>151</v>
          </cell>
          <cell r="D762">
            <v>151</v>
          </cell>
          <cell r="E762">
            <v>5201</v>
          </cell>
          <cell r="F762">
            <v>5201</v>
          </cell>
          <cell r="G762" t="str">
            <v>$198.56</v>
          </cell>
          <cell r="H762" t="str">
            <v>$198.56</v>
          </cell>
          <cell r="I762">
            <v>15</v>
          </cell>
          <cell r="J762">
            <v>15</v>
          </cell>
          <cell r="K762">
            <v>10</v>
          </cell>
          <cell r="L762">
            <v>10</v>
          </cell>
          <cell r="M762">
            <v>6.6225165562913912E-2</v>
          </cell>
          <cell r="N762">
            <v>6.6000000000000003E-2</v>
          </cell>
          <cell r="O762" t="str">
            <v>$1716</v>
          </cell>
          <cell r="P762" t="str">
            <v>$1716</v>
          </cell>
          <cell r="Q762">
            <v>45601</v>
          </cell>
          <cell r="R762" t="str">
            <v>Bangaluru</v>
          </cell>
          <cell r="S762" t="str">
            <v>Tablet</v>
          </cell>
          <cell r="T762" t="str">
            <v>data analytics training</v>
          </cell>
        </row>
        <row r="763">
          <cell r="A763" t="str">
            <v>A1761</v>
          </cell>
          <cell r="B763" t="str">
            <v>Data Analytcis Course</v>
          </cell>
          <cell r="C763">
            <v>148</v>
          </cell>
          <cell r="D763">
            <v>148</v>
          </cell>
          <cell r="E763">
            <v>5510</v>
          </cell>
          <cell r="F763">
            <v>5510</v>
          </cell>
          <cell r="G763" t="str">
            <v>$210.42</v>
          </cell>
          <cell r="H763" t="str">
            <v>$210.42</v>
          </cell>
          <cell r="I763">
            <v>27</v>
          </cell>
          <cell r="J763">
            <v>27</v>
          </cell>
          <cell r="K763">
            <v>4</v>
          </cell>
          <cell r="L763">
            <v>4</v>
          </cell>
          <cell r="M763">
            <v>2.7027027027027029E-2</v>
          </cell>
          <cell r="N763">
            <v>4.8000000000000001E-2</v>
          </cell>
          <cell r="O763" t="str">
            <v>$1352</v>
          </cell>
          <cell r="P763" t="str">
            <v>$1352</v>
          </cell>
          <cell r="Q763">
            <v>45602</v>
          </cell>
          <cell r="R763" t="str">
            <v>Bangaluru</v>
          </cell>
          <cell r="S763" t="str">
            <v>Mobile</v>
          </cell>
          <cell r="T763" t="str">
            <v>learn data analytics</v>
          </cell>
        </row>
        <row r="764">
          <cell r="A764" t="str">
            <v>A1762</v>
          </cell>
          <cell r="B764" t="str">
            <v>Data Analytics Course</v>
          </cell>
          <cell r="C764">
            <v>103</v>
          </cell>
          <cell r="D764">
            <v>103</v>
          </cell>
          <cell r="E764">
            <v>5628</v>
          </cell>
          <cell r="F764">
            <v>5628</v>
          </cell>
          <cell r="G764" t="str">
            <v>$195.6</v>
          </cell>
          <cell r="H764" t="str">
            <v>$195.6</v>
          </cell>
          <cell r="I764">
            <v>24</v>
          </cell>
          <cell r="J764">
            <v>24</v>
          </cell>
          <cell r="K764">
            <v>8</v>
          </cell>
          <cell r="L764">
            <v>8</v>
          </cell>
          <cell r="M764">
            <v>7.7669902912621352E-2</v>
          </cell>
          <cell r="N764">
            <v>3.4000000000000002E-2</v>
          </cell>
          <cell r="O764" t="str">
            <v>$1065</v>
          </cell>
          <cell r="P764" t="str">
            <v>$1065</v>
          </cell>
          <cell r="Q764">
            <v>45605</v>
          </cell>
          <cell r="R764" t="str">
            <v>Hyderabad</v>
          </cell>
          <cell r="S764" t="str">
            <v>Mobile</v>
          </cell>
          <cell r="T764" t="str">
            <v>analytics for data</v>
          </cell>
        </row>
        <row r="765">
          <cell r="A765" t="str">
            <v>A1763</v>
          </cell>
          <cell r="B765" t="str">
            <v>Data Analytcis Course</v>
          </cell>
          <cell r="C765">
            <v>115</v>
          </cell>
          <cell r="D765">
            <v>115</v>
          </cell>
          <cell r="E765">
            <v>5445</v>
          </cell>
          <cell r="F765">
            <v>5445</v>
          </cell>
          <cell r="G765" t="str">
            <v>$183.55</v>
          </cell>
          <cell r="H765" t="str">
            <v>$183.55</v>
          </cell>
          <cell r="I765">
            <v>21</v>
          </cell>
          <cell r="J765">
            <v>21</v>
          </cell>
          <cell r="K765">
            <v>7</v>
          </cell>
          <cell r="L765">
            <v>7</v>
          </cell>
          <cell r="M765">
            <v>6.0869565217391307E-2</v>
          </cell>
          <cell r="N765">
            <v>5.8999999999999997E-2</v>
          </cell>
          <cell r="O765" t="str">
            <v>$1721</v>
          </cell>
          <cell r="P765" t="str">
            <v>$1721</v>
          </cell>
          <cell r="Q765">
            <v>45603</v>
          </cell>
          <cell r="R765" t="str">
            <v>Hyderabad</v>
          </cell>
          <cell r="S765" t="str">
            <v>Tablet</v>
          </cell>
          <cell r="T765" t="str">
            <v>data analytics course</v>
          </cell>
        </row>
        <row r="766">
          <cell r="A766" t="str">
            <v>A1764</v>
          </cell>
          <cell r="B766" t="str">
            <v>Data Analytics Course</v>
          </cell>
          <cell r="C766">
            <v>160</v>
          </cell>
          <cell r="D766">
            <v>160</v>
          </cell>
          <cell r="E766">
            <v>5936</v>
          </cell>
          <cell r="F766">
            <v>5936</v>
          </cell>
          <cell r="G766" t="str">
            <v>$239.87</v>
          </cell>
          <cell r="H766" t="str">
            <v>$239.87</v>
          </cell>
          <cell r="I766">
            <v>29</v>
          </cell>
          <cell r="J766">
            <v>29</v>
          </cell>
          <cell r="K766">
            <v>4</v>
          </cell>
          <cell r="L766">
            <v>4</v>
          </cell>
          <cell r="M766">
            <v>2.5000000000000001E-2</v>
          </cell>
          <cell r="O766" t="str">
            <v>$1320</v>
          </cell>
          <cell r="P766" t="str">
            <v>$1320</v>
          </cell>
          <cell r="Q766">
            <v>45620</v>
          </cell>
          <cell r="R766" t="str">
            <v>Hyderabad</v>
          </cell>
          <cell r="S766" t="str">
            <v>Mobile</v>
          </cell>
          <cell r="T766" t="str">
            <v>analytics for data</v>
          </cell>
        </row>
        <row r="767">
          <cell r="A767" t="str">
            <v>A1765</v>
          </cell>
          <cell r="B767" t="str">
            <v>Data Analytics Course</v>
          </cell>
          <cell r="C767">
            <v>166</v>
          </cell>
          <cell r="D767">
            <v>166</v>
          </cell>
          <cell r="E767">
            <v>5808</v>
          </cell>
          <cell r="F767">
            <v>5808</v>
          </cell>
          <cell r="G767" t="str">
            <v>$194.79</v>
          </cell>
          <cell r="H767" t="str">
            <v>$194.79</v>
          </cell>
          <cell r="I767">
            <v>14</v>
          </cell>
          <cell r="J767">
            <v>14</v>
          </cell>
          <cell r="K767">
            <v>8</v>
          </cell>
          <cell r="L767">
            <v>8</v>
          </cell>
          <cell r="M767">
            <v>4.8192771084337352E-2</v>
          </cell>
          <cell r="N767">
            <v>4.8000000000000001E-2</v>
          </cell>
          <cell r="O767" t="str">
            <v>$1799</v>
          </cell>
          <cell r="P767" t="str">
            <v>$1799</v>
          </cell>
          <cell r="Q767">
            <v>45610</v>
          </cell>
          <cell r="R767" t="str">
            <v>Hyderabad</v>
          </cell>
          <cell r="S767" t="str">
            <v>Tablet</v>
          </cell>
          <cell r="T767" t="str">
            <v>data analytics training</v>
          </cell>
        </row>
        <row r="768">
          <cell r="A768" t="str">
            <v>A1766</v>
          </cell>
          <cell r="B768" t="str">
            <v>Data Analytcis Course</v>
          </cell>
          <cell r="C768">
            <v>187</v>
          </cell>
          <cell r="D768">
            <v>187</v>
          </cell>
          <cell r="E768">
            <v>3282</v>
          </cell>
          <cell r="F768">
            <v>3282</v>
          </cell>
          <cell r="G768" t="str">
            <v>$234.91</v>
          </cell>
          <cell r="H768" t="str">
            <v>$234.91</v>
          </cell>
          <cell r="I768">
            <v>10</v>
          </cell>
          <cell r="J768">
            <v>10</v>
          </cell>
          <cell r="K768">
            <v>7</v>
          </cell>
          <cell r="L768">
            <v>7</v>
          </cell>
          <cell r="M768">
            <v>3.7433155080213901E-2</v>
          </cell>
          <cell r="N768">
            <v>4.1000000000000002E-2</v>
          </cell>
          <cell r="O768" t="str">
            <v>$1525</v>
          </cell>
          <cell r="P768" t="str">
            <v>$1525</v>
          </cell>
          <cell r="Q768">
            <v>45625</v>
          </cell>
          <cell r="R768" t="str">
            <v>Chennai</v>
          </cell>
          <cell r="S768" t="str">
            <v>Mobile</v>
          </cell>
          <cell r="T768" t="str">
            <v>online data analytic</v>
          </cell>
        </row>
        <row r="769">
          <cell r="A769" t="str">
            <v>A1767</v>
          </cell>
          <cell r="B769" t="str">
            <v>Data Analytics Course</v>
          </cell>
          <cell r="C769">
            <v>172</v>
          </cell>
          <cell r="D769">
            <v>172</v>
          </cell>
          <cell r="E769">
            <v>3334</v>
          </cell>
          <cell r="F769">
            <v>3334</v>
          </cell>
          <cell r="G769" t="str">
            <v>$243.12</v>
          </cell>
          <cell r="H769" t="str">
            <v>$243.12</v>
          </cell>
          <cell r="I769">
            <v>30</v>
          </cell>
          <cell r="J769">
            <v>30</v>
          </cell>
          <cell r="K769">
            <v>9</v>
          </cell>
          <cell r="L769">
            <v>9</v>
          </cell>
          <cell r="M769">
            <v>5.232558139534884E-2</v>
          </cell>
          <cell r="N769">
            <v>5.1999999999999998E-2</v>
          </cell>
          <cell r="O769" t="str">
            <v>$1500</v>
          </cell>
          <cell r="Q769">
            <v>45604</v>
          </cell>
          <cell r="R769" t="str">
            <v>Bangaluru</v>
          </cell>
          <cell r="S769" t="str">
            <v>Mobile</v>
          </cell>
          <cell r="T769" t="str">
            <v>online data analytic</v>
          </cell>
        </row>
        <row r="770">
          <cell r="A770" t="str">
            <v>A1768</v>
          </cell>
          <cell r="B770" t="str">
            <v>Data Analytics Course</v>
          </cell>
          <cell r="C770">
            <v>172</v>
          </cell>
          <cell r="D770">
            <v>172</v>
          </cell>
          <cell r="E770">
            <v>5546</v>
          </cell>
          <cell r="F770">
            <v>5546</v>
          </cell>
          <cell r="G770" t="str">
            <v>$241.81</v>
          </cell>
          <cell r="H770" t="str">
            <v>$241.81</v>
          </cell>
          <cell r="I770">
            <v>24</v>
          </cell>
          <cell r="J770">
            <v>24</v>
          </cell>
          <cell r="K770">
            <v>10</v>
          </cell>
          <cell r="L770">
            <v>10</v>
          </cell>
          <cell r="M770">
            <v>5.8139534883720929E-2</v>
          </cell>
          <cell r="N770">
            <v>5.8000000000000003E-2</v>
          </cell>
          <cell r="O770" t="str">
            <v>$1681</v>
          </cell>
          <cell r="P770" t="str">
            <v>$1681</v>
          </cell>
          <cell r="Q770">
            <v>45599</v>
          </cell>
          <cell r="R770" t="str">
            <v>Hyderabad</v>
          </cell>
          <cell r="S770" t="str">
            <v>Desktop</v>
          </cell>
          <cell r="T770" t="str">
            <v>learn data analytics</v>
          </cell>
        </row>
        <row r="771">
          <cell r="A771" t="str">
            <v>A1769</v>
          </cell>
          <cell r="B771" t="str">
            <v>Data Analytcis Course</v>
          </cell>
          <cell r="C771">
            <v>187</v>
          </cell>
          <cell r="D771">
            <v>187</v>
          </cell>
          <cell r="E771">
            <v>5734</v>
          </cell>
          <cell r="F771">
            <v>5734</v>
          </cell>
          <cell r="G771" t="str">
            <v>$187.44</v>
          </cell>
          <cell r="H771" t="str">
            <v>$187.44</v>
          </cell>
          <cell r="I771">
            <v>10</v>
          </cell>
          <cell r="J771">
            <v>10</v>
          </cell>
          <cell r="K771">
            <v>8</v>
          </cell>
          <cell r="L771">
            <v>8</v>
          </cell>
          <cell r="M771">
            <v>4.2780748663101602E-2</v>
          </cell>
          <cell r="N771">
            <v>4.2999999999999997E-2</v>
          </cell>
          <cell r="O771" t="str">
            <v>$1183</v>
          </cell>
          <cell r="P771" t="str">
            <v>$1183</v>
          </cell>
          <cell r="Q771">
            <v>45619</v>
          </cell>
          <cell r="R771" t="str">
            <v>Hyderabad</v>
          </cell>
          <cell r="S771" t="str">
            <v>Tablet</v>
          </cell>
          <cell r="T771" t="str">
            <v>analytics for data</v>
          </cell>
        </row>
        <row r="772">
          <cell r="A772" t="str">
            <v>A1770</v>
          </cell>
          <cell r="B772" t="str">
            <v>Data Analytics Course</v>
          </cell>
          <cell r="C772">
            <v>196</v>
          </cell>
          <cell r="D772">
            <v>196</v>
          </cell>
          <cell r="E772">
            <v>4964</v>
          </cell>
          <cell r="F772">
            <v>4964</v>
          </cell>
          <cell r="G772" t="str">
            <v>$249.47</v>
          </cell>
          <cell r="H772" t="str">
            <v>$249.47</v>
          </cell>
          <cell r="I772">
            <v>26</v>
          </cell>
          <cell r="J772">
            <v>26</v>
          </cell>
          <cell r="K772">
            <v>9</v>
          </cell>
          <cell r="L772">
            <v>9</v>
          </cell>
          <cell r="M772">
            <v>4.5918367346938778E-2</v>
          </cell>
          <cell r="N772">
            <v>4.5999999999999999E-2</v>
          </cell>
          <cell r="O772" t="str">
            <v>$1996</v>
          </cell>
          <cell r="P772" t="str">
            <v>$1996</v>
          </cell>
          <cell r="Q772">
            <v>45615</v>
          </cell>
          <cell r="R772" t="str">
            <v>Hyderabad</v>
          </cell>
          <cell r="S772" t="str">
            <v>Mobile</v>
          </cell>
          <cell r="T772" t="str">
            <v>learn data analytics</v>
          </cell>
        </row>
        <row r="773">
          <cell r="A773" t="str">
            <v>A1771</v>
          </cell>
          <cell r="B773" t="str">
            <v>Data Analytcis Course</v>
          </cell>
          <cell r="C773">
            <v>131</v>
          </cell>
          <cell r="D773">
            <v>131</v>
          </cell>
          <cell r="E773">
            <v>4774</v>
          </cell>
          <cell r="F773">
            <v>4774</v>
          </cell>
          <cell r="G773" t="str">
            <v>$240.53</v>
          </cell>
          <cell r="H773" t="str">
            <v>$240.53</v>
          </cell>
          <cell r="I773">
            <v>24</v>
          </cell>
          <cell r="J773">
            <v>24</v>
          </cell>
          <cell r="K773">
            <v>7</v>
          </cell>
          <cell r="L773">
            <v>7</v>
          </cell>
          <cell r="M773">
            <v>5.3435114503816793E-2</v>
          </cell>
          <cell r="N773">
            <v>5.2999999999999999E-2</v>
          </cell>
          <cell r="O773" t="str">
            <v>$1500</v>
          </cell>
          <cell r="Q773">
            <v>45605</v>
          </cell>
          <cell r="R773" t="str">
            <v>Chennai</v>
          </cell>
          <cell r="S773" t="str">
            <v>Tablet</v>
          </cell>
          <cell r="T773" t="str">
            <v>data analytics training</v>
          </cell>
        </row>
        <row r="774">
          <cell r="A774" t="str">
            <v>A1772</v>
          </cell>
          <cell r="B774" t="str">
            <v>Data Analytics Course</v>
          </cell>
          <cell r="C774">
            <v>103</v>
          </cell>
          <cell r="D774">
            <v>103</v>
          </cell>
          <cell r="E774">
            <v>5244</v>
          </cell>
          <cell r="F774">
            <v>5244</v>
          </cell>
          <cell r="G774" t="str">
            <v>$205.9</v>
          </cell>
          <cell r="H774" t="str">
            <v>$205.9</v>
          </cell>
          <cell r="I774">
            <v>22</v>
          </cell>
          <cell r="J774">
            <v>22</v>
          </cell>
          <cell r="K774">
            <v>7</v>
          </cell>
          <cell r="L774">
            <v>7</v>
          </cell>
          <cell r="M774">
            <v>6.7961165048543687E-2</v>
          </cell>
          <cell r="N774">
            <v>3.2000000000000001E-2</v>
          </cell>
          <cell r="O774" t="str">
            <v>$1954</v>
          </cell>
          <cell r="P774" t="str">
            <v>$1954</v>
          </cell>
          <cell r="Q774">
            <v>45612</v>
          </cell>
          <cell r="R774" t="str">
            <v>Hyderabad</v>
          </cell>
          <cell r="S774" t="str">
            <v>Mobile</v>
          </cell>
          <cell r="T774" t="str">
            <v>analytics for data</v>
          </cell>
        </row>
        <row r="775">
          <cell r="A775" t="str">
            <v>A1773</v>
          </cell>
          <cell r="B775" t="str">
            <v>Data Analytcis Course</v>
          </cell>
          <cell r="C775">
            <v>114</v>
          </cell>
          <cell r="D775">
            <v>114</v>
          </cell>
          <cell r="E775">
            <v>3064</v>
          </cell>
          <cell r="F775">
            <v>3064</v>
          </cell>
          <cell r="G775" t="str">
            <v>$196.01</v>
          </cell>
          <cell r="H775" t="str">
            <v>$196.01</v>
          </cell>
          <cell r="I775">
            <v>23</v>
          </cell>
          <cell r="J775">
            <v>23</v>
          </cell>
          <cell r="K775">
            <v>6</v>
          </cell>
          <cell r="L775">
            <v>6</v>
          </cell>
          <cell r="M775">
            <v>5.2631578947368418E-2</v>
          </cell>
          <cell r="N775">
            <v>5.2999999999999999E-2</v>
          </cell>
          <cell r="O775" t="str">
            <v>$1348</v>
          </cell>
          <cell r="P775" t="str">
            <v>$1348</v>
          </cell>
          <cell r="Q775">
            <v>45626</v>
          </cell>
          <cell r="R775" t="str">
            <v>Bangaluru</v>
          </cell>
          <cell r="S775" t="str">
            <v>Mobile</v>
          </cell>
          <cell r="T775" t="str">
            <v>learn data analytics</v>
          </cell>
        </row>
        <row r="776">
          <cell r="A776" t="str">
            <v>A1774</v>
          </cell>
          <cell r="B776" t="str">
            <v>Data Analytics Course</v>
          </cell>
          <cell r="C776">
            <v>116</v>
          </cell>
          <cell r="D776">
            <v>116</v>
          </cell>
          <cell r="E776">
            <v>3265</v>
          </cell>
          <cell r="F776">
            <v>3265</v>
          </cell>
          <cell r="G776" t="str">
            <v>$199.21</v>
          </cell>
          <cell r="H776" t="str">
            <v>$199.21</v>
          </cell>
          <cell r="I776">
            <v>24</v>
          </cell>
          <cell r="J776">
            <v>24</v>
          </cell>
          <cell r="K776">
            <v>10</v>
          </cell>
          <cell r="L776">
            <v>10</v>
          </cell>
          <cell r="M776">
            <v>8.6206896551724144E-2</v>
          </cell>
          <cell r="N776">
            <v>8.5999999999999993E-2</v>
          </cell>
          <cell r="O776" t="str">
            <v>$1006</v>
          </cell>
          <cell r="P776" t="str">
            <v>$1006</v>
          </cell>
          <cell r="Q776">
            <v>45617</v>
          </cell>
          <cell r="R776" t="str">
            <v>Chennai</v>
          </cell>
          <cell r="S776" t="str">
            <v>Mobile</v>
          </cell>
          <cell r="T776" t="str">
            <v>learn data analytics</v>
          </cell>
        </row>
        <row r="777">
          <cell r="A777" t="str">
            <v>A1775</v>
          </cell>
          <cell r="B777" t="str">
            <v>Data Analytics Course</v>
          </cell>
          <cell r="C777">
            <v>164</v>
          </cell>
          <cell r="D777">
            <v>164</v>
          </cell>
          <cell r="E777">
            <v>5351</v>
          </cell>
          <cell r="F777">
            <v>5351</v>
          </cell>
          <cell r="G777" t="str">
            <v>$217.9</v>
          </cell>
          <cell r="H777" t="str">
            <v>$217.9</v>
          </cell>
          <cell r="I777">
            <v>10</v>
          </cell>
          <cell r="J777">
            <v>10</v>
          </cell>
          <cell r="K777">
            <v>9</v>
          </cell>
          <cell r="L777">
            <v>9</v>
          </cell>
          <cell r="M777">
            <v>5.4878048780487805E-2</v>
          </cell>
          <cell r="N777">
            <v>5.5E-2</v>
          </cell>
          <cell r="O777" t="str">
            <v>$1431</v>
          </cell>
          <cell r="P777" t="str">
            <v>$1431</v>
          </cell>
          <cell r="Q777">
            <v>45608</v>
          </cell>
          <cell r="R777" t="str">
            <v>Bangaluru</v>
          </cell>
          <cell r="S777" t="str">
            <v>Tablet</v>
          </cell>
          <cell r="T777" t="str">
            <v>online data analytic</v>
          </cell>
        </row>
        <row r="778">
          <cell r="A778" t="str">
            <v>A1776</v>
          </cell>
          <cell r="B778" t="str">
            <v>Data Analytics Course</v>
          </cell>
          <cell r="C778">
            <v>160</v>
          </cell>
          <cell r="D778">
            <v>160</v>
          </cell>
          <cell r="E778">
            <v>5830</v>
          </cell>
          <cell r="F778">
            <v>5830</v>
          </cell>
          <cell r="G778" t="str">
            <v>$200.00</v>
          </cell>
          <cell r="I778">
            <v>15</v>
          </cell>
          <cell r="J778">
            <v>15</v>
          </cell>
          <cell r="K778">
            <v>10</v>
          </cell>
          <cell r="L778">
            <v>10</v>
          </cell>
          <cell r="M778">
            <v>6.25E-2</v>
          </cell>
          <cell r="N778">
            <v>6.2E-2</v>
          </cell>
          <cell r="O778" t="str">
            <v>$1270</v>
          </cell>
          <cell r="P778" t="str">
            <v>$1270</v>
          </cell>
          <cell r="Q778">
            <v>45622</v>
          </cell>
          <cell r="R778" t="str">
            <v>Hyderabad</v>
          </cell>
          <cell r="S778" t="str">
            <v>Mobile</v>
          </cell>
          <cell r="T778" t="str">
            <v>online data analytic</v>
          </cell>
        </row>
        <row r="779">
          <cell r="A779" t="str">
            <v>A1777</v>
          </cell>
          <cell r="B779" t="str">
            <v>Data Analytics Course</v>
          </cell>
          <cell r="C779">
            <v>112</v>
          </cell>
          <cell r="D779">
            <v>112</v>
          </cell>
          <cell r="E779">
            <v>4808</v>
          </cell>
          <cell r="F779">
            <v>4808</v>
          </cell>
          <cell r="G779" t="str">
            <v>$221.57</v>
          </cell>
          <cell r="H779" t="str">
            <v>$221.57</v>
          </cell>
          <cell r="I779">
            <v>17</v>
          </cell>
          <cell r="J779">
            <v>17</v>
          </cell>
          <cell r="K779">
            <v>7</v>
          </cell>
          <cell r="L779">
            <v>7</v>
          </cell>
          <cell r="M779">
            <v>6.25E-2</v>
          </cell>
          <cell r="N779">
            <v>6.2E-2</v>
          </cell>
          <cell r="O779" t="str">
            <v>$1186</v>
          </cell>
          <cell r="P779" t="str">
            <v>$1186</v>
          </cell>
          <cell r="Q779">
            <v>45621</v>
          </cell>
          <cell r="R779" t="str">
            <v>Hyderabad</v>
          </cell>
          <cell r="S779" t="str">
            <v>Desktop</v>
          </cell>
          <cell r="T779" t="str">
            <v>data analytics online</v>
          </cell>
        </row>
        <row r="780">
          <cell r="A780" t="str">
            <v>A1778</v>
          </cell>
          <cell r="B780" t="str">
            <v>Data Analytics Course</v>
          </cell>
          <cell r="C780">
            <v>87</v>
          </cell>
          <cell r="D780">
            <v>87</v>
          </cell>
          <cell r="E780">
            <v>5506</v>
          </cell>
          <cell r="F780">
            <v>5506</v>
          </cell>
          <cell r="G780" t="str">
            <v>$188.77</v>
          </cell>
          <cell r="H780" t="str">
            <v>$188.77</v>
          </cell>
          <cell r="I780">
            <v>11</v>
          </cell>
          <cell r="J780">
            <v>11</v>
          </cell>
          <cell r="K780">
            <v>5</v>
          </cell>
          <cell r="L780">
            <v>5</v>
          </cell>
          <cell r="M780">
            <v>5.7471264367816091E-2</v>
          </cell>
          <cell r="O780" t="str">
            <v>$1774</v>
          </cell>
          <cell r="P780" t="str">
            <v>$1774</v>
          </cell>
          <cell r="Q780">
            <v>45618</v>
          </cell>
          <cell r="R780" t="str">
            <v>Bangaluru</v>
          </cell>
          <cell r="S780" t="str">
            <v>Mobile</v>
          </cell>
          <cell r="T780" t="str">
            <v>learn data analytics</v>
          </cell>
        </row>
        <row r="781">
          <cell r="A781" t="str">
            <v>A1779</v>
          </cell>
          <cell r="B781" t="str">
            <v>Data Analytcis Course</v>
          </cell>
          <cell r="C781">
            <v>138.95699356913184</v>
          </cell>
          <cell r="E781">
            <v>4798</v>
          </cell>
          <cell r="F781">
            <v>4798</v>
          </cell>
          <cell r="G781" t="str">
            <v>$198.45</v>
          </cell>
          <cell r="H781" t="str">
            <v>$198.45</v>
          </cell>
          <cell r="I781">
            <v>20</v>
          </cell>
          <cell r="J781">
            <v>20</v>
          </cell>
          <cell r="K781">
            <v>10</v>
          </cell>
          <cell r="L781">
            <v>10</v>
          </cell>
          <cell r="M781">
            <v>7.1964711837443046E-2</v>
          </cell>
          <cell r="O781" t="str">
            <v>$1937</v>
          </cell>
          <cell r="P781" t="str">
            <v>$1937</v>
          </cell>
          <cell r="Q781">
            <v>45610</v>
          </cell>
          <cell r="R781" t="str">
            <v>Chennai</v>
          </cell>
          <cell r="S781" t="str">
            <v>Mobile</v>
          </cell>
          <cell r="T781" t="str">
            <v>data analytics training</v>
          </cell>
        </row>
        <row r="782">
          <cell r="A782" t="str">
            <v>A1780</v>
          </cell>
          <cell r="B782" t="str">
            <v>Data Analytics Course</v>
          </cell>
          <cell r="C782">
            <v>139</v>
          </cell>
          <cell r="D782">
            <v>139</v>
          </cell>
          <cell r="E782">
            <v>5763</v>
          </cell>
          <cell r="F782">
            <v>5763</v>
          </cell>
          <cell r="G782" t="str">
            <v>$214.49</v>
          </cell>
          <cell r="H782" t="str">
            <v>$214.49</v>
          </cell>
          <cell r="I782">
            <v>15</v>
          </cell>
          <cell r="J782">
            <v>15</v>
          </cell>
          <cell r="K782">
            <v>5</v>
          </cell>
          <cell r="L782">
            <v>5</v>
          </cell>
          <cell r="M782">
            <v>3.5971223021582732E-2</v>
          </cell>
          <cell r="N782">
            <v>4.4999999999999998E-2</v>
          </cell>
          <cell r="O782" t="str">
            <v>$1781</v>
          </cell>
          <cell r="P782" t="str">
            <v>$1781</v>
          </cell>
          <cell r="Q782">
            <v>45597</v>
          </cell>
          <cell r="R782" t="str">
            <v>Chennai</v>
          </cell>
          <cell r="S782" t="str">
            <v>Desktop</v>
          </cell>
          <cell r="T782" t="str">
            <v>data analytics online</v>
          </cell>
        </row>
        <row r="783">
          <cell r="A783" t="str">
            <v>A1781</v>
          </cell>
          <cell r="B783" t="str">
            <v>Data Analytcis Course</v>
          </cell>
          <cell r="C783">
            <v>193</v>
          </cell>
          <cell r="D783">
            <v>193</v>
          </cell>
          <cell r="E783">
            <v>3271</v>
          </cell>
          <cell r="F783">
            <v>3271</v>
          </cell>
          <cell r="G783" t="str">
            <v>$187.76</v>
          </cell>
          <cell r="H783" t="str">
            <v>$187.76</v>
          </cell>
          <cell r="I783">
            <v>30</v>
          </cell>
          <cell r="J783">
            <v>30</v>
          </cell>
          <cell r="K783">
            <v>9</v>
          </cell>
          <cell r="L783">
            <v>9</v>
          </cell>
          <cell r="M783">
            <v>4.6632124352331605E-2</v>
          </cell>
          <cell r="N783">
            <v>5.2999999999999999E-2</v>
          </cell>
          <cell r="O783" t="str">
            <v>$1209</v>
          </cell>
          <cell r="P783" t="str">
            <v>$1209</v>
          </cell>
          <cell r="Q783">
            <v>45609</v>
          </cell>
          <cell r="R783" t="str">
            <v>Hyderabad</v>
          </cell>
          <cell r="S783" t="str">
            <v>Tablet</v>
          </cell>
          <cell r="T783" t="str">
            <v>online data analytic</v>
          </cell>
        </row>
        <row r="784">
          <cell r="A784" t="str">
            <v>A1782</v>
          </cell>
          <cell r="B784" t="str">
            <v>Data Analytics Course</v>
          </cell>
          <cell r="C784">
            <v>151</v>
          </cell>
          <cell r="D784">
            <v>151</v>
          </cell>
          <cell r="E784">
            <v>4402</v>
          </cell>
          <cell r="F784">
            <v>4402</v>
          </cell>
          <cell r="G784" t="str">
            <v>$248.65</v>
          </cell>
          <cell r="H784" t="str">
            <v>$248.65</v>
          </cell>
          <cell r="I784">
            <v>21</v>
          </cell>
          <cell r="J784">
            <v>21</v>
          </cell>
          <cell r="K784">
            <v>4</v>
          </cell>
          <cell r="L784">
            <v>4</v>
          </cell>
          <cell r="M784">
            <v>2.6490066225165563E-2</v>
          </cell>
          <cell r="O784" t="str">
            <v>$1722</v>
          </cell>
          <cell r="P784" t="str">
            <v>$1722</v>
          </cell>
          <cell r="Q784">
            <v>45615</v>
          </cell>
          <cell r="R784" t="str">
            <v>Chennai</v>
          </cell>
          <cell r="S784" t="str">
            <v>Desktop</v>
          </cell>
          <cell r="T784" t="str">
            <v>data analytics online</v>
          </cell>
        </row>
        <row r="785">
          <cell r="A785" t="str">
            <v>A1783</v>
          </cell>
          <cell r="B785" t="str">
            <v>Data Analytics Course</v>
          </cell>
          <cell r="C785">
            <v>90</v>
          </cell>
          <cell r="D785">
            <v>90</v>
          </cell>
          <cell r="E785">
            <v>4281</v>
          </cell>
          <cell r="F785">
            <v>4281</v>
          </cell>
          <cell r="G785" t="str">
            <v>$216.36</v>
          </cell>
          <cell r="H785" t="str">
            <v>$216.36</v>
          </cell>
          <cell r="I785">
            <v>24</v>
          </cell>
          <cell r="J785">
            <v>24</v>
          </cell>
          <cell r="K785">
            <v>4</v>
          </cell>
          <cell r="L785">
            <v>4</v>
          </cell>
          <cell r="M785">
            <v>4.4444444444444446E-2</v>
          </cell>
          <cell r="O785" t="str">
            <v>$1768</v>
          </cell>
          <cell r="P785" t="str">
            <v>$1768</v>
          </cell>
          <cell r="Q785">
            <v>45600</v>
          </cell>
          <cell r="R785" t="str">
            <v>Hyderabad</v>
          </cell>
          <cell r="S785" t="str">
            <v>Mobile</v>
          </cell>
          <cell r="T785" t="str">
            <v>learn data analytics</v>
          </cell>
        </row>
        <row r="786">
          <cell r="A786" t="str">
            <v>A1784</v>
          </cell>
          <cell r="B786" t="str">
            <v>Data Analytics Course</v>
          </cell>
          <cell r="C786">
            <v>169</v>
          </cell>
          <cell r="D786">
            <v>169</v>
          </cell>
          <cell r="E786">
            <v>4480</v>
          </cell>
          <cell r="F786">
            <v>4480</v>
          </cell>
          <cell r="G786" t="str">
            <v>$200.00</v>
          </cell>
          <cell r="I786">
            <v>11</v>
          </cell>
          <cell r="J786">
            <v>11</v>
          </cell>
          <cell r="K786">
            <v>10</v>
          </cell>
          <cell r="L786">
            <v>10</v>
          </cell>
          <cell r="M786">
            <v>5.9171597633136092E-2</v>
          </cell>
          <cell r="N786">
            <v>5.8999999999999997E-2</v>
          </cell>
          <cell r="O786" t="str">
            <v>$1769</v>
          </cell>
          <cell r="P786" t="str">
            <v>$1769</v>
          </cell>
          <cell r="Q786">
            <v>45624</v>
          </cell>
          <cell r="R786" t="str">
            <v>Chennai</v>
          </cell>
          <cell r="S786" t="str">
            <v>Tablet</v>
          </cell>
          <cell r="T786" t="str">
            <v>online data analytic</v>
          </cell>
        </row>
        <row r="787">
          <cell r="A787" t="str">
            <v>A1785</v>
          </cell>
          <cell r="B787" t="str">
            <v>Data Analytics Course</v>
          </cell>
          <cell r="C787">
            <v>197</v>
          </cell>
          <cell r="D787">
            <v>197</v>
          </cell>
          <cell r="E787">
            <v>4373</v>
          </cell>
          <cell r="F787">
            <v>4373</v>
          </cell>
          <cell r="G787" t="str">
            <v>$218.3</v>
          </cell>
          <cell r="H787" t="str">
            <v>$218.3</v>
          </cell>
          <cell r="I787">
            <v>18</v>
          </cell>
          <cell r="J787">
            <v>18</v>
          </cell>
          <cell r="K787">
            <v>9</v>
          </cell>
          <cell r="L787">
            <v>9</v>
          </cell>
          <cell r="M787">
            <v>4.5685279187817257E-2</v>
          </cell>
          <cell r="N787">
            <v>5.8999999999999997E-2</v>
          </cell>
          <cell r="O787" t="str">
            <v>$1988</v>
          </cell>
          <cell r="P787" t="str">
            <v>$1988</v>
          </cell>
          <cell r="Q787">
            <v>45610</v>
          </cell>
          <cell r="R787" t="str">
            <v>Bangaluru</v>
          </cell>
          <cell r="S787" t="str">
            <v>Desktop</v>
          </cell>
          <cell r="T787" t="str">
            <v>learn data analytics</v>
          </cell>
        </row>
        <row r="788">
          <cell r="A788" t="str">
            <v>A1786</v>
          </cell>
          <cell r="B788" t="str">
            <v>Data Analytics Course</v>
          </cell>
          <cell r="C788">
            <v>132</v>
          </cell>
          <cell r="D788">
            <v>132</v>
          </cell>
          <cell r="E788">
            <v>4523.2808326787117</v>
          </cell>
          <cell r="G788" t="str">
            <v>$219.44</v>
          </cell>
          <cell r="H788" t="str">
            <v>$219.44</v>
          </cell>
          <cell r="I788">
            <v>17</v>
          </cell>
          <cell r="J788">
            <v>17</v>
          </cell>
          <cell r="K788">
            <v>3</v>
          </cell>
          <cell r="L788">
            <v>3</v>
          </cell>
          <cell r="M788">
            <v>2.2727272727272728E-2</v>
          </cell>
          <cell r="N788">
            <v>5.5E-2</v>
          </cell>
          <cell r="O788" t="str">
            <v>$1949</v>
          </cell>
          <cell r="P788" t="str">
            <v>$1949</v>
          </cell>
          <cell r="Q788">
            <v>45620</v>
          </cell>
          <cell r="R788" t="str">
            <v>Hyderabad</v>
          </cell>
          <cell r="S788" t="str">
            <v>Desktop</v>
          </cell>
          <cell r="T788" t="str">
            <v>learn data analytics</v>
          </cell>
        </row>
        <row r="789">
          <cell r="A789" t="str">
            <v>A1787</v>
          </cell>
          <cell r="B789" t="str">
            <v>Data Analytics Course</v>
          </cell>
          <cell r="C789">
            <v>96</v>
          </cell>
          <cell r="D789">
            <v>96</v>
          </cell>
          <cell r="E789">
            <v>5503</v>
          </cell>
          <cell r="F789">
            <v>5503</v>
          </cell>
          <cell r="G789" t="str">
            <v>$243.51</v>
          </cell>
          <cell r="H789" t="str">
            <v>$243.51</v>
          </cell>
          <cell r="I789">
            <v>11</v>
          </cell>
          <cell r="J789">
            <v>11</v>
          </cell>
          <cell r="K789">
            <v>6</v>
          </cell>
          <cell r="L789">
            <v>6</v>
          </cell>
          <cell r="M789">
            <v>6.25E-2</v>
          </cell>
          <cell r="N789">
            <v>6.2E-2</v>
          </cell>
          <cell r="O789" t="str">
            <v>$1687</v>
          </cell>
          <cell r="P789" t="str">
            <v>$1687</v>
          </cell>
          <cell r="Q789">
            <v>45598</v>
          </cell>
          <cell r="R789" t="str">
            <v>Bangaluru</v>
          </cell>
          <cell r="S789" t="str">
            <v>Desktop</v>
          </cell>
          <cell r="T789" t="str">
            <v>data analytics online</v>
          </cell>
        </row>
        <row r="790">
          <cell r="A790" t="str">
            <v>A1788</v>
          </cell>
          <cell r="B790" t="str">
            <v>Data Analytics Course</v>
          </cell>
          <cell r="C790">
            <v>160</v>
          </cell>
          <cell r="D790">
            <v>160</v>
          </cell>
          <cell r="E790">
            <v>4154</v>
          </cell>
          <cell r="F790">
            <v>4154</v>
          </cell>
          <cell r="G790" t="str">
            <v>$230.16</v>
          </cell>
          <cell r="H790" t="str">
            <v>$230.16</v>
          </cell>
          <cell r="I790">
            <v>15</v>
          </cell>
          <cell r="J790">
            <v>15</v>
          </cell>
          <cell r="K790">
            <v>6</v>
          </cell>
          <cell r="L790">
            <v>6</v>
          </cell>
          <cell r="M790">
            <v>3.7499999999999999E-2</v>
          </cell>
          <cell r="O790" t="str">
            <v>$1667</v>
          </cell>
          <cell r="P790" t="str">
            <v>$1667</v>
          </cell>
          <cell r="Q790">
            <v>45612</v>
          </cell>
          <cell r="R790" t="str">
            <v>Chennai</v>
          </cell>
          <cell r="S790" t="str">
            <v>Mobile</v>
          </cell>
          <cell r="T790" t="str">
            <v>online data analytic</v>
          </cell>
        </row>
        <row r="791">
          <cell r="A791" t="str">
            <v>A1789</v>
          </cell>
          <cell r="B791" t="str">
            <v>Data Analytics Course</v>
          </cell>
          <cell r="C791">
            <v>162</v>
          </cell>
          <cell r="D791">
            <v>162</v>
          </cell>
          <cell r="E791">
            <v>5161</v>
          </cell>
          <cell r="F791">
            <v>5161</v>
          </cell>
          <cell r="G791" t="str">
            <v>$240.72</v>
          </cell>
          <cell r="H791" t="str">
            <v>$240.72</v>
          </cell>
          <cell r="I791">
            <v>16</v>
          </cell>
          <cell r="J791">
            <v>16</v>
          </cell>
          <cell r="K791">
            <v>7</v>
          </cell>
          <cell r="L791">
            <v>7</v>
          </cell>
          <cell r="M791">
            <v>4.3209876543209874E-2</v>
          </cell>
          <cell r="O791" t="str">
            <v>$1649</v>
          </cell>
          <cell r="P791" t="str">
            <v>$1649</v>
          </cell>
          <cell r="Q791">
            <v>45611</v>
          </cell>
          <cell r="R791" t="str">
            <v>Hyderabad</v>
          </cell>
          <cell r="S791" t="str">
            <v>Tablet</v>
          </cell>
          <cell r="T791" t="str">
            <v>learn data analytics</v>
          </cell>
        </row>
        <row r="792">
          <cell r="A792" t="str">
            <v>A1790</v>
          </cell>
          <cell r="B792" t="str">
            <v>Data Analytics Course</v>
          </cell>
          <cell r="C792">
            <v>171</v>
          </cell>
          <cell r="D792">
            <v>171</v>
          </cell>
          <cell r="E792">
            <v>5517</v>
          </cell>
          <cell r="F792">
            <v>5517</v>
          </cell>
          <cell r="G792" t="str">
            <v>$233.86</v>
          </cell>
          <cell r="H792" t="str">
            <v>$233.86</v>
          </cell>
          <cell r="I792">
            <v>23</v>
          </cell>
          <cell r="J792">
            <v>23</v>
          </cell>
          <cell r="K792">
            <v>5</v>
          </cell>
          <cell r="L792">
            <v>5</v>
          </cell>
          <cell r="M792">
            <v>2.9239766081871343E-2</v>
          </cell>
          <cell r="N792">
            <v>2.9000000000000001E-2</v>
          </cell>
          <cell r="O792" t="str">
            <v>$1349</v>
          </cell>
          <cell r="P792" t="str">
            <v>$1349</v>
          </cell>
          <cell r="Q792">
            <v>45620</v>
          </cell>
          <cell r="R792" t="str">
            <v>Hyderabad</v>
          </cell>
          <cell r="S792" t="str">
            <v>Tablet</v>
          </cell>
          <cell r="T792" t="str">
            <v>data analytics course</v>
          </cell>
        </row>
        <row r="793">
          <cell r="A793" t="str">
            <v>A1791</v>
          </cell>
          <cell r="B793" t="str">
            <v>Data Analytics Course</v>
          </cell>
          <cell r="C793">
            <v>110</v>
          </cell>
          <cell r="D793">
            <v>110</v>
          </cell>
          <cell r="E793">
            <v>4161</v>
          </cell>
          <cell r="F793">
            <v>4161</v>
          </cell>
          <cell r="G793" t="str">
            <v>$204.28</v>
          </cell>
          <cell r="H793" t="str">
            <v>$204.28</v>
          </cell>
          <cell r="I793">
            <v>16</v>
          </cell>
          <cell r="J793">
            <v>16</v>
          </cell>
          <cell r="K793">
            <v>10</v>
          </cell>
          <cell r="L793">
            <v>10</v>
          </cell>
          <cell r="M793">
            <v>9.0909090909090912E-2</v>
          </cell>
          <cell r="O793" t="str">
            <v>$1447</v>
          </cell>
          <cell r="P793" t="str">
            <v>$1447</v>
          </cell>
          <cell r="Q793">
            <v>45610</v>
          </cell>
          <cell r="R793" t="str">
            <v>Chennai</v>
          </cell>
          <cell r="S793" t="str">
            <v>Mobile</v>
          </cell>
          <cell r="T793" t="str">
            <v>data analytics online</v>
          </cell>
        </row>
        <row r="794">
          <cell r="A794" t="str">
            <v>A1792</v>
          </cell>
          <cell r="B794" t="str">
            <v>Data Analytics Course</v>
          </cell>
          <cell r="C794">
            <v>103</v>
          </cell>
          <cell r="D794">
            <v>103</v>
          </cell>
          <cell r="E794">
            <v>5332</v>
          </cell>
          <cell r="F794">
            <v>5332</v>
          </cell>
          <cell r="G794" t="str">
            <v>$243.72</v>
          </cell>
          <cell r="H794" t="str">
            <v>$243.72</v>
          </cell>
          <cell r="I794">
            <v>16</v>
          </cell>
          <cell r="J794">
            <v>16</v>
          </cell>
          <cell r="K794">
            <v>3</v>
          </cell>
          <cell r="L794">
            <v>3</v>
          </cell>
          <cell r="M794">
            <v>2.9126213592233011E-2</v>
          </cell>
          <cell r="N794">
            <v>2.9000000000000001E-2</v>
          </cell>
          <cell r="O794" t="str">
            <v>$1882</v>
          </cell>
          <cell r="P794" t="str">
            <v>$1882</v>
          </cell>
          <cell r="Q794">
            <v>45624</v>
          </cell>
          <cell r="R794" t="str">
            <v>Hyderabad</v>
          </cell>
          <cell r="S794" t="str">
            <v>Desktop</v>
          </cell>
          <cell r="T794" t="str">
            <v>online data analytic</v>
          </cell>
        </row>
        <row r="795">
          <cell r="A795" t="str">
            <v>A1793</v>
          </cell>
          <cell r="B795" t="str">
            <v>Data Analytcis Course</v>
          </cell>
          <cell r="C795">
            <v>167</v>
          </cell>
          <cell r="D795">
            <v>167</v>
          </cell>
          <cell r="E795">
            <v>3620</v>
          </cell>
          <cell r="F795">
            <v>3620</v>
          </cell>
          <cell r="G795" t="str">
            <v>$243.81</v>
          </cell>
          <cell r="H795" t="str">
            <v>$243.81</v>
          </cell>
          <cell r="I795">
            <v>24</v>
          </cell>
          <cell r="J795">
            <v>24</v>
          </cell>
          <cell r="K795">
            <v>8</v>
          </cell>
          <cell r="L795">
            <v>8</v>
          </cell>
          <cell r="M795">
            <v>4.790419161676647E-2</v>
          </cell>
          <cell r="N795">
            <v>5.2999999999999999E-2</v>
          </cell>
          <cell r="O795" t="str">
            <v>$1001</v>
          </cell>
          <cell r="P795" t="str">
            <v>$1001</v>
          </cell>
          <cell r="Q795">
            <v>45601</v>
          </cell>
          <cell r="R795" t="str">
            <v>Hyderabad</v>
          </cell>
          <cell r="S795" t="str">
            <v>Desktop</v>
          </cell>
          <cell r="T795" t="str">
            <v>data analytics course</v>
          </cell>
        </row>
        <row r="796">
          <cell r="A796" t="str">
            <v>A1794</v>
          </cell>
          <cell r="B796" t="str">
            <v>Data Analytics Course</v>
          </cell>
          <cell r="C796">
            <v>132</v>
          </cell>
          <cell r="D796">
            <v>132</v>
          </cell>
          <cell r="E796">
            <v>4117</v>
          </cell>
          <cell r="F796">
            <v>4117</v>
          </cell>
          <cell r="G796" t="str">
            <v>$239.04</v>
          </cell>
          <cell r="H796" t="str">
            <v>$239.04</v>
          </cell>
          <cell r="I796">
            <v>28</v>
          </cell>
          <cell r="J796">
            <v>28</v>
          </cell>
          <cell r="K796">
            <v>3</v>
          </cell>
          <cell r="L796">
            <v>3</v>
          </cell>
          <cell r="M796">
            <v>2.2727272727272728E-2</v>
          </cell>
          <cell r="N796">
            <v>2.3E-2</v>
          </cell>
          <cell r="O796" t="str">
            <v>$1761</v>
          </cell>
          <cell r="P796" t="str">
            <v>$1761</v>
          </cell>
          <cell r="Q796">
            <v>45603</v>
          </cell>
          <cell r="R796" t="str">
            <v>Chennai</v>
          </cell>
          <cell r="S796" t="str">
            <v>Mobile</v>
          </cell>
          <cell r="T796" t="str">
            <v>analytics for data</v>
          </cell>
        </row>
        <row r="797">
          <cell r="A797" t="str">
            <v>A1795</v>
          </cell>
          <cell r="B797" t="str">
            <v>Data Analytics Course</v>
          </cell>
          <cell r="C797">
            <v>145</v>
          </cell>
          <cell r="D797">
            <v>145</v>
          </cell>
          <cell r="E797">
            <v>5400</v>
          </cell>
          <cell r="F797">
            <v>5400</v>
          </cell>
          <cell r="G797" t="str">
            <v>$219.89</v>
          </cell>
          <cell r="H797" t="str">
            <v>$219.89</v>
          </cell>
          <cell r="I797">
            <v>29</v>
          </cell>
          <cell r="J797">
            <v>29</v>
          </cell>
          <cell r="K797">
            <v>3</v>
          </cell>
          <cell r="L797">
            <v>3</v>
          </cell>
          <cell r="M797">
            <v>2.0689655172413793E-2</v>
          </cell>
          <cell r="O797" t="str">
            <v>$1152</v>
          </cell>
          <cell r="P797" t="str">
            <v>$1152</v>
          </cell>
          <cell r="Q797">
            <v>45616</v>
          </cell>
          <cell r="R797" t="str">
            <v>Chennai</v>
          </cell>
          <cell r="S797" t="str">
            <v>Tablet</v>
          </cell>
          <cell r="T797" t="str">
            <v>data analytics course</v>
          </cell>
        </row>
        <row r="798">
          <cell r="A798" t="str">
            <v>A1796</v>
          </cell>
          <cell r="B798" t="str">
            <v>Data Analytcis Course</v>
          </cell>
          <cell r="C798">
            <v>140</v>
          </cell>
          <cell r="D798">
            <v>140</v>
          </cell>
          <cell r="E798">
            <v>5220</v>
          </cell>
          <cell r="F798">
            <v>5220</v>
          </cell>
          <cell r="G798" t="str">
            <v>$183.39</v>
          </cell>
          <cell r="H798" t="str">
            <v>$183.39</v>
          </cell>
          <cell r="I798">
            <v>25</v>
          </cell>
          <cell r="J798">
            <v>25</v>
          </cell>
          <cell r="K798">
            <v>8</v>
          </cell>
          <cell r="L798">
            <v>8</v>
          </cell>
          <cell r="M798">
            <v>5.7142857142857141E-2</v>
          </cell>
          <cell r="N798">
            <v>5.7000000000000002E-2</v>
          </cell>
          <cell r="O798" t="str">
            <v>$1918</v>
          </cell>
          <cell r="P798" t="str">
            <v>$1918</v>
          </cell>
          <cell r="Q798">
            <v>45607</v>
          </cell>
          <cell r="R798" t="str">
            <v>Bangaluru</v>
          </cell>
          <cell r="S798" t="str">
            <v>Desktop</v>
          </cell>
          <cell r="T798" t="str">
            <v>learn data analytics</v>
          </cell>
        </row>
        <row r="799">
          <cell r="A799" t="str">
            <v>A1797</v>
          </cell>
          <cell r="B799" t="str">
            <v>Data Analytics Course</v>
          </cell>
          <cell r="C799">
            <v>122</v>
          </cell>
          <cell r="D799">
            <v>122</v>
          </cell>
          <cell r="E799">
            <v>4523.2808326787117</v>
          </cell>
          <cell r="G799" t="str">
            <v>$217.66</v>
          </cell>
          <cell r="H799" t="str">
            <v>$217.66</v>
          </cell>
          <cell r="I799">
            <v>25</v>
          </cell>
          <cell r="J799">
            <v>25</v>
          </cell>
          <cell r="K799">
            <v>10</v>
          </cell>
          <cell r="L799">
            <v>10</v>
          </cell>
          <cell r="M799">
            <v>8.1967213114754092E-2</v>
          </cell>
          <cell r="N799">
            <v>5.2999999999999999E-2</v>
          </cell>
          <cell r="O799" t="str">
            <v>$1799</v>
          </cell>
          <cell r="P799" t="str">
            <v>$1799</v>
          </cell>
          <cell r="Q799">
            <v>45622</v>
          </cell>
          <cell r="R799" t="str">
            <v>Chennai</v>
          </cell>
          <cell r="S799" t="str">
            <v>Tablet</v>
          </cell>
          <cell r="T799" t="str">
            <v>data analytics online</v>
          </cell>
        </row>
        <row r="800">
          <cell r="A800" t="str">
            <v>A1798</v>
          </cell>
          <cell r="B800" t="str">
            <v>Data Analytcis Course</v>
          </cell>
          <cell r="C800">
            <v>87</v>
          </cell>
          <cell r="D800">
            <v>87</v>
          </cell>
          <cell r="E800">
            <v>4081</v>
          </cell>
          <cell r="F800">
            <v>4081</v>
          </cell>
          <cell r="G800" t="str">
            <v>$180.63</v>
          </cell>
          <cell r="H800" t="str">
            <v>$180.63</v>
          </cell>
          <cell r="I800">
            <v>20</v>
          </cell>
          <cell r="J800">
            <v>20</v>
          </cell>
          <cell r="K800">
            <v>4</v>
          </cell>
          <cell r="L800">
            <v>4</v>
          </cell>
          <cell r="M800">
            <v>4.5977011494252873E-2</v>
          </cell>
          <cell r="N800">
            <v>4.5999999999999999E-2</v>
          </cell>
          <cell r="O800" t="str">
            <v>$1665</v>
          </cell>
          <cell r="P800" t="str">
            <v>$1665</v>
          </cell>
          <cell r="Q800">
            <v>45604</v>
          </cell>
          <cell r="R800" t="str">
            <v>Hyderabad</v>
          </cell>
          <cell r="S800" t="str">
            <v>Tablet</v>
          </cell>
          <cell r="T800" t="str">
            <v>data analytics online</v>
          </cell>
        </row>
        <row r="801">
          <cell r="A801" t="str">
            <v>A1799</v>
          </cell>
          <cell r="B801" t="str">
            <v>Data Analytics Course</v>
          </cell>
          <cell r="C801">
            <v>141</v>
          </cell>
          <cell r="D801">
            <v>141</v>
          </cell>
          <cell r="E801">
            <v>4239</v>
          </cell>
          <cell r="F801">
            <v>4239</v>
          </cell>
          <cell r="G801" t="str">
            <v>$199.82</v>
          </cell>
          <cell r="H801" t="str">
            <v>$199.82</v>
          </cell>
          <cell r="I801">
            <v>15</v>
          </cell>
          <cell r="J801">
            <v>15</v>
          </cell>
          <cell r="K801">
            <v>5</v>
          </cell>
          <cell r="L801">
            <v>5</v>
          </cell>
          <cell r="M801">
            <v>3.5460992907801421E-2</v>
          </cell>
          <cell r="N801">
            <v>3.5000000000000003E-2</v>
          </cell>
          <cell r="O801" t="str">
            <v>$1639</v>
          </cell>
          <cell r="P801" t="str">
            <v>$1639</v>
          </cell>
          <cell r="Q801">
            <v>45623</v>
          </cell>
          <cell r="R801" t="str">
            <v>Chennai</v>
          </cell>
          <cell r="S801" t="str">
            <v>Mobile</v>
          </cell>
          <cell r="T801" t="str">
            <v>data analytics training</v>
          </cell>
        </row>
        <row r="802">
          <cell r="A802" t="str">
            <v>A1800</v>
          </cell>
          <cell r="B802" t="str">
            <v>Data Analytics Course</v>
          </cell>
          <cell r="C802">
            <v>157</v>
          </cell>
          <cell r="D802">
            <v>157</v>
          </cell>
          <cell r="E802">
            <v>3367</v>
          </cell>
          <cell r="F802">
            <v>3367</v>
          </cell>
          <cell r="G802" t="str">
            <v>$248.9</v>
          </cell>
          <cell r="H802" t="str">
            <v>$248.9</v>
          </cell>
          <cell r="I802">
            <v>20.029511918274689</v>
          </cell>
          <cell r="K802">
            <v>8</v>
          </cell>
          <cell r="L802">
            <v>8</v>
          </cell>
          <cell r="M802">
            <v>5.0955414012738856E-2</v>
          </cell>
          <cell r="N802">
            <v>5.0999999999999997E-2</v>
          </cell>
          <cell r="O802" t="str">
            <v>$1470</v>
          </cell>
          <cell r="P802" t="str">
            <v>$1470</v>
          </cell>
          <cell r="Q802">
            <v>45626</v>
          </cell>
          <cell r="R802" t="str">
            <v>Bangaluru</v>
          </cell>
          <cell r="S802" t="str">
            <v>Tablet</v>
          </cell>
          <cell r="T802" t="str">
            <v>data analytics training</v>
          </cell>
        </row>
        <row r="803">
          <cell r="A803" t="str">
            <v>A1801</v>
          </cell>
          <cell r="B803" t="str">
            <v>Data Analytcis Course</v>
          </cell>
          <cell r="C803">
            <v>95</v>
          </cell>
          <cell r="D803">
            <v>95</v>
          </cell>
          <cell r="E803">
            <v>5721</v>
          </cell>
          <cell r="F803">
            <v>5721</v>
          </cell>
          <cell r="G803" t="str">
            <v>$208.53</v>
          </cell>
          <cell r="H803" t="str">
            <v>$208.53</v>
          </cell>
          <cell r="I803">
            <v>16</v>
          </cell>
          <cell r="J803">
            <v>16</v>
          </cell>
          <cell r="K803">
            <v>6</v>
          </cell>
          <cell r="L803">
            <v>6</v>
          </cell>
          <cell r="M803">
            <v>6.3157894736842107E-2</v>
          </cell>
          <cell r="N803">
            <v>6.3E-2</v>
          </cell>
          <cell r="O803" t="str">
            <v>$1863</v>
          </cell>
          <cell r="P803" t="str">
            <v>$1863</v>
          </cell>
          <cell r="Q803">
            <v>45601</v>
          </cell>
          <cell r="R803" t="str">
            <v>Hyderabad</v>
          </cell>
          <cell r="S803" t="str">
            <v>Mobile</v>
          </cell>
          <cell r="T803" t="str">
            <v>data analytics course</v>
          </cell>
        </row>
        <row r="804">
          <cell r="A804" t="str">
            <v>A1802</v>
          </cell>
          <cell r="B804" t="str">
            <v>Data Analytics Course</v>
          </cell>
          <cell r="C804">
            <v>160</v>
          </cell>
          <cell r="D804">
            <v>160</v>
          </cell>
          <cell r="E804">
            <v>5166</v>
          </cell>
          <cell r="F804">
            <v>5166</v>
          </cell>
          <cell r="G804" t="str">
            <v>$210.21</v>
          </cell>
          <cell r="H804" t="str">
            <v>$210.21</v>
          </cell>
          <cell r="I804">
            <v>20</v>
          </cell>
          <cell r="J804">
            <v>20</v>
          </cell>
          <cell r="K804">
            <v>7</v>
          </cell>
          <cell r="L804">
            <v>7</v>
          </cell>
          <cell r="M804">
            <v>4.3749999999999997E-2</v>
          </cell>
          <cell r="N804">
            <v>4.3999999999999997E-2</v>
          </cell>
          <cell r="O804" t="str">
            <v>$1850</v>
          </cell>
          <cell r="P804" t="str">
            <v>$1850</v>
          </cell>
          <cell r="Q804">
            <v>45617</v>
          </cell>
          <cell r="R804" t="str">
            <v>Chennai</v>
          </cell>
          <cell r="S804" t="str">
            <v>Desktop</v>
          </cell>
          <cell r="T804" t="str">
            <v>data analytics course</v>
          </cell>
        </row>
        <row r="805">
          <cell r="A805" t="str">
            <v>A1803</v>
          </cell>
          <cell r="B805" t="str">
            <v>Data Analytics Course</v>
          </cell>
          <cell r="C805">
            <v>133</v>
          </cell>
          <cell r="D805">
            <v>133</v>
          </cell>
          <cell r="E805">
            <v>5430</v>
          </cell>
          <cell r="F805">
            <v>5430</v>
          </cell>
          <cell r="G805" t="str">
            <v>$217.34</v>
          </cell>
          <cell r="H805" t="str">
            <v>$217.34</v>
          </cell>
          <cell r="I805">
            <v>16</v>
          </cell>
          <cell r="J805">
            <v>16</v>
          </cell>
          <cell r="K805">
            <v>6</v>
          </cell>
          <cell r="L805">
            <v>6</v>
          </cell>
          <cell r="M805">
            <v>4.5112781954887216E-2</v>
          </cell>
          <cell r="N805">
            <v>4.4999999999999998E-2</v>
          </cell>
          <cell r="O805" t="str">
            <v>$1199</v>
          </cell>
          <cell r="P805" t="str">
            <v>$1199</v>
          </cell>
          <cell r="Q805">
            <v>45610</v>
          </cell>
          <cell r="R805" t="str">
            <v>Hyderabad</v>
          </cell>
          <cell r="S805" t="str">
            <v>Mobile</v>
          </cell>
          <cell r="T805" t="str">
            <v>data analytics online</v>
          </cell>
        </row>
        <row r="806">
          <cell r="A806" t="str">
            <v>A1804</v>
          </cell>
          <cell r="B806" t="str">
            <v>Data Analytcis Course</v>
          </cell>
          <cell r="C806">
            <v>154</v>
          </cell>
          <cell r="D806">
            <v>154</v>
          </cell>
          <cell r="E806">
            <v>3452</v>
          </cell>
          <cell r="F806">
            <v>3452</v>
          </cell>
          <cell r="G806" t="str">
            <v>$215.61</v>
          </cell>
          <cell r="H806" t="str">
            <v>$215.61</v>
          </cell>
          <cell r="I806">
            <v>21</v>
          </cell>
          <cell r="J806">
            <v>21</v>
          </cell>
          <cell r="K806">
            <v>7</v>
          </cell>
          <cell r="L806">
            <v>7</v>
          </cell>
          <cell r="M806">
            <v>4.5454545454545456E-2</v>
          </cell>
          <cell r="N806">
            <v>5.8000000000000003E-2</v>
          </cell>
          <cell r="O806" t="str">
            <v>$1631</v>
          </cell>
          <cell r="P806" t="str">
            <v>$1631</v>
          </cell>
          <cell r="Q806">
            <v>45598</v>
          </cell>
          <cell r="R806" t="str">
            <v>Bangaluru</v>
          </cell>
          <cell r="S806" t="str">
            <v>Mobile</v>
          </cell>
          <cell r="T806" t="str">
            <v>analytics for data</v>
          </cell>
        </row>
        <row r="807">
          <cell r="A807" t="str">
            <v>A1805</v>
          </cell>
          <cell r="B807" t="str">
            <v>Data Analytcis Course</v>
          </cell>
          <cell r="C807">
            <v>188</v>
          </cell>
          <cell r="D807">
            <v>188</v>
          </cell>
          <cell r="E807">
            <v>4523.2808326787117</v>
          </cell>
          <cell r="G807" t="str">
            <v>$220.11</v>
          </cell>
          <cell r="H807" t="str">
            <v>$220.11</v>
          </cell>
          <cell r="I807">
            <v>13</v>
          </cell>
          <cell r="J807">
            <v>13</v>
          </cell>
          <cell r="K807">
            <v>4</v>
          </cell>
          <cell r="L807">
            <v>4</v>
          </cell>
          <cell r="M807">
            <v>2.1276595744680851E-2</v>
          </cell>
          <cell r="N807">
            <v>2.1000000000000001E-2</v>
          </cell>
          <cell r="O807" t="str">
            <v>$1262</v>
          </cell>
          <cell r="P807" t="str">
            <v>$1262</v>
          </cell>
          <cell r="Q807">
            <v>45625</v>
          </cell>
          <cell r="R807" t="str">
            <v>Bangaluru</v>
          </cell>
          <cell r="S807" t="str">
            <v>Tablet</v>
          </cell>
          <cell r="T807" t="str">
            <v>data analytics online</v>
          </cell>
        </row>
        <row r="808">
          <cell r="A808" t="str">
            <v>A1806</v>
          </cell>
          <cell r="B808" t="str">
            <v>Data Analytics Course</v>
          </cell>
          <cell r="C808">
            <v>186</v>
          </cell>
          <cell r="D808">
            <v>186</v>
          </cell>
          <cell r="E808">
            <v>5073</v>
          </cell>
          <cell r="F808">
            <v>5073</v>
          </cell>
          <cell r="G808" t="str">
            <v>$233.58</v>
          </cell>
          <cell r="H808" t="str">
            <v>$233.58</v>
          </cell>
          <cell r="I808">
            <v>15</v>
          </cell>
          <cell r="J808">
            <v>15</v>
          </cell>
          <cell r="K808">
            <v>4</v>
          </cell>
          <cell r="L808">
            <v>4</v>
          </cell>
          <cell r="M808">
            <v>2.1505376344086023E-2</v>
          </cell>
          <cell r="O808" t="str">
            <v>$1965</v>
          </cell>
          <cell r="P808" t="str">
            <v>$1965</v>
          </cell>
          <cell r="Q808">
            <v>45600</v>
          </cell>
          <cell r="R808" t="str">
            <v>Chennai</v>
          </cell>
          <cell r="S808" t="str">
            <v>Tablet</v>
          </cell>
          <cell r="T808" t="str">
            <v>online data analytic</v>
          </cell>
        </row>
        <row r="809">
          <cell r="A809" t="str">
            <v>A1807</v>
          </cell>
          <cell r="B809" t="str">
            <v>Data Analytcis Course</v>
          </cell>
          <cell r="C809">
            <v>101</v>
          </cell>
          <cell r="D809">
            <v>101</v>
          </cell>
          <cell r="E809">
            <v>5757</v>
          </cell>
          <cell r="F809">
            <v>5757</v>
          </cell>
          <cell r="G809" t="str">
            <v>$249.33</v>
          </cell>
          <cell r="H809" t="str">
            <v>$249.33</v>
          </cell>
          <cell r="I809">
            <v>25</v>
          </cell>
          <cell r="J809">
            <v>25</v>
          </cell>
          <cell r="K809">
            <v>9</v>
          </cell>
          <cell r="L809">
            <v>9</v>
          </cell>
          <cell r="M809">
            <v>8.9108910891089105E-2</v>
          </cell>
          <cell r="N809">
            <v>3.5000000000000003E-2</v>
          </cell>
          <cell r="O809" t="str">
            <v>$1129</v>
          </cell>
          <cell r="P809" t="str">
            <v>$1129</v>
          </cell>
          <cell r="Q809">
            <v>45597</v>
          </cell>
          <cell r="R809" t="str">
            <v>Hyderabad</v>
          </cell>
          <cell r="S809" t="str">
            <v>Mobile</v>
          </cell>
          <cell r="T809" t="str">
            <v>learn data analytics</v>
          </cell>
        </row>
        <row r="810">
          <cell r="A810" t="str">
            <v>A1808</v>
          </cell>
          <cell r="B810" t="str">
            <v>Data Analytics Course</v>
          </cell>
          <cell r="C810">
            <v>150</v>
          </cell>
          <cell r="D810">
            <v>150</v>
          </cell>
          <cell r="E810">
            <v>3323</v>
          </cell>
          <cell r="F810">
            <v>3323</v>
          </cell>
          <cell r="G810" t="str">
            <v>$227.55</v>
          </cell>
          <cell r="H810" t="str">
            <v>$227.55</v>
          </cell>
          <cell r="I810">
            <v>14</v>
          </cell>
          <cell r="J810">
            <v>14</v>
          </cell>
          <cell r="K810">
            <v>4</v>
          </cell>
          <cell r="L810">
            <v>4</v>
          </cell>
          <cell r="M810">
            <v>2.6666666666666668E-2</v>
          </cell>
          <cell r="N810">
            <v>2.7E-2</v>
          </cell>
          <cell r="O810" t="str">
            <v>$1931</v>
          </cell>
          <cell r="P810" t="str">
            <v>$1931</v>
          </cell>
          <cell r="Q810">
            <v>45614</v>
          </cell>
          <cell r="R810" t="str">
            <v>Chennai</v>
          </cell>
          <cell r="S810" t="str">
            <v>Mobile</v>
          </cell>
          <cell r="T810" t="str">
            <v>data analytics course</v>
          </cell>
        </row>
        <row r="811">
          <cell r="A811" t="str">
            <v>A1809</v>
          </cell>
          <cell r="B811" t="str">
            <v>Data Analytics Course</v>
          </cell>
          <cell r="C811">
            <v>127</v>
          </cell>
          <cell r="D811">
            <v>127</v>
          </cell>
          <cell r="E811">
            <v>5417</v>
          </cell>
          <cell r="F811">
            <v>5417</v>
          </cell>
          <cell r="G811" t="str">
            <v>$229.06</v>
          </cell>
          <cell r="H811" t="str">
            <v>$229.06</v>
          </cell>
          <cell r="I811">
            <v>26</v>
          </cell>
          <cell r="J811">
            <v>26</v>
          </cell>
          <cell r="K811">
            <v>8</v>
          </cell>
          <cell r="L811">
            <v>8</v>
          </cell>
          <cell r="M811">
            <v>6.2992125984251968E-2</v>
          </cell>
          <cell r="N811">
            <v>6.3E-2</v>
          </cell>
          <cell r="O811" t="str">
            <v>$1086</v>
          </cell>
          <cell r="P811" t="str">
            <v>$1086</v>
          </cell>
          <cell r="Q811">
            <v>45617</v>
          </cell>
          <cell r="R811" t="str">
            <v>Bangaluru</v>
          </cell>
          <cell r="S811" t="str">
            <v>Tablet</v>
          </cell>
          <cell r="T811" t="str">
            <v>learn data analytics</v>
          </cell>
        </row>
        <row r="812">
          <cell r="A812" t="str">
            <v>A1810</v>
          </cell>
          <cell r="B812" t="str">
            <v>Data Analytcis Course</v>
          </cell>
          <cell r="C812">
            <v>117</v>
          </cell>
          <cell r="D812">
            <v>117</v>
          </cell>
          <cell r="E812">
            <v>5445</v>
          </cell>
          <cell r="F812">
            <v>5445</v>
          </cell>
          <cell r="G812" t="str">
            <v>$213.9</v>
          </cell>
          <cell r="H812" t="str">
            <v>$213.9</v>
          </cell>
          <cell r="I812">
            <v>10</v>
          </cell>
          <cell r="J812">
            <v>10</v>
          </cell>
          <cell r="K812">
            <v>5</v>
          </cell>
          <cell r="L812">
            <v>5</v>
          </cell>
          <cell r="M812">
            <v>4.2735042735042736E-2</v>
          </cell>
          <cell r="N812">
            <v>4.2999999999999997E-2</v>
          </cell>
          <cell r="O812" t="str">
            <v>$1804</v>
          </cell>
          <cell r="P812" t="str">
            <v>$1804</v>
          </cell>
          <cell r="Q812">
            <v>45615</v>
          </cell>
          <cell r="R812" t="str">
            <v>Hyderabad</v>
          </cell>
          <cell r="S812" t="str">
            <v>Desktop</v>
          </cell>
          <cell r="T812" t="str">
            <v>data analytics course</v>
          </cell>
        </row>
        <row r="813">
          <cell r="A813" t="str">
            <v>A1811</v>
          </cell>
          <cell r="B813" t="str">
            <v>Data Analytics Course</v>
          </cell>
          <cell r="C813">
            <v>152</v>
          </cell>
          <cell r="D813">
            <v>152</v>
          </cell>
          <cell r="E813">
            <v>5173</v>
          </cell>
          <cell r="F813">
            <v>5173</v>
          </cell>
          <cell r="G813" t="str">
            <v>$230.47</v>
          </cell>
          <cell r="H813" t="str">
            <v>$230.47</v>
          </cell>
          <cell r="I813">
            <v>15</v>
          </cell>
          <cell r="J813">
            <v>15</v>
          </cell>
          <cell r="K813">
            <v>5</v>
          </cell>
          <cell r="L813">
            <v>5</v>
          </cell>
          <cell r="M813">
            <v>3.2894736842105261E-2</v>
          </cell>
          <cell r="N813">
            <v>3.5999999999999997E-2</v>
          </cell>
          <cell r="O813" t="str">
            <v>$1779</v>
          </cell>
          <cell r="P813" t="str">
            <v>$1779</v>
          </cell>
          <cell r="Q813">
            <v>45622</v>
          </cell>
          <cell r="R813" t="str">
            <v>Bangaluru</v>
          </cell>
          <cell r="S813" t="str">
            <v>Desktop</v>
          </cell>
          <cell r="T813" t="str">
            <v>learn data analytics</v>
          </cell>
        </row>
        <row r="814">
          <cell r="A814" t="str">
            <v>A1812</v>
          </cell>
          <cell r="B814" t="str">
            <v>Data Analytics Course</v>
          </cell>
          <cell r="C814">
            <v>87</v>
          </cell>
          <cell r="D814">
            <v>87</v>
          </cell>
          <cell r="E814">
            <v>3643</v>
          </cell>
          <cell r="F814">
            <v>3643</v>
          </cell>
          <cell r="G814" t="str">
            <v>$220.76</v>
          </cell>
          <cell r="H814" t="str">
            <v>$220.76</v>
          </cell>
          <cell r="I814">
            <v>27</v>
          </cell>
          <cell r="J814">
            <v>27</v>
          </cell>
          <cell r="K814">
            <v>7</v>
          </cell>
          <cell r="L814">
            <v>7</v>
          </cell>
          <cell r="M814">
            <v>8.0459770114942528E-2</v>
          </cell>
          <cell r="O814" t="str">
            <v>$1393</v>
          </cell>
          <cell r="P814" t="str">
            <v>$1393</v>
          </cell>
          <cell r="Q814">
            <v>45599</v>
          </cell>
          <cell r="R814" t="str">
            <v>Hyderabad</v>
          </cell>
          <cell r="S814" t="str">
            <v>Desktop</v>
          </cell>
          <cell r="T814" t="str">
            <v>data analytics online</v>
          </cell>
        </row>
        <row r="815">
          <cell r="A815" t="str">
            <v>A1813</v>
          </cell>
          <cell r="B815" t="str">
            <v>Data Analytics Course</v>
          </cell>
          <cell r="C815">
            <v>181</v>
          </cell>
          <cell r="D815">
            <v>181</v>
          </cell>
          <cell r="E815">
            <v>3863</v>
          </cell>
          <cell r="F815">
            <v>3863</v>
          </cell>
          <cell r="G815" t="str">
            <v>$180.12</v>
          </cell>
          <cell r="H815" t="str">
            <v>$180.12</v>
          </cell>
          <cell r="I815">
            <v>17</v>
          </cell>
          <cell r="J815">
            <v>17</v>
          </cell>
          <cell r="K815">
            <v>7</v>
          </cell>
          <cell r="L815">
            <v>7</v>
          </cell>
          <cell r="M815">
            <v>3.8674033149171269E-2</v>
          </cell>
          <cell r="N815">
            <v>3.5000000000000003E-2</v>
          </cell>
          <cell r="O815" t="str">
            <v>$1892</v>
          </cell>
          <cell r="P815" t="str">
            <v>$1892</v>
          </cell>
          <cell r="Q815">
            <v>45624</v>
          </cell>
          <cell r="R815" t="str">
            <v>Chennai</v>
          </cell>
          <cell r="S815" t="str">
            <v>Desktop</v>
          </cell>
          <cell r="T815" t="str">
            <v>data analytics course</v>
          </cell>
        </row>
        <row r="816">
          <cell r="A816" t="str">
            <v>A1814</v>
          </cell>
          <cell r="B816" t="str">
            <v>Data Analytics Course</v>
          </cell>
          <cell r="C816">
            <v>147</v>
          </cell>
          <cell r="D816">
            <v>147</v>
          </cell>
          <cell r="E816">
            <v>3661</v>
          </cell>
          <cell r="F816">
            <v>3661</v>
          </cell>
          <cell r="G816" t="str">
            <v>$191.67</v>
          </cell>
          <cell r="H816" t="str">
            <v>$191.67</v>
          </cell>
          <cell r="I816">
            <v>17</v>
          </cell>
          <cell r="J816">
            <v>17</v>
          </cell>
          <cell r="K816">
            <v>4</v>
          </cell>
          <cell r="L816">
            <v>4</v>
          </cell>
          <cell r="M816">
            <v>2.7210884353741496E-2</v>
          </cell>
          <cell r="N816">
            <v>2.7E-2</v>
          </cell>
          <cell r="O816" t="str">
            <v>$1500</v>
          </cell>
          <cell r="Q816">
            <v>45620</v>
          </cell>
          <cell r="R816" t="str">
            <v>Chennai</v>
          </cell>
          <cell r="S816" t="str">
            <v>Desktop</v>
          </cell>
          <cell r="T816" t="str">
            <v>online data analytic</v>
          </cell>
        </row>
        <row r="817">
          <cell r="A817" t="str">
            <v>A1815</v>
          </cell>
          <cell r="B817" t="str">
            <v>Data Analytcis Course</v>
          </cell>
          <cell r="C817">
            <v>173</v>
          </cell>
          <cell r="D817">
            <v>173</v>
          </cell>
          <cell r="E817">
            <v>5463</v>
          </cell>
          <cell r="F817">
            <v>5463</v>
          </cell>
          <cell r="G817" t="str">
            <v>$232.38</v>
          </cell>
          <cell r="H817" t="str">
            <v>$232.38</v>
          </cell>
          <cell r="I817">
            <v>17</v>
          </cell>
          <cell r="J817">
            <v>17</v>
          </cell>
          <cell r="K817">
            <v>5</v>
          </cell>
          <cell r="L817">
            <v>5</v>
          </cell>
          <cell r="M817">
            <v>2.8901734104046242E-2</v>
          </cell>
          <cell r="N817">
            <v>2.9000000000000001E-2</v>
          </cell>
          <cell r="O817" t="str">
            <v>$1568</v>
          </cell>
          <cell r="P817" t="str">
            <v>$1568</v>
          </cell>
          <cell r="Q817">
            <v>45622</v>
          </cell>
          <cell r="R817" t="str">
            <v>Hyderabad</v>
          </cell>
          <cell r="S817" t="str">
            <v>Desktop</v>
          </cell>
          <cell r="T817" t="str">
            <v>analytics for data</v>
          </cell>
        </row>
        <row r="818">
          <cell r="A818" t="str">
            <v>A1816</v>
          </cell>
          <cell r="B818" t="str">
            <v>Data Analytics Course</v>
          </cell>
          <cell r="C818">
            <v>123</v>
          </cell>
          <cell r="D818">
            <v>123</v>
          </cell>
          <cell r="E818">
            <v>3459</v>
          </cell>
          <cell r="F818">
            <v>3459</v>
          </cell>
          <cell r="G818" t="str">
            <v>$211.88</v>
          </cell>
          <cell r="H818" t="str">
            <v>$211.88</v>
          </cell>
          <cell r="I818">
            <v>21</v>
          </cell>
          <cell r="J818">
            <v>21</v>
          </cell>
          <cell r="K818">
            <v>4</v>
          </cell>
          <cell r="L818">
            <v>4</v>
          </cell>
          <cell r="M818">
            <v>3.2520325203252036E-2</v>
          </cell>
          <cell r="N818">
            <v>3.3000000000000002E-2</v>
          </cell>
          <cell r="O818" t="str">
            <v>$1223</v>
          </cell>
          <cell r="P818" t="str">
            <v>$1223</v>
          </cell>
          <cell r="Q818">
            <v>45620</v>
          </cell>
          <cell r="R818" t="str">
            <v>Hyderabad</v>
          </cell>
          <cell r="S818" t="str">
            <v>Tablet</v>
          </cell>
          <cell r="T818" t="str">
            <v>learn data analytics</v>
          </cell>
        </row>
        <row r="819">
          <cell r="A819" t="str">
            <v>A1817</v>
          </cell>
          <cell r="B819" t="str">
            <v>Data Analytics Course</v>
          </cell>
          <cell r="C819">
            <v>162</v>
          </cell>
          <cell r="D819">
            <v>162</v>
          </cell>
          <cell r="E819">
            <v>3906</v>
          </cell>
          <cell r="F819">
            <v>3906</v>
          </cell>
          <cell r="G819" t="str">
            <v>$237.24</v>
          </cell>
          <cell r="H819" t="str">
            <v>$237.24</v>
          </cell>
          <cell r="I819">
            <v>13</v>
          </cell>
          <cell r="J819">
            <v>13</v>
          </cell>
          <cell r="K819">
            <v>5</v>
          </cell>
          <cell r="L819">
            <v>5</v>
          </cell>
          <cell r="M819">
            <v>3.0864197530864196E-2</v>
          </cell>
          <cell r="N819">
            <v>3.3000000000000002E-2</v>
          </cell>
          <cell r="O819" t="str">
            <v>$1062</v>
          </cell>
          <cell r="P819" t="str">
            <v>$1062</v>
          </cell>
          <cell r="Q819">
            <v>45606</v>
          </cell>
          <cell r="R819" t="str">
            <v>Bangaluru</v>
          </cell>
          <cell r="S819" t="str">
            <v>Desktop</v>
          </cell>
          <cell r="T819" t="str">
            <v>data analytics training</v>
          </cell>
        </row>
        <row r="820">
          <cell r="A820" t="str">
            <v>A1818</v>
          </cell>
          <cell r="B820" t="str">
            <v>Data Analytcis Course</v>
          </cell>
          <cell r="C820">
            <v>135</v>
          </cell>
          <cell r="D820">
            <v>135</v>
          </cell>
          <cell r="E820">
            <v>4645</v>
          </cell>
          <cell r="F820">
            <v>4645</v>
          </cell>
          <cell r="G820" t="str">
            <v>$182.94</v>
          </cell>
          <cell r="H820" t="str">
            <v>$182.94</v>
          </cell>
          <cell r="I820">
            <v>12</v>
          </cell>
          <cell r="J820">
            <v>12</v>
          </cell>
          <cell r="K820">
            <v>6.4936120789779324</v>
          </cell>
          <cell r="M820">
            <v>4.8100830214651349E-2</v>
          </cell>
          <cell r="O820" t="str">
            <v>$1927</v>
          </cell>
          <cell r="P820" t="str">
            <v>$1927</v>
          </cell>
          <cell r="Q820">
            <v>45626</v>
          </cell>
          <cell r="R820" t="str">
            <v>Bangaluru</v>
          </cell>
          <cell r="S820" t="str">
            <v>Desktop</v>
          </cell>
          <cell r="T820" t="str">
            <v>online data analytic</v>
          </cell>
        </row>
        <row r="821">
          <cell r="A821" t="str">
            <v>A1819</v>
          </cell>
          <cell r="B821" t="str">
            <v>Data Analytics Course</v>
          </cell>
          <cell r="C821">
            <v>169</v>
          </cell>
          <cell r="D821">
            <v>169</v>
          </cell>
          <cell r="E821">
            <v>3317</v>
          </cell>
          <cell r="F821">
            <v>3317</v>
          </cell>
          <cell r="G821" t="str">
            <v>$232.35</v>
          </cell>
          <cell r="H821" t="str">
            <v>$232.35</v>
          </cell>
          <cell r="I821">
            <v>29</v>
          </cell>
          <cell r="J821">
            <v>29</v>
          </cell>
          <cell r="K821">
            <v>3</v>
          </cell>
          <cell r="L821">
            <v>3</v>
          </cell>
          <cell r="M821">
            <v>1.7751479289940829E-2</v>
          </cell>
          <cell r="N821">
            <v>4.9000000000000002E-2</v>
          </cell>
          <cell r="O821" t="str">
            <v>$1988</v>
          </cell>
          <cell r="P821" t="str">
            <v>$1988</v>
          </cell>
          <cell r="Q821">
            <v>45620</v>
          </cell>
          <cell r="R821" t="str">
            <v>Hyderabad</v>
          </cell>
          <cell r="S821" t="str">
            <v>Mobile</v>
          </cell>
          <cell r="T821" t="str">
            <v>data analytics training</v>
          </cell>
        </row>
        <row r="822">
          <cell r="A822" t="str">
            <v>A1820</v>
          </cell>
          <cell r="B822" t="str">
            <v>Data Analytcis Course</v>
          </cell>
          <cell r="C822">
            <v>120</v>
          </cell>
          <cell r="D822">
            <v>120</v>
          </cell>
          <cell r="E822">
            <v>3235</v>
          </cell>
          <cell r="F822">
            <v>3235</v>
          </cell>
          <cell r="G822" t="str">
            <v>$220.67</v>
          </cell>
          <cell r="H822" t="str">
            <v>$220.67</v>
          </cell>
          <cell r="I822">
            <v>11</v>
          </cell>
          <cell r="J822">
            <v>11</v>
          </cell>
          <cell r="K822">
            <v>4</v>
          </cell>
          <cell r="L822">
            <v>4</v>
          </cell>
          <cell r="M822">
            <v>3.3333333333333333E-2</v>
          </cell>
          <cell r="O822" t="str">
            <v>$1890</v>
          </cell>
          <cell r="P822" t="str">
            <v>$1890</v>
          </cell>
          <cell r="Q822">
            <v>45613</v>
          </cell>
          <cell r="R822" t="str">
            <v>Hyderabad</v>
          </cell>
          <cell r="S822" t="str">
            <v>Mobile</v>
          </cell>
          <cell r="T822" t="str">
            <v>learn data analytics</v>
          </cell>
        </row>
        <row r="823">
          <cell r="A823" t="str">
            <v>A1821</v>
          </cell>
          <cell r="B823" t="str">
            <v>Data Analytcis Course</v>
          </cell>
          <cell r="C823">
            <v>138.95699356913184</v>
          </cell>
          <cell r="E823">
            <v>4823</v>
          </cell>
          <cell r="F823">
            <v>4823</v>
          </cell>
          <cell r="G823" t="str">
            <v>$234.73</v>
          </cell>
          <cell r="H823" t="str">
            <v>$234.73</v>
          </cell>
          <cell r="I823">
            <v>30</v>
          </cell>
          <cell r="J823">
            <v>30</v>
          </cell>
          <cell r="K823">
            <v>5</v>
          </cell>
          <cell r="L823">
            <v>5</v>
          </cell>
          <cell r="M823">
            <v>3.5982355918721523E-2</v>
          </cell>
          <cell r="O823" t="str">
            <v>$1361</v>
          </cell>
          <cell r="P823" t="str">
            <v>$1361</v>
          </cell>
          <cell r="Q823">
            <v>45621</v>
          </cell>
          <cell r="R823" t="str">
            <v>Hyderabad</v>
          </cell>
          <cell r="S823" t="str">
            <v>Mobile</v>
          </cell>
          <cell r="T823" t="str">
            <v>data analytics training</v>
          </cell>
        </row>
        <row r="824">
          <cell r="A824" t="str">
            <v>A1822</v>
          </cell>
          <cell r="B824" t="str">
            <v>Data Analytics Course</v>
          </cell>
          <cell r="C824">
            <v>167</v>
          </cell>
          <cell r="D824">
            <v>167</v>
          </cell>
          <cell r="E824">
            <v>4403</v>
          </cell>
          <cell r="F824">
            <v>4403</v>
          </cell>
          <cell r="G824" t="str">
            <v>$189.36</v>
          </cell>
          <cell r="H824" t="str">
            <v>$189.36</v>
          </cell>
          <cell r="I824">
            <v>25</v>
          </cell>
          <cell r="J824">
            <v>25</v>
          </cell>
          <cell r="K824">
            <v>4</v>
          </cell>
          <cell r="L824">
            <v>4</v>
          </cell>
          <cell r="M824">
            <v>2.3952095808383235E-2</v>
          </cell>
          <cell r="N824">
            <v>0.03</v>
          </cell>
          <cell r="O824" t="str">
            <v>$1572</v>
          </cell>
          <cell r="P824" t="str">
            <v>$1572</v>
          </cell>
          <cell r="Q824">
            <v>45602</v>
          </cell>
          <cell r="R824" t="str">
            <v>Hyderabad</v>
          </cell>
          <cell r="S824" t="str">
            <v>Desktop</v>
          </cell>
          <cell r="T824" t="str">
            <v>learn data analytics</v>
          </cell>
        </row>
        <row r="825">
          <cell r="A825" t="str">
            <v>A1823</v>
          </cell>
          <cell r="B825" t="str">
            <v>Data Analytics Course</v>
          </cell>
          <cell r="C825">
            <v>101</v>
          </cell>
          <cell r="D825">
            <v>101</v>
          </cell>
          <cell r="E825">
            <v>3530</v>
          </cell>
          <cell r="F825">
            <v>3530</v>
          </cell>
          <cell r="G825" t="str">
            <v>$184.83</v>
          </cell>
          <cell r="H825" t="str">
            <v>$184.83</v>
          </cell>
          <cell r="I825">
            <v>22</v>
          </cell>
          <cell r="J825">
            <v>22</v>
          </cell>
          <cell r="K825">
            <v>5</v>
          </cell>
          <cell r="L825">
            <v>5</v>
          </cell>
          <cell r="M825">
            <v>4.9504950495049507E-2</v>
          </cell>
          <cell r="O825" t="str">
            <v>$1802</v>
          </cell>
          <cell r="P825" t="str">
            <v>$1802</v>
          </cell>
          <cell r="Q825">
            <v>45609</v>
          </cell>
          <cell r="R825" t="str">
            <v>Hyderabad</v>
          </cell>
          <cell r="S825" t="str">
            <v>Mobile</v>
          </cell>
          <cell r="T825" t="str">
            <v>learn data analytics</v>
          </cell>
        </row>
        <row r="826">
          <cell r="A826" t="str">
            <v>A1824</v>
          </cell>
          <cell r="B826" t="str">
            <v>Data Analytcis Course</v>
          </cell>
          <cell r="C826">
            <v>129</v>
          </cell>
          <cell r="D826">
            <v>129</v>
          </cell>
          <cell r="E826">
            <v>4679</v>
          </cell>
          <cell r="F826">
            <v>4679</v>
          </cell>
          <cell r="G826" t="str">
            <v>$239.21</v>
          </cell>
          <cell r="H826" t="str">
            <v>$239.21</v>
          </cell>
          <cell r="I826">
            <v>19</v>
          </cell>
          <cell r="J826">
            <v>19</v>
          </cell>
          <cell r="K826">
            <v>3</v>
          </cell>
          <cell r="L826">
            <v>3</v>
          </cell>
          <cell r="M826">
            <v>2.3255813953488372E-2</v>
          </cell>
          <cell r="N826">
            <v>2.3E-2</v>
          </cell>
          <cell r="O826" t="str">
            <v>$1215</v>
          </cell>
          <cell r="P826" t="str">
            <v>$1215</v>
          </cell>
          <cell r="Q826">
            <v>45600</v>
          </cell>
          <cell r="R826" t="str">
            <v>Bangaluru</v>
          </cell>
          <cell r="S826" t="str">
            <v>Mobile</v>
          </cell>
          <cell r="T826" t="str">
            <v>data analytics online</v>
          </cell>
        </row>
        <row r="827">
          <cell r="A827" t="str">
            <v>A1825</v>
          </cell>
          <cell r="B827" t="str">
            <v>Data Analytics Course</v>
          </cell>
          <cell r="C827">
            <v>153</v>
          </cell>
          <cell r="D827">
            <v>153</v>
          </cell>
          <cell r="E827">
            <v>5396</v>
          </cell>
          <cell r="F827">
            <v>5396</v>
          </cell>
          <cell r="G827" t="str">
            <v>$233.79</v>
          </cell>
          <cell r="H827" t="str">
            <v>$233.79</v>
          </cell>
          <cell r="I827">
            <v>13</v>
          </cell>
          <cell r="J827">
            <v>13</v>
          </cell>
          <cell r="K827">
            <v>8</v>
          </cell>
          <cell r="L827">
            <v>8</v>
          </cell>
          <cell r="M827">
            <v>5.2287581699346407E-2</v>
          </cell>
          <cell r="O827" t="str">
            <v>$1571</v>
          </cell>
          <cell r="P827" t="str">
            <v>$1571</v>
          </cell>
          <cell r="Q827">
            <v>45597</v>
          </cell>
          <cell r="R827" t="str">
            <v>Bangaluru</v>
          </cell>
          <cell r="S827" t="str">
            <v>Mobile</v>
          </cell>
          <cell r="T827" t="str">
            <v>data analytics training</v>
          </cell>
        </row>
        <row r="828">
          <cell r="A828" t="str">
            <v>A1826</v>
          </cell>
          <cell r="B828" t="str">
            <v>Data Analytcis Course</v>
          </cell>
          <cell r="C828">
            <v>138.95699356913184</v>
          </cell>
          <cell r="E828">
            <v>3976</v>
          </cell>
          <cell r="F828">
            <v>3976</v>
          </cell>
          <cell r="G828" t="str">
            <v>$248.65</v>
          </cell>
          <cell r="H828" t="str">
            <v>$248.65</v>
          </cell>
          <cell r="I828">
            <v>16</v>
          </cell>
          <cell r="J828">
            <v>16</v>
          </cell>
          <cell r="K828">
            <v>4</v>
          </cell>
          <cell r="L828">
            <v>4</v>
          </cell>
          <cell r="M828">
            <v>2.8785884734977219E-2</v>
          </cell>
          <cell r="O828" t="str">
            <v>$1160</v>
          </cell>
          <cell r="P828" t="str">
            <v>$1160</v>
          </cell>
          <cell r="Q828">
            <v>45611</v>
          </cell>
          <cell r="R828" t="str">
            <v>Hyderabad</v>
          </cell>
          <cell r="S828" t="str">
            <v>Mobile</v>
          </cell>
          <cell r="T828" t="str">
            <v>data analytics training</v>
          </cell>
        </row>
        <row r="829">
          <cell r="A829" t="str">
            <v>A1827</v>
          </cell>
          <cell r="B829" t="str">
            <v>Data Analytics Course</v>
          </cell>
          <cell r="C829">
            <v>108</v>
          </cell>
          <cell r="D829">
            <v>108</v>
          </cell>
          <cell r="E829">
            <v>5545</v>
          </cell>
          <cell r="F829">
            <v>5545</v>
          </cell>
          <cell r="G829" t="str">
            <v>$209.82</v>
          </cell>
          <cell r="H829" t="str">
            <v>$209.82</v>
          </cell>
          <cell r="I829">
            <v>11</v>
          </cell>
          <cell r="J829">
            <v>11</v>
          </cell>
          <cell r="K829">
            <v>8</v>
          </cell>
          <cell r="L829">
            <v>8</v>
          </cell>
          <cell r="M829">
            <v>7.407407407407407E-2</v>
          </cell>
          <cell r="N829">
            <v>7.3999999999999996E-2</v>
          </cell>
          <cell r="O829" t="str">
            <v>$1491</v>
          </cell>
          <cell r="P829" t="str">
            <v>$1491</v>
          </cell>
          <cell r="Q829">
            <v>45604</v>
          </cell>
          <cell r="R829" t="str">
            <v>Hyderabad</v>
          </cell>
          <cell r="S829" t="str">
            <v>Mobile</v>
          </cell>
          <cell r="T829" t="str">
            <v>analytics for data</v>
          </cell>
        </row>
        <row r="830">
          <cell r="A830" t="str">
            <v>A1828</v>
          </cell>
          <cell r="B830" t="str">
            <v>Data Analytics Course</v>
          </cell>
          <cell r="C830">
            <v>85</v>
          </cell>
          <cell r="D830">
            <v>85</v>
          </cell>
          <cell r="E830">
            <v>4772</v>
          </cell>
          <cell r="F830">
            <v>4772</v>
          </cell>
          <cell r="G830" t="str">
            <v>$211.62</v>
          </cell>
          <cell r="H830" t="str">
            <v>$211.62</v>
          </cell>
          <cell r="I830">
            <v>15</v>
          </cell>
          <cell r="J830">
            <v>15</v>
          </cell>
          <cell r="K830">
            <v>10</v>
          </cell>
          <cell r="L830">
            <v>10</v>
          </cell>
          <cell r="M830">
            <v>0.11764705882352941</v>
          </cell>
          <cell r="N830">
            <v>0.11799999999999999</v>
          </cell>
          <cell r="O830" t="str">
            <v>$1669</v>
          </cell>
          <cell r="P830" t="str">
            <v>$1669</v>
          </cell>
          <cell r="Q830">
            <v>45615</v>
          </cell>
          <cell r="R830" t="str">
            <v>Chennai</v>
          </cell>
          <cell r="S830" t="str">
            <v>Mobile</v>
          </cell>
          <cell r="T830" t="str">
            <v>learn data analytics</v>
          </cell>
        </row>
        <row r="831">
          <cell r="A831" t="str">
            <v>A1829</v>
          </cell>
          <cell r="B831" t="str">
            <v>Data Analytics Course</v>
          </cell>
          <cell r="C831">
            <v>109</v>
          </cell>
          <cell r="D831">
            <v>109</v>
          </cell>
          <cell r="E831">
            <v>4941</v>
          </cell>
          <cell r="F831">
            <v>4941</v>
          </cell>
          <cell r="G831" t="str">
            <v>$242.54</v>
          </cell>
          <cell r="H831" t="str">
            <v>$242.54</v>
          </cell>
          <cell r="I831">
            <v>18</v>
          </cell>
          <cell r="J831">
            <v>18</v>
          </cell>
          <cell r="K831">
            <v>9</v>
          </cell>
          <cell r="L831">
            <v>9</v>
          </cell>
          <cell r="M831">
            <v>8.2568807339449546E-2</v>
          </cell>
          <cell r="N831">
            <v>8.3000000000000004E-2</v>
          </cell>
          <cell r="O831" t="str">
            <v>$1278</v>
          </cell>
          <cell r="P831" t="str">
            <v>$1278</v>
          </cell>
          <cell r="Q831">
            <v>45607</v>
          </cell>
          <cell r="R831" t="str">
            <v>Chennai</v>
          </cell>
          <cell r="S831" t="str">
            <v>Desktop</v>
          </cell>
          <cell r="T831" t="str">
            <v>data analytics training</v>
          </cell>
        </row>
        <row r="832">
          <cell r="A832" t="str">
            <v>A1830</v>
          </cell>
          <cell r="B832" t="str">
            <v>Data Analytics Course</v>
          </cell>
          <cell r="C832">
            <v>119</v>
          </cell>
          <cell r="D832">
            <v>119</v>
          </cell>
          <cell r="E832">
            <v>4369</v>
          </cell>
          <cell r="F832">
            <v>4369</v>
          </cell>
          <cell r="G832" t="str">
            <v>$216.29</v>
          </cell>
          <cell r="H832" t="str">
            <v>$216.29</v>
          </cell>
          <cell r="I832">
            <v>16</v>
          </cell>
          <cell r="J832">
            <v>16</v>
          </cell>
          <cell r="K832">
            <v>4</v>
          </cell>
          <cell r="L832">
            <v>4</v>
          </cell>
          <cell r="M832">
            <v>3.3613445378151259E-2</v>
          </cell>
          <cell r="O832" t="str">
            <v>$1500</v>
          </cell>
          <cell r="Q832">
            <v>45618</v>
          </cell>
          <cell r="R832" t="str">
            <v>Chennai</v>
          </cell>
          <cell r="S832" t="str">
            <v>Tablet</v>
          </cell>
          <cell r="T832" t="str">
            <v>learn data analytics</v>
          </cell>
        </row>
        <row r="833">
          <cell r="A833" t="str">
            <v>A1831</v>
          </cell>
          <cell r="B833" t="str">
            <v>Data Analytics Course</v>
          </cell>
          <cell r="C833">
            <v>143</v>
          </cell>
          <cell r="D833">
            <v>143</v>
          </cell>
          <cell r="E833">
            <v>5526</v>
          </cell>
          <cell r="F833">
            <v>5526</v>
          </cell>
          <cell r="G833" t="str">
            <v>$185.94</v>
          </cell>
          <cell r="H833" t="str">
            <v>$185.94</v>
          </cell>
          <cell r="I833">
            <v>15</v>
          </cell>
          <cell r="J833">
            <v>15</v>
          </cell>
          <cell r="K833">
            <v>8</v>
          </cell>
          <cell r="L833">
            <v>8</v>
          </cell>
          <cell r="M833">
            <v>5.5944055944055944E-2</v>
          </cell>
          <cell r="N833">
            <v>5.6000000000000001E-2</v>
          </cell>
          <cell r="O833" t="str">
            <v>$1712</v>
          </cell>
          <cell r="P833" t="str">
            <v>$1712</v>
          </cell>
          <cell r="Q833">
            <v>45621</v>
          </cell>
          <cell r="R833" t="str">
            <v>Hyderabad</v>
          </cell>
          <cell r="S833" t="str">
            <v>Desktop</v>
          </cell>
          <cell r="T833" t="str">
            <v>analytics for data</v>
          </cell>
        </row>
        <row r="834">
          <cell r="A834" t="str">
            <v>A1832</v>
          </cell>
          <cell r="B834" t="str">
            <v>Data Analytics Course</v>
          </cell>
          <cell r="C834">
            <v>161</v>
          </cell>
          <cell r="D834">
            <v>161</v>
          </cell>
          <cell r="E834">
            <v>5302</v>
          </cell>
          <cell r="F834">
            <v>5302</v>
          </cell>
          <cell r="G834" t="str">
            <v>$184.29</v>
          </cell>
          <cell r="H834" t="str">
            <v>$184.29</v>
          </cell>
          <cell r="I834">
            <v>13</v>
          </cell>
          <cell r="J834">
            <v>13</v>
          </cell>
          <cell r="K834">
            <v>8</v>
          </cell>
          <cell r="L834">
            <v>8</v>
          </cell>
          <cell r="M834">
            <v>4.9689440993788817E-2</v>
          </cell>
          <cell r="N834">
            <v>3.5999999999999997E-2</v>
          </cell>
          <cell r="O834" t="str">
            <v>$1703</v>
          </cell>
          <cell r="P834" t="str">
            <v>$1703</v>
          </cell>
          <cell r="Q834">
            <v>45626</v>
          </cell>
          <cell r="R834" t="str">
            <v>Hyderabad</v>
          </cell>
          <cell r="S834" t="str">
            <v>Tablet</v>
          </cell>
          <cell r="T834" t="str">
            <v>learn data analytics</v>
          </cell>
        </row>
        <row r="835">
          <cell r="A835" t="str">
            <v>A1833</v>
          </cell>
          <cell r="B835" t="str">
            <v>Data Analytics Course</v>
          </cell>
          <cell r="C835">
            <v>146</v>
          </cell>
          <cell r="D835">
            <v>146</v>
          </cell>
          <cell r="E835">
            <v>4424</v>
          </cell>
          <cell r="F835">
            <v>4424</v>
          </cell>
          <cell r="G835" t="str">
            <v>$196.88</v>
          </cell>
          <cell r="H835" t="str">
            <v>$196.88</v>
          </cell>
          <cell r="I835">
            <v>20</v>
          </cell>
          <cell r="J835">
            <v>20</v>
          </cell>
          <cell r="K835">
            <v>3</v>
          </cell>
          <cell r="L835">
            <v>3</v>
          </cell>
          <cell r="M835">
            <v>2.0547945205479451E-2</v>
          </cell>
          <cell r="N835">
            <v>2.1000000000000001E-2</v>
          </cell>
          <cell r="O835" t="str">
            <v>$1757</v>
          </cell>
          <cell r="P835" t="str">
            <v>$1757</v>
          </cell>
          <cell r="Q835">
            <v>45626</v>
          </cell>
          <cell r="R835" t="str">
            <v>Hyderabad</v>
          </cell>
          <cell r="S835" t="str">
            <v>Tablet</v>
          </cell>
          <cell r="T835" t="str">
            <v>online data analytic</v>
          </cell>
        </row>
        <row r="836">
          <cell r="A836" t="str">
            <v>A1834</v>
          </cell>
          <cell r="B836" t="str">
            <v>Data Analytcis Course</v>
          </cell>
          <cell r="C836">
            <v>82</v>
          </cell>
          <cell r="D836">
            <v>82</v>
          </cell>
          <cell r="E836">
            <v>5971</v>
          </cell>
          <cell r="F836">
            <v>5971</v>
          </cell>
          <cell r="G836" t="str">
            <v>$235.52</v>
          </cell>
          <cell r="H836" t="str">
            <v>$235.52</v>
          </cell>
          <cell r="I836">
            <v>14</v>
          </cell>
          <cell r="J836">
            <v>14</v>
          </cell>
          <cell r="K836">
            <v>8</v>
          </cell>
          <cell r="L836">
            <v>8</v>
          </cell>
          <cell r="M836">
            <v>9.7560975609756101E-2</v>
          </cell>
          <cell r="N836">
            <v>9.8000000000000004E-2</v>
          </cell>
          <cell r="O836" t="str">
            <v>$1568</v>
          </cell>
          <cell r="P836" t="str">
            <v>$1568</v>
          </cell>
          <cell r="Q836">
            <v>45602</v>
          </cell>
          <cell r="R836" t="str">
            <v>Chennai</v>
          </cell>
          <cell r="S836" t="str">
            <v>Mobile</v>
          </cell>
          <cell r="T836" t="str">
            <v>learn data analytics</v>
          </cell>
        </row>
        <row r="837">
          <cell r="A837" t="str">
            <v>A1835</v>
          </cell>
          <cell r="B837" t="str">
            <v>Data Analytcis Course</v>
          </cell>
          <cell r="C837">
            <v>88</v>
          </cell>
          <cell r="D837">
            <v>88</v>
          </cell>
          <cell r="E837">
            <v>3733</v>
          </cell>
          <cell r="F837">
            <v>3733</v>
          </cell>
          <cell r="G837" t="str">
            <v>$244.35</v>
          </cell>
          <cell r="H837" t="str">
            <v>$244.35</v>
          </cell>
          <cell r="I837">
            <v>12</v>
          </cell>
          <cell r="J837">
            <v>12</v>
          </cell>
          <cell r="K837">
            <v>8</v>
          </cell>
          <cell r="L837">
            <v>8</v>
          </cell>
          <cell r="M837">
            <v>9.0909090909090912E-2</v>
          </cell>
          <cell r="N837">
            <v>9.0999999999999998E-2</v>
          </cell>
          <cell r="O837" t="str">
            <v>$1622</v>
          </cell>
          <cell r="P837" t="str">
            <v>$1622</v>
          </cell>
          <cell r="Q837">
            <v>45623</v>
          </cell>
          <cell r="R837" t="str">
            <v>Hyderabad</v>
          </cell>
          <cell r="S837" t="str">
            <v>Mobile</v>
          </cell>
          <cell r="T837" t="str">
            <v>online data analytic</v>
          </cell>
        </row>
        <row r="838">
          <cell r="A838" t="str">
            <v>A1836</v>
          </cell>
          <cell r="B838" t="str">
            <v>Data Analytcis Course</v>
          </cell>
          <cell r="C838">
            <v>127</v>
          </cell>
          <cell r="D838">
            <v>127</v>
          </cell>
          <cell r="E838">
            <v>4403</v>
          </cell>
          <cell r="F838">
            <v>4403</v>
          </cell>
          <cell r="G838" t="str">
            <v>$244.3</v>
          </cell>
          <cell r="H838" t="str">
            <v>$244.3</v>
          </cell>
          <cell r="I838">
            <v>15</v>
          </cell>
          <cell r="J838">
            <v>15</v>
          </cell>
          <cell r="K838">
            <v>7</v>
          </cell>
          <cell r="L838">
            <v>7</v>
          </cell>
          <cell r="M838">
            <v>5.5118110236220472E-2</v>
          </cell>
          <cell r="N838">
            <v>5.5E-2</v>
          </cell>
          <cell r="O838" t="str">
            <v>$1832</v>
          </cell>
          <cell r="P838" t="str">
            <v>$1832</v>
          </cell>
          <cell r="Q838">
            <v>45618</v>
          </cell>
          <cell r="R838" t="str">
            <v>Hyderabad</v>
          </cell>
          <cell r="S838" t="str">
            <v>Tablet</v>
          </cell>
          <cell r="T838" t="str">
            <v>data analytics course</v>
          </cell>
        </row>
        <row r="839">
          <cell r="A839" t="str">
            <v>A1837</v>
          </cell>
          <cell r="B839" t="str">
            <v>Data Analytics Course</v>
          </cell>
          <cell r="C839">
            <v>179</v>
          </cell>
          <cell r="D839">
            <v>179</v>
          </cell>
          <cell r="E839">
            <v>5118</v>
          </cell>
          <cell r="F839">
            <v>5118</v>
          </cell>
          <cell r="G839" t="str">
            <v>$189.59</v>
          </cell>
          <cell r="H839" t="str">
            <v>$189.59</v>
          </cell>
          <cell r="I839">
            <v>15</v>
          </cell>
          <cell r="J839">
            <v>15</v>
          </cell>
          <cell r="K839">
            <v>6</v>
          </cell>
          <cell r="L839">
            <v>6</v>
          </cell>
          <cell r="M839">
            <v>3.3519553072625698E-2</v>
          </cell>
          <cell r="N839">
            <v>3.4000000000000002E-2</v>
          </cell>
          <cell r="O839" t="str">
            <v>$1892</v>
          </cell>
          <cell r="P839" t="str">
            <v>$1892</v>
          </cell>
          <cell r="Q839">
            <v>45624</v>
          </cell>
          <cell r="R839" t="str">
            <v>Hyderabad</v>
          </cell>
          <cell r="S839" t="str">
            <v>Tablet</v>
          </cell>
          <cell r="T839" t="str">
            <v>data analytics course</v>
          </cell>
        </row>
        <row r="840">
          <cell r="A840" t="str">
            <v>A1838</v>
          </cell>
          <cell r="B840" t="str">
            <v>Data Analytics Course</v>
          </cell>
          <cell r="C840">
            <v>199</v>
          </cell>
          <cell r="D840">
            <v>199</v>
          </cell>
          <cell r="E840">
            <v>4407</v>
          </cell>
          <cell r="F840">
            <v>4407</v>
          </cell>
          <cell r="G840" t="str">
            <v>$240.05</v>
          </cell>
          <cell r="H840" t="str">
            <v>$240.05</v>
          </cell>
          <cell r="I840">
            <v>21</v>
          </cell>
          <cell r="J840">
            <v>21</v>
          </cell>
          <cell r="K840">
            <v>9</v>
          </cell>
          <cell r="L840">
            <v>9</v>
          </cell>
          <cell r="M840">
            <v>4.5226130653266333E-2</v>
          </cell>
          <cell r="N840">
            <v>4.4999999999999998E-2</v>
          </cell>
          <cell r="O840" t="str">
            <v>$1054</v>
          </cell>
          <cell r="P840" t="str">
            <v>$1054</v>
          </cell>
          <cell r="Q840">
            <v>45609</v>
          </cell>
          <cell r="R840" t="str">
            <v>Hyderabad</v>
          </cell>
          <cell r="S840" t="str">
            <v>Desktop</v>
          </cell>
          <cell r="T840" t="str">
            <v>data analytics online</v>
          </cell>
        </row>
        <row r="841">
          <cell r="A841" t="str">
            <v>A1839</v>
          </cell>
          <cell r="B841" t="str">
            <v>Data Analytics Course</v>
          </cell>
          <cell r="C841">
            <v>191</v>
          </cell>
          <cell r="D841">
            <v>191</v>
          </cell>
          <cell r="E841">
            <v>3190</v>
          </cell>
          <cell r="F841">
            <v>3190</v>
          </cell>
          <cell r="G841" t="str">
            <v>$211.1</v>
          </cell>
          <cell r="H841" t="str">
            <v>$211.1</v>
          </cell>
          <cell r="I841">
            <v>10</v>
          </cell>
          <cell r="J841">
            <v>10</v>
          </cell>
          <cell r="K841">
            <v>7</v>
          </cell>
          <cell r="L841">
            <v>7</v>
          </cell>
          <cell r="M841">
            <v>3.6649214659685861E-2</v>
          </cell>
          <cell r="N841">
            <v>3.6999999999999998E-2</v>
          </cell>
          <cell r="O841" t="str">
            <v>$1500</v>
          </cell>
          <cell r="Q841">
            <v>45618</v>
          </cell>
          <cell r="R841" t="str">
            <v>Bangaluru</v>
          </cell>
          <cell r="S841" t="str">
            <v>Tablet</v>
          </cell>
          <cell r="T841" t="str">
            <v>learn data analytics</v>
          </cell>
        </row>
        <row r="842">
          <cell r="A842" t="str">
            <v>A1840</v>
          </cell>
          <cell r="B842" t="str">
            <v>Data Analytcis Course</v>
          </cell>
          <cell r="C842">
            <v>99</v>
          </cell>
          <cell r="D842">
            <v>99</v>
          </cell>
          <cell r="E842">
            <v>4880</v>
          </cell>
          <cell r="F842">
            <v>4880</v>
          </cell>
          <cell r="G842" t="str">
            <v>$245.13</v>
          </cell>
          <cell r="H842" t="str">
            <v>$245.13</v>
          </cell>
          <cell r="I842">
            <v>25</v>
          </cell>
          <cell r="J842">
            <v>25</v>
          </cell>
          <cell r="K842">
            <v>8</v>
          </cell>
          <cell r="L842">
            <v>8</v>
          </cell>
          <cell r="M842">
            <v>8.0808080808080815E-2</v>
          </cell>
          <cell r="O842" t="str">
            <v>$1236</v>
          </cell>
          <cell r="P842" t="str">
            <v>$1236</v>
          </cell>
          <cell r="Q842">
            <v>45615</v>
          </cell>
          <cell r="R842" t="str">
            <v>Chennai</v>
          </cell>
          <cell r="S842" t="str">
            <v>Tablet</v>
          </cell>
          <cell r="T842" t="str">
            <v>data analytics course</v>
          </cell>
        </row>
        <row r="843">
          <cell r="A843" t="str">
            <v>A1841</v>
          </cell>
          <cell r="B843" t="str">
            <v>Data Analytics Course</v>
          </cell>
          <cell r="C843">
            <v>122</v>
          </cell>
          <cell r="D843">
            <v>122</v>
          </cell>
          <cell r="E843">
            <v>5774</v>
          </cell>
          <cell r="F843">
            <v>5774</v>
          </cell>
          <cell r="G843" t="str">
            <v>$224.4</v>
          </cell>
          <cell r="H843" t="str">
            <v>$224.4</v>
          </cell>
          <cell r="I843">
            <v>23</v>
          </cell>
          <cell r="J843">
            <v>23</v>
          </cell>
          <cell r="K843">
            <v>10</v>
          </cell>
          <cell r="L843">
            <v>10</v>
          </cell>
          <cell r="M843">
            <v>8.1967213114754092E-2</v>
          </cell>
          <cell r="O843" t="str">
            <v>$1330</v>
          </cell>
          <cell r="P843" t="str">
            <v>$1330</v>
          </cell>
          <cell r="Q843">
            <v>45610</v>
          </cell>
          <cell r="R843" t="str">
            <v>Bangaluru</v>
          </cell>
          <cell r="S843" t="str">
            <v>Mobile</v>
          </cell>
          <cell r="T843" t="str">
            <v>learn data analytics</v>
          </cell>
        </row>
        <row r="844">
          <cell r="A844" t="str">
            <v>A1842</v>
          </cell>
          <cell r="B844" t="str">
            <v>Data Analytics Course</v>
          </cell>
          <cell r="C844">
            <v>178</v>
          </cell>
          <cell r="D844">
            <v>178</v>
          </cell>
          <cell r="E844">
            <v>4103</v>
          </cell>
          <cell r="F844">
            <v>4103</v>
          </cell>
          <cell r="G844" t="str">
            <v>$207.23</v>
          </cell>
          <cell r="H844" t="str">
            <v>$207.23</v>
          </cell>
          <cell r="I844">
            <v>17</v>
          </cell>
          <cell r="J844">
            <v>17</v>
          </cell>
          <cell r="K844">
            <v>8</v>
          </cell>
          <cell r="L844">
            <v>8</v>
          </cell>
          <cell r="M844">
            <v>4.49438202247191E-2</v>
          </cell>
          <cell r="N844">
            <v>4.4999999999999998E-2</v>
          </cell>
          <cell r="O844" t="str">
            <v>$1612</v>
          </cell>
          <cell r="P844" t="str">
            <v>$1612</v>
          </cell>
          <cell r="Q844">
            <v>45611</v>
          </cell>
          <cell r="R844" t="str">
            <v>Chennai</v>
          </cell>
          <cell r="S844" t="str">
            <v>Mobile</v>
          </cell>
          <cell r="T844" t="str">
            <v>analytics for data</v>
          </cell>
        </row>
        <row r="845">
          <cell r="A845" t="str">
            <v>A1843</v>
          </cell>
          <cell r="B845" t="str">
            <v>Data Analytcis Course</v>
          </cell>
          <cell r="C845">
            <v>157</v>
          </cell>
          <cell r="D845">
            <v>157</v>
          </cell>
          <cell r="E845">
            <v>4414</v>
          </cell>
          <cell r="F845">
            <v>4414</v>
          </cell>
          <cell r="G845" t="str">
            <v>$240.57</v>
          </cell>
          <cell r="H845" t="str">
            <v>$240.57</v>
          </cell>
          <cell r="I845">
            <v>17</v>
          </cell>
          <cell r="J845">
            <v>17</v>
          </cell>
          <cell r="K845">
            <v>9</v>
          </cell>
          <cell r="L845">
            <v>9</v>
          </cell>
          <cell r="M845">
            <v>5.7324840764331211E-2</v>
          </cell>
          <cell r="N845">
            <v>5.7000000000000002E-2</v>
          </cell>
          <cell r="O845" t="str">
            <v>$1483</v>
          </cell>
          <cell r="P845" t="str">
            <v>$1483</v>
          </cell>
          <cell r="Q845">
            <v>45623</v>
          </cell>
          <cell r="R845" t="str">
            <v>Hyderabad</v>
          </cell>
          <cell r="S845" t="str">
            <v>Desktop</v>
          </cell>
          <cell r="T845" t="str">
            <v>learn data analytics</v>
          </cell>
        </row>
        <row r="846">
          <cell r="A846" t="str">
            <v>A1844</v>
          </cell>
          <cell r="B846" t="str">
            <v>Data Analytcis Course</v>
          </cell>
          <cell r="C846">
            <v>199</v>
          </cell>
          <cell r="D846">
            <v>199</v>
          </cell>
          <cell r="E846">
            <v>5319</v>
          </cell>
          <cell r="F846">
            <v>5319</v>
          </cell>
          <cell r="G846" t="str">
            <v>$216.7</v>
          </cell>
          <cell r="H846" t="str">
            <v>$216.7</v>
          </cell>
          <cell r="I846">
            <v>25</v>
          </cell>
          <cell r="J846">
            <v>25</v>
          </cell>
          <cell r="K846">
            <v>9</v>
          </cell>
          <cell r="L846">
            <v>9</v>
          </cell>
          <cell r="M846">
            <v>4.5226130653266333E-2</v>
          </cell>
          <cell r="N846">
            <v>4.4999999999999998E-2</v>
          </cell>
          <cell r="O846" t="str">
            <v>$1500</v>
          </cell>
          <cell r="Q846">
            <v>45597</v>
          </cell>
          <cell r="R846" t="str">
            <v>Chennai</v>
          </cell>
          <cell r="S846" t="str">
            <v>Desktop</v>
          </cell>
          <cell r="T846" t="str">
            <v>online data analytic</v>
          </cell>
        </row>
        <row r="847">
          <cell r="A847" t="str">
            <v>A1845</v>
          </cell>
          <cell r="B847" t="str">
            <v>Data Analytics Course</v>
          </cell>
          <cell r="C847">
            <v>192</v>
          </cell>
          <cell r="D847">
            <v>192</v>
          </cell>
          <cell r="E847">
            <v>3320</v>
          </cell>
          <cell r="F847">
            <v>3320</v>
          </cell>
          <cell r="G847" t="str">
            <v>$208.09</v>
          </cell>
          <cell r="H847" t="str">
            <v>$208.09</v>
          </cell>
          <cell r="I847">
            <v>17</v>
          </cell>
          <cell r="J847">
            <v>17</v>
          </cell>
          <cell r="K847">
            <v>3</v>
          </cell>
          <cell r="L847">
            <v>3</v>
          </cell>
          <cell r="M847">
            <v>1.5625E-2</v>
          </cell>
          <cell r="N847">
            <v>1.6E-2</v>
          </cell>
          <cell r="O847" t="str">
            <v>$1169</v>
          </cell>
          <cell r="P847" t="str">
            <v>$1169</v>
          </cell>
          <cell r="Q847">
            <v>45614</v>
          </cell>
          <cell r="R847" t="str">
            <v>Chennai</v>
          </cell>
          <cell r="S847" t="str">
            <v>Mobile</v>
          </cell>
          <cell r="T847" t="str">
            <v>data analytics training</v>
          </cell>
        </row>
        <row r="848">
          <cell r="A848" t="str">
            <v>A1846</v>
          </cell>
          <cell r="B848" t="str">
            <v>Data Analytics Course</v>
          </cell>
          <cell r="C848">
            <v>144</v>
          </cell>
          <cell r="D848">
            <v>144</v>
          </cell>
          <cell r="E848">
            <v>4146</v>
          </cell>
          <cell r="F848">
            <v>4146</v>
          </cell>
          <cell r="G848" t="str">
            <v>$246.1</v>
          </cell>
          <cell r="H848" t="str">
            <v>$246.1</v>
          </cell>
          <cell r="I848">
            <v>18</v>
          </cell>
          <cell r="J848">
            <v>18</v>
          </cell>
          <cell r="K848">
            <v>10</v>
          </cell>
          <cell r="L848">
            <v>10</v>
          </cell>
          <cell r="M848">
            <v>6.9444444444444448E-2</v>
          </cell>
          <cell r="N848">
            <v>6.9000000000000006E-2</v>
          </cell>
          <cell r="O848" t="str">
            <v>$1074</v>
          </cell>
          <cell r="P848" t="str">
            <v>$1074</v>
          </cell>
          <cell r="Q848">
            <v>45611</v>
          </cell>
          <cell r="R848" t="str">
            <v>Hyderabad</v>
          </cell>
          <cell r="S848" t="str">
            <v>Desktop</v>
          </cell>
          <cell r="T848" t="str">
            <v>analytics for data</v>
          </cell>
        </row>
        <row r="849">
          <cell r="A849" t="str">
            <v>A1847</v>
          </cell>
          <cell r="B849" t="str">
            <v>Data Analytics Course</v>
          </cell>
          <cell r="C849">
            <v>147</v>
          </cell>
          <cell r="D849">
            <v>147</v>
          </cell>
          <cell r="E849">
            <v>4720</v>
          </cell>
          <cell r="F849">
            <v>4720</v>
          </cell>
          <cell r="G849" t="str">
            <v>$227.6</v>
          </cell>
          <cell r="H849" t="str">
            <v>$227.6</v>
          </cell>
          <cell r="I849">
            <v>23</v>
          </cell>
          <cell r="J849">
            <v>23</v>
          </cell>
          <cell r="K849">
            <v>8</v>
          </cell>
          <cell r="L849">
            <v>8</v>
          </cell>
          <cell r="M849">
            <v>5.4421768707482991E-2</v>
          </cell>
          <cell r="O849" t="str">
            <v>$1907</v>
          </cell>
          <cell r="P849" t="str">
            <v>$1907</v>
          </cell>
          <cell r="Q849">
            <v>45601</v>
          </cell>
          <cell r="R849" t="str">
            <v>Chennai</v>
          </cell>
          <cell r="S849" t="str">
            <v>Tablet</v>
          </cell>
          <cell r="T849" t="str">
            <v>online data analytic</v>
          </cell>
        </row>
        <row r="850">
          <cell r="A850" t="str">
            <v>A1848</v>
          </cell>
          <cell r="B850" t="str">
            <v>Data Analytics Course</v>
          </cell>
          <cell r="C850">
            <v>121</v>
          </cell>
          <cell r="D850">
            <v>121</v>
          </cell>
          <cell r="E850">
            <v>3557</v>
          </cell>
          <cell r="F850">
            <v>3557</v>
          </cell>
          <cell r="G850" t="str">
            <v>$237.03</v>
          </cell>
          <cell r="H850" t="str">
            <v>$237.03</v>
          </cell>
          <cell r="I850">
            <v>16</v>
          </cell>
          <cell r="J850">
            <v>16</v>
          </cell>
          <cell r="K850">
            <v>7</v>
          </cell>
          <cell r="L850">
            <v>7</v>
          </cell>
          <cell r="M850">
            <v>5.7851239669421489E-2</v>
          </cell>
          <cell r="O850" t="str">
            <v>$1255</v>
          </cell>
          <cell r="P850" t="str">
            <v>$1255</v>
          </cell>
          <cell r="Q850">
            <v>45621</v>
          </cell>
          <cell r="R850" t="str">
            <v>Hyderabad</v>
          </cell>
          <cell r="S850" t="str">
            <v>Mobile</v>
          </cell>
          <cell r="T850" t="str">
            <v>data analytics online</v>
          </cell>
        </row>
        <row r="851">
          <cell r="A851" t="str">
            <v>A1849</v>
          </cell>
          <cell r="B851" t="str">
            <v>Data Analytics Course</v>
          </cell>
          <cell r="C851">
            <v>193</v>
          </cell>
          <cell r="D851">
            <v>193</v>
          </cell>
          <cell r="E851">
            <v>5899</v>
          </cell>
          <cell r="F851">
            <v>5899</v>
          </cell>
          <cell r="G851" t="str">
            <v>$227.24</v>
          </cell>
          <cell r="H851" t="str">
            <v>$227.24</v>
          </cell>
          <cell r="I851">
            <v>12</v>
          </cell>
          <cell r="J851">
            <v>12</v>
          </cell>
          <cell r="K851">
            <v>9</v>
          </cell>
          <cell r="L851">
            <v>9</v>
          </cell>
          <cell r="M851">
            <v>4.6632124352331605E-2</v>
          </cell>
          <cell r="N851">
            <v>4.2000000000000003E-2</v>
          </cell>
          <cell r="O851" t="str">
            <v>$1832</v>
          </cell>
          <cell r="P851" t="str">
            <v>$1832</v>
          </cell>
          <cell r="Q851">
            <v>45598</v>
          </cell>
          <cell r="R851" t="str">
            <v>Hyderabad</v>
          </cell>
          <cell r="S851" t="str">
            <v>Desktop</v>
          </cell>
          <cell r="T851" t="str">
            <v>analytics for data</v>
          </cell>
        </row>
        <row r="852">
          <cell r="A852" t="str">
            <v>A1850</v>
          </cell>
          <cell r="B852" t="str">
            <v>Data Analytcis Course</v>
          </cell>
          <cell r="C852">
            <v>170</v>
          </cell>
          <cell r="D852">
            <v>170</v>
          </cell>
          <cell r="E852">
            <v>4968</v>
          </cell>
          <cell r="F852">
            <v>4968</v>
          </cell>
          <cell r="G852" t="str">
            <v>$216.78</v>
          </cell>
          <cell r="H852" t="str">
            <v>$216.78</v>
          </cell>
          <cell r="I852">
            <v>21</v>
          </cell>
          <cell r="J852">
            <v>21</v>
          </cell>
          <cell r="K852">
            <v>5</v>
          </cell>
          <cell r="L852">
            <v>5</v>
          </cell>
          <cell r="M852">
            <v>2.9411764705882353E-2</v>
          </cell>
          <cell r="N852">
            <v>4.4999999999999998E-2</v>
          </cell>
          <cell r="O852" t="str">
            <v>$1997</v>
          </cell>
          <cell r="P852" t="str">
            <v>$1997</v>
          </cell>
          <cell r="Q852">
            <v>45620</v>
          </cell>
          <cell r="R852" t="str">
            <v>Hyderabad</v>
          </cell>
          <cell r="S852" t="str">
            <v>Tablet</v>
          </cell>
          <cell r="T852" t="str">
            <v>data analytics course</v>
          </cell>
        </row>
        <row r="853">
          <cell r="A853" t="str">
            <v>A1851</v>
          </cell>
          <cell r="B853" t="str">
            <v>Data Analytics Course</v>
          </cell>
          <cell r="C853">
            <v>198</v>
          </cell>
          <cell r="D853">
            <v>198</v>
          </cell>
          <cell r="E853">
            <v>5934</v>
          </cell>
          <cell r="F853">
            <v>5934</v>
          </cell>
          <cell r="G853" t="str">
            <v>$199.61</v>
          </cell>
          <cell r="H853" t="str">
            <v>$199.61</v>
          </cell>
          <cell r="I853">
            <v>14</v>
          </cell>
          <cell r="J853">
            <v>14</v>
          </cell>
          <cell r="K853">
            <v>6</v>
          </cell>
          <cell r="L853">
            <v>6</v>
          </cell>
          <cell r="M853">
            <v>3.0303030303030304E-2</v>
          </cell>
          <cell r="N853">
            <v>0.03</v>
          </cell>
          <cell r="O853" t="str">
            <v>$1500</v>
          </cell>
          <cell r="Q853">
            <v>45609</v>
          </cell>
          <cell r="R853" t="str">
            <v>Chennai</v>
          </cell>
          <cell r="S853" t="str">
            <v>Tablet</v>
          </cell>
          <cell r="T853" t="str">
            <v>learn data analytics</v>
          </cell>
        </row>
        <row r="854">
          <cell r="A854" t="str">
            <v>A1852</v>
          </cell>
          <cell r="B854" t="str">
            <v>Data Analytcis Course</v>
          </cell>
          <cell r="C854">
            <v>133</v>
          </cell>
          <cell r="D854">
            <v>133</v>
          </cell>
          <cell r="E854">
            <v>4078</v>
          </cell>
          <cell r="F854">
            <v>4078</v>
          </cell>
          <cell r="G854" t="str">
            <v>$189.42</v>
          </cell>
          <cell r="H854" t="str">
            <v>$189.42</v>
          </cell>
          <cell r="I854">
            <v>21</v>
          </cell>
          <cell r="J854">
            <v>21</v>
          </cell>
          <cell r="K854">
            <v>6</v>
          </cell>
          <cell r="L854">
            <v>6</v>
          </cell>
          <cell r="M854">
            <v>4.5112781954887216E-2</v>
          </cell>
          <cell r="N854">
            <v>4.4999999999999998E-2</v>
          </cell>
          <cell r="O854" t="str">
            <v>$1969</v>
          </cell>
          <cell r="P854" t="str">
            <v>$1969</v>
          </cell>
          <cell r="Q854">
            <v>45617</v>
          </cell>
          <cell r="R854" t="str">
            <v>Hyderabad</v>
          </cell>
          <cell r="S854" t="str">
            <v>Desktop</v>
          </cell>
          <cell r="T854" t="str">
            <v>data analytics online</v>
          </cell>
        </row>
        <row r="855">
          <cell r="A855" t="str">
            <v>A1853</v>
          </cell>
          <cell r="B855" t="str">
            <v>Data Analytics Course</v>
          </cell>
          <cell r="C855">
            <v>82</v>
          </cell>
          <cell r="D855">
            <v>82</v>
          </cell>
          <cell r="E855">
            <v>4163</v>
          </cell>
          <cell r="F855">
            <v>4163</v>
          </cell>
          <cell r="G855" t="str">
            <v>$208.08</v>
          </cell>
          <cell r="H855" t="str">
            <v>$208.08</v>
          </cell>
          <cell r="I855">
            <v>30</v>
          </cell>
          <cell r="J855">
            <v>30</v>
          </cell>
          <cell r="K855">
            <v>8</v>
          </cell>
          <cell r="L855">
            <v>8</v>
          </cell>
          <cell r="M855">
            <v>9.7560975609756101E-2</v>
          </cell>
          <cell r="N855">
            <v>9.8000000000000004E-2</v>
          </cell>
          <cell r="O855" t="str">
            <v>$1297</v>
          </cell>
          <cell r="P855" t="str">
            <v>$1297</v>
          </cell>
          <cell r="Q855">
            <v>45600</v>
          </cell>
          <cell r="R855" t="str">
            <v>Hyderabad</v>
          </cell>
          <cell r="S855" t="str">
            <v>Mobile</v>
          </cell>
          <cell r="T855" t="str">
            <v>data analytics course</v>
          </cell>
        </row>
        <row r="856">
          <cell r="A856" t="str">
            <v>A1854</v>
          </cell>
          <cell r="B856" t="str">
            <v>Data Analytics Course</v>
          </cell>
          <cell r="C856">
            <v>90</v>
          </cell>
          <cell r="D856">
            <v>90</v>
          </cell>
          <cell r="E856">
            <v>4330</v>
          </cell>
          <cell r="F856">
            <v>4330</v>
          </cell>
          <cell r="G856" t="str">
            <v>$249.24</v>
          </cell>
          <cell r="H856" t="str">
            <v>$249.24</v>
          </cell>
          <cell r="I856">
            <v>20</v>
          </cell>
          <cell r="J856">
            <v>20</v>
          </cell>
          <cell r="K856">
            <v>4</v>
          </cell>
          <cell r="L856">
            <v>4</v>
          </cell>
          <cell r="M856">
            <v>4.4444444444444446E-2</v>
          </cell>
          <cell r="N856">
            <v>4.3999999999999997E-2</v>
          </cell>
          <cell r="O856" t="str">
            <v>$1618</v>
          </cell>
          <cell r="P856" t="str">
            <v>$1618</v>
          </cell>
          <cell r="Q856">
            <v>45611</v>
          </cell>
          <cell r="R856" t="str">
            <v>Hyderabad</v>
          </cell>
          <cell r="S856" t="str">
            <v>Tablet</v>
          </cell>
          <cell r="T856" t="str">
            <v>data analytics training</v>
          </cell>
        </row>
        <row r="857">
          <cell r="A857" t="str">
            <v>A1855</v>
          </cell>
          <cell r="B857" t="str">
            <v>Data Analytics Course</v>
          </cell>
          <cell r="C857">
            <v>122</v>
          </cell>
          <cell r="D857">
            <v>122</v>
          </cell>
          <cell r="E857">
            <v>5882</v>
          </cell>
          <cell r="F857">
            <v>5882</v>
          </cell>
          <cell r="G857" t="str">
            <v>$189.76</v>
          </cell>
          <cell r="H857" t="str">
            <v>$189.76</v>
          </cell>
          <cell r="I857">
            <v>25</v>
          </cell>
          <cell r="J857">
            <v>25</v>
          </cell>
          <cell r="K857">
            <v>7</v>
          </cell>
          <cell r="L857">
            <v>7</v>
          </cell>
          <cell r="M857">
            <v>5.737704918032787E-2</v>
          </cell>
          <cell r="N857">
            <v>5.7000000000000002E-2</v>
          </cell>
          <cell r="O857" t="str">
            <v>$1357</v>
          </cell>
          <cell r="P857" t="str">
            <v>$1357</v>
          </cell>
          <cell r="Q857">
            <v>45621</v>
          </cell>
          <cell r="R857" t="str">
            <v>Bangaluru</v>
          </cell>
          <cell r="S857" t="str">
            <v>Tablet</v>
          </cell>
          <cell r="T857" t="str">
            <v>analytics for data</v>
          </cell>
        </row>
        <row r="858">
          <cell r="A858" t="str">
            <v>A1856</v>
          </cell>
          <cell r="B858" t="str">
            <v>Data Analytics Course</v>
          </cell>
          <cell r="C858">
            <v>105</v>
          </cell>
          <cell r="D858">
            <v>105</v>
          </cell>
          <cell r="E858">
            <v>5645</v>
          </cell>
          <cell r="F858">
            <v>5645</v>
          </cell>
          <cell r="G858" t="str">
            <v>$218.24</v>
          </cell>
          <cell r="H858" t="str">
            <v>$218.24</v>
          </cell>
          <cell r="I858">
            <v>17</v>
          </cell>
          <cell r="J858">
            <v>17</v>
          </cell>
          <cell r="K858">
            <v>6</v>
          </cell>
          <cell r="L858">
            <v>6</v>
          </cell>
          <cell r="M858">
            <v>5.7142857142857141E-2</v>
          </cell>
          <cell r="O858" t="str">
            <v>$1420</v>
          </cell>
          <cell r="P858" t="str">
            <v>$1420</v>
          </cell>
          <cell r="Q858">
            <v>45598</v>
          </cell>
          <cell r="R858" t="str">
            <v>Hyderabad</v>
          </cell>
          <cell r="S858" t="str">
            <v>Mobile</v>
          </cell>
          <cell r="T858" t="str">
            <v>online data analytic</v>
          </cell>
        </row>
        <row r="859">
          <cell r="A859" t="str">
            <v>A1857</v>
          </cell>
          <cell r="B859" t="str">
            <v>Data Analytics Course</v>
          </cell>
          <cell r="C859">
            <v>179</v>
          </cell>
          <cell r="D859">
            <v>179</v>
          </cell>
          <cell r="E859">
            <v>3848</v>
          </cell>
          <cell r="F859">
            <v>3848</v>
          </cell>
          <cell r="G859" t="str">
            <v>$213.26</v>
          </cell>
          <cell r="H859" t="str">
            <v>$213.26</v>
          </cell>
          <cell r="I859">
            <v>12</v>
          </cell>
          <cell r="J859">
            <v>12</v>
          </cell>
          <cell r="K859">
            <v>5</v>
          </cell>
          <cell r="L859">
            <v>5</v>
          </cell>
          <cell r="M859">
            <v>2.7932960893854747E-2</v>
          </cell>
          <cell r="O859" t="str">
            <v>$1807</v>
          </cell>
          <cell r="P859" t="str">
            <v>$1807</v>
          </cell>
          <cell r="Q859">
            <v>45625</v>
          </cell>
          <cell r="R859" t="str">
            <v>Hyderabad</v>
          </cell>
          <cell r="S859" t="str">
            <v>Desktop</v>
          </cell>
          <cell r="T859" t="str">
            <v>data analytics course</v>
          </cell>
        </row>
        <row r="860">
          <cell r="A860" t="str">
            <v>A1858</v>
          </cell>
          <cell r="B860" t="str">
            <v>Data Analytcis Course</v>
          </cell>
          <cell r="C860">
            <v>91</v>
          </cell>
          <cell r="D860">
            <v>91</v>
          </cell>
          <cell r="E860">
            <v>5609</v>
          </cell>
          <cell r="F860">
            <v>5609</v>
          </cell>
          <cell r="G860" t="str">
            <v>$228.27</v>
          </cell>
          <cell r="H860" t="str">
            <v>$228.27</v>
          </cell>
          <cell r="I860">
            <v>12</v>
          </cell>
          <cell r="J860">
            <v>12</v>
          </cell>
          <cell r="K860">
            <v>10</v>
          </cell>
          <cell r="L860">
            <v>10</v>
          </cell>
          <cell r="M860">
            <v>0.10989010989010989</v>
          </cell>
          <cell r="N860">
            <v>0.11</v>
          </cell>
          <cell r="O860" t="str">
            <v>$1098</v>
          </cell>
          <cell r="P860" t="str">
            <v>$1098</v>
          </cell>
          <cell r="Q860">
            <v>45607</v>
          </cell>
          <cell r="R860" t="str">
            <v>Bangaluru</v>
          </cell>
          <cell r="S860" t="str">
            <v>Desktop</v>
          </cell>
          <cell r="T860" t="str">
            <v>analytics for data</v>
          </cell>
        </row>
        <row r="861">
          <cell r="A861" t="str">
            <v>A1859</v>
          </cell>
          <cell r="B861" t="str">
            <v>Data Analytics Course</v>
          </cell>
          <cell r="C861">
            <v>168</v>
          </cell>
          <cell r="D861">
            <v>168</v>
          </cell>
          <cell r="E861">
            <v>4390</v>
          </cell>
          <cell r="F861">
            <v>4390</v>
          </cell>
          <cell r="G861" t="str">
            <v>$195.52</v>
          </cell>
          <cell r="H861" t="str">
            <v>$195.52</v>
          </cell>
          <cell r="I861">
            <v>22</v>
          </cell>
          <cell r="J861">
            <v>22</v>
          </cell>
          <cell r="K861">
            <v>10</v>
          </cell>
          <cell r="L861">
            <v>10</v>
          </cell>
          <cell r="M861">
            <v>5.9523809523809521E-2</v>
          </cell>
          <cell r="N861">
            <v>0.06</v>
          </cell>
          <cell r="O861" t="str">
            <v>$1553</v>
          </cell>
          <cell r="P861" t="str">
            <v>$1553</v>
          </cell>
          <cell r="Q861">
            <v>45600</v>
          </cell>
          <cell r="R861" t="str">
            <v>Hyderabad</v>
          </cell>
          <cell r="S861" t="str">
            <v>Desktop</v>
          </cell>
          <cell r="T861" t="str">
            <v>data analytics course</v>
          </cell>
        </row>
        <row r="862">
          <cell r="A862" t="str">
            <v>A1860</v>
          </cell>
          <cell r="B862" t="str">
            <v>Data Analytics Course</v>
          </cell>
          <cell r="C862">
            <v>162</v>
          </cell>
          <cell r="D862">
            <v>162</v>
          </cell>
          <cell r="E862">
            <v>4774</v>
          </cell>
          <cell r="F862">
            <v>4774</v>
          </cell>
          <cell r="G862" t="str">
            <v>$210.8</v>
          </cell>
          <cell r="H862" t="str">
            <v>$210.8</v>
          </cell>
          <cell r="I862">
            <v>20</v>
          </cell>
          <cell r="J862">
            <v>20</v>
          </cell>
          <cell r="K862">
            <v>7</v>
          </cell>
          <cell r="L862">
            <v>7</v>
          </cell>
          <cell r="M862">
            <v>4.3209876543209874E-2</v>
          </cell>
          <cell r="N862">
            <v>4.2999999999999997E-2</v>
          </cell>
          <cell r="O862" t="str">
            <v>$1387</v>
          </cell>
          <cell r="P862" t="str">
            <v>$1387</v>
          </cell>
          <cell r="Q862">
            <v>45625</v>
          </cell>
          <cell r="R862" t="str">
            <v>Bangaluru</v>
          </cell>
          <cell r="S862" t="str">
            <v>Tablet</v>
          </cell>
          <cell r="T862" t="str">
            <v>analytics for data</v>
          </cell>
        </row>
        <row r="863">
          <cell r="A863" t="str">
            <v>A1861</v>
          </cell>
          <cell r="B863" t="str">
            <v>Data Analytics Course</v>
          </cell>
          <cell r="C863">
            <v>130</v>
          </cell>
          <cell r="D863">
            <v>130</v>
          </cell>
          <cell r="E863">
            <v>5787</v>
          </cell>
          <cell r="F863">
            <v>5787</v>
          </cell>
          <cell r="G863" t="str">
            <v>$218.79</v>
          </cell>
          <cell r="H863" t="str">
            <v>$218.79</v>
          </cell>
          <cell r="I863">
            <v>13</v>
          </cell>
          <cell r="J863">
            <v>13</v>
          </cell>
          <cell r="K863">
            <v>10</v>
          </cell>
          <cell r="L863">
            <v>10</v>
          </cell>
          <cell r="M863">
            <v>7.6923076923076927E-2</v>
          </cell>
          <cell r="N863">
            <v>7.6999999999999999E-2</v>
          </cell>
          <cell r="O863" t="str">
            <v>$1679</v>
          </cell>
          <cell r="P863" t="str">
            <v>$1679</v>
          </cell>
          <cell r="Q863">
            <v>45605</v>
          </cell>
          <cell r="R863" t="str">
            <v>Hyderabad</v>
          </cell>
          <cell r="S863" t="str">
            <v>Mobile</v>
          </cell>
          <cell r="T863" t="str">
            <v>online data analytic</v>
          </cell>
        </row>
        <row r="864">
          <cell r="A864" t="str">
            <v>A1862</v>
          </cell>
          <cell r="B864" t="str">
            <v>Data Analytics Course</v>
          </cell>
          <cell r="C864">
            <v>97</v>
          </cell>
          <cell r="D864">
            <v>97</v>
          </cell>
          <cell r="E864">
            <v>5192</v>
          </cell>
          <cell r="F864">
            <v>5192</v>
          </cell>
          <cell r="G864" t="str">
            <v>$184.79</v>
          </cell>
          <cell r="H864" t="str">
            <v>$184.79</v>
          </cell>
          <cell r="I864">
            <v>13</v>
          </cell>
          <cell r="J864">
            <v>13</v>
          </cell>
          <cell r="K864">
            <v>10</v>
          </cell>
          <cell r="L864">
            <v>10</v>
          </cell>
          <cell r="M864">
            <v>0.10309278350515463</v>
          </cell>
          <cell r="O864" t="str">
            <v>$1382</v>
          </cell>
          <cell r="P864" t="str">
            <v>$1382</v>
          </cell>
          <cell r="Q864">
            <v>45601</v>
          </cell>
          <cell r="R864" t="str">
            <v>Bangaluru</v>
          </cell>
          <cell r="S864" t="str">
            <v>Mobile</v>
          </cell>
          <cell r="T864" t="str">
            <v>learn data analytics</v>
          </cell>
        </row>
        <row r="865">
          <cell r="A865" t="str">
            <v>A1863</v>
          </cell>
          <cell r="B865" t="str">
            <v>Data Analytics Course</v>
          </cell>
          <cell r="C865">
            <v>142</v>
          </cell>
          <cell r="D865">
            <v>142</v>
          </cell>
          <cell r="E865">
            <v>4223</v>
          </cell>
          <cell r="F865">
            <v>4223</v>
          </cell>
          <cell r="G865" t="str">
            <v>$222.28</v>
          </cell>
          <cell r="H865" t="str">
            <v>$222.28</v>
          </cell>
          <cell r="I865">
            <v>27</v>
          </cell>
          <cell r="J865">
            <v>27</v>
          </cell>
          <cell r="K865">
            <v>5</v>
          </cell>
          <cell r="L865">
            <v>5</v>
          </cell>
          <cell r="M865">
            <v>3.5211267605633804E-2</v>
          </cell>
          <cell r="N865">
            <v>3.7999999999999999E-2</v>
          </cell>
          <cell r="O865" t="str">
            <v>$1506</v>
          </cell>
          <cell r="P865" t="str">
            <v>$1506</v>
          </cell>
          <cell r="Q865">
            <v>45603</v>
          </cell>
          <cell r="R865" t="str">
            <v>Hyderabad</v>
          </cell>
          <cell r="S865" t="str">
            <v>Desktop</v>
          </cell>
          <cell r="T865" t="str">
            <v>learn data analytics</v>
          </cell>
        </row>
        <row r="866">
          <cell r="A866" t="str">
            <v>A1864</v>
          </cell>
          <cell r="B866" t="str">
            <v>Data Analytcis Course</v>
          </cell>
          <cell r="C866">
            <v>138</v>
          </cell>
          <cell r="D866">
            <v>138</v>
          </cell>
          <cell r="E866">
            <v>3146</v>
          </cell>
          <cell r="F866">
            <v>3146</v>
          </cell>
          <cell r="G866" t="str">
            <v>$197.89</v>
          </cell>
          <cell r="H866" t="str">
            <v>$197.89</v>
          </cell>
          <cell r="I866">
            <v>22</v>
          </cell>
          <cell r="J866">
            <v>22</v>
          </cell>
          <cell r="K866">
            <v>7</v>
          </cell>
          <cell r="L866">
            <v>7</v>
          </cell>
          <cell r="M866">
            <v>5.0724637681159424E-2</v>
          </cell>
          <cell r="O866" t="str">
            <v>$1500</v>
          </cell>
          <cell r="Q866">
            <v>45604</v>
          </cell>
          <cell r="R866" t="str">
            <v>Bangaluru</v>
          </cell>
          <cell r="S866" t="str">
            <v>Desktop</v>
          </cell>
          <cell r="T866" t="str">
            <v>learn data analytics</v>
          </cell>
        </row>
        <row r="867">
          <cell r="A867" t="str">
            <v>A1865</v>
          </cell>
          <cell r="B867" t="str">
            <v>Data Analytics Course</v>
          </cell>
          <cell r="C867">
            <v>186</v>
          </cell>
          <cell r="D867">
            <v>186</v>
          </cell>
          <cell r="E867">
            <v>3988</v>
          </cell>
          <cell r="F867">
            <v>3988</v>
          </cell>
          <cell r="G867" t="str">
            <v>$237.69</v>
          </cell>
          <cell r="H867" t="str">
            <v>$237.69</v>
          </cell>
          <cell r="I867">
            <v>15</v>
          </cell>
          <cell r="J867">
            <v>15</v>
          </cell>
          <cell r="K867">
            <v>5</v>
          </cell>
          <cell r="L867">
            <v>5</v>
          </cell>
          <cell r="M867">
            <v>2.6881720430107527E-2</v>
          </cell>
          <cell r="N867">
            <v>2.7E-2</v>
          </cell>
          <cell r="O867" t="str">
            <v>$1603</v>
          </cell>
          <cell r="P867" t="str">
            <v>$1603</v>
          </cell>
          <cell r="Q867">
            <v>45610</v>
          </cell>
          <cell r="R867" t="str">
            <v>Chennai</v>
          </cell>
          <cell r="S867" t="str">
            <v>Tablet</v>
          </cell>
          <cell r="T867" t="str">
            <v>data analytics course</v>
          </cell>
        </row>
        <row r="868">
          <cell r="A868" t="str">
            <v>A1866</v>
          </cell>
          <cell r="B868" t="str">
            <v>Data Analytics Course</v>
          </cell>
          <cell r="C868">
            <v>170</v>
          </cell>
          <cell r="D868">
            <v>170</v>
          </cell>
          <cell r="E868">
            <v>3437</v>
          </cell>
          <cell r="F868">
            <v>3437</v>
          </cell>
          <cell r="G868" t="str">
            <v>$232.08</v>
          </cell>
          <cell r="H868" t="str">
            <v>$232.08</v>
          </cell>
          <cell r="I868">
            <v>23</v>
          </cell>
          <cell r="J868">
            <v>23</v>
          </cell>
          <cell r="K868">
            <v>5</v>
          </cell>
          <cell r="L868">
            <v>5</v>
          </cell>
          <cell r="M868">
            <v>2.9411764705882353E-2</v>
          </cell>
          <cell r="N868">
            <v>2.9000000000000001E-2</v>
          </cell>
          <cell r="O868" t="str">
            <v>$1405</v>
          </cell>
          <cell r="P868" t="str">
            <v>$1405</v>
          </cell>
          <cell r="Q868">
            <v>45625</v>
          </cell>
          <cell r="R868" t="str">
            <v>Bangaluru</v>
          </cell>
          <cell r="S868" t="str">
            <v>Mobile</v>
          </cell>
          <cell r="T868" t="str">
            <v>learn data analytics</v>
          </cell>
        </row>
        <row r="869">
          <cell r="A869" t="str">
            <v>A1867</v>
          </cell>
          <cell r="B869" t="str">
            <v>Data Analytics Course</v>
          </cell>
          <cell r="C869">
            <v>85</v>
          </cell>
          <cell r="D869">
            <v>85</v>
          </cell>
          <cell r="E869">
            <v>3718</v>
          </cell>
          <cell r="F869">
            <v>3718</v>
          </cell>
          <cell r="G869" t="str">
            <v>$224.14</v>
          </cell>
          <cell r="H869" t="str">
            <v>$224.14</v>
          </cell>
          <cell r="I869">
            <v>21</v>
          </cell>
          <cell r="J869">
            <v>21</v>
          </cell>
          <cell r="K869">
            <v>6</v>
          </cell>
          <cell r="L869">
            <v>6</v>
          </cell>
          <cell r="M869">
            <v>7.0588235294117646E-2</v>
          </cell>
          <cell r="N869">
            <v>7.0999999999999994E-2</v>
          </cell>
          <cell r="O869" t="str">
            <v>$1938</v>
          </cell>
          <cell r="P869" t="str">
            <v>$1938</v>
          </cell>
          <cell r="Q869">
            <v>45600</v>
          </cell>
          <cell r="R869" t="str">
            <v>Hyderabad</v>
          </cell>
          <cell r="S869" t="str">
            <v>Desktop</v>
          </cell>
          <cell r="T869" t="str">
            <v>online data analytic</v>
          </cell>
        </row>
        <row r="870">
          <cell r="A870" t="str">
            <v>A1868</v>
          </cell>
          <cell r="B870" t="str">
            <v>Data Analytics Course</v>
          </cell>
          <cell r="C870">
            <v>115</v>
          </cell>
          <cell r="D870">
            <v>115</v>
          </cell>
          <cell r="E870">
            <v>5343</v>
          </cell>
          <cell r="F870">
            <v>5343</v>
          </cell>
          <cell r="G870" t="str">
            <v>$239.92</v>
          </cell>
          <cell r="H870" t="str">
            <v>$239.92</v>
          </cell>
          <cell r="I870">
            <v>20</v>
          </cell>
          <cell r="J870">
            <v>20</v>
          </cell>
          <cell r="K870">
            <v>8</v>
          </cell>
          <cell r="L870">
            <v>8</v>
          </cell>
          <cell r="M870">
            <v>6.9565217391304349E-2</v>
          </cell>
          <cell r="O870" t="str">
            <v>$1381</v>
          </cell>
          <cell r="P870" t="str">
            <v>$1381</v>
          </cell>
          <cell r="Q870">
            <v>45611</v>
          </cell>
          <cell r="R870" t="str">
            <v>Bangaluru</v>
          </cell>
          <cell r="S870" t="str">
            <v>Desktop</v>
          </cell>
          <cell r="T870" t="str">
            <v>learn data analytics</v>
          </cell>
        </row>
        <row r="871">
          <cell r="A871" t="str">
            <v>A1869</v>
          </cell>
          <cell r="B871" t="str">
            <v>Data Analytcis Course</v>
          </cell>
          <cell r="C871">
            <v>167</v>
          </cell>
          <cell r="D871">
            <v>167</v>
          </cell>
          <cell r="E871">
            <v>5170</v>
          </cell>
          <cell r="F871">
            <v>5170</v>
          </cell>
          <cell r="G871" t="str">
            <v>$241.21</v>
          </cell>
          <cell r="H871" t="str">
            <v>$241.21</v>
          </cell>
          <cell r="I871">
            <v>24</v>
          </cell>
          <cell r="J871">
            <v>24</v>
          </cell>
          <cell r="K871">
            <v>4</v>
          </cell>
          <cell r="L871">
            <v>4</v>
          </cell>
          <cell r="M871">
            <v>2.3952095808383235E-2</v>
          </cell>
          <cell r="N871">
            <v>3.7999999999999999E-2</v>
          </cell>
          <cell r="O871" t="str">
            <v>$1515</v>
          </cell>
          <cell r="P871" t="str">
            <v>$1515</v>
          </cell>
          <cell r="Q871">
            <v>45617</v>
          </cell>
          <cell r="R871" t="str">
            <v>Bangaluru</v>
          </cell>
          <cell r="S871" t="str">
            <v>Mobile</v>
          </cell>
          <cell r="T871" t="str">
            <v>data analytics course</v>
          </cell>
        </row>
        <row r="872">
          <cell r="A872" t="str">
            <v>A1870</v>
          </cell>
          <cell r="B872" t="str">
            <v>Data Analytics Course</v>
          </cell>
          <cell r="C872">
            <v>113</v>
          </cell>
          <cell r="D872">
            <v>113</v>
          </cell>
          <cell r="E872">
            <v>5916</v>
          </cell>
          <cell r="F872">
            <v>5916</v>
          </cell>
          <cell r="G872" t="str">
            <v>$234.58</v>
          </cell>
          <cell r="H872" t="str">
            <v>$234.58</v>
          </cell>
          <cell r="I872">
            <v>18</v>
          </cell>
          <cell r="J872">
            <v>18</v>
          </cell>
          <cell r="K872">
            <v>5</v>
          </cell>
          <cell r="L872">
            <v>5</v>
          </cell>
          <cell r="M872">
            <v>4.4247787610619468E-2</v>
          </cell>
          <cell r="N872">
            <v>4.3999999999999997E-2</v>
          </cell>
          <cell r="O872" t="str">
            <v>$1165</v>
          </cell>
          <cell r="P872" t="str">
            <v>$1165</v>
          </cell>
          <cell r="Q872">
            <v>45608</v>
          </cell>
          <cell r="R872" t="str">
            <v>Hyderabad</v>
          </cell>
          <cell r="S872" t="str">
            <v>Mobile</v>
          </cell>
          <cell r="T872" t="str">
            <v>data analytics course</v>
          </cell>
        </row>
        <row r="873">
          <cell r="A873" t="str">
            <v>A1871</v>
          </cell>
          <cell r="B873" t="str">
            <v>Data Analytics Course</v>
          </cell>
          <cell r="C873">
            <v>175</v>
          </cell>
          <cell r="D873">
            <v>175</v>
          </cell>
          <cell r="E873">
            <v>4958</v>
          </cell>
          <cell r="F873">
            <v>4958</v>
          </cell>
          <cell r="G873" t="str">
            <v>$245.96</v>
          </cell>
          <cell r="H873" t="str">
            <v>$245.96</v>
          </cell>
          <cell r="I873">
            <v>22</v>
          </cell>
          <cell r="J873">
            <v>22</v>
          </cell>
          <cell r="K873">
            <v>10</v>
          </cell>
          <cell r="L873">
            <v>10</v>
          </cell>
          <cell r="M873">
            <v>5.7142857142857141E-2</v>
          </cell>
          <cell r="O873" t="str">
            <v>$1777</v>
          </cell>
          <cell r="P873" t="str">
            <v>$1777</v>
          </cell>
          <cell r="Q873">
            <v>45617</v>
          </cell>
          <cell r="R873" t="str">
            <v>Chennai</v>
          </cell>
          <cell r="S873" t="str">
            <v>Mobile</v>
          </cell>
          <cell r="T873" t="str">
            <v>online data analytic</v>
          </cell>
        </row>
        <row r="874">
          <cell r="A874" t="str">
            <v>A1872</v>
          </cell>
          <cell r="B874" t="str">
            <v>Data Analytics Course</v>
          </cell>
          <cell r="C874">
            <v>112</v>
          </cell>
          <cell r="D874">
            <v>112</v>
          </cell>
          <cell r="E874">
            <v>5538</v>
          </cell>
          <cell r="F874">
            <v>5538</v>
          </cell>
          <cell r="G874" t="str">
            <v>$225.66</v>
          </cell>
          <cell r="H874" t="str">
            <v>$225.66</v>
          </cell>
          <cell r="I874">
            <v>22</v>
          </cell>
          <cell r="J874">
            <v>22</v>
          </cell>
          <cell r="K874">
            <v>4</v>
          </cell>
          <cell r="L874">
            <v>4</v>
          </cell>
          <cell r="M874">
            <v>3.5714285714285712E-2</v>
          </cell>
          <cell r="N874">
            <v>4.1000000000000002E-2</v>
          </cell>
          <cell r="O874" t="str">
            <v>$1500</v>
          </cell>
          <cell r="Q874">
            <v>45618</v>
          </cell>
          <cell r="R874" t="str">
            <v>Hyderabad</v>
          </cell>
          <cell r="S874" t="str">
            <v>Desktop</v>
          </cell>
          <cell r="T874" t="str">
            <v>online data analytic</v>
          </cell>
        </row>
        <row r="875">
          <cell r="A875" t="str">
            <v>A1873</v>
          </cell>
          <cell r="B875" t="str">
            <v>Data Analytics Course</v>
          </cell>
          <cell r="C875">
            <v>194</v>
          </cell>
          <cell r="D875">
            <v>194</v>
          </cell>
          <cell r="E875">
            <v>5309</v>
          </cell>
          <cell r="F875">
            <v>5309</v>
          </cell>
          <cell r="G875" t="str">
            <v>$191.4</v>
          </cell>
          <cell r="H875" t="str">
            <v>$191.4</v>
          </cell>
          <cell r="I875">
            <v>19</v>
          </cell>
          <cell r="J875">
            <v>19</v>
          </cell>
          <cell r="K875">
            <v>10</v>
          </cell>
          <cell r="L875">
            <v>10</v>
          </cell>
          <cell r="M875">
            <v>5.1546391752577317E-2</v>
          </cell>
          <cell r="N875">
            <v>4.5999999999999999E-2</v>
          </cell>
          <cell r="O875" t="str">
            <v>$1764</v>
          </cell>
          <cell r="P875" t="str">
            <v>$1764</v>
          </cell>
          <cell r="Q875">
            <v>45609</v>
          </cell>
          <cell r="R875" t="str">
            <v>Chennai</v>
          </cell>
          <cell r="S875" t="str">
            <v>Desktop</v>
          </cell>
          <cell r="T875" t="str">
            <v>data analytics training</v>
          </cell>
        </row>
        <row r="876">
          <cell r="A876" t="str">
            <v>A1874</v>
          </cell>
          <cell r="B876" t="str">
            <v>Data Analytics Course</v>
          </cell>
          <cell r="C876">
            <v>138.95699356913184</v>
          </cell>
          <cell r="E876">
            <v>4539</v>
          </cell>
          <cell r="F876">
            <v>4539</v>
          </cell>
          <cell r="G876" t="str">
            <v>$244.4</v>
          </cell>
          <cell r="H876" t="str">
            <v>$244.4</v>
          </cell>
          <cell r="I876">
            <v>18</v>
          </cell>
          <cell r="J876">
            <v>18</v>
          </cell>
          <cell r="K876">
            <v>6</v>
          </cell>
          <cell r="L876">
            <v>6</v>
          </cell>
          <cell r="M876">
            <v>4.317882710246583E-2</v>
          </cell>
          <cell r="O876" t="str">
            <v>$1638</v>
          </cell>
          <cell r="P876" t="str">
            <v>$1638</v>
          </cell>
          <cell r="Q876">
            <v>45624</v>
          </cell>
          <cell r="R876" t="str">
            <v>Hyderabad</v>
          </cell>
          <cell r="S876" t="str">
            <v>Mobile</v>
          </cell>
          <cell r="T876" t="str">
            <v>analytics for data</v>
          </cell>
        </row>
        <row r="877">
          <cell r="A877" t="str">
            <v>A1875</v>
          </cell>
          <cell r="B877" t="str">
            <v>Data Analytics Course</v>
          </cell>
          <cell r="C877">
            <v>82</v>
          </cell>
          <cell r="D877">
            <v>82</v>
          </cell>
          <cell r="E877">
            <v>4622</v>
          </cell>
          <cell r="F877">
            <v>4622</v>
          </cell>
          <cell r="G877" t="str">
            <v>$203.99</v>
          </cell>
          <cell r="H877" t="str">
            <v>$203.99</v>
          </cell>
          <cell r="I877">
            <v>17</v>
          </cell>
          <cell r="J877">
            <v>17</v>
          </cell>
          <cell r="K877">
            <v>9</v>
          </cell>
          <cell r="L877">
            <v>9</v>
          </cell>
          <cell r="M877">
            <v>0.10975609756097561</v>
          </cell>
          <cell r="N877">
            <v>0.11</v>
          </cell>
          <cell r="O877" t="str">
            <v>$1375</v>
          </cell>
          <cell r="P877" t="str">
            <v>$1375</v>
          </cell>
          <cell r="Q877">
            <v>45608</v>
          </cell>
          <cell r="R877" t="str">
            <v>Bangaluru</v>
          </cell>
          <cell r="S877" t="str">
            <v>Mobile</v>
          </cell>
          <cell r="T877" t="str">
            <v>online data analytic</v>
          </cell>
        </row>
        <row r="878">
          <cell r="A878" t="str">
            <v>A1876</v>
          </cell>
          <cell r="B878" t="str">
            <v>Data Analytics Course</v>
          </cell>
          <cell r="C878">
            <v>138.95699356913184</v>
          </cell>
          <cell r="E878">
            <v>3355</v>
          </cell>
          <cell r="F878">
            <v>3355</v>
          </cell>
          <cell r="G878" t="str">
            <v>$193.57</v>
          </cell>
          <cell r="H878" t="str">
            <v>$193.57</v>
          </cell>
          <cell r="I878">
            <v>26</v>
          </cell>
          <cell r="J878">
            <v>26</v>
          </cell>
          <cell r="K878">
            <v>9</v>
          </cell>
          <cell r="L878">
            <v>9</v>
          </cell>
          <cell r="M878">
            <v>6.4768240653698753E-2</v>
          </cell>
          <cell r="O878" t="str">
            <v>$1961</v>
          </cell>
          <cell r="P878" t="str">
            <v>$1961</v>
          </cell>
          <cell r="Q878">
            <v>45607</v>
          </cell>
          <cell r="R878" t="str">
            <v>Hyderabad</v>
          </cell>
          <cell r="S878" t="str">
            <v>Mobile</v>
          </cell>
          <cell r="T878" t="str">
            <v>learn data analytics</v>
          </cell>
        </row>
        <row r="879">
          <cell r="A879" t="str">
            <v>A1877</v>
          </cell>
          <cell r="B879" t="str">
            <v>Data Analytics Course</v>
          </cell>
          <cell r="C879">
            <v>179</v>
          </cell>
          <cell r="D879">
            <v>179</v>
          </cell>
          <cell r="E879">
            <v>4992</v>
          </cell>
          <cell r="F879">
            <v>4992</v>
          </cell>
          <cell r="G879" t="str">
            <v>$221.48</v>
          </cell>
          <cell r="H879" t="str">
            <v>$221.48</v>
          </cell>
          <cell r="I879">
            <v>27</v>
          </cell>
          <cell r="J879">
            <v>27</v>
          </cell>
          <cell r="K879">
            <v>10</v>
          </cell>
          <cell r="L879">
            <v>10</v>
          </cell>
          <cell r="M879">
            <v>5.5865921787709494E-2</v>
          </cell>
          <cell r="N879">
            <v>3.6999999999999998E-2</v>
          </cell>
          <cell r="O879" t="str">
            <v>$1062</v>
          </cell>
          <cell r="P879" t="str">
            <v>$1062</v>
          </cell>
          <cell r="Q879">
            <v>45602</v>
          </cell>
          <cell r="R879" t="str">
            <v>Hyderabad</v>
          </cell>
          <cell r="S879" t="str">
            <v>Tablet</v>
          </cell>
          <cell r="T879" t="str">
            <v>learn data analytics</v>
          </cell>
        </row>
        <row r="880">
          <cell r="A880" t="str">
            <v>A1878</v>
          </cell>
          <cell r="B880" t="str">
            <v>Data Analytics Course</v>
          </cell>
          <cell r="C880">
            <v>93</v>
          </cell>
          <cell r="D880">
            <v>93</v>
          </cell>
          <cell r="E880">
            <v>3015</v>
          </cell>
          <cell r="F880">
            <v>3015</v>
          </cell>
          <cell r="G880" t="str">
            <v>$232.01</v>
          </cell>
          <cell r="H880" t="str">
            <v>$232.01</v>
          </cell>
          <cell r="I880">
            <v>21</v>
          </cell>
          <cell r="J880">
            <v>21</v>
          </cell>
          <cell r="K880">
            <v>4</v>
          </cell>
          <cell r="L880">
            <v>4</v>
          </cell>
          <cell r="M880">
            <v>4.3010752688172046E-2</v>
          </cell>
          <cell r="N880">
            <v>4.2999999999999997E-2</v>
          </cell>
          <cell r="O880" t="str">
            <v>$1770</v>
          </cell>
          <cell r="P880" t="str">
            <v>$1770</v>
          </cell>
          <cell r="Q880">
            <v>45622</v>
          </cell>
          <cell r="R880" t="str">
            <v>Hyderabad</v>
          </cell>
          <cell r="S880" t="str">
            <v>Mobile</v>
          </cell>
          <cell r="T880" t="str">
            <v>learn data analytics</v>
          </cell>
        </row>
        <row r="881">
          <cell r="A881" t="str">
            <v>A1879</v>
          </cell>
          <cell r="B881" t="str">
            <v>Data Analytcis Course</v>
          </cell>
          <cell r="C881">
            <v>152</v>
          </cell>
          <cell r="D881">
            <v>152</v>
          </cell>
          <cell r="E881">
            <v>4662</v>
          </cell>
          <cell r="F881">
            <v>4662</v>
          </cell>
          <cell r="G881" t="str">
            <v>$249.13</v>
          </cell>
          <cell r="H881" t="str">
            <v>$249.13</v>
          </cell>
          <cell r="I881">
            <v>24</v>
          </cell>
          <cell r="J881">
            <v>24</v>
          </cell>
          <cell r="K881">
            <v>7</v>
          </cell>
          <cell r="L881">
            <v>7</v>
          </cell>
          <cell r="M881">
            <v>4.6052631578947366E-2</v>
          </cell>
          <cell r="N881">
            <v>4.5999999999999999E-2</v>
          </cell>
          <cell r="O881" t="str">
            <v>$1951</v>
          </cell>
          <cell r="P881" t="str">
            <v>$1951</v>
          </cell>
          <cell r="Q881">
            <v>45607</v>
          </cell>
          <cell r="R881" t="str">
            <v>Hyderabad</v>
          </cell>
          <cell r="S881" t="str">
            <v>Desktop</v>
          </cell>
          <cell r="T881" t="str">
            <v>online data analytic</v>
          </cell>
        </row>
        <row r="882">
          <cell r="A882" t="str">
            <v>A1880</v>
          </cell>
          <cell r="B882" t="str">
            <v>Data Analytcis Course</v>
          </cell>
          <cell r="C882">
            <v>81</v>
          </cell>
          <cell r="D882">
            <v>81</v>
          </cell>
          <cell r="E882">
            <v>3766</v>
          </cell>
          <cell r="F882">
            <v>3766</v>
          </cell>
          <cell r="G882" t="str">
            <v>$213.12</v>
          </cell>
          <cell r="H882" t="str">
            <v>$213.12</v>
          </cell>
          <cell r="I882">
            <v>27</v>
          </cell>
          <cell r="J882">
            <v>27</v>
          </cell>
          <cell r="K882">
            <v>7</v>
          </cell>
          <cell r="L882">
            <v>7</v>
          </cell>
          <cell r="M882">
            <v>8.6419753086419748E-2</v>
          </cell>
          <cell r="N882">
            <v>8.5999999999999993E-2</v>
          </cell>
          <cell r="O882" t="str">
            <v>$1183</v>
          </cell>
          <cell r="P882" t="str">
            <v>$1183</v>
          </cell>
          <cell r="Q882">
            <v>45623</v>
          </cell>
          <cell r="R882" t="str">
            <v>Hyderabad</v>
          </cell>
          <cell r="S882" t="str">
            <v>Desktop</v>
          </cell>
          <cell r="T882" t="str">
            <v>online data analytic</v>
          </cell>
        </row>
        <row r="883">
          <cell r="A883" t="str">
            <v>A1881</v>
          </cell>
          <cell r="B883" t="str">
            <v>Data Analytics Course</v>
          </cell>
          <cell r="C883">
            <v>130</v>
          </cell>
          <cell r="D883">
            <v>130</v>
          </cell>
          <cell r="E883">
            <v>5774</v>
          </cell>
          <cell r="F883">
            <v>5774</v>
          </cell>
          <cell r="G883" t="str">
            <v>$241.97</v>
          </cell>
          <cell r="H883" t="str">
            <v>$241.97</v>
          </cell>
          <cell r="I883">
            <v>11</v>
          </cell>
          <cell r="J883">
            <v>11</v>
          </cell>
          <cell r="K883">
            <v>7</v>
          </cell>
          <cell r="L883">
            <v>7</v>
          </cell>
          <cell r="M883">
            <v>5.3846153846153849E-2</v>
          </cell>
          <cell r="N883">
            <v>4.3999999999999997E-2</v>
          </cell>
          <cell r="O883" t="str">
            <v>$1708</v>
          </cell>
          <cell r="P883" t="str">
            <v>$1708</v>
          </cell>
          <cell r="Q883">
            <v>45616</v>
          </cell>
          <cell r="R883" t="str">
            <v>Bangaluru</v>
          </cell>
          <cell r="S883" t="str">
            <v>Desktop</v>
          </cell>
          <cell r="T883" t="str">
            <v>data analytics course</v>
          </cell>
        </row>
        <row r="884">
          <cell r="A884" t="str">
            <v>A1882</v>
          </cell>
          <cell r="B884" t="str">
            <v>Data Analytcis Course</v>
          </cell>
          <cell r="C884">
            <v>110</v>
          </cell>
          <cell r="D884">
            <v>110</v>
          </cell>
          <cell r="E884">
            <v>4542</v>
          </cell>
          <cell r="F884">
            <v>4542</v>
          </cell>
          <cell r="G884" t="str">
            <v>$227.95</v>
          </cell>
          <cell r="H884" t="str">
            <v>$227.95</v>
          </cell>
          <cell r="I884">
            <v>20</v>
          </cell>
          <cell r="J884">
            <v>20</v>
          </cell>
          <cell r="K884">
            <v>4</v>
          </cell>
          <cell r="L884">
            <v>4</v>
          </cell>
          <cell r="M884">
            <v>3.6363636363636362E-2</v>
          </cell>
          <cell r="N884">
            <v>3.5999999999999997E-2</v>
          </cell>
          <cell r="O884" t="str">
            <v>$1423</v>
          </cell>
          <cell r="P884" t="str">
            <v>$1423</v>
          </cell>
          <cell r="Q884">
            <v>45607</v>
          </cell>
          <cell r="R884" t="str">
            <v>Chennai</v>
          </cell>
          <cell r="S884" t="str">
            <v>Desktop</v>
          </cell>
          <cell r="T884" t="str">
            <v>data analytics training</v>
          </cell>
        </row>
        <row r="885">
          <cell r="A885" t="str">
            <v>A1883</v>
          </cell>
          <cell r="B885" t="str">
            <v>Data Analytics Course</v>
          </cell>
          <cell r="C885">
            <v>122</v>
          </cell>
          <cell r="D885">
            <v>122</v>
          </cell>
          <cell r="E885">
            <v>5179</v>
          </cell>
          <cell r="F885">
            <v>5179</v>
          </cell>
          <cell r="G885" t="str">
            <v>$200.00</v>
          </cell>
          <cell r="I885">
            <v>11</v>
          </cell>
          <cell r="J885">
            <v>11</v>
          </cell>
          <cell r="K885">
            <v>4</v>
          </cell>
          <cell r="L885">
            <v>4</v>
          </cell>
          <cell r="M885">
            <v>3.2786885245901641E-2</v>
          </cell>
          <cell r="N885">
            <v>3.3000000000000002E-2</v>
          </cell>
          <cell r="O885" t="str">
            <v>$1507</v>
          </cell>
          <cell r="P885" t="str">
            <v>$1507</v>
          </cell>
          <cell r="Q885">
            <v>45614</v>
          </cell>
          <cell r="R885" t="str">
            <v>Hyderabad</v>
          </cell>
          <cell r="S885" t="str">
            <v>Tablet</v>
          </cell>
          <cell r="T885" t="str">
            <v>analytics for data</v>
          </cell>
        </row>
        <row r="886">
          <cell r="A886" t="str">
            <v>A1884</v>
          </cell>
          <cell r="B886" t="str">
            <v>Data Analytcis Course</v>
          </cell>
          <cell r="C886">
            <v>113</v>
          </cell>
          <cell r="D886">
            <v>113</v>
          </cell>
          <cell r="E886">
            <v>5265</v>
          </cell>
          <cell r="F886">
            <v>5265</v>
          </cell>
          <cell r="G886" t="str">
            <v>$184.21</v>
          </cell>
          <cell r="H886" t="str">
            <v>$184.21</v>
          </cell>
          <cell r="I886">
            <v>27</v>
          </cell>
          <cell r="J886">
            <v>27</v>
          </cell>
          <cell r="K886">
            <v>5</v>
          </cell>
          <cell r="L886">
            <v>5</v>
          </cell>
          <cell r="M886">
            <v>4.4247787610619468E-2</v>
          </cell>
          <cell r="N886">
            <v>4.3999999999999997E-2</v>
          </cell>
          <cell r="O886" t="str">
            <v>$1353</v>
          </cell>
          <cell r="P886" t="str">
            <v>$1353</v>
          </cell>
          <cell r="Q886">
            <v>45616</v>
          </cell>
          <cell r="R886" t="str">
            <v>Chennai</v>
          </cell>
          <cell r="S886" t="str">
            <v>Tablet</v>
          </cell>
          <cell r="T886" t="str">
            <v>data analytics online</v>
          </cell>
        </row>
        <row r="887">
          <cell r="A887" t="str">
            <v>A1885</v>
          </cell>
          <cell r="B887" t="str">
            <v>Data Analytics Course</v>
          </cell>
          <cell r="C887">
            <v>140</v>
          </cell>
          <cell r="D887">
            <v>140</v>
          </cell>
          <cell r="E887">
            <v>5297</v>
          </cell>
          <cell r="F887">
            <v>5297</v>
          </cell>
          <cell r="G887" t="str">
            <v>$223.9</v>
          </cell>
          <cell r="H887" t="str">
            <v>$223.9</v>
          </cell>
          <cell r="I887">
            <v>28</v>
          </cell>
          <cell r="J887">
            <v>28</v>
          </cell>
          <cell r="K887">
            <v>6</v>
          </cell>
          <cell r="L887">
            <v>6</v>
          </cell>
          <cell r="M887">
            <v>4.2857142857142858E-2</v>
          </cell>
          <cell r="N887">
            <v>4.2999999999999997E-2</v>
          </cell>
          <cell r="O887" t="str">
            <v>$1630</v>
          </cell>
          <cell r="P887" t="str">
            <v>$1630</v>
          </cell>
          <cell r="Q887">
            <v>45617</v>
          </cell>
          <cell r="R887" t="str">
            <v>Hyderabad</v>
          </cell>
          <cell r="S887" t="str">
            <v>Mobile</v>
          </cell>
          <cell r="T887" t="str">
            <v>data analytics course</v>
          </cell>
        </row>
        <row r="888">
          <cell r="A888" t="str">
            <v>A1886</v>
          </cell>
          <cell r="B888" t="str">
            <v>Data Analytics Course</v>
          </cell>
          <cell r="C888">
            <v>170</v>
          </cell>
          <cell r="D888">
            <v>170</v>
          </cell>
          <cell r="E888">
            <v>3347</v>
          </cell>
          <cell r="F888">
            <v>3347</v>
          </cell>
          <cell r="G888" t="str">
            <v>$248.44</v>
          </cell>
          <cell r="H888" t="str">
            <v>$248.44</v>
          </cell>
          <cell r="I888">
            <v>27</v>
          </cell>
          <cell r="J888">
            <v>27</v>
          </cell>
          <cell r="K888">
            <v>3</v>
          </cell>
          <cell r="L888">
            <v>3</v>
          </cell>
          <cell r="M888">
            <v>1.7647058823529412E-2</v>
          </cell>
          <cell r="O888" t="str">
            <v>$1719</v>
          </cell>
          <cell r="P888" t="str">
            <v>$1719</v>
          </cell>
          <cell r="Q888">
            <v>45616</v>
          </cell>
          <cell r="R888" t="str">
            <v>Hyderabad</v>
          </cell>
          <cell r="S888" t="str">
            <v>Desktop</v>
          </cell>
          <cell r="T888" t="str">
            <v>learn data analytics</v>
          </cell>
        </row>
        <row r="889">
          <cell r="A889" t="str">
            <v>A1887</v>
          </cell>
          <cell r="B889" t="str">
            <v>Data Analytcis Course</v>
          </cell>
          <cell r="C889">
            <v>176</v>
          </cell>
          <cell r="D889">
            <v>176</v>
          </cell>
          <cell r="E889">
            <v>5960</v>
          </cell>
          <cell r="F889">
            <v>5960</v>
          </cell>
          <cell r="G889" t="str">
            <v>$245.33</v>
          </cell>
          <cell r="H889" t="str">
            <v>$245.33</v>
          </cell>
          <cell r="I889">
            <v>19</v>
          </cell>
          <cell r="J889">
            <v>19</v>
          </cell>
          <cell r="K889">
            <v>8</v>
          </cell>
          <cell r="L889">
            <v>8</v>
          </cell>
          <cell r="M889">
            <v>4.5454545454545456E-2</v>
          </cell>
          <cell r="N889">
            <v>4.4999999999999998E-2</v>
          </cell>
          <cell r="O889" t="str">
            <v>$1761</v>
          </cell>
          <cell r="P889" t="str">
            <v>$1761</v>
          </cell>
          <cell r="Q889">
            <v>45621</v>
          </cell>
          <cell r="R889" t="str">
            <v>Bangaluru</v>
          </cell>
          <cell r="S889" t="str">
            <v>Tablet</v>
          </cell>
          <cell r="T889" t="str">
            <v>analytics for data</v>
          </cell>
        </row>
        <row r="890">
          <cell r="A890" t="str">
            <v>A1888</v>
          </cell>
          <cell r="B890" t="str">
            <v>Data Analytics Course</v>
          </cell>
          <cell r="C890">
            <v>138.95699356913184</v>
          </cell>
          <cell r="E890">
            <v>5143</v>
          </cell>
          <cell r="F890">
            <v>5143</v>
          </cell>
          <cell r="G890" t="str">
            <v>$246.3</v>
          </cell>
          <cell r="H890" t="str">
            <v>$246.3</v>
          </cell>
          <cell r="I890">
            <v>19</v>
          </cell>
          <cell r="J890">
            <v>19</v>
          </cell>
          <cell r="K890">
            <v>5</v>
          </cell>
          <cell r="L890">
            <v>5</v>
          </cell>
          <cell r="M890">
            <v>3.5982355918721523E-2</v>
          </cell>
          <cell r="O890" t="str">
            <v>$1346</v>
          </cell>
          <cell r="P890" t="str">
            <v>$1346</v>
          </cell>
          <cell r="Q890">
            <v>45601</v>
          </cell>
          <cell r="R890" t="str">
            <v>Hyderabad</v>
          </cell>
          <cell r="S890" t="str">
            <v>Mobile</v>
          </cell>
          <cell r="T890" t="str">
            <v>data analytics training</v>
          </cell>
        </row>
        <row r="891">
          <cell r="A891" t="str">
            <v>A1889</v>
          </cell>
          <cell r="B891" t="str">
            <v>Data Analytcis Course</v>
          </cell>
          <cell r="C891">
            <v>195</v>
          </cell>
          <cell r="D891">
            <v>195</v>
          </cell>
          <cell r="E891">
            <v>5265</v>
          </cell>
          <cell r="F891">
            <v>5265</v>
          </cell>
          <cell r="G891" t="str">
            <v>$242.0</v>
          </cell>
          <cell r="H891" t="str">
            <v>$242.0</v>
          </cell>
          <cell r="I891">
            <v>10</v>
          </cell>
          <cell r="J891">
            <v>10</v>
          </cell>
          <cell r="K891">
            <v>4</v>
          </cell>
          <cell r="L891">
            <v>4</v>
          </cell>
          <cell r="M891">
            <v>2.0512820512820513E-2</v>
          </cell>
          <cell r="N891">
            <v>5.3999999999999999E-2</v>
          </cell>
          <cell r="O891" t="str">
            <v>$1699</v>
          </cell>
          <cell r="P891" t="str">
            <v>$1699</v>
          </cell>
          <cell r="Q891">
            <v>45604</v>
          </cell>
          <cell r="R891" t="str">
            <v>Hyderabad</v>
          </cell>
          <cell r="S891" t="str">
            <v>Tablet</v>
          </cell>
          <cell r="T891" t="str">
            <v>online data analytic</v>
          </cell>
        </row>
        <row r="892">
          <cell r="A892" t="str">
            <v>A1890</v>
          </cell>
          <cell r="B892" t="str">
            <v>Data Analytics Course</v>
          </cell>
          <cell r="C892">
            <v>162</v>
          </cell>
          <cell r="D892">
            <v>162</v>
          </cell>
          <cell r="E892">
            <v>4396</v>
          </cell>
          <cell r="F892">
            <v>4396</v>
          </cell>
          <cell r="G892" t="str">
            <v>$183.96</v>
          </cell>
          <cell r="H892" t="str">
            <v>$183.96</v>
          </cell>
          <cell r="I892">
            <v>18</v>
          </cell>
          <cell r="J892">
            <v>18</v>
          </cell>
          <cell r="K892">
            <v>4</v>
          </cell>
          <cell r="L892">
            <v>4</v>
          </cell>
          <cell r="M892">
            <v>2.4691358024691357E-2</v>
          </cell>
          <cell r="N892">
            <v>4.2999999999999997E-2</v>
          </cell>
          <cell r="O892" t="str">
            <v>$1054</v>
          </cell>
          <cell r="P892" t="str">
            <v>$1054</v>
          </cell>
          <cell r="Q892">
            <v>45614</v>
          </cell>
          <cell r="R892" t="str">
            <v>Hyderabad</v>
          </cell>
          <cell r="S892" t="str">
            <v>Tablet</v>
          </cell>
          <cell r="T892" t="str">
            <v>data analytics online</v>
          </cell>
        </row>
        <row r="893">
          <cell r="A893" t="str">
            <v>A1891</v>
          </cell>
          <cell r="B893" t="str">
            <v>Data Analytics Course</v>
          </cell>
          <cell r="C893">
            <v>138</v>
          </cell>
          <cell r="D893">
            <v>138</v>
          </cell>
          <cell r="E893">
            <v>4381</v>
          </cell>
          <cell r="F893">
            <v>4381</v>
          </cell>
          <cell r="G893" t="str">
            <v>$191.55</v>
          </cell>
          <cell r="H893" t="str">
            <v>$191.55</v>
          </cell>
          <cell r="I893">
            <v>28</v>
          </cell>
          <cell r="J893">
            <v>28</v>
          </cell>
          <cell r="K893">
            <v>7</v>
          </cell>
          <cell r="L893">
            <v>7</v>
          </cell>
          <cell r="M893">
            <v>5.0724637681159424E-2</v>
          </cell>
          <cell r="O893" t="str">
            <v>$1756</v>
          </cell>
          <cell r="P893" t="str">
            <v>$1756</v>
          </cell>
          <cell r="Q893">
            <v>45597</v>
          </cell>
          <cell r="R893" t="str">
            <v>Bangaluru</v>
          </cell>
          <cell r="S893" t="str">
            <v>Tablet</v>
          </cell>
          <cell r="T893" t="str">
            <v>data analytics training</v>
          </cell>
        </row>
        <row r="894">
          <cell r="A894" t="str">
            <v>A1892</v>
          </cell>
          <cell r="B894" t="str">
            <v>Data Analytics Course</v>
          </cell>
          <cell r="C894">
            <v>177</v>
          </cell>
          <cell r="D894">
            <v>177</v>
          </cell>
          <cell r="E894">
            <v>3965</v>
          </cell>
          <cell r="F894">
            <v>3965</v>
          </cell>
          <cell r="G894" t="str">
            <v>$225.82</v>
          </cell>
          <cell r="H894" t="str">
            <v>$225.82</v>
          </cell>
          <cell r="I894">
            <v>15</v>
          </cell>
          <cell r="J894">
            <v>15</v>
          </cell>
          <cell r="K894">
            <v>4</v>
          </cell>
          <cell r="L894">
            <v>4</v>
          </cell>
          <cell r="M894">
            <v>2.2598870056497175E-2</v>
          </cell>
          <cell r="N894">
            <v>2.3E-2</v>
          </cell>
          <cell r="O894" t="str">
            <v>$1530</v>
          </cell>
          <cell r="P894" t="str">
            <v>$1530</v>
          </cell>
          <cell r="Q894">
            <v>45618</v>
          </cell>
          <cell r="R894" t="str">
            <v>Bangaluru</v>
          </cell>
          <cell r="S894" t="str">
            <v>Mobile</v>
          </cell>
          <cell r="T894" t="str">
            <v>online data analytic</v>
          </cell>
        </row>
        <row r="895">
          <cell r="A895" t="str">
            <v>A1893</v>
          </cell>
          <cell r="B895" t="str">
            <v>Data Analytics Course</v>
          </cell>
          <cell r="C895">
            <v>159</v>
          </cell>
          <cell r="D895">
            <v>159</v>
          </cell>
          <cell r="E895">
            <v>3366</v>
          </cell>
          <cell r="F895">
            <v>3366</v>
          </cell>
          <cell r="G895" t="str">
            <v>$217.27</v>
          </cell>
          <cell r="H895" t="str">
            <v>$217.27</v>
          </cell>
          <cell r="I895">
            <v>21</v>
          </cell>
          <cell r="J895">
            <v>21</v>
          </cell>
          <cell r="K895">
            <v>7</v>
          </cell>
          <cell r="L895">
            <v>7</v>
          </cell>
          <cell r="M895">
            <v>4.40251572327044E-2</v>
          </cell>
          <cell r="N895">
            <v>4.3999999999999997E-2</v>
          </cell>
          <cell r="O895" t="str">
            <v>$1515</v>
          </cell>
          <cell r="P895" t="str">
            <v>$1515</v>
          </cell>
          <cell r="Q895">
            <v>45613</v>
          </cell>
          <cell r="R895" t="str">
            <v>Hyderabad</v>
          </cell>
          <cell r="S895" t="str">
            <v>Tablet</v>
          </cell>
          <cell r="T895" t="str">
            <v>online data analytic</v>
          </cell>
        </row>
        <row r="896">
          <cell r="A896" t="str">
            <v>A1894</v>
          </cell>
          <cell r="B896" t="str">
            <v>Data Analytics Course</v>
          </cell>
          <cell r="C896">
            <v>111</v>
          </cell>
          <cell r="D896">
            <v>111</v>
          </cell>
          <cell r="E896">
            <v>4026</v>
          </cell>
          <cell r="F896">
            <v>4026</v>
          </cell>
          <cell r="G896" t="str">
            <v>$229.01</v>
          </cell>
          <cell r="H896" t="str">
            <v>$229.01</v>
          </cell>
          <cell r="I896">
            <v>13</v>
          </cell>
          <cell r="J896">
            <v>13</v>
          </cell>
          <cell r="K896">
            <v>3</v>
          </cell>
          <cell r="L896">
            <v>3</v>
          </cell>
          <cell r="M896">
            <v>2.7027027027027029E-2</v>
          </cell>
          <cell r="O896" t="str">
            <v>$1438</v>
          </cell>
          <cell r="P896" t="str">
            <v>$1438</v>
          </cell>
          <cell r="Q896">
            <v>45597</v>
          </cell>
          <cell r="R896" t="str">
            <v>Bangaluru</v>
          </cell>
          <cell r="S896" t="str">
            <v>Desktop</v>
          </cell>
          <cell r="T896" t="str">
            <v>learn data analytics</v>
          </cell>
        </row>
        <row r="897">
          <cell r="A897" t="str">
            <v>A1895</v>
          </cell>
          <cell r="B897" t="str">
            <v>Data Analytics Course</v>
          </cell>
          <cell r="C897">
            <v>184</v>
          </cell>
          <cell r="D897">
            <v>184</v>
          </cell>
          <cell r="E897">
            <v>5560</v>
          </cell>
          <cell r="F897">
            <v>5560</v>
          </cell>
          <cell r="G897" t="str">
            <v>$189.14</v>
          </cell>
          <cell r="H897" t="str">
            <v>$189.14</v>
          </cell>
          <cell r="I897">
            <v>14</v>
          </cell>
          <cell r="J897">
            <v>14</v>
          </cell>
          <cell r="K897">
            <v>6</v>
          </cell>
          <cell r="L897">
            <v>6</v>
          </cell>
          <cell r="M897">
            <v>3.2608695652173912E-2</v>
          </cell>
          <cell r="O897" t="str">
            <v>$1250</v>
          </cell>
          <cell r="P897" t="str">
            <v>$1250</v>
          </cell>
          <cell r="Q897">
            <v>45613</v>
          </cell>
          <cell r="R897" t="str">
            <v>Hyderabad</v>
          </cell>
          <cell r="S897" t="str">
            <v>Tablet</v>
          </cell>
          <cell r="T897" t="str">
            <v>data analytics online</v>
          </cell>
        </row>
        <row r="898">
          <cell r="A898" t="str">
            <v>A1896</v>
          </cell>
          <cell r="B898" t="str">
            <v>Data Analytics Course</v>
          </cell>
          <cell r="C898">
            <v>128</v>
          </cell>
          <cell r="D898">
            <v>128</v>
          </cell>
          <cell r="E898">
            <v>4500</v>
          </cell>
          <cell r="F898">
            <v>4500</v>
          </cell>
          <cell r="G898" t="str">
            <v>$188.21</v>
          </cell>
          <cell r="H898" t="str">
            <v>$188.21</v>
          </cell>
          <cell r="I898">
            <v>10</v>
          </cell>
          <cell r="J898">
            <v>10</v>
          </cell>
          <cell r="K898">
            <v>3</v>
          </cell>
          <cell r="L898">
            <v>3</v>
          </cell>
          <cell r="M898">
            <v>2.34375E-2</v>
          </cell>
          <cell r="O898" t="str">
            <v>$1087</v>
          </cell>
          <cell r="P898" t="str">
            <v>$1087</v>
          </cell>
          <cell r="Q898">
            <v>45610</v>
          </cell>
          <cell r="R898" t="str">
            <v>Bangaluru</v>
          </cell>
          <cell r="S898" t="str">
            <v>Desktop</v>
          </cell>
          <cell r="T898" t="str">
            <v>online data analytic</v>
          </cell>
        </row>
        <row r="899">
          <cell r="A899" t="str">
            <v>A1897</v>
          </cell>
          <cell r="B899" t="str">
            <v>Data Analytics Course</v>
          </cell>
          <cell r="C899">
            <v>164</v>
          </cell>
          <cell r="D899">
            <v>164</v>
          </cell>
          <cell r="E899">
            <v>3851</v>
          </cell>
          <cell r="F899">
            <v>3851</v>
          </cell>
          <cell r="G899" t="str">
            <v>$219.15</v>
          </cell>
          <cell r="H899" t="str">
            <v>$219.15</v>
          </cell>
          <cell r="I899">
            <v>22</v>
          </cell>
          <cell r="J899">
            <v>22</v>
          </cell>
          <cell r="K899">
            <v>6</v>
          </cell>
          <cell r="L899">
            <v>6</v>
          </cell>
          <cell r="M899">
            <v>3.6585365853658534E-2</v>
          </cell>
          <cell r="N899">
            <v>4.9000000000000002E-2</v>
          </cell>
          <cell r="O899" t="str">
            <v>$1487</v>
          </cell>
          <cell r="P899" t="str">
            <v>$1487</v>
          </cell>
          <cell r="Q899">
            <v>45605</v>
          </cell>
          <cell r="R899" t="str">
            <v>Hyderabad</v>
          </cell>
          <cell r="S899" t="str">
            <v>Mobile</v>
          </cell>
          <cell r="T899" t="str">
            <v>learn data analytics</v>
          </cell>
        </row>
        <row r="900">
          <cell r="A900" t="str">
            <v>A1898</v>
          </cell>
          <cell r="B900" t="str">
            <v>Data Analytcis Course</v>
          </cell>
          <cell r="C900">
            <v>120</v>
          </cell>
          <cell r="D900">
            <v>120</v>
          </cell>
          <cell r="E900">
            <v>3464</v>
          </cell>
          <cell r="F900">
            <v>3464</v>
          </cell>
          <cell r="G900" t="str">
            <v>$228.3</v>
          </cell>
          <cell r="H900" t="str">
            <v>$228.3</v>
          </cell>
          <cell r="I900">
            <v>19</v>
          </cell>
          <cell r="J900">
            <v>19</v>
          </cell>
          <cell r="K900">
            <v>4</v>
          </cell>
          <cell r="L900">
            <v>4</v>
          </cell>
          <cell r="M900">
            <v>3.3333333333333333E-2</v>
          </cell>
          <cell r="N900">
            <v>5.8000000000000003E-2</v>
          </cell>
          <cell r="O900" t="str">
            <v>$1426</v>
          </cell>
          <cell r="P900" t="str">
            <v>$1426</v>
          </cell>
          <cell r="Q900">
            <v>45618</v>
          </cell>
          <cell r="R900" t="str">
            <v>Bangaluru</v>
          </cell>
          <cell r="S900" t="str">
            <v>Tablet</v>
          </cell>
          <cell r="T900" t="str">
            <v>online data analytic</v>
          </cell>
        </row>
        <row r="901">
          <cell r="A901" t="str">
            <v>A1899</v>
          </cell>
          <cell r="B901" t="str">
            <v>Data Analytics Course</v>
          </cell>
          <cell r="C901">
            <v>89</v>
          </cell>
          <cell r="D901">
            <v>89</v>
          </cell>
          <cell r="E901">
            <v>3248</v>
          </cell>
          <cell r="F901">
            <v>3248</v>
          </cell>
          <cell r="G901" t="str">
            <v>$239.42</v>
          </cell>
          <cell r="H901" t="str">
            <v>$239.42</v>
          </cell>
          <cell r="I901">
            <v>10</v>
          </cell>
          <cell r="J901">
            <v>10</v>
          </cell>
          <cell r="K901">
            <v>4</v>
          </cell>
          <cell r="L901">
            <v>4</v>
          </cell>
          <cell r="M901">
            <v>4.49438202247191E-2</v>
          </cell>
          <cell r="O901" t="str">
            <v>$1500</v>
          </cell>
          <cell r="Q901">
            <v>45607</v>
          </cell>
          <cell r="R901" t="str">
            <v>Bangaluru</v>
          </cell>
          <cell r="S901" t="str">
            <v>Mobile</v>
          </cell>
          <cell r="T901" t="str">
            <v>learn data analytics</v>
          </cell>
        </row>
        <row r="902">
          <cell r="A902" t="str">
            <v>A1900</v>
          </cell>
          <cell r="B902" t="str">
            <v>Data Analytics Course</v>
          </cell>
          <cell r="C902">
            <v>91</v>
          </cell>
          <cell r="D902">
            <v>91</v>
          </cell>
          <cell r="E902">
            <v>3721</v>
          </cell>
          <cell r="F902">
            <v>3721</v>
          </cell>
          <cell r="G902" t="str">
            <v>$231.45</v>
          </cell>
          <cell r="H902" t="str">
            <v>$231.45</v>
          </cell>
          <cell r="I902">
            <v>24</v>
          </cell>
          <cell r="J902">
            <v>24</v>
          </cell>
          <cell r="K902">
            <v>6</v>
          </cell>
          <cell r="L902">
            <v>6</v>
          </cell>
          <cell r="M902">
            <v>6.5934065934065936E-2</v>
          </cell>
          <cell r="N902">
            <v>0.06</v>
          </cell>
          <cell r="O902" t="str">
            <v>$1500</v>
          </cell>
          <cell r="Q902">
            <v>45610</v>
          </cell>
          <cell r="R902" t="str">
            <v>Hyderabad</v>
          </cell>
          <cell r="S902" t="str">
            <v>Tablet</v>
          </cell>
          <cell r="T902" t="str">
            <v>online data analytic</v>
          </cell>
        </row>
        <row r="903">
          <cell r="A903" t="str">
            <v>A1901</v>
          </cell>
          <cell r="B903" t="str">
            <v>Data Analytics Course</v>
          </cell>
          <cell r="C903">
            <v>143</v>
          </cell>
          <cell r="D903">
            <v>143</v>
          </cell>
          <cell r="E903">
            <v>4143</v>
          </cell>
          <cell r="F903">
            <v>4143</v>
          </cell>
          <cell r="G903" t="str">
            <v>$191.68</v>
          </cell>
          <cell r="H903" t="str">
            <v>$191.68</v>
          </cell>
          <cell r="I903">
            <v>20</v>
          </cell>
          <cell r="J903">
            <v>20</v>
          </cell>
          <cell r="K903">
            <v>5</v>
          </cell>
          <cell r="L903">
            <v>5</v>
          </cell>
          <cell r="M903">
            <v>3.4965034965034968E-2</v>
          </cell>
          <cell r="N903">
            <v>3.5000000000000003E-2</v>
          </cell>
          <cell r="O903" t="str">
            <v>$1460</v>
          </cell>
          <cell r="P903" t="str">
            <v>$1460</v>
          </cell>
          <cell r="Q903">
            <v>45626</v>
          </cell>
          <cell r="R903" t="str">
            <v>Bangaluru</v>
          </cell>
          <cell r="S903" t="str">
            <v>Tablet</v>
          </cell>
          <cell r="T903" t="str">
            <v>analytics for data</v>
          </cell>
        </row>
        <row r="904">
          <cell r="A904" t="str">
            <v>A1902</v>
          </cell>
          <cell r="B904" t="str">
            <v>Data Analytics Course</v>
          </cell>
          <cell r="C904">
            <v>176</v>
          </cell>
          <cell r="D904">
            <v>176</v>
          </cell>
          <cell r="E904">
            <v>5768</v>
          </cell>
          <cell r="F904">
            <v>5768</v>
          </cell>
          <cell r="G904" t="str">
            <v>$238.94</v>
          </cell>
          <cell r="H904" t="str">
            <v>$238.94</v>
          </cell>
          <cell r="I904">
            <v>14</v>
          </cell>
          <cell r="J904">
            <v>14</v>
          </cell>
          <cell r="K904">
            <v>8</v>
          </cell>
          <cell r="L904">
            <v>8</v>
          </cell>
          <cell r="M904">
            <v>4.5454545454545456E-2</v>
          </cell>
          <cell r="N904">
            <v>4.4999999999999998E-2</v>
          </cell>
          <cell r="O904" t="str">
            <v>$1016</v>
          </cell>
          <cell r="P904" t="str">
            <v>$1016</v>
          </cell>
          <cell r="Q904">
            <v>45598</v>
          </cell>
          <cell r="R904" t="str">
            <v>Chennai</v>
          </cell>
          <cell r="S904" t="str">
            <v>Tablet</v>
          </cell>
          <cell r="T904" t="str">
            <v>data analytics online</v>
          </cell>
        </row>
        <row r="905">
          <cell r="A905" t="str">
            <v>A1903</v>
          </cell>
          <cell r="B905" t="str">
            <v>Data Analytics Course</v>
          </cell>
          <cell r="C905">
            <v>151</v>
          </cell>
          <cell r="D905">
            <v>151</v>
          </cell>
          <cell r="E905">
            <v>4408</v>
          </cell>
          <cell r="F905">
            <v>4408</v>
          </cell>
          <cell r="G905" t="str">
            <v>$214.29</v>
          </cell>
          <cell r="H905" t="str">
            <v>$214.29</v>
          </cell>
          <cell r="I905">
            <v>20</v>
          </cell>
          <cell r="J905">
            <v>20</v>
          </cell>
          <cell r="K905">
            <v>5</v>
          </cell>
          <cell r="L905">
            <v>5</v>
          </cell>
          <cell r="M905">
            <v>3.3112582781456956E-2</v>
          </cell>
          <cell r="N905">
            <v>3.3000000000000002E-2</v>
          </cell>
          <cell r="O905" t="str">
            <v>$1900</v>
          </cell>
          <cell r="P905" t="str">
            <v>$1900</v>
          </cell>
          <cell r="Q905">
            <v>45617</v>
          </cell>
          <cell r="R905" t="str">
            <v>Hyderabad</v>
          </cell>
          <cell r="S905" t="str">
            <v>Desktop</v>
          </cell>
          <cell r="T905" t="str">
            <v>data analytics course</v>
          </cell>
        </row>
        <row r="906">
          <cell r="A906" t="str">
            <v>A1904</v>
          </cell>
          <cell r="B906" t="str">
            <v>Data Analytcis Course</v>
          </cell>
          <cell r="C906">
            <v>134</v>
          </cell>
          <cell r="D906">
            <v>134</v>
          </cell>
          <cell r="E906">
            <v>3623</v>
          </cell>
          <cell r="F906">
            <v>3623</v>
          </cell>
          <cell r="G906" t="str">
            <v>$221.65</v>
          </cell>
          <cell r="H906" t="str">
            <v>$221.65</v>
          </cell>
          <cell r="I906">
            <v>19</v>
          </cell>
          <cell r="J906">
            <v>19</v>
          </cell>
          <cell r="K906">
            <v>5</v>
          </cell>
          <cell r="L906">
            <v>5</v>
          </cell>
          <cell r="M906">
            <v>3.7313432835820892E-2</v>
          </cell>
          <cell r="N906">
            <v>4.7E-2</v>
          </cell>
          <cell r="O906" t="str">
            <v>$1937</v>
          </cell>
          <cell r="P906" t="str">
            <v>$1937</v>
          </cell>
          <cell r="Q906">
            <v>45620</v>
          </cell>
          <cell r="R906" t="str">
            <v>Hyderabad</v>
          </cell>
          <cell r="S906" t="str">
            <v>Desktop</v>
          </cell>
          <cell r="T906" t="str">
            <v>data analytics online</v>
          </cell>
        </row>
        <row r="907">
          <cell r="A907" t="str">
            <v>A1905</v>
          </cell>
          <cell r="B907" t="str">
            <v>Data Analytics Course</v>
          </cell>
          <cell r="C907">
            <v>191</v>
          </cell>
          <cell r="D907">
            <v>191</v>
          </cell>
          <cell r="E907">
            <v>3057</v>
          </cell>
          <cell r="F907">
            <v>3057</v>
          </cell>
          <cell r="G907" t="str">
            <v>$223.28</v>
          </cell>
          <cell r="H907" t="str">
            <v>$223.28</v>
          </cell>
          <cell r="I907">
            <v>27</v>
          </cell>
          <cell r="J907">
            <v>27</v>
          </cell>
          <cell r="K907">
            <v>6</v>
          </cell>
          <cell r="L907">
            <v>6</v>
          </cell>
          <cell r="M907">
            <v>3.1413612565445025E-2</v>
          </cell>
          <cell r="N907">
            <v>3.1E-2</v>
          </cell>
          <cell r="O907" t="str">
            <v>$1208</v>
          </cell>
          <cell r="P907" t="str">
            <v>$1208</v>
          </cell>
          <cell r="Q907">
            <v>45599</v>
          </cell>
          <cell r="R907" t="str">
            <v>Chennai</v>
          </cell>
          <cell r="S907" t="str">
            <v>Desktop</v>
          </cell>
          <cell r="T907" t="str">
            <v>data analytics online</v>
          </cell>
        </row>
        <row r="908">
          <cell r="A908" t="str">
            <v>A1906</v>
          </cell>
          <cell r="B908" t="str">
            <v>Data Analytics Course</v>
          </cell>
          <cell r="C908">
            <v>170</v>
          </cell>
          <cell r="D908">
            <v>170</v>
          </cell>
          <cell r="E908">
            <v>3144</v>
          </cell>
          <cell r="F908">
            <v>3144</v>
          </cell>
          <cell r="G908" t="str">
            <v>$200.00</v>
          </cell>
          <cell r="I908">
            <v>21</v>
          </cell>
          <cell r="J908">
            <v>21</v>
          </cell>
          <cell r="K908">
            <v>3</v>
          </cell>
          <cell r="L908">
            <v>3</v>
          </cell>
          <cell r="M908">
            <v>1.7647058823529412E-2</v>
          </cell>
          <cell r="N908">
            <v>3.1E-2</v>
          </cell>
          <cell r="O908" t="str">
            <v>$1695</v>
          </cell>
          <cell r="P908" t="str">
            <v>$1695</v>
          </cell>
          <cell r="Q908">
            <v>45601</v>
          </cell>
          <cell r="R908" t="str">
            <v>Hyderabad</v>
          </cell>
          <cell r="S908" t="str">
            <v>Desktop</v>
          </cell>
          <cell r="T908" t="str">
            <v>data analytics online</v>
          </cell>
        </row>
        <row r="909">
          <cell r="A909" t="str">
            <v>A1907</v>
          </cell>
          <cell r="B909" t="str">
            <v>Data Analytics Course</v>
          </cell>
          <cell r="C909">
            <v>112</v>
          </cell>
          <cell r="D909">
            <v>112</v>
          </cell>
          <cell r="E909">
            <v>3989</v>
          </cell>
          <cell r="F909">
            <v>3989</v>
          </cell>
          <cell r="G909" t="str">
            <v>$228.74</v>
          </cell>
          <cell r="H909" t="str">
            <v>$228.74</v>
          </cell>
          <cell r="I909">
            <v>10</v>
          </cell>
          <cell r="J909">
            <v>10</v>
          </cell>
          <cell r="K909">
            <v>8</v>
          </cell>
          <cell r="L909">
            <v>8</v>
          </cell>
          <cell r="M909">
            <v>7.1428571428571425E-2</v>
          </cell>
          <cell r="O909" t="str">
            <v>$1812</v>
          </cell>
          <cell r="P909" t="str">
            <v>$1812</v>
          </cell>
          <cell r="Q909">
            <v>45609</v>
          </cell>
          <cell r="R909" t="str">
            <v>Bangaluru</v>
          </cell>
          <cell r="S909" t="str">
            <v>Mobile</v>
          </cell>
          <cell r="T909" t="str">
            <v>analytics for data</v>
          </cell>
        </row>
        <row r="910">
          <cell r="A910" t="str">
            <v>A1908</v>
          </cell>
          <cell r="B910" t="str">
            <v>Data Analytcis Course</v>
          </cell>
          <cell r="C910">
            <v>169</v>
          </cell>
          <cell r="D910">
            <v>169</v>
          </cell>
          <cell r="E910">
            <v>3619</v>
          </cell>
          <cell r="F910">
            <v>3619</v>
          </cell>
          <cell r="G910" t="str">
            <v>$246.66</v>
          </cell>
          <cell r="H910" t="str">
            <v>$246.66</v>
          </cell>
          <cell r="I910">
            <v>28</v>
          </cell>
          <cell r="J910">
            <v>28</v>
          </cell>
          <cell r="K910">
            <v>3</v>
          </cell>
          <cell r="L910">
            <v>3</v>
          </cell>
          <cell r="M910">
            <v>1.7751479289940829E-2</v>
          </cell>
          <cell r="N910">
            <v>1.7999999999999999E-2</v>
          </cell>
          <cell r="O910" t="str">
            <v>$1354</v>
          </cell>
          <cell r="P910" t="str">
            <v>$1354</v>
          </cell>
          <cell r="Q910">
            <v>45621</v>
          </cell>
          <cell r="R910" t="str">
            <v>Bangaluru</v>
          </cell>
          <cell r="S910" t="str">
            <v>Desktop</v>
          </cell>
          <cell r="T910" t="str">
            <v>online data analytic</v>
          </cell>
        </row>
        <row r="911">
          <cell r="A911" t="str">
            <v>A1909</v>
          </cell>
          <cell r="B911" t="str">
            <v>Data Analytics Course</v>
          </cell>
          <cell r="C911">
            <v>172</v>
          </cell>
          <cell r="D911">
            <v>172</v>
          </cell>
          <cell r="E911">
            <v>4696</v>
          </cell>
          <cell r="F911">
            <v>4696</v>
          </cell>
          <cell r="G911" t="str">
            <v>$242.17</v>
          </cell>
          <cell r="H911" t="str">
            <v>$242.17</v>
          </cell>
          <cell r="I911">
            <v>26</v>
          </cell>
          <cell r="J911">
            <v>26</v>
          </cell>
          <cell r="K911">
            <v>3</v>
          </cell>
          <cell r="L911">
            <v>3</v>
          </cell>
          <cell r="M911">
            <v>1.7441860465116279E-2</v>
          </cell>
          <cell r="N911">
            <v>1.7000000000000001E-2</v>
          </cell>
          <cell r="O911" t="str">
            <v>$1719</v>
          </cell>
          <cell r="P911" t="str">
            <v>$1719</v>
          </cell>
          <cell r="Q911">
            <v>45602</v>
          </cell>
          <cell r="R911" t="str">
            <v>Bangaluru</v>
          </cell>
          <cell r="S911" t="str">
            <v>Desktop</v>
          </cell>
          <cell r="T911" t="str">
            <v>data analytics course</v>
          </cell>
        </row>
        <row r="912">
          <cell r="A912" t="str">
            <v>A1910</v>
          </cell>
          <cell r="B912" t="str">
            <v>Data Analytcis Course</v>
          </cell>
          <cell r="C912">
            <v>162</v>
          </cell>
          <cell r="D912">
            <v>162</v>
          </cell>
          <cell r="E912">
            <v>5684</v>
          </cell>
          <cell r="F912">
            <v>5684</v>
          </cell>
          <cell r="G912" t="str">
            <v>$219.08</v>
          </cell>
          <cell r="H912" t="str">
            <v>$219.08</v>
          </cell>
          <cell r="I912">
            <v>30</v>
          </cell>
          <cell r="J912">
            <v>30</v>
          </cell>
          <cell r="K912">
            <v>7</v>
          </cell>
          <cell r="L912">
            <v>7</v>
          </cell>
          <cell r="M912">
            <v>4.3209876543209874E-2</v>
          </cell>
          <cell r="O912" t="str">
            <v>$1295</v>
          </cell>
          <cell r="P912" t="str">
            <v>$1295</v>
          </cell>
          <cell r="Q912">
            <v>45622</v>
          </cell>
          <cell r="R912" t="str">
            <v>Bangaluru</v>
          </cell>
          <cell r="S912" t="str">
            <v>Desktop</v>
          </cell>
          <cell r="T912" t="str">
            <v>data analytics course</v>
          </cell>
        </row>
        <row r="913">
          <cell r="A913" t="str">
            <v>A1911</v>
          </cell>
          <cell r="B913" t="str">
            <v>Data Analytics Course</v>
          </cell>
          <cell r="C913">
            <v>183</v>
          </cell>
          <cell r="D913">
            <v>183</v>
          </cell>
          <cell r="E913">
            <v>4197</v>
          </cell>
          <cell r="F913">
            <v>4197</v>
          </cell>
          <cell r="G913" t="str">
            <v>$243.19</v>
          </cell>
          <cell r="H913" t="str">
            <v>$243.19</v>
          </cell>
          <cell r="I913">
            <v>29</v>
          </cell>
          <cell r="J913">
            <v>29</v>
          </cell>
          <cell r="K913">
            <v>8</v>
          </cell>
          <cell r="L913">
            <v>8</v>
          </cell>
          <cell r="M913">
            <v>4.3715846994535519E-2</v>
          </cell>
          <cell r="O913" t="str">
            <v>$1593</v>
          </cell>
          <cell r="P913" t="str">
            <v>$1593</v>
          </cell>
          <cell r="Q913">
            <v>45605</v>
          </cell>
          <cell r="R913" t="str">
            <v>Hyderabad</v>
          </cell>
          <cell r="S913" t="str">
            <v>Mobile</v>
          </cell>
          <cell r="T913" t="str">
            <v>data analytics training</v>
          </cell>
        </row>
        <row r="914">
          <cell r="A914" t="str">
            <v>A1912</v>
          </cell>
          <cell r="B914" t="str">
            <v>Data Analytics Course</v>
          </cell>
          <cell r="C914">
            <v>108</v>
          </cell>
          <cell r="D914">
            <v>108</v>
          </cell>
          <cell r="E914">
            <v>5949</v>
          </cell>
          <cell r="F914">
            <v>5949</v>
          </cell>
          <cell r="G914" t="str">
            <v>$184.25</v>
          </cell>
          <cell r="H914" t="str">
            <v>$184.25</v>
          </cell>
          <cell r="I914">
            <v>23</v>
          </cell>
          <cell r="J914">
            <v>23</v>
          </cell>
          <cell r="K914">
            <v>8</v>
          </cell>
          <cell r="L914">
            <v>8</v>
          </cell>
          <cell r="M914">
            <v>7.407407407407407E-2</v>
          </cell>
          <cell r="N914">
            <v>7.3999999999999996E-2</v>
          </cell>
          <cell r="O914" t="str">
            <v>$1986</v>
          </cell>
          <cell r="P914" t="str">
            <v>$1986</v>
          </cell>
          <cell r="Q914">
            <v>45619</v>
          </cell>
          <cell r="R914" t="str">
            <v>Hyderabad</v>
          </cell>
          <cell r="S914" t="str">
            <v>Desktop</v>
          </cell>
          <cell r="T914" t="str">
            <v>data analytics training</v>
          </cell>
        </row>
        <row r="915">
          <cell r="A915" t="str">
            <v>A1913</v>
          </cell>
          <cell r="B915" t="str">
            <v>Data Analytics Course</v>
          </cell>
          <cell r="C915">
            <v>126</v>
          </cell>
          <cell r="D915">
            <v>126</v>
          </cell>
          <cell r="E915">
            <v>3784</v>
          </cell>
          <cell r="F915">
            <v>3784</v>
          </cell>
          <cell r="G915" t="str">
            <v>$200.00</v>
          </cell>
          <cell r="I915">
            <v>24</v>
          </cell>
          <cell r="J915">
            <v>24</v>
          </cell>
          <cell r="K915">
            <v>5</v>
          </cell>
          <cell r="L915">
            <v>5</v>
          </cell>
          <cell r="M915">
            <v>3.968253968253968E-2</v>
          </cell>
          <cell r="O915" t="str">
            <v>$1951</v>
          </cell>
          <cell r="P915" t="str">
            <v>$1951</v>
          </cell>
          <cell r="Q915">
            <v>45624</v>
          </cell>
          <cell r="R915" t="str">
            <v>Chennai</v>
          </cell>
          <cell r="S915" t="str">
            <v>Mobile</v>
          </cell>
          <cell r="T915" t="str">
            <v>analytics for data</v>
          </cell>
        </row>
        <row r="916">
          <cell r="A916" t="str">
            <v>A1914</v>
          </cell>
          <cell r="B916" t="str">
            <v>Data Analytcis Course</v>
          </cell>
          <cell r="C916">
            <v>174</v>
          </cell>
          <cell r="D916">
            <v>174</v>
          </cell>
          <cell r="E916">
            <v>3570</v>
          </cell>
          <cell r="F916">
            <v>3570</v>
          </cell>
          <cell r="G916" t="str">
            <v>$222.65</v>
          </cell>
          <cell r="H916" t="str">
            <v>$222.65</v>
          </cell>
          <cell r="I916">
            <v>25</v>
          </cell>
          <cell r="J916">
            <v>25</v>
          </cell>
          <cell r="K916">
            <v>3</v>
          </cell>
          <cell r="L916">
            <v>3</v>
          </cell>
          <cell r="M916">
            <v>1.7241379310344827E-2</v>
          </cell>
          <cell r="N916">
            <v>1.7000000000000001E-2</v>
          </cell>
          <cell r="O916" t="str">
            <v>$1500</v>
          </cell>
          <cell r="Q916">
            <v>45615</v>
          </cell>
          <cell r="R916" t="str">
            <v>Bangaluru</v>
          </cell>
          <cell r="S916" t="str">
            <v>Tablet</v>
          </cell>
          <cell r="T916" t="str">
            <v>learn data analytics</v>
          </cell>
        </row>
        <row r="917">
          <cell r="A917" t="str">
            <v>A1915</v>
          </cell>
          <cell r="B917" t="str">
            <v>Data Analytics Course</v>
          </cell>
          <cell r="C917">
            <v>122</v>
          </cell>
          <cell r="D917">
            <v>122</v>
          </cell>
          <cell r="E917">
            <v>4632</v>
          </cell>
          <cell r="F917">
            <v>4632</v>
          </cell>
          <cell r="G917" t="str">
            <v>$236.57</v>
          </cell>
          <cell r="H917" t="str">
            <v>$236.57</v>
          </cell>
          <cell r="I917">
            <v>13</v>
          </cell>
          <cell r="J917">
            <v>13</v>
          </cell>
          <cell r="K917">
            <v>6</v>
          </cell>
          <cell r="L917">
            <v>6</v>
          </cell>
          <cell r="M917">
            <v>4.9180327868852458E-2</v>
          </cell>
          <cell r="O917" t="str">
            <v>$1001</v>
          </cell>
          <cell r="P917" t="str">
            <v>$1001</v>
          </cell>
          <cell r="Q917">
            <v>45611</v>
          </cell>
          <cell r="R917" t="str">
            <v>Hyderabad</v>
          </cell>
          <cell r="S917" t="str">
            <v>Desktop</v>
          </cell>
          <cell r="T917" t="str">
            <v>data analytics course</v>
          </cell>
        </row>
        <row r="918">
          <cell r="A918" t="str">
            <v>A1916</v>
          </cell>
          <cell r="B918" t="str">
            <v>Data Analytics Course</v>
          </cell>
          <cell r="C918">
            <v>191</v>
          </cell>
          <cell r="D918">
            <v>191</v>
          </cell>
          <cell r="E918">
            <v>3457</v>
          </cell>
          <cell r="F918">
            <v>3457</v>
          </cell>
          <cell r="G918" t="str">
            <v>$237.6</v>
          </cell>
          <cell r="H918" t="str">
            <v>$237.6</v>
          </cell>
          <cell r="I918">
            <v>20.094717668488162</v>
          </cell>
          <cell r="K918">
            <v>10</v>
          </cell>
          <cell r="L918">
            <v>10</v>
          </cell>
          <cell r="M918">
            <v>5.2356020942408377E-2</v>
          </cell>
          <cell r="N918">
            <v>5.1999999999999998E-2</v>
          </cell>
          <cell r="O918" t="str">
            <v>$1500</v>
          </cell>
          <cell r="Q918">
            <v>45601</v>
          </cell>
          <cell r="R918" t="str">
            <v>Hyderabad</v>
          </cell>
          <cell r="S918" t="str">
            <v>Desktop</v>
          </cell>
          <cell r="T918" t="str">
            <v>data analytics course</v>
          </cell>
        </row>
        <row r="919">
          <cell r="A919" t="str">
            <v>A1917</v>
          </cell>
          <cell r="B919" t="str">
            <v>Data Analytics Course</v>
          </cell>
          <cell r="C919">
            <v>122</v>
          </cell>
          <cell r="D919">
            <v>122</v>
          </cell>
          <cell r="E919">
            <v>4525</v>
          </cell>
          <cell r="F919">
            <v>4525</v>
          </cell>
          <cell r="G919" t="str">
            <v>$202.89</v>
          </cell>
          <cell r="H919" t="str">
            <v>$202.89</v>
          </cell>
          <cell r="I919">
            <v>23</v>
          </cell>
          <cell r="J919">
            <v>23</v>
          </cell>
          <cell r="K919">
            <v>8</v>
          </cell>
          <cell r="L919">
            <v>8</v>
          </cell>
          <cell r="M919">
            <v>6.5573770491803282E-2</v>
          </cell>
          <cell r="N919">
            <v>3.4000000000000002E-2</v>
          </cell>
          <cell r="O919" t="str">
            <v>$1499</v>
          </cell>
          <cell r="P919" t="str">
            <v>$1499</v>
          </cell>
          <cell r="Q919">
            <v>45618</v>
          </cell>
          <cell r="R919" t="str">
            <v>Hyderabad</v>
          </cell>
          <cell r="S919" t="str">
            <v>Tablet</v>
          </cell>
          <cell r="T919" t="str">
            <v>data analytics training</v>
          </cell>
        </row>
        <row r="920">
          <cell r="A920" t="str">
            <v>A1918</v>
          </cell>
          <cell r="B920" t="str">
            <v>Data Analytics Course</v>
          </cell>
          <cell r="C920">
            <v>175</v>
          </cell>
          <cell r="D920">
            <v>175</v>
          </cell>
          <cell r="E920">
            <v>4850</v>
          </cell>
          <cell r="F920">
            <v>4850</v>
          </cell>
          <cell r="G920" t="str">
            <v>$186.25</v>
          </cell>
          <cell r="H920" t="str">
            <v>$186.25</v>
          </cell>
          <cell r="I920">
            <v>28</v>
          </cell>
          <cell r="J920">
            <v>28</v>
          </cell>
          <cell r="K920">
            <v>10</v>
          </cell>
          <cell r="L920">
            <v>10</v>
          </cell>
          <cell r="M920">
            <v>5.7142857142857141E-2</v>
          </cell>
          <cell r="N920">
            <v>5.7000000000000002E-2</v>
          </cell>
          <cell r="O920" t="str">
            <v>$1978</v>
          </cell>
          <cell r="P920" t="str">
            <v>$1978</v>
          </cell>
          <cell r="Q920">
            <v>45614</v>
          </cell>
          <cell r="R920" t="str">
            <v>Hyderabad</v>
          </cell>
          <cell r="S920" t="str">
            <v>Desktop</v>
          </cell>
          <cell r="T920" t="str">
            <v>analytics for data</v>
          </cell>
        </row>
        <row r="921">
          <cell r="A921" t="str">
            <v>A1919</v>
          </cell>
          <cell r="B921" t="str">
            <v>Data Analytics Course</v>
          </cell>
          <cell r="C921">
            <v>123</v>
          </cell>
          <cell r="D921">
            <v>123</v>
          </cell>
          <cell r="E921">
            <v>4938</v>
          </cell>
          <cell r="F921">
            <v>4938</v>
          </cell>
          <cell r="G921" t="str">
            <v>$180.64</v>
          </cell>
          <cell r="H921" t="str">
            <v>$180.64</v>
          </cell>
          <cell r="I921">
            <v>24</v>
          </cell>
          <cell r="J921">
            <v>24</v>
          </cell>
          <cell r="K921">
            <v>9</v>
          </cell>
          <cell r="L921">
            <v>9</v>
          </cell>
          <cell r="M921">
            <v>7.3170731707317069E-2</v>
          </cell>
          <cell r="N921">
            <v>7.2999999999999995E-2</v>
          </cell>
          <cell r="O921" t="str">
            <v>$1746</v>
          </cell>
          <cell r="P921" t="str">
            <v>$1746</v>
          </cell>
          <cell r="Q921">
            <v>45617</v>
          </cell>
          <cell r="R921" t="str">
            <v>Bangaluru</v>
          </cell>
          <cell r="S921" t="str">
            <v>Tablet</v>
          </cell>
          <cell r="T921" t="str">
            <v>data analytics course</v>
          </cell>
        </row>
        <row r="922">
          <cell r="A922" t="str">
            <v>A1920</v>
          </cell>
          <cell r="B922" t="str">
            <v>Data Analytics Course</v>
          </cell>
          <cell r="C922">
            <v>135</v>
          </cell>
          <cell r="D922">
            <v>135</v>
          </cell>
          <cell r="E922">
            <v>5748</v>
          </cell>
          <cell r="F922">
            <v>5748</v>
          </cell>
          <cell r="G922" t="str">
            <v>$239.22</v>
          </cell>
          <cell r="H922" t="str">
            <v>$239.22</v>
          </cell>
          <cell r="I922">
            <v>20</v>
          </cell>
          <cell r="J922">
            <v>20</v>
          </cell>
          <cell r="K922">
            <v>7</v>
          </cell>
          <cell r="L922">
            <v>7</v>
          </cell>
          <cell r="M922">
            <v>5.185185185185185E-2</v>
          </cell>
          <cell r="N922">
            <v>5.0999999999999997E-2</v>
          </cell>
          <cell r="O922" t="str">
            <v>$1222</v>
          </cell>
          <cell r="P922" t="str">
            <v>$1222</v>
          </cell>
          <cell r="Q922">
            <v>45617</v>
          </cell>
          <cell r="R922" t="str">
            <v>Bangaluru</v>
          </cell>
          <cell r="S922" t="str">
            <v>Tablet</v>
          </cell>
          <cell r="T922" t="str">
            <v>analytics for data</v>
          </cell>
        </row>
        <row r="923">
          <cell r="A923" t="str">
            <v>A1921</v>
          </cell>
          <cell r="B923" t="str">
            <v>Data Analytcis Course</v>
          </cell>
          <cell r="C923">
            <v>138.95699356913184</v>
          </cell>
          <cell r="E923">
            <v>4622</v>
          </cell>
          <cell r="F923">
            <v>4622</v>
          </cell>
          <cell r="G923" t="str">
            <v>$187.85</v>
          </cell>
          <cell r="H923" t="str">
            <v>$187.85</v>
          </cell>
          <cell r="I923">
            <v>24</v>
          </cell>
          <cell r="J923">
            <v>24</v>
          </cell>
          <cell r="K923">
            <v>5</v>
          </cell>
          <cell r="L923">
            <v>5</v>
          </cell>
          <cell r="M923">
            <v>3.5982355918721523E-2</v>
          </cell>
          <cell r="O923" t="str">
            <v>$1998</v>
          </cell>
          <cell r="P923" t="str">
            <v>$1998</v>
          </cell>
          <cell r="Q923">
            <v>45607</v>
          </cell>
          <cell r="R923" t="str">
            <v>Chennai</v>
          </cell>
          <cell r="S923" t="str">
            <v>Tablet</v>
          </cell>
          <cell r="T923" t="str">
            <v>analytics for data</v>
          </cell>
        </row>
        <row r="924">
          <cell r="A924" t="str">
            <v>A1922</v>
          </cell>
          <cell r="B924" t="str">
            <v>Data Analytcis Course</v>
          </cell>
          <cell r="C924">
            <v>90</v>
          </cell>
          <cell r="D924">
            <v>90</v>
          </cell>
          <cell r="E924">
            <v>5596</v>
          </cell>
          <cell r="F924">
            <v>5596</v>
          </cell>
          <cell r="G924" t="str">
            <v>$188.04</v>
          </cell>
          <cell r="H924" t="str">
            <v>$188.04</v>
          </cell>
          <cell r="I924">
            <v>12</v>
          </cell>
          <cell r="J924">
            <v>12</v>
          </cell>
          <cell r="K924">
            <v>4</v>
          </cell>
          <cell r="L924">
            <v>4</v>
          </cell>
          <cell r="M924">
            <v>4.4444444444444446E-2</v>
          </cell>
          <cell r="N924">
            <v>4.3999999999999997E-2</v>
          </cell>
          <cell r="O924" t="str">
            <v>$1500</v>
          </cell>
          <cell r="Q924">
            <v>45613</v>
          </cell>
          <cell r="R924" t="str">
            <v>Hyderabad</v>
          </cell>
          <cell r="S924" t="str">
            <v>Mobile</v>
          </cell>
          <cell r="T924" t="str">
            <v>online data analytic</v>
          </cell>
        </row>
        <row r="925">
          <cell r="A925" t="str">
            <v>A1923</v>
          </cell>
          <cell r="B925" t="str">
            <v>Data Analytics Course</v>
          </cell>
          <cell r="C925">
            <v>138.95699356913184</v>
          </cell>
          <cell r="E925">
            <v>5308</v>
          </cell>
          <cell r="F925">
            <v>5308</v>
          </cell>
          <cell r="G925" t="str">
            <v>$234.1</v>
          </cell>
          <cell r="H925" t="str">
            <v>$234.1</v>
          </cell>
          <cell r="I925">
            <v>27</v>
          </cell>
          <cell r="J925">
            <v>27</v>
          </cell>
          <cell r="K925">
            <v>8</v>
          </cell>
          <cell r="L925">
            <v>8</v>
          </cell>
          <cell r="M925">
            <v>5.7571769469954438E-2</v>
          </cell>
          <cell r="O925" t="str">
            <v>$1150</v>
          </cell>
          <cell r="P925" t="str">
            <v>$1150</v>
          </cell>
          <cell r="Q925">
            <v>45612</v>
          </cell>
          <cell r="R925" t="str">
            <v>Hyderabad</v>
          </cell>
          <cell r="S925" t="str">
            <v>Tablet</v>
          </cell>
          <cell r="T925" t="str">
            <v>analytics for data</v>
          </cell>
        </row>
        <row r="926">
          <cell r="A926" t="str">
            <v>A1924</v>
          </cell>
          <cell r="B926" t="str">
            <v>Data Analytics Course</v>
          </cell>
          <cell r="C926">
            <v>89</v>
          </cell>
          <cell r="D926">
            <v>89</v>
          </cell>
          <cell r="E926">
            <v>3069</v>
          </cell>
          <cell r="F926">
            <v>3069</v>
          </cell>
          <cell r="G926" t="str">
            <v>$205.37</v>
          </cell>
          <cell r="H926" t="str">
            <v>$205.37</v>
          </cell>
          <cell r="I926">
            <v>19</v>
          </cell>
          <cell r="J926">
            <v>19</v>
          </cell>
          <cell r="K926">
            <v>6</v>
          </cell>
          <cell r="L926">
            <v>6</v>
          </cell>
          <cell r="M926">
            <v>6.741573033707865E-2</v>
          </cell>
          <cell r="O926" t="str">
            <v>$1518</v>
          </cell>
          <cell r="P926" t="str">
            <v>$1518</v>
          </cell>
          <cell r="Q926">
            <v>45624</v>
          </cell>
          <cell r="R926" t="str">
            <v>Chennai</v>
          </cell>
          <cell r="S926" t="str">
            <v>Desktop</v>
          </cell>
          <cell r="T926" t="str">
            <v>data analytics online</v>
          </cell>
        </row>
        <row r="927">
          <cell r="A927" t="str">
            <v>A1925</v>
          </cell>
          <cell r="B927" t="str">
            <v>Data Analytics Course</v>
          </cell>
          <cell r="C927">
            <v>138.95699356913184</v>
          </cell>
          <cell r="E927">
            <v>4221</v>
          </cell>
          <cell r="F927">
            <v>4221</v>
          </cell>
          <cell r="G927" t="str">
            <v>$180.83</v>
          </cell>
          <cell r="H927" t="str">
            <v>$180.83</v>
          </cell>
          <cell r="I927">
            <v>24</v>
          </cell>
          <cell r="J927">
            <v>24</v>
          </cell>
          <cell r="K927">
            <v>10</v>
          </cell>
          <cell r="L927">
            <v>10</v>
          </cell>
          <cell r="M927">
            <v>7.1964711837443046E-2</v>
          </cell>
          <cell r="N927">
            <v>3.3000000000000002E-2</v>
          </cell>
          <cell r="O927" t="str">
            <v>$1082</v>
          </cell>
          <cell r="P927" t="str">
            <v>$1082</v>
          </cell>
          <cell r="Q927">
            <v>45609</v>
          </cell>
          <cell r="R927" t="str">
            <v>Hyderabad</v>
          </cell>
          <cell r="S927" t="str">
            <v>Tablet</v>
          </cell>
          <cell r="T927" t="str">
            <v>learn data analytics</v>
          </cell>
        </row>
        <row r="928">
          <cell r="A928" t="str">
            <v>A1926</v>
          </cell>
          <cell r="B928" t="str">
            <v>Data Analytics Course</v>
          </cell>
          <cell r="C928">
            <v>148</v>
          </cell>
          <cell r="D928">
            <v>148</v>
          </cell>
          <cell r="E928">
            <v>4514</v>
          </cell>
          <cell r="F928">
            <v>4514</v>
          </cell>
          <cell r="G928" t="str">
            <v>$203.54</v>
          </cell>
          <cell r="H928" t="str">
            <v>$203.54</v>
          </cell>
          <cell r="I928">
            <v>23</v>
          </cell>
          <cell r="J928">
            <v>23</v>
          </cell>
          <cell r="K928">
            <v>3</v>
          </cell>
          <cell r="L928">
            <v>3</v>
          </cell>
          <cell r="M928">
            <v>2.0270270270270271E-2</v>
          </cell>
          <cell r="N928">
            <v>4.7E-2</v>
          </cell>
          <cell r="O928" t="str">
            <v>$1622</v>
          </cell>
          <cell r="P928" t="str">
            <v>$1622</v>
          </cell>
          <cell r="Q928">
            <v>45601</v>
          </cell>
          <cell r="R928" t="str">
            <v>Bangaluru</v>
          </cell>
          <cell r="S928" t="str">
            <v>Desktop</v>
          </cell>
          <cell r="T928" t="str">
            <v>data analytics online</v>
          </cell>
        </row>
        <row r="929">
          <cell r="A929" t="str">
            <v>A1927</v>
          </cell>
          <cell r="B929" t="str">
            <v>Data Analytics Course</v>
          </cell>
          <cell r="C929">
            <v>96</v>
          </cell>
          <cell r="D929">
            <v>96</v>
          </cell>
          <cell r="E929">
            <v>3468</v>
          </cell>
          <cell r="F929">
            <v>3468</v>
          </cell>
          <cell r="G929" t="str">
            <v>$228.41</v>
          </cell>
          <cell r="H929" t="str">
            <v>$228.41</v>
          </cell>
          <cell r="I929">
            <v>16</v>
          </cell>
          <cell r="J929">
            <v>16</v>
          </cell>
          <cell r="K929">
            <v>9</v>
          </cell>
          <cell r="L929">
            <v>9</v>
          </cell>
          <cell r="M929">
            <v>9.375E-2</v>
          </cell>
          <cell r="N929">
            <v>9.4E-2</v>
          </cell>
          <cell r="O929" t="str">
            <v>$1035</v>
          </cell>
          <cell r="P929" t="str">
            <v>$1035</v>
          </cell>
          <cell r="Q929">
            <v>45600</v>
          </cell>
          <cell r="R929" t="str">
            <v>Hyderabad</v>
          </cell>
          <cell r="S929" t="str">
            <v>Desktop</v>
          </cell>
          <cell r="T929" t="str">
            <v>learn data analytics</v>
          </cell>
        </row>
        <row r="930">
          <cell r="A930" t="str">
            <v>A1928</v>
          </cell>
          <cell r="B930" t="str">
            <v>Data Analytcis Course</v>
          </cell>
          <cell r="C930">
            <v>126</v>
          </cell>
          <cell r="D930">
            <v>126</v>
          </cell>
          <cell r="E930">
            <v>3613</v>
          </cell>
          <cell r="F930">
            <v>3613</v>
          </cell>
          <cell r="G930" t="str">
            <v>$208.74</v>
          </cell>
          <cell r="H930" t="str">
            <v>$208.74</v>
          </cell>
          <cell r="I930">
            <v>18</v>
          </cell>
          <cell r="J930">
            <v>18</v>
          </cell>
          <cell r="K930">
            <v>7</v>
          </cell>
          <cell r="L930">
            <v>7</v>
          </cell>
          <cell r="M930">
            <v>5.5555555555555552E-2</v>
          </cell>
          <cell r="O930" t="str">
            <v>$1106</v>
          </cell>
          <cell r="P930" t="str">
            <v>$1106</v>
          </cell>
          <cell r="Q930">
            <v>45602</v>
          </cell>
          <cell r="R930" t="str">
            <v>Hyderabad</v>
          </cell>
          <cell r="S930" t="str">
            <v>Desktop</v>
          </cell>
          <cell r="T930" t="str">
            <v>learn data analytics</v>
          </cell>
        </row>
        <row r="931">
          <cell r="A931" t="str">
            <v>A1929</v>
          </cell>
          <cell r="B931" t="str">
            <v>Data Analytics Course</v>
          </cell>
          <cell r="C931">
            <v>115</v>
          </cell>
          <cell r="D931">
            <v>115</v>
          </cell>
          <cell r="E931">
            <v>3234</v>
          </cell>
          <cell r="F931">
            <v>3234</v>
          </cell>
          <cell r="G931" t="str">
            <v>$227.77</v>
          </cell>
          <cell r="H931" t="str">
            <v>$227.77</v>
          </cell>
          <cell r="I931">
            <v>30</v>
          </cell>
          <cell r="J931">
            <v>30</v>
          </cell>
          <cell r="K931">
            <v>3</v>
          </cell>
          <cell r="L931">
            <v>3</v>
          </cell>
          <cell r="M931">
            <v>2.6086956521739129E-2</v>
          </cell>
          <cell r="N931">
            <v>2.5999999999999999E-2</v>
          </cell>
          <cell r="O931" t="str">
            <v>$1272</v>
          </cell>
          <cell r="P931" t="str">
            <v>$1272</v>
          </cell>
          <cell r="Q931">
            <v>45609</v>
          </cell>
          <cell r="R931" t="str">
            <v>Hyderabad</v>
          </cell>
          <cell r="S931" t="str">
            <v>Tablet</v>
          </cell>
          <cell r="T931" t="str">
            <v>learn data analytics</v>
          </cell>
        </row>
        <row r="932">
          <cell r="A932" t="str">
            <v>A1930</v>
          </cell>
          <cell r="B932" t="str">
            <v>Data Analytics Course</v>
          </cell>
          <cell r="C932">
            <v>135</v>
          </cell>
          <cell r="D932">
            <v>135</v>
          </cell>
          <cell r="E932">
            <v>5436</v>
          </cell>
          <cell r="F932">
            <v>5436</v>
          </cell>
          <cell r="G932" t="str">
            <v>$245.86</v>
          </cell>
          <cell r="H932" t="str">
            <v>$245.86</v>
          </cell>
          <cell r="I932">
            <v>28</v>
          </cell>
          <cell r="J932">
            <v>28</v>
          </cell>
          <cell r="K932">
            <v>9</v>
          </cell>
          <cell r="L932">
            <v>9</v>
          </cell>
          <cell r="M932">
            <v>6.6666666666666666E-2</v>
          </cell>
          <cell r="N932">
            <v>6.7000000000000004E-2</v>
          </cell>
          <cell r="O932" t="str">
            <v>$1453</v>
          </cell>
          <cell r="P932" t="str">
            <v>$1453</v>
          </cell>
          <cell r="Q932">
            <v>45599</v>
          </cell>
          <cell r="R932" t="str">
            <v>Chennai</v>
          </cell>
          <cell r="S932" t="str">
            <v>Desktop</v>
          </cell>
          <cell r="T932" t="str">
            <v>data analytics online</v>
          </cell>
        </row>
        <row r="933">
          <cell r="A933" t="str">
            <v>A1931</v>
          </cell>
          <cell r="B933" t="str">
            <v>Data Analytics Course</v>
          </cell>
          <cell r="C933">
            <v>158</v>
          </cell>
          <cell r="D933">
            <v>158</v>
          </cell>
          <cell r="E933">
            <v>4519</v>
          </cell>
          <cell r="F933">
            <v>4519</v>
          </cell>
          <cell r="G933" t="str">
            <v>$191.84</v>
          </cell>
          <cell r="H933" t="str">
            <v>$191.84</v>
          </cell>
          <cell r="I933">
            <v>26</v>
          </cell>
          <cell r="J933">
            <v>26</v>
          </cell>
          <cell r="K933">
            <v>4</v>
          </cell>
          <cell r="L933">
            <v>4</v>
          </cell>
          <cell r="M933">
            <v>2.5316455696202531E-2</v>
          </cell>
          <cell r="N933">
            <v>2.5000000000000001E-2</v>
          </cell>
          <cell r="O933" t="str">
            <v>$1500</v>
          </cell>
          <cell r="Q933">
            <v>45625</v>
          </cell>
          <cell r="R933" t="str">
            <v>Hyderabad</v>
          </cell>
          <cell r="S933" t="str">
            <v>Desktop</v>
          </cell>
          <cell r="T933" t="str">
            <v>data analytics online</v>
          </cell>
        </row>
        <row r="934">
          <cell r="A934" t="str">
            <v>A1932</v>
          </cell>
          <cell r="B934" t="str">
            <v>Data Analytics Course</v>
          </cell>
          <cell r="C934">
            <v>80</v>
          </cell>
          <cell r="D934">
            <v>80</v>
          </cell>
          <cell r="E934">
            <v>3777</v>
          </cell>
          <cell r="F934">
            <v>3777</v>
          </cell>
          <cell r="G934" t="str">
            <v>$199.52</v>
          </cell>
          <cell r="H934" t="str">
            <v>$199.52</v>
          </cell>
          <cell r="I934">
            <v>12</v>
          </cell>
          <cell r="J934">
            <v>12</v>
          </cell>
          <cell r="K934">
            <v>7</v>
          </cell>
          <cell r="L934">
            <v>7</v>
          </cell>
          <cell r="M934">
            <v>8.7499999999999994E-2</v>
          </cell>
          <cell r="O934" t="str">
            <v>$1694</v>
          </cell>
          <cell r="P934" t="str">
            <v>$1694</v>
          </cell>
          <cell r="Q934">
            <v>45618</v>
          </cell>
          <cell r="R934" t="str">
            <v>Bangaluru</v>
          </cell>
          <cell r="S934" t="str">
            <v>Desktop</v>
          </cell>
          <cell r="T934" t="str">
            <v>learn data analytics</v>
          </cell>
        </row>
        <row r="935">
          <cell r="A935" t="str">
            <v>A1933</v>
          </cell>
          <cell r="B935" t="str">
            <v>Data Analytics Course</v>
          </cell>
          <cell r="C935">
            <v>190</v>
          </cell>
          <cell r="D935">
            <v>190</v>
          </cell>
          <cell r="E935">
            <v>3461</v>
          </cell>
          <cell r="F935">
            <v>3461</v>
          </cell>
          <cell r="G935" t="str">
            <v>$205.22</v>
          </cell>
          <cell r="H935" t="str">
            <v>$205.22</v>
          </cell>
          <cell r="I935">
            <v>28</v>
          </cell>
          <cell r="J935">
            <v>28</v>
          </cell>
          <cell r="K935">
            <v>10</v>
          </cell>
          <cell r="L935">
            <v>10</v>
          </cell>
          <cell r="M935">
            <v>5.2631578947368418E-2</v>
          </cell>
          <cell r="O935" t="str">
            <v>$1616</v>
          </cell>
          <cell r="P935" t="str">
            <v>$1616</v>
          </cell>
          <cell r="Q935">
            <v>45621</v>
          </cell>
          <cell r="R935" t="str">
            <v>Bangaluru</v>
          </cell>
          <cell r="S935" t="str">
            <v>Mobile</v>
          </cell>
          <cell r="T935" t="str">
            <v>online data analytic</v>
          </cell>
        </row>
        <row r="936">
          <cell r="A936" t="str">
            <v>A1934</v>
          </cell>
          <cell r="B936" t="str">
            <v>Data Analytics Course</v>
          </cell>
          <cell r="C936">
            <v>135</v>
          </cell>
          <cell r="D936">
            <v>135</v>
          </cell>
          <cell r="E936">
            <v>4575</v>
          </cell>
          <cell r="F936">
            <v>4575</v>
          </cell>
          <cell r="G936" t="str">
            <v>$241.92</v>
          </cell>
          <cell r="H936" t="str">
            <v>$241.92</v>
          </cell>
          <cell r="I936">
            <v>10</v>
          </cell>
          <cell r="J936">
            <v>10</v>
          </cell>
          <cell r="K936">
            <v>5</v>
          </cell>
          <cell r="L936">
            <v>5</v>
          </cell>
          <cell r="M936">
            <v>3.7037037037037035E-2</v>
          </cell>
          <cell r="O936" t="str">
            <v>$1553</v>
          </cell>
          <cell r="P936" t="str">
            <v>$1553</v>
          </cell>
          <cell r="Q936">
            <v>45618</v>
          </cell>
          <cell r="R936" t="str">
            <v>Bangaluru</v>
          </cell>
          <cell r="S936" t="str">
            <v>Desktop</v>
          </cell>
          <cell r="T936" t="str">
            <v>data analytics course</v>
          </cell>
        </row>
        <row r="937">
          <cell r="A937" t="str">
            <v>A1935</v>
          </cell>
          <cell r="B937" t="str">
            <v>Data Analytics Course</v>
          </cell>
          <cell r="C937">
            <v>149</v>
          </cell>
          <cell r="D937">
            <v>149</v>
          </cell>
          <cell r="E937">
            <v>3471</v>
          </cell>
          <cell r="F937">
            <v>3471</v>
          </cell>
          <cell r="G937" t="str">
            <v>$242.14</v>
          </cell>
          <cell r="H937" t="str">
            <v>$242.14</v>
          </cell>
          <cell r="I937">
            <v>23</v>
          </cell>
          <cell r="J937">
            <v>23</v>
          </cell>
          <cell r="K937">
            <v>4</v>
          </cell>
          <cell r="L937">
            <v>4</v>
          </cell>
          <cell r="M937">
            <v>2.6845637583892617E-2</v>
          </cell>
          <cell r="N937">
            <v>2.7E-2</v>
          </cell>
          <cell r="O937" t="str">
            <v>$1937</v>
          </cell>
          <cell r="P937" t="str">
            <v>$1937</v>
          </cell>
          <cell r="Q937">
            <v>45615</v>
          </cell>
          <cell r="R937" t="str">
            <v>Hyderabad</v>
          </cell>
          <cell r="S937" t="str">
            <v>Desktop</v>
          </cell>
          <cell r="T937" t="str">
            <v>data analytics training</v>
          </cell>
        </row>
        <row r="938">
          <cell r="A938" t="str">
            <v>A1936</v>
          </cell>
          <cell r="B938" t="str">
            <v>Data Analytics Course</v>
          </cell>
          <cell r="C938">
            <v>164</v>
          </cell>
          <cell r="D938">
            <v>164</v>
          </cell>
          <cell r="E938">
            <v>3115</v>
          </cell>
          <cell r="F938">
            <v>3115</v>
          </cell>
          <cell r="G938" t="str">
            <v>$232.62</v>
          </cell>
          <cell r="H938" t="str">
            <v>$232.62</v>
          </cell>
          <cell r="I938">
            <v>10</v>
          </cell>
          <cell r="J938">
            <v>10</v>
          </cell>
          <cell r="K938">
            <v>6.5009345794392521</v>
          </cell>
          <cell r="M938">
            <v>3.9639844996580804E-2</v>
          </cell>
          <cell r="O938" t="str">
            <v>$1802</v>
          </cell>
          <cell r="P938" t="str">
            <v>$1802</v>
          </cell>
          <cell r="Q938">
            <v>45600</v>
          </cell>
          <cell r="R938" t="str">
            <v>Hyderabad</v>
          </cell>
          <cell r="S938" t="str">
            <v>Tablet</v>
          </cell>
          <cell r="T938" t="str">
            <v>data analytics online</v>
          </cell>
        </row>
        <row r="939">
          <cell r="A939" t="str">
            <v>A1937</v>
          </cell>
          <cell r="B939" t="str">
            <v>Data Analytics Course</v>
          </cell>
          <cell r="C939">
            <v>132</v>
          </cell>
          <cell r="D939">
            <v>132</v>
          </cell>
          <cell r="E939">
            <v>5428</v>
          </cell>
          <cell r="F939">
            <v>5428</v>
          </cell>
          <cell r="G939" t="str">
            <v>$180.73</v>
          </cell>
          <cell r="H939" t="str">
            <v>$180.73</v>
          </cell>
          <cell r="I939">
            <v>10</v>
          </cell>
          <cell r="J939">
            <v>10</v>
          </cell>
          <cell r="K939">
            <v>7</v>
          </cell>
          <cell r="L939">
            <v>7</v>
          </cell>
          <cell r="M939">
            <v>5.3030303030303032E-2</v>
          </cell>
          <cell r="N939">
            <v>3.9E-2</v>
          </cell>
          <cell r="O939" t="str">
            <v>$1732</v>
          </cell>
          <cell r="P939" t="str">
            <v>$1732</v>
          </cell>
          <cell r="Q939">
            <v>45612</v>
          </cell>
          <cell r="R939" t="str">
            <v>Hyderabad</v>
          </cell>
          <cell r="S939" t="str">
            <v>Desktop</v>
          </cell>
          <cell r="T939" t="str">
            <v>data analytics course</v>
          </cell>
        </row>
        <row r="940">
          <cell r="A940" t="str">
            <v>A1938</v>
          </cell>
          <cell r="B940" t="str">
            <v>Data Analytcis Course</v>
          </cell>
          <cell r="C940">
            <v>198</v>
          </cell>
          <cell r="D940">
            <v>198</v>
          </cell>
          <cell r="E940">
            <v>4499</v>
          </cell>
          <cell r="F940">
            <v>4499</v>
          </cell>
          <cell r="G940" t="str">
            <v>$245.24</v>
          </cell>
          <cell r="H940" t="str">
            <v>$245.24</v>
          </cell>
          <cell r="I940">
            <v>27</v>
          </cell>
          <cell r="J940">
            <v>27</v>
          </cell>
          <cell r="K940">
            <v>7</v>
          </cell>
          <cell r="L940">
            <v>7</v>
          </cell>
          <cell r="M940">
            <v>3.5353535353535352E-2</v>
          </cell>
          <cell r="N940">
            <v>3.5000000000000003E-2</v>
          </cell>
          <cell r="O940" t="str">
            <v>$1165</v>
          </cell>
          <cell r="P940" t="str">
            <v>$1165</v>
          </cell>
          <cell r="Q940">
            <v>45597</v>
          </cell>
          <cell r="R940" t="str">
            <v>Hyderabad</v>
          </cell>
          <cell r="S940" t="str">
            <v>Tablet</v>
          </cell>
          <cell r="T940" t="str">
            <v>online data analytic</v>
          </cell>
        </row>
        <row r="941">
          <cell r="A941" t="str">
            <v>A1939</v>
          </cell>
          <cell r="B941" t="str">
            <v>Data Analytics Course</v>
          </cell>
          <cell r="C941">
            <v>153</v>
          </cell>
          <cell r="D941">
            <v>153</v>
          </cell>
          <cell r="E941">
            <v>3285</v>
          </cell>
          <cell r="F941">
            <v>3285</v>
          </cell>
          <cell r="G941" t="str">
            <v>$226.26</v>
          </cell>
          <cell r="H941" t="str">
            <v>$226.26</v>
          </cell>
          <cell r="I941">
            <v>12</v>
          </cell>
          <cell r="J941">
            <v>12</v>
          </cell>
          <cell r="K941">
            <v>7</v>
          </cell>
          <cell r="L941">
            <v>7</v>
          </cell>
          <cell r="M941">
            <v>4.5751633986928102E-2</v>
          </cell>
          <cell r="N941">
            <v>4.5999999999999999E-2</v>
          </cell>
          <cell r="O941" t="str">
            <v>$1838</v>
          </cell>
          <cell r="P941" t="str">
            <v>$1838</v>
          </cell>
          <cell r="Q941">
            <v>45617</v>
          </cell>
          <cell r="R941" t="str">
            <v>Chennai</v>
          </cell>
          <cell r="S941" t="str">
            <v>Desktop</v>
          </cell>
          <cell r="T941" t="str">
            <v>online data analytic</v>
          </cell>
        </row>
        <row r="942">
          <cell r="A942" t="str">
            <v>A1940</v>
          </cell>
          <cell r="B942" t="str">
            <v>Data Analytics Course</v>
          </cell>
          <cell r="C942">
            <v>142</v>
          </cell>
          <cell r="D942">
            <v>142</v>
          </cell>
          <cell r="E942">
            <v>3431</v>
          </cell>
          <cell r="F942">
            <v>3431</v>
          </cell>
          <cell r="G942" t="str">
            <v>$235.09</v>
          </cell>
          <cell r="H942" t="str">
            <v>$235.09</v>
          </cell>
          <cell r="I942">
            <v>19</v>
          </cell>
          <cell r="J942">
            <v>19</v>
          </cell>
          <cell r="K942">
            <v>6.5</v>
          </cell>
          <cell r="M942">
            <v>4.5774647887323945E-2</v>
          </cell>
          <cell r="O942" t="str">
            <v>$1334</v>
          </cell>
          <cell r="P942" t="str">
            <v>$1334</v>
          </cell>
          <cell r="Q942">
            <v>45604</v>
          </cell>
          <cell r="R942" t="str">
            <v>Bangaluru</v>
          </cell>
          <cell r="S942" t="str">
            <v>Desktop</v>
          </cell>
          <cell r="T942" t="str">
            <v>data analytics online</v>
          </cell>
        </row>
        <row r="943">
          <cell r="A943" t="str">
            <v>A1941</v>
          </cell>
          <cell r="B943" t="str">
            <v>Data Analytics Course</v>
          </cell>
          <cell r="C943">
            <v>91</v>
          </cell>
          <cell r="D943">
            <v>91</v>
          </cell>
          <cell r="E943">
            <v>4600</v>
          </cell>
          <cell r="F943">
            <v>4600</v>
          </cell>
          <cell r="G943" t="str">
            <v>$194.14</v>
          </cell>
          <cell r="H943" t="str">
            <v>$194.14</v>
          </cell>
          <cell r="I943">
            <v>19</v>
          </cell>
          <cell r="J943">
            <v>19</v>
          </cell>
          <cell r="K943">
            <v>7</v>
          </cell>
          <cell r="L943">
            <v>7</v>
          </cell>
          <cell r="M943">
            <v>7.6923076923076927E-2</v>
          </cell>
          <cell r="N943">
            <v>7.6999999999999999E-2</v>
          </cell>
          <cell r="O943" t="str">
            <v>$1255</v>
          </cell>
          <cell r="P943" t="str">
            <v>$1255</v>
          </cell>
          <cell r="Q943">
            <v>45615</v>
          </cell>
          <cell r="R943" t="str">
            <v>Hyderabad</v>
          </cell>
          <cell r="S943" t="str">
            <v>Mobile</v>
          </cell>
          <cell r="T943" t="str">
            <v>data analytics online</v>
          </cell>
        </row>
        <row r="944">
          <cell r="A944" t="str">
            <v>A1942</v>
          </cell>
          <cell r="B944" t="str">
            <v>Data Analytics Course</v>
          </cell>
          <cell r="C944">
            <v>154</v>
          </cell>
          <cell r="D944">
            <v>154</v>
          </cell>
          <cell r="E944">
            <v>4804</v>
          </cell>
          <cell r="F944">
            <v>4804</v>
          </cell>
          <cell r="G944" t="str">
            <v>$190.98</v>
          </cell>
          <cell r="H944" t="str">
            <v>$190.98</v>
          </cell>
          <cell r="I944">
            <v>21</v>
          </cell>
          <cell r="J944">
            <v>21</v>
          </cell>
          <cell r="K944">
            <v>3</v>
          </cell>
          <cell r="L944">
            <v>3</v>
          </cell>
          <cell r="M944">
            <v>1.948051948051948E-2</v>
          </cell>
          <cell r="N944">
            <v>1.9E-2</v>
          </cell>
          <cell r="O944" t="str">
            <v>$1521</v>
          </cell>
          <cell r="P944" t="str">
            <v>$1521</v>
          </cell>
          <cell r="Q944">
            <v>45619</v>
          </cell>
          <cell r="R944" t="str">
            <v>Hyderabad</v>
          </cell>
          <cell r="S944" t="str">
            <v>Desktop</v>
          </cell>
          <cell r="T944" t="str">
            <v>data analytics training</v>
          </cell>
        </row>
        <row r="945">
          <cell r="A945" t="str">
            <v>A1943</v>
          </cell>
          <cell r="B945" t="str">
            <v>Data Analytics Course</v>
          </cell>
          <cell r="C945">
            <v>115</v>
          </cell>
          <cell r="D945">
            <v>115</v>
          </cell>
          <cell r="E945">
            <v>5472</v>
          </cell>
          <cell r="F945">
            <v>5472</v>
          </cell>
          <cell r="G945" t="str">
            <v>$230.29</v>
          </cell>
          <cell r="H945" t="str">
            <v>$230.29</v>
          </cell>
          <cell r="I945">
            <v>26</v>
          </cell>
          <cell r="J945">
            <v>26</v>
          </cell>
          <cell r="K945">
            <v>4</v>
          </cell>
          <cell r="L945">
            <v>4</v>
          </cell>
          <cell r="M945">
            <v>3.4782608695652174E-2</v>
          </cell>
          <cell r="O945" t="str">
            <v>$1275</v>
          </cell>
          <cell r="P945" t="str">
            <v>$1275</v>
          </cell>
          <cell r="Q945">
            <v>45603</v>
          </cell>
          <cell r="R945" t="str">
            <v>Chennai</v>
          </cell>
          <cell r="S945" t="str">
            <v>Mobile</v>
          </cell>
          <cell r="T945" t="str">
            <v>learn data analytics</v>
          </cell>
        </row>
        <row r="946">
          <cell r="A946" t="str">
            <v>A1944</v>
          </cell>
          <cell r="B946" t="str">
            <v>Data Analytics Course</v>
          </cell>
          <cell r="C946">
            <v>86</v>
          </cell>
          <cell r="D946">
            <v>86</v>
          </cell>
          <cell r="E946">
            <v>5493</v>
          </cell>
          <cell r="F946">
            <v>5493</v>
          </cell>
          <cell r="G946" t="str">
            <v>$191.28</v>
          </cell>
          <cell r="H946" t="str">
            <v>$191.28</v>
          </cell>
          <cell r="I946">
            <v>18</v>
          </cell>
          <cell r="J946">
            <v>18</v>
          </cell>
          <cell r="K946">
            <v>9</v>
          </cell>
          <cell r="L946">
            <v>9</v>
          </cell>
          <cell r="M946">
            <v>0.10465116279069768</v>
          </cell>
          <cell r="N946">
            <v>0.105</v>
          </cell>
          <cell r="O946" t="str">
            <v>$1204</v>
          </cell>
          <cell r="P946" t="str">
            <v>$1204</v>
          </cell>
          <cell r="Q946">
            <v>45616</v>
          </cell>
          <cell r="R946" t="str">
            <v>Chennai</v>
          </cell>
          <cell r="S946" t="str">
            <v>Tablet</v>
          </cell>
          <cell r="T946" t="str">
            <v>data analytics course</v>
          </cell>
        </row>
        <row r="947">
          <cell r="A947" t="str">
            <v>A1945</v>
          </cell>
          <cell r="B947" t="str">
            <v>Data Analytics Course</v>
          </cell>
          <cell r="C947">
            <v>116</v>
          </cell>
          <cell r="D947">
            <v>116</v>
          </cell>
          <cell r="E947">
            <v>3188</v>
          </cell>
          <cell r="F947">
            <v>3188</v>
          </cell>
          <cell r="G947" t="str">
            <v>$238.62</v>
          </cell>
          <cell r="H947" t="str">
            <v>$238.62</v>
          </cell>
          <cell r="I947">
            <v>15</v>
          </cell>
          <cell r="J947">
            <v>15</v>
          </cell>
          <cell r="K947">
            <v>10</v>
          </cell>
          <cell r="L947">
            <v>10</v>
          </cell>
          <cell r="M947">
            <v>8.6206896551724144E-2</v>
          </cell>
          <cell r="N947">
            <v>8.5999999999999993E-2</v>
          </cell>
          <cell r="O947" t="str">
            <v>$1429</v>
          </cell>
          <cell r="P947" t="str">
            <v>$1429</v>
          </cell>
          <cell r="Q947">
            <v>45610</v>
          </cell>
          <cell r="R947" t="str">
            <v>Chennai</v>
          </cell>
          <cell r="S947" t="str">
            <v>Tablet</v>
          </cell>
          <cell r="T947" t="str">
            <v>online data analytic</v>
          </cell>
        </row>
        <row r="948">
          <cell r="A948" t="str">
            <v>A1946</v>
          </cell>
          <cell r="B948" t="str">
            <v>Data Analytics Course</v>
          </cell>
          <cell r="C948">
            <v>144</v>
          </cell>
          <cell r="D948">
            <v>144</v>
          </cell>
          <cell r="E948">
            <v>3579</v>
          </cell>
          <cell r="F948">
            <v>3579</v>
          </cell>
          <cell r="G948" t="str">
            <v>$237.97</v>
          </cell>
          <cell r="H948" t="str">
            <v>$237.97</v>
          </cell>
          <cell r="I948">
            <v>21</v>
          </cell>
          <cell r="J948">
            <v>21</v>
          </cell>
          <cell r="K948">
            <v>10</v>
          </cell>
          <cell r="L948">
            <v>10</v>
          </cell>
          <cell r="M948">
            <v>6.9444444444444448E-2</v>
          </cell>
          <cell r="N948">
            <v>6.9000000000000006E-2</v>
          </cell>
          <cell r="O948" t="str">
            <v>$1155</v>
          </cell>
          <cell r="P948" t="str">
            <v>$1155</v>
          </cell>
          <cell r="Q948">
            <v>45598</v>
          </cell>
          <cell r="R948" t="str">
            <v>Chennai</v>
          </cell>
          <cell r="S948" t="str">
            <v>Desktop</v>
          </cell>
          <cell r="T948" t="str">
            <v>data analytics course</v>
          </cell>
        </row>
        <row r="949">
          <cell r="A949" t="str">
            <v>A1947</v>
          </cell>
          <cell r="B949" t="str">
            <v>Data Analytics Course</v>
          </cell>
          <cell r="C949">
            <v>101</v>
          </cell>
          <cell r="D949">
            <v>101</v>
          </cell>
          <cell r="E949">
            <v>4198</v>
          </cell>
          <cell r="F949">
            <v>4198</v>
          </cell>
          <cell r="G949" t="str">
            <v>$204.09</v>
          </cell>
          <cell r="H949" t="str">
            <v>$204.09</v>
          </cell>
          <cell r="I949">
            <v>30</v>
          </cell>
          <cell r="J949">
            <v>30</v>
          </cell>
          <cell r="K949">
            <v>10</v>
          </cell>
          <cell r="L949">
            <v>10</v>
          </cell>
          <cell r="M949">
            <v>9.9009900990099015E-2</v>
          </cell>
          <cell r="N949">
            <v>9.9000000000000005E-2</v>
          </cell>
          <cell r="O949" t="str">
            <v>$1642</v>
          </cell>
          <cell r="P949" t="str">
            <v>$1642</v>
          </cell>
          <cell r="Q949">
            <v>45617</v>
          </cell>
          <cell r="R949" t="str">
            <v>Hyderabad</v>
          </cell>
          <cell r="S949" t="str">
            <v>Desktop</v>
          </cell>
          <cell r="T949" t="str">
            <v>data analytics training</v>
          </cell>
        </row>
        <row r="950">
          <cell r="A950" t="str">
            <v>A1948</v>
          </cell>
          <cell r="B950" t="str">
            <v>Data Analytcis Course</v>
          </cell>
          <cell r="C950">
            <v>116</v>
          </cell>
          <cell r="D950">
            <v>116</v>
          </cell>
          <cell r="E950">
            <v>4224</v>
          </cell>
          <cell r="F950">
            <v>4224</v>
          </cell>
          <cell r="G950" t="str">
            <v>$245.99</v>
          </cell>
          <cell r="H950" t="str">
            <v>$245.99</v>
          </cell>
          <cell r="I950">
            <v>10</v>
          </cell>
          <cell r="J950">
            <v>10</v>
          </cell>
          <cell r="K950">
            <v>5</v>
          </cell>
          <cell r="L950">
            <v>5</v>
          </cell>
          <cell r="M950">
            <v>4.3103448275862072E-2</v>
          </cell>
          <cell r="O950" t="str">
            <v>$1054</v>
          </cell>
          <cell r="P950" t="str">
            <v>$1054</v>
          </cell>
          <cell r="Q950">
            <v>45601</v>
          </cell>
          <cell r="R950" t="str">
            <v>Hyderabad</v>
          </cell>
          <cell r="S950" t="str">
            <v>Tablet</v>
          </cell>
          <cell r="T950" t="str">
            <v>data analytics online</v>
          </cell>
        </row>
        <row r="951">
          <cell r="A951" t="str">
            <v>A1949</v>
          </cell>
          <cell r="B951" t="str">
            <v>Data Analytics Course</v>
          </cell>
          <cell r="C951">
            <v>187</v>
          </cell>
          <cell r="D951">
            <v>187</v>
          </cell>
          <cell r="E951">
            <v>3199</v>
          </cell>
          <cell r="F951">
            <v>3199</v>
          </cell>
          <cell r="G951" t="str">
            <v>$193.29</v>
          </cell>
          <cell r="H951" t="str">
            <v>$193.29</v>
          </cell>
          <cell r="I951">
            <v>24</v>
          </cell>
          <cell r="J951">
            <v>24</v>
          </cell>
          <cell r="K951">
            <v>6</v>
          </cell>
          <cell r="L951">
            <v>6</v>
          </cell>
          <cell r="M951">
            <v>3.2085561497326207E-2</v>
          </cell>
          <cell r="N951">
            <v>3.2000000000000001E-2</v>
          </cell>
          <cell r="O951" t="str">
            <v>$1430</v>
          </cell>
          <cell r="P951" t="str">
            <v>$1430</v>
          </cell>
          <cell r="Q951">
            <v>45616</v>
          </cell>
          <cell r="R951" t="str">
            <v>Bangaluru</v>
          </cell>
          <cell r="S951" t="str">
            <v>Tablet</v>
          </cell>
          <cell r="T951" t="str">
            <v>online data analytic</v>
          </cell>
        </row>
        <row r="952">
          <cell r="A952" t="str">
            <v>A1950</v>
          </cell>
          <cell r="B952" t="str">
            <v>Data Analytics Course</v>
          </cell>
          <cell r="C952">
            <v>114</v>
          </cell>
          <cell r="D952">
            <v>114</v>
          </cell>
          <cell r="E952">
            <v>4333</v>
          </cell>
          <cell r="F952">
            <v>4333</v>
          </cell>
          <cell r="G952" t="str">
            <v>$192.81</v>
          </cell>
          <cell r="H952" t="str">
            <v>$192.81</v>
          </cell>
          <cell r="I952">
            <v>26</v>
          </cell>
          <cell r="J952">
            <v>26</v>
          </cell>
          <cell r="K952">
            <v>6</v>
          </cell>
          <cell r="L952">
            <v>6</v>
          </cell>
          <cell r="M952">
            <v>5.2631578947368418E-2</v>
          </cell>
          <cell r="N952">
            <v>5.2999999999999999E-2</v>
          </cell>
          <cell r="O952" t="str">
            <v>$1722</v>
          </cell>
          <cell r="P952" t="str">
            <v>$1722</v>
          </cell>
          <cell r="Q952">
            <v>45604</v>
          </cell>
          <cell r="R952" t="str">
            <v>Chennai</v>
          </cell>
          <cell r="S952" t="str">
            <v>Tablet</v>
          </cell>
          <cell r="T952" t="str">
            <v>data analytics training</v>
          </cell>
        </row>
        <row r="953">
          <cell r="A953" t="str">
            <v>A1951</v>
          </cell>
          <cell r="B953" t="str">
            <v>Data Analytics Course</v>
          </cell>
          <cell r="C953">
            <v>141</v>
          </cell>
          <cell r="D953">
            <v>141</v>
          </cell>
          <cell r="E953">
            <v>3617</v>
          </cell>
          <cell r="F953">
            <v>3617</v>
          </cell>
          <cell r="G953" t="str">
            <v>$198.52</v>
          </cell>
          <cell r="H953" t="str">
            <v>$198.52</v>
          </cell>
          <cell r="I953">
            <v>20</v>
          </cell>
          <cell r="J953">
            <v>20</v>
          </cell>
          <cell r="K953">
            <v>9</v>
          </cell>
          <cell r="L953">
            <v>9</v>
          </cell>
          <cell r="M953">
            <v>6.3829787234042548E-2</v>
          </cell>
          <cell r="O953" t="str">
            <v>$1858</v>
          </cell>
          <cell r="P953" t="str">
            <v>$1858</v>
          </cell>
          <cell r="Q953">
            <v>45617</v>
          </cell>
          <cell r="R953" t="str">
            <v>Hyderabad</v>
          </cell>
          <cell r="S953" t="str">
            <v>Desktop</v>
          </cell>
          <cell r="T953" t="str">
            <v>data analytics course</v>
          </cell>
        </row>
        <row r="954">
          <cell r="A954" t="str">
            <v>A1952</v>
          </cell>
          <cell r="B954" t="str">
            <v>Data Analytics Course</v>
          </cell>
          <cell r="C954">
            <v>167</v>
          </cell>
          <cell r="D954">
            <v>167</v>
          </cell>
          <cell r="E954">
            <v>5588</v>
          </cell>
          <cell r="F954">
            <v>5588</v>
          </cell>
          <cell r="G954" t="str">
            <v>$181.95</v>
          </cell>
          <cell r="H954" t="str">
            <v>$181.95</v>
          </cell>
          <cell r="I954">
            <v>18</v>
          </cell>
          <cell r="J954">
            <v>18</v>
          </cell>
          <cell r="K954">
            <v>9</v>
          </cell>
          <cell r="L954">
            <v>9</v>
          </cell>
          <cell r="M954">
            <v>5.3892215568862277E-2</v>
          </cell>
          <cell r="N954">
            <v>3.5000000000000003E-2</v>
          </cell>
          <cell r="O954" t="str">
            <v>$1500</v>
          </cell>
          <cell r="Q954">
            <v>45619</v>
          </cell>
          <cell r="R954" t="str">
            <v>Hyderabad</v>
          </cell>
          <cell r="S954" t="str">
            <v>Tablet</v>
          </cell>
          <cell r="T954" t="str">
            <v>data analytics training</v>
          </cell>
        </row>
        <row r="955">
          <cell r="A955" t="str">
            <v>A1953</v>
          </cell>
          <cell r="B955" t="str">
            <v>Data Analytics Course</v>
          </cell>
          <cell r="C955">
            <v>186</v>
          </cell>
          <cell r="D955">
            <v>186</v>
          </cell>
          <cell r="E955">
            <v>4689</v>
          </cell>
          <cell r="F955">
            <v>4689</v>
          </cell>
          <cell r="G955" t="str">
            <v>$204.31</v>
          </cell>
          <cell r="H955" t="str">
            <v>$204.31</v>
          </cell>
          <cell r="I955">
            <v>26</v>
          </cell>
          <cell r="J955">
            <v>26</v>
          </cell>
          <cell r="K955">
            <v>6</v>
          </cell>
          <cell r="L955">
            <v>6</v>
          </cell>
          <cell r="M955">
            <v>3.2258064516129031E-2</v>
          </cell>
          <cell r="N955">
            <v>3.2000000000000001E-2</v>
          </cell>
          <cell r="O955" t="str">
            <v>$1936</v>
          </cell>
          <cell r="P955" t="str">
            <v>$1936</v>
          </cell>
          <cell r="Q955">
            <v>45617</v>
          </cell>
          <cell r="R955" t="str">
            <v>Hyderabad</v>
          </cell>
          <cell r="S955" t="str">
            <v>Desktop</v>
          </cell>
          <cell r="T955" t="str">
            <v>data analytics online</v>
          </cell>
        </row>
        <row r="956">
          <cell r="A956" t="str">
            <v>A1954</v>
          </cell>
          <cell r="B956" t="str">
            <v>Data Analytics Course</v>
          </cell>
          <cell r="C956">
            <v>138.95699356913184</v>
          </cell>
          <cell r="E956">
            <v>4846</v>
          </cell>
          <cell r="F956">
            <v>4846</v>
          </cell>
          <cell r="G956" t="str">
            <v>$206.4</v>
          </cell>
          <cell r="H956" t="str">
            <v>$206.4</v>
          </cell>
          <cell r="I956">
            <v>21</v>
          </cell>
          <cell r="J956">
            <v>21</v>
          </cell>
          <cell r="K956">
            <v>7</v>
          </cell>
          <cell r="L956">
            <v>7</v>
          </cell>
          <cell r="M956">
            <v>5.0375298286210138E-2</v>
          </cell>
          <cell r="O956" t="str">
            <v>$1526</v>
          </cell>
          <cell r="P956" t="str">
            <v>$1526</v>
          </cell>
          <cell r="Q956">
            <v>45624</v>
          </cell>
          <cell r="R956" t="str">
            <v>Chennai</v>
          </cell>
          <cell r="S956" t="str">
            <v>Mobile</v>
          </cell>
          <cell r="T956" t="str">
            <v>data analytics online</v>
          </cell>
        </row>
        <row r="957">
          <cell r="A957" t="str">
            <v>A1955</v>
          </cell>
          <cell r="B957" t="str">
            <v>Data Analytics Course</v>
          </cell>
          <cell r="C957">
            <v>136</v>
          </cell>
          <cell r="D957">
            <v>136</v>
          </cell>
          <cell r="E957">
            <v>3441</v>
          </cell>
          <cell r="F957">
            <v>3441</v>
          </cell>
          <cell r="G957" t="str">
            <v>$236.21</v>
          </cell>
          <cell r="H957" t="str">
            <v>$236.21</v>
          </cell>
          <cell r="I957">
            <v>26</v>
          </cell>
          <cell r="J957">
            <v>26</v>
          </cell>
          <cell r="K957">
            <v>9</v>
          </cell>
          <cell r="L957">
            <v>9</v>
          </cell>
          <cell r="M957">
            <v>6.6176470588235295E-2</v>
          </cell>
          <cell r="O957" t="str">
            <v>$1461</v>
          </cell>
          <cell r="P957" t="str">
            <v>$1461</v>
          </cell>
          <cell r="Q957">
            <v>45611</v>
          </cell>
          <cell r="R957" t="str">
            <v>Bangaluru</v>
          </cell>
          <cell r="S957" t="str">
            <v>Desktop</v>
          </cell>
          <cell r="T957" t="str">
            <v>learn data analytics</v>
          </cell>
        </row>
        <row r="958">
          <cell r="A958" t="str">
            <v>A1956</v>
          </cell>
          <cell r="B958" t="str">
            <v>Data Analytics Course</v>
          </cell>
          <cell r="C958">
            <v>185</v>
          </cell>
          <cell r="D958">
            <v>185</v>
          </cell>
          <cell r="E958">
            <v>3719</v>
          </cell>
          <cell r="F958">
            <v>3719</v>
          </cell>
          <cell r="G958" t="str">
            <v>$245.91</v>
          </cell>
          <cell r="H958" t="str">
            <v>$245.91</v>
          </cell>
          <cell r="I958">
            <v>17</v>
          </cell>
          <cell r="J958">
            <v>17</v>
          </cell>
          <cell r="K958">
            <v>9</v>
          </cell>
          <cell r="L958">
            <v>9</v>
          </cell>
          <cell r="M958">
            <v>4.8648648648648651E-2</v>
          </cell>
          <cell r="N958">
            <v>4.9000000000000002E-2</v>
          </cell>
          <cell r="O958" t="str">
            <v>$1218</v>
          </cell>
          <cell r="P958" t="str">
            <v>$1218</v>
          </cell>
          <cell r="Q958">
            <v>45605</v>
          </cell>
          <cell r="R958" t="str">
            <v>Chennai</v>
          </cell>
          <cell r="S958" t="str">
            <v>Mobile</v>
          </cell>
          <cell r="T958" t="str">
            <v>online data analytic</v>
          </cell>
        </row>
        <row r="959">
          <cell r="A959" t="str">
            <v>A1957</v>
          </cell>
          <cell r="B959" t="str">
            <v>Data Analytics Course</v>
          </cell>
          <cell r="C959">
            <v>162</v>
          </cell>
          <cell r="D959">
            <v>162</v>
          </cell>
          <cell r="E959">
            <v>3337</v>
          </cell>
          <cell r="F959">
            <v>3337</v>
          </cell>
          <cell r="G959" t="str">
            <v>$200.94</v>
          </cell>
          <cell r="H959" t="str">
            <v>$200.94</v>
          </cell>
          <cell r="I959">
            <v>11</v>
          </cell>
          <cell r="J959">
            <v>11</v>
          </cell>
          <cell r="K959">
            <v>9</v>
          </cell>
          <cell r="L959">
            <v>9</v>
          </cell>
          <cell r="M959">
            <v>5.5555555555555552E-2</v>
          </cell>
          <cell r="N959">
            <v>5.6000000000000001E-2</v>
          </cell>
          <cell r="O959" t="str">
            <v>$1820</v>
          </cell>
          <cell r="P959" t="str">
            <v>$1820</v>
          </cell>
          <cell r="Q959">
            <v>45612</v>
          </cell>
          <cell r="R959" t="str">
            <v>Chennai</v>
          </cell>
          <cell r="S959" t="str">
            <v>Mobile</v>
          </cell>
          <cell r="T959" t="str">
            <v>data analytics course</v>
          </cell>
        </row>
        <row r="960">
          <cell r="A960" t="str">
            <v>A1958</v>
          </cell>
          <cell r="B960" t="str">
            <v>Data Analytics Course</v>
          </cell>
          <cell r="C960">
            <v>91</v>
          </cell>
          <cell r="D960">
            <v>91</v>
          </cell>
          <cell r="E960">
            <v>3694</v>
          </cell>
          <cell r="F960">
            <v>3694</v>
          </cell>
          <cell r="G960" t="str">
            <v>$234.02</v>
          </cell>
          <cell r="H960" t="str">
            <v>$234.02</v>
          </cell>
          <cell r="I960">
            <v>23</v>
          </cell>
          <cell r="J960">
            <v>23</v>
          </cell>
          <cell r="K960">
            <v>5</v>
          </cell>
          <cell r="L960">
            <v>5</v>
          </cell>
          <cell r="M960">
            <v>5.4945054945054944E-2</v>
          </cell>
          <cell r="N960">
            <v>5.5E-2</v>
          </cell>
          <cell r="O960" t="str">
            <v>$1500</v>
          </cell>
          <cell r="Q960">
            <v>45620</v>
          </cell>
          <cell r="R960" t="str">
            <v>Hyderabad</v>
          </cell>
          <cell r="S960" t="str">
            <v>Desktop</v>
          </cell>
          <cell r="T960" t="str">
            <v>online data analytic</v>
          </cell>
        </row>
        <row r="961">
          <cell r="A961" t="str">
            <v>A1959</v>
          </cell>
          <cell r="B961" t="str">
            <v>Data Analytcis Course</v>
          </cell>
          <cell r="C961">
            <v>109</v>
          </cell>
          <cell r="D961">
            <v>109</v>
          </cell>
          <cell r="E961">
            <v>5641</v>
          </cell>
          <cell r="F961">
            <v>5641</v>
          </cell>
          <cell r="G961" t="str">
            <v>$224.36</v>
          </cell>
          <cell r="H961" t="str">
            <v>$224.36</v>
          </cell>
          <cell r="I961">
            <v>30</v>
          </cell>
          <cell r="J961">
            <v>30</v>
          </cell>
          <cell r="K961">
            <v>4</v>
          </cell>
          <cell r="L961">
            <v>4</v>
          </cell>
          <cell r="M961">
            <v>3.669724770642202E-2</v>
          </cell>
          <cell r="N961">
            <v>3.6999999999999998E-2</v>
          </cell>
          <cell r="O961" t="str">
            <v>$1531</v>
          </cell>
          <cell r="P961" t="str">
            <v>$1531</v>
          </cell>
          <cell r="Q961">
            <v>45609</v>
          </cell>
          <cell r="R961" t="str">
            <v>Hyderabad</v>
          </cell>
          <cell r="S961" t="str">
            <v>Tablet</v>
          </cell>
          <cell r="T961" t="str">
            <v>analytics for data</v>
          </cell>
        </row>
        <row r="962">
          <cell r="A962" t="str">
            <v>A1960</v>
          </cell>
          <cell r="B962" t="str">
            <v>Data Analytics Course</v>
          </cell>
          <cell r="C962">
            <v>88</v>
          </cell>
          <cell r="D962">
            <v>88</v>
          </cell>
          <cell r="E962">
            <v>3992</v>
          </cell>
          <cell r="F962">
            <v>3992</v>
          </cell>
          <cell r="G962" t="str">
            <v>$195.38</v>
          </cell>
          <cell r="H962" t="str">
            <v>$195.38</v>
          </cell>
          <cell r="I962">
            <v>14</v>
          </cell>
          <cell r="J962">
            <v>14</v>
          </cell>
          <cell r="K962">
            <v>4</v>
          </cell>
          <cell r="L962">
            <v>4</v>
          </cell>
          <cell r="M962">
            <v>4.5454545454545456E-2</v>
          </cell>
          <cell r="O962" t="str">
            <v>$1228</v>
          </cell>
          <cell r="P962" t="str">
            <v>$1228</v>
          </cell>
          <cell r="Q962">
            <v>45611</v>
          </cell>
          <cell r="R962" t="str">
            <v>Chennai</v>
          </cell>
          <cell r="S962" t="str">
            <v>Desktop</v>
          </cell>
          <cell r="T962" t="str">
            <v>data analytics course</v>
          </cell>
        </row>
        <row r="963">
          <cell r="A963" t="str">
            <v>A1961</v>
          </cell>
          <cell r="B963" t="str">
            <v>Data Analytcis Course</v>
          </cell>
          <cell r="C963">
            <v>189</v>
          </cell>
          <cell r="D963">
            <v>189</v>
          </cell>
          <cell r="E963">
            <v>3411</v>
          </cell>
          <cell r="F963">
            <v>3411</v>
          </cell>
          <cell r="G963" t="str">
            <v>$205.26</v>
          </cell>
          <cell r="H963" t="str">
            <v>$205.26</v>
          </cell>
          <cell r="I963">
            <v>28</v>
          </cell>
          <cell r="J963">
            <v>28</v>
          </cell>
          <cell r="K963">
            <v>7</v>
          </cell>
          <cell r="L963">
            <v>7</v>
          </cell>
          <cell r="M963">
            <v>3.7037037037037035E-2</v>
          </cell>
          <cell r="O963" t="str">
            <v>$1147</v>
          </cell>
          <cell r="P963" t="str">
            <v>$1147</v>
          </cell>
          <cell r="Q963">
            <v>45623</v>
          </cell>
          <cell r="R963" t="str">
            <v>Chennai</v>
          </cell>
          <cell r="S963" t="str">
            <v>Desktop</v>
          </cell>
          <cell r="T963" t="str">
            <v>analytics for data</v>
          </cell>
        </row>
        <row r="964">
          <cell r="A964" t="str">
            <v>A1962</v>
          </cell>
          <cell r="B964" t="str">
            <v>Data Analytics Course</v>
          </cell>
          <cell r="C964">
            <v>154</v>
          </cell>
          <cell r="D964">
            <v>154</v>
          </cell>
          <cell r="E964">
            <v>3099</v>
          </cell>
          <cell r="F964">
            <v>3099</v>
          </cell>
          <cell r="G964" t="str">
            <v>$218.7</v>
          </cell>
          <cell r="H964" t="str">
            <v>$218.7</v>
          </cell>
          <cell r="I964">
            <v>30</v>
          </cell>
          <cell r="J964">
            <v>30</v>
          </cell>
          <cell r="K964">
            <v>6</v>
          </cell>
          <cell r="L964">
            <v>6</v>
          </cell>
          <cell r="M964">
            <v>3.896103896103896E-2</v>
          </cell>
          <cell r="N964">
            <v>3.9E-2</v>
          </cell>
          <cell r="O964" t="str">
            <v>$1366</v>
          </cell>
          <cell r="P964" t="str">
            <v>$1366</v>
          </cell>
          <cell r="Q964">
            <v>45606</v>
          </cell>
          <cell r="R964" t="str">
            <v>Hyderabad</v>
          </cell>
          <cell r="S964" t="str">
            <v>Desktop</v>
          </cell>
          <cell r="T964" t="str">
            <v>data analytics online</v>
          </cell>
        </row>
        <row r="965">
          <cell r="A965" t="str">
            <v>A1963</v>
          </cell>
          <cell r="B965" t="str">
            <v>Data Analytcis Course</v>
          </cell>
          <cell r="C965">
            <v>106</v>
          </cell>
          <cell r="D965">
            <v>106</v>
          </cell>
          <cell r="E965">
            <v>3017</v>
          </cell>
          <cell r="F965">
            <v>3017</v>
          </cell>
          <cell r="G965" t="str">
            <v>$242.71</v>
          </cell>
          <cell r="H965" t="str">
            <v>$242.71</v>
          </cell>
          <cell r="I965">
            <v>24</v>
          </cell>
          <cell r="J965">
            <v>24</v>
          </cell>
          <cell r="K965">
            <v>5</v>
          </cell>
          <cell r="L965">
            <v>5</v>
          </cell>
          <cell r="M965">
            <v>4.716981132075472E-2</v>
          </cell>
          <cell r="N965">
            <v>0.03</v>
          </cell>
          <cell r="O965" t="str">
            <v>$1701</v>
          </cell>
          <cell r="P965" t="str">
            <v>$1701</v>
          </cell>
          <cell r="Q965">
            <v>45600</v>
          </cell>
          <cell r="R965" t="str">
            <v>Hyderabad</v>
          </cell>
          <cell r="S965" t="str">
            <v>Mobile</v>
          </cell>
          <cell r="T965" t="str">
            <v>learn data analytics</v>
          </cell>
        </row>
        <row r="966">
          <cell r="A966" t="str">
            <v>A1964</v>
          </cell>
          <cell r="B966" t="str">
            <v>Data Analytics Course</v>
          </cell>
          <cell r="C966">
            <v>134</v>
          </cell>
          <cell r="D966">
            <v>134</v>
          </cell>
          <cell r="E966">
            <v>4523.2808326787117</v>
          </cell>
          <cell r="G966" t="str">
            <v>$202.32</v>
          </cell>
          <cell r="H966" t="str">
            <v>$202.32</v>
          </cell>
          <cell r="I966">
            <v>17</v>
          </cell>
          <cell r="J966">
            <v>17</v>
          </cell>
          <cell r="K966">
            <v>5</v>
          </cell>
          <cell r="L966">
            <v>5</v>
          </cell>
          <cell r="M966">
            <v>3.7313432835820892E-2</v>
          </cell>
          <cell r="N966">
            <v>5.7000000000000002E-2</v>
          </cell>
          <cell r="O966" t="str">
            <v>$1963</v>
          </cell>
          <cell r="P966" t="str">
            <v>$1963</v>
          </cell>
          <cell r="Q966">
            <v>45619</v>
          </cell>
          <cell r="R966" t="str">
            <v>Hyderabad</v>
          </cell>
          <cell r="S966" t="str">
            <v>Tablet</v>
          </cell>
          <cell r="T966" t="str">
            <v>data analytics training</v>
          </cell>
        </row>
        <row r="967">
          <cell r="A967" t="str">
            <v>A1965</v>
          </cell>
          <cell r="B967" t="str">
            <v>Data Analytics Course</v>
          </cell>
          <cell r="C967">
            <v>84</v>
          </cell>
          <cell r="D967">
            <v>84</v>
          </cell>
          <cell r="E967">
            <v>5662</v>
          </cell>
          <cell r="F967">
            <v>5662</v>
          </cell>
          <cell r="G967" t="str">
            <v>$228.62</v>
          </cell>
          <cell r="H967" t="str">
            <v>$228.62</v>
          </cell>
          <cell r="I967">
            <v>25</v>
          </cell>
          <cell r="J967">
            <v>25</v>
          </cell>
          <cell r="K967">
            <v>9</v>
          </cell>
          <cell r="L967">
            <v>9</v>
          </cell>
          <cell r="M967">
            <v>0.10714285714285714</v>
          </cell>
          <cell r="N967">
            <v>0.107</v>
          </cell>
          <cell r="O967" t="str">
            <v>$1988</v>
          </cell>
          <cell r="P967" t="str">
            <v>$1988</v>
          </cell>
          <cell r="Q967">
            <v>45622</v>
          </cell>
          <cell r="R967" t="str">
            <v>Chennai</v>
          </cell>
          <cell r="S967" t="str">
            <v>Desktop</v>
          </cell>
          <cell r="T967" t="str">
            <v>analytics for data</v>
          </cell>
        </row>
        <row r="968">
          <cell r="A968" t="str">
            <v>A1966</v>
          </cell>
          <cell r="B968" t="str">
            <v>Data Analytics Course</v>
          </cell>
          <cell r="C968">
            <v>190</v>
          </cell>
          <cell r="D968">
            <v>190</v>
          </cell>
          <cell r="E968">
            <v>4476</v>
          </cell>
          <cell r="F968">
            <v>4476</v>
          </cell>
          <cell r="G968" t="str">
            <v>$198.18</v>
          </cell>
          <cell r="H968" t="str">
            <v>$198.18</v>
          </cell>
          <cell r="I968">
            <v>12</v>
          </cell>
          <cell r="J968">
            <v>12</v>
          </cell>
          <cell r="K968">
            <v>4</v>
          </cell>
          <cell r="L968">
            <v>4</v>
          </cell>
          <cell r="M968">
            <v>2.1052631578947368E-2</v>
          </cell>
          <cell r="O968" t="str">
            <v>$1002</v>
          </cell>
          <cell r="P968" t="str">
            <v>$1002</v>
          </cell>
          <cell r="Q968">
            <v>45603</v>
          </cell>
          <cell r="R968" t="str">
            <v>Hyderabad</v>
          </cell>
          <cell r="S968" t="str">
            <v>Desktop</v>
          </cell>
          <cell r="T968" t="str">
            <v>data analytics online</v>
          </cell>
        </row>
        <row r="969">
          <cell r="A969" t="str">
            <v>A1967</v>
          </cell>
          <cell r="B969" t="str">
            <v>Data Analytics Course</v>
          </cell>
          <cell r="C969">
            <v>156</v>
          </cell>
          <cell r="D969">
            <v>156</v>
          </cell>
          <cell r="E969">
            <v>4771</v>
          </cell>
          <cell r="F969">
            <v>4771</v>
          </cell>
          <cell r="G969" t="str">
            <v>$199.3</v>
          </cell>
          <cell r="H969" t="str">
            <v>$199.3</v>
          </cell>
          <cell r="I969">
            <v>26</v>
          </cell>
          <cell r="J969">
            <v>26</v>
          </cell>
          <cell r="K969">
            <v>8</v>
          </cell>
          <cell r="L969">
            <v>8</v>
          </cell>
          <cell r="M969">
            <v>5.128205128205128E-2</v>
          </cell>
          <cell r="N969">
            <v>5.0999999999999997E-2</v>
          </cell>
          <cell r="O969" t="str">
            <v>$1823</v>
          </cell>
          <cell r="P969" t="str">
            <v>$1823</v>
          </cell>
          <cell r="Q969">
            <v>45600</v>
          </cell>
          <cell r="R969" t="str">
            <v>Chennai</v>
          </cell>
          <cell r="S969" t="str">
            <v>Tablet</v>
          </cell>
          <cell r="T969" t="str">
            <v>data analytics online</v>
          </cell>
        </row>
        <row r="970">
          <cell r="A970" t="str">
            <v>A1968</v>
          </cell>
          <cell r="B970" t="str">
            <v>Data Analytics Course</v>
          </cell>
          <cell r="C970">
            <v>138.95699356913184</v>
          </cell>
          <cell r="E970">
            <v>5510</v>
          </cell>
          <cell r="F970">
            <v>5510</v>
          </cell>
          <cell r="G970" t="str">
            <v>$198.92</v>
          </cell>
          <cell r="H970" t="str">
            <v>$198.92</v>
          </cell>
          <cell r="I970">
            <v>23</v>
          </cell>
          <cell r="J970">
            <v>23</v>
          </cell>
          <cell r="K970">
            <v>9</v>
          </cell>
          <cell r="L970">
            <v>9</v>
          </cell>
          <cell r="M970">
            <v>6.4768240653698753E-2</v>
          </cell>
          <cell r="O970" t="str">
            <v>$1063</v>
          </cell>
          <cell r="P970" t="str">
            <v>$1063</v>
          </cell>
          <cell r="Q970">
            <v>45610</v>
          </cell>
          <cell r="R970" t="str">
            <v>Bangaluru</v>
          </cell>
          <cell r="S970" t="str">
            <v>Desktop</v>
          </cell>
          <cell r="T970" t="str">
            <v>data analytics course</v>
          </cell>
        </row>
        <row r="971">
          <cell r="A971" t="str">
            <v>A1969</v>
          </cell>
          <cell r="B971" t="str">
            <v>Data Analytics Course</v>
          </cell>
          <cell r="C971">
            <v>170</v>
          </cell>
          <cell r="D971">
            <v>170</v>
          </cell>
          <cell r="E971">
            <v>4786</v>
          </cell>
          <cell r="F971">
            <v>4786</v>
          </cell>
          <cell r="G971" t="str">
            <v>$202.62</v>
          </cell>
          <cell r="H971" t="str">
            <v>$202.62</v>
          </cell>
          <cell r="I971">
            <v>27</v>
          </cell>
          <cell r="J971">
            <v>27</v>
          </cell>
          <cell r="K971">
            <v>6</v>
          </cell>
          <cell r="L971">
            <v>6</v>
          </cell>
          <cell r="M971">
            <v>3.5294117647058823E-2</v>
          </cell>
          <cell r="N971">
            <v>0.04</v>
          </cell>
          <cell r="O971" t="str">
            <v>$1372</v>
          </cell>
          <cell r="P971" t="str">
            <v>$1372</v>
          </cell>
          <cell r="Q971">
            <v>45600</v>
          </cell>
          <cell r="R971" t="str">
            <v>Hyderabad</v>
          </cell>
          <cell r="S971" t="str">
            <v>Mobile</v>
          </cell>
          <cell r="T971" t="str">
            <v>data analytics training</v>
          </cell>
        </row>
        <row r="972">
          <cell r="A972" t="str">
            <v>A1970</v>
          </cell>
          <cell r="B972" t="str">
            <v>Data Analytics Course</v>
          </cell>
          <cell r="C972">
            <v>86</v>
          </cell>
          <cell r="D972">
            <v>86</v>
          </cell>
          <cell r="E972">
            <v>3964</v>
          </cell>
          <cell r="F972">
            <v>3964</v>
          </cell>
          <cell r="G972" t="str">
            <v>$193.15</v>
          </cell>
          <cell r="H972" t="str">
            <v>$193.15</v>
          </cell>
          <cell r="I972">
            <v>26</v>
          </cell>
          <cell r="J972">
            <v>26</v>
          </cell>
          <cell r="K972">
            <v>5</v>
          </cell>
          <cell r="L972">
            <v>5</v>
          </cell>
          <cell r="M972">
            <v>5.8139534883720929E-2</v>
          </cell>
          <cell r="N972">
            <v>4.4999999999999998E-2</v>
          </cell>
          <cell r="O972" t="str">
            <v>$1639</v>
          </cell>
          <cell r="P972" t="str">
            <v>$1639</v>
          </cell>
          <cell r="Q972">
            <v>45619</v>
          </cell>
          <cell r="R972" t="str">
            <v>Bangaluru</v>
          </cell>
          <cell r="S972" t="str">
            <v>Desktop</v>
          </cell>
          <cell r="T972" t="str">
            <v>learn data analytics</v>
          </cell>
        </row>
        <row r="973">
          <cell r="A973" t="str">
            <v>A1971</v>
          </cell>
          <cell r="B973" t="str">
            <v>Data Analytics Course</v>
          </cell>
          <cell r="C973">
            <v>143</v>
          </cell>
          <cell r="D973">
            <v>143</v>
          </cell>
          <cell r="E973">
            <v>5317</v>
          </cell>
          <cell r="F973">
            <v>5317</v>
          </cell>
          <cell r="G973" t="str">
            <v>$236.37</v>
          </cell>
          <cell r="H973" t="str">
            <v>$236.37</v>
          </cell>
          <cell r="I973">
            <v>10</v>
          </cell>
          <cell r="J973">
            <v>10</v>
          </cell>
          <cell r="K973">
            <v>3</v>
          </cell>
          <cell r="L973">
            <v>3</v>
          </cell>
          <cell r="M973">
            <v>2.097902097902098E-2</v>
          </cell>
          <cell r="O973" t="str">
            <v>$1861</v>
          </cell>
          <cell r="P973" t="str">
            <v>$1861</v>
          </cell>
          <cell r="Q973">
            <v>45612</v>
          </cell>
          <cell r="R973" t="str">
            <v>Hyderabad</v>
          </cell>
          <cell r="S973" t="str">
            <v>Tablet</v>
          </cell>
          <cell r="T973" t="str">
            <v>data analytics online</v>
          </cell>
        </row>
        <row r="974">
          <cell r="A974" t="str">
            <v>A1972</v>
          </cell>
          <cell r="B974" t="str">
            <v>Data Analytics Course</v>
          </cell>
          <cell r="C974">
            <v>84</v>
          </cell>
          <cell r="D974">
            <v>84</v>
          </cell>
          <cell r="E974">
            <v>3454</v>
          </cell>
          <cell r="F974">
            <v>3454</v>
          </cell>
          <cell r="G974" t="str">
            <v>$206.8</v>
          </cell>
          <cell r="H974" t="str">
            <v>$206.8</v>
          </cell>
          <cell r="I974">
            <v>23</v>
          </cell>
          <cell r="J974">
            <v>23</v>
          </cell>
          <cell r="K974">
            <v>3</v>
          </cell>
          <cell r="L974">
            <v>3</v>
          </cell>
          <cell r="M974">
            <v>3.5714285714285712E-2</v>
          </cell>
          <cell r="N974">
            <v>3.5999999999999997E-2</v>
          </cell>
          <cell r="O974" t="str">
            <v>$1573</v>
          </cell>
          <cell r="P974" t="str">
            <v>$1573</v>
          </cell>
          <cell r="Q974">
            <v>45613</v>
          </cell>
          <cell r="R974" t="str">
            <v>Hyderabad</v>
          </cell>
          <cell r="S974" t="str">
            <v>Desktop</v>
          </cell>
          <cell r="T974" t="str">
            <v>learn data analytics</v>
          </cell>
        </row>
        <row r="975">
          <cell r="A975" t="str">
            <v>A1973</v>
          </cell>
          <cell r="B975" t="str">
            <v>Data Analytics Course</v>
          </cell>
          <cell r="C975">
            <v>145</v>
          </cell>
          <cell r="D975">
            <v>145</v>
          </cell>
          <cell r="E975">
            <v>3804</v>
          </cell>
          <cell r="F975">
            <v>3804</v>
          </cell>
          <cell r="G975" t="str">
            <v>$236.92</v>
          </cell>
          <cell r="H975" t="str">
            <v>$236.92</v>
          </cell>
          <cell r="I975">
            <v>29</v>
          </cell>
          <cell r="J975">
            <v>29</v>
          </cell>
          <cell r="K975">
            <v>8</v>
          </cell>
          <cell r="L975">
            <v>8</v>
          </cell>
          <cell r="M975">
            <v>5.5172413793103448E-2</v>
          </cell>
          <cell r="O975" t="str">
            <v>$1328</v>
          </cell>
          <cell r="P975" t="str">
            <v>$1328</v>
          </cell>
          <cell r="Q975">
            <v>45619</v>
          </cell>
          <cell r="R975" t="str">
            <v>Chennai</v>
          </cell>
          <cell r="S975" t="str">
            <v>Tablet</v>
          </cell>
          <cell r="T975" t="str">
            <v>data analytics course</v>
          </cell>
        </row>
        <row r="976">
          <cell r="A976" t="str">
            <v>A1974</v>
          </cell>
          <cell r="B976" t="str">
            <v>Data Analytcis Course</v>
          </cell>
          <cell r="C976">
            <v>126</v>
          </cell>
          <cell r="D976">
            <v>126</v>
          </cell>
          <cell r="E976">
            <v>4670</v>
          </cell>
          <cell r="F976">
            <v>4670</v>
          </cell>
          <cell r="G976" t="str">
            <v>$234.65</v>
          </cell>
          <cell r="H976" t="str">
            <v>$234.65</v>
          </cell>
          <cell r="I976">
            <v>25</v>
          </cell>
          <cell r="J976">
            <v>25</v>
          </cell>
          <cell r="K976">
            <v>8</v>
          </cell>
          <cell r="L976">
            <v>8</v>
          </cell>
          <cell r="M976">
            <v>6.3492063492063489E-2</v>
          </cell>
          <cell r="O976" t="str">
            <v>$1470</v>
          </cell>
          <cell r="P976" t="str">
            <v>$1470</v>
          </cell>
          <cell r="Q976">
            <v>45619</v>
          </cell>
          <cell r="R976" t="str">
            <v>Bangaluru</v>
          </cell>
          <cell r="S976" t="str">
            <v>Desktop</v>
          </cell>
          <cell r="T976" t="str">
            <v>online data analytic</v>
          </cell>
        </row>
        <row r="977">
          <cell r="A977" t="str">
            <v>A1975</v>
          </cell>
          <cell r="B977" t="str">
            <v>Data Analytics Course</v>
          </cell>
          <cell r="C977">
            <v>156</v>
          </cell>
          <cell r="D977">
            <v>156</v>
          </cell>
          <cell r="E977">
            <v>3273</v>
          </cell>
          <cell r="F977">
            <v>3273</v>
          </cell>
          <cell r="G977" t="str">
            <v>$189.36</v>
          </cell>
          <cell r="H977" t="str">
            <v>$189.36</v>
          </cell>
          <cell r="I977">
            <v>14</v>
          </cell>
          <cell r="J977">
            <v>14</v>
          </cell>
          <cell r="K977">
            <v>6</v>
          </cell>
          <cell r="L977">
            <v>6</v>
          </cell>
          <cell r="M977">
            <v>3.8461538461538464E-2</v>
          </cell>
          <cell r="N977">
            <v>3.7999999999999999E-2</v>
          </cell>
          <cell r="O977" t="str">
            <v>$1860</v>
          </cell>
          <cell r="P977" t="str">
            <v>$1860</v>
          </cell>
          <cell r="Q977">
            <v>45611</v>
          </cell>
          <cell r="R977" t="str">
            <v>Chennai</v>
          </cell>
          <cell r="S977" t="str">
            <v>Mobile</v>
          </cell>
          <cell r="T977" t="str">
            <v>data analytics online</v>
          </cell>
        </row>
        <row r="978">
          <cell r="A978" t="str">
            <v>A1976</v>
          </cell>
          <cell r="B978" t="str">
            <v>Data Analytics Course</v>
          </cell>
          <cell r="C978">
            <v>124</v>
          </cell>
          <cell r="D978">
            <v>124</v>
          </cell>
          <cell r="E978">
            <v>4236</v>
          </cell>
          <cell r="F978">
            <v>4236</v>
          </cell>
          <cell r="G978" t="str">
            <v>$182.02</v>
          </cell>
          <cell r="H978" t="str">
            <v>$182.02</v>
          </cell>
          <cell r="I978">
            <v>20.055415617128464</v>
          </cell>
          <cell r="K978">
            <v>9</v>
          </cell>
          <cell r="L978">
            <v>9</v>
          </cell>
          <cell r="M978">
            <v>7.2580645161290328E-2</v>
          </cell>
          <cell r="N978">
            <v>7.2999999999999995E-2</v>
          </cell>
          <cell r="O978" t="str">
            <v>$1979</v>
          </cell>
          <cell r="P978" t="str">
            <v>$1979</v>
          </cell>
          <cell r="Q978">
            <v>45618</v>
          </cell>
          <cell r="R978" t="str">
            <v>Bangaluru</v>
          </cell>
          <cell r="S978" t="str">
            <v>Desktop</v>
          </cell>
          <cell r="T978" t="str">
            <v>data analytics training</v>
          </cell>
        </row>
        <row r="979">
          <cell r="A979" t="str">
            <v>A1977</v>
          </cell>
          <cell r="B979" t="str">
            <v>Data Analytcis Course</v>
          </cell>
          <cell r="C979">
            <v>197</v>
          </cell>
          <cell r="D979">
            <v>197</v>
          </cell>
          <cell r="E979">
            <v>5866</v>
          </cell>
          <cell r="F979">
            <v>5866</v>
          </cell>
          <cell r="G979" t="str">
            <v>$217.81</v>
          </cell>
          <cell r="H979" t="str">
            <v>$217.81</v>
          </cell>
          <cell r="I979">
            <v>28</v>
          </cell>
          <cell r="J979">
            <v>28</v>
          </cell>
          <cell r="K979">
            <v>7</v>
          </cell>
          <cell r="L979">
            <v>7</v>
          </cell>
          <cell r="M979">
            <v>3.553299492385787E-2</v>
          </cell>
          <cell r="N979">
            <v>3.5999999999999997E-2</v>
          </cell>
          <cell r="O979" t="str">
            <v>$1331</v>
          </cell>
          <cell r="P979" t="str">
            <v>$1331</v>
          </cell>
          <cell r="Q979">
            <v>45614</v>
          </cell>
          <cell r="R979" t="str">
            <v>Bangaluru</v>
          </cell>
          <cell r="S979" t="str">
            <v>Mobile</v>
          </cell>
          <cell r="T979" t="str">
            <v>learn data analytics</v>
          </cell>
        </row>
        <row r="980">
          <cell r="A980" t="str">
            <v>A1978</v>
          </cell>
          <cell r="B980" t="str">
            <v>Data Analytics Course</v>
          </cell>
          <cell r="C980">
            <v>106</v>
          </cell>
          <cell r="D980">
            <v>106</v>
          </cell>
          <cell r="E980">
            <v>3102</v>
          </cell>
          <cell r="F980">
            <v>3102</v>
          </cell>
          <cell r="G980" t="str">
            <v>$214.56</v>
          </cell>
          <cell r="H980" t="str">
            <v>$214.56</v>
          </cell>
          <cell r="I980">
            <v>12</v>
          </cell>
          <cell r="J980">
            <v>12</v>
          </cell>
          <cell r="K980">
            <v>6.4945686900958464</v>
          </cell>
          <cell r="M980">
            <v>6.126951594430044E-2</v>
          </cell>
          <cell r="O980" t="str">
            <v>$1881</v>
          </cell>
          <cell r="P980" t="str">
            <v>$1881</v>
          </cell>
          <cell r="Q980">
            <v>45621</v>
          </cell>
          <cell r="R980" t="str">
            <v>Hyderabad</v>
          </cell>
          <cell r="S980" t="str">
            <v>Mobile</v>
          </cell>
          <cell r="T980" t="str">
            <v>learn data analytics</v>
          </cell>
        </row>
        <row r="981">
          <cell r="A981" t="str">
            <v>A1979</v>
          </cell>
          <cell r="B981" t="str">
            <v>Data Analytics Course</v>
          </cell>
          <cell r="C981">
            <v>129</v>
          </cell>
          <cell r="D981">
            <v>129</v>
          </cell>
          <cell r="E981">
            <v>4856</v>
          </cell>
          <cell r="F981">
            <v>4856</v>
          </cell>
          <cell r="G981" t="str">
            <v>$230.13</v>
          </cell>
          <cell r="H981" t="str">
            <v>$230.13</v>
          </cell>
          <cell r="I981">
            <v>23</v>
          </cell>
          <cell r="J981">
            <v>23</v>
          </cell>
          <cell r="K981">
            <v>7</v>
          </cell>
          <cell r="L981">
            <v>7</v>
          </cell>
          <cell r="M981">
            <v>5.4263565891472867E-2</v>
          </cell>
          <cell r="N981">
            <v>5.3999999999999999E-2</v>
          </cell>
          <cell r="O981" t="str">
            <v>$1720</v>
          </cell>
          <cell r="P981" t="str">
            <v>$1720</v>
          </cell>
          <cell r="Q981">
            <v>45621</v>
          </cell>
          <cell r="R981" t="str">
            <v>Hyderabad</v>
          </cell>
          <cell r="S981" t="str">
            <v>Tablet</v>
          </cell>
          <cell r="T981" t="str">
            <v>learn data analytics</v>
          </cell>
        </row>
        <row r="982">
          <cell r="A982" t="str">
            <v>A1980</v>
          </cell>
          <cell r="B982" t="str">
            <v>Data Analytics Course</v>
          </cell>
          <cell r="C982">
            <v>93</v>
          </cell>
          <cell r="D982">
            <v>93</v>
          </cell>
          <cell r="E982">
            <v>4054</v>
          </cell>
          <cell r="F982">
            <v>4054</v>
          </cell>
          <cell r="G982" t="str">
            <v>$244.73</v>
          </cell>
          <cell r="H982" t="str">
            <v>$244.73</v>
          </cell>
          <cell r="I982">
            <v>11</v>
          </cell>
          <cell r="J982">
            <v>11</v>
          </cell>
          <cell r="K982">
            <v>8</v>
          </cell>
          <cell r="L982">
            <v>8</v>
          </cell>
          <cell r="M982">
            <v>8.6021505376344093E-2</v>
          </cell>
          <cell r="N982">
            <v>8.5999999999999993E-2</v>
          </cell>
          <cell r="O982" t="str">
            <v>$1066</v>
          </cell>
          <cell r="P982" t="str">
            <v>$1066</v>
          </cell>
          <cell r="Q982">
            <v>45620</v>
          </cell>
          <cell r="R982" t="str">
            <v>Hyderabad</v>
          </cell>
          <cell r="S982" t="str">
            <v>Desktop</v>
          </cell>
          <cell r="T982" t="str">
            <v>online data analytic</v>
          </cell>
        </row>
        <row r="983">
          <cell r="A983" t="str">
            <v>A1981</v>
          </cell>
          <cell r="B983" t="str">
            <v>Data Analytcis Course</v>
          </cell>
          <cell r="C983">
            <v>96</v>
          </cell>
          <cell r="D983">
            <v>96</v>
          </cell>
          <cell r="E983">
            <v>4074</v>
          </cell>
          <cell r="F983">
            <v>4074</v>
          </cell>
          <cell r="G983" t="str">
            <v>$219.66</v>
          </cell>
          <cell r="H983" t="str">
            <v>$219.66</v>
          </cell>
          <cell r="I983">
            <v>16</v>
          </cell>
          <cell r="J983">
            <v>16</v>
          </cell>
          <cell r="K983">
            <v>8</v>
          </cell>
          <cell r="L983">
            <v>8</v>
          </cell>
          <cell r="M983">
            <v>8.3333333333333329E-2</v>
          </cell>
          <cell r="N983">
            <v>8.3000000000000004E-2</v>
          </cell>
          <cell r="O983" t="str">
            <v>$1500</v>
          </cell>
          <cell r="Q983">
            <v>45603</v>
          </cell>
          <cell r="R983" t="str">
            <v>Chennai</v>
          </cell>
          <cell r="S983" t="str">
            <v>Tablet</v>
          </cell>
          <cell r="T983" t="str">
            <v>data analytics online</v>
          </cell>
        </row>
        <row r="984">
          <cell r="A984" t="str">
            <v>A1982</v>
          </cell>
          <cell r="B984" t="str">
            <v>Data Analytics Course</v>
          </cell>
          <cell r="C984">
            <v>135</v>
          </cell>
          <cell r="D984">
            <v>135</v>
          </cell>
          <cell r="E984">
            <v>4430</v>
          </cell>
          <cell r="F984">
            <v>4430</v>
          </cell>
          <cell r="G984" t="str">
            <v>$196.18</v>
          </cell>
          <cell r="H984" t="str">
            <v>$196.18</v>
          </cell>
          <cell r="I984">
            <v>12</v>
          </cell>
          <cell r="J984">
            <v>12</v>
          </cell>
          <cell r="K984">
            <v>9</v>
          </cell>
          <cell r="L984">
            <v>9</v>
          </cell>
          <cell r="M984">
            <v>6.6666666666666666E-2</v>
          </cell>
          <cell r="N984">
            <v>6.7000000000000004E-2</v>
          </cell>
          <cell r="O984" t="str">
            <v>$1374</v>
          </cell>
          <cell r="P984" t="str">
            <v>$1374</v>
          </cell>
          <cell r="Q984">
            <v>45604</v>
          </cell>
          <cell r="R984" t="str">
            <v>Chennai</v>
          </cell>
          <cell r="S984" t="str">
            <v>Mobile</v>
          </cell>
          <cell r="T984" t="str">
            <v>analytics for data</v>
          </cell>
        </row>
        <row r="985">
          <cell r="A985" t="str">
            <v>A1983</v>
          </cell>
          <cell r="B985" t="str">
            <v>Data Analytcis Course</v>
          </cell>
          <cell r="C985">
            <v>138</v>
          </cell>
          <cell r="D985">
            <v>138</v>
          </cell>
          <cell r="E985">
            <v>5356</v>
          </cell>
          <cell r="F985">
            <v>5356</v>
          </cell>
          <cell r="G985" t="str">
            <v>$204.86</v>
          </cell>
          <cell r="H985" t="str">
            <v>$204.86</v>
          </cell>
          <cell r="I985">
            <v>15</v>
          </cell>
          <cell r="J985">
            <v>15</v>
          </cell>
          <cell r="K985">
            <v>9</v>
          </cell>
          <cell r="L985">
            <v>9</v>
          </cell>
          <cell r="M985">
            <v>6.5217391304347824E-2</v>
          </cell>
          <cell r="N985">
            <v>6.5000000000000002E-2</v>
          </cell>
          <cell r="O985" t="str">
            <v>$1268</v>
          </cell>
          <cell r="P985" t="str">
            <v>$1268</v>
          </cell>
          <cell r="Q985">
            <v>45618</v>
          </cell>
          <cell r="R985" t="str">
            <v>Chennai</v>
          </cell>
          <cell r="S985" t="str">
            <v>Mobile</v>
          </cell>
          <cell r="T985" t="str">
            <v>online data analytic</v>
          </cell>
        </row>
        <row r="986">
          <cell r="A986" t="str">
            <v>A1984</v>
          </cell>
          <cell r="B986" t="str">
            <v>Data Analytics Course</v>
          </cell>
          <cell r="C986">
            <v>92</v>
          </cell>
          <cell r="D986">
            <v>92</v>
          </cell>
          <cell r="E986">
            <v>4898</v>
          </cell>
          <cell r="F986">
            <v>4898</v>
          </cell>
          <cell r="G986" t="str">
            <v>$247.49</v>
          </cell>
          <cell r="H986" t="str">
            <v>$247.49</v>
          </cell>
          <cell r="I986">
            <v>19</v>
          </cell>
          <cell r="J986">
            <v>19</v>
          </cell>
          <cell r="K986">
            <v>6.4891025641025637</v>
          </cell>
          <cell r="M986">
            <v>7.0533723522853947E-2</v>
          </cell>
          <cell r="O986" t="str">
            <v>$1969</v>
          </cell>
          <cell r="P986" t="str">
            <v>$1969</v>
          </cell>
          <cell r="Q986">
            <v>45603</v>
          </cell>
          <cell r="R986" t="str">
            <v>Bangaluru</v>
          </cell>
          <cell r="S986" t="str">
            <v>Desktop</v>
          </cell>
          <cell r="T986" t="str">
            <v>data analytics training</v>
          </cell>
        </row>
        <row r="987">
          <cell r="A987" t="str">
            <v>A1985</v>
          </cell>
          <cell r="B987" t="str">
            <v>Data Analytics Course</v>
          </cell>
          <cell r="C987">
            <v>151</v>
          </cell>
          <cell r="D987">
            <v>151</v>
          </cell>
          <cell r="E987">
            <v>5301</v>
          </cell>
          <cell r="F987">
            <v>5301</v>
          </cell>
          <cell r="G987" t="str">
            <v>$232.06</v>
          </cell>
          <cell r="H987" t="str">
            <v>$232.06</v>
          </cell>
          <cell r="I987">
            <v>13</v>
          </cell>
          <cell r="J987">
            <v>13</v>
          </cell>
          <cell r="K987">
            <v>9</v>
          </cell>
          <cell r="L987">
            <v>9</v>
          </cell>
          <cell r="M987">
            <v>5.9602649006622516E-2</v>
          </cell>
          <cell r="N987">
            <v>0.06</v>
          </cell>
          <cell r="O987" t="str">
            <v>$1893</v>
          </cell>
          <cell r="P987" t="str">
            <v>$1893</v>
          </cell>
          <cell r="Q987">
            <v>45601</v>
          </cell>
          <cell r="R987" t="str">
            <v>Bangaluru</v>
          </cell>
          <cell r="S987" t="str">
            <v>Mobile</v>
          </cell>
          <cell r="T987" t="str">
            <v>data analytics online</v>
          </cell>
        </row>
        <row r="988">
          <cell r="A988" t="str">
            <v>A1986</v>
          </cell>
          <cell r="B988" t="str">
            <v>Data Analytics Course</v>
          </cell>
          <cell r="C988">
            <v>189</v>
          </cell>
          <cell r="D988">
            <v>189</v>
          </cell>
          <cell r="E988">
            <v>3031</v>
          </cell>
          <cell r="F988">
            <v>3031</v>
          </cell>
          <cell r="G988" t="str">
            <v>$209.84</v>
          </cell>
          <cell r="H988" t="str">
            <v>$209.84</v>
          </cell>
          <cell r="I988">
            <v>25</v>
          </cell>
          <cell r="J988">
            <v>25</v>
          </cell>
          <cell r="K988">
            <v>6</v>
          </cell>
          <cell r="L988">
            <v>6</v>
          </cell>
          <cell r="M988">
            <v>3.1746031746031744E-2</v>
          </cell>
          <cell r="N988">
            <v>3.2000000000000001E-2</v>
          </cell>
          <cell r="O988" t="str">
            <v>$1936</v>
          </cell>
          <cell r="P988" t="str">
            <v>$1936</v>
          </cell>
          <cell r="Q988">
            <v>45622</v>
          </cell>
          <cell r="R988" t="str">
            <v>Hyderabad</v>
          </cell>
          <cell r="S988" t="str">
            <v>Tablet</v>
          </cell>
          <cell r="T988" t="str">
            <v>online data analytic</v>
          </cell>
        </row>
        <row r="989">
          <cell r="A989" t="str">
            <v>A1987</v>
          </cell>
          <cell r="B989" t="str">
            <v>Data Analytics Course</v>
          </cell>
          <cell r="C989">
            <v>97</v>
          </cell>
          <cell r="D989">
            <v>97</v>
          </cell>
          <cell r="E989">
            <v>3410</v>
          </cell>
          <cell r="F989">
            <v>3410</v>
          </cell>
          <cell r="G989" t="str">
            <v>$180.52</v>
          </cell>
          <cell r="H989" t="str">
            <v>$180.52</v>
          </cell>
          <cell r="I989">
            <v>24</v>
          </cell>
          <cell r="J989">
            <v>24</v>
          </cell>
          <cell r="K989">
            <v>6.4878048780487809</v>
          </cell>
          <cell r="M989">
            <v>6.6884586371636912E-2</v>
          </cell>
          <cell r="O989" t="str">
            <v>$1532</v>
          </cell>
          <cell r="P989" t="str">
            <v>$1532</v>
          </cell>
          <cell r="Q989">
            <v>45603</v>
          </cell>
          <cell r="R989" t="str">
            <v>Hyderabad</v>
          </cell>
          <cell r="S989" t="str">
            <v>Tablet</v>
          </cell>
          <cell r="T989" t="str">
            <v>analytics for data</v>
          </cell>
        </row>
        <row r="990">
          <cell r="A990" t="str">
            <v>A1988</v>
          </cell>
          <cell r="B990" t="str">
            <v>Data Analytics Course</v>
          </cell>
          <cell r="C990">
            <v>178</v>
          </cell>
          <cell r="D990">
            <v>178</v>
          </cell>
          <cell r="E990">
            <v>4745</v>
          </cell>
          <cell r="F990">
            <v>4745</v>
          </cell>
          <cell r="G990" t="str">
            <v>$200.61</v>
          </cell>
          <cell r="H990" t="str">
            <v>$200.61</v>
          </cell>
          <cell r="I990">
            <v>12</v>
          </cell>
          <cell r="J990">
            <v>12</v>
          </cell>
          <cell r="K990">
            <v>9</v>
          </cell>
          <cell r="L990">
            <v>9</v>
          </cell>
          <cell r="M990">
            <v>5.0561797752808987E-2</v>
          </cell>
          <cell r="N990">
            <v>5.0999999999999997E-2</v>
          </cell>
          <cell r="O990" t="str">
            <v>$1574</v>
          </cell>
          <cell r="P990" t="str">
            <v>$1574</v>
          </cell>
          <cell r="Q990">
            <v>45614</v>
          </cell>
          <cell r="R990" t="str">
            <v>Hyderabad</v>
          </cell>
          <cell r="S990" t="str">
            <v>Desktop</v>
          </cell>
          <cell r="T990" t="str">
            <v>learn data analytics</v>
          </cell>
        </row>
        <row r="991">
          <cell r="A991" t="str">
            <v>A1989</v>
          </cell>
          <cell r="B991" t="str">
            <v>Data Analytics Course</v>
          </cell>
          <cell r="C991">
            <v>164</v>
          </cell>
          <cell r="D991">
            <v>164</v>
          </cell>
          <cell r="E991">
            <v>3024</v>
          </cell>
          <cell r="F991">
            <v>3024</v>
          </cell>
          <cell r="G991" t="str">
            <v>$192.34</v>
          </cell>
          <cell r="H991" t="str">
            <v>$192.34</v>
          </cell>
          <cell r="I991">
            <v>12</v>
          </cell>
          <cell r="J991">
            <v>12</v>
          </cell>
          <cell r="K991">
            <v>8</v>
          </cell>
          <cell r="L991">
            <v>8</v>
          </cell>
          <cell r="M991">
            <v>4.878048780487805E-2</v>
          </cell>
          <cell r="N991">
            <v>4.9000000000000002E-2</v>
          </cell>
          <cell r="O991" t="str">
            <v>$1997</v>
          </cell>
          <cell r="P991" t="str">
            <v>$1997</v>
          </cell>
          <cell r="Q991">
            <v>45603</v>
          </cell>
          <cell r="R991" t="str">
            <v>Chennai</v>
          </cell>
          <cell r="S991" t="str">
            <v>Desktop</v>
          </cell>
          <cell r="T991" t="str">
            <v>data analytics course</v>
          </cell>
        </row>
        <row r="992">
          <cell r="A992" t="str">
            <v>A1990</v>
          </cell>
          <cell r="B992" t="str">
            <v>Data Analytics Course</v>
          </cell>
          <cell r="C992">
            <v>94</v>
          </cell>
          <cell r="D992">
            <v>94</v>
          </cell>
          <cell r="E992">
            <v>5435</v>
          </cell>
          <cell r="F992">
            <v>5435</v>
          </cell>
          <cell r="G992" t="str">
            <v>$231.42</v>
          </cell>
          <cell r="H992" t="str">
            <v>$231.42</v>
          </cell>
          <cell r="I992">
            <v>21</v>
          </cell>
          <cell r="J992">
            <v>21</v>
          </cell>
          <cell r="K992">
            <v>5</v>
          </cell>
          <cell r="L992">
            <v>5</v>
          </cell>
          <cell r="M992">
            <v>5.3191489361702128E-2</v>
          </cell>
          <cell r="N992">
            <v>5.6000000000000001E-2</v>
          </cell>
          <cell r="O992" t="str">
            <v>$1114</v>
          </cell>
          <cell r="P992" t="str">
            <v>$1114</v>
          </cell>
          <cell r="Q992">
            <v>45599</v>
          </cell>
          <cell r="R992" t="str">
            <v>Hyderabad</v>
          </cell>
          <cell r="S992" t="str">
            <v>Desktop</v>
          </cell>
          <cell r="T992" t="str">
            <v>data analytics online</v>
          </cell>
        </row>
        <row r="993">
          <cell r="A993" t="str">
            <v>A1991</v>
          </cell>
          <cell r="B993" t="str">
            <v>Data Analytics Course</v>
          </cell>
          <cell r="C993">
            <v>176</v>
          </cell>
          <cell r="D993">
            <v>176</v>
          </cell>
          <cell r="E993">
            <v>3021</v>
          </cell>
          <cell r="F993">
            <v>3021</v>
          </cell>
          <cell r="G993" t="str">
            <v>$204.53</v>
          </cell>
          <cell r="H993" t="str">
            <v>$204.53</v>
          </cell>
          <cell r="I993">
            <v>29</v>
          </cell>
          <cell r="J993">
            <v>29</v>
          </cell>
          <cell r="K993">
            <v>7</v>
          </cell>
          <cell r="L993">
            <v>7</v>
          </cell>
          <cell r="M993">
            <v>3.9772727272727272E-2</v>
          </cell>
          <cell r="N993">
            <v>0.03</v>
          </cell>
          <cell r="O993" t="str">
            <v>$1620</v>
          </cell>
          <cell r="P993" t="str">
            <v>$1620</v>
          </cell>
          <cell r="Q993">
            <v>45609</v>
          </cell>
          <cell r="R993" t="str">
            <v>Hyderabad</v>
          </cell>
          <cell r="S993" t="str">
            <v>Tablet</v>
          </cell>
          <cell r="T993" t="str">
            <v>online data analytic</v>
          </cell>
        </row>
        <row r="994">
          <cell r="A994" t="str">
            <v>A1992</v>
          </cell>
          <cell r="B994" t="str">
            <v>Data Analytics Course</v>
          </cell>
          <cell r="C994">
            <v>165</v>
          </cell>
          <cell r="D994">
            <v>165</v>
          </cell>
          <cell r="E994">
            <v>5335</v>
          </cell>
          <cell r="F994">
            <v>5335</v>
          </cell>
          <cell r="G994" t="str">
            <v>$192.53</v>
          </cell>
          <cell r="H994" t="str">
            <v>$192.53</v>
          </cell>
          <cell r="I994">
            <v>23</v>
          </cell>
          <cell r="J994">
            <v>23</v>
          </cell>
          <cell r="K994">
            <v>5</v>
          </cell>
          <cell r="L994">
            <v>5</v>
          </cell>
          <cell r="M994">
            <v>3.0303030303030304E-2</v>
          </cell>
          <cell r="N994">
            <v>0.03</v>
          </cell>
          <cell r="O994" t="str">
            <v>$1402</v>
          </cell>
          <cell r="P994" t="str">
            <v>$1402</v>
          </cell>
          <cell r="Q994">
            <v>45608</v>
          </cell>
          <cell r="R994" t="str">
            <v>Hyderabad</v>
          </cell>
          <cell r="S994" t="str">
            <v>Mobile</v>
          </cell>
          <cell r="T994" t="str">
            <v>data analytics training</v>
          </cell>
        </row>
        <row r="995">
          <cell r="A995" t="str">
            <v>A1993</v>
          </cell>
          <cell r="B995" t="str">
            <v>Data Analytics Course</v>
          </cell>
          <cell r="C995">
            <v>188</v>
          </cell>
          <cell r="D995">
            <v>188</v>
          </cell>
          <cell r="E995">
            <v>4081</v>
          </cell>
          <cell r="F995">
            <v>4081</v>
          </cell>
          <cell r="G995" t="str">
            <v>$237.05</v>
          </cell>
          <cell r="H995" t="str">
            <v>$237.05</v>
          </cell>
          <cell r="I995">
            <v>18</v>
          </cell>
          <cell r="J995">
            <v>18</v>
          </cell>
          <cell r="K995">
            <v>8</v>
          </cell>
          <cell r="L995">
            <v>8</v>
          </cell>
          <cell r="M995">
            <v>4.2553191489361701E-2</v>
          </cell>
          <cell r="N995">
            <v>0.05</v>
          </cell>
          <cell r="O995" t="str">
            <v>$1846</v>
          </cell>
          <cell r="P995" t="str">
            <v>$1846</v>
          </cell>
          <cell r="Q995">
            <v>45602</v>
          </cell>
          <cell r="R995" t="str">
            <v>Hyderabad</v>
          </cell>
          <cell r="S995" t="str">
            <v>Tablet</v>
          </cell>
          <cell r="T995" t="str">
            <v>data analytics course</v>
          </cell>
        </row>
        <row r="996">
          <cell r="A996" t="str">
            <v>A1994</v>
          </cell>
          <cell r="B996" t="str">
            <v>Data Analytcis Course</v>
          </cell>
          <cell r="C996">
            <v>87</v>
          </cell>
          <cell r="D996">
            <v>87</v>
          </cell>
          <cell r="E996">
            <v>4840</v>
          </cell>
          <cell r="F996">
            <v>4840</v>
          </cell>
          <cell r="G996" t="str">
            <v>$205.72</v>
          </cell>
          <cell r="H996" t="str">
            <v>$205.72</v>
          </cell>
          <cell r="I996">
            <v>16</v>
          </cell>
          <cell r="J996">
            <v>16</v>
          </cell>
          <cell r="K996">
            <v>6</v>
          </cell>
          <cell r="L996">
            <v>6</v>
          </cell>
          <cell r="M996">
            <v>6.8965517241379309E-2</v>
          </cell>
          <cell r="O996" t="str">
            <v>$1040</v>
          </cell>
          <cell r="P996" t="str">
            <v>$1040</v>
          </cell>
          <cell r="Q996">
            <v>45605</v>
          </cell>
          <cell r="R996" t="str">
            <v>Bangaluru</v>
          </cell>
          <cell r="S996" t="str">
            <v>Desktop</v>
          </cell>
          <cell r="T996" t="str">
            <v>online data analytic</v>
          </cell>
        </row>
        <row r="997">
          <cell r="A997" t="str">
            <v>A1995</v>
          </cell>
          <cell r="B997" t="str">
            <v>Data Analytics Course</v>
          </cell>
          <cell r="C997">
            <v>106</v>
          </cell>
          <cell r="D997">
            <v>106</v>
          </cell>
          <cell r="E997">
            <v>4738</v>
          </cell>
          <cell r="F997">
            <v>4738</v>
          </cell>
          <cell r="G997" t="str">
            <v>$196.7</v>
          </cell>
          <cell r="H997" t="str">
            <v>$196.7</v>
          </cell>
          <cell r="I997">
            <v>17</v>
          </cell>
          <cell r="J997">
            <v>17</v>
          </cell>
          <cell r="K997">
            <v>4</v>
          </cell>
          <cell r="L997">
            <v>4</v>
          </cell>
          <cell r="M997">
            <v>3.7735849056603772E-2</v>
          </cell>
          <cell r="N997">
            <v>3.7999999999999999E-2</v>
          </cell>
          <cell r="O997" t="str">
            <v>$1515</v>
          </cell>
          <cell r="P997" t="str">
            <v>$1515</v>
          </cell>
          <cell r="Q997">
            <v>45625</v>
          </cell>
          <cell r="R997" t="str">
            <v>Hyderabad</v>
          </cell>
          <cell r="S997" t="str">
            <v>Tablet</v>
          </cell>
          <cell r="T997" t="str">
            <v>data analytics training</v>
          </cell>
        </row>
        <row r="998">
          <cell r="A998" t="str">
            <v>A1996</v>
          </cell>
          <cell r="B998" t="str">
            <v>Data Analytcis Course</v>
          </cell>
          <cell r="C998">
            <v>198</v>
          </cell>
          <cell r="D998">
            <v>198</v>
          </cell>
          <cell r="E998">
            <v>4181</v>
          </cell>
          <cell r="F998">
            <v>4181</v>
          </cell>
          <cell r="G998" t="str">
            <v>$218.4</v>
          </cell>
          <cell r="H998" t="str">
            <v>$218.4</v>
          </cell>
          <cell r="I998">
            <v>10</v>
          </cell>
          <cell r="J998">
            <v>10</v>
          </cell>
          <cell r="K998">
            <v>8</v>
          </cell>
          <cell r="L998">
            <v>8</v>
          </cell>
          <cell r="M998">
            <v>4.0404040404040407E-2</v>
          </cell>
          <cell r="N998">
            <v>0.04</v>
          </cell>
          <cell r="O998" t="str">
            <v>$1298</v>
          </cell>
          <cell r="P998" t="str">
            <v>$1298</v>
          </cell>
          <cell r="Q998">
            <v>45613</v>
          </cell>
          <cell r="R998" t="str">
            <v>Hyderabad</v>
          </cell>
          <cell r="S998" t="str">
            <v>Mobile</v>
          </cell>
          <cell r="T998" t="str">
            <v>data analytics training</v>
          </cell>
        </row>
        <row r="999">
          <cell r="A999" t="str">
            <v>A1997</v>
          </cell>
          <cell r="B999" t="str">
            <v>Data Analytics Course</v>
          </cell>
          <cell r="C999">
            <v>121</v>
          </cell>
          <cell r="D999">
            <v>121</v>
          </cell>
          <cell r="E999">
            <v>5813</v>
          </cell>
          <cell r="F999">
            <v>5813</v>
          </cell>
          <cell r="G999" t="str">
            <v>$202.92</v>
          </cell>
          <cell r="H999" t="str">
            <v>$202.92</v>
          </cell>
          <cell r="I999">
            <v>25</v>
          </cell>
          <cell r="J999">
            <v>25</v>
          </cell>
          <cell r="K999">
            <v>6</v>
          </cell>
          <cell r="L999">
            <v>6</v>
          </cell>
          <cell r="M999">
            <v>4.9586776859504134E-2</v>
          </cell>
          <cell r="N999">
            <v>0.05</v>
          </cell>
          <cell r="O999" t="str">
            <v>$1226</v>
          </cell>
          <cell r="P999" t="str">
            <v>$1226</v>
          </cell>
          <cell r="Q999">
            <v>45610</v>
          </cell>
          <cell r="R999" t="str">
            <v>Bangaluru</v>
          </cell>
          <cell r="S999" t="str">
            <v>Tablet</v>
          </cell>
          <cell r="T999" t="str">
            <v>data analytics online</v>
          </cell>
        </row>
        <row r="1000">
          <cell r="A1000" t="str">
            <v>A1998</v>
          </cell>
          <cell r="B1000" t="str">
            <v>Data Analytics Course</v>
          </cell>
          <cell r="C1000">
            <v>120</v>
          </cell>
          <cell r="D1000">
            <v>120</v>
          </cell>
          <cell r="E1000">
            <v>4303</v>
          </cell>
          <cell r="F1000">
            <v>4303</v>
          </cell>
          <cell r="G1000" t="str">
            <v>$202.8</v>
          </cell>
          <cell r="H1000" t="str">
            <v>$202.8</v>
          </cell>
          <cell r="I1000">
            <v>21</v>
          </cell>
          <cell r="J1000">
            <v>21</v>
          </cell>
          <cell r="K1000">
            <v>4</v>
          </cell>
          <cell r="L1000">
            <v>4</v>
          </cell>
          <cell r="M1000">
            <v>3.3333333333333333E-2</v>
          </cell>
          <cell r="N1000">
            <v>3.3000000000000002E-2</v>
          </cell>
          <cell r="O1000" t="str">
            <v>$1033</v>
          </cell>
          <cell r="P1000" t="str">
            <v>$1033</v>
          </cell>
          <cell r="Q1000">
            <v>45622</v>
          </cell>
          <cell r="R1000" t="str">
            <v>Hyderabad</v>
          </cell>
          <cell r="S1000" t="str">
            <v>Tablet</v>
          </cell>
          <cell r="T1000" t="str">
            <v>online data analytic</v>
          </cell>
        </row>
        <row r="1001">
          <cell r="A1001" t="str">
            <v>A1999</v>
          </cell>
          <cell r="B1001" t="str">
            <v>Data Analytcis Course</v>
          </cell>
          <cell r="C1001">
            <v>189</v>
          </cell>
          <cell r="D1001">
            <v>189</v>
          </cell>
          <cell r="E1001">
            <v>5201</v>
          </cell>
          <cell r="F1001">
            <v>5201</v>
          </cell>
          <cell r="G1001" t="str">
            <v>$210.87</v>
          </cell>
          <cell r="H1001" t="str">
            <v>$210.87</v>
          </cell>
          <cell r="I1001">
            <v>21</v>
          </cell>
          <cell r="J1001">
            <v>21</v>
          </cell>
          <cell r="K1001">
            <v>10</v>
          </cell>
          <cell r="L1001">
            <v>10</v>
          </cell>
          <cell r="M1001">
            <v>5.2910052910052907E-2</v>
          </cell>
          <cell r="N1001">
            <v>5.2999999999999999E-2</v>
          </cell>
          <cell r="O1001" t="str">
            <v>$1560</v>
          </cell>
          <cell r="P1001" t="str">
            <v>$1560</v>
          </cell>
          <cell r="Q1001">
            <v>45607</v>
          </cell>
          <cell r="R1001" t="str">
            <v>Bangaluru</v>
          </cell>
          <cell r="S1001" t="str">
            <v>Mobile</v>
          </cell>
          <cell r="T1001" t="str">
            <v>data analytics course</v>
          </cell>
        </row>
        <row r="1002">
          <cell r="A1002" t="str">
            <v>A2000</v>
          </cell>
          <cell r="B1002" t="str">
            <v>Data Analytics Course</v>
          </cell>
          <cell r="C1002">
            <v>131</v>
          </cell>
          <cell r="D1002">
            <v>131</v>
          </cell>
          <cell r="E1002">
            <v>4603</v>
          </cell>
          <cell r="F1002">
            <v>4603</v>
          </cell>
          <cell r="G1002" t="str">
            <v>$228.63</v>
          </cell>
          <cell r="H1002" t="str">
            <v>$228.63</v>
          </cell>
          <cell r="I1002">
            <v>30</v>
          </cell>
          <cell r="J1002">
            <v>30</v>
          </cell>
          <cell r="K1002">
            <v>6.4864165588615785</v>
          </cell>
          <cell r="M1002">
            <v>4.9514630220317393E-2</v>
          </cell>
          <cell r="O1002" t="str">
            <v>$1270</v>
          </cell>
          <cell r="P1002" t="str">
            <v>$1270</v>
          </cell>
          <cell r="Q1002">
            <v>45599</v>
          </cell>
          <cell r="R1002" t="str">
            <v>Hyderabad</v>
          </cell>
          <cell r="S1002" t="str">
            <v>Tablet</v>
          </cell>
          <cell r="T1002" t="str">
            <v>analytics for data</v>
          </cell>
        </row>
        <row r="1003">
          <cell r="A1003" t="str">
            <v>A2001</v>
          </cell>
          <cell r="B1003" t="str">
            <v>Data Analytics Course</v>
          </cell>
          <cell r="C1003">
            <v>99</v>
          </cell>
          <cell r="D1003">
            <v>99</v>
          </cell>
          <cell r="E1003">
            <v>4051</v>
          </cell>
          <cell r="F1003">
            <v>4051</v>
          </cell>
          <cell r="G1003" t="str">
            <v>$207.42</v>
          </cell>
          <cell r="H1003" t="str">
            <v>$207.42</v>
          </cell>
          <cell r="I1003">
            <v>10</v>
          </cell>
          <cell r="J1003">
            <v>10</v>
          </cell>
          <cell r="K1003">
            <v>9</v>
          </cell>
          <cell r="L1003">
            <v>9</v>
          </cell>
          <cell r="M1003">
            <v>9.0909090909090912E-2</v>
          </cell>
          <cell r="N1003">
            <v>9.0999999999999998E-2</v>
          </cell>
          <cell r="O1003" t="str">
            <v>$1797</v>
          </cell>
          <cell r="P1003" t="str">
            <v>$1797</v>
          </cell>
          <cell r="Q1003">
            <v>45610</v>
          </cell>
          <cell r="R1003" t="str">
            <v>Hyderabad</v>
          </cell>
          <cell r="S1003" t="str">
            <v>Mobile</v>
          </cell>
          <cell r="T1003" t="str">
            <v>analytics for data</v>
          </cell>
        </row>
        <row r="1004">
          <cell r="A1004" t="str">
            <v>A2002</v>
          </cell>
          <cell r="B1004" t="str">
            <v>Data Analytics Course</v>
          </cell>
          <cell r="C1004">
            <v>199</v>
          </cell>
          <cell r="D1004">
            <v>199</v>
          </cell>
          <cell r="E1004">
            <v>4080</v>
          </cell>
          <cell r="F1004">
            <v>4080</v>
          </cell>
          <cell r="G1004" t="str">
            <v>$243.8</v>
          </cell>
          <cell r="H1004" t="str">
            <v>$243.8</v>
          </cell>
          <cell r="I1004">
            <v>23</v>
          </cell>
          <cell r="J1004">
            <v>23</v>
          </cell>
          <cell r="K1004">
            <v>7</v>
          </cell>
          <cell r="L1004">
            <v>7</v>
          </cell>
          <cell r="M1004">
            <v>3.5175879396984924E-2</v>
          </cell>
          <cell r="N1004">
            <v>0.05</v>
          </cell>
          <cell r="O1004" t="str">
            <v>$1507</v>
          </cell>
          <cell r="P1004" t="str">
            <v>$1507</v>
          </cell>
          <cell r="Q1004">
            <v>45611</v>
          </cell>
          <cell r="R1004" t="str">
            <v>Hyderabad</v>
          </cell>
          <cell r="S1004" t="str">
            <v>Desktop</v>
          </cell>
          <cell r="T1004" t="str">
            <v>data analytics training</v>
          </cell>
        </row>
        <row r="1005">
          <cell r="A1005" t="str">
            <v>A2003</v>
          </cell>
          <cell r="B1005" t="str">
            <v>Data Analytcis Course</v>
          </cell>
          <cell r="C1005">
            <v>180</v>
          </cell>
          <cell r="D1005">
            <v>180</v>
          </cell>
          <cell r="E1005">
            <v>4140</v>
          </cell>
          <cell r="F1005">
            <v>4140</v>
          </cell>
          <cell r="G1005" t="str">
            <v>$240.76</v>
          </cell>
          <cell r="H1005" t="str">
            <v>$240.76</v>
          </cell>
          <cell r="I1005">
            <v>21</v>
          </cell>
          <cell r="J1005">
            <v>21</v>
          </cell>
          <cell r="K1005">
            <v>8</v>
          </cell>
          <cell r="L1005">
            <v>8</v>
          </cell>
          <cell r="M1005">
            <v>4.4444444444444446E-2</v>
          </cell>
          <cell r="N1005">
            <v>4.3999999999999997E-2</v>
          </cell>
          <cell r="O1005" t="str">
            <v>$1248</v>
          </cell>
          <cell r="P1005" t="str">
            <v>$1248</v>
          </cell>
          <cell r="Q1005">
            <v>45607</v>
          </cell>
          <cell r="R1005" t="str">
            <v>Hyderabad</v>
          </cell>
          <cell r="S1005" t="str">
            <v>Desktop</v>
          </cell>
          <cell r="T1005" t="str">
            <v>online data analytic</v>
          </cell>
        </row>
        <row r="1006">
          <cell r="A1006" t="str">
            <v>A2004</v>
          </cell>
          <cell r="B1006" t="str">
            <v>Data Analytics Course</v>
          </cell>
          <cell r="C1006">
            <v>88</v>
          </cell>
          <cell r="D1006">
            <v>88</v>
          </cell>
          <cell r="E1006">
            <v>3333</v>
          </cell>
          <cell r="F1006">
            <v>3333</v>
          </cell>
          <cell r="G1006" t="str">
            <v>$193.25</v>
          </cell>
          <cell r="H1006" t="str">
            <v>$193.25</v>
          </cell>
          <cell r="I1006">
            <v>29</v>
          </cell>
          <cell r="J1006">
            <v>29</v>
          </cell>
          <cell r="K1006">
            <v>3</v>
          </cell>
          <cell r="L1006">
            <v>3</v>
          </cell>
          <cell r="M1006">
            <v>3.4090909090909088E-2</v>
          </cell>
          <cell r="N1006">
            <v>3.4000000000000002E-2</v>
          </cell>
          <cell r="O1006" t="str">
            <v>$1398</v>
          </cell>
          <cell r="P1006" t="str">
            <v>$1398</v>
          </cell>
          <cell r="Q1006">
            <v>45610</v>
          </cell>
          <cell r="R1006" t="str">
            <v>Chennai</v>
          </cell>
          <cell r="S1006" t="str">
            <v>Tablet</v>
          </cell>
          <cell r="T1006" t="str">
            <v>data analytics online</v>
          </cell>
        </row>
        <row r="1007">
          <cell r="A1007" t="str">
            <v>A2005</v>
          </cell>
          <cell r="B1007" t="str">
            <v>Data Analytics Course</v>
          </cell>
          <cell r="C1007">
            <v>140</v>
          </cell>
          <cell r="D1007">
            <v>140</v>
          </cell>
          <cell r="E1007">
            <v>3689</v>
          </cell>
          <cell r="F1007">
            <v>3689</v>
          </cell>
          <cell r="G1007" t="str">
            <v>$249.33</v>
          </cell>
          <cell r="H1007" t="str">
            <v>$249.33</v>
          </cell>
          <cell r="I1007">
            <v>20</v>
          </cell>
          <cell r="J1007">
            <v>20</v>
          </cell>
          <cell r="K1007">
            <v>9</v>
          </cell>
          <cell r="L1007">
            <v>9</v>
          </cell>
          <cell r="M1007">
            <v>6.4285714285714279E-2</v>
          </cell>
          <cell r="N1007">
            <v>6.4000000000000001E-2</v>
          </cell>
          <cell r="O1007" t="str">
            <v>$1329</v>
          </cell>
          <cell r="P1007" t="str">
            <v>$1329</v>
          </cell>
          <cell r="Q1007">
            <v>45618</v>
          </cell>
          <cell r="R1007" t="str">
            <v>Chennai</v>
          </cell>
          <cell r="S1007" t="str">
            <v>Mobile</v>
          </cell>
          <cell r="T1007" t="str">
            <v>learn data analytics</v>
          </cell>
        </row>
        <row r="1008">
          <cell r="A1008" t="str">
            <v>A2006</v>
          </cell>
          <cell r="B1008" t="str">
            <v>Data Analytcis Course</v>
          </cell>
          <cell r="C1008">
            <v>166</v>
          </cell>
          <cell r="D1008">
            <v>166</v>
          </cell>
          <cell r="E1008">
            <v>4665</v>
          </cell>
          <cell r="F1008">
            <v>4665</v>
          </cell>
          <cell r="G1008" t="str">
            <v>$223.95</v>
          </cell>
          <cell r="H1008" t="str">
            <v>$223.95</v>
          </cell>
          <cell r="I1008">
            <v>23</v>
          </cell>
          <cell r="J1008">
            <v>23</v>
          </cell>
          <cell r="K1008">
            <v>9</v>
          </cell>
          <cell r="L1008">
            <v>9</v>
          </cell>
          <cell r="M1008">
            <v>5.4216867469879519E-2</v>
          </cell>
          <cell r="N1008">
            <v>5.3999999999999999E-2</v>
          </cell>
          <cell r="O1008" t="str">
            <v>$1404</v>
          </cell>
          <cell r="P1008" t="str">
            <v>$1404</v>
          </cell>
          <cell r="Q1008">
            <v>45603</v>
          </cell>
          <cell r="R1008" t="str">
            <v>Hyderabad</v>
          </cell>
          <cell r="S1008" t="str">
            <v>Tablet</v>
          </cell>
          <cell r="T1008" t="str">
            <v>data analytics online</v>
          </cell>
        </row>
        <row r="1009">
          <cell r="A1009" t="str">
            <v>A2007</v>
          </cell>
          <cell r="B1009" t="str">
            <v>Data Analytics Course</v>
          </cell>
          <cell r="C1009">
            <v>185</v>
          </cell>
          <cell r="D1009">
            <v>185</v>
          </cell>
          <cell r="E1009">
            <v>3670</v>
          </cell>
          <cell r="F1009">
            <v>3670</v>
          </cell>
          <cell r="G1009" t="str">
            <v>$198.66</v>
          </cell>
          <cell r="H1009" t="str">
            <v>$198.66</v>
          </cell>
          <cell r="I1009">
            <v>30</v>
          </cell>
          <cell r="J1009">
            <v>30</v>
          </cell>
          <cell r="K1009">
            <v>4</v>
          </cell>
          <cell r="L1009">
            <v>4</v>
          </cell>
          <cell r="M1009">
            <v>2.1621621621621623E-2</v>
          </cell>
          <cell r="N1009">
            <v>5.7000000000000002E-2</v>
          </cell>
          <cell r="O1009" t="str">
            <v>$1440</v>
          </cell>
          <cell r="P1009" t="str">
            <v>$1440</v>
          </cell>
          <cell r="Q1009">
            <v>45609</v>
          </cell>
          <cell r="R1009" t="str">
            <v>Bangaluru</v>
          </cell>
          <cell r="S1009" t="str">
            <v>Desktop</v>
          </cell>
          <cell r="T1009" t="str">
            <v>data analytics training</v>
          </cell>
        </row>
        <row r="1010">
          <cell r="A1010" t="str">
            <v>A2008</v>
          </cell>
          <cell r="B1010" t="str">
            <v>Data Analytics Course</v>
          </cell>
          <cell r="C1010">
            <v>139</v>
          </cell>
          <cell r="D1010">
            <v>139</v>
          </cell>
          <cell r="E1010">
            <v>4036</v>
          </cell>
          <cell r="F1010">
            <v>4036</v>
          </cell>
          <cell r="G1010" t="str">
            <v>$242.12</v>
          </cell>
          <cell r="H1010" t="str">
            <v>$242.12</v>
          </cell>
          <cell r="I1010">
            <v>25</v>
          </cell>
          <cell r="J1010">
            <v>25</v>
          </cell>
          <cell r="K1010">
            <v>5</v>
          </cell>
          <cell r="L1010">
            <v>5</v>
          </cell>
          <cell r="M1010">
            <v>3.5971223021582732E-2</v>
          </cell>
          <cell r="N1010">
            <v>3.5999999999999997E-2</v>
          </cell>
          <cell r="O1010" t="str">
            <v>$1329</v>
          </cell>
          <cell r="P1010" t="str">
            <v>$1329</v>
          </cell>
          <cell r="Q1010">
            <v>45622</v>
          </cell>
          <cell r="R1010" t="str">
            <v>Chennai</v>
          </cell>
          <cell r="S1010" t="str">
            <v>Tablet</v>
          </cell>
          <cell r="T1010" t="str">
            <v>learn data analytics</v>
          </cell>
        </row>
        <row r="1011">
          <cell r="A1011" t="str">
            <v>A2009</v>
          </cell>
          <cell r="B1011" t="str">
            <v>Data Analytics Course</v>
          </cell>
          <cell r="C1011">
            <v>142</v>
          </cell>
          <cell r="D1011">
            <v>142</v>
          </cell>
          <cell r="E1011">
            <v>4497</v>
          </cell>
          <cell r="F1011">
            <v>4497</v>
          </cell>
          <cell r="G1011" t="str">
            <v>$198.98</v>
          </cell>
          <cell r="H1011" t="str">
            <v>$198.98</v>
          </cell>
          <cell r="I1011">
            <v>27</v>
          </cell>
          <cell r="J1011">
            <v>27</v>
          </cell>
          <cell r="K1011">
            <v>3</v>
          </cell>
          <cell r="L1011">
            <v>3</v>
          </cell>
          <cell r="M1011">
            <v>2.1126760563380281E-2</v>
          </cell>
          <cell r="O1011" t="str">
            <v>$1582</v>
          </cell>
          <cell r="P1011" t="str">
            <v>$1582</v>
          </cell>
          <cell r="Q1011">
            <v>45626</v>
          </cell>
          <cell r="R1011" t="str">
            <v>Hyderabad</v>
          </cell>
          <cell r="S1011" t="str">
            <v>Tablet</v>
          </cell>
          <cell r="T1011" t="str">
            <v>analytics for data</v>
          </cell>
        </row>
        <row r="1012">
          <cell r="A1012" t="str">
            <v>A2010</v>
          </cell>
          <cell r="B1012" t="str">
            <v>Data Analytcis Course</v>
          </cell>
          <cell r="C1012">
            <v>173</v>
          </cell>
          <cell r="D1012">
            <v>173</v>
          </cell>
          <cell r="E1012">
            <v>3705</v>
          </cell>
          <cell r="F1012">
            <v>3705</v>
          </cell>
          <cell r="G1012" t="str">
            <v>$197.01</v>
          </cell>
          <cell r="H1012" t="str">
            <v>$197.01</v>
          </cell>
          <cell r="I1012">
            <v>20</v>
          </cell>
          <cell r="J1012">
            <v>20</v>
          </cell>
          <cell r="K1012">
            <v>10</v>
          </cell>
          <cell r="L1012">
            <v>10</v>
          </cell>
          <cell r="M1012">
            <v>5.7803468208092484E-2</v>
          </cell>
          <cell r="N1012">
            <v>5.8000000000000003E-2</v>
          </cell>
          <cell r="O1012" t="str">
            <v>$1010</v>
          </cell>
          <cell r="P1012" t="str">
            <v>$1010</v>
          </cell>
          <cell r="Q1012">
            <v>45622</v>
          </cell>
          <cell r="R1012" t="str">
            <v>Chennai</v>
          </cell>
          <cell r="S1012" t="str">
            <v>Desktop</v>
          </cell>
          <cell r="T1012" t="str">
            <v>data analytics training</v>
          </cell>
        </row>
        <row r="1013">
          <cell r="A1013" t="str">
            <v>A2011</v>
          </cell>
          <cell r="B1013" t="str">
            <v>Data Analytcis Course</v>
          </cell>
          <cell r="C1013">
            <v>138.95699356913184</v>
          </cell>
          <cell r="E1013">
            <v>5849</v>
          </cell>
          <cell r="F1013">
            <v>5849</v>
          </cell>
          <cell r="G1013" t="str">
            <v>$200.00</v>
          </cell>
          <cell r="I1013">
            <v>27</v>
          </cell>
          <cell r="J1013">
            <v>27</v>
          </cell>
          <cell r="K1013">
            <v>3</v>
          </cell>
          <cell r="L1013">
            <v>3</v>
          </cell>
          <cell r="M1013">
            <v>2.1589413551232915E-2</v>
          </cell>
          <cell r="O1013" t="str">
            <v>$1146</v>
          </cell>
          <cell r="P1013" t="str">
            <v>$1146</v>
          </cell>
          <cell r="Q1013">
            <v>45621</v>
          </cell>
          <cell r="R1013" t="str">
            <v>Chennai</v>
          </cell>
          <cell r="S1013" t="str">
            <v>Tablet</v>
          </cell>
          <cell r="T1013" t="str">
            <v>learn data analytics</v>
          </cell>
        </row>
        <row r="1014">
          <cell r="A1014" t="str">
            <v>A2012</v>
          </cell>
          <cell r="B1014" t="str">
            <v>Data Analytics Course</v>
          </cell>
          <cell r="C1014">
            <v>153</v>
          </cell>
          <cell r="D1014">
            <v>153</v>
          </cell>
          <cell r="E1014">
            <v>5283</v>
          </cell>
          <cell r="F1014">
            <v>5283</v>
          </cell>
          <cell r="G1014" t="str">
            <v>$205.72</v>
          </cell>
          <cell r="H1014" t="str">
            <v>$205.72</v>
          </cell>
          <cell r="I1014">
            <v>24</v>
          </cell>
          <cell r="J1014">
            <v>24</v>
          </cell>
          <cell r="K1014">
            <v>3</v>
          </cell>
          <cell r="L1014">
            <v>3</v>
          </cell>
          <cell r="M1014">
            <v>1.9607843137254902E-2</v>
          </cell>
          <cell r="N1014">
            <v>0.02</v>
          </cell>
          <cell r="O1014" t="str">
            <v>$1591</v>
          </cell>
          <cell r="P1014" t="str">
            <v>$1591</v>
          </cell>
          <cell r="Q1014">
            <v>45606</v>
          </cell>
          <cell r="R1014" t="str">
            <v>Hyderabad</v>
          </cell>
          <cell r="S1014" t="str">
            <v>Desktop</v>
          </cell>
          <cell r="T1014" t="str">
            <v>learn data analytics</v>
          </cell>
        </row>
        <row r="1015">
          <cell r="A1015" t="str">
            <v>A2013</v>
          </cell>
          <cell r="B1015" t="str">
            <v>Data Analytics Course</v>
          </cell>
          <cell r="C1015">
            <v>104</v>
          </cell>
          <cell r="D1015">
            <v>104</v>
          </cell>
          <cell r="E1015">
            <v>5203</v>
          </cell>
          <cell r="F1015">
            <v>5203</v>
          </cell>
          <cell r="G1015" t="str">
            <v>$241.15</v>
          </cell>
          <cell r="H1015" t="str">
            <v>$241.15</v>
          </cell>
          <cell r="I1015">
            <v>17</v>
          </cell>
          <cell r="J1015">
            <v>17</v>
          </cell>
          <cell r="K1015">
            <v>6</v>
          </cell>
          <cell r="L1015">
            <v>6</v>
          </cell>
          <cell r="M1015">
            <v>5.7692307692307696E-2</v>
          </cell>
          <cell r="N1015">
            <v>4.8000000000000001E-2</v>
          </cell>
          <cell r="O1015" t="str">
            <v>$1164</v>
          </cell>
          <cell r="P1015" t="str">
            <v>$1164</v>
          </cell>
          <cell r="Q1015">
            <v>45624</v>
          </cell>
          <cell r="R1015" t="str">
            <v>Chennai</v>
          </cell>
          <cell r="S1015" t="str">
            <v>Mobile</v>
          </cell>
          <cell r="T1015" t="str">
            <v>data analytics online</v>
          </cell>
        </row>
        <row r="1016">
          <cell r="A1016" t="str">
            <v>A2014</v>
          </cell>
          <cell r="B1016" t="str">
            <v>Data Analytcis Course</v>
          </cell>
          <cell r="C1016">
            <v>120</v>
          </cell>
          <cell r="D1016">
            <v>120</v>
          </cell>
          <cell r="E1016">
            <v>4243</v>
          </cell>
          <cell r="F1016">
            <v>4243</v>
          </cell>
          <cell r="G1016" t="str">
            <v>$198.49</v>
          </cell>
          <cell r="H1016" t="str">
            <v>$198.49</v>
          </cell>
          <cell r="I1016">
            <v>15</v>
          </cell>
          <cell r="J1016">
            <v>15</v>
          </cell>
          <cell r="K1016">
            <v>10</v>
          </cell>
          <cell r="L1016">
            <v>10</v>
          </cell>
          <cell r="M1016">
            <v>8.3333333333333329E-2</v>
          </cell>
          <cell r="N1016">
            <v>8.3000000000000004E-2</v>
          </cell>
          <cell r="O1016" t="str">
            <v>$1891</v>
          </cell>
          <cell r="P1016" t="str">
            <v>$1891</v>
          </cell>
          <cell r="Q1016">
            <v>45623</v>
          </cell>
          <cell r="R1016" t="str">
            <v>Hyderabad</v>
          </cell>
          <cell r="S1016" t="str">
            <v>Desktop</v>
          </cell>
          <cell r="T1016" t="str">
            <v>data analytics training</v>
          </cell>
        </row>
        <row r="1017">
          <cell r="A1017" t="str">
            <v>A2015</v>
          </cell>
          <cell r="B1017" t="str">
            <v>Data Analytics Course</v>
          </cell>
          <cell r="C1017">
            <v>100</v>
          </cell>
          <cell r="D1017">
            <v>100</v>
          </cell>
          <cell r="E1017">
            <v>3716</v>
          </cell>
          <cell r="F1017">
            <v>3716</v>
          </cell>
          <cell r="G1017" t="str">
            <v>$247.95</v>
          </cell>
          <cell r="H1017" t="str">
            <v>$247.95</v>
          </cell>
          <cell r="I1017">
            <v>23</v>
          </cell>
          <cell r="J1017">
            <v>23</v>
          </cell>
          <cell r="K1017">
            <v>8</v>
          </cell>
          <cell r="L1017">
            <v>8</v>
          </cell>
          <cell r="M1017">
            <v>0.08</v>
          </cell>
          <cell r="O1017" t="str">
            <v>$1924</v>
          </cell>
          <cell r="P1017" t="str">
            <v>$1924</v>
          </cell>
          <cell r="Q1017">
            <v>45610</v>
          </cell>
          <cell r="R1017" t="str">
            <v>Hyderabad</v>
          </cell>
          <cell r="S1017" t="str">
            <v>Mobile</v>
          </cell>
          <cell r="T1017" t="str">
            <v>learn data analytics</v>
          </cell>
        </row>
        <row r="1018">
          <cell r="A1018" t="str">
            <v>A2016</v>
          </cell>
          <cell r="B1018" t="str">
            <v>Data Analytcis Course</v>
          </cell>
          <cell r="C1018">
            <v>106</v>
          </cell>
          <cell r="D1018">
            <v>106</v>
          </cell>
          <cell r="E1018">
            <v>3646</v>
          </cell>
          <cell r="F1018">
            <v>3646</v>
          </cell>
          <cell r="G1018" t="str">
            <v>$237.89</v>
          </cell>
          <cell r="H1018" t="str">
            <v>$237.89</v>
          </cell>
          <cell r="I1018">
            <v>28</v>
          </cell>
          <cell r="J1018">
            <v>28</v>
          </cell>
          <cell r="K1018">
            <v>7</v>
          </cell>
          <cell r="L1018">
            <v>7</v>
          </cell>
          <cell r="M1018">
            <v>6.6037735849056603E-2</v>
          </cell>
          <cell r="N1018">
            <v>4.5999999999999999E-2</v>
          </cell>
          <cell r="O1018" t="str">
            <v>$1564</v>
          </cell>
          <cell r="P1018" t="str">
            <v>$1564</v>
          </cell>
          <cell r="Q1018">
            <v>45598</v>
          </cell>
          <cell r="R1018" t="str">
            <v>Bangaluru</v>
          </cell>
          <cell r="S1018" t="str">
            <v>Mobile</v>
          </cell>
          <cell r="T1018" t="str">
            <v>analytics for data</v>
          </cell>
        </row>
        <row r="1019">
          <cell r="A1019" t="str">
            <v>A2017</v>
          </cell>
          <cell r="B1019" t="str">
            <v>Data Analytcis Course</v>
          </cell>
          <cell r="C1019">
            <v>136</v>
          </cell>
          <cell r="D1019">
            <v>136</v>
          </cell>
          <cell r="E1019">
            <v>4101</v>
          </cell>
          <cell r="F1019">
            <v>4101</v>
          </cell>
          <cell r="G1019" t="str">
            <v>$227.43</v>
          </cell>
          <cell r="H1019" t="str">
            <v>$227.43</v>
          </cell>
          <cell r="I1019">
            <v>28</v>
          </cell>
          <cell r="J1019">
            <v>28</v>
          </cell>
          <cell r="K1019">
            <v>9</v>
          </cell>
          <cell r="L1019">
            <v>9</v>
          </cell>
          <cell r="M1019">
            <v>6.6176470588235295E-2</v>
          </cell>
          <cell r="N1019">
            <v>5.7000000000000002E-2</v>
          </cell>
          <cell r="O1019" t="str">
            <v>$1284</v>
          </cell>
          <cell r="P1019" t="str">
            <v>$1284</v>
          </cell>
          <cell r="Q1019">
            <v>45615</v>
          </cell>
          <cell r="R1019" t="str">
            <v>Hyderabad</v>
          </cell>
          <cell r="S1019" t="str">
            <v>Tablet</v>
          </cell>
          <cell r="T1019" t="str">
            <v>learn data analytics</v>
          </cell>
        </row>
        <row r="1020">
          <cell r="A1020" t="str">
            <v>A2018</v>
          </cell>
          <cell r="B1020" t="str">
            <v>Data Analytcis Course</v>
          </cell>
          <cell r="C1020">
            <v>121</v>
          </cell>
          <cell r="D1020">
            <v>121</v>
          </cell>
          <cell r="E1020">
            <v>3366</v>
          </cell>
          <cell r="F1020">
            <v>3366</v>
          </cell>
          <cell r="G1020" t="str">
            <v>$246.56</v>
          </cell>
          <cell r="H1020" t="str">
            <v>$246.56</v>
          </cell>
          <cell r="I1020">
            <v>25</v>
          </cell>
          <cell r="J1020">
            <v>25</v>
          </cell>
          <cell r="K1020">
            <v>6.4846304774362329</v>
          </cell>
          <cell r="M1020">
            <v>5.3591987416828371E-2</v>
          </cell>
          <cell r="O1020" t="str">
            <v>$1170</v>
          </cell>
          <cell r="P1020" t="str">
            <v>$1170</v>
          </cell>
          <cell r="Q1020">
            <v>45598</v>
          </cell>
          <cell r="R1020" t="str">
            <v>Hyderabad</v>
          </cell>
          <cell r="S1020" t="str">
            <v>Desktop</v>
          </cell>
          <cell r="T1020" t="str">
            <v>online data analytic</v>
          </cell>
        </row>
        <row r="1021">
          <cell r="A1021" t="str">
            <v>A2019</v>
          </cell>
          <cell r="B1021" t="str">
            <v>Data Analytcis Course</v>
          </cell>
          <cell r="C1021">
            <v>153</v>
          </cell>
          <cell r="D1021">
            <v>153</v>
          </cell>
          <cell r="E1021">
            <v>3381</v>
          </cell>
          <cell r="F1021">
            <v>3381</v>
          </cell>
          <cell r="G1021" t="str">
            <v>$231.35</v>
          </cell>
          <cell r="H1021" t="str">
            <v>$231.35</v>
          </cell>
          <cell r="I1021">
            <v>29</v>
          </cell>
          <cell r="J1021">
            <v>29</v>
          </cell>
          <cell r="K1021">
            <v>5</v>
          </cell>
          <cell r="L1021">
            <v>5</v>
          </cell>
          <cell r="M1021">
            <v>3.2679738562091505E-2</v>
          </cell>
          <cell r="N1021">
            <v>3.3000000000000002E-2</v>
          </cell>
          <cell r="O1021" t="str">
            <v>$1769</v>
          </cell>
          <cell r="P1021" t="str">
            <v>$1769</v>
          </cell>
          <cell r="Q1021">
            <v>45624</v>
          </cell>
          <cell r="R1021" t="str">
            <v>Hyderabad</v>
          </cell>
          <cell r="S1021" t="str">
            <v>Tablet</v>
          </cell>
          <cell r="T1021" t="str">
            <v>data analytics course</v>
          </cell>
        </row>
        <row r="1022">
          <cell r="A1022" t="str">
            <v>A2020</v>
          </cell>
          <cell r="B1022" t="str">
            <v>Data Analytics Course</v>
          </cell>
          <cell r="C1022">
            <v>111</v>
          </cell>
          <cell r="D1022">
            <v>111</v>
          </cell>
          <cell r="E1022">
            <v>5003</v>
          </cell>
          <cell r="F1022">
            <v>5003</v>
          </cell>
          <cell r="G1022" t="str">
            <v>$213.34</v>
          </cell>
          <cell r="H1022" t="str">
            <v>$213.34</v>
          </cell>
          <cell r="I1022">
            <v>29</v>
          </cell>
          <cell r="J1022">
            <v>29</v>
          </cell>
          <cell r="K1022">
            <v>3</v>
          </cell>
          <cell r="L1022">
            <v>3</v>
          </cell>
          <cell r="M1022">
            <v>2.7027027027027029E-2</v>
          </cell>
          <cell r="O1022" t="str">
            <v>$1938</v>
          </cell>
          <cell r="P1022" t="str">
            <v>$1938</v>
          </cell>
          <cell r="Q1022">
            <v>45621</v>
          </cell>
          <cell r="R1022" t="str">
            <v>Chennai</v>
          </cell>
          <cell r="S1022" t="str">
            <v>Tablet</v>
          </cell>
          <cell r="T1022" t="str">
            <v>analytics for data</v>
          </cell>
        </row>
        <row r="1023">
          <cell r="A1023" t="str">
            <v>A2021</v>
          </cell>
          <cell r="B1023" t="str">
            <v>Data Analytics Course</v>
          </cell>
          <cell r="C1023">
            <v>156</v>
          </cell>
          <cell r="D1023">
            <v>156</v>
          </cell>
          <cell r="E1023">
            <v>5415</v>
          </cell>
          <cell r="F1023">
            <v>5415</v>
          </cell>
          <cell r="G1023" t="str">
            <v>$198.27</v>
          </cell>
          <cell r="H1023" t="str">
            <v>$198.27</v>
          </cell>
          <cell r="I1023">
            <v>29</v>
          </cell>
          <cell r="J1023">
            <v>29</v>
          </cell>
          <cell r="K1023">
            <v>7</v>
          </cell>
          <cell r="L1023">
            <v>7</v>
          </cell>
          <cell r="M1023">
            <v>4.4871794871794872E-2</v>
          </cell>
          <cell r="N1023">
            <v>3.6999999999999998E-2</v>
          </cell>
          <cell r="O1023" t="str">
            <v>$1918</v>
          </cell>
          <cell r="P1023" t="str">
            <v>$1918</v>
          </cell>
          <cell r="Q1023">
            <v>45613</v>
          </cell>
          <cell r="R1023" t="str">
            <v>Bangaluru</v>
          </cell>
          <cell r="S1023" t="str">
            <v>Desktop</v>
          </cell>
          <cell r="T1023" t="str">
            <v>data analytics training</v>
          </cell>
        </row>
        <row r="1024">
          <cell r="A1024" t="str">
            <v>A2022</v>
          </cell>
          <cell r="B1024" t="str">
            <v>Data Analytics Course</v>
          </cell>
          <cell r="C1024">
            <v>137</v>
          </cell>
          <cell r="D1024">
            <v>137</v>
          </cell>
          <cell r="E1024">
            <v>3838</v>
          </cell>
          <cell r="F1024">
            <v>3838</v>
          </cell>
          <cell r="G1024" t="str">
            <v>$226.92</v>
          </cell>
          <cell r="H1024" t="str">
            <v>$226.92</v>
          </cell>
          <cell r="I1024">
            <v>18</v>
          </cell>
          <cell r="J1024">
            <v>18</v>
          </cell>
          <cell r="K1024">
            <v>6</v>
          </cell>
          <cell r="L1024">
            <v>6</v>
          </cell>
          <cell r="M1024">
            <v>4.3795620437956206E-2</v>
          </cell>
          <cell r="N1024">
            <v>4.3999999999999997E-2</v>
          </cell>
          <cell r="O1024" t="str">
            <v>$1500</v>
          </cell>
          <cell r="Q1024">
            <v>45623</v>
          </cell>
          <cell r="R1024" t="str">
            <v>Chennai</v>
          </cell>
          <cell r="S1024" t="str">
            <v>Tablet</v>
          </cell>
          <cell r="T1024" t="str">
            <v>analytics for data</v>
          </cell>
        </row>
        <row r="1025">
          <cell r="A1025" t="str">
            <v>A2023</v>
          </cell>
          <cell r="B1025" t="str">
            <v>Data Analytcis Course</v>
          </cell>
          <cell r="C1025">
            <v>138</v>
          </cell>
          <cell r="D1025">
            <v>138</v>
          </cell>
          <cell r="E1025">
            <v>3002</v>
          </cell>
          <cell r="F1025">
            <v>3002</v>
          </cell>
          <cell r="G1025" t="str">
            <v>$246.3</v>
          </cell>
          <cell r="H1025" t="str">
            <v>$246.3</v>
          </cell>
          <cell r="I1025">
            <v>24</v>
          </cell>
          <cell r="J1025">
            <v>24</v>
          </cell>
          <cell r="K1025">
            <v>6.487868852459016</v>
          </cell>
          <cell r="M1025">
            <v>4.7013542409123303E-2</v>
          </cell>
          <cell r="N1025">
            <v>3.5999999999999997E-2</v>
          </cell>
          <cell r="O1025" t="str">
            <v>$1530</v>
          </cell>
          <cell r="P1025" t="str">
            <v>$1530</v>
          </cell>
          <cell r="Q1025">
            <v>45597</v>
          </cell>
          <cell r="R1025" t="str">
            <v>Hyderabad</v>
          </cell>
          <cell r="S1025" t="str">
            <v>Tablet</v>
          </cell>
          <cell r="T1025" t="str">
            <v>learn data analytics</v>
          </cell>
        </row>
        <row r="1026">
          <cell r="A1026" t="str">
            <v>A2024</v>
          </cell>
          <cell r="B1026" t="str">
            <v>Data Analytics Course</v>
          </cell>
          <cell r="C1026">
            <v>96</v>
          </cell>
          <cell r="D1026">
            <v>96</v>
          </cell>
          <cell r="E1026">
            <v>3958</v>
          </cell>
          <cell r="F1026">
            <v>3958</v>
          </cell>
          <cell r="G1026" t="str">
            <v>$238.06</v>
          </cell>
          <cell r="H1026" t="str">
            <v>$238.06</v>
          </cell>
          <cell r="I1026">
            <v>17</v>
          </cell>
          <cell r="J1026">
            <v>17</v>
          </cell>
          <cell r="K1026">
            <v>4</v>
          </cell>
          <cell r="L1026">
            <v>4</v>
          </cell>
          <cell r="M1026">
            <v>4.1666666666666664E-2</v>
          </cell>
          <cell r="N1026">
            <v>4.2000000000000003E-2</v>
          </cell>
          <cell r="O1026" t="str">
            <v>$1750</v>
          </cell>
          <cell r="P1026" t="str">
            <v>$1750</v>
          </cell>
          <cell r="Q1026">
            <v>45603</v>
          </cell>
          <cell r="R1026" t="str">
            <v>Chennai</v>
          </cell>
          <cell r="S1026" t="str">
            <v>Mobile</v>
          </cell>
          <cell r="T1026" t="str">
            <v>online data analytic</v>
          </cell>
        </row>
        <row r="1027">
          <cell r="A1027" t="str">
            <v>A2025</v>
          </cell>
          <cell r="B1027" t="str">
            <v>Data Analytics Course</v>
          </cell>
          <cell r="C1027">
            <v>180</v>
          </cell>
          <cell r="D1027">
            <v>180</v>
          </cell>
          <cell r="E1027">
            <v>3060</v>
          </cell>
          <cell r="F1027">
            <v>3060</v>
          </cell>
          <cell r="G1027" t="str">
            <v>$194.47</v>
          </cell>
          <cell r="H1027" t="str">
            <v>$194.47</v>
          </cell>
          <cell r="I1027">
            <v>21</v>
          </cell>
          <cell r="J1027">
            <v>21</v>
          </cell>
          <cell r="K1027">
            <v>5</v>
          </cell>
          <cell r="L1027">
            <v>5</v>
          </cell>
          <cell r="M1027">
            <v>2.7777777777777776E-2</v>
          </cell>
          <cell r="N1027">
            <v>5.3999999999999999E-2</v>
          </cell>
          <cell r="O1027" t="str">
            <v>$1429</v>
          </cell>
          <cell r="P1027" t="str">
            <v>$1429</v>
          </cell>
          <cell r="Q1027">
            <v>45606</v>
          </cell>
          <cell r="R1027" t="str">
            <v>Hyderabad</v>
          </cell>
          <cell r="S1027" t="str">
            <v>Tablet</v>
          </cell>
          <cell r="T1027" t="str">
            <v>online data analytic</v>
          </cell>
        </row>
        <row r="1028">
          <cell r="A1028" t="str">
            <v>A2026</v>
          </cell>
          <cell r="B1028" t="str">
            <v>Data Analytcis Course</v>
          </cell>
          <cell r="C1028">
            <v>132</v>
          </cell>
          <cell r="D1028">
            <v>132</v>
          </cell>
          <cell r="E1028">
            <v>5514</v>
          </cell>
          <cell r="F1028">
            <v>5514</v>
          </cell>
          <cell r="G1028" t="str">
            <v>$208.57</v>
          </cell>
          <cell r="H1028" t="str">
            <v>$208.57</v>
          </cell>
          <cell r="I1028">
            <v>16</v>
          </cell>
          <cell r="J1028">
            <v>16</v>
          </cell>
          <cell r="K1028">
            <v>7</v>
          </cell>
          <cell r="L1028">
            <v>7</v>
          </cell>
          <cell r="M1028">
            <v>5.3030303030303032E-2</v>
          </cell>
          <cell r="N1028">
            <v>5.2999999999999999E-2</v>
          </cell>
          <cell r="O1028" t="str">
            <v>$1072</v>
          </cell>
          <cell r="P1028" t="str">
            <v>$1072</v>
          </cell>
          <cell r="Q1028">
            <v>45622</v>
          </cell>
          <cell r="R1028" t="str">
            <v>Chennai</v>
          </cell>
          <cell r="S1028" t="str">
            <v>Mobile</v>
          </cell>
          <cell r="T1028" t="str">
            <v>online data analytic</v>
          </cell>
        </row>
        <row r="1029">
          <cell r="A1029" t="str">
            <v>A2027</v>
          </cell>
          <cell r="B1029" t="str">
            <v>Data Analytics Course</v>
          </cell>
          <cell r="C1029">
            <v>147</v>
          </cell>
          <cell r="D1029">
            <v>147</v>
          </cell>
          <cell r="E1029">
            <v>5373</v>
          </cell>
          <cell r="F1029">
            <v>5373</v>
          </cell>
          <cell r="G1029" t="str">
            <v>$233.68</v>
          </cell>
          <cell r="H1029" t="str">
            <v>$233.68</v>
          </cell>
          <cell r="I1029">
            <v>20</v>
          </cell>
          <cell r="J1029">
            <v>20</v>
          </cell>
          <cell r="K1029">
            <v>7</v>
          </cell>
          <cell r="L1029">
            <v>7</v>
          </cell>
          <cell r="M1029">
            <v>4.7619047619047616E-2</v>
          </cell>
          <cell r="N1029">
            <v>4.8000000000000001E-2</v>
          </cell>
          <cell r="O1029" t="str">
            <v>$1685</v>
          </cell>
          <cell r="P1029" t="str">
            <v>$1685</v>
          </cell>
          <cell r="Q1029">
            <v>45597</v>
          </cell>
          <cell r="R1029" t="str">
            <v>Hyderabad</v>
          </cell>
          <cell r="S1029" t="str">
            <v>Desktop</v>
          </cell>
          <cell r="T1029" t="str">
            <v>data analytics course</v>
          </cell>
        </row>
        <row r="1030">
          <cell r="A1030" t="str">
            <v>A2028</v>
          </cell>
          <cell r="B1030" t="str">
            <v>Data Analytics Course</v>
          </cell>
          <cell r="C1030">
            <v>84</v>
          </cell>
          <cell r="D1030">
            <v>84</v>
          </cell>
          <cell r="E1030">
            <v>4720</v>
          </cell>
          <cell r="F1030">
            <v>4720</v>
          </cell>
          <cell r="G1030" t="str">
            <v>$213.68</v>
          </cell>
          <cell r="H1030" t="str">
            <v>$213.68</v>
          </cell>
          <cell r="I1030">
            <v>20</v>
          </cell>
          <cell r="J1030">
            <v>20</v>
          </cell>
          <cell r="K1030">
            <v>5</v>
          </cell>
          <cell r="L1030">
            <v>5</v>
          </cell>
          <cell r="M1030">
            <v>5.9523809523809521E-2</v>
          </cell>
          <cell r="N1030">
            <v>0.06</v>
          </cell>
          <cell r="O1030" t="str">
            <v>$1412</v>
          </cell>
          <cell r="P1030" t="str">
            <v>$1412</v>
          </cell>
          <cell r="Q1030">
            <v>45617</v>
          </cell>
          <cell r="R1030" t="str">
            <v>Chennai</v>
          </cell>
          <cell r="S1030" t="str">
            <v>Tablet</v>
          </cell>
          <cell r="T1030" t="str">
            <v>data analytics course</v>
          </cell>
        </row>
        <row r="1031">
          <cell r="A1031" t="str">
            <v>A2029</v>
          </cell>
          <cell r="B1031" t="str">
            <v>Data Analytics Course</v>
          </cell>
          <cell r="C1031">
            <v>82</v>
          </cell>
          <cell r="D1031">
            <v>82</v>
          </cell>
          <cell r="E1031">
            <v>4330</v>
          </cell>
          <cell r="F1031">
            <v>4330</v>
          </cell>
          <cell r="G1031" t="str">
            <v>$228.68</v>
          </cell>
          <cell r="H1031" t="str">
            <v>$228.68</v>
          </cell>
          <cell r="I1031">
            <v>18</v>
          </cell>
          <cell r="J1031">
            <v>18</v>
          </cell>
          <cell r="K1031">
            <v>8</v>
          </cell>
          <cell r="L1031">
            <v>8</v>
          </cell>
          <cell r="M1031">
            <v>9.7560975609756101E-2</v>
          </cell>
          <cell r="N1031">
            <v>9.8000000000000004E-2</v>
          </cell>
          <cell r="O1031" t="str">
            <v>$1510</v>
          </cell>
          <cell r="P1031" t="str">
            <v>$1510</v>
          </cell>
          <cell r="Q1031">
            <v>45600</v>
          </cell>
          <cell r="R1031" t="str">
            <v>Chennai</v>
          </cell>
          <cell r="S1031" t="str">
            <v>Desktop</v>
          </cell>
          <cell r="T1031" t="str">
            <v>analytics for data</v>
          </cell>
        </row>
        <row r="1032">
          <cell r="A1032" t="str">
            <v>A2030</v>
          </cell>
          <cell r="B1032" t="str">
            <v>Data Analytics Course</v>
          </cell>
          <cell r="C1032">
            <v>173</v>
          </cell>
          <cell r="D1032">
            <v>173</v>
          </cell>
          <cell r="E1032">
            <v>4365</v>
          </cell>
          <cell r="F1032">
            <v>4365</v>
          </cell>
          <cell r="G1032" t="str">
            <v>$200.00</v>
          </cell>
          <cell r="I1032">
            <v>28</v>
          </cell>
          <cell r="J1032">
            <v>28</v>
          </cell>
          <cell r="K1032">
            <v>9</v>
          </cell>
          <cell r="L1032">
            <v>9</v>
          </cell>
          <cell r="M1032">
            <v>5.2023121387283239E-2</v>
          </cell>
          <cell r="O1032" t="str">
            <v>$1311</v>
          </cell>
          <cell r="P1032" t="str">
            <v>$1311</v>
          </cell>
          <cell r="Q1032">
            <v>45602</v>
          </cell>
          <cell r="R1032" t="str">
            <v>Hyderabad</v>
          </cell>
          <cell r="S1032" t="str">
            <v>Desktop</v>
          </cell>
          <cell r="T1032" t="str">
            <v>data analytics online</v>
          </cell>
        </row>
        <row r="1033">
          <cell r="A1033" t="str">
            <v>A2031</v>
          </cell>
          <cell r="B1033" t="str">
            <v>Data Analytics Course</v>
          </cell>
          <cell r="C1033">
            <v>89</v>
          </cell>
          <cell r="D1033">
            <v>89</v>
          </cell>
          <cell r="E1033">
            <v>5899</v>
          </cell>
          <cell r="F1033">
            <v>5899</v>
          </cell>
          <cell r="G1033" t="str">
            <v>$226.95</v>
          </cell>
          <cell r="H1033" t="str">
            <v>$226.95</v>
          </cell>
          <cell r="I1033">
            <v>13</v>
          </cell>
          <cell r="J1033">
            <v>13</v>
          </cell>
          <cell r="K1033">
            <v>7</v>
          </cell>
          <cell r="L1033">
            <v>7</v>
          </cell>
          <cell r="M1033">
            <v>7.8651685393258425E-2</v>
          </cell>
          <cell r="N1033">
            <v>7.9000000000000001E-2</v>
          </cell>
          <cell r="O1033" t="str">
            <v>$1058</v>
          </cell>
          <cell r="P1033" t="str">
            <v>$1058</v>
          </cell>
          <cell r="Q1033">
            <v>45606</v>
          </cell>
          <cell r="R1033" t="str">
            <v>Chennai</v>
          </cell>
          <cell r="S1033" t="str">
            <v>Mobile</v>
          </cell>
          <cell r="T1033" t="str">
            <v>data analytics training</v>
          </cell>
        </row>
        <row r="1034">
          <cell r="A1034" t="str">
            <v>A2032</v>
          </cell>
          <cell r="B1034" t="str">
            <v>Data Analytics Course</v>
          </cell>
          <cell r="C1034">
            <v>198</v>
          </cell>
          <cell r="D1034">
            <v>198</v>
          </cell>
          <cell r="E1034">
            <v>3500</v>
          </cell>
          <cell r="F1034">
            <v>3500</v>
          </cell>
          <cell r="G1034" t="str">
            <v>$206.88</v>
          </cell>
          <cell r="H1034" t="str">
            <v>$206.88</v>
          </cell>
          <cell r="I1034">
            <v>19</v>
          </cell>
          <cell r="J1034">
            <v>19</v>
          </cell>
          <cell r="K1034">
            <v>6</v>
          </cell>
          <cell r="L1034">
            <v>6</v>
          </cell>
          <cell r="M1034">
            <v>3.0303030303030304E-2</v>
          </cell>
          <cell r="N1034">
            <v>0.03</v>
          </cell>
          <cell r="O1034" t="str">
            <v>$1684</v>
          </cell>
          <cell r="P1034" t="str">
            <v>$1684</v>
          </cell>
          <cell r="Q1034">
            <v>45607</v>
          </cell>
          <cell r="R1034" t="str">
            <v>Bangaluru</v>
          </cell>
          <cell r="S1034" t="str">
            <v>Mobile</v>
          </cell>
          <cell r="T1034" t="str">
            <v>analytics for data</v>
          </cell>
        </row>
        <row r="1035">
          <cell r="A1035" t="str">
            <v>A2033</v>
          </cell>
          <cell r="B1035" t="str">
            <v>Data Analytics Course</v>
          </cell>
          <cell r="C1035">
            <v>135</v>
          </cell>
          <cell r="D1035">
            <v>135</v>
          </cell>
          <cell r="E1035">
            <v>4155</v>
          </cell>
          <cell r="F1035">
            <v>4155</v>
          </cell>
          <cell r="G1035" t="str">
            <v>$207.81</v>
          </cell>
          <cell r="H1035" t="str">
            <v>$207.81</v>
          </cell>
          <cell r="I1035">
            <v>25</v>
          </cell>
          <cell r="J1035">
            <v>25</v>
          </cell>
          <cell r="K1035">
            <v>9</v>
          </cell>
          <cell r="L1035">
            <v>9</v>
          </cell>
          <cell r="M1035">
            <v>6.6666666666666666E-2</v>
          </cell>
          <cell r="N1035">
            <v>4.9000000000000002E-2</v>
          </cell>
          <cell r="O1035" t="str">
            <v>$1313</v>
          </cell>
          <cell r="P1035" t="str">
            <v>$1313</v>
          </cell>
          <cell r="Q1035">
            <v>45599</v>
          </cell>
          <cell r="R1035" t="str">
            <v>Chennai</v>
          </cell>
          <cell r="S1035" t="str">
            <v>Desktop</v>
          </cell>
          <cell r="T1035" t="str">
            <v>online data analytic</v>
          </cell>
        </row>
        <row r="1036">
          <cell r="A1036" t="str">
            <v>A2034</v>
          </cell>
          <cell r="B1036" t="str">
            <v>Data Analytics Course</v>
          </cell>
          <cell r="C1036">
            <v>94</v>
          </cell>
          <cell r="D1036">
            <v>94</v>
          </cell>
          <cell r="E1036">
            <v>5437</v>
          </cell>
          <cell r="F1036">
            <v>5437</v>
          </cell>
          <cell r="G1036" t="str">
            <v>$190.49</v>
          </cell>
          <cell r="H1036" t="str">
            <v>$190.49</v>
          </cell>
          <cell r="I1036">
            <v>16</v>
          </cell>
          <cell r="J1036">
            <v>16</v>
          </cell>
          <cell r="K1036">
            <v>6</v>
          </cell>
          <cell r="L1036">
            <v>6</v>
          </cell>
          <cell r="M1036">
            <v>6.3829787234042548E-2</v>
          </cell>
          <cell r="N1036">
            <v>4.3999999999999997E-2</v>
          </cell>
          <cell r="O1036" t="str">
            <v>$1234</v>
          </cell>
          <cell r="P1036" t="str">
            <v>$1234</v>
          </cell>
          <cell r="Q1036">
            <v>45612</v>
          </cell>
          <cell r="R1036" t="str">
            <v>Chennai</v>
          </cell>
          <cell r="S1036" t="str">
            <v>Tablet</v>
          </cell>
          <cell r="T1036" t="str">
            <v>data analytics training</v>
          </cell>
        </row>
        <row r="1037">
          <cell r="A1037" t="str">
            <v>A2035</v>
          </cell>
          <cell r="B1037" t="str">
            <v>Data Analytics Course</v>
          </cell>
          <cell r="C1037">
            <v>151</v>
          </cell>
          <cell r="D1037">
            <v>151</v>
          </cell>
          <cell r="E1037">
            <v>3251</v>
          </cell>
          <cell r="F1037">
            <v>3251</v>
          </cell>
          <cell r="G1037" t="str">
            <v>$224.8</v>
          </cell>
          <cell r="H1037" t="str">
            <v>$224.8</v>
          </cell>
          <cell r="I1037">
            <v>13</v>
          </cell>
          <cell r="J1037">
            <v>13</v>
          </cell>
          <cell r="K1037">
            <v>6</v>
          </cell>
          <cell r="L1037">
            <v>6</v>
          </cell>
          <cell r="M1037">
            <v>3.9735099337748346E-2</v>
          </cell>
          <cell r="N1037">
            <v>0.04</v>
          </cell>
          <cell r="O1037" t="str">
            <v>$1500</v>
          </cell>
          <cell r="Q1037">
            <v>45617</v>
          </cell>
          <cell r="R1037" t="str">
            <v>Hyderabad</v>
          </cell>
          <cell r="S1037" t="str">
            <v>Desktop</v>
          </cell>
          <cell r="T1037" t="str">
            <v>learn data analytics</v>
          </cell>
        </row>
        <row r="1038">
          <cell r="A1038" t="str">
            <v>A2036</v>
          </cell>
          <cell r="B1038" t="str">
            <v>Data Analytcis Course</v>
          </cell>
          <cell r="C1038">
            <v>113</v>
          </cell>
          <cell r="D1038">
            <v>113</v>
          </cell>
          <cell r="E1038">
            <v>5392</v>
          </cell>
          <cell r="F1038">
            <v>5392</v>
          </cell>
          <cell r="G1038" t="str">
            <v>$205.13</v>
          </cell>
          <cell r="H1038" t="str">
            <v>$205.13</v>
          </cell>
          <cell r="I1038">
            <v>28</v>
          </cell>
          <cell r="J1038">
            <v>28</v>
          </cell>
          <cell r="K1038">
            <v>3</v>
          </cell>
          <cell r="L1038">
            <v>3</v>
          </cell>
          <cell r="M1038">
            <v>2.6548672566371681E-2</v>
          </cell>
          <cell r="N1038">
            <v>3.4000000000000002E-2</v>
          </cell>
          <cell r="O1038" t="str">
            <v>$1208</v>
          </cell>
          <cell r="P1038" t="str">
            <v>$1208</v>
          </cell>
          <cell r="Q1038">
            <v>45613</v>
          </cell>
          <cell r="R1038" t="str">
            <v>Chennai</v>
          </cell>
          <cell r="S1038" t="str">
            <v>Mobile</v>
          </cell>
          <cell r="T1038" t="str">
            <v>online data analytic</v>
          </cell>
        </row>
        <row r="1039">
          <cell r="A1039" t="str">
            <v>A2037</v>
          </cell>
          <cell r="B1039" t="str">
            <v>Data Analytics Course</v>
          </cell>
          <cell r="C1039">
            <v>164</v>
          </cell>
          <cell r="D1039">
            <v>164</v>
          </cell>
          <cell r="E1039">
            <v>5403</v>
          </cell>
          <cell r="F1039">
            <v>5403</v>
          </cell>
          <cell r="G1039" t="str">
            <v>$213.0</v>
          </cell>
          <cell r="H1039" t="str">
            <v>$213.0</v>
          </cell>
          <cell r="I1039">
            <v>11</v>
          </cell>
          <cell r="J1039">
            <v>11</v>
          </cell>
          <cell r="K1039">
            <v>8</v>
          </cell>
          <cell r="L1039">
            <v>8</v>
          </cell>
          <cell r="M1039">
            <v>4.878048780487805E-2</v>
          </cell>
          <cell r="N1039">
            <v>3.6999999999999998E-2</v>
          </cell>
          <cell r="O1039" t="str">
            <v>$1500</v>
          </cell>
          <cell r="Q1039">
            <v>45618</v>
          </cell>
          <cell r="R1039" t="str">
            <v>Bangaluru</v>
          </cell>
          <cell r="S1039" t="str">
            <v>Desktop</v>
          </cell>
          <cell r="T1039" t="str">
            <v>analytics for data</v>
          </cell>
        </row>
        <row r="1040">
          <cell r="A1040" t="str">
            <v>A2038</v>
          </cell>
          <cell r="B1040" t="str">
            <v>Data Analytics Course</v>
          </cell>
          <cell r="C1040">
            <v>135</v>
          </cell>
          <cell r="D1040">
            <v>135</v>
          </cell>
          <cell r="E1040">
            <v>5054</v>
          </cell>
          <cell r="F1040">
            <v>5054</v>
          </cell>
          <cell r="G1040" t="str">
            <v>$224.03</v>
          </cell>
          <cell r="H1040" t="str">
            <v>$224.03</v>
          </cell>
          <cell r="I1040">
            <v>16</v>
          </cell>
          <cell r="J1040">
            <v>16</v>
          </cell>
          <cell r="K1040">
            <v>6</v>
          </cell>
          <cell r="L1040">
            <v>6</v>
          </cell>
          <cell r="M1040">
            <v>4.4444444444444446E-2</v>
          </cell>
          <cell r="N1040">
            <v>4.3999999999999997E-2</v>
          </cell>
          <cell r="O1040" t="str">
            <v>$1765</v>
          </cell>
          <cell r="P1040" t="str">
            <v>$1765</v>
          </cell>
          <cell r="Q1040">
            <v>45603</v>
          </cell>
          <cell r="R1040" t="str">
            <v>Chennai</v>
          </cell>
          <cell r="S1040" t="str">
            <v>Mobile</v>
          </cell>
          <cell r="T1040" t="str">
            <v>data analytics training</v>
          </cell>
        </row>
        <row r="1041">
          <cell r="A1041" t="str">
            <v>A2039</v>
          </cell>
          <cell r="B1041" t="str">
            <v>Data Analytics Course</v>
          </cell>
          <cell r="C1041">
            <v>116</v>
          </cell>
          <cell r="D1041">
            <v>116</v>
          </cell>
          <cell r="E1041">
            <v>5757</v>
          </cell>
          <cell r="F1041">
            <v>5757</v>
          </cell>
          <cell r="G1041" t="str">
            <v>$218.69</v>
          </cell>
          <cell r="H1041" t="str">
            <v>$218.69</v>
          </cell>
          <cell r="I1041">
            <v>10</v>
          </cell>
          <cell r="J1041">
            <v>10</v>
          </cell>
          <cell r="K1041">
            <v>7</v>
          </cell>
          <cell r="L1041">
            <v>7</v>
          </cell>
          <cell r="M1041">
            <v>6.0344827586206899E-2</v>
          </cell>
          <cell r="N1041">
            <v>4.4999999999999998E-2</v>
          </cell>
          <cell r="O1041" t="str">
            <v>$1834</v>
          </cell>
          <cell r="P1041" t="str">
            <v>$1834</v>
          </cell>
          <cell r="Q1041">
            <v>45619</v>
          </cell>
          <cell r="R1041" t="str">
            <v>Hyderabad</v>
          </cell>
          <cell r="S1041" t="str">
            <v>Mobile</v>
          </cell>
          <cell r="T1041" t="str">
            <v>online data analytic</v>
          </cell>
        </row>
        <row r="1042">
          <cell r="A1042" t="str">
            <v>A2040</v>
          </cell>
          <cell r="B1042" t="str">
            <v>Data Analytcis Course</v>
          </cell>
          <cell r="C1042">
            <v>138.95699356913184</v>
          </cell>
          <cell r="E1042">
            <v>4485</v>
          </cell>
          <cell r="F1042">
            <v>4485</v>
          </cell>
          <cell r="G1042" t="str">
            <v>$220.3</v>
          </cell>
          <cell r="H1042" t="str">
            <v>$220.3</v>
          </cell>
          <cell r="I1042">
            <v>14</v>
          </cell>
          <cell r="J1042">
            <v>14</v>
          </cell>
          <cell r="K1042">
            <v>6</v>
          </cell>
          <cell r="L1042">
            <v>6</v>
          </cell>
          <cell r="M1042">
            <v>4.317882710246583E-2</v>
          </cell>
          <cell r="O1042" t="str">
            <v>$1801</v>
          </cell>
          <cell r="P1042" t="str">
            <v>$1801</v>
          </cell>
          <cell r="Q1042">
            <v>45597</v>
          </cell>
          <cell r="R1042" t="str">
            <v>Hyderabad</v>
          </cell>
          <cell r="S1042" t="str">
            <v>Mobile</v>
          </cell>
          <cell r="T1042" t="str">
            <v>data analytics course</v>
          </cell>
        </row>
        <row r="1043">
          <cell r="A1043" t="str">
            <v>A2041</v>
          </cell>
          <cell r="B1043" t="str">
            <v>Data Analytcis Course</v>
          </cell>
          <cell r="C1043">
            <v>164</v>
          </cell>
          <cell r="D1043">
            <v>164</v>
          </cell>
          <cell r="E1043">
            <v>4053</v>
          </cell>
          <cell r="F1043">
            <v>4053</v>
          </cell>
          <cell r="G1043" t="str">
            <v>$245.26</v>
          </cell>
          <cell r="H1043" t="str">
            <v>$245.26</v>
          </cell>
          <cell r="I1043">
            <v>28</v>
          </cell>
          <cell r="J1043">
            <v>28</v>
          </cell>
          <cell r="K1043">
            <v>7</v>
          </cell>
          <cell r="L1043">
            <v>7</v>
          </cell>
          <cell r="M1043">
            <v>4.2682926829268296E-2</v>
          </cell>
          <cell r="N1043">
            <v>4.2999999999999997E-2</v>
          </cell>
          <cell r="O1043" t="str">
            <v>$1384</v>
          </cell>
          <cell r="P1043" t="str">
            <v>$1384</v>
          </cell>
          <cell r="Q1043">
            <v>45597</v>
          </cell>
          <cell r="R1043" t="str">
            <v>Hyderabad</v>
          </cell>
          <cell r="S1043" t="str">
            <v>Tablet</v>
          </cell>
          <cell r="T1043" t="str">
            <v>learn data analytics</v>
          </cell>
        </row>
        <row r="1044">
          <cell r="A1044" t="str">
            <v>A2042</v>
          </cell>
          <cell r="B1044" t="str">
            <v>Data Analytics Course</v>
          </cell>
          <cell r="C1044">
            <v>146</v>
          </cell>
          <cell r="D1044">
            <v>146</v>
          </cell>
          <cell r="E1044">
            <v>5733</v>
          </cell>
          <cell r="F1044">
            <v>5733</v>
          </cell>
          <cell r="G1044" t="str">
            <v>$225.48</v>
          </cell>
          <cell r="H1044" t="str">
            <v>$225.48</v>
          </cell>
          <cell r="I1044">
            <v>26</v>
          </cell>
          <cell r="J1044">
            <v>26</v>
          </cell>
          <cell r="K1044">
            <v>3</v>
          </cell>
          <cell r="L1044">
            <v>3</v>
          </cell>
          <cell r="M1044">
            <v>2.0547945205479451E-2</v>
          </cell>
          <cell r="N1044">
            <v>3.5000000000000003E-2</v>
          </cell>
          <cell r="O1044" t="str">
            <v>$1658</v>
          </cell>
          <cell r="P1044" t="str">
            <v>$1658</v>
          </cell>
          <cell r="Q1044">
            <v>45606</v>
          </cell>
          <cell r="R1044" t="str">
            <v>Hyderabad</v>
          </cell>
          <cell r="S1044" t="str">
            <v>Desktop</v>
          </cell>
          <cell r="T1044" t="str">
            <v>online data analytic</v>
          </cell>
        </row>
        <row r="1045">
          <cell r="A1045" t="str">
            <v>A2043</v>
          </cell>
          <cell r="B1045" t="str">
            <v>Data Analytics Course</v>
          </cell>
          <cell r="C1045">
            <v>181</v>
          </cell>
          <cell r="D1045">
            <v>181</v>
          </cell>
          <cell r="E1045">
            <v>3225</v>
          </cell>
          <cell r="F1045">
            <v>3225</v>
          </cell>
          <cell r="G1045" t="str">
            <v>$190.25</v>
          </cell>
          <cell r="H1045" t="str">
            <v>$190.25</v>
          </cell>
          <cell r="I1045">
            <v>22</v>
          </cell>
          <cell r="J1045">
            <v>22</v>
          </cell>
          <cell r="K1045">
            <v>5</v>
          </cell>
          <cell r="L1045">
            <v>5</v>
          </cell>
          <cell r="M1045">
            <v>2.7624309392265192E-2</v>
          </cell>
          <cell r="N1045">
            <v>2.8000000000000001E-2</v>
          </cell>
          <cell r="O1045" t="str">
            <v>$1677</v>
          </cell>
          <cell r="P1045" t="str">
            <v>$1677</v>
          </cell>
          <cell r="Q1045">
            <v>45606</v>
          </cell>
          <cell r="R1045" t="str">
            <v>Hyderabad</v>
          </cell>
          <cell r="S1045" t="str">
            <v>Mobile</v>
          </cell>
          <cell r="T1045" t="str">
            <v>learn data analytics</v>
          </cell>
        </row>
        <row r="1046">
          <cell r="A1046" t="str">
            <v>A2044</v>
          </cell>
          <cell r="B1046" t="str">
            <v>Data Analytcis Course</v>
          </cell>
          <cell r="C1046">
            <v>156</v>
          </cell>
          <cell r="D1046">
            <v>156</v>
          </cell>
          <cell r="E1046">
            <v>4170</v>
          </cell>
          <cell r="F1046">
            <v>4170</v>
          </cell>
          <cell r="G1046" t="str">
            <v>$244.72</v>
          </cell>
          <cell r="H1046" t="str">
            <v>$244.72</v>
          </cell>
          <cell r="I1046">
            <v>29</v>
          </cell>
          <cell r="J1046">
            <v>29</v>
          </cell>
          <cell r="K1046">
            <v>3</v>
          </cell>
          <cell r="L1046">
            <v>3</v>
          </cell>
          <cell r="M1046">
            <v>1.9230769230769232E-2</v>
          </cell>
          <cell r="N1046">
            <v>1.9E-2</v>
          </cell>
          <cell r="O1046" t="str">
            <v>$1962</v>
          </cell>
          <cell r="P1046" t="str">
            <v>$1962</v>
          </cell>
          <cell r="Q1046">
            <v>45616</v>
          </cell>
          <cell r="R1046" t="str">
            <v>Chennai</v>
          </cell>
          <cell r="S1046" t="str">
            <v>Desktop</v>
          </cell>
          <cell r="T1046" t="str">
            <v>data analytics online</v>
          </cell>
        </row>
        <row r="1047">
          <cell r="A1047" t="str">
            <v>A2045</v>
          </cell>
          <cell r="B1047" t="str">
            <v>Data Analytics Course</v>
          </cell>
          <cell r="C1047">
            <v>182</v>
          </cell>
          <cell r="D1047">
            <v>182</v>
          </cell>
          <cell r="E1047">
            <v>4039</v>
          </cell>
          <cell r="F1047">
            <v>4039</v>
          </cell>
          <cell r="G1047" t="str">
            <v>$240.35</v>
          </cell>
          <cell r="H1047" t="str">
            <v>$240.35</v>
          </cell>
          <cell r="I1047">
            <v>12</v>
          </cell>
          <cell r="J1047">
            <v>12</v>
          </cell>
          <cell r="K1047">
            <v>7</v>
          </cell>
          <cell r="L1047">
            <v>7</v>
          </cell>
          <cell r="M1047">
            <v>3.8461538461538464E-2</v>
          </cell>
          <cell r="N1047">
            <v>3.7999999999999999E-2</v>
          </cell>
          <cell r="O1047" t="str">
            <v>$1214</v>
          </cell>
          <cell r="P1047" t="str">
            <v>$1214</v>
          </cell>
          <cell r="Q1047">
            <v>45609</v>
          </cell>
          <cell r="R1047" t="str">
            <v>Chennai</v>
          </cell>
          <cell r="S1047" t="str">
            <v>Tablet</v>
          </cell>
          <cell r="T1047" t="str">
            <v>data analytics training</v>
          </cell>
        </row>
        <row r="1048">
          <cell r="A1048" t="str">
            <v>A2046</v>
          </cell>
          <cell r="B1048" t="str">
            <v>Data Analytics Course</v>
          </cell>
          <cell r="C1048">
            <v>137</v>
          </cell>
          <cell r="D1048">
            <v>137</v>
          </cell>
          <cell r="E1048">
            <v>3150</v>
          </cell>
          <cell r="F1048">
            <v>3150</v>
          </cell>
          <cell r="G1048" t="str">
            <v>$184.36</v>
          </cell>
          <cell r="H1048" t="str">
            <v>$184.36</v>
          </cell>
          <cell r="I1048">
            <v>19</v>
          </cell>
          <cell r="J1048">
            <v>19</v>
          </cell>
          <cell r="K1048">
            <v>3</v>
          </cell>
          <cell r="L1048">
            <v>3</v>
          </cell>
          <cell r="M1048">
            <v>2.1897810218978103E-2</v>
          </cell>
          <cell r="N1048">
            <v>4.1000000000000002E-2</v>
          </cell>
          <cell r="O1048" t="str">
            <v>$1218</v>
          </cell>
          <cell r="P1048" t="str">
            <v>$1218</v>
          </cell>
          <cell r="Q1048">
            <v>45625</v>
          </cell>
          <cell r="R1048" t="str">
            <v>Hyderabad</v>
          </cell>
          <cell r="S1048" t="str">
            <v>Tablet</v>
          </cell>
          <cell r="T1048" t="str">
            <v>data analytics online</v>
          </cell>
        </row>
        <row r="1049">
          <cell r="A1049" t="str">
            <v>A2047</v>
          </cell>
          <cell r="B1049" t="str">
            <v>Data Analytics Course</v>
          </cell>
          <cell r="C1049">
            <v>93</v>
          </cell>
          <cell r="D1049">
            <v>93</v>
          </cell>
          <cell r="E1049">
            <v>4498</v>
          </cell>
          <cell r="F1049">
            <v>4498</v>
          </cell>
          <cell r="G1049" t="str">
            <v>$237.67</v>
          </cell>
          <cell r="H1049" t="str">
            <v>$237.67</v>
          </cell>
          <cell r="I1049">
            <v>27</v>
          </cell>
          <cell r="J1049">
            <v>27</v>
          </cell>
          <cell r="K1049">
            <v>3</v>
          </cell>
          <cell r="L1049">
            <v>3</v>
          </cell>
          <cell r="M1049">
            <v>3.2258064516129031E-2</v>
          </cell>
          <cell r="N1049">
            <v>3.2000000000000001E-2</v>
          </cell>
          <cell r="O1049" t="str">
            <v>$1102</v>
          </cell>
          <cell r="P1049" t="str">
            <v>$1102</v>
          </cell>
          <cell r="Q1049">
            <v>45626</v>
          </cell>
          <cell r="R1049" t="str">
            <v>Bangaluru</v>
          </cell>
          <cell r="S1049" t="str">
            <v>Mobile</v>
          </cell>
          <cell r="T1049" t="str">
            <v>online data analytic</v>
          </cell>
        </row>
        <row r="1050">
          <cell r="A1050" t="str">
            <v>A2048</v>
          </cell>
          <cell r="B1050" t="str">
            <v>Data Analytics Course</v>
          </cell>
          <cell r="C1050">
            <v>136</v>
          </cell>
          <cell r="D1050">
            <v>136</v>
          </cell>
          <cell r="E1050">
            <v>4683</v>
          </cell>
          <cell r="F1050">
            <v>4683</v>
          </cell>
          <cell r="G1050" t="str">
            <v>$228.82</v>
          </cell>
          <cell r="H1050" t="str">
            <v>$228.82</v>
          </cell>
          <cell r="I1050">
            <v>22</v>
          </cell>
          <cell r="J1050">
            <v>22</v>
          </cell>
          <cell r="K1050">
            <v>5</v>
          </cell>
          <cell r="L1050">
            <v>5</v>
          </cell>
          <cell r="M1050">
            <v>3.6764705882352942E-2</v>
          </cell>
          <cell r="N1050">
            <v>3.6999999999999998E-2</v>
          </cell>
          <cell r="O1050" t="str">
            <v>$1493</v>
          </cell>
          <cell r="P1050" t="str">
            <v>$1493</v>
          </cell>
          <cell r="Q1050">
            <v>45615</v>
          </cell>
          <cell r="R1050" t="str">
            <v>Hyderabad</v>
          </cell>
          <cell r="S1050" t="str">
            <v>Desktop</v>
          </cell>
          <cell r="T1050" t="str">
            <v>learn data analytics</v>
          </cell>
        </row>
        <row r="1051">
          <cell r="A1051" t="str">
            <v>A2049</v>
          </cell>
          <cell r="B1051" t="str">
            <v>Data Analytics Course</v>
          </cell>
          <cell r="C1051">
            <v>194</v>
          </cell>
          <cell r="D1051">
            <v>194</v>
          </cell>
          <cell r="E1051">
            <v>5620</v>
          </cell>
          <cell r="F1051">
            <v>5620</v>
          </cell>
          <cell r="G1051" t="str">
            <v>$194.91</v>
          </cell>
          <cell r="H1051" t="str">
            <v>$194.91</v>
          </cell>
          <cell r="I1051">
            <v>22</v>
          </cell>
          <cell r="J1051">
            <v>22</v>
          </cell>
          <cell r="K1051">
            <v>10</v>
          </cell>
          <cell r="L1051">
            <v>10</v>
          </cell>
          <cell r="M1051">
            <v>5.1546391752577317E-2</v>
          </cell>
          <cell r="O1051" t="str">
            <v>$1607</v>
          </cell>
          <cell r="P1051" t="str">
            <v>$1607</v>
          </cell>
          <cell r="Q1051">
            <v>45604</v>
          </cell>
          <cell r="R1051" t="str">
            <v>Bangaluru</v>
          </cell>
          <cell r="S1051" t="str">
            <v>Tablet</v>
          </cell>
          <cell r="T1051" t="str">
            <v>data analytics course</v>
          </cell>
        </row>
        <row r="1052">
          <cell r="A1052" t="str">
            <v>A2050</v>
          </cell>
          <cell r="B1052" t="str">
            <v>Data Analytics Course</v>
          </cell>
          <cell r="C1052">
            <v>138.95699356913184</v>
          </cell>
          <cell r="E1052">
            <v>4653</v>
          </cell>
          <cell r="F1052">
            <v>4653</v>
          </cell>
          <cell r="G1052" t="str">
            <v>$194.99</v>
          </cell>
          <cell r="H1052" t="str">
            <v>$194.99</v>
          </cell>
          <cell r="I1052">
            <v>11</v>
          </cell>
          <cell r="J1052">
            <v>11</v>
          </cell>
          <cell r="K1052">
            <v>5</v>
          </cell>
          <cell r="L1052">
            <v>5</v>
          </cell>
          <cell r="M1052">
            <v>3.5982355918721523E-2</v>
          </cell>
          <cell r="N1052">
            <v>5.3999999999999999E-2</v>
          </cell>
          <cell r="O1052" t="str">
            <v>$1928</v>
          </cell>
          <cell r="P1052" t="str">
            <v>$1928</v>
          </cell>
          <cell r="Q1052">
            <v>45608</v>
          </cell>
          <cell r="R1052" t="str">
            <v>Chennai</v>
          </cell>
          <cell r="S1052" t="str">
            <v>Tablet</v>
          </cell>
          <cell r="T1052" t="str">
            <v>learn data analytics</v>
          </cell>
        </row>
        <row r="1053">
          <cell r="A1053" t="str">
            <v>A2051</v>
          </cell>
          <cell r="B1053" t="str">
            <v>Data Analytcis Course</v>
          </cell>
          <cell r="C1053">
            <v>181</v>
          </cell>
          <cell r="D1053">
            <v>181</v>
          </cell>
          <cell r="E1053">
            <v>3063</v>
          </cell>
          <cell r="F1053">
            <v>3063</v>
          </cell>
          <cell r="G1053" t="str">
            <v>$191.03</v>
          </cell>
          <cell r="H1053" t="str">
            <v>$191.03</v>
          </cell>
          <cell r="I1053">
            <v>15</v>
          </cell>
          <cell r="J1053">
            <v>15</v>
          </cell>
          <cell r="K1053">
            <v>4</v>
          </cell>
          <cell r="L1053">
            <v>4</v>
          </cell>
          <cell r="M1053">
            <v>2.2099447513812154E-2</v>
          </cell>
          <cell r="N1053">
            <v>2.1999999999999999E-2</v>
          </cell>
          <cell r="O1053" t="str">
            <v>$1125</v>
          </cell>
          <cell r="P1053" t="str">
            <v>$1125</v>
          </cell>
          <cell r="Q1053">
            <v>45617</v>
          </cell>
          <cell r="R1053" t="str">
            <v>Hyderabad</v>
          </cell>
          <cell r="S1053" t="str">
            <v>Desktop</v>
          </cell>
          <cell r="T1053" t="str">
            <v>data analytics training</v>
          </cell>
        </row>
        <row r="1054">
          <cell r="A1054" t="str">
            <v>A2052</v>
          </cell>
          <cell r="B1054" t="str">
            <v>Data Analytics Course</v>
          </cell>
          <cell r="C1054">
            <v>156</v>
          </cell>
          <cell r="D1054">
            <v>156</v>
          </cell>
          <cell r="E1054">
            <v>3273</v>
          </cell>
          <cell r="F1054">
            <v>3273</v>
          </cell>
          <cell r="G1054" t="str">
            <v>$245.27</v>
          </cell>
          <cell r="H1054" t="str">
            <v>$245.27</v>
          </cell>
          <cell r="I1054">
            <v>30</v>
          </cell>
          <cell r="J1054">
            <v>30</v>
          </cell>
          <cell r="K1054">
            <v>8</v>
          </cell>
          <cell r="L1054">
            <v>8</v>
          </cell>
          <cell r="M1054">
            <v>5.128205128205128E-2</v>
          </cell>
          <cell r="N1054">
            <v>3.5000000000000003E-2</v>
          </cell>
          <cell r="O1054" t="str">
            <v>$1500</v>
          </cell>
          <cell r="Q1054">
            <v>45601</v>
          </cell>
          <cell r="R1054" t="str">
            <v>Bangaluru</v>
          </cell>
          <cell r="S1054" t="str">
            <v>Tablet</v>
          </cell>
          <cell r="T1054" t="str">
            <v>learn data analytics</v>
          </cell>
        </row>
        <row r="1055">
          <cell r="A1055" t="str">
            <v>A2053</v>
          </cell>
          <cell r="B1055" t="str">
            <v>Data Analytcis Course</v>
          </cell>
          <cell r="C1055">
            <v>128</v>
          </cell>
          <cell r="D1055">
            <v>128</v>
          </cell>
          <cell r="E1055">
            <v>4314</v>
          </cell>
          <cell r="F1055">
            <v>4314</v>
          </cell>
          <cell r="G1055" t="str">
            <v>$181.68</v>
          </cell>
          <cell r="H1055" t="str">
            <v>$181.68</v>
          </cell>
          <cell r="I1055">
            <v>28</v>
          </cell>
          <cell r="J1055">
            <v>28</v>
          </cell>
          <cell r="K1055">
            <v>5</v>
          </cell>
          <cell r="L1055">
            <v>5</v>
          </cell>
          <cell r="M1055">
            <v>3.90625E-2</v>
          </cell>
          <cell r="O1055" t="str">
            <v>$1456</v>
          </cell>
          <cell r="P1055" t="str">
            <v>$1456</v>
          </cell>
          <cell r="Q1055">
            <v>45621</v>
          </cell>
          <cell r="R1055" t="str">
            <v>Bangaluru</v>
          </cell>
          <cell r="S1055" t="str">
            <v>Mobile</v>
          </cell>
          <cell r="T1055" t="str">
            <v>analytics for data</v>
          </cell>
        </row>
        <row r="1056">
          <cell r="A1056" t="str">
            <v>A2054</v>
          </cell>
          <cell r="B1056" t="str">
            <v>Data Analytics Course</v>
          </cell>
          <cell r="C1056">
            <v>133</v>
          </cell>
          <cell r="D1056">
            <v>133</v>
          </cell>
          <cell r="E1056">
            <v>5945</v>
          </cell>
          <cell r="F1056">
            <v>5945</v>
          </cell>
          <cell r="G1056" t="str">
            <v>$223.43</v>
          </cell>
          <cell r="H1056" t="str">
            <v>$223.43</v>
          </cell>
          <cell r="I1056">
            <v>16</v>
          </cell>
          <cell r="J1056">
            <v>16</v>
          </cell>
          <cell r="K1056">
            <v>6</v>
          </cell>
          <cell r="L1056">
            <v>6</v>
          </cell>
          <cell r="M1056">
            <v>4.5112781954887216E-2</v>
          </cell>
          <cell r="N1056">
            <v>4.4999999999999998E-2</v>
          </cell>
          <cell r="O1056" t="str">
            <v>$1329</v>
          </cell>
          <cell r="P1056" t="str">
            <v>$1329</v>
          </cell>
          <cell r="Q1056">
            <v>45612</v>
          </cell>
          <cell r="R1056" t="str">
            <v>Hyderabad</v>
          </cell>
          <cell r="S1056" t="str">
            <v>Tablet</v>
          </cell>
          <cell r="T1056" t="str">
            <v>data analytics training</v>
          </cell>
        </row>
        <row r="1057">
          <cell r="A1057" t="str">
            <v>A2055</v>
          </cell>
          <cell r="B1057" t="str">
            <v>Data Analytcis Course</v>
          </cell>
          <cell r="C1057">
            <v>118</v>
          </cell>
          <cell r="D1057">
            <v>118</v>
          </cell>
          <cell r="E1057">
            <v>4794</v>
          </cell>
          <cell r="F1057">
            <v>4794</v>
          </cell>
          <cell r="G1057" t="str">
            <v>$233.49</v>
          </cell>
          <cell r="H1057" t="str">
            <v>$233.49</v>
          </cell>
          <cell r="I1057">
            <v>20.025827814569535</v>
          </cell>
          <cell r="K1057">
            <v>3</v>
          </cell>
          <cell r="L1057">
            <v>3</v>
          </cell>
          <cell r="M1057">
            <v>2.5423728813559324E-2</v>
          </cell>
          <cell r="N1057">
            <v>2.5000000000000001E-2</v>
          </cell>
          <cell r="O1057" t="str">
            <v>$1707</v>
          </cell>
          <cell r="P1057" t="str">
            <v>$1707</v>
          </cell>
          <cell r="Q1057">
            <v>45623</v>
          </cell>
          <cell r="R1057" t="str">
            <v>Chennai</v>
          </cell>
          <cell r="S1057" t="str">
            <v>Mobile</v>
          </cell>
          <cell r="T1057" t="str">
            <v>data analytics course</v>
          </cell>
        </row>
        <row r="1058">
          <cell r="A1058" t="str">
            <v>A2056</v>
          </cell>
          <cell r="B1058" t="str">
            <v>Data Analytics Course</v>
          </cell>
          <cell r="C1058">
            <v>191</v>
          </cell>
          <cell r="D1058">
            <v>191</v>
          </cell>
          <cell r="E1058">
            <v>5227</v>
          </cell>
          <cell r="F1058">
            <v>5227</v>
          </cell>
          <cell r="G1058" t="str">
            <v>$204.87</v>
          </cell>
          <cell r="H1058" t="str">
            <v>$204.87</v>
          </cell>
          <cell r="I1058">
            <v>26</v>
          </cell>
          <cell r="J1058">
            <v>26</v>
          </cell>
          <cell r="K1058">
            <v>6</v>
          </cell>
          <cell r="L1058">
            <v>6</v>
          </cell>
          <cell r="M1058">
            <v>3.1413612565445025E-2</v>
          </cell>
          <cell r="O1058" t="str">
            <v>$1605</v>
          </cell>
          <cell r="P1058" t="str">
            <v>$1605</v>
          </cell>
          <cell r="Q1058">
            <v>45616</v>
          </cell>
          <cell r="R1058" t="str">
            <v>Chennai</v>
          </cell>
          <cell r="S1058" t="str">
            <v>Mobile</v>
          </cell>
          <cell r="T1058" t="str">
            <v>data analytics course</v>
          </cell>
        </row>
        <row r="1059">
          <cell r="A1059" t="str">
            <v>A2057</v>
          </cell>
          <cell r="B1059" t="str">
            <v>Data Analytcis Course</v>
          </cell>
          <cell r="C1059">
            <v>172</v>
          </cell>
          <cell r="D1059">
            <v>172</v>
          </cell>
          <cell r="E1059">
            <v>4850</v>
          </cell>
          <cell r="F1059">
            <v>4850</v>
          </cell>
          <cell r="G1059" t="str">
            <v>$242.33</v>
          </cell>
          <cell r="H1059" t="str">
            <v>$242.33</v>
          </cell>
          <cell r="I1059">
            <v>27</v>
          </cell>
          <cell r="J1059">
            <v>27</v>
          </cell>
          <cell r="K1059">
            <v>4</v>
          </cell>
          <cell r="L1059">
            <v>4</v>
          </cell>
          <cell r="M1059">
            <v>2.3255813953488372E-2</v>
          </cell>
          <cell r="N1059">
            <v>2.3E-2</v>
          </cell>
          <cell r="O1059" t="str">
            <v>$1391</v>
          </cell>
          <cell r="P1059" t="str">
            <v>$1391</v>
          </cell>
          <cell r="Q1059">
            <v>45617</v>
          </cell>
          <cell r="R1059" t="str">
            <v>Chennai</v>
          </cell>
          <cell r="S1059" t="str">
            <v>Tablet</v>
          </cell>
          <cell r="T1059" t="str">
            <v>data analytics online</v>
          </cell>
        </row>
        <row r="1060">
          <cell r="A1060" t="str">
            <v>A2058</v>
          </cell>
          <cell r="B1060" t="str">
            <v>Data Analytics Course</v>
          </cell>
          <cell r="C1060">
            <v>143</v>
          </cell>
          <cell r="D1060">
            <v>143</v>
          </cell>
          <cell r="E1060">
            <v>5314</v>
          </cell>
          <cell r="F1060">
            <v>5314</v>
          </cell>
          <cell r="G1060" t="str">
            <v>$222.14</v>
          </cell>
          <cell r="H1060" t="str">
            <v>$222.14</v>
          </cell>
          <cell r="I1060">
            <v>21</v>
          </cell>
          <cell r="J1060">
            <v>21</v>
          </cell>
          <cell r="K1060">
            <v>9</v>
          </cell>
          <cell r="L1060">
            <v>9</v>
          </cell>
          <cell r="M1060">
            <v>6.2937062937062943E-2</v>
          </cell>
          <cell r="N1060">
            <v>6.3E-2</v>
          </cell>
          <cell r="O1060" t="str">
            <v>$1500</v>
          </cell>
          <cell r="Q1060">
            <v>45618</v>
          </cell>
          <cell r="R1060" t="str">
            <v>Hyderabad</v>
          </cell>
          <cell r="S1060" t="str">
            <v>Tablet</v>
          </cell>
          <cell r="T1060" t="str">
            <v>learn data analytics</v>
          </cell>
        </row>
        <row r="1061">
          <cell r="A1061" t="str">
            <v>A2059</v>
          </cell>
          <cell r="B1061" t="str">
            <v>Data Analytcis Course</v>
          </cell>
          <cell r="C1061">
            <v>110</v>
          </cell>
          <cell r="D1061">
            <v>110</v>
          </cell>
          <cell r="E1061">
            <v>4394</v>
          </cell>
          <cell r="F1061">
            <v>4394</v>
          </cell>
          <cell r="G1061" t="str">
            <v>$194.23</v>
          </cell>
          <cell r="H1061" t="str">
            <v>$194.23</v>
          </cell>
          <cell r="I1061">
            <v>28</v>
          </cell>
          <cell r="J1061">
            <v>28</v>
          </cell>
          <cell r="K1061">
            <v>3</v>
          </cell>
          <cell r="L1061">
            <v>3</v>
          </cell>
          <cell r="M1061">
            <v>2.7272727272727271E-2</v>
          </cell>
          <cell r="N1061">
            <v>2.7E-2</v>
          </cell>
          <cell r="O1061" t="str">
            <v>$1394</v>
          </cell>
          <cell r="P1061" t="str">
            <v>$1394</v>
          </cell>
          <cell r="Q1061">
            <v>45621</v>
          </cell>
          <cell r="R1061" t="str">
            <v>Bangaluru</v>
          </cell>
          <cell r="S1061" t="str">
            <v>Tablet</v>
          </cell>
          <cell r="T1061" t="str">
            <v>analytics for data</v>
          </cell>
        </row>
        <row r="1062">
          <cell r="A1062" t="str">
            <v>A2060</v>
          </cell>
          <cell r="B1062" t="str">
            <v>Data Analytics Course</v>
          </cell>
          <cell r="C1062">
            <v>119</v>
          </cell>
          <cell r="D1062">
            <v>119</v>
          </cell>
          <cell r="E1062">
            <v>5820</v>
          </cell>
          <cell r="F1062">
            <v>5820</v>
          </cell>
          <cell r="G1062" t="str">
            <v>$196.42</v>
          </cell>
          <cell r="H1062" t="str">
            <v>$196.42</v>
          </cell>
          <cell r="I1062">
            <v>11</v>
          </cell>
          <cell r="J1062">
            <v>11</v>
          </cell>
          <cell r="K1062">
            <v>10</v>
          </cell>
          <cell r="L1062">
            <v>10</v>
          </cell>
          <cell r="M1062">
            <v>8.4033613445378158E-2</v>
          </cell>
          <cell r="N1062">
            <v>8.4000000000000005E-2</v>
          </cell>
          <cell r="O1062" t="str">
            <v>$1707</v>
          </cell>
          <cell r="P1062" t="str">
            <v>$1707</v>
          </cell>
          <cell r="Q1062">
            <v>45618</v>
          </cell>
          <cell r="R1062" t="str">
            <v>Bangaluru</v>
          </cell>
          <cell r="S1062" t="str">
            <v>Tablet</v>
          </cell>
          <cell r="T1062" t="str">
            <v>learn data analytics</v>
          </cell>
        </row>
        <row r="1063">
          <cell r="A1063" t="str">
            <v>A2061</v>
          </cell>
          <cell r="B1063" t="str">
            <v>Data Analytics Course</v>
          </cell>
          <cell r="C1063">
            <v>178</v>
          </cell>
          <cell r="D1063">
            <v>178</v>
          </cell>
          <cell r="E1063">
            <v>5328</v>
          </cell>
          <cell r="F1063">
            <v>5328</v>
          </cell>
          <cell r="G1063" t="str">
            <v>$201.9</v>
          </cell>
          <cell r="H1063" t="str">
            <v>$201.9</v>
          </cell>
          <cell r="I1063">
            <v>20</v>
          </cell>
          <cell r="J1063">
            <v>20</v>
          </cell>
          <cell r="K1063">
            <v>9</v>
          </cell>
          <cell r="L1063">
            <v>9</v>
          </cell>
          <cell r="M1063">
            <v>5.0561797752808987E-2</v>
          </cell>
          <cell r="N1063">
            <v>5.0999999999999997E-2</v>
          </cell>
          <cell r="O1063" t="str">
            <v>$1452</v>
          </cell>
          <cell r="P1063" t="str">
            <v>$1452</v>
          </cell>
          <cell r="Q1063">
            <v>45617</v>
          </cell>
          <cell r="R1063" t="str">
            <v>Hyderabad</v>
          </cell>
          <cell r="S1063" t="str">
            <v>Mobile</v>
          </cell>
          <cell r="T1063" t="str">
            <v>data analytics course</v>
          </cell>
        </row>
        <row r="1064">
          <cell r="A1064" t="str">
            <v>A2062</v>
          </cell>
          <cell r="B1064" t="str">
            <v>Data Analytcis Course</v>
          </cell>
          <cell r="C1064">
            <v>138.95699356913184</v>
          </cell>
          <cell r="E1064">
            <v>3557</v>
          </cell>
          <cell r="F1064">
            <v>3557</v>
          </cell>
          <cell r="G1064" t="str">
            <v>$190.84</v>
          </cell>
          <cell r="H1064" t="str">
            <v>$190.84</v>
          </cell>
          <cell r="I1064">
            <v>17</v>
          </cell>
          <cell r="J1064">
            <v>17</v>
          </cell>
          <cell r="K1064">
            <v>4</v>
          </cell>
          <cell r="L1064">
            <v>4</v>
          </cell>
          <cell r="M1064">
            <v>2.8785884734977219E-2</v>
          </cell>
          <cell r="O1064" t="str">
            <v>$1925</v>
          </cell>
          <cell r="P1064" t="str">
            <v>$1925</v>
          </cell>
          <cell r="Q1064">
            <v>45624</v>
          </cell>
          <cell r="R1064" t="str">
            <v>Bangaluru</v>
          </cell>
          <cell r="S1064" t="str">
            <v>Desktop</v>
          </cell>
          <cell r="T1064" t="str">
            <v>data analytics online</v>
          </cell>
        </row>
        <row r="1065">
          <cell r="A1065" t="str">
            <v>A2063</v>
          </cell>
          <cell r="B1065" t="str">
            <v>Data Analytics Course</v>
          </cell>
          <cell r="C1065">
            <v>95</v>
          </cell>
          <cell r="D1065">
            <v>95</v>
          </cell>
          <cell r="E1065">
            <v>4050</v>
          </cell>
          <cell r="F1065">
            <v>4050</v>
          </cell>
          <cell r="G1065" t="str">
            <v>$234.79</v>
          </cell>
          <cell r="H1065" t="str">
            <v>$234.79</v>
          </cell>
          <cell r="I1065">
            <v>20</v>
          </cell>
          <cell r="J1065">
            <v>20</v>
          </cell>
          <cell r="K1065">
            <v>5</v>
          </cell>
          <cell r="L1065">
            <v>5</v>
          </cell>
          <cell r="M1065">
            <v>5.2631578947368418E-2</v>
          </cell>
          <cell r="O1065" t="str">
            <v>$1783</v>
          </cell>
          <cell r="P1065" t="str">
            <v>$1783</v>
          </cell>
          <cell r="Q1065">
            <v>45614</v>
          </cell>
          <cell r="R1065" t="str">
            <v>Hyderabad</v>
          </cell>
          <cell r="S1065" t="str">
            <v>Mobile</v>
          </cell>
          <cell r="T1065" t="str">
            <v>data analytics online</v>
          </cell>
        </row>
        <row r="1066">
          <cell r="A1066" t="str">
            <v>A2064</v>
          </cell>
          <cell r="B1066" t="str">
            <v>Data Analytics Course</v>
          </cell>
          <cell r="C1066">
            <v>198</v>
          </cell>
          <cell r="D1066">
            <v>198</v>
          </cell>
          <cell r="E1066">
            <v>3575</v>
          </cell>
          <cell r="F1066">
            <v>3575</v>
          </cell>
          <cell r="G1066" t="str">
            <v>$224.07</v>
          </cell>
          <cell r="H1066" t="str">
            <v>$224.07</v>
          </cell>
          <cell r="I1066">
            <v>13</v>
          </cell>
          <cell r="J1066">
            <v>13</v>
          </cell>
          <cell r="K1066">
            <v>3</v>
          </cell>
          <cell r="L1066">
            <v>3</v>
          </cell>
          <cell r="M1066">
            <v>1.5151515151515152E-2</v>
          </cell>
          <cell r="O1066" t="str">
            <v>$1070</v>
          </cell>
          <cell r="P1066" t="str">
            <v>$1070</v>
          </cell>
          <cell r="Q1066">
            <v>45605</v>
          </cell>
          <cell r="R1066" t="str">
            <v>Chennai</v>
          </cell>
          <cell r="S1066" t="str">
            <v>Desktop</v>
          </cell>
          <cell r="T1066" t="str">
            <v>data analytics online</v>
          </cell>
        </row>
        <row r="1067">
          <cell r="A1067" t="str">
            <v>A2065</v>
          </cell>
          <cell r="B1067" t="str">
            <v>Data Analytics Course</v>
          </cell>
          <cell r="C1067">
            <v>134</v>
          </cell>
          <cell r="D1067">
            <v>134</v>
          </cell>
          <cell r="E1067">
            <v>5570</v>
          </cell>
          <cell r="F1067">
            <v>5570</v>
          </cell>
          <cell r="G1067" t="str">
            <v>$233.77</v>
          </cell>
          <cell r="H1067" t="str">
            <v>$233.77</v>
          </cell>
          <cell r="I1067">
            <v>15</v>
          </cell>
          <cell r="J1067">
            <v>15</v>
          </cell>
          <cell r="K1067">
            <v>4</v>
          </cell>
          <cell r="L1067">
            <v>4</v>
          </cell>
          <cell r="M1067">
            <v>2.9850746268656716E-2</v>
          </cell>
          <cell r="N1067">
            <v>0.03</v>
          </cell>
          <cell r="O1067" t="str">
            <v>$1101</v>
          </cell>
          <cell r="P1067" t="str">
            <v>$1101</v>
          </cell>
          <cell r="Q1067">
            <v>45623</v>
          </cell>
          <cell r="R1067" t="str">
            <v>Hyderabad</v>
          </cell>
          <cell r="S1067" t="str">
            <v>Mobile</v>
          </cell>
          <cell r="T1067" t="str">
            <v>data analytics course</v>
          </cell>
        </row>
        <row r="1068">
          <cell r="A1068" t="str">
            <v>A2066</v>
          </cell>
          <cell r="B1068" t="str">
            <v>Data Analytcis Course</v>
          </cell>
          <cell r="C1068">
            <v>83</v>
          </cell>
          <cell r="D1068">
            <v>83</v>
          </cell>
          <cell r="E1068">
            <v>4883</v>
          </cell>
          <cell r="F1068">
            <v>4883</v>
          </cell>
          <cell r="G1068" t="str">
            <v>$228.3</v>
          </cell>
          <cell r="H1068" t="str">
            <v>$228.3</v>
          </cell>
          <cell r="I1068">
            <v>29</v>
          </cell>
          <cell r="J1068">
            <v>29</v>
          </cell>
          <cell r="K1068">
            <v>10</v>
          </cell>
          <cell r="L1068">
            <v>10</v>
          </cell>
          <cell r="M1068">
            <v>0.12048192771084337</v>
          </cell>
          <cell r="O1068" t="str">
            <v>$1456</v>
          </cell>
          <cell r="P1068" t="str">
            <v>$1456</v>
          </cell>
          <cell r="Q1068">
            <v>45603</v>
          </cell>
          <cell r="R1068" t="str">
            <v>Bangaluru</v>
          </cell>
          <cell r="S1068" t="str">
            <v>Mobile</v>
          </cell>
          <cell r="T1068" t="str">
            <v>learn data analytics</v>
          </cell>
        </row>
        <row r="1069">
          <cell r="A1069" t="str">
            <v>A2067</v>
          </cell>
          <cell r="B1069" t="str">
            <v>Data Analytcis Course</v>
          </cell>
          <cell r="C1069">
            <v>187</v>
          </cell>
          <cell r="D1069">
            <v>187</v>
          </cell>
          <cell r="E1069">
            <v>4753</v>
          </cell>
          <cell r="F1069">
            <v>4753</v>
          </cell>
          <cell r="G1069" t="str">
            <v>$236.03</v>
          </cell>
          <cell r="H1069" t="str">
            <v>$236.03</v>
          </cell>
          <cell r="I1069">
            <v>13</v>
          </cell>
          <cell r="J1069">
            <v>13</v>
          </cell>
          <cell r="K1069">
            <v>3</v>
          </cell>
          <cell r="L1069">
            <v>3</v>
          </cell>
          <cell r="M1069">
            <v>1.6042780748663103E-2</v>
          </cell>
          <cell r="N1069">
            <v>5.3999999999999999E-2</v>
          </cell>
          <cell r="O1069" t="str">
            <v>$1906</v>
          </cell>
          <cell r="P1069" t="str">
            <v>$1906</v>
          </cell>
          <cell r="Q1069">
            <v>45614</v>
          </cell>
          <cell r="R1069" t="str">
            <v>Bangaluru</v>
          </cell>
          <cell r="S1069" t="str">
            <v>Desktop</v>
          </cell>
          <cell r="T1069" t="str">
            <v>data analytics online</v>
          </cell>
        </row>
        <row r="1070">
          <cell r="A1070" t="str">
            <v>A2068</v>
          </cell>
          <cell r="B1070" t="str">
            <v>Data Analytics Course</v>
          </cell>
          <cell r="C1070">
            <v>81</v>
          </cell>
          <cell r="D1070">
            <v>81</v>
          </cell>
          <cell r="E1070">
            <v>5653</v>
          </cell>
          <cell r="F1070">
            <v>5653</v>
          </cell>
          <cell r="G1070" t="str">
            <v>$245.33</v>
          </cell>
          <cell r="H1070" t="str">
            <v>$245.33</v>
          </cell>
          <cell r="I1070">
            <v>23</v>
          </cell>
          <cell r="J1070">
            <v>23</v>
          </cell>
          <cell r="K1070">
            <v>8</v>
          </cell>
          <cell r="L1070">
            <v>8</v>
          </cell>
          <cell r="M1070">
            <v>9.8765432098765427E-2</v>
          </cell>
          <cell r="N1070">
            <v>9.9000000000000005E-2</v>
          </cell>
          <cell r="O1070" t="str">
            <v>$1248</v>
          </cell>
          <cell r="P1070" t="str">
            <v>$1248</v>
          </cell>
          <cell r="Q1070">
            <v>45622</v>
          </cell>
          <cell r="R1070" t="str">
            <v>Hyderabad</v>
          </cell>
          <cell r="S1070" t="str">
            <v>Mobile</v>
          </cell>
          <cell r="T1070" t="str">
            <v>data analytics online</v>
          </cell>
        </row>
        <row r="1071">
          <cell r="A1071" t="str">
            <v>A2069</v>
          </cell>
          <cell r="B1071" t="str">
            <v>Data Analytics Course</v>
          </cell>
          <cell r="C1071">
            <v>144</v>
          </cell>
          <cell r="D1071">
            <v>144</v>
          </cell>
          <cell r="E1071">
            <v>5750</v>
          </cell>
          <cell r="F1071">
            <v>5750</v>
          </cell>
          <cell r="G1071" t="str">
            <v>$184.37</v>
          </cell>
          <cell r="H1071" t="str">
            <v>$184.37</v>
          </cell>
          <cell r="I1071">
            <v>19</v>
          </cell>
          <cell r="J1071">
            <v>19</v>
          </cell>
          <cell r="K1071">
            <v>8</v>
          </cell>
          <cell r="L1071">
            <v>8</v>
          </cell>
          <cell r="M1071">
            <v>5.5555555555555552E-2</v>
          </cell>
          <cell r="N1071">
            <v>5.6000000000000001E-2</v>
          </cell>
          <cell r="O1071" t="str">
            <v>$1098</v>
          </cell>
          <cell r="P1071" t="str">
            <v>$1098</v>
          </cell>
          <cell r="Q1071">
            <v>45622</v>
          </cell>
          <cell r="R1071" t="str">
            <v>Bangaluru</v>
          </cell>
          <cell r="S1071" t="str">
            <v>Desktop</v>
          </cell>
          <cell r="T1071" t="str">
            <v>learn data analytics</v>
          </cell>
        </row>
        <row r="1072">
          <cell r="A1072" t="str">
            <v>A2070</v>
          </cell>
          <cell r="B1072" t="str">
            <v>Data Analytcis Course</v>
          </cell>
          <cell r="C1072">
            <v>161</v>
          </cell>
          <cell r="D1072">
            <v>161</v>
          </cell>
          <cell r="E1072">
            <v>5766</v>
          </cell>
          <cell r="F1072">
            <v>5766</v>
          </cell>
          <cell r="G1072" t="str">
            <v>$221.93</v>
          </cell>
          <cell r="H1072" t="str">
            <v>$221.93</v>
          </cell>
          <cell r="I1072">
            <v>10</v>
          </cell>
          <cell r="J1072">
            <v>10</v>
          </cell>
          <cell r="K1072">
            <v>8</v>
          </cell>
          <cell r="L1072">
            <v>8</v>
          </cell>
          <cell r="M1072">
            <v>4.9689440993788817E-2</v>
          </cell>
          <cell r="N1072">
            <v>0.05</v>
          </cell>
          <cell r="O1072" t="str">
            <v>$1830</v>
          </cell>
          <cell r="P1072" t="str">
            <v>$1830</v>
          </cell>
          <cell r="Q1072">
            <v>45609</v>
          </cell>
          <cell r="R1072" t="str">
            <v>Bangaluru</v>
          </cell>
          <cell r="S1072" t="str">
            <v>Tablet</v>
          </cell>
          <cell r="T1072" t="str">
            <v>online data analytic</v>
          </cell>
        </row>
        <row r="1073">
          <cell r="A1073" t="str">
            <v>A2071</v>
          </cell>
          <cell r="B1073" t="str">
            <v>Data Analytics Course</v>
          </cell>
          <cell r="C1073">
            <v>90</v>
          </cell>
          <cell r="D1073">
            <v>90</v>
          </cell>
          <cell r="E1073">
            <v>4424</v>
          </cell>
          <cell r="F1073">
            <v>4424</v>
          </cell>
          <cell r="G1073" t="str">
            <v>$219.77</v>
          </cell>
          <cell r="H1073" t="str">
            <v>$219.77</v>
          </cell>
          <cell r="I1073">
            <v>10</v>
          </cell>
          <cell r="J1073">
            <v>10</v>
          </cell>
          <cell r="K1073">
            <v>4</v>
          </cell>
          <cell r="L1073">
            <v>4</v>
          </cell>
          <cell r="M1073">
            <v>4.4444444444444446E-2</v>
          </cell>
          <cell r="O1073" t="str">
            <v>$1396</v>
          </cell>
          <cell r="P1073" t="str">
            <v>$1396</v>
          </cell>
          <cell r="Q1073">
            <v>45604</v>
          </cell>
          <cell r="R1073" t="str">
            <v>Chennai</v>
          </cell>
          <cell r="S1073" t="str">
            <v>Desktop</v>
          </cell>
          <cell r="T1073" t="str">
            <v>data analytics online</v>
          </cell>
        </row>
        <row r="1074">
          <cell r="A1074" t="str">
            <v>A2072</v>
          </cell>
          <cell r="B1074" t="str">
            <v>Data Analytics Course</v>
          </cell>
          <cell r="C1074">
            <v>128</v>
          </cell>
          <cell r="D1074">
            <v>128</v>
          </cell>
          <cell r="E1074">
            <v>5043</v>
          </cell>
          <cell r="F1074">
            <v>5043</v>
          </cell>
          <cell r="G1074" t="str">
            <v>$231.72</v>
          </cell>
          <cell r="H1074" t="str">
            <v>$231.72</v>
          </cell>
          <cell r="I1074">
            <v>26</v>
          </cell>
          <cell r="J1074">
            <v>26</v>
          </cell>
          <cell r="K1074">
            <v>8</v>
          </cell>
          <cell r="L1074">
            <v>8</v>
          </cell>
          <cell r="M1074">
            <v>6.25E-2</v>
          </cell>
          <cell r="N1074">
            <v>6.2E-2</v>
          </cell>
          <cell r="O1074" t="str">
            <v>$1508</v>
          </cell>
          <cell r="P1074" t="str">
            <v>$1508</v>
          </cell>
          <cell r="Q1074">
            <v>45622</v>
          </cell>
          <cell r="R1074" t="str">
            <v>Hyderabad</v>
          </cell>
          <cell r="S1074" t="str">
            <v>Tablet</v>
          </cell>
          <cell r="T1074" t="str">
            <v>analytics for data</v>
          </cell>
        </row>
        <row r="1075">
          <cell r="A1075" t="str">
            <v>A2073</v>
          </cell>
          <cell r="B1075" t="str">
            <v>Data Analytcis Course</v>
          </cell>
          <cell r="C1075">
            <v>195</v>
          </cell>
          <cell r="D1075">
            <v>195</v>
          </cell>
          <cell r="E1075">
            <v>4529</v>
          </cell>
          <cell r="F1075">
            <v>4529</v>
          </cell>
          <cell r="G1075" t="str">
            <v>$200.36</v>
          </cell>
          <cell r="H1075" t="str">
            <v>$200.36</v>
          </cell>
          <cell r="I1075">
            <v>25</v>
          </cell>
          <cell r="J1075">
            <v>25</v>
          </cell>
          <cell r="K1075">
            <v>7</v>
          </cell>
          <cell r="L1075">
            <v>7</v>
          </cell>
          <cell r="M1075">
            <v>3.5897435897435895E-2</v>
          </cell>
          <cell r="N1075">
            <v>3.4000000000000002E-2</v>
          </cell>
          <cell r="O1075" t="str">
            <v>$1343</v>
          </cell>
          <cell r="P1075" t="str">
            <v>$1343</v>
          </cell>
          <cell r="Q1075">
            <v>45626</v>
          </cell>
          <cell r="R1075" t="str">
            <v>Chennai</v>
          </cell>
          <cell r="S1075" t="str">
            <v>Tablet</v>
          </cell>
          <cell r="T1075" t="str">
            <v>data analytics training</v>
          </cell>
        </row>
        <row r="1076">
          <cell r="A1076" t="str">
            <v>A2074</v>
          </cell>
          <cell r="B1076" t="str">
            <v>Data Analytcis Course</v>
          </cell>
          <cell r="C1076">
            <v>160</v>
          </cell>
          <cell r="D1076">
            <v>160</v>
          </cell>
          <cell r="E1076">
            <v>5751</v>
          </cell>
          <cell r="F1076">
            <v>5751</v>
          </cell>
          <cell r="G1076" t="str">
            <v>$200.00</v>
          </cell>
          <cell r="I1076">
            <v>28</v>
          </cell>
          <cell r="J1076">
            <v>28</v>
          </cell>
          <cell r="K1076">
            <v>4</v>
          </cell>
          <cell r="L1076">
            <v>4</v>
          </cell>
          <cell r="M1076">
            <v>2.5000000000000001E-2</v>
          </cell>
          <cell r="N1076">
            <v>0.04</v>
          </cell>
          <cell r="O1076" t="str">
            <v>$1802</v>
          </cell>
          <cell r="P1076" t="str">
            <v>$1802</v>
          </cell>
          <cell r="Q1076">
            <v>45618</v>
          </cell>
          <cell r="R1076" t="str">
            <v>Hyderabad</v>
          </cell>
          <cell r="S1076" t="str">
            <v>Mobile</v>
          </cell>
          <cell r="T1076" t="str">
            <v>learn data analytics</v>
          </cell>
        </row>
        <row r="1077">
          <cell r="A1077" t="str">
            <v>A2075</v>
          </cell>
          <cell r="B1077" t="str">
            <v>Data Analytics Course</v>
          </cell>
          <cell r="C1077">
            <v>176</v>
          </cell>
          <cell r="D1077">
            <v>176</v>
          </cell>
          <cell r="E1077">
            <v>4518</v>
          </cell>
          <cell r="F1077">
            <v>4518</v>
          </cell>
          <cell r="G1077" t="str">
            <v>$237.95</v>
          </cell>
          <cell r="H1077" t="str">
            <v>$237.95</v>
          </cell>
          <cell r="I1077">
            <v>17</v>
          </cell>
          <cell r="J1077">
            <v>17</v>
          </cell>
          <cell r="K1077">
            <v>10</v>
          </cell>
          <cell r="L1077">
            <v>10</v>
          </cell>
          <cell r="M1077">
            <v>5.6818181818181816E-2</v>
          </cell>
          <cell r="N1077">
            <v>5.7000000000000002E-2</v>
          </cell>
          <cell r="O1077" t="str">
            <v>$1933</v>
          </cell>
          <cell r="P1077" t="str">
            <v>$1933</v>
          </cell>
          <cell r="Q1077">
            <v>45607</v>
          </cell>
          <cell r="R1077" t="str">
            <v>Hyderabad</v>
          </cell>
          <cell r="S1077" t="str">
            <v>Desktop</v>
          </cell>
          <cell r="T1077" t="str">
            <v>analytics for data</v>
          </cell>
        </row>
        <row r="1078">
          <cell r="A1078" t="str">
            <v>A2076</v>
          </cell>
          <cell r="B1078" t="str">
            <v>Data Analytcis Course</v>
          </cell>
          <cell r="C1078">
            <v>157</v>
          </cell>
          <cell r="D1078">
            <v>157</v>
          </cell>
          <cell r="E1078">
            <v>5201</v>
          </cell>
          <cell r="F1078">
            <v>5201</v>
          </cell>
          <cell r="G1078" t="str">
            <v>$228.72</v>
          </cell>
          <cell r="H1078" t="str">
            <v>$228.72</v>
          </cell>
          <cell r="I1078">
            <v>14</v>
          </cell>
          <cell r="J1078">
            <v>14</v>
          </cell>
          <cell r="K1078">
            <v>8</v>
          </cell>
          <cell r="L1078">
            <v>8</v>
          </cell>
          <cell r="M1078">
            <v>5.0955414012738856E-2</v>
          </cell>
          <cell r="N1078">
            <v>5.0999999999999997E-2</v>
          </cell>
          <cell r="O1078" t="str">
            <v>$1458</v>
          </cell>
          <cell r="P1078" t="str">
            <v>$1458</v>
          </cell>
          <cell r="Q1078">
            <v>45605</v>
          </cell>
          <cell r="R1078" t="str">
            <v>Hyderabad</v>
          </cell>
          <cell r="S1078" t="str">
            <v>Mobile</v>
          </cell>
          <cell r="T1078" t="str">
            <v>data analytics online</v>
          </cell>
        </row>
        <row r="1079">
          <cell r="A1079" t="str">
            <v>A2077</v>
          </cell>
          <cell r="B1079" t="str">
            <v>Data Analytics Course</v>
          </cell>
          <cell r="C1079">
            <v>104</v>
          </cell>
          <cell r="D1079">
            <v>104</v>
          </cell>
          <cell r="E1079">
            <v>4735</v>
          </cell>
          <cell r="F1079">
            <v>4735</v>
          </cell>
          <cell r="G1079" t="str">
            <v>$233.95</v>
          </cell>
          <cell r="H1079" t="str">
            <v>$233.95</v>
          </cell>
          <cell r="I1079">
            <v>19</v>
          </cell>
          <cell r="J1079">
            <v>19</v>
          </cell>
          <cell r="K1079">
            <v>6</v>
          </cell>
          <cell r="L1079">
            <v>6</v>
          </cell>
          <cell r="M1079">
            <v>5.7692307692307696E-2</v>
          </cell>
          <cell r="N1079">
            <v>5.8000000000000003E-2</v>
          </cell>
          <cell r="O1079" t="str">
            <v>$1493</v>
          </cell>
          <cell r="P1079" t="str">
            <v>$1493</v>
          </cell>
          <cell r="Q1079">
            <v>45619</v>
          </cell>
          <cell r="R1079" t="str">
            <v>Hyderabad</v>
          </cell>
          <cell r="S1079" t="str">
            <v>Mobile</v>
          </cell>
          <cell r="T1079" t="str">
            <v>learn data analytics</v>
          </cell>
        </row>
        <row r="1080">
          <cell r="A1080" t="str">
            <v>A2078</v>
          </cell>
          <cell r="B1080" t="str">
            <v>Data Analytcis Course</v>
          </cell>
          <cell r="C1080">
            <v>117</v>
          </cell>
          <cell r="D1080">
            <v>117</v>
          </cell>
          <cell r="E1080">
            <v>3014</v>
          </cell>
          <cell r="F1080">
            <v>3014</v>
          </cell>
          <cell r="G1080" t="str">
            <v>$242.24</v>
          </cell>
          <cell r="H1080" t="str">
            <v>$242.24</v>
          </cell>
          <cell r="I1080">
            <v>12</v>
          </cell>
          <cell r="J1080">
            <v>12</v>
          </cell>
          <cell r="K1080">
            <v>6.5037389530931335</v>
          </cell>
          <cell r="M1080">
            <v>5.558751241959943E-2</v>
          </cell>
          <cell r="O1080" t="str">
            <v>$1432</v>
          </cell>
          <cell r="P1080" t="str">
            <v>$1432</v>
          </cell>
          <cell r="Q1080">
            <v>45625</v>
          </cell>
          <cell r="R1080" t="str">
            <v>Hyderabad</v>
          </cell>
          <cell r="S1080" t="str">
            <v>Mobile</v>
          </cell>
          <cell r="T1080" t="str">
            <v>learn data analytics</v>
          </cell>
        </row>
        <row r="1081">
          <cell r="A1081" t="str">
            <v>A2079</v>
          </cell>
          <cell r="B1081" t="str">
            <v>Data Analytics Course</v>
          </cell>
          <cell r="C1081">
            <v>138</v>
          </cell>
          <cell r="D1081">
            <v>138</v>
          </cell>
          <cell r="E1081">
            <v>5506</v>
          </cell>
          <cell r="F1081">
            <v>5506</v>
          </cell>
          <cell r="G1081" t="str">
            <v>$192.89</v>
          </cell>
          <cell r="H1081" t="str">
            <v>$192.89</v>
          </cell>
          <cell r="I1081">
            <v>27</v>
          </cell>
          <cell r="J1081">
            <v>27</v>
          </cell>
          <cell r="K1081">
            <v>6</v>
          </cell>
          <cell r="L1081">
            <v>6</v>
          </cell>
          <cell r="M1081">
            <v>4.3478260869565216E-2</v>
          </cell>
          <cell r="N1081">
            <v>4.2999999999999997E-2</v>
          </cell>
          <cell r="O1081" t="str">
            <v>$1261</v>
          </cell>
          <cell r="P1081" t="str">
            <v>$1261</v>
          </cell>
          <cell r="Q1081">
            <v>45598</v>
          </cell>
          <cell r="R1081" t="str">
            <v>Bangaluru</v>
          </cell>
          <cell r="S1081" t="str">
            <v>Tablet</v>
          </cell>
          <cell r="T1081" t="str">
            <v>learn data analytics</v>
          </cell>
        </row>
        <row r="1082">
          <cell r="A1082" t="str">
            <v>A2080</v>
          </cell>
          <cell r="B1082" t="str">
            <v>Data Analytcis Course</v>
          </cell>
          <cell r="C1082">
            <v>84</v>
          </cell>
          <cell r="D1082">
            <v>84</v>
          </cell>
          <cell r="E1082">
            <v>3758</v>
          </cell>
          <cell r="F1082">
            <v>3758</v>
          </cell>
          <cell r="G1082" t="str">
            <v>$232.56</v>
          </cell>
          <cell r="H1082" t="str">
            <v>$232.56</v>
          </cell>
          <cell r="I1082">
            <v>26</v>
          </cell>
          <cell r="J1082">
            <v>26</v>
          </cell>
          <cell r="K1082">
            <v>5</v>
          </cell>
          <cell r="L1082">
            <v>5</v>
          </cell>
          <cell r="M1082">
            <v>5.9523809523809521E-2</v>
          </cell>
          <cell r="N1082">
            <v>0.06</v>
          </cell>
          <cell r="O1082" t="str">
            <v>$1384</v>
          </cell>
          <cell r="P1082" t="str">
            <v>$1384</v>
          </cell>
          <cell r="Q1082">
            <v>45602</v>
          </cell>
          <cell r="R1082" t="str">
            <v>Chennai</v>
          </cell>
          <cell r="S1082" t="str">
            <v>Desktop</v>
          </cell>
          <cell r="T1082" t="str">
            <v>data analytics course</v>
          </cell>
        </row>
        <row r="1083">
          <cell r="A1083" t="str">
            <v>A2081</v>
          </cell>
          <cell r="B1083" t="str">
            <v>Data Analytcis Course</v>
          </cell>
          <cell r="C1083">
            <v>102</v>
          </cell>
          <cell r="D1083">
            <v>102</v>
          </cell>
          <cell r="E1083">
            <v>4460</v>
          </cell>
          <cell r="F1083">
            <v>4460</v>
          </cell>
          <cell r="G1083" t="str">
            <v>$182.23</v>
          </cell>
          <cell r="H1083" t="str">
            <v>$182.23</v>
          </cell>
          <cell r="I1083">
            <v>15</v>
          </cell>
          <cell r="J1083">
            <v>15</v>
          </cell>
          <cell r="K1083">
            <v>6</v>
          </cell>
          <cell r="L1083">
            <v>6</v>
          </cell>
          <cell r="M1083">
            <v>5.8823529411764705E-2</v>
          </cell>
          <cell r="N1083">
            <v>5.8999999999999997E-2</v>
          </cell>
          <cell r="O1083" t="str">
            <v>$1849</v>
          </cell>
          <cell r="P1083" t="str">
            <v>$1849</v>
          </cell>
          <cell r="Q1083">
            <v>45610</v>
          </cell>
          <cell r="R1083" t="str">
            <v>Hyderabad</v>
          </cell>
          <cell r="S1083" t="str">
            <v>Tablet</v>
          </cell>
          <cell r="T1083" t="str">
            <v>data analytics online</v>
          </cell>
        </row>
        <row r="1084">
          <cell r="A1084" t="str">
            <v>A2082</v>
          </cell>
          <cell r="B1084" t="str">
            <v>Data Analytics Course</v>
          </cell>
          <cell r="C1084">
            <v>122</v>
          </cell>
          <cell r="D1084">
            <v>122</v>
          </cell>
          <cell r="E1084">
            <v>5518</v>
          </cell>
          <cell r="F1084">
            <v>5518</v>
          </cell>
          <cell r="G1084" t="str">
            <v>$202.0</v>
          </cell>
          <cell r="H1084" t="str">
            <v>$202.0</v>
          </cell>
          <cell r="I1084">
            <v>27</v>
          </cell>
          <cell r="J1084">
            <v>27</v>
          </cell>
          <cell r="K1084">
            <v>3</v>
          </cell>
          <cell r="L1084">
            <v>3</v>
          </cell>
          <cell r="M1084">
            <v>2.4590163934426229E-2</v>
          </cell>
          <cell r="N1084">
            <v>2.5000000000000001E-2</v>
          </cell>
          <cell r="O1084" t="str">
            <v>$1884</v>
          </cell>
          <cell r="P1084" t="str">
            <v>$1884</v>
          </cell>
          <cell r="Q1084">
            <v>45607</v>
          </cell>
          <cell r="R1084" t="str">
            <v>Bangaluru</v>
          </cell>
          <cell r="S1084" t="str">
            <v>Tablet</v>
          </cell>
          <cell r="T1084" t="str">
            <v>analytics for data</v>
          </cell>
        </row>
        <row r="1085">
          <cell r="A1085" t="str">
            <v>A2083</v>
          </cell>
          <cell r="B1085" t="str">
            <v>Data Analytics Course</v>
          </cell>
          <cell r="C1085">
            <v>198</v>
          </cell>
          <cell r="D1085">
            <v>198</v>
          </cell>
          <cell r="E1085">
            <v>5542</v>
          </cell>
          <cell r="F1085">
            <v>5542</v>
          </cell>
          <cell r="G1085" t="str">
            <v>$234.62</v>
          </cell>
          <cell r="H1085" t="str">
            <v>$234.62</v>
          </cell>
          <cell r="I1085">
            <v>10</v>
          </cell>
          <cell r="J1085">
            <v>10</v>
          </cell>
          <cell r="K1085">
            <v>10</v>
          </cell>
          <cell r="L1085">
            <v>10</v>
          </cell>
          <cell r="M1085">
            <v>5.0505050505050504E-2</v>
          </cell>
          <cell r="N1085">
            <v>5.0999999999999997E-2</v>
          </cell>
          <cell r="O1085" t="str">
            <v>$1605</v>
          </cell>
          <cell r="P1085" t="str">
            <v>$1605</v>
          </cell>
          <cell r="Q1085">
            <v>45623</v>
          </cell>
          <cell r="R1085" t="str">
            <v>Hyderabad</v>
          </cell>
          <cell r="S1085" t="str">
            <v>Tablet</v>
          </cell>
          <cell r="T1085" t="str">
            <v>online data analytic</v>
          </cell>
        </row>
        <row r="1086">
          <cell r="A1086" t="str">
            <v>A2084</v>
          </cell>
          <cell r="B1086" t="str">
            <v>Data Analytics Course</v>
          </cell>
          <cell r="C1086">
            <v>152</v>
          </cell>
          <cell r="D1086">
            <v>152</v>
          </cell>
          <cell r="E1086">
            <v>5678</v>
          </cell>
          <cell r="F1086">
            <v>5678</v>
          </cell>
          <cell r="G1086" t="str">
            <v>$204.41</v>
          </cell>
          <cell r="H1086" t="str">
            <v>$204.41</v>
          </cell>
          <cell r="I1086">
            <v>22</v>
          </cell>
          <cell r="J1086">
            <v>22</v>
          </cell>
          <cell r="K1086">
            <v>4</v>
          </cell>
          <cell r="L1086">
            <v>4</v>
          </cell>
          <cell r="M1086">
            <v>2.6315789473684209E-2</v>
          </cell>
          <cell r="O1086" t="str">
            <v>$1794</v>
          </cell>
          <cell r="P1086" t="str">
            <v>$1794</v>
          </cell>
          <cell r="Q1086">
            <v>45616</v>
          </cell>
          <cell r="R1086" t="str">
            <v>Bangaluru</v>
          </cell>
          <cell r="S1086" t="str">
            <v>Desktop</v>
          </cell>
          <cell r="T1086" t="str">
            <v>online data analytic</v>
          </cell>
        </row>
        <row r="1087">
          <cell r="A1087" t="str">
            <v>A2085</v>
          </cell>
          <cell r="B1087" t="str">
            <v>Data Analytics Course</v>
          </cell>
          <cell r="C1087">
            <v>147</v>
          </cell>
          <cell r="D1087">
            <v>147</v>
          </cell>
          <cell r="E1087">
            <v>4608</v>
          </cell>
          <cell r="F1087">
            <v>4608</v>
          </cell>
          <cell r="G1087" t="str">
            <v>$180.04</v>
          </cell>
          <cell r="H1087" t="str">
            <v>$180.04</v>
          </cell>
          <cell r="I1087">
            <v>20</v>
          </cell>
          <cell r="J1087">
            <v>20</v>
          </cell>
          <cell r="K1087">
            <v>6</v>
          </cell>
          <cell r="L1087">
            <v>6</v>
          </cell>
          <cell r="M1087">
            <v>4.0816326530612242E-2</v>
          </cell>
          <cell r="N1087">
            <v>4.1000000000000002E-2</v>
          </cell>
          <cell r="O1087" t="str">
            <v>$1351</v>
          </cell>
          <cell r="P1087" t="str">
            <v>$1351</v>
          </cell>
          <cell r="Q1087">
            <v>45617</v>
          </cell>
          <cell r="R1087" t="str">
            <v>Bangaluru</v>
          </cell>
          <cell r="S1087" t="str">
            <v>Desktop</v>
          </cell>
          <cell r="T1087" t="str">
            <v>data analytics online</v>
          </cell>
        </row>
        <row r="1088">
          <cell r="A1088" t="str">
            <v>A2086</v>
          </cell>
          <cell r="B1088" t="str">
            <v>Data Analytics Course</v>
          </cell>
          <cell r="C1088">
            <v>108</v>
          </cell>
          <cell r="D1088">
            <v>108</v>
          </cell>
          <cell r="E1088">
            <v>5448</v>
          </cell>
          <cell r="F1088">
            <v>5448</v>
          </cell>
          <cell r="G1088" t="str">
            <v>$230.17</v>
          </cell>
          <cell r="H1088" t="str">
            <v>$230.17</v>
          </cell>
          <cell r="I1088">
            <v>12</v>
          </cell>
          <cell r="J1088">
            <v>12</v>
          </cell>
          <cell r="K1088">
            <v>10</v>
          </cell>
          <cell r="L1088">
            <v>10</v>
          </cell>
          <cell r="M1088">
            <v>9.2592592592592587E-2</v>
          </cell>
          <cell r="N1088">
            <v>5.1999999999999998E-2</v>
          </cell>
          <cell r="O1088" t="str">
            <v>$1039</v>
          </cell>
          <cell r="P1088" t="str">
            <v>$1039</v>
          </cell>
          <cell r="Q1088">
            <v>45615</v>
          </cell>
          <cell r="R1088" t="str">
            <v>Hyderabad</v>
          </cell>
          <cell r="S1088" t="str">
            <v>Desktop</v>
          </cell>
          <cell r="T1088" t="str">
            <v>data analytics course</v>
          </cell>
        </row>
        <row r="1089">
          <cell r="A1089" t="str">
            <v>A2087</v>
          </cell>
          <cell r="B1089" t="str">
            <v>Data Analytics Course</v>
          </cell>
          <cell r="C1089">
            <v>137</v>
          </cell>
          <cell r="D1089">
            <v>137</v>
          </cell>
          <cell r="E1089">
            <v>5261</v>
          </cell>
          <cell r="F1089">
            <v>5261</v>
          </cell>
          <cell r="G1089" t="str">
            <v>$196.48</v>
          </cell>
          <cell r="H1089" t="str">
            <v>$196.48</v>
          </cell>
          <cell r="I1089">
            <v>23</v>
          </cell>
          <cell r="J1089">
            <v>23</v>
          </cell>
          <cell r="K1089">
            <v>5</v>
          </cell>
          <cell r="L1089">
            <v>5</v>
          </cell>
          <cell r="M1089">
            <v>3.6496350364963501E-2</v>
          </cell>
          <cell r="N1089">
            <v>3.5999999999999997E-2</v>
          </cell>
          <cell r="O1089" t="str">
            <v>$1227</v>
          </cell>
          <cell r="P1089" t="str">
            <v>$1227</v>
          </cell>
          <cell r="Q1089">
            <v>45622</v>
          </cell>
          <cell r="R1089" t="str">
            <v>Chennai</v>
          </cell>
          <cell r="S1089" t="str">
            <v>Tablet</v>
          </cell>
          <cell r="T1089" t="str">
            <v>data analytics training</v>
          </cell>
        </row>
        <row r="1090">
          <cell r="A1090" t="str">
            <v>A2088</v>
          </cell>
          <cell r="B1090" t="str">
            <v>Data Analytics Course</v>
          </cell>
          <cell r="C1090">
            <v>131</v>
          </cell>
          <cell r="D1090">
            <v>131</v>
          </cell>
          <cell r="E1090">
            <v>4523.2808326787117</v>
          </cell>
          <cell r="G1090" t="str">
            <v>$209.38</v>
          </cell>
          <cell r="H1090" t="str">
            <v>$209.38</v>
          </cell>
          <cell r="I1090">
            <v>16</v>
          </cell>
          <cell r="J1090">
            <v>16</v>
          </cell>
          <cell r="K1090">
            <v>9</v>
          </cell>
          <cell r="L1090">
            <v>9</v>
          </cell>
          <cell r="M1090">
            <v>6.8702290076335881E-2</v>
          </cell>
          <cell r="N1090">
            <v>6.9000000000000006E-2</v>
          </cell>
          <cell r="O1090" t="str">
            <v>$1645</v>
          </cell>
          <cell r="P1090" t="str">
            <v>$1645</v>
          </cell>
          <cell r="Q1090">
            <v>45608</v>
          </cell>
          <cell r="R1090" t="str">
            <v>Bangaluru</v>
          </cell>
          <cell r="S1090" t="str">
            <v>Mobile</v>
          </cell>
          <cell r="T1090" t="str">
            <v>data analytics online</v>
          </cell>
        </row>
        <row r="1091">
          <cell r="A1091" t="str">
            <v>A2089</v>
          </cell>
          <cell r="B1091" t="str">
            <v>Data Analytcis Course</v>
          </cell>
          <cell r="C1091">
            <v>80</v>
          </cell>
          <cell r="D1091">
            <v>80</v>
          </cell>
          <cell r="E1091">
            <v>3760</v>
          </cell>
          <cell r="F1091">
            <v>3760</v>
          </cell>
          <cell r="G1091" t="str">
            <v>$236.82</v>
          </cell>
          <cell r="H1091" t="str">
            <v>$236.82</v>
          </cell>
          <cell r="I1091">
            <v>13</v>
          </cell>
          <cell r="J1091">
            <v>13</v>
          </cell>
          <cell r="K1091">
            <v>4</v>
          </cell>
          <cell r="L1091">
            <v>4</v>
          </cell>
          <cell r="M1091">
            <v>0.05</v>
          </cell>
          <cell r="N1091">
            <v>0.05</v>
          </cell>
          <cell r="O1091" t="str">
            <v>$1927</v>
          </cell>
          <cell r="P1091" t="str">
            <v>$1927</v>
          </cell>
          <cell r="Q1091">
            <v>45617</v>
          </cell>
          <cell r="R1091" t="str">
            <v>Chennai</v>
          </cell>
          <cell r="S1091" t="str">
            <v>Desktop</v>
          </cell>
          <cell r="T1091" t="str">
            <v>learn data analytics</v>
          </cell>
        </row>
        <row r="1092">
          <cell r="A1092" t="str">
            <v>A2090</v>
          </cell>
          <cell r="B1092" t="str">
            <v>Data Analytics Course</v>
          </cell>
          <cell r="C1092">
            <v>114</v>
          </cell>
          <cell r="D1092">
            <v>114</v>
          </cell>
          <cell r="E1092">
            <v>4157</v>
          </cell>
          <cell r="F1092">
            <v>4157</v>
          </cell>
          <cell r="G1092" t="str">
            <v>$248.56</v>
          </cell>
          <cell r="H1092" t="str">
            <v>$248.56</v>
          </cell>
          <cell r="I1092">
            <v>10</v>
          </cell>
          <cell r="J1092">
            <v>10</v>
          </cell>
          <cell r="K1092">
            <v>7</v>
          </cell>
          <cell r="L1092">
            <v>7</v>
          </cell>
          <cell r="M1092">
            <v>6.1403508771929821E-2</v>
          </cell>
          <cell r="N1092">
            <v>6.0999999999999999E-2</v>
          </cell>
          <cell r="O1092" t="str">
            <v>$1671</v>
          </cell>
          <cell r="P1092" t="str">
            <v>$1671</v>
          </cell>
          <cell r="Q1092">
            <v>45606</v>
          </cell>
          <cell r="R1092" t="str">
            <v>Hyderabad</v>
          </cell>
          <cell r="S1092" t="str">
            <v>Desktop</v>
          </cell>
          <cell r="T1092" t="str">
            <v>analytics for data</v>
          </cell>
        </row>
        <row r="1093">
          <cell r="A1093" t="str">
            <v>A2091</v>
          </cell>
          <cell r="B1093" t="str">
            <v>Data Analytics Course</v>
          </cell>
          <cell r="C1093">
            <v>123</v>
          </cell>
          <cell r="D1093">
            <v>123</v>
          </cell>
          <cell r="E1093">
            <v>4580</v>
          </cell>
          <cell r="F1093">
            <v>4580</v>
          </cell>
          <cell r="G1093" t="str">
            <v>$223.0</v>
          </cell>
          <cell r="H1093" t="str">
            <v>$223.0</v>
          </cell>
          <cell r="I1093">
            <v>15</v>
          </cell>
          <cell r="J1093">
            <v>15</v>
          </cell>
          <cell r="K1093">
            <v>7</v>
          </cell>
          <cell r="L1093">
            <v>7</v>
          </cell>
          <cell r="M1093">
            <v>5.6910569105691054E-2</v>
          </cell>
          <cell r="N1093">
            <v>5.7000000000000002E-2</v>
          </cell>
          <cell r="O1093" t="str">
            <v>$1614</v>
          </cell>
          <cell r="P1093" t="str">
            <v>$1614</v>
          </cell>
          <cell r="Q1093">
            <v>45614</v>
          </cell>
          <cell r="R1093" t="str">
            <v>Bangaluru</v>
          </cell>
          <cell r="S1093" t="str">
            <v>Mobile</v>
          </cell>
          <cell r="T1093" t="str">
            <v>analytics for data</v>
          </cell>
        </row>
        <row r="1094">
          <cell r="A1094" t="str">
            <v>A2092</v>
          </cell>
          <cell r="B1094" t="str">
            <v>Data Analytcis Course</v>
          </cell>
          <cell r="C1094">
            <v>168</v>
          </cell>
          <cell r="D1094">
            <v>168</v>
          </cell>
          <cell r="E1094">
            <v>4068</v>
          </cell>
          <cell r="F1094">
            <v>4068</v>
          </cell>
          <cell r="G1094" t="str">
            <v>$233.54</v>
          </cell>
          <cell r="H1094" t="str">
            <v>$233.54</v>
          </cell>
          <cell r="I1094">
            <v>23</v>
          </cell>
          <cell r="J1094">
            <v>23</v>
          </cell>
          <cell r="K1094">
            <v>5</v>
          </cell>
          <cell r="L1094">
            <v>5</v>
          </cell>
          <cell r="M1094">
            <v>2.976190476190476E-2</v>
          </cell>
          <cell r="N1094">
            <v>0.03</v>
          </cell>
          <cell r="O1094" t="str">
            <v>$1636</v>
          </cell>
          <cell r="P1094" t="str">
            <v>$1636</v>
          </cell>
          <cell r="Q1094">
            <v>45623</v>
          </cell>
          <cell r="R1094" t="str">
            <v>Hyderabad</v>
          </cell>
          <cell r="S1094" t="str">
            <v>Mobile</v>
          </cell>
          <cell r="T1094" t="str">
            <v>analytics for data</v>
          </cell>
        </row>
        <row r="1095">
          <cell r="A1095" t="str">
            <v>A2093</v>
          </cell>
          <cell r="B1095" t="str">
            <v>Data Analytics Course</v>
          </cell>
          <cell r="C1095">
            <v>180</v>
          </cell>
          <cell r="D1095">
            <v>180</v>
          </cell>
          <cell r="E1095">
            <v>3072</v>
          </cell>
          <cell r="F1095">
            <v>3072</v>
          </cell>
          <cell r="G1095" t="str">
            <v>$218.47</v>
          </cell>
          <cell r="H1095" t="str">
            <v>$218.47</v>
          </cell>
          <cell r="I1095">
            <v>28</v>
          </cell>
          <cell r="J1095">
            <v>28</v>
          </cell>
          <cell r="K1095">
            <v>9</v>
          </cell>
          <cell r="L1095">
            <v>9</v>
          </cell>
          <cell r="M1095">
            <v>0.05</v>
          </cell>
          <cell r="N1095">
            <v>0.05</v>
          </cell>
          <cell r="O1095" t="str">
            <v>$1200</v>
          </cell>
          <cell r="P1095" t="str">
            <v>$1200</v>
          </cell>
          <cell r="Q1095">
            <v>45602</v>
          </cell>
          <cell r="R1095" t="str">
            <v>Hyderabad</v>
          </cell>
          <cell r="S1095" t="str">
            <v>Mobile</v>
          </cell>
          <cell r="T1095" t="str">
            <v>learn data analytics</v>
          </cell>
        </row>
        <row r="1096">
          <cell r="A1096" t="str">
            <v>A2094</v>
          </cell>
          <cell r="B1096" t="str">
            <v>Data Analytics Course</v>
          </cell>
          <cell r="C1096">
            <v>117</v>
          </cell>
          <cell r="D1096">
            <v>117</v>
          </cell>
          <cell r="E1096">
            <v>5379</v>
          </cell>
          <cell r="F1096">
            <v>5379</v>
          </cell>
          <cell r="G1096" t="str">
            <v>$240.68</v>
          </cell>
          <cell r="H1096" t="str">
            <v>$240.68</v>
          </cell>
          <cell r="I1096">
            <v>18</v>
          </cell>
          <cell r="J1096">
            <v>18</v>
          </cell>
          <cell r="K1096">
            <v>3</v>
          </cell>
          <cell r="L1096">
            <v>3</v>
          </cell>
          <cell r="M1096">
            <v>2.564102564102564E-2</v>
          </cell>
          <cell r="N1096">
            <v>3.7999999999999999E-2</v>
          </cell>
          <cell r="O1096" t="str">
            <v>$1361</v>
          </cell>
          <cell r="P1096" t="str">
            <v>$1361</v>
          </cell>
          <cell r="Q1096">
            <v>45602</v>
          </cell>
          <cell r="R1096" t="str">
            <v>Hyderabad</v>
          </cell>
          <cell r="S1096" t="str">
            <v>Tablet</v>
          </cell>
          <cell r="T1096" t="str">
            <v>analytics for data</v>
          </cell>
        </row>
        <row r="1097">
          <cell r="A1097" t="str">
            <v>A2095</v>
          </cell>
          <cell r="B1097" t="str">
            <v>Data Analytics Course</v>
          </cell>
          <cell r="C1097">
            <v>103</v>
          </cell>
          <cell r="D1097">
            <v>103</v>
          </cell>
          <cell r="E1097">
            <v>4885</v>
          </cell>
          <cell r="F1097">
            <v>4885</v>
          </cell>
          <cell r="G1097" t="str">
            <v>$221.05</v>
          </cell>
          <cell r="H1097" t="str">
            <v>$221.05</v>
          </cell>
          <cell r="I1097">
            <v>21</v>
          </cell>
          <cell r="J1097">
            <v>21</v>
          </cell>
          <cell r="K1097">
            <v>10</v>
          </cell>
          <cell r="L1097">
            <v>10</v>
          </cell>
          <cell r="M1097">
            <v>9.7087378640776698E-2</v>
          </cell>
          <cell r="N1097">
            <v>9.7000000000000003E-2</v>
          </cell>
          <cell r="O1097" t="str">
            <v>$1500</v>
          </cell>
          <cell r="Q1097">
            <v>45621</v>
          </cell>
          <cell r="R1097" t="str">
            <v>Chennai</v>
          </cell>
          <cell r="S1097" t="str">
            <v>Mobile</v>
          </cell>
          <cell r="T1097" t="str">
            <v>online data analytic</v>
          </cell>
        </row>
        <row r="1098">
          <cell r="A1098" t="str">
            <v>A2096</v>
          </cell>
          <cell r="B1098" t="str">
            <v>Data Analytics Course</v>
          </cell>
          <cell r="C1098">
            <v>140</v>
          </cell>
          <cell r="D1098">
            <v>140</v>
          </cell>
          <cell r="E1098">
            <v>5859</v>
          </cell>
          <cell r="F1098">
            <v>5859</v>
          </cell>
          <cell r="G1098" t="str">
            <v>$211.08</v>
          </cell>
          <cell r="H1098" t="str">
            <v>$211.08</v>
          </cell>
          <cell r="I1098">
            <v>26</v>
          </cell>
          <cell r="J1098">
            <v>26</v>
          </cell>
          <cell r="K1098">
            <v>9</v>
          </cell>
          <cell r="L1098">
            <v>9</v>
          </cell>
          <cell r="M1098">
            <v>6.4285714285714279E-2</v>
          </cell>
          <cell r="N1098">
            <v>6.4000000000000001E-2</v>
          </cell>
          <cell r="O1098" t="str">
            <v>$1276</v>
          </cell>
          <cell r="P1098" t="str">
            <v>$1276</v>
          </cell>
          <cell r="Q1098">
            <v>45611</v>
          </cell>
          <cell r="R1098" t="str">
            <v>Hyderabad</v>
          </cell>
          <cell r="S1098" t="str">
            <v>Desktop</v>
          </cell>
          <cell r="T1098" t="str">
            <v>data analytics training</v>
          </cell>
        </row>
        <row r="1099">
          <cell r="A1099" t="str">
            <v>A2097</v>
          </cell>
          <cell r="B1099" t="str">
            <v>Data Analytcis Course</v>
          </cell>
          <cell r="C1099">
            <v>158</v>
          </cell>
          <cell r="D1099">
            <v>158</v>
          </cell>
          <cell r="E1099">
            <v>4574</v>
          </cell>
          <cell r="F1099">
            <v>4574</v>
          </cell>
          <cell r="G1099" t="str">
            <v>$198.9</v>
          </cell>
          <cell r="H1099" t="str">
            <v>$198.9</v>
          </cell>
          <cell r="I1099">
            <v>21</v>
          </cell>
          <cell r="J1099">
            <v>21</v>
          </cell>
          <cell r="K1099">
            <v>8</v>
          </cell>
          <cell r="L1099">
            <v>8</v>
          </cell>
          <cell r="M1099">
            <v>5.0632911392405063E-2</v>
          </cell>
          <cell r="O1099" t="str">
            <v>$1706</v>
          </cell>
          <cell r="P1099" t="str">
            <v>$1706</v>
          </cell>
          <cell r="Q1099">
            <v>45600</v>
          </cell>
          <cell r="R1099" t="str">
            <v>Hyderabad</v>
          </cell>
          <cell r="S1099" t="str">
            <v>Desktop</v>
          </cell>
          <cell r="T1099" t="str">
            <v>learn data analytics</v>
          </cell>
        </row>
        <row r="1100">
          <cell r="A1100" t="str">
            <v>A2098</v>
          </cell>
          <cell r="B1100" t="str">
            <v>Data Analytics Course</v>
          </cell>
          <cell r="C1100">
            <v>162</v>
          </cell>
          <cell r="D1100">
            <v>162</v>
          </cell>
          <cell r="E1100">
            <v>5911</v>
          </cell>
          <cell r="F1100">
            <v>5911</v>
          </cell>
          <cell r="G1100" t="str">
            <v>$232.03</v>
          </cell>
          <cell r="H1100" t="str">
            <v>$232.03</v>
          </cell>
          <cell r="I1100">
            <v>12</v>
          </cell>
          <cell r="J1100">
            <v>12</v>
          </cell>
          <cell r="K1100">
            <v>7</v>
          </cell>
          <cell r="L1100">
            <v>7</v>
          </cell>
          <cell r="M1100">
            <v>4.3209876543209874E-2</v>
          </cell>
          <cell r="N1100">
            <v>4.2999999999999997E-2</v>
          </cell>
          <cell r="O1100" t="str">
            <v>$1613</v>
          </cell>
          <cell r="P1100" t="str">
            <v>$1613</v>
          </cell>
          <cell r="Q1100">
            <v>45605</v>
          </cell>
          <cell r="R1100" t="str">
            <v>Chennai</v>
          </cell>
          <cell r="S1100" t="str">
            <v>Tablet</v>
          </cell>
          <cell r="T1100" t="str">
            <v>data analytics online</v>
          </cell>
        </row>
        <row r="1101">
          <cell r="A1101" t="str">
            <v>A2099</v>
          </cell>
          <cell r="B1101" t="str">
            <v>Data Analytics Course</v>
          </cell>
          <cell r="C1101">
            <v>122</v>
          </cell>
          <cell r="D1101">
            <v>122</v>
          </cell>
          <cell r="E1101">
            <v>3440</v>
          </cell>
          <cell r="F1101">
            <v>3440</v>
          </cell>
          <cell r="G1101" t="str">
            <v>$206.78</v>
          </cell>
          <cell r="H1101" t="str">
            <v>$206.78</v>
          </cell>
          <cell r="I1101">
            <v>20</v>
          </cell>
          <cell r="J1101">
            <v>20</v>
          </cell>
          <cell r="K1101">
            <v>3</v>
          </cell>
          <cell r="L1101">
            <v>3</v>
          </cell>
          <cell r="M1101">
            <v>2.4590163934426229E-2</v>
          </cell>
          <cell r="N1101">
            <v>2.5000000000000001E-2</v>
          </cell>
          <cell r="O1101" t="str">
            <v>$1222</v>
          </cell>
          <cell r="P1101" t="str">
            <v>$1222</v>
          </cell>
          <cell r="Q1101">
            <v>45620</v>
          </cell>
          <cell r="R1101" t="str">
            <v>Chennai</v>
          </cell>
          <cell r="S1101" t="str">
            <v>Tablet</v>
          </cell>
          <cell r="T1101" t="str">
            <v>online data analytic</v>
          </cell>
        </row>
        <row r="1102">
          <cell r="A1102" t="str">
            <v>A2100</v>
          </cell>
          <cell r="B1102" t="str">
            <v>Data Analytcis Course</v>
          </cell>
          <cell r="C1102">
            <v>89</v>
          </cell>
          <cell r="D1102">
            <v>89</v>
          </cell>
          <cell r="E1102">
            <v>4319</v>
          </cell>
          <cell r="F1102">
            <v>4319</v>
          </cell>
          <cell r="G1102" t="str">
            <v>$198.79</v>
          </cell>
          <cell r="H1102" t="str">
            <v>$198.79</v>
          </cell>
          <cell r="I1102">
            <v>23</v>
          </cell>
          <cell r="J1102">
            <v>23</v>
          </cell>
          <cell r="K1102">
            <v>10</v>
          </cell>
          <cell r="L1102">
            <v>10</v>
          </cell>
          <cell r="M1102">
            <v>0.11235955056179775</v>
          </cell>
          <cell r="N1102">
            <v>0.112</v>
          </cell>
          <cell r="O1102" t="str">
            <v>$1980</v>
          </cell>
          <cell r="P1102" t="str">
            <v>$1980</v>
          </cell>
          <cell r="Q1102">
            <v>45612</v>
          </cell>
          <cell r="R1102" t="str">
            <v>Chennai</v>
          </cell>
          <cell r="S1102" t="str">
            <v>Mobile</v>
          </cell>
          <cell r="T1102" t="str">
            <v>learn data analytics</v>
          </cell>
        </row>
        <row r="1103">
          <cell r="A1103" t="str">
            <v>A2101</v>
          </cell>
          <cell r="B1103" t="str">
            <v>Data Analytics Course</v>
          </cell>
          <cell r="C1103">
            <v>119</v>
          </cell>
          <cell r="D1103">
            <v>119</v>
          </cell>
          <cell r="E1103">
            <v>3956</v>
          </cell>
          <cell r="F1103">
            <v>3956</v>
          </cell>
          <cell r="G1103" t="str">
            <v>$188.53</v>
          </cell>
          <cell r="H1103" t="str">
            <v>$188.53</v>
          </cell>
          <cell r="I1103">
            <v>20</v>
          </cell>
          <cell r="J1103">
            <v>20</v>
          </cell>
          <cell r="K1103">
            <v>5</v>
          </cell>
          <cell r="L1103">
            <v>5</v>
          </cell>
          <cell r="M1103">
            <v>4.2016806722689079E-2</v>
          </cell>
          <cell r="N1103">
            <v>4.3999999999999997E-2</v>
          </cell>
          <cell r="O1103" t="str">
            <v>$1311</v>
          </cell>
          <cell r="P1103" t="str">
            <v>$1311</v>
          </cell>
          <cell r="Q1103">
            <v>45611</v>
          </cell>
          <cell r="R1103" t="str">
            <v>Chennai</v>
          </cell>
          <cell r="S1103" t="str">
            <v>Tablet</v>
          </cell>
          <cell r="T1103" t="str">
            <v>data analytics training</v>
          </cell>
        </row>
        <row r="1104">
          <cell r="A1104" t="str">
            <v>A2102</v>
          </cell>
          <cell r="B1104" t="str">
            <v>Data Analytics Course</v>
          </cell>
          <cell r="C1104">
            <v>155</v>
          </cell>
          <cell r="D1104">
            <v>155</v>
          </cell>
          <cell r="E1104">
            <v>4220</v>
          </cell>
          <cell r="F1104">
            <v>4220</v>
          </cell>
          <cell r="G1104" t="str">
            <v>$200.81</v>
          </cell>
          <cell r="H1104" t="str">
            <v>$200.81</v>
          </cell>
          <cell r="I1104">
            <v>20</v>
          </cell>
          <cell r="J1104">
            <v>20</v>
          </cell>
          <cell r="K1104">
            <v>3</v>
          </cell>
          <cell r="L1104">
            <v>3</v>
          </cell>
          <cell r="M1104">
            <v>1.935483870967742E-2</v>
          </cell>
          <cell r="N1104">
            <v>1.9E-2</v>
          </cell>
          <cell r="O1104" t="str">
            <v>$1199</v>
          </cell>
          <cell r="P1104" t="str">
            <v>$1199</v>
          </cell>
          <cell r="Q1104">
            <v>45626</v>
          </cell>
          <cell r="R1104" t="str">
            <v>Hyderabad</v>
          </cell>
          <cell r="S1104" t="str">
            <v>Mobile</v>
          </cell>
          <cell r="T1104" t="str">
            <v>data analytics course</v>
          </cell>
        </row>
        <row r="1105">
          <cell r="A1105" t="str">
            <v>A2103</v>
          </cell>
          <cell r="B1105" t="str">
            <v>Data Analytcis Course</v>
          </cell>
          <cell r="C1105">
            <v>138.95699356913184</v>
          </cell>
          <cell r="E1105">
            <v>3692</v>
          </cell>
          <cell r="F1105">
            <v>3692</v>
          </cell>
          <cell r="G1105" t="str">
            <v>$243.6</v>
          </cell>
          <cell r="H1105" t="str">
            <v>$243.6</v>
          </cell>
          <cell r="I1105">
            <v>30</v>
          </cell>
          <cell r="J1105">
            <v>30</v>
          </cell>
          <cell r="K1105">
            <v>4</v>
          </cell>
          <cell r="L1105">
            <v>4</v>
          </cell>
          <cell r="M1105">
            <v>2.8785884734977219E-2</v>
          </cell>
          <cell r="O1105" t="str">
            <v>$1954</v>
          </cell>
          <cell r="P1105" t="str">
            <v>$1954</v>
          </cell>
          <cell r="Q1105">
            <v>45597</v>
          </cell>
          <cell r="R1105" t="str">
            <v>Chennai</v>
          </cell>
          <cell r="S1105" t="str">
            <v>Mobile</v>
          </cell>
          <cell r="T1105" t="str">
            <v>analytics for data</v>
          </cell>
        </row>
        <row r="1106">
          <cell r="A1106" t="str">
            <v>A2104</v>
          </cell>
          <cell r="B1106" t="str">
            <v>Data Analytics Course</v>
          </cell>
          <cell r="C1106">
            <v>179</v>
          </cell>
          <cell r="D1106">
            <v>179</v>
          </cell>
          <cell r="E1106">
            <v>4188</v>
          </cell>
          <cell r="F1106">
            <v>4188</v>
          </cell>
          <cell r="G1106" t="str">
            <v>$231.23</v>
          </cell>
          <cell r="H1106" t="str">
            <v>$231.23</v>
          </cell>
          <cell r="I1106">
            <v>25</v>
          </cell>
          <cell r="J1106">
            <v>25</v>
          </cell>
          <cell r="K1106">
            <v>9</v>
          </cell>
          <cell r="L1106">
            <v>9</v>
          </cell>
          <cell r="M1106">
            <v>5.027932960893855E-2</v>
          </cell>
          <cell r="N1106">
            <v>0.05</v>
          </cell>
          <cell r="O1106" t="str">
            <v>$1936</v>
          </cell>
          <cell r="P1106" t="str">
            <v>$1936</v>
          </cell>
          <cell r="Q1106">
            <v>45615</v>
          </cell>
          <cell r="R1106" t="str">
            <v>Hyderabad</v>
          </cell>
          <cell r="S1106" t="str">
            <v>Mobile</v>
          </cell>
          <cell r="T1106" t="str">
            <v>online data analytic</v>
          </cell>
        </row>
        <row r="1107">
          <cell r="A1107" t="str">
            <v>A2105</v>
          </cell>
          <cell r="B1107" t="str">
            <v>Data Analytics Course</v>
          </cell>
          <cell r="C1107">
            <v>194</v>
          </cell>
          <cell r="D1107">
            <v>194</v>
          </cell>
          <cell r="E1107">
            <v>4523.2808326787117</v>
          </cell>
          <cell r="G1107" t="str">
            <v>$217.93</v>
          </cell>
          <cell r="H1107" t="str">
            <v>$217.93</v>
          </cell>
          <cell r="I1107">
            <v>29</v>
          </cell>
          <cell r="J1107">
            <v>29</v>
          </cell>
          <cell r="K1107">
            <v>6.5051903114186853</v>
          </cell>
          <cell r="M1107">
            <v>3.3531908821745803E-2</v>
          </cell>
          <cell r="O1107" t="str">
            <v>$1457</v>
          </cell>
          <cell r="P1107" t="str">
            <v>$1457</v>
          </cell>
          <cell r="Q1107">
            <v>45621</v>
          </cell>
          <cell r="R1107" t="str">
            <v>Bangaluru</v>
          </cell>
          <cell r="S1107" t="str">
            <v>Mobile</v>
          </cell>
          <cell r="T1107" t="str">
            <v>data analytics course</v>
          </cell>
        </row>
        <row r="1108">
          <cell r="A1108" t="str">
            <v>A2106</v>
          </cell>
          <cell r="B1108" t="str">
            <v>Data Analytics Course</v>
          </cell>
          <cell r="C1108">
            <v>101</v>
          </cell>
          <cell r="D1108">
            <v>101</v>
          </cell>
          <cell r="E1108">
            <v>3401</v>
          </cell>
          <cell r="F1108">
            <v>3401</v>
          </cell>
          <cell r="G1108" t="str">
            <v>$194.12</v>
          </cell>
          <cell r="H1108" t="str">
            <v>$194.12</v>
          </cell>
          <cell r="I1108">
            <v>27</v>
          </cell>
          <cell r="J1108">
            <v>27</v>
          </cell>
          <cell r="K1108">
            <v>3</v>
          </cell>
          <cell r="L1108">
            <v>3</v>
          </cell>
          <cell r="M1108">
            <v>2.9702970297029702E-2</v>
          </cell>
          <cell r="N1108">
            <v>0.03</v>
          </cell>
          <cell r="O1108" t="str">
            <v>$1721</v>
          </cell>
          <cell r="P1108" t="str">
            <v>$1721</v>
          </cell>
          <cell r="Q1108">
            <v>45607</v>
          </cell>
          <cell r="R1108" t="str">
            <v>Chennai</v>
          </cell>
          <cell r="S1108" t="str">
            <v>Mobile</v>
          </cell>
          <cell r="T1108" t="str">
            <v>learn data analytics</v>
          </cell>
        </row>
        <row r="1109">
          <cell r="A1109" t="str">
            <v>A2107</v>
          </cell>
          <cell r="B1109" t="str">
            <v>Data Analytics Course</v>
          </cell>
          <cell r="C1109">
            <v>110</v>
          </cell>
          <cell r="D1109">
            <v>110</v>
          </cell>
          <cell r="E1109">
            <v>3382</v>
          </cell>
          <cell r="F1109">
            <v>3382</v>
          </cell>
          <cell r="G1109" t="str">
            <v>$249.88</v>
          </cell>
          <cell r="H1109" t="str">
            <v>$249.88</v>
          </cell>
          <cell r="I1109">
            <v>17</v>
          </cell>
          <cell r="J1109">
            <v>17</v>
          </cell>
          <cell r="K1109">
            <v>6</v>
          </cell>
          <cell r="L1109">
            <v>6</v>
          </cell>
          <cell r="M1109">
            <v>5.4545454545454543E-2</v>
          </cell>
          <cell r="N1109">
            <v>4.3999999999999997E-2</v>
          </cell>
          <cell r="O1109" t="str">
            <v>$1327</v>
          </cell>
          <cell r="P1109" t="str">
            <v>$1327</v>
          </cell>
          <cell r="Q1109">
            <v>45618</v>
          </cell>
          <cell r="R1109" t="str">
            <v>Bangaluru</v>
          </cell>
          <cell r="S1109" t="str">
            <v>Mobile</v>
          </cell>
          <cell r="T1109" t="str">
            <v>learn data analytics</v>
          </cell>
        </row>
        <row r="1110">
          <cell r="A1110" t="str">
            <v>A2108</v>
          </cell>
          <cell r="B1110" t="str">
            <v>Data Analytics Course</v>
          </cell>
          <cell r="C1110">
            <v>179</v>
          </cell>
          <cell r="D1110">
            <v>179</v>
          </cell>
          <cell r="E1110">
            <v>5366</v>
          </cell>
          <cell r="F1110">
            <v>5366</v>
          </cell>
          <cell r="G1110" t="str">
            <v>$204.5</v>
          </cell>
          <cell r="H1110" t="str">
            <v>$204.5</v>
          </cell>
          <cell r="I1110">
            <v>20</v>
          </cell>
          <cell r="J1110">
            <v>20</v>
          </cell>
          <cell r="K1110">
            <v>9</v>
          </cell>
          <cell r="L1110">
            <v>9</v>
          </cell>
          <cell r="M1110">
            <v>5.027932960893855E-2</v>
          </cell>
          <cell r="N1110">
            <v>0.05</v>
          </cell>
          <cell r="O1110" t="str">
            <v>$1510</v>
          </cell>
          <cell r="P1110" t="str">
            <v>$1510</v>
          </cell>
          <cell r="Q1110">
            <v>45618</v>
          </cell>
          <cell r="R1110" t="str">
            <v>Chennai</v>
          </cell>
          <cell r="S1110" t="str">
            <v>Tablet</v>
          </cell>
          <cell r="T1110" t="str">
            <v>data analytics online</v>
          </cell>
        </row>
        <row r="1111">
          <cell r="A1111" t="str">
            <v>A2109</v>
          </cell>
          <cell r="B1111" t="str">
            <v>Data Analytcis Course</v>
          </cell>
          <cell r="C1111">
            <v>193</v>
          </cell>
          <cell r="D1111">
            <v>193</v>
          </cell>
          <cell r="E1111">
            <v>4611</v>
          </cell>
          <cell r="F1111">
            <v>4611</v>
          </cell>
          <cell r="G1111" t="str">
            <v>$197.28</v>
          </cell>
          <cell r="H1111" t="str">
            <v>$197.28</v>
          </cell>
          <cell r="I1111">
            <v>27</v>
          </cell>
          <cell r="J1111">
            <v>27</v>
          </cell>
          <cell r="K1111">
            <v>10</v>
          </cell>
          <cell r="L1111">
            <v>10</v>
          </cell>
          <cell r="M1111">
            <v>5.181347150259067E-2</v>
          </cell>
          <cell r="N1111">
            <v>3.4000000000000002E-2</v>
          </cell>
          <cell r="O1111" t="str">
            <v>$1701</v>
          </cell>
          <cell r="P1111" t="str">
            <v>$1701</v>
          </cell>
          <cell r="Q1111">
            <v>45625</v>
          </cell>
          <cell r="R1111" t="str">
            <v>Chennai</v>
          </cell>
          <cell r="S1111" t="str">
            <v>Mobile</v>
          </cell>
          <cell r="T1111" t="str">
            <v>data analytics course</v>
          </cell>
        </row>
        <row r="1112">
          <cell r="A1112" t="str">
            <v>A2110</v>
          </cell>
          <cell r="B1112" t="str">
            <v>Data Analytcis Course</v>
          </cell>
          <cell r="C1112">
            <v>188</v>
          </cell>
          <cell r="D1112">
            <v>188</v>
          </cell>
          <cell r="E1112">
            <v>4447</v>
          </cell>
          <cell r="F1112">
            <v>4447</v>
          </cell>
          <cell r="G1112" t="str">
            <v>$234.18</v>
          </cell>
          <cell r="H1112" t="str">
            <v>$234.18</v>
          </cell>
          <cell r="I1112">
            <v>14</v>
          </cell>
          <cell r="J1112">
            <v>14</v>
          </cell>
          <cell r="K1112">
            <v>8</v>
          </cell>
          <cell r="L1112">
            <v>8</v>
          </cell>
          <cell r="M1112">
            <v>4.2553191489361701E-2</v>
          </cell>
          <cell r="N1112">
            <v>4.4999999999999998E-2</v>
          </cell>
          <cell r="O1112" t="str">
            <v>$1449</v>
          </cell>
          <cell r="P1112" t="str">
            <v>$1449</v>
          </cell>
          <cell r="Q1112">
            <v>45613</v>
          </cell>
          <cell r="R1112" t="str">
            <v>Chennai</v>
          </cell>
          <cell r="S1112" t="str">
            <v>Mobile</v>
          </cell>
          <cell r="T1112" t="str">
            <v>analytics for data</v>
          </cell>
        </row>
        <row r="1113">
          <cell r="A1113" t="str">
            <v>A2111</v>
          </cell>
          <cell r="B1113" t="str">
            <v>Data Analytics Course</v>
          </cell>
          <cell r="C1113">
            <v>138.95699356913184</v>
          </cell>
          <cell r="E1113">
            <v>4075</v>
          </cell>
          <cell r="F1113">
            <v>4075</v>
          </cell>
          <cell r="G1113" t="str">
            <v>$211.41</v>
          </cell>
          <cell r="H1113" t="str">
            <v>$211.41</v>
          </cell>
          <cell r="I1113">
            <v>11</v>
          </cell>
          <cell r="J1113">
            <v>11</v>
          </cell>
          <cell r="K1113">
            <v>7</v>
          </cell>
          <cell r="L1113">
            <v>7</v>
          </cell>
          <cell r="M1113">
            <v>5.0375298286210138E-2</v>
          </cell>
          <cell r="O1113" t="str">
            <v>$1764</v>
          </cell>
          <cell r="P1113" t="str">
            <v>$1764</v>
          </cell>
          <cell r="Q1113">
            <v>45604</v>
          </cell>
          <cell r="R1113" t="str">
            <v>Hyderabad</v>
          </cell>
          <cell r="S1113" t="str">
            <v>Tablet</v>
          </cell>
          <cell r="T1113" t="str">
            <v>data analytics online</v>
          </cell>
        </row>
        <row r="1114">
          <cell r="A1114" t="str">
            <v>A2112</v>
          </cell>
          <cell r="B1114" t="str">
            <v>Data Analytcis Course</v>
          </cell>
          <cell r="C1114">
            <v>177</v>
          </cell>
          <cell r="D1114">
            <v>177</v>
          </cell>
          <cell r="E1114">
            <v>4230</v>
          </cell>
          <cell r="F1114">
            <v>4230</v>
          </cell>
          <cell r="G1114" t="str">
            <v>$213.46</v>
          </cell>
          <cell r="H1114" t="str">
            <v>$213.46</v>
          </cell>
          <cell r="I1114">
            <v>15</v>
          </cell>
          <cell r="J1114">
            <v>15</v>
          </cell>
          <cell r="K1114">
            <v>4</v>
          </cell>
          <cell r="L1114">
            <v>4</v>
          </cell>
          <cell r="M1114">
            <v>2.2598870056497175E-2</v>
          </cell>
          <cell r="N1114">
            <v>2.3E-2</v>
          </cell>
          <cell r="O1114" t="str">
            <v>$1389</v>
          </cell>
          <cell r="P1114" t="str">
            <v>$1389</v>
          </cell>
          <cell r="Q1114">
            <v>45602</v>
          </cell>
          <cell r="R1114" t="str">
            <v>Hyderabad</v>
          </cell>
          <cell r="S1114" t="str">
            <v>Desktop</v>
          </cell>
          <cell r="T1114" t="str">
            <v>analytics for data</v>
          </cell>
        </row>
        <row r="1115">
          <cell r="A1115" t="str">
            <v>A2113</v>
          </cell>
          <cell r="B1115" t="str">
            <v>Data Analytics Course</v>
          </cell>
          <cell r="C1115">
            <v>152</v>
          </cell>
          <cell r="D1115">
            <v>152</v>
          </cell>
          <cell r="E1115">
            <v>3729</v>
          </cell>
          <cell r="F1115">
            <v>3729</v>
          </cell>
          <cell r="G1115" t="str">
            <v>$214.23</v>
          </cell>
          <cell r="H1115" t="str">
            <v>$214.23</v>
          </cell>
          <cell r="I1115">
            <v>22</v>
          </cell>
          <cell r="J1115">
            <v>22</v>
          </cell>
          <cell r="K1115">
            <v>7</v>
          </cell>
          <cell r="L1115">
            <v>7</v>
          </cell>
          <cell r="M1115">
            <v>4.6052631578947366E-2</v>
          </cell>
          <cell r="N1115">
            <v>4.7E-2</v>
          </cell>
          <cell r="O1115" t="str">
            <v>$2000</v>
          </cell>
          <cell r="P1115" t="str">
            <v>$2000</v>
          </cell>
          <cell r="Q1115">
            <v>45616</v>
          </cell>
          <cell r="R1115" t="str">
            <v>Hyderabad</v>
          </cell>
          <cell r="S1115" t="str">
            <v>Tablet</v>
          </cell>
          <cell r="T1115" t="str">
            <v>analytics for data</v>
          </cell>
        </row>
        <row r="1116">
          <cell r="A1116" t="str">
            <v>A2114</v>
          </cell>
          <cell r="B1116" t="str">
            <v>Data Analytics Course</v>
          </cell>
          <cell r="C1116">
            <v>168</v>
          </cell>
          <cell r="D1116">
            <v>168</v>
          </cell>
          <cell r="E1116">
            <v>4710</v>
          </cell>
          <cell r="F1116">
            <v>4710</v>
          </cell>
          <cell r="G1116" t="str">
            <v>$214.49</v>
          </cell>
          <cell r="H1116" t="str">
            <v>$214.49</v>
          </cell>
          <cell r="I1116">
            <v>15</v>
          </cell>
          <cell r="J1116">
            <v>15</v>
          </cell>
          <cell r="K1116">
            <v>9</v>
          </cell>
          <cell r="L1116">
            <v>9</v>
          </cell>
          <cell r="M1116">
            <v>5.3571428571428568E-2</v>
          </cell>
          <cell r="N1116">
            <v>5.3999999999999999E-2</v>
          </cell>
          <cell r="O1116" t="str">
            <v>$1466</v>
          </cell>
          <cell r="P1116" t="str">
            <v>$1466</v>
          </cell>
          <cell r="Q1116">
            <v>45620</v>
          </cell>
          <cell r="R1116" t="str">
            <v>Bangaluru</v>
          </cell>
          <cell r="S1116" t="str">
            <v>Mobile</v>
          </cell>
          <cell r="T1116" t="str">
            <v>data analytics training</v>
          </cell>
        </row>
        <row r="1117">
          <cell r="A1117" t="str">
            <v>A2115</v>
          </cell>
          <cell r="B1117" t="str">
            <v>Data Analytics Course</v>
          </cell>
          <cell r="C1117">
            <v>171</v>
          </cell>
          <cell r="D1117">
            <v>171</v>
          </cell>
          <cell r="E1117">
            <v>5332</v>
          </cell>
          <cell r="F1117">
            <v>5332</v>
          </cell>
          <cell r="G1117" t="str">
            <v>$229.69</v>
          </cell>
          <cell r="H1117" t="str">
            <v>$229.69</v>
          </cell>
          <cell r="I1117">
            <v>11</v>
          </cell>
          <cell r="J1117">
            <v>11</v>
          </cell>
          <cell r="K1117">
            <v>3</v>
          </cell>
          <cell r="L1117">
            <v>3</v>
          </cell>
          <cell r="M1117">
            <v>1.7543859649122806E-2</v>
          </cell>
          <cell r="N1117">
            <v>1.7999999999999999E-2</v>
          </cell>
          <cell r="O1117" t="str">
            <v>$1685</v>
          </cell>
          <cell r="P1117" t="str">
            <v>$1685</v>
          </cell>
          <cell r="Q1117">
            <v>45599</v>
          </cell>
          <cell r="R1117" t="str">
            <v>Hyderabad</v>
          </cell>
          <cell r="S1117" t="str">
            <v>Mobile</v>
          </cell>
          <cell r="T1117" t="str">
            <v>data analytics course</v>
          </cell>
        </row>
        <row r="1118">
          <cell r="A1118" t="str">
            <v>A2116</v>
          </cell>
          <cell r="B1118" t="str">
            <v>Data Analytics Course</v>
          </cell>
          <cell r="C1118">
            <v>150</v>
          </cell>
          <cell r="D1118">
            <v>150</v>
          </cell>
          <cell r="E1118">
            <v>3833</v>
          </cell>
          <cell r="F1118">
            <v>3833</v>
          </cell>
          <cell r="G1118" t="str">
            <v>$202.55</v>
          </cell>
          <cell r="H1118" t="str">
            <v>$202.55</v>
          </cell>
          <cell r="I1118">
            <v>29</v>
          </cell>
          <cell r="J1118">
            <v>29</v>
          </cell>
          <cell r="K1118">
            <v>10</v>
          </cell>
          <cell r="L1118">
            <v>10</v>
          </cell>
          <cell r="M1118">
            <v>6.6666666666666666E-2</v>
          </cell>
          <cell r="O1118" t="str">
            <v>$1509</v>
          </cell>
          <cell r="P1118" t="str">
            <v>$1509</v>
          </cell>
          <cell r="Q1118">
            <v>45606</v>
          </cell>
          <cell r="R1118" t="str">
            <v>Chennai</v>
          </cell>
          <cell r="S1118" t="str">
            <v>Tablet</v>
          </cell>
          <cell r="T1118" t="str">
            <v>learn data analytics</v>
          </cell>
        </row>
        <row r="1119">
          <cell r="A1119" t="str">
            <v>A2117</v>
          </cell>
          <cell r="B1119" t="str">
            <v>Data Analytics Course</v>
          </cell>
          <cell r="C1119">
            <v>138.95699356913184</v>
          </cell>
          <cell r="E1119">
            <v>4833</v>
          </cell>
          <cell r="F1119">
            <v>4833</v>
          </cell>
          <cell r="G1119" t="str">
            <v>$193.96</v>
          </cell>
          <cell r="H1119" t="str">
            <v>$193.96</v>
          </cell>
          <cell r="I1119">
            <v>23</v>
          </cell>
          <cell r="J1119">
            <v>23</v>
          </cell>
          <cell r="K1119">
            <v>9</v>
          </cell>
          <cell r="L1119">
            <v>9</v>
          </cell>
          <cell r="M1119">
            <v>6.4768240653698753E-2</v>
          </cell>
          <cell r="O1119" t="str">
            <v>$1987</v>
          </cell>
          <cell r="P1119" t="str">
            <v>$1987</v>
          </cell>
          <cell r="Q1119">
            <v>45612</v>
          </cell>
          <cell r="R1119" t="str">
            <v>Hyderabad</v>
          </cell>
          <cell r="S1119" t="str">
            <v>Mobile</v>
          </cell>
          <cell r="T1119" t="str">
            <v>online data analytic</v>
          </cell>
        </row>
        <row r="1120">
          <cell r="A1120" t="str">
            <v>A2118</v>
          </cell>
          <cell r="B1120" t="str">
            <v>Data Analytcis Course</v>
          </cell>
          <cell r="C1120">
            <v>174</v>
          </cell>
          <cell r="D1120">
            <v>174</v>
          </cell>
          <cell r="E1120">
            <v>4720</v>
          </cell>
          <cell r="F1120">
            <v>4720</v>
          </cell>
          <cell r="G1120" t="str">
            <v>$200.00</v>
          </cell>
          <cell r="I1120">
            <v>25</v>
          </cell>
          <cell r="J1120">
            <v>25</v>
          </cell>
          <cell r="K1120">
            <v>10</v>
          </cell>
          <cell r="L1120">
            <v>10</v>
          </cell>
          <cell r="M1120">
            <v>5.7471264367816091E-2</v>
          </cell>
          <cell r="O1120" t="str">
            <v>$1209</v>
          </cell>
          <cell r="P1120" t="str">
            <v>$1209</v>
          </cell>
          <cell r="Q1120">
            <v>45617</v>
          </cell>
          <cell r="R1120" t="str">
            <v>Hyderabad</v>
          </cell>
          <cell r="S1120" t="str">
            <v>Tablet</v>
          </cell>
          <cell r="T1120" t="str">
            <v>analytics for data</v>
          </cell>
        </row>
        <row r="1121">
          <cell r="A1121" t="str">
            <v>A2119</v>
          </cell>
          <cell r="B1121" t="str">
            <v>Data Analytics Course</v>
          </cell>
          <cell r="C1121">
            <v>127</v>
          </cell>
          <cell r="D1121">
            <v>127</v>
          </cell>
          <cell r="E1121">
            <v>3131</v>
          </cell>
          <cell r="F1121">
            <v>3131</v>
          </cell>
          <cell r="G1121" t="str">
            <v>$227.93</v>
          </cell>
          <cell r="H1121" t="str">
            <v>$227.93</v>
          </cell>
          <cell r="I1121">
            <v>24</v>
          </cell>
          <cell r="J1121">
            <v>24</v>
          </cell>
          <cell r="K1121">
            <v>6.4979050279329611</v>
          </cell>
          <cell r="M1121">
            <v>5.1164606519157177E-2</v>
          </cell>
          <cell r="O1121" t="str">
            <v>$1571</v>
          </cell>
          <cell r="P1121" t="str">
            <v>$1571</v>
          </cell>
          <cell r="Q1121">
            <v>45610</v>
          </cell>
          <cell r="R1121" t="str">
            <v>Hyderabad</v>
          </cell>
          <cell r="S1121" t="str">
            <v>Desktop</v>
          </cell>
          <cell r="T1121" t="str">
            <v>data analytics training</v>
          </cell>
        </row>
        <row r="1122">
          <cell r="A1122" t="str">
            <v>A2120</v>
          </cell>
          <cell r="B1122" t="str">
            <v>Data Analytics Course</v>
          </cell>
          <cell r="C1122">
            <v>148</v>
          </cell>
          <cell r="D1122">
            <v>148</v>
          </cell>
          <cell r="E1122">
            <v>5147</v>
          </cell>
          <cell r="F1122">
            <v>5147</v>
          </cell>
          <cell r="G1122" t="str">
            <v>$244.42</v>
          </cell>
          <cell r="H1122" t="str">
            <v>$244.42</v>
          </cell>
          <cell r="I1122">
            <v>18</v>
          </cell>
          <cell r="J1122">
            <v>18</v>
          </cell>
          <cell r="K1122">
            <v>4</v>
          </cell>
          <cell r="L1122">
            <v>4</v>
          </cell>
          <cell r="M1122">
            <v>2.7027027027027029E-2</v>
          </cell>
          <cell r="N1122">
            <v>4.4999999999999998E-2</v>
          </cell>
          <cell r="O1122" t="str">
            <v>$1348</v>
          </cell>
          <cell r="P1122" t="str">
            <v>$1348</v>
          </cell>
          <cell r="Q1122">
            <v>45626</v>
          </cell>
          <cell r="R1122" t="str">
            <v>Bangaluru</v>
          </cell>
          <cell r="S1122" t="str">
            <v>Desktop</v>
          </cell>
          <cell r="T1122" t="str">
            <v>data analytics online</v>
          </cell>
        </row>
        <row r="1123">
          <cell r="A1123" t="str">
            <v>A2121</v>
          </cell>
          <cell r="B1123" t="str">
            <v>Data Analytics Course</v>
          </cell>
          <cell r="C1123">
            <v>112</v>
          </cell>
          <cell r="D1123">
            <v>112</v>
          </cell>
          <cell r="E1123">
            <v>5288</v>
          </cell>
          <cell r="F1123">
            <v>5288</v>
          </cell>
          <cell r="G1123" t="str">
            <v>$246.27</v>
          </cell>
          <cell r="H1123" t="str">
            <v>$246.27</v>
          </cell>
          <cell r="I1123">
            <v>26</v>
          </cell>
          <cell r="J1123">
            <v>26</v>
          </cell>
          <cell r="K1123">
            <v>10</v>
          </cell>
          <cell r="L1123">
            <v>10</v>
          </cell>
          <cell r="M1123">
            <v>8.9285714285714288E-2</v>
          </cell>
          <cell r="N1123">
            <v>8.8999999999999996E-2</v>
          </cell>
          <cell r="O1123" t="str">
            <v>$1500</v>
          </cell>
          <cell r="Q1123">
            <v>45606</v>
          </cell>
          <cell r="R1123" t="str">
            <v>Chennai</v>
          </cell>
          <cell r="S1123" t="str">
            <v>Mobile</v>
          </cell>
          <cell r="T1123" t="str">
            <v>data analytics training</v>
          </cell>
        </row>
        <row r="1124">
          <cell r="A1124" t="str">
            <v>A2122</v>
          </cell>
          <cell r="B1124" t="str">
            <v>Data Analytics Course</v>
          </cell>
          <cell r="C1124">
            <v>184</v>
          </cell>
          <cell r="D1124">
            <v>184</v>
          </cell>
          <cell r="E1124">
            <v>3908</v>
          </cell>
          <cell r="F1124">
            <v>3908</v>
          </cell>
          <cell r="G1124" t="str">
            <v>$240.68</v>
          </cell>
          <cell r="H1124" t="str">
            <v>$240.68</v>
          </cell>
          <cell r="I1124">
            <v>15</v>
          </cell>
          <cell r="J1124">
            <v>15</v>
          </cell>
          <cell r="K1124">
            <v>7</v>
          </cell>
          <cell r="L1124">
            <v>7</v>
          </cell>
          <cell r="M1124">
            <v>3.8043478260869568E-2</v>
          </cell>
          <cell r="O1124" t="str">
            <v>$1332</v>
          </cell>
          <cell r="P1124" t="str">
            <v>$1332</v>
          </cell>
          <cell r="Q1124">
            <v>45619</v>
          </cell>
          <cell r="R1124" t="str">
            <v>Hyderabad</v>
          </cell>
          <cell r="S1124" t="str">
            <v>Tablet</v>
          </cell>
          <cell r="T1124" t="str">
            <v>analytics for data</v>
          </cell>
        </row>
        <row r="1125">
          <cell r="A1125" t="str">
            <v>A2123</v>
          </cell>
          <cell r="B1125" t="str">
            <v>Data Analytics Course</v>
          </cell>
          <cell r="C1125">
            <v>116</v>
          </cell>
          <cell r="D1125">
            <v>116</v>
          </cell>
          <cell r="E1125">
            <v>3380</v>
          </cell>
          <cell r="F1125">
            <v>3380</v>
          </cell>
          <cell r="G1125" t="str">
            <v>$196.75</v>
          </cell>
          <cell r="H1125" t="str">
            <v>$196.75</v>
          </cell>
          <cell r="I1125">
            <v>23</v>
          </cell>
          <cell r="J1125">
            <v>23</v>
          </cell>
          <cell r="K1125">
            <v>9</v>
          </cell>
          <cell r="L1125">
            <v>9</v>
          </cell>
          <cell r="M1125">
            <v>7.7586206896551727E-2</v>
          </cell>
          <cell r="N1125">
            <v>3.3000000000000002E-2</v>
          </cell>
          <cell r="O1125" t="str">
            <v>$1434</v>
          </cell>
          <cell r="P1125" t="str">
            <v>$1434</v>
          </cell>
          <cell r="Q1125">
            <v>45602</v>
          </cell>
          <cell r="R1125" t="str">
            <v>Hyderabad</v>
          </cell>
          <cell r="S1125" t="str">
            <v>Mobile</v>
          </cell>
          <cell r="T1125" t="str">
            <v>analytics for data</v>
          </cell>
        </row>
        <row r="1126">
          <cell r="A1126" t="str">
            <v>A2124</v>
          </cell>
          <cell r="B1126" t="str">
            <v>Data Analytcis Course</v>
          </cell>
          <cell r="C1126">
            <v>152</v>
          </cell>
          <cell r="D1126">
            <v>152</v>
          </cell>
          <cell r="E1126">
            <v>3948</v>
          </cell>
          <cell r="F1126">
            <v>3948</v>
          </cell>
          <cell r="G1126" t="str">
            <v>$189.73</v>
          </cell>
          <cell r="H1126" t="str">
            <v>$189.73</v>
          </cell>
          <cell r="I1126">
            <v>17</v>
          </cell>
          <cell r="J1126">
            <v>17</v>
          </cell>
          <cell r="K1126">
            <v>5</v>
          </cell>
          <cell r="L1126">
            <v>5</v>
          </cell>
          <cell r="M1126">
            <v>3.2894736842105261E-2</v>
          </cell>
          <cell r="N1126">
            <v>5.2999999999999999E-2</v>
          </cell>
          <cell r="O1126" t="str">
            <v>$1851</v>
          </cell>
          <cell r="P1126" t="str">
            <v>$1851</v>
          </cell>
          <cell r="Q1126">
            <v>45622</v>
          </cell>
          <cell r="R1126" t="str">
            <v>Hyderabad</v>
          </cell>
          <cell r="S1126" t="str">
            <v>Mobile</v>
          </cell>
          <cell r="T1126" t="str">
            <v>analytics for data</v>
          </cell>
        </row>
        <row r="1127">
          <cell r="A1127" t="str">
            <v>A2125</v>
          </cell>
          <cell r="B1127" t="str">
            <v>Data Analytcis Course</v>
          </cell>
          <cell r="C1127">
            <v>197</v>
          </cell>
          <cell r="D1127">
            <v>197</v>
          </cell>
          <cell r="E1127">
            <v>3741</v>
          </cell>
          <cell r="F1127">
            <v>3741</v>
          </cell>
          <cell r="G1127" t="str">
            <v>$210.33</v>
          </cell>
          <cell r="H1127" t="str">
            <v>$210.33</v>
          </cell>
          <cell r="I1127">
            <v>24</v>
          </cell>
          <cell r="J1127">
            <v>24</v>
          </cell>
          <cell r="K1127">
            <v>9</v>
          </cell>
          <cell r="L1127">
            <v>9</v>
          </cell>
          <cell r="M1127">
            <v>4.5685279187817257E-2</v>
          </cell>
          <cell r="N1127">
            <v>4.5999999999999999E-2</v>
          </cell>
          <cell r="O1127" t="str">
            <v>$1883</v>
          </cell>
          <cell r="P1127" t="str">
            <v>$1883</v>
          </cell>
          <cell r="Q1127">
            <v>45622</v>
          </cell>
          <cell r="R1127" t="str">
            <v>Bangaluru</v>
          </cell>
          <cell r="S1127" t="str">
            <v>Desktop</v>
          </cell>
          <cell r="T1127" t="str">
            <v>data analytics course</v>
          </cell>
        </row>
        <row r="1128">
          <cell r="A1128" t="str">
            <v>A2126</v>
          </cell>
          <cell r="B1128" t="str">
            <v>Data Analytics Course</v>
          </cell>
          <cell r="C1128">
            <v>115</v>
          </cell>
          <cell r="D1128">
            <v>115</v>
          </cell>
          <cell r="E1128">
            <v>5836</v>
          </cell>
          <cell r="F1128">
            <v>5836</v>
          </cell>
          <cell r="G1128" t="str">
            <v>$233.52</v>
          </cell>
          <cell r="H1128" t="str">
            <v>$233.52</v>
          </cell>
          <cell r="I1128">
            <v>21</v>
          </cell>
          <cell r="J1128">
            <v>21</v>
          </cell>
          <cell r="K1128">
            <v>6</v>
          </cell>
          <cell r="L1128">
            <v>6</v>
          </cell>
          <cell r="M1128">
            <v>5.2173913043478258E-2</v>
          </cell>
          <cell r="N1128">
            <v>5.1999999999999998E-2</v>
          </cell>
          <cell r="O1128" t="str">
            <v>$1301</v>
          </cell>
          <cell r="P1128" t="str">
            <v>$1301</v>
          </cell>
          <cell r="Q1128">
            <v>45604</v>
          </cell>
          <cell r="R1128" t="str">
            <v>Hyderabad</v>
          </cell>
          <cell r="S1128" t="str">
            <v>Mobile</v>
          </cell>
          <cell r="T1128" t="str">
            <v>learn data analytics</v>
          </cell>
        </row>
        <row r="1129">
          <cell r="A1129" t="str">
            <v>A2127</v>
          </cell>
          <cell r="B1129" t="str">
            <v>Data Analytics Course</v>
          </cell>
          <cell r="C1129">
            <v>192</v>
          </cell>
          <cell r="D1129">
            <v>192</v>
          </cell>
          <cell r="E1129">
            <v>3381</v>
          </cell>
          <cell r="F1129">
            <v>3381</v>
          </cell>
          <cell r="G1129" t="str">
            <v>$219.26</v>
          </cell>
          <cell r="H1129" t="str">
            <v>$219.26</v>
          </cell>
          <cell r="I1129">
            <v>28</v>
          </cell>
          <cell r="J1129">
            <v>28</v>
          </cell>
          <cell r="K1129">
            <v>7</v>
          </cell>
          <cell r="L1129">
            <v>7</v>
          </cell>
          <cell r="M1129">
            <v>3.6458333333333336E-2</v>
          </cell>
          <cell r="N1129">
            <v>3.5999999999999997E-2</v>
          </cell>
          <cell r="O1129" t="str">
            <v>$1377</v>
          </cell>
          <cell r="P1129" t="str">
            <v>$1377</v>
          </cell>
          <cell r="Q1129">
            <v>45611</v>
          </cell>
          <cell r="R1129" t="str">
            <v>Bangaluru</v>
          </cell>
          <cell r="S1129" t="str">
            <v>Mobile</v>
          </cell>
          <cell r="T1129" t="str">
            <v>online data analytic</v>
          </cell>
        </row>
        <row r="1130">
          <cell r="A1130" t="str">
            <v>A2128</v>
          </cell>
          <cell r="B1130" t="str">
            <v>Data Analytics Course</v>
          </cell>
          <cell r="C1130">
            <v>88</v>
          </cell>
          <cell r="D1130">
            <v>88</v>
          </cell>
          <cell r="E1130">
            <v>5781</v>
          </cell>
          <cell r="F1130">
            <v>5781</v>
          </cell>
          <cell r="G1130" t="str">
            <v>$246.82</v>
          </cell>
          <cell r="H1130" t="str">
            <v>$246.82</v>
          </cell>
          <cell r="I1130">
            <v>21</v>
          </cell>
          <cell r="J1130">
            <v>21</v>
          </cell>
          <cell r="K1130">
            <v>6</v>
          </cell>
          <cell r="L1130">
            <v>6</v>
          </cell>
          <cell r="M1130">
            <v>6.8181818181818177E-2</v>
          </cell>
          <cell r="N1130">
            <v>5.7000000000000002E-2</v>
          </cell>
          <cell r="O1130" t="str">
            <v>$1020</v>
          </cell>
          <cell r="P1130" t="str">
            <v>$1020</v>
          </cell>
          <cell r="Q1130">
            <v>45621</v>
          </cell>
          <cell r="R1130" t="str">
            <v>Chennai</v>
          </cell>
          <cell r="S1130" t="str">
            <v>Tablet</v>
          </cell>
          <cell r="T1130" t="str">
            <v>data analytics online</v>
          </cell>
        </row>
        <row r="1131">
          <cell r="A1131" t="str">
            <v>A2129</v>
          </cell>
          <cell r="B1131" t="str">
            <v>Data Analytics Course</v>
          </cell>
          <cell r="C1131">
            <v>134</v>
          </cell>
          <cell r="D1131">
            <v>134</v>
          </cell>
          <cell r="E1131">
            <v>4707</v>
          </cell>
          <cell r="F1131">
            <v>4707</v>
          </cell>
          <cell r="G1131" t="str">
            <v>$239.9</v>
          </cell>
          <cell r="H1131" t="str">
            <v>$239.9</v>
          </cell>
          <cell r="I1131">
            <v>29</v>
          </cell>
          <cell r="J1131">
            <v>29</v>
          </cell>
          <cell r="K1131">
            <v>8</v>
          </cell>
          <cell r="L1131">
            <v>8</v>
          </cell>
          <cell r="M1131">
            <v>5.9701492537313432E-2</v>
          </cell>
          <cell r="N1131">
            <v>0.06</v>
          </cell>
          <cell r="O1131" t="str">
            <v>$1383</v>
          </cell>
          <cell r="P1131" t="str">
            <v>$1383</v>
          </cell>
          <cell r="Q1131">
            <v>45620</v>
          </cell>
          <cell r="R1131" t="str">
            <v>Hyderabad</v>
          </cell>
          <cell r="S1131" t="str">
            <v>Mobile</v>
          </cell>
          <cell r="T1131" t="str">
            <v>learn data analytics</v>
          </cell>
        </row>
        <row r="1132">
          <cell r="A1132" t="str">
            <v>A2130</v>
          </cell>
          <cell r="B1132" t="str">
            <v>Data Analytics Course</v>
          </cell>
          <cell r="C1132">
            <v>160</v>
          </cell>
          <cell r="D1132">
            <v>160</v>
          </cell>
          <cell r="E1132">
            <v>5611</v>
          </cell>
          <cell r="F1132">
            <v>5611</v>
          </cell>
          <cell r="G1132" t="str">
            <v>$216.65</v>
          </cell>
          <cell r="H1132" t="str">
            <v>$216.65</v>
          </cell>
          <cell r="I1132">
            <v>21</v>
          </cell>
          <cell r="J1132">
            <v>21</v>
          </cell>
          <cell r="K1132">
            <v>10</v>
          </cell>
          <cell r="L1132">
            <v>10</v>
          </cell>
          <cell r="M1132">
            <v>6.25E-2</v>
          </cell>
          <cell r="N1132">
            <v>4.7E-2</v>
          </cell>
          <cell r="O1132" t="str">
            <v>$1714</v>
          </cell>
          <cell r="P1132" t="str">
            <v>$1714</v>
          </cell>
          <cell r="Q1132">
            <v>45626</v>
          </cell>
          <cell r="R1132" t="str">
            <v>Hyderabad</v>
          </cell>
          <cell r="S1132" t="str">
            <v>Tablet</v>
          </cell>
          <cell r="T1132" t="str">
            <v>learn data analytics</v>
          </cell>
        </row>
        <row r="1133">
          <cell r="A1133" t="str">
            <v>A2131</v>
          </cell>
          <cell r="B1133" t="str">
            <v>Data Analytics Course</v>
          </cell>
          <cell r="C1133">
            <v>195</v>
          </cell>
          <cell r="D1133">
            <v>195</v>
          </cell>
          <cell r="E1133">
            <v>3174</v>
          </cell>
          <cell r="F1133">
            <v>3174</v>
          </cell>
          <cell r="G1133" t="str">
            <v>$218.06</v>
          </cell>
          <cell r="H1133" t="str">
            <v>$218.06</v>
          </cell>
          <cell r="I1133">
            <v>12</v>
          </cell>
          <cell r="J1133">
            <v>12</v>
          </cell>
          <cell r="K1133">
            <v>7</v>
          </cell>
          <cell r="L1133">
            <v>7</v>
          </cell>
          <cell r="M1133">
            <v>3.5897435897435895E-2</v>
          </cell>
          <cell r="N1133">
            <v>3.5999999999999997E-2</v>
          </cell>
          <cell r="O1133" t="str">
            <v>$1476</v>
          </cell>
          <cell r="P1133" t="str">
            <v>$1476</v>
          </cell>
          <cell r="Q1133">
            <v>45621</v>
          </cell>
          <cell r="R1133" t="str">
            <v>Chennai</v>
          </cell>
          <cell r="S1133" t="str">
            <v>Mobile</v>
          </cell>
          <cell r="T1133" t="str">
            <v>online data analytic</v>
          </cell>
        </row>
        <row r="1134">
          <cell r="A1134" t="str">
            <v>A2132</v>
          </cell>
          <cell r="B1134" t="str">
            <v>Data Analytics Course</v>
          </cell>
          <cell r="C1134">
            <v>142</v>
          </cell>
          <cell r="D1134">
            <v>142</v>
          </cell>
          <cell r="E1134">
            <v>5076</v>
          </cell>
          <cell r="F1134">
            <v>5076</v>
          </cell>
          <cell r="G1134" t="str">
            <v>$190.49</v>
          </cell>
          <cell r="H1134" t="str">
            <v>$190.49</v>
          </cell>
          <cell r="I1134">
            <v>22</v>
          </cell>
          <cell r="J1134">
            <v>22</v>
          </cell>
          <cell r="K1134">
            <v>7</v>
          </cell>
          <cell r="L1134">
            <v>7</v>
          </cell>
          <cell r="M1134">
            <v>4.9295774647887321E-2</v>
          </cell>
          <cell r="N1134">
            <v>4.9000000000000002E-2</v>
          </cell>
          <cell r="O1134" t="str">
            <v>$1509</v>
          </cell>
          <cell r="P1134" t="str">
            <v>$1509</v>
          </cell>
          <cell r="Q1134">
            <v>45616</v>
          </cell>
          <cell r="R1134" t="str">
            <v>Bangaluru</v>
          </cell>
          <cell r="S1134" t="str">
            <v>Mobile</v>
          </cell>
          <cell r="T1134" t="str">
            <v>learn data analytics</v>
          </cell>
        </row>
        <row r="1135">
          <cell r="A1135" t="str">
            <v>A2133</v>
          </cell>
          <cell r="B1135" t="str">
            <v>Data Analytcis Course</v>
          </cell>
          <cell r="C1135">
            <v>81</v>
          </cell>
          <cell r="D1135">
            <v>81</v>
          </cell>
          <cell r="E1135">
            <v>5942</v>
          </cell>
          <cell r="F1135">
            <v>5942</v>
          </cell>
          <cell r="G1135" t="str">
            <v>$236.07</v>
          </cell>
          <cell r="H1135" t="str">
            <v>$236.07</v>
          </cell>
          <cell r="I1135">
            <v>15</v>
          </cell>
          <cell r="J1135">
            <v>15</v>
          </cell>
          <cell r="K1135">
            <v>6.4904862579281186</v>
          </cell>
          <cell r="M1135">
            <v>8.0129459974421224E-2</v>
          </cell>
          <cell r="O1135" t="str">
            <v>$1288</v>
          </cell>
          <cell r="P1135" t="str">
            <v>$1288</v>
          </cell>
          <cell r="Q1135">
            <v>45608</v>
          </cell>
          <cell r="R1135" t="str">
            <v>Bangaluru</v>
          </cell>
          <cell r="S1135" t="str">
            <v>Desktop</v>
          </cell>
          <cell r="T1135" t="str">
            <v>online data analytic</v>
          </cell>
        </row>
        <row r="1136">
          <cell r="A1136" t="str">
            <v>A2134</v>
          </cell>
          <cell r="B1136" t="str">
            <v>Data Analytics Course</v>
          </cell>
          <cell r="C1136">
            <v>138.95699356913184</v>
          </cell>
          <cell r="E1136">
            <v>4234</v>
          </cell>
          <cell r="F1136">
            <v>4234</v>
          </cell>
          <cell r="G1136" t="str">
            <v>$201.93</v>
          </cell>
          <cell r="H1136" t="str">
            <v>$201.93</v>
          </cell>
          <cell r="I1136">
            <v>16</v>
          </cell>
          <cell r="J1136">
            <v>16</v>
          </cell>
          <cell r="K1136">
            <v>4</v>
          </cell>
          <cell r="L1136">
            <v>4</v>
          </cell>
          <cell r="M1136">
            <v>2.8785884734977219E-2</v>
          </cell>
          <cell r="O1136" t="str">
            <v>$1462</v>
          </cell>
          <cell r="P1136" t="str">
            <v>$1462</v>
          </cell>
          <cell r="Q1136">
            <v>45621</v>
          </cell>
          <cell r="R1136" t="str">
            <v>Chennai</v>
          </cell>
          <cell r="S1136" t="str">
            <v>Mobile</v>
          </cell>
          <cell r="T1136" t="str">
            <v>analytics for data</v>
          </cell>
        </row>
        <row r="1137">
          <cell r="A1137" t="str">
            <v>A2135</v>
          </cell>
          <cell r="B1137" t="str">
            <v>Data Analytcis Course</v>
          </cell>
          <cell r="C1137">
            <v>115</v>
          </cell>
          <cell r="D1137">
            <v>115</v>
          </cell>
          <cell r="E1137">
            <v>3963</v>
          </cell>
          <cell r="F1137">
            <v>3963</v>
          </cell>
          <cell r="G1137" t="str">
            <v>$225.32</v>
          </cell>
          <cell r="H1137" t="str">
            <v>$225.32</v>
          </cell>
          <cell r="I1137">
            <v>22</v>
          </cell>
          <cell r="J1137">
            <v>22</v>
          </cell>
          <cell r="K1137">
            <v>9</v>
          </cell>
          <cell r="L1137">
            <v>9</v>
          </cell>
          <cell r="M1137">
            <v>7.8260869565217397E-2</v>
          </cell>
          <cell r="N1137">
            <v>7.8E-2</v>
          </cell>
          <cell r="O1137" t="str">
            <v>$1622</v>
          </cell>
          <cell r="P1137" t="str">
            <v>$1622</v>
          </cell>
          <cell r="Q1137">
            <v>45597</v>
          </cell>
          <cell r="R1137" t="str">
            <v>Hyderabad</v>
          </cell>
          <cell r="S1137" t="str">
            <v>Desktop</v>
          </cell>
          <cell r="T1137" t="str">
            <v>data analytics online</v>
          </cell>
        </row>
        <row r="1138">
          <cell r="A1138" t="str">
            <v>A2136</v>
          </cell>
          <cell r="B1138" t="str">
            <v>Data Analytics Course</v>
          </cell>
          <cell r="C1138">
            <v>172</v>
          </cell>
          <cell r="D1138">
            <v>172</v>
          </cell>
          <cell r="E1138">
            <v>4349</v>
          </cell>
          <cell r="F1138">
            <v>4349</v>
          </cell>
          <cell r="G1138" t="str">
            <v>$243.53</v>
          </cell>
          <cell r="H1138" t="str">
            <v>$243.53</v>
          </cell>
          <cell r="I1138">
            <v>28</v>
          </cell>
          <cell r="J1138">
            <v>28</v>
          </cell>
          <cell r="K1138">
            <v>5</v>
          </cell>
          <cell r="L1138">
            <v>5</v>
          </cell>
          <cell r="M1138">
            <v>2.9069767441860465E-2</v>
          </cell>
          <cell r="N1138">
            <v>4.9000000000000002E-2</v>
          </cell>
          <cell r="O1138" t="str">
            <v>$1195</v>
          </cell>
          <cell r="P1138" t="str">
            <v>$1195</v>
          </cell>
          <cell r="Q1138">
            <v>45609</v>
          </cell>
          <cell r="R1138" t="str">
            <v>Chennai</v>
          </cell>
          <cell r="S1138" t="str">
            <v>Tablet</v>
          </cell>
          <cell r="T1138" t="str">
            <v>online data analytic</v>
          </cell>
        </row>
        <row r="1139">
          <cell r="A1139" t="str">
            <v>A2137</v>
          </cell>
          <cell r="B1139" t="str">
            <v>Data Analytics Course</v>
          </cell>
          <cell r="C1139">
            <v>91</v>
          </cell>
          <cell r="D1139">
            <v>91</v>
          </cell>
          <cell r="E1139">
            <v>5294</v>
          </cell>
          <cell r="F1139">
            <v>5294</v>
          </cell>
          <cell r="G1139" t="str">
            <v>$245.21</v>
          </cell>
          <cell r="H1139" t="str">
            <v>$245.21</v>
          </cell>
          <cell r="I1139">
            <v>21</v>
          </cell>
          <cell r="J1139">
            <v>21</v>
          </cell>
          <cell r="K1139">
            <v>7</v>
          </cell>
          <cell r="L1139">
            <v>7</v>
          </cell>
          <cell r="M1139">
            <v>7.6923076923076927E-2</v>
          </cell>
          <cell r="O1139" t="str">
            <v>$1227</v>
          </cell>
          <cell r="P1139" t="str">
            <v>$1227</v>
          </cell>
          <cell r="Q1139">
            <v>45622</v>
          </cell>
          <cell r="R1139" t="str">
            <v>Hyderabad</v>
          </cell>
          <cell r="S1139" t="str">
            <v>Desktop</v>
          </cell>
          <cell r="T1139" t="str">
            <v>online data analytic</v>
          </cell>
        </row>
        <row r="1140">
          <cell r="A1140" t="str">
            <v>A2138</v>
          </cell>
          <cell r="B1140" t="str">
            <v>Data Analytics Course</v>
          </cell>
          <cell r="C1140">
            <v>166</v>
          </cell>
          <cell r="D1140">
            <v>166</v>
          </cell>
          <cell r="E1140">
            <v>5381</v>
          </cell>
          <cell r="F1140">
            <v>5381</v>
          </cell>
          <cell r="G1140" t="str">
            <v>$246.52</v>
          </cell>
          <cell r="H1140" t="str">
            <v>$246.52</v>
          </cell>
          <cell r="I1140">
            <v>21</v>
          </cell>
          <cell r="J1140">
            <v>21</v>
          </cell>
          <cell r="K1140">
            <v>7</v>
          </cell>
          <cell r="L1140">
            <v>7</v>
          </cell>
          <cell r="M1140">
            <v>4.2168674698795178E-2</v>
          </cell>
          <cell r="N1140">
            <v>4.2000000000000003E-2</v>
          </cell>
          <cell r="O1140" t="str">
            <v>$1579</v>
          </cell>
          <cell r="P1140" t="str">
            <v>$1579</v>
          </cell>
          <cell r="Q1140">
            <v>45605</v>
          </cell>
          <cell r="R1140" t="str">
            <v>Bangaluru</v>
          </cell>
          <cell r="S1140" t="str">
            <v>Desktop</v>
          </cell>
          <cell r="T1140" t="str">
            <v>data analytics training</v>
          </cell>
        </row>
        <row r="1141">
          <cell r="A1141" t="str">
            <v>A2139</v>
          </cell>
          <cell r="B1141" t="str">
            <v>Data Analytics Course</v>
          </cell>
          <cell r="C1141">
            <v>155</v>
          </cell>
          <cell r="D1141">
            <v>155</v>
          </cell>
          <cell r="E1141">
            <v>3052</v>
          </cell>
          <cell r="F1141">
            <v>3052</v>
          </cell>
          <cell r="G1141" t="str">
            <v>$199.46</v>
          </cell>
          <cell r="H1141" t="str">
            <v>$199.46</v>
          </cell>
          <cell r="I1141">
            <v>13</v>
          </cell>
          <cell r="J1141">
            <v>13</v>
          </cell>
          <cell r="K1141">
            <v>6</v>
          </cell>
          <cell r="L1141">
            <v>6</v>
          </cell>
          <cell r="M1141">
            <v>3.870967741935484E-2</v>
          </cell>
          <cell r="N1141">
            <v>4.5999999999999999E-2</v>
          </cell>
          <cell r="O1141" t="str">
            <v>$1362</v>
          </cell>
          <cell r="P1141" t="str">
            <v>$1362</v>
          </cell>
          <cell r="Q1141">
            <v>45597</v>
          </cell>
          <cell r="R1141" t="str">
            <v>Hyderabad</v>
          </cell>
          <cell r="S1141" t="str">
            <v>Mobile</v>
          </cell>
          <cell r="T1141" t="str">
            <v>data analytics training</v>
          </cell>
        </row>
        <row r="1142">
          <cell r="A1142" t="str">
            <v>A2140</v>
          </cell>
          <cell r="B1142" t="str">
            <v>Data Analytics Course</v>
          </cell>
          <cell r="C1142">
            <v>127</v>
          </cell>
          <cell r="D1142">
            <v>127</v>
          </cell>
          <cell r="E1142">
            <v>4634</v>
          </cell>
          <cell r="F1142">
            <v>4634</v>
          </cell>
          <cell r="G1142" t="str">
            <v>$218.04</v>
          </cell>
          <cell r="H1142" t="str">
            <v>$218.04</v>
          </cell>
          <cell r="I1142">
            <v>26</v>
          </cell>
          <cell r="J1142">
            <v>26</v>
          </cell>
          <cell r="K1142">
            <v>7</v>
          </cell>
          <cell r="L1142">
            <v>7</v>
          </cell>
          <cell r="M1142">
            <v>5.5118110236220472E-2</v>
          </cell>
          <cell r="N1142">
            <v>5.5E-2</v>
          </cell>
          <cell r="O1142" t="str">
            <v>$1410</v>
          </cell>
          <cell r="P1142" t="str">
            <v>$1410</v>
          </cell>
          <cell r="Q1142">
            <v>45598</v>
          </cell>
          <cell r="R1142" t="str">
            <v>Chennai</v>
          </cell>
          <cell r="S1142" t="str">
            <v>Tablet</v>
          </cell>
          <cell r="T1142" t="str">
            <v>learn data analytics</v>
          </cell>
        </row>
        <row r="1143">
          <cell r="A1143" t="str">
            <v>A2141</v>
          </cell>
          <cell r="B1143" t="str">
            <v>Data Analytics Course</v>
          </cell>
          <cell r="C1143">
            <v>94</v>
          </cell>
          <cell r="D1143">
            <v>94</v>
          </cell>
          <cell r="E1143">
            <v>5564</v>
          </cell>
          <cell r="F1143">
            <v>5564</v>
          </cell>
          <cell r="G1143" t="str">
            <v>$203.88</v>
          </cell>
          <cell r="H1143" t="str">
            <v>$203.88</v>
          </cell>
          <cell r="I1143">
            <v>22</v>
          </cell>
          <cell r="J1143">
            <v>22</v>
          </cell>
          <cell r="K1143">
            <v>6</v>
          </cell>
          <cell r="L1143">
            <v>6</v>
          </cell>
          <cell r="M1143">
            <v>6.3829787234042548E-2</v>
          </cell>
          <cell r="N1143">
            <v>6.4000000000000001E-2</v>
          </cell>
          <cell r="O1143" t="str">
            <v>$1500</v>
          </cell>
          <cell r="Q1143">
            <v>45610</v>
          </cell>
          <cell r="R1143" t="str">
            <v>Chennai</v>
          </cell>
          <cell r="S1143" t="str">
            <v>Desktop</v>
          </cell>
          <cell r="T1143" t="str">
            <v>data analytics training</v>
          </cell>
        </row>
        <row r="1144">
          <cell r="A1144" t="str">
            <v>A2142</v>
          </cell>
          <cell r="B1144" t="str">
            <v>Data Analytics Course</v>
          </cell>
          <cell r="C1144">
            <v>90</v>
          </cell>
          <cell r="D1144">
            <v>90</v>
          </cell>
          <cell r="E1144">
            <v>5196</v>
          </cell>
          <cell r="F1144">
            <v>5196</v>
          </cell>
          <cell r="G1144" t="str">
            <v>$192.83</v>
          </cell>
          <cell r="H1144" t="str">
            <v>$192.83</v>
          </cell>
          <cell r="I1144">
            <v>21</v>
          </cell>
          <cell r="J1144">
            <v>21</v>
          </cell>
          <cell r="K1144">
            <v>8</v>
          </cell>
          <cell r="L1144">
            <v>8</v>
          </cell>
          <cell r="M1144">
            <v>8.8888888888888892E-2</v>
          </cell>
          <cell r="N1144">
            <v>8.8999999999999996E-2</v>
          </cell>
          <cell r="O1144" t="str">
            <v>$1783</v>
          </cell>
          <cell r="P1144" t="str">
            <v>$1783</v>
          </cell>
          <cell r="Q1144">
            <v>45603</v>
          </cell>
          <cell r="R1144" t="str">
            <v>Bangaluru</v>
          </cell>
          <cell r="S1144" t="str">
            <v>Desktop</v>
          </cell>
          <cell r="T1144" t="str">
            <v>data analytics course</v>
          </cell>
        </row>
        <row r="1145">
          <cell r="A1145" t="str">
            <v>A2143</v>
          </cell>
          <cell r="B1145" t="str">
            <v>Data Analytcis Course</v>
          </cell>
          <cell r="C1145">
            <v>161</v>
          </cell>
          <cell r="D1145">
            <v>161</v>
          </cell>
          <cell r="E1145">
            <v>5749</v>
          </cell>
          <cell r="F1145">
            <v>5749</v>
          </cell>
          <cell r="G1145" t="str">
            <v>$203.25</v>
          </cell>
          <cell r="H1145" t="str">
            <v>$203.25</v>
          </cell>
          <cell r="I1145">
            <v>12</v>
          </cell>
          <cell r="J1145">
            <v>12</v>
          </cell>
          <cell r="K1145">
            <v>4</v>
          </cell>
          <cell r="L1145">
            <v>4</v>
          </cell>
          <cell r="M1145">
            <v>2.4844720496894408E-2</v>
          </cell>
          <cell r="N1145">
            <v>2.5000000000000001E-2</v>
          </cell>
          <cell r="O1145" t="str">
            <v>$1500</v>
          </cell>
          <cell r="Q1145">
            <v>45624</v>
          </cell>
          <cell r="R1145" t="str">
            <v>Hyderabad</v>
          </cell>
          <cell r="S1145" t="str">
            <v>Tablet</v>
          </cell>
          <cell r="T1145" t="str">
            <v>online data analytic</v>
          </cell>
        </row>
        <row r="1146">
          <cell r="A1146" t="str">
            <v>A2144</v>
          </cell>
          <cell r="B1146" t="str">
            <v>Data Analytics Course</v>
          </cell>
          <cell r="C1146">
            <v>157</v>
          </cell>
          <cell r="D1146">
            <v>157</v>
          </cell>
          <cell r="E1146">
            <v>5483</v>
          </cell>
          <cell r="F1146">
            <v>5483</v>
          </cell>
          <cell r="G1146" t="str">
            <v>$245.31</v>
          </cell>
          <cell r="H1146" t="str">
            <v>$245.31</v>
          </cell>
          <cell r="I1146">
            <v>24</v>
          </cell>
          <cell r="J1146">
            <v>24</v>
          </cell>
          <cell r="K1146">
            <v>6</v>
          </cell>
          <cell r="L1146">
            <v>6</v>
          </cell>
          <cell r="M1146">
            <v>3.8216560509554139E-2</v>
          </cell>
          <cell r="N1146">
            <v>3.7999999999999999E-2</v>
          </cell>
          <cell r="O1146" t="str">
            <v>$1500</v>
          </cell>
          <cell r="Q1146">
            <v>45618</v>
          </cell>
          <cell r="R1146" t="str">
            <v>Chennai</v>
          </cell>
          <cell r="S1146" t="str">
            <v>Mobile</v>
          </cell>
          <cell r="T1146" t="str">
            <v>analytics for data</v>
          </cell>
        </row>
        <row r="1147">
          <cell r="A1147" t="str">
            <v>A2145</v>
          </cell>
          <cell r="B1147" t="str">
            <v>Data Analytcis Course</v>
          </cell>
          <cell r="C1147">
            <v>157</v>
          </cell>
          <cell r="D1147">
            <v>157</v>
          </cell>
          <cell r="E1147">
            <v>4093</v>
          </cell>
          <cell r="F1147">
            <v>4093</v>
          </cell>
          <cell r="G1147" t="str">
            <v>$202.85</v>
          </cell>
          <cell r="H1147" t="str">
            <v>$202.85</v>
          </cell>
          <cell r="I1147">
            <v>27</v>
          </cell>
          <cell r="J1147">
            <v>27</v>
          </cell>
          <cell r="K1147">
            <v>8</v>
          </cell>
          <cell r="L1147">
            <v>8</v>
          </cell>
          <cell r="M1147">
            <v>5.0955414012738856E-2</v>
          </cell>
          <cell r="N1147">
            <v>5.0999999999999997E-2</v>
          </cell>
          <cell r="O1147" t="str">
            <v>$1370</v>
          </cell>
          <cell r="P1147" t="str">
            <v>$1370</v>
          </cell>
          <cell r="Q1147">
            <v>45599</v>
          </cell>
          <cell r="R1147" t="str">
            <v>Chennai</v>
          </cell>
          <cell r="S1147" t="str">
            <v>Mobile</v>
          </cell>
          <cell r="T1147" t="str">
            <v>analytics for data</v>
          </cell>
        </row>
        <row r="1148">
          <cell r="A1148" t="str">
            <v>A2146</v>
          </cell>
          <cell r="B1148" t="str">
            <v>Data Analytics Course</v>
          </cell>
          <cell r="C1148">
            <v>179</v>
          </cell>
          <cell r="D1148">
            <v>179</v>
          </cell>
          <cell r="E1148">
            <v>4459</v>
          </cell>
          <cell r="F1148">
            <v>4459</v>
          </cell>
          <cell r="G1148" t="str">
            <v>$181.7</v>
          </cell>
          <cell r="H1148" t="str">
            <v>$181.7</v>
          </cell>
          <cell r="I1148">
            <v>27</v>
          </cell>
          <cell r="J1148">
            <v>27</v>
          </cell>
          <cell r="K1148">
            <v>5</v>
          </cell>
          <cell r="L1148">
            <v>5</v>
          </cell>
          <cell r="M1148">
            <v>2.7932960893854747E-2</v>
          </cell>
          <cell r="N1148">
            <v>4.1000000000000002E-2</v>
          </cell>
          <cell r="O1148" t="str">
            <v>$1320</v>
          </cell>
          <cell r="P1148" t="str">
            <v>$1320</v>
          </cell>
          <cell r="Q1148">
            <v>45609</v>
          </cell>
          <cell r="R1148" t="str">
            <v>Chennai</v>
          </cell>
          <cell r="S1148" t="str">
            <v>Tablet</v>
          </cell>
          <cell r="T1148" t="str">
            <v>data analytics online</v>
          </cell>
        </row>
        <row r="1149">
          <cell r="A1149" t="str">
            <v>A2147</v>
          </cell>
          <cell r="B1149" t="str">
            <v>Data Analytics Course</v>
          </cell>
          <cell r="C1149">
            <v>165</v>
          </cell>
          <cell r="D1149">
            <v>165</v>
          </cell>
          <cell r="E1149">
            <v>5937</v>
          </cell>
          <cell r="F1149">
            <v>5937</v>
          </cell>
          <cell r="G1149" t="str">
            <v>$220.65</v>
          </cell>
          <cell r="H1149" t="str">
            <v>$220.65</v>
          </cell>
          <cell r="I1149">
            <v>23</v>
          </cell>
          <cell r="J1149">
            <v>23</v>
          </cell>
          <cell r="K1149">
            <v>6</v>
          </cell>
          <cell r="L1149">
            <v>6</v>
          </cell>
          <cell r="M1149">
            <v>3.6363636363636362E-2</v>
          </cell>
          <cell r="N1149">
            <v>3.5999999999999997E-2</v>
          </cell>
          <cell r="O1149" t="str">
            <v>$1576</v>
          </cell>
          <cell r="P1149" t="str">
            <v>$1576</v>
          </cell>
          <cell r="Q1149">
            <v>45600</v>
          </cell>
          <cell r="R1149" t="str">
            <v>Hyderabad</v>
          </cell>
          <cell r="S1149" t="str">
            <v>Mobile</v>
          </cell>
          <cell r="T1149" t="str">
            <v>analytics for data</v>
          </cell>
        </row>
        <row r="1150">
          <cell r="A1150" t="str">
            <v>A2148</v>
          </cell>
          <cell r="B1150" t="str">
            <v>Data Analytics Course</v>
          </cell>
          <cell r="C1150">
            <v>167</v>
          </cell>
          <cell r="D1150">
            <v>167</v>
          </cell>
          <cell r="E1150">
            <v>4475</v>
          </cell>
          <cell r="F1150">
            <v>4475</v>
          </cell>
          <cell r="G1150" t="str">
            <v>$231.64</v>
          </cell>
          <cell r="H1150" t="str">
            <v>$231.64</v>
          </cell>
          <cell r="I1150">
            <v>13</v>
          </cell>
          <cell r="J1150">
            <v>13</v>
          </cell>
          <cell r="K1150">
            <v>5</v>
          </cell>
          <cell r="L1150">
            <v>5</v>
          </cell>
          <cell r="M1150">
            <v>2.9940119760479042E-2</v>
          </cell>
          <cell r="N1150">
            <v>5.0999999999999997E-2</v>
          </cell>
          <cell r="O1150" t="str">
            <v>$1750</v>
          </cell>
          <cell r="P1150" t="str">
            <v>$1750</v>
          </cell>
          <cell r="Q1150">
            <v>45599</v>
          </cell>
          <cell r="R1150" t="str">
            <v>Chennai</v>
          </cell>
          <cell r="S1150" t="str">
            <v>Desktop</v>
          </cell>
          <cell r="T1150" t="str">
            <v>online data analytic</v>
          </cell>
        </row>
        <row r="1151">
          <cell r="A1151" t="str">
            <v>A2149</v>
          </cell>
          <cell r="B1151" t="str">
            <v>Data Analytics Course</v>
          </cell>
          <cell r="C1151">
            <v>126</v>
          </cell>
          <cell r="D1151">
            <v>126</v>
          </cell>
          <cell r="E1151">
            <v>4212</v>
          </cell>
          <cell r="F1151">
            <v>4212</v>
          </cell>
          <cell r="G1151" t="str">
            <v>$182.54</v>
          </cell>
          <cell r="H1151" t="str">
            <v>$182.54</v>
          </cell>
          <cell r="I1151">
            <v>29</v>
          </cell>
          <cell r="J1151">
            <v>29</v>
          </cell>
          <cell r="K1151">
            <v>8</v>
          </cell>
          <cell r="L1151">
            <v>8</v>
          </cell>
          <cell r="M1151">
            <v>6.3492063492063489E-2</v>
          </cell>
          <cell r="N1151">
            <v>6.3E-2</v>
          </cell>
          <cell r="O1151" t="str">
            <v>$1066</v>
          </cell>
          <cell r="P1151" t="str">
            <v>$1066</v>
          </cell>
          <cell r="Q1151">
            <v>45615</v>
          </cell>
          <cell r="R1151" t="str">
            <v>Bangaluru</v>
          </cell>
          <cell r="S1151" t="str">
            <v>Mobile</v>
          </cell>
          <cell r="T1151" t="str">
            <v>online data analytic</v>
          </cell>
        </row>
        <row r="1152">
          <cell r="A1152" t="str">
            <v>A2150</v>
          </cell>
          <cell r="B1152" t="str">
            <v>Data Analytics Course</v>
          </cell>
          <cell r="C1152">
            <v>134</v>
          </cell>
          <cell r="D1152">
            <v>134</v>
          </cell>
          <cell r="E1152">
            <v>4506</v>
          </cell>
          <cell r="F1152">
            <v>4506</v>
          </cell>
          <cell r="G1152" t="str">
            <v>$220.09</v>
          </cell>
          <cell r="H1152" t="str">
            <v>$220.09</v>
          </cell>
          <cell r="I1152">
            <v>13</v>
          </cell>
          <cell r="J1152">
            <v>13</v>
          </cell>
          <cell r="K1152">
            <v>5</v>
          </cell>
          <cell r="L1152">
            <v>5</v>
          </cell>
          <cell r="M1152">
            <v>3.7313432835820892E-2</v>
          </cell>
          <cell r="O1152" t="str">
            <v>$1745</v>
          </cell>
          <cell r="P1152" t="str">
            <v>$1745</v>
          </cell>
          <cell r="Q1152">
            <v>45625</v>
          </cell>
          <cell r="R1152" t="str">
            <v>Chennai</v>
          </cell>
          <cell r="S1152" t="str">
            <v>Mobile</v>
          </cell>
          <cell r="T1152" t="str">
            <v>data analytics online</v>
          </cell>
        </row>
        <row r="1153">
          <cell r="A1153" t="str">
            <v>A2151</v>
          </cell>
          <cell r="B1153" t="str">
            <v>Data Analytics Course</v>
          </cell>
          <cell r="C1153">
            <v>142</v>
          </cell>
          <cell r="D1153">
            <v>142</v>
          </cell>
          <cell r="E1153">
            <v>3147</v>
          </cell>
          <cell r="F1153">
            <v>3147</v>
          </cell>
          <cell r="G1153" t="str">
            <v>$190.93</v>
          </cell>
          <cell r="H1153" t="str">
            <v>$190.93</v>
          </cell>
          <cell r="I1153">
            <v>13</v>
          </cell>
          <cell r="J1153">
            <v>13</v>
          </cell>
          <cell r="K1153">
            <v>5</v>
          </cell>
          <cell r="L1153">
            <v>5</v>
          </cell>
          <cell r="M1153">
            <v>3.5211267605633804E-2</v>
          </cell>
          <cell r="O1153" t="str">
            <v>$1740</v>
          </cell>
          <cell r="P1153" t="str">
            <v>$1740</v>
          </cell>
          <cell r="Q1153">
            <v>45601</v>
          </cell>
          <cell r="R1153" t="str">
            <v>Chennai</v>
          </cell>
          <cell r="S1153" t="str">
            <v>Mobile</v>
          </cell>
          <cell r="T1153" t="str">
            <v>learn data analytics</v>
          </cell>
        </row>
        <row r="1154">
          <cell r="A1154" t="str">
            <v>A2152</v>
          </cell>
          <cell r="B1154" t="str">
            <v>Data Analytics Course</v>
          </cell>
          <cell r="C1154">
            <v>138.95699356913184</v>
          </cell>
          <cell r="E1154">
            <v>4387</v>
          </cell>
          <cell r="F1154">
            <v>4387</v>
          </cell>
          <cell r="G1154" t="str">
            <v>$198.93</v>
          </cell>
          <cell r="H1154" t="str">
            <v>$198.93</v>
          </cell>
          <cell r="I1154">
            <v>22</v>
          </cell>
          <cell r="J1154">
            <v>22</v>
          </cell>
          <cell r="K1154">
            <v>3</v>
          </cell>
          <cell r="L1154">
            <v>3</v>
          </cell>
          <cell r="M1154">
            <v>2.1589413551232915E-2</v>
          </cell>
          <cell r="O1154" t="str">
            <v>$1629</v>
          </cell>
          <cell r="P1154" t="str">
            <v>$1629</v>
          </cell>
          <cell r="Q1154">
            <v>45607</v>
          </cell>
          <cell r="R1154" t="str">
            <v>Hyderabad</v>
          </cell>
          <cell r="S1154" t="str">
            <v>Desktop</v>
          </cell>
          <cell r="T1154" t="str">
            <v>learn data analytics</v>
          </cell>
        </row>
        <row r="1155">
          <cell r="A1155" t="str">
            <v>A2153</v>
          </cell>
          <cell r="B1155" t="str">
            <v>Data Analytics Course</v>
          </cell>
          <cell r="C1155">
            <v>163</v>
          </cell>
          <cell r="D1155">
            <v>163</v>
          </cell>
          <cell r="E1155">
            <v>5948</v>
          </cell>
          <cell r="F1155">
            <v>5948</v>
          </cell>
          <cell r="G1155" t="str">
            <v>$184.84</v>
          </cell>
          <cell r="H1155" t="str">
            <v>$184.84</v>
          </cell>
          <cell r="I1155">
            <v>12</v>
          </cell>
          <cell r="J1155">
            <v>12</v>
          </cell>
          <cell r="K1155">
            <v>3</v>
          </cell>
          <cell r="L1155">
            <v>3</v>
          </cell>
          <cell r="M1155">
            <v>1.8404907975460124E-2</v>
          </cell>
          <cell r="N1155">
            <v>4.9000000000000002E-2</v>
          </cell>
          <cell r="O1155" t="str">
            <v>$1248</v>
          </cell>
          <cell r="P1155" t="str">
            <v>$1248</v>
          </cell>
          <cell r="Q1155">
            <v>45607</v>
          </cell>
          <cell r="R1155" t="str">
            <v>Chennai</v>
          </cell>
          <cell r="S1155" t="str">
            <v>Tablet</v>
          </cell>
          <cell r="T1155" t="str">
            <v>data analytics training</v>
          </cell>
        </row>
        <row r="1156">
          <cell r="A1156" t="str">
            <v>A2154</v>
          </cell>
          <cell r="B1156" t="str">
            <v>Data Analytics Course</v>
          </cell>
          <cell r="C1156">
            <v>171</v>
          </cell>
          <cell r="D1156">
            <v>171</v>
          </cell>
          <cell r="E1156">
            <v>4855</v>
          </cell>
          <cell r="F1156">
            <v>4855</v>
          </cell>
          <cell r="G1156" t="str">
            <v>$235.23</v>
          </cell>
          <cell r="H1156" t="str">
            <v>$235.23</v>
          </cell>
          <cell r="I1156">
            <v>25</v>
          </cell>
          <cell r="J1156">
            <v>25</v>
          </cell>
          <cell r="K1156">
            <v>6</v>
          </cell>
          <cell r="L1156">
            <v>6</v>
          </cell>
          <cell r="M1156">
            <v>3.5087719298245612E-2</v>
          </cell>
          <cell r="N1156">
            <v>3.5000000000000003E-2</v>
          </cell>
          <cell r="O1156" t="str">
            <v>$1500</v>
          </cell>
          <cell r="Q1156">
            <v>45617</v>
          </cell>
          <cell r="R1156" t="str">
            <v>Bangaluru</v>
          </cell>
          <cell r="S1156" t="str">
            <v>Desktop</v>
          </cell>
          <cell r="T1156" t="str">
            <v>data analytics course</v>
          </cell>
        </row>
        <row r="1157">
          <cell r="A1157" t="str">
            <v>A2155</v>
          </cell>
          <cell r="B1157" t="str">
            <v>Data Analytics Course</v>
          </cell>
          <cell r="C1157">
            <v>97</v>
          </cell>
          <cell r="D1157">
            <v>97</v>
          </cell>
          <cell r="E1157">
            <v>4674</v>
          </cell>
          <cell r="F1157">
            <v>4674</v>
          </cell>
          <cell r="G1157" t="str">
            <v>$221.39</v>
          </cell>
          <cell r="H1157" t="str">
            <v>$221.39</v>
          </cell>
          <cell r="I1157">
            <v>15</v>
          </cell>
          <cell r="J1157">
            <v>15</v>
          </cell>
          <cell r="K1157">
            <v>10</v>
          </cell>
          <cell r="L1157">
            <v>10</v>
          </cell>
          <cell r="M1157">
            <v>0.10309278350515463</v>
          </cell>
          <cell r="N1157">
            <v>4.7E-2</v>
          </cell>
          <cell r="O1157" t="str">
            <v>$1332</v>
          </cell>
          <cell r="P1157" t="str">
            <v>$1332</v>
          </cell>
          <cell r="Q1157">
            <v>45603</v>
          </cell>
          <cell r="R1157" t="str">
            <v>Chennai</v>
          </cell>
          <cell r="S1157" t="str">
            <v>Tablet</v>
          </cell>
          <cell r="T1157" t="str">
            <v>data analytics course</v>
          </cell>
        </row>
        <row r="1158">
          <cell r="A1158" t="str">
            <v>A2156</v>
          </cell>
          <cell r="B1158" t="str">
            <v>Data Analytics Course</v>
          </cell>
          <cell r="C1158">
            <v>176</v>
          </cell>
          <cell r="D1158">
            <v>176</v>
          </cell>
          <cell r="E1158">
            <v>3336</v>
          </cell>
          <cell r="F1158">
            <v>3336</v>
          </cell>
          <cell r="G1158" t="str">
            <v>$193.72</v>
          </cell>
          <cell r="H1158" t="str">
            <v>$193.72</v>
          </cell>
          <cell r="I1158">
            <v>15</v>
          </cell>
          <cell r="J1158">
            <v>15</v>
          </cell>
          <cell r="K1158">
            <v>9</v>
          </cell>
          <cell r="L1158">
            <v>9</v>
          </cell>
          <cell r="M1158">
            <v>5.113636363636364E-2</v>
          </cell>
          <cell r="O1158" t="str">
            <v>$1696</v>
          </cell>
          <cell r="P1158" t="str">
            <v>$1696</v>
          </cell>
          <cell r="Q1158">
            <v>45608</v>
          </cell>
          <cell r="R1158" t="str">
            <v>Hyderabad</v>
          </cell>
          <cell r="S1158" t="str">
            <v>Tablet</v>
          </cell>
          <cell r="T1158" t="str">
            <v>learn data analytics</v>
          </cell>
        </row>
        <row r="1159">
          <cell r="A1159" t="str">
            <v>A2157</v>
          </cell>
          <cell r="B1159" t="str">
            <v>Data Analytics Course</v>
          </cell>
          <cell r="C1159">
            <v>129</v>
          </cell>
          <cell r="D1159">
            <v>129</v>
          </cell>
          <cell r="E1159">
            <v>5839</v>
          </cell>
          <cell r="F1159">
            <v>5839</v>
          </cell>
          <cell r="G1159" t="str">
            <v>$213.72</v>
          </cell>
          <cell r="H1159" t="str">
            <v>$213.72</v>
          </cell>
          <cell r="I1159">
            <v>10</v>
          </cell>
          <cell r="J1159">
            <v>10</v>
          </cell>
          <cell r="K1159">
            <v>6</v>
          </cell>
          <cell r="L1159">
            <v>6</v>
          </cell>
          <cell r="M1159">
            <v>4.6511627906976744E-2</v>
          </cell>
          <cell r="O1159" t="str">
            <v>$1476</v>
          </cell>
          <cell r="P1159" t="str">
            <v>$1476</v>
          </cell>
          <cell r="Q1159">
            <v>45614</v>
          </cell>
          <cell r="R1159" t="str">
            <v>Hyderabad</v>
          </cell>
          <cell r="S1159" t="str">
            <v>Desktop</v>
          </cell>
          <cell r="T1159" t="str">
            <v>analytics for data</v>
          </cell>
        </row>
        <row r="1160">
          <cell r="A1160" t="str">
            <v>A2158</v>
          </cell>
          <cell r="B1160" t="str">
            <v>Data Analytcis Course</v>
          </cell>
          <cell r="C1160">
            <v>178</v>
          </cell>
          <cell r="D1160">
            <v>178</v>
          </cell>
          <cell r="E1160">
            <v>3943</v>
          </cell>
          <cell r="F1160">
            <v>3943</v>
          </cell>
          <cell r="G1160" t="str">
            <v>$217.96</v>
          </cell>
          <cell r="H1160" t="str">
            <v>$217.96</v>
          </cell>
          <cell r="I1160">
            <v>29</v>
          </cell>
          <cell r="J1160">
            <v>29</v>
          </cell>
          <cell r="K1160">
            <v>6</v>
          </cell>
          <cell r="L1160">
            <v>6</v>
          </cell>
          <cell r="M1160">
            <v>3.3707865168539325E-2</v>
          </cell>
          <cell r="N1160">
            <v>3.4000000000000002E-2</v>
          </cell>
          <cell r="O1160" t="str">
            <v>$1037</v>
          </cell>
          <cell r="P1160" t="str">
            <v>$1037</v>
          </cell>
          <cell r="Q1160">
            <v>45611</v>
          </cell>
          <cell r="R1160" t="str">
            <v>Chennai</v>
          </cell>
          <cell r="S1160" t="str">
            <v>Mobile</v>
          </cell>
          <cell r="T1160" t="str">
            <v>learn data analytics</v>
          </cell>
        </row>
        <row r="1161">
          <cell r="A1161" t="str">
            <v>A2159</v>
          </cell>
          <cell r="B1161" t="str">
            <v>Data Analytics Course</v>
          </cell>
          <cell r="C1161">
            <v>111</v>
          </cell>
          <cell r="D1161">
            <v>111</v>
          </cell>
          <cell r="E1161">
            <v>3787</v>
          </cell>
          <cell r="F1161">
            <v>3787</v>
          </cell>
          <cell r="G1161" t="str">
            <v>$215.48</v>
          </cell>
          <cell r="H1161" t="str">
            <v>$215.48</v>
          </cell>
          <cell r="I1161">
            <v>15</v>
          </cell>
          <cell r="J1161">
            <v>15</v>
          </cell>
          <cell r="K1161">
            <v>10</v>
          </cell>
          <cell r="L1161">
            <v>10</v>
          </cell>
          <cell r="M1161">
            <v>9.0090090090090086E-2</v>
          </cell>
          <cell r="O1161" t="str">
            <v>$1660</v>
          </cell>
          <cell r="P1161" t="str">
            <v>$1660</v>
          </cell>
          <cell r="Q1161">
            <v>45610</v>
          </cell>
          <cell r="R1161" t="str">
            <v>Hyderabad</v>
          </cell>
          <cell r="S1161" t="str">
            <v>Tablet</v>
          </cell>
          <cell r="T1161" t="str">
            <v>online data analytic</v>
          </cell>
        </row>
        <row r="1162">
          <cell r="A1162" t="str">
            <v>A2160</v>
          </cell>
          <cell r="B1162" t="str">
            <v>Data Analytics Course</v>
          </cell>
          <cell r="C1162">
            <v>156</v>
          </cell>
          <cell r="D1162">
            <v>156</v>
          </cell>
          <cell r="E1162">
            <v>4196</v>
          </cell>
          <cell r="F1162">
            <v>4196</v>
          </cell>
          <cell r="G1162" t="str">
            <v>$192.96</v>
          </cell>
          <cell r="H1162" t="str">
            <v>$192.96</v>
          </cell>
          <cell r="I1162">
            <v>11</v>
          </cell>
          <cell r="J1162">
            <v>11</v>
          </cell>
          <cell r="K1162">
            <v>5</v>
          </cell>
          <cell r="L1162">
            <v>5</v>
          </cell>
          <cell r="M1162">
            <v>3.2051282051282048E-2</v>
          </cell>
          <cell r="O1162" t="str">
            <v>$1504</v>
          </cell>
          <cell r="P1162" t="str">
            <v>$1504</v>
          </cell>
          <cell r="Q1162">
            <v>45622</v>
          </cell>
          <cell r="R1162" t="str">
            <v>Hyderabad</v>
          </cell>
          <cell r="S1162" t="str">
            <v>Mobile</v>
          </cell>
          <cell r="T1162" t="str">
            <v>learn data analytics</v>
          </cell>
        </row>
        <row r="1163">
          <cell r="A1163" t="str">
            <v>A2161</v>
          </cell>
          <cell r="B1163" t="str">
            <v>Data Analytics Course</v>
          </cell>
          <cell r="C1163">
            <v>138.95699356913184</v>
          </cell>
          <cell r="E1163">
            <v>3408</v>
          </cell>
          <cell r="F1163">
            <v>3408</v>
          </cell>
          <cell r="G1163" t="str">
            <v>$193.07</v>
          </cell>
          <cell r="H1163" t="str">
            <v>$193.07</v>
          </cell>
          <cell r="I1163">
            <v>20</v>
          </cell>
          <cell r="J1163">
            <v>20</v>
          </cell>
          <cell r="K1163">
            <v>5</v>
          </cell>
          <cell r="L1163">
            <v>5</v>
          </cell>
          <cell r="M1163">
            <v>3.5982355918721523E-2</v>
          </cell>
          <cell r="N1163">
            <v>4.2000000000000003E-2</v>
          </cell>
          <cell r="O1163" t="str">
            <v>$1412</v>
          </cell>
          <cell r="P1163" t="str">
            <v>$1412</v>
          </cell>
          <cell r="Q1163">
            <v>45615</v>
          </cell>
          <cell r="R1163" t="str">
            <v>Hyderabad</v>
          </cell>
          <cell r="S1163" t="str">
            <v>Tablet</v>
          </cell>
          <cell r="T1163" t="str">
            <v>data analytics course</v>
          </cell>
        </row>
        <row r="1164">
          <cell r="A1164" t="str">
            <v>A2162</v>
          </cell>
          <cell r="B1164" t="str">
            <v>Data Analytcis Course</v>
          </cell>
          <cell r="C1164">
            <v>145</v>
          </cell>
          <cell r="D1164">
            <v>145</v>
          </cell>
          <cell r="E1164">
            <v>4982</v>
          </cell>
          <cell r="F1164">
            <v>4982</v>
          </cell>
          <cell r="G1164" t="str">
            <v>$203.33</v>
          </cell>
          <cell r="H1164" t="str">
            <v>$203.33</v>
          </cell>
          <cell r="I1164">
            <v>29</v>
          </cell>
          <cell r="J1164">
            <v>29</v>
          </cell>
          <cell r="K1164">
            <v>5</v>
          </cell>
          <cell r="L1164">
            <v>5</v>
          </cell>
          <cell r="M1164">
            <v>3.4482758620689655E-2</v>
          </cell>
          <cell r="N1164">
            <v>4.4999999999999998E-2</v>
          </cell>
          <cell r="O1164" t="str">
            <v>$1555</v>
          </cell>
          <cell r="P1164" t="str">
            <v>$1555</v>
          </cell>
          <cell r="Q1164">
            <v>45619</v>
          </cell>
          <cell r="R1164" t="str">
            <v>Bangaluru</v>
          </cell>
          <cell r="S1164" t="str">
            <v>Tablet</v>
          </cell>
          <cell r="T1164" t="str">
            <v>data analytics training</v>
          </cell>
        </row>
        <row r="1165">
          <cell r="A1165" t="str">
            <v>A2163</v>
          </cell>
          <cell r="B1165" t="str">
            <v>Data Analytics Course</v>
          </cell>
          <cell r="C1165">
            <v>156</v>
          </cell>
          <cell r="D1165">
            <v>156</v>
          </cell>
          <cell r="E1165">
            <v>5509</v>
          </cell>
          <cell r="F1165">
            <v>5509</v>
          </cell>
          <cell r="G1165" t="str">
            <v>$185.39</v>
          </cell>
          <cell r="H1165" t="str">
            <v>$185.39</v>
          </cell>
          <cell r="I1165">
            <v>29</v>
          </cell>
          <cell r="J1165">
            <v>29</v>
          </cell>
          <cell r="K1165">
            <v>4</v>
          </cell>
          <cell r="L1165">
            <v>4</v>
          </cell>
          <cell r="M1165">
            <v>2.564102564102564E-2</v>
          </cell>
          <cell r="N1165">
            <v>4.3999999999999997E-2</v>
          </cell>
          <cell r="O1165" t="str">
            <v>$1649</v>
          </cell>
          <cell r="P1165" t="str">
            <v>$1649</v>
          </cell>
          <cell r="Q1165">
            <v>45614</v>
          </cell>
          <cell r="R1165" t="str">
            <v>Chennai</v>
          </cell>
          <cell r="S1165" t="str">
            <v>Mobile</v>
          </cell>
          <cell r="T1165" t="str">
            <v>data analytics online</v>
          </cell>
        </row>
        <row r="1166">
          <cell r="A1166" t="str">
            <v>A2164</v>
          </cell>
          <cell r="B1166" t="str">
            <v>Data Analytcis Course</v>
          </cell>
          <cell r="C1166">
            <v>127</v>
          </cell>
          <cell r="D1166">
            <v>127</v>
          </cell>
          <cell r="E1166">
            <v>3797</v>
          </cell>
          <cell r="F1166">
            <v>3797</v>
          </cell>
          <cell r="G1166" t="str">
            <v>$214.67</v>
          </cell>
          <cell r="H1166" t="str">
            <v>$214.67</v>
          </cell>
          <cell r="I1166">
            <v>20</v>
          </cell>
          <cell r="J1166">
            <v>20</v>
          </cell>
          <cell r="K1166">
            <v>7</v>
          </cell>
          <cell r="L1166">
            <v>7</v>
          </cell>
          <cell r="M1166">
            <v>5.5118110236220472E-2</v>
          </cell>
          <cell r="N1166">
            <v>5.5E-2</v>
          </cell>
          <cell r="O1166" t="str">
            <v>$1735</v>
          </cell>
          <cell r="P1166" t="str">
            <v>$1735</v>
          </cell>
          <cell r="Q1166">
            <v>45609</v>
          </cell>
          <cell r="R1166" t="str">
            <v>Hyderabad</v>
          </cell>
          <cell r="S1166" t="str">
            <v>Desktop</v>
          </cell>
          <cell r="T1166" t="str">
            <v>analytics for data</v>
          </cell>
        </row>
        <row r="1167">
          <cell r="A1167" t="str">
            <v>A2165</v>
          </cell>
          <cell r="B1167" t="str">
            <v>Data Analytics Course</v>
          </cell>
          <cell r="C1167">
            <v>121</v>
          </cell>
          <cell r="D1167">
            <v>121</v>
          </cell>
          <cell r="E1167">
            <v>5064</v>
          </cell>
          <cell r="F1167">
            <v>5064</v>
          </cell>
          <cell r="G1167" t="str">
            <v>$246.78</v>
          </cell>
          <cell r="H1167" t="str">
            <v>$246.78</v>
          </cell>
          <cell r="I1167">
            <v>13</v>
          </cell>
          <cell r="J1167">
            <v>13</v>
          </cell>
          <cell r="K1167">
            <v>9</v>
          </cell>
          <cell r="L1167">
            <v>9</v>
          </cell>
          <cell r="M1167">
            <v>7.43801652892562E-2</v>
          </cell>
          <cell r="N1167">
            <v>7.3999999999999996E-2</v>
          </cell>
          <cell r="O1167" t="str">
            <v>$1268</v>
          </cell>
          <cell r="P1167" t="str">
            <v>$1268</v>
          </cell>
          <cell r="Q1167">
            <v>45597</v>
          </cell>
          <cell r="R1167" t="str">
            <v>Bangaluru</v>
          </cell>
          <cell r="S1167" t="str">
            <v>Tablet</v>
          </cell>
          <cell r="T1167" t="str">
            <v>online data analytic</v>
          </cell>
        </row>
        <row r="1168">
          <cell r="A1168" t="str">
            <v>A2166</v>
          </cell>
          <cell r="B1168" t="str">
            <v>Data Analytics Course</v>
          </cell>
          <cell r="C1168">
            <v>98</v>
          </cell>
          <cell r="D1168">
            <v>98</v>
          </cell>
          <cell r="E1168">
            <v>4217</v>
          </cell>
          <cell r="F1168">
            <v>4217</v>
          </cell>
          <cell r="G1168" t="str">
            <v>$234.16</v>
          </cell>
          <cell r="H1168" t="str">
            <v>$234.16</v>
          </cell>
          <cell r="I1168">
            <v>17</v>
          </cell>
          <cell r="J1168">
            <v>17</v>
          </cell>
          <cell r="K1168">
            <v>4</v>
          </cell>
          <cell r="L1168">
            <v>4</v>
          </cell>
          <cell r="M1168">
            <v>4.0816326530612242E-2</v>
          </cell>
          <cell r="O1168" t="str">
            <v>$1556</v>
          </cell>
          <cell r="P1168" t="str">
            <v>$1556</v>
          </cell>
          <cell r="Q1168">
            <v>45607</v>
          </cell>
          <cell r="R1168" t="str">
            <v>Chennai</v>
          </cell>
          <cell r="S1168" t="str">
            <v>Tablet</v>
          </cell>
          <cell r="T1168" t="str">
            <v>learn data analytics</v>
          </cell>
        </row>
        <row r="1169">
          <cell r="A1169" t="str">
            <v>A2167</v>
          </cell>
          <cell r="B1169" t="str">
            <v>Data Analytics Course</v>
          </cell>
          <cell r="C1169">
            <v>156</v>
          </cell>
          <cell r="D1169">
            <v>156</v>
          </cell>
          <cell r="E1169">
            <v>3315</v>
          </cell>
          <cell r="F1169">
            <v>3315</v>
          </cell>
          <cell r="G1169" t="str">
            <v>$223.22</v>
          </cell>
          <cell r="H1169" t="str">
            <v>$223.22</v>
          </cell>
          <cell r="I1169">
            <v>14</v>
          </cell>
          <cell r="J1169">
            <v>14</v>
          </cell>
          <cell r="K1169">
            <v>10</v>
          </cell>
          <cell r="L1169">
            <v>10</v>
          </cell>
          <cell r="M1169">
            <v>6.4102564102564097E-2</v>
          </cell>
          <cell r="N1169">
            <v>6.4000000000000001E-2</v>
          </cell>
          <cell r="O1169" t="str">
            <v>$1581</v>
          </cell>
          <cell r="P1169" t="str">
            <v>$1581</v>
          </cell>
          <cell r="Q1169">
            <v>45616</v>
          </cell>
          <cell r="R1169" t="str">
            <v>Chennai</v>
          </cell>
          <cell r="S1169" t="str">
            <v>Mobile</v>
          </cell>
          <cell r="T1169" t="str">
            <v>online data analytic</v>
          </cell>
        </row>
        <row r="1170">
          <cell r="A1170" t="str">
            <v>A2168</v>
          </cell>
          <cell r="B1170" t="str">
            <v>Data Analytics Course</v>
          </cell>
          <cell r="C1170">
            <v>191</v>
          </cell>
          <cell r="D1170">
            <v>191</v>
          </cell>
          <cell r="E1170">
            <v>4017</v>
          </cell>
          <cell r="F1170">
            <v>4017</v>
          </cell>
          <cell r="G1170" t="str">
            <v>$203.52</v>
          </cell>
          <cell r="H1170" t="str">
            <v>$203.52</v>
          </cell>
          <cell r="I1170">
            <v>20.032188841201716</v>
          </cell>
          <cell r="K1170">
            <v>4</v>
          </cell>
          <cell r="L1170">
            <v>4</v>
          </cell>
          <cell r="M1170">
            <v>2.0942408376963352E-2</v>
          </cell>
          <cell r="N1170">
            <v>2.1000000000000001E-2</v>
          </cell>
          <cell r="O1170" t="str">
            <v>$1500</v>
          </cell>
          <cell r="Q1170">
            <v>45626</v>
          </cell>
          <cell r="R1170" t="str">
            <v>Chennai</v>
          </cell>
          <cell r="S1170" t="str">
            <v>Mobile</v>
          </cell>
          <cell r="T1170" t="str">
            <v>online data analytic</v>
          </cell>
        </row>
        <row r="1171">
          <cell r="A1171" t="str">
            <v>A2169</v>
          </cell>
          <cell r="B1171" t="str">
            <v>Data Analytics Course</v>
          </cell>
          <cell r="C1171">
            <v>193</v>
          </cell>
          <cell r="D1171">
            <v>193</v>
          </cell>
          <cell r="E1171">
            <v>5094</v>
          </cell>
          <cell r="F1171">
            <v>5094</v>
          </cell>
          <cell r="G1171" t="str">
            <v>$205.53</v>
          </cell>
          <cell r="H1171" t="str">
            <v>$205.53</v>
          </cell>
          <cell r="I1171">
            <v>18</v>
          </cell>
          <cell r="J1171">
            <v>18</v>
          </cell>
          <cell r="K1171">
            <v>3</v>
          </cell>
          <cell r="L1171">
            <v>3</v>
          </cell>
          <cell r="M1171">
            <v>1.5544041450777202E-2</v>
          </cell>
          <cell r="N1171">
            <v>1.6E-2</v>
          </cell>
          <cell r="O1171" t="str">
            <v>$1451</v>
          </cell>
          <cell r="P1171" t="str">
            <v>$1451</v>
          </cell>
          <cell r="Q1171">
            <v>45603</v>
          </cell>
          <cell r="R1171" t="str">
            <v>Hyderabad</v>
          </cell>
          <cell r="S1171" t="str">
            <v>Mobile</v>
          </cell>
          <cell r="T1171" t="str">
            <v>data analytics online</v>
          </cell>
        </row>
        <row r="1172">
          <cell r="A1172" t="str">
            <v>A2170</v>
          </cell>
          <cell r="B1172" t="str">
            <v>Data Analytics Course</v>
          </cell>
          <cell r="C1172">
            <v>167</v>
          </cell>
          <cell r="D1172">
            <v>167</v>
          </cell>
          <cell r="E1172">
            <v>4523.2808326787117</v>
          </cell>
          <cell r="G1172" t="str">
            <v>$244.62</v>
          </cell>
          <cell r="H1172" t="str">
            <v>$244.62</v>
          </cell>
          <cell r="I1172">
            <v>11</v>
          </cell>
          <cell r="J1172">
            <v>11</v>
          </cell>
          <cell r="K1172">
            <v>9</v>
          </cell>
          <cell r="L1172">
            <v>9</v>
          </cell>
          <cell r="M1172">
            <v>5.3892215568862277E-2</v>
          </cell>
          <cell r="O1172" t="str">
            <v>$1465</v>
          </cell>
          <cell r="P1172" t="str">
            <v>$1465</v>
          </cell>
          <cell r="Q1172">
            <v>45606</v>
          </cell>
          <cell r="R1172" t="str">
            <v>Chennai</v>
          </cell>
          <cell r="S1172" t="str">
            <v>Tablet</v>
          </cell>
          <cell r="T1172" t="str">
            <v>data analytics online</v>
          </cell>
        </row>
        <row r="1173">
          <cell r="A1173" t="str">
            <v>A2171</v>
          </cell>
          <cell r="B1173" t="str">
            <v>Data Analytics Course</v>
          </cell>
          <cell r="C1173">
            <v>177</v>
          </cell>
          <cell r="D1173">
            <v>177</v>
          </cell>
          <cell r="E1173">
            <v>5449</v>
          </cell>
          <cell r="F1173">
            <v>5449</v>
          </cell>
          <cell r="G1173" t="str">
            <v>$190.53</v>
          </cell>
          <cell r="H1173" t="str">
            <v>$190.53</v>
          </cell>
          <cell r="I1173">
            <v>10</v>
          </cell>
          <cell r="J1173">
            <v>10</v>
          </cell>
          <cell r="K1173">
            <v>5</v>
          </cell>
          <cell r="L1173">
            <v>5</v>
          </cell>
          <cell r="M1173">
            <v>2.8248587570621469E-2</v>
          </cell>
          <cell r="N1173">
            <v>2.8000000000000001E-2</v>
          </cell>
          <cell r="O1173" t="str">
            <v>$1257</v>
          </cell>
          <cell r="P1173" t="str">
            <v>$1257</v>
          </cell>
          <cell r="Q1173">
            <v>45615</v>
          </cell>
          <cell r="R1173" t="str">
            <v>Bangaluru</v>
          </cell>
          <cell r="S1173" t="str">
            <v>Mobile</v>
          </cell>
          <cell r="T1173" t="str">
            <v>data analytics course</v>
          </cell>
        </row>
        <row r="1174">
          <cell r="A1174" t="str">
            <v>A2172</v>
          </cell>
          <cell r="B1174" t="str">
            <v>Data Analytics Course</v>
          </cell>
          <cell r="C1174">
            <v>175</v>
          </cell>
          <cell r="D1174">
            <v>175</v>
          </cell>
          <cell r="E1174">
            <v>5732</v>
          </cell>
          <cell r="F1174">
            <v>5732</v>
          </cell>
          <cell r="G1174" t="str">
            <v>$208.46</v>
          </cell>
          <cell r="H1174" t="str">
            <v>$208.46</v>
          </cell>
          <cell r="I1174">
            <v>25</v>
          </cell>
          <cell r="J1174">
            <v>25</v>
          </cell>
          <cell r="K1174">
            <v>3</v>
          </cell>
          <cell r="L1174">
            <v>3</v>
          </cell>
          <cell r="M1174">
            <v>1.7142857142857144E-2</v>
          </cell>
          <cell r="N1174">
            <v>1.7000000000000001E-2</v>
          </cell>
          <cell r="O1174" t="str">
            <v>$1579</v>
          </cell>
          <cell r="P1174" t="str">
            <v>$1579</v>
          </cell>
          <cell r="Q1174">
            <v>45607</v>
          </cell>
          <cell r="R1174" t="str">
            <v>Chennai</v>
          </cell>
          <cell r="S1174" t="str">
            <v>Tablet</v>
          </cell>
          <cell r="T1174" t="str">
            <v>data analytics online</v>
          </cell>
        </row>
        <row r="1175">
          <cell r="A1175" t="str">
            <v>A2173</v>
          </cell>
          <cell r="B1175" t="str">
            <v>Data Analytics Course</v>
          </cell>
          <cell r="C1175">
            <v>122</v>
          </cell>
          <cell r="D1175">
            <v>122</v>
          </cell>
          <cell r="E1175">
            <v>4678</v>
          </cell>
          <cell r="F1175">
            <v>4678</v>
          </cell>
          <cell r="G1175" t="str">
            <v>$248.7</v>
          </cell>
          <cell r="H1175" t="str">
            <v>$248.7</v>
          </cell>
          <cell r="I1175">
            <v>25</v>
          </cell>
          <cell r="J1175">
            <v>25</v>
          </cell>
          <cell r="K1175">
            <v>4</v>
          </cell>
          <cell r="L1175">
            <v>4</v>
          </cell>
          <cell r="M1175">
            <v>3.2786885245901641E-2</v>
          </cell>
          <cell r="N1175">
            <v>3.1E-2</v>
          </cell>
          <cell r="O1175" t="str">
            <v>$1744</v>
          </cell>
          <cell r="P1175" t="str">
            <v>$1744</v>
          </cell>
          <cell r="Q1175">
            <v>45607</v>
          </cell>
          <cell r="R1175" t="str">
            <v>Hyderabad</v>
          </cell>
          <cell r="S1175" t="str">
            <v>Desktop</v>
          </cell>
          <cell r="T1175" t="str">
            <v>data analytics course</v>
          </cell>
        </row>
        <row r="1176">
          <cell r="A1176" t="str">
            <v>A2174</v>
          </cell>
          <cell r="B1176" t="str">
            <v>Data Analytics Course</v>
          </cell>
          <cell r="C1176">
            <v>121</v>
          </cell>
          <cell r="D1176">
            <v>121</v>
          </cell>
          <cell r="E1176">
            <v>4088</v>
          </cell>
          <cell r="F1176">
            <v>4088</v>
          </cell>
          <cell r="G1176" t="str">
            <v>$223.85</v>
          </cell>
          <cell r="H1176" t="str">
            <v>$223.85</v>
          </cell>
          <cell r="I1176">
            <v>19</v>
          </cell>
          <cell r="J1176">
            <v>19</v>
          </cell>
          <cell r="K1176">
            <v>3</v>
          </cell>
          <cell r="L1176">
            <v>3</v>
          </cell>
          <cell r="M1176">
            <v>2.4793388429752067E-2</v>
          </cell>
          <cell r="N1176">
            <v>2.5000000000000001E-2</v>
          </cell>
          <cell r="O1176" t="str">
            <v>$1248</v>
          </cell>
          <cell r="P1176" t="str">
            <v>$1248</v>
          </cell>
          <cell r="Q1176">
            <v>45622</v>
          </cell>
          <cell r="R1176" t="str">
            <v>Hyderabad</v>
          </cell>
          <cell r="S1176" t="str">
            <v>Mobile</v>
          </cell>
          <cell r="T1176" t="str">
            <v>online data analytic</v>
          </cell>
        </row>
        <row r="1177">
          <cell r="A1177" t="str">
            <v>A2175</v>
          </cell>
          <cell r="B1177" t="str">
            <v>Data Analytics Course</v>
          </cell>
          <cell r="C1177">
            <v>125</v>
          </cell>
          <cell r="D1177">
            <v>125</v>
          </cell>
          <cell r="E1177">
            <v>4528</v>
          </cell>
          <cell r="F1177">
            <v>4528</v>
          </cell>
          <cell r="G1177" t="str">
            <v>$186.6</v>
          </cell>
          <cell r="H1177" t="str">
            <v>$186.6</v>
          </cell>
          <cell r="I1177">
            <v>10</v>
          </cell>
          <cell r="J1177">
            <v>10</v>
          </cell>
          <cell r="K1177">
            <v>9</v>
          </cell>
          <cell r="L1177">
            <v>9</v>
          </cell>
          <cell r="M1177">
            <v>7.1999999999999995E-2</v>
          </cell>
          <cell r="N1177">
            <v>7.1999999999999995E-2</v>
          </cell>
          <cell r="O1177" t="str">
            <v>$1167</v>
          </cell>
          <cell r="P1177" t="str">
            <v>$1167</v>
          </cell>
          <cell r="Q1177">
            <v>45602</v>
          </cell>
          <cell r="R1177" t="str">
            <v>Chennai</v>
          </cell>
          <cell r="S1177" t="str">
            <v>Desktop</v>
          </cell>
          <cell r="T1177" t="str">
            <v>data analytics training</v>
          </cell>
        </row>
        <row r="1178">
          <cell r="A1178" t="str">
            <v>A2176</v>
          </cell>
          <cell r="B1178" t="str">
            <v>Data Analytcis Course</v>
          </cell>
          <cell r="C1178">
            <v>81</v>
          </cell>
          <cell r="D1178">
            <v>81</v>
          </cell>
          <cell r="E1178">
            <v>3946</v>
          </cell>
          <cell r="F1178">
            <v>3946</v>
          </cell>
          <cell r="G1178" t="str">
            <v>$202.95</v>
          </cell>
          <cell r="H1178" t="str">
            <v>$202.95</v>
          </cell>
          <cell r="I1178">
            <v>10</v>
          </cell>
          <cell r="J1178">
            <v>10</v>
          </cell>
          <cell r="K1178">
            <v>7</v>
          </cell>
          <cell r="L1178">
            <v>7</v>
          </cell>
          <cell r="M1178">
            <v>8.6419753086419748E-2</v>
          </cell>
          <cell r="N1178">
            <v>4.5999999999999999E-2</v>
          </cell>
          <cell r="O1178" t="str">
            <v>$1970</v>
          </cell>
          <cell r="P1178" t="str">
            <v>$1970</v>
          </cell>
          <cell r="Q1178">
            <v>45623</v>
          </cell>
          <cell r="R1178" t="str">
            <v>Hyderabad</v>
          </cell>
          <cell r="S1178" t="str">
            <v>Mobile</v>
          </cell>
          <cell r="T1178" t="str">
            <v>data analytics training</v>
          </cell>
        </row>
        <row r="1179">
          <cell r="A1179" t="str">
            <v>A2177</v>
          </cell>
          <cell r="B1179" t="str">
            <v>Data Analytics Course</v>
          </cell>
          <cell r="C1179">
            <v>112</v>
          </cell>
          <cell r="D1179">
            <v>112</v>
          </cell>
          <cell r="E1179">
            <v>4486</v>
          </cell>
          <cell r="F1179">
            <v>4486</v>
          </cell>
          <cell r="G1179" t="str">
            <v>$249.23</v>
          </cell>
          <cell r="H1179" t="str">
            <v>$249.23</v>
          </cell>
          <cell r="I1179">
            <v>28</v>
          </cell>
          <cell r="J1179">
            <v>28</v>
          </cell>
          <cell r="K1179">
            <v>3</v>
          </cell>
          <cell r="L1179">
            <v>3</v>
          </cell>
          <cell r="M1179">
            <v>2.6785714285714284E-2</v>
          </cell>
          <cell r="N1179">
            <v>2.7E-2</v>
          </cell>
          <cell r="O1179" t="str">
            <v>$1572</v>
          </cell>
          <cell r="P1179" t="str">
            <v>$1572</v>
          </cell>
          <cell r="Q1179">
            <v>45622</v>
          </cell>
          <cell r="R1179" t="str">
            <v>Bangaluru</v>
          </cell>
          <cell r="S1179" t="str">
            <v>Desktop</v>
          </cell>
          <cell r="T1179" t="str">
            <v>analytics for data</v>
          </cell>
        </row>
        <row r="1180">
          <cell r="A1180" t="str">
            <v>A2178</v>
          </cell>
          <cell r="B1180" t="str">
            <v>Data Analytcis Course</v>
          </cell>
          <cell r="C1180">
            <v>152</v>
          </cell>
          <cell r="D1180">
            <v>152</v>
          </cell>
          <cell r="E1180">
            <v>5290</v>
          </cell>
          <cell r="F1180">
            <v>5290</v>
          </cell>
          <cell r="G1180" t="str">
            <v>$182.01</v>
          </cell>
          <cell r="H1180" t="str">
            <v>$182.01</v>
          </cell>
          <cell r="I1180">
            <v>24</v>
          </cell>
          <cell r="J1180">
            <v>24</v>
          </cell>
          <cell r="K1180">
            <v>4</v>
          </cell>
          <cell r="L1180">
            <v>4</v>
          </cell>
          <cell r="M1180">
            <v>2.6315789473684209E-2</v>
          </cell>
          <cell r="O1180" t="str">
            <v>$1673</v>
          </cell>
          <cell r="P1180" t="str">
            <v>$1673</v>
          </cell>
          <cell r="Q1180">
            <v>45601</v>
          </cell>
          <cell r="R1180" t="str">
            <v>Hyderabad</v>
          </cell>
          <cell r="S1180" t="str">
            <v>Mobile</v>
          </cell>
          <cell r="T1180" t="str">
            <v>analytics for data</v>
          </cell>
        </row>
        <row r="1181">
          <cell r="A1181" t="str">
            <v>A2179</v>
          </cell>
          <cell r="B1181" t="str">
            <v>Data Analytcis Course</v>
          </cell>
          <cell r="C1181">
            <v>134</v>
          </cell>
          <cell r="D1181">
            <v>134</v>
          </cell>
          <cell r="E1181">
            <v>5163</v>
          </cell>
          <cell r="F1181">
            <v>5163</v>
          </cell>
          <cell r="G1181" t="str">
            <v>$245.4</v>
          </cell>
          <cell r="H1181" t="str">
            <v>$245.4</v>
          </cell>
          <cell r="I1181">
            <v>26</v>
          </cell>
          <cell r="J1181">
            <v>26</v>
          </cell>
          <cell r="K1181">
            <v>5</v>
          </cell>
          <cell r="L1181">
            <v>5</v>
          </cell>
          <cell r="M1181">
            <v>3.7313432835820892E-2</v>
          </cell>
          <cell r="N1181">
            <v>4.7E-2</v>
          </cell>
          <cell r="O1181" t="str">
            <v>$1500</v>
          </cell>
          <cell r="Q1181">
            <v>45610</v>
          </cell>
          <cell r="R1181" t="str">
            <v>Hyderabad</v>
          </cell>
          <cell r="S1181" t="str">
            <v>Tablet</v>
          </cell>
          <cell r="T1181" t="str">
            <v>analytics for data</v>
          </cell>
        </row>
        <row r="1182">
          <cell r="A1182" t="str">
            <v>A2180</v>
          </cell>
          <cell r="B1182" t="str">
            <v>Data Analytcis Course</v>
          </cell>
          <cell r="C1182">
            <v>111</v>
          </cell>
          <cell r="D1182">
            <v>111</v>
          </cell>
          <cell r="E1182">
            <v>3978</v>
          </cell>
          <cell r="F1182">
            <v>3978</v>
          </cell>
          <cell r="G1182" t="str">
            <v>$192.14</v>
          </cell>
          <cell r="H1182" t="str">
            <v>$192.14</v>
          </cell>
          <cell r="I1182">
            <v>19</v>
          </cell>
          <cell r="J1182">
            <v>19</v>
          </cell>
          <cell r="K1182">
            <v>5</v>
          </cell>
          <cell r="L1182">
            <v>5</v>
          </cell>
          <cell r="M1182">
            <v>4.5045045045045043E-2</v>
          </cell>
          <cell r="N1182">
            <v>4.4999999999999998E-2</v>
          </cell>
          <cell r="O1182" t="str">
            <v>$1500</v>
          </cell>
          <cell r="P1182" t="str">
            <v>$1500</v>
          </cell>
          <cell r="Q1182">
            <v>45602</v>
          </cell>
          <cell r="R1182" t="str">
            <v>Chennai</v>
          </cell>
          <cell r="S1182" t="str">
            <v>Desktop</v>
          </cell>
          <cell r="T1182" t="str">
            <v>analytics for data</v>
          </cell>
        </row>
        <row r="1183">
          <cell r="A1183" t="str">
            <v>A2181</v>
          </cell>
          <cell r="B1183" t="str">
            <v>Data Analytics Course</v>
          </cell>
          <cell r="C1183">
            <v>194</v>
          </cell>
          <cell r="D1183">
            <v>194</v>
          </cell>
          <cell r="E1183">
            <v>4217</v>
          </cell>
          <cell r="F1183">
            <v>4217</v>
          </cell>
          <cell r="G1183" t="str">
            <v>$187.34</v>
          </cell>
          <cell r="H1183" t="str">
            <v>$187.34</v>
          </cell>
          <cell r="I1183">
            <v>12</v>
          </cell>
          <cell r="J1183">
            <v>12</v>
          </cell>
          <cell r="K1183">
            <v>10</v>
          </cell>
          <cell r="L1183">
            <v>10</v>
          </cell>
          <cell r="M1183">
            <v>5.1546391752577317E-2</v>
          </cell>
          <cell r="N1183">
            <v>5.1999999999999998E-2</v>
          </cell>
          <cell r="O1183" t="str">
            <v>$1669</v>
          </cell>
          <cell r="P1183" t="str">
            <v>$1669</v>
          </cell>
          <cell r="Q1183">
            <v>45603</v>
          </cell>
          <cell r="R1183" t="str">
            <v>Chennai</v>
          </cell>
          <cell r="S1183" t="str">
            <v>Tablet</v>
          </cell>
          <cell r="T1183" t="str">
            <v>data analytics training</v>
          </cell>
        </row>
        <row r="1184">
          <cell r="A1184" t="str">
            <v>A2182</v>
          </cell>
          <cell r="B1184" t="str">
            <v>Data Analytics Course</v>
          </cell>
          <cell r="C1184">
            <v>150</v>
          </cell>
          <cell r="D1184">
            <v>150</v>
          </cell>
          <cell r="E1184">
            <v>5907</v>
          </cell>
          <cell r="F1184">
            <v>5907</v>
          </cell>
          <cell r="G1184" t="str">
            <v>$241.8</v>
          </cell>
          <cell r="H1184" t="str">
            <v>$241.8</v>
          </cell>
          <cell r="I1184">
            <v>25</v>
          </cell>
          <cell r="J1184">
            <v>25</v>
          </cell>
          <cell r="K1184">
            <v>7</v>
          </cell>
          <cell r="L1184">
            <v>7</v>
          </cell>
          <cell r="M1184">
            <v>4.6666666666666669E-2</v>
          </cell>
          <cell r="N1184">
            <v>4.7E-2</v>
          </cell>
          <cell r="O1184" t="str">
            <v>$1430</v>
          </cell>
          <cell r="P1184" t="str">
            <v>$1430</v>
          </cell>
          <cell r="Q1184">
            <v>45607</v>
          </cell>
          <cell r="R1184" t="str">
            <v>Bangaluru</v>
          </cell>
          <cell r="S1184" t="str">
            <v>Desktop</v>
          </cell>
          <cell r="T1184" t="str">
            <v>data analytics online</v>
          </cell>
        </row>
        <row r="1185">
          <cell r="A1185" t="str">
            <v>A2183</v>
          </cell>
          <cell r="B1185" t="str">
            <v>Data Analytics Course</v>
          </cell>
          <cell r="C1185">
            <v>100</v>
          </cell>
          <cell r="D1185">
            <v>100</v>
          </cell>
          <cell r="E1185">
            <v>5970</v>
          </cell>
          <cell r="F1185">
            <v>5970</v>
          </cell>
          <cell r="G1185" t="str">
            <v>$224.79</v>
          </cell>
          <cell r="H1185" t="str">
            <v>$224.79</v>
          </cell>
          <cell r="I1185">
            <v>13</v>
          </cell>
          <cell r="J1185">
            <v>13</v>
          </cell>
          <cell r="K1185">
            <v>9</v>
          </cell>
          <cell r="L1185">
            <v>9</v>
          </cell>
          <cell r="M1185">
            <v>0.09</v>
          </cell>
          <cell r="N1185">
            <v>0.09</v>
          </cell>
          <cell r="O1185" t="str">
            <v>$1895</v>
          </cell>
          <cell r="P1185" t="str">
            <v>$1895</v>
          </cell>
          <cell r="Q1185">
            <v>45611</v>
          </cell>
          <cell r="R1185" t="str">
            <v>Chennai</v>
          </cell>
          <cell r="S1185" t="str">
            <v>Mobile</v>
          </cell>
          <cell r="T1185" t="str">
            <v>data analytics training</v>
          </cell>
        </row>
        <row r="1186">
          <cell r="A1186" t="str">
            <v>A2184</v>
          </cell>
          <cell r="B1186" t="str">
            <v>Data Analytcis Course</v>
          </cell>
          <cell r="C1186">
            <v>186</v>
          </cell>
          <cell r="D1186">
            <v>186</v>
          </cell>
          <cell r="E1186">
            <v>5142</v>
          </cell>
          <cell r="F1186">
            <v>5142</v>
          </cell>
          <cell r="G1186" t="str">
            <v>$236.2</v>
          </cell>
          <cell r="H1186" t="str">
            <v>$236.2</v>
          </cell>
          <cell r="I1186">
            <v>18</v>
          </cell>
          <cell r="J1186">
            <v>18</v>
          </cell>
          <cell r="K1186">
            <v>4</v>
          </cell>
          <cell r="L1186">
            <v>4</v>
          </cell>
          <cell r="M1186">
            <v>2.1505376344086023E-2</v>
          </cell>
          <cell r="O1186" t="str">
            <v>$1990</v>
          </cell>
          <cell r="P1186" t="str">
            <v>$1990</v>
          </cell>
          <cell r="Q1186">
            <v>45620</v>
          </cell>
          <cell r="R1186" t="str">
            <v>Chennai</v>
          </cell>
          <cell r="S1186" t="str">
            <v>Tablet</v>
          </cell>
          <cell r="T1186" t="str">
            <v>data analytics online</v>
          </cell>
        </row>
        <row r="1187">
          <cell r="A1187" t="str">
            <v>A2185</v>
          </cell>
          <cell r="B1187" t="str">
            <v>Data Analytics Course</v>
          </cell>
          <cell r="C1187">
            <v>130</v>
          </cell>
          <cell r="D1187">
            <v>130</v>
          </cell>
          <cell r="E1187">
            <v>3715</v>
          </cell>
          <cell r="F1187">
            <v>3715</v>
          </cell>
          <cell r="G1187" t="str">
            <v>$243.34</v>
          </cell>
          <cell r="H1187" t="str">
            <v>$243.34</v>
          </cell>
          <cell r="I1187">
            <v>12</v>
          </cell>
          <cell r="J1187">
            <v>12</v>
          </cell>
          <cell r="K1187">
            <v>8</v>
          </cell>
          <cell r="L1187">
            <v>8</v>
          </cell>
          <cell r="M1187">
            <v>6.1538461538461542E-2</v>
          </cell>
          <cell r="N1187">
            <v>6.2E-2</v>
          </cell>
          <cell r="O1187" t="str">
            <v>$1482</v>
          </cell>
          <cell r="P1187" t="str">
            <v>$1482</v>
          </cell>
          <cell r="Q1187">
            <v>45597</v>
          </cell>
          <cell r="R1187" t="str">
            <v>Hyderabad</v>
          </cell>
          <cell r="S1187" t="str">
            <v>Desktop</v>
          </cell>
          <cell r="T1187" t="str">
            <v>data analytics online</v>
          </cell>
        </row>
        <row r="1188">
          <cell r="A1188" t="str">
            <v>A2186</v>
          </cell>
          <cell r="B1188" t="str">
            <v>Data Analytics Course</v>
          </cell>
          <cell r="C1188">
            <v>158</v>
          </cell>
          <cell r="D1188">
            <v>158</v>
          </cell>
          <cell r="E1188">
            <v>4192</v>
          </cell>
          <cell r="F1188">
            <v>4192</v>
          </cell>
          <cell r="G1188" t="str">
            <v>$186.25</v>
          </cell>
          <cell r="H1188" t="str">
            <v>$186.25</v>
          </cell>
          <cell r="I1188">
            <v>27</v>
          </cell>
          <cell r="J1188">
            <v>27</v>
          </cell>
          <cell r="K1188">
            <v>10</v>
          </cell>
          <cell r="L1188">
            <v>10</v>
          </cell>
          <cell r="M1188">
            <v>6.3291139240506333E-2</v>
          </cell>
          <cell r="O1188" t="str">
            <v>$1968</v>
          </cell>
          <cell r="P1188" t="str">
            <v>$1968</v>
          </cell>
          <cell r="Q1188">
            <v>45602</v>
          </cell>
          <cell r="R1188" t="str">
            <v>Hyderabad</v>
          </cell>
          <cell r="S1188" t="str">
            <v>Tablet</v>
          </cell>
          <cell r="T1188" t="str">
            <v>online data analytic</v>
          </cell>
        </row>
        <row r="1189">
          <cell r="A1189" t="str">
            <v>A2187</v>
          </cell>
          <cell r="B1189" t="str">
            <v>Data Analytics Course</v>
          </cell>
          <cell r="C1189">
            <v>155</v>
          </cell>
          <cell r="D1189">
            <v>155</v>
          </cell>
          <cell r="E1189">
            <v>5121</v>
          </cell>
          <cell r="F1189">
            <v>5121</v>
          </cell>
          <cell r="G1189" t="str">
            <v>$248.16</v>
          </cell>
          <cell r="H1189" t="str">
            <v>$248.16</v>
          </cell>
          <cell r="I1189">
            <v>22</v>
          </cell>
          <cell r="J1189">
            <v>22</v>
          </cell>
          <cell r="K1189">
            <v>8</v>
          </cell>
          <cell r="L1189">
            <v>8</v>
          </cell>
          <cell r="M1189">
            <v>5.1612903225806452E-2</v>
          </cell>
          <cell r="N1189">
            <v>5.1999999999999998E-2</v>
          </cell>
          <cell r="O1189" t="str">
            <v>$1027</v>
          </cell>
          <cell r="P1189" t="str">
            <v>$1027</v>
          </cell>
          <cell r="Q1189">
            <v>45602</v>
          </cell>
          <cell r="R1189" t="str">
            <v>Chennai</v>
          </cell>
          <cell r="S1189" t="str">
            <v>Tablet</v>
          </cell>
          <cell r="T1189" t="str">
            <v>online data analytic</v>
          </cell>
        </row>
        <row r="1190">
          <cell r="A1190" t="str">
            <v>A2188</v>
          </cell>
          <cell r="B1190" t="str">
            <v>Data Analytcis Course</v>
          </cell>
          <cell r="C1190">
            <v>190</v>
          </cell>
          <cell r="D1190">
            <v>190</v>
          </cell>
          <cell r="E1190">
            <v>5984</v>
          </cell>
          <cell r="F1190">
            <v>5984</v>
          </cell>
          <cell r="G1190" t="str">
            <v>$209.35</v>
          </cell>
          <cell r="H1190" t="str">
            <v>$209.35</v>
          </cell>
          <cell r="I1190">
            <v>14</v>
          </cell>
          <cell r="J1190">
            <v>14</v>
          </cell>
          <cell r="K1190">
            <v>6</v>
          </cell>
          <cell r="L1190">
            <v>6</v>
          </cell>
          <cell r="M1190">
            <v>3.1578947368421054E-2</v>
          </cell>
          <cell r="N1190">
            <v>3.2000000000000001E-2</v>
          </cell>
          <cell r="O1190" t="str">
            <v>$1964</v>
          </cell>
          <cell r="P1190" t="str">
            <v>$1964</v>
          </cell>
          <cell r="Q1190">
            <v>45602</v>
          </cell>
          <cell r="R1190" t="str">
            <v>Chennai</v>
          </cell>
          <cell r="S1190" t="str">
            <v>Desktop</v>
          </cell>
          <cell r="T1190" t="str">
            <v>data analytics course</v>
          </cell>
        </row>
        <row r="1191">
          <cell r="A1191" t="str">
            <v>A2189</v>
          </cell>
          <cell r="B1191" t="str">
            <v>Data Analytics Course</v>
          </cell>
          <cell r="C1191">
            <v>191</v>
          </cell>
          <cell r="D1191">
            <v>191</v>
          </cell>
          <cell r="E1191">
            <v>3220</v>
          </cell>
          <cell r="F1191">
            <v>3220</v>
          </cell>
          <cell r="G1191" t="str">
            <v>$183.33</v>
          </cell>
          <cell r="H1191" t="str">
            <v>$183.33</v>
          </cell>
          <cell r="I1191">
            <v>20</v>
          </cell>
          <cell r="J1191">
            <v>20</v>
          </cell>
          <cell r="K1191">
            <v>6</v>
          </cell>
          <cell r="L1191">
            <v>6</v>
          </cell>
          <cell r="M1191">
            <v>3.1413612565445025E-2</v>
          </cell>
          <cell r="N1191">
            <v>5.0999999999999997E-2</v>
          </cell>
          <cell r="O1191" t="str">
            <v>$1942</v>
          </cell>
          <cell r="P1191" t="str">
            <v>$1942</v>
          </cell>
          <cell r="Q1191">
            <v>45624</v>
          </cell>
          <cell r="R1191" t="str">
            <v>Hyderabad</v>
          </cell>
          <cell r="S1191" t="str">
            <v>Tablet</v>
          </cell>
          <cell r="T1191" t="str">
            <v>data analytics training</v>
          </cell>
        </row>
        <row r="1192">
          <cell r="A1192" t="str">
            <v>A2190</v>
          </cell>
          <cell r="B1192" t="str">
            <v>Data Analytics Course</v>
          </cell>
          <cell r="C1192">
            <v>145</v>
          </cell>
          <cell r="D1192">
            <v>145</v>
          </cell>
          <cell r="E1192">
            <v>5761</v>
          </cell>
          <cell r="F1192">
            <v>5761</v>
          </cell>
          <cell r="G1192" t="str">
            <v>$202.07</v>
          </cell>
          <cell r="H1192" t="str">
            <v>$202.07</v>
          </cell>
          <cell r="I1192">
            <v>17</v>
          </cell>
          <cell r="J1192">
            <v>17</v>
          </cell>
          <cell r="K1192">
            <v>3</v>
          </cell>
          <cell r="L1192">
            <v>3</v>
          </cell>
          <cell r="M1192">
            <v>2.0689655172413793E-2</v>
          </cell>
          <cell r="N1192">
            <v>2.1000000000000001E-2</v>
          </cell>
          <cell r="O1192" t="str">
            <v>$1037</v>
          </cell>
          <cell r="P1192" t="str">
            <v>$1037</v>
          </cell>
          <cell r="Q1192">
            <v>45609</v>
          </cell>
          <cell r="R1192" t="str">
            <v>Chennai</v>
          </cell>
          <cell r="S1192" t="str">
            <v>Mobile</v>
          </cell>
          <cell r="T1192" t="str">
            <v>data analytics online</v>
          </cell>
        </row>
        <row r="1193">
          <cell r="A1193" t="str">
            <v>A2191</v>
          </cell>
          <cell r="B1193" t="str">
            <v>Data Analytcis Course</v>
          </cell>
          <cell r="C1193">
            <v>102</v>
          </cell>
          <cell r="D1193">
            <v>102</v>
          </cell>
          <cell r="E1193">
            <v>5683</v>
          </cell>
          <cell r="F1193">
            <v>5683</v>
          </cell>
          <cell r="G1193" t="str">
            <v>$188.73</v>
          </cell>
          <cell r="H1193" t="str">
            <v>$188.73</v>
          </cell>
          <cell r="I1193">
            <v>28</v>
          </cell>
          <cell r="J1193">
            <v>28</v>
          </cell>
          <cell r="K1193">
            <v>8</v>
          </cell>
          <cell r="L1193">
            <v>8</v>
          </cell>
          <cell r="M1193">
            <v>7.8431372549019607E-2</v>
          </cell>
          <cell r="N1193">
            <v>7.8E-2</v>
          </cell>
          <cell r="O1193" t="str">
            <v>$1623</v>
          </cell>
          <cell r="P1193" t="str">
            <v>$1623</v>
          </cell>
          <cell r="Q1193">
            <v>45612</v>
          </cell>
          <cell r="R1193" t="str">
            <v>Hyderabad</v>
          </cell>
          <cell r="S1193" t="str">
            <v>Tablet</v>
          </cell>
          <cell r="T1193" t="str">
            <v>analytics for data</v>
          </cell>
        </row>
        <row r="1194">
          <cell r="A1194" t="str">
            <v>A2192</v>
          </cell>
          <cell r="B1194" t="str">
            <v>Data Analytics Course</v>
          </cell>
          <cell r="C1194">
            <v>86</v>
          </cell>
          <cell r="D1194">
            <v>86</v>
          </cell>
          <cell r="E1194">
            <v>5238</v>
          </cell>
          <cell r="F1194">
            <v>5238</v>
          </cell>
          <cell r="G1194" t="str">
            <v>$217.28</v>
          </cell>
          <cell r="H1194" t="str">
            <v>$217.28</v>
          </cell>
          <cell r="I1194">
            <v>13</v>
          </cell>
          <cell r="J1194">
            <v>13</v>
          </cell>
          <cell r="K1194">
            <v>3</v>
          </cell>
          <cell r="L1194">
            <v>3</v>
          </cell>
          <cell r="M1194">
            <v>3.4883720930232558E-2</v>
          </cell>
          <cell r="O1194" t="str">
            <v>$1610</v>
          </cell>
          <cell r="P1194" t="str">
            <v>$1610</v>
          </cell>
          <cell r="Q1194">
            <v>45618</v>
          </cell>
          <cell r="R1194" t="str">
            <v>Hyderabad</v>
          </cell>
          <cell r="S1194" t="str">
            <v>Desktop</v>
          </cell>
          <cell r="T1194" t="str">
            <v>data analytics online</v>
          </cell>
        </row>
        <row r="1195">
          <cell r="A1195" t="str">
            <v>A2193</v>
          </cell>
          <cell r="B1195" t="str">
            <v>Data Analytics Course</v>
          </cell>
          <cell r="C1195">
            <v>115</v>
          </cell>
          <cell r="D1195">
            <v>115</v>
          </cell>
          <cell r="E1195">
            <v>5116</v>
          </cell>
          <cell r="F1195">
            <v>5116</v>
          </cell>
          <cell r="G1195" t="str">
            <v>$227.76</v>
          </cell>
          <cell r="H1195" t="str">
            <v>$227.76</v>
          </cell>
          <cell r="I1195">
            <v>24</v>
          </cell>
          <cell r="J1195">
            <v>24</v>
          </cell>
          <cell r="K1195">
            <v>3</v>
          </cell>
          <cell r="L1195">
            <v>3</v>
          </cell>
          <cell r="M1195">
            <v>2.6086956521739129E-2</v>
          </cell>
          <cell r="N1195">
            <v>4.1000000000000002E-2</v>
          </cell>
          <cell r="O1195" t="str">
            <v>$1748</v>
          </cell>
          <cell r="P1195" t="str">
            <v>$1748</v>
          </cell>
          <cell r="Q1195">
            <v>45611</v>
          </cell>
          <cell r="R1195" t="str">
            <v>Hyderabad</v>
          </cell>
          <cell r="S1195" t="str">
            <v>Desktop</v>
          </cell>
          <cell r="T1195" t="str">
            <v>learn data analytics</v>
          </cell>
        </row>
        <row r="1196">
          <cell r="A1196" t="str">
            <v>A2194</v>
          </cell>
          <cell r="B1196" t="str">
            <v>Data Analytics Course</v>
          </cell>
          <cell r="C1196">
            <v>83</v>
          </cell>
          <cell r="D1196">
            <v>83</v>
          </cell>
          <cell r="E1196">
            <v>4476</v>
          </cell>
          <cell r="F1196">
            <v>4476</v>
          </cell>
          <cell r="G1196" t="str">
            <v>$204.88</v>
          </cell>
          <cell r="H1196" t="str">
            <v>$204.88</v>
          </cell>
          <cell r="I1196">
            <v>27</v>
          </cell>
          <cell r="J1196">
            <v>27</v>
          </cell>
          <cell r="K1196">
            <v>8</v>
          </cell>
          <cell r="L1196">
            <v>8</v>
          </cell>
          <cell r="M1196">
            <v>9.6385542168674704E-2</v>
          </cell>
          <cell r="O1196" t="str">
            <v>$1359</v>
          </cell>
          <cell r="P1196" t="str">
            <v>$1359</v>
          </cell>
          <cell r="Q1196">
            <v>45598</v>
          </cell>
          <cell r="R1196" t="str">
            <v>Chennai</v>
          </cell>
          <cell r="S1196" t="str">
            <v>Tablet</v>
          </cell>
          <cell r="T1196" t="str">
            <v>online data analytic</v>
          </cell>
        </row>
        <row r="1197">
          <cell r="A1197" t="str">
            <v>A2195</v>
          </cell>
          <cell r="B1197" t="str">
            <v>Data Analytics Course</v>
          </cell>
          <cell r="C1197">
            <v>178</v>
          </cell>
          <cell r="D1197">
            <v>178</v>
          </cell>
          <cell r="E1197">
            <v>3461</v>
          </cell>
          <cell r="F1197">
            <v>3461</v>
          </cell>
          <cell r="G1197" t="str">
            <v>$238.96</v>
          </cell>
          <cell r="H1197" t="str">
            <v>$238.96</v>
          </cell>
          <cell r="I1197">
            <v>16</v>
          </cell>
          <cell r="J1197">
            <v>16</v>
          </cell>
          <cell r="K1197">
            <v>5</v>
          </cell>
          <cell r="L1197">
            <v>5</v>
          </cell>
          <cell r="M1197">
            <v>2.8089887640449437E-2</v>
          </cell>
          <cell r="N1197">
            <v>2.8000000000000001E-2</v>
          </cell>
          <cell r="O1197" t="str">
            <v>$1321</v>
          </cell>
          <cell r="P1197" t="str">
            <v>$1321</v>
          </cell>
          <cell r="Q1197">
            <v>45612</v>
          </cell>
          <cell r="R1197" t="str">
            <v>Hyderabad</v>
          </cell>
          <cell r="S1197" t="str">
            <v>Mobile</v>
          </cell>
          <cell r="T1197" t="str">
            <v>learn data analytics</v>
          </cell>
        </row>
        <row r="1198">
          <cell r="A1198" t="str">
            <v>A2196</v>
          </cell>
          <cell r="B1198" t="str">
            <v>Data Analytics Course</v>
          </cell>
          <cell r="C1198">
            <v>148</v>
          </cell>
          <cell r="D1198">
            <v>148</v>
          </cell>
          <cell r="E1198">
            <v>5080</v>
          </cell>
          <cell r="F1198">
            <v>5080</v>
          </cell>
          <cell r="G1198" t="str">
            <v>$191.92</v>
          </cell>
          <cell r="H1198" t="str">
            <v>$191.92</v>
          </cell>
          <cell r="I1198">
            <v>12</v>
          </cell>
          <cell r="J1198">
            <v>12</v>
          </cell>
          <cell r="K1198">
            <v>6</v>
          </cell>
          <cell r="L1198">
            <v>6</v>
          </cell>
          <cell r="M1198">
            <v>4.0540540540540543E-2</v>
          </cell>
          <cell r="N1198">
            <v>5.8000000000000003E-2</v>
          </cell>
          <cell r="O1198" t="str">
            <v>$1070</v>
          </cell>
          <cell r="P1198" t="str">
            <v>$1070</v>
          </cell>
          <cell r="Q1198">
            <v>45613</v>
          </cell>
          <cell r="R1198" t="str">
            <v>Chennai</v>
          </cell>
          <cell r="S1198" t="str">
            <v>Tablet</v>
          </cell>
          <cell r="T1198" t="str">
            <v>data analytics course</v>
          </cell>
        </row>
        <row r="1199">
          <cell r="A1199" t="str">
            <v>A2197</v>
          </cell>
          <cell r="B1199" t="str">
            <v>Data Analytcis Course</v>
          </cell>
          <cell r="C1199">
            <v>138.95699356913184</v>
          </cell>
          <cell r="E1199">
            <v>3334</v>
          </cell>
          <cell r="F1199">
            <v>3334</v>
          </cell>
          <cell r="G1199" t="str">
            <v>$223.21</v>
          </cell>
          <cell r="H1199" t="str">
            <v>$223.21</v>
          </cell>
          <cell r="I1199">
            <v>14</v>
          </cell>
          <cell r="J1199">
            <v>14</v>
          </cell>
          <cell r="K1199">
            <v>10</v>
          </cell>
          <cell r="L1199">
            <v>10</v>
          </cell>
          <cell r="M1199">
            <v>7.1964711837443046E-2</v>
          </cell>
          <cell r="N1199">
            <v>4.8000000000000001E-2</v>
          </cell>
          <cell r="O1199" t="str">
            <v>$1317</v>
          </cell>
          <cell r="P1199" t="str">
            <v>$1317</v>
          </cell>
          <cell r="Q1199">
            <v>45599</v>
          </cell>
          <cell r="R1199" t="str">
            <v>Bangaluru</v>
          </cell>
          <cell r="S1199" t="str">
            <v>Tablet</v>
          </cell>
          <cell r="T1199" t="str">
            <v>data analytics course</v>
          </cell>
        </row>
        <row r="1200">
          <cell r="A1200" t="str">
            <v>A2198</v>
          </cell>
          <cell r="B1200" t="str">
            <v>Data Analytics Course</v>
          </cell>
          <cell r="C1200">
            <v>101</v>
          </cell>
          <cell r="D1200">
            <v>101</v>
          </cell>
          <cell r="E1200">
            <v>5166</v>
          </cell>
          <cell r="F1200">
            <v>5166</v>
          </cell>
          <cell r="G1200" t="str">
            <v>$203.74</v>
          </cell>
          <cell r="H1200" t="str">
            <v>$203.74</v>
          </cell>
          <cell r="I1200">
            <v>30</v>
          </cell>
          <cell r="J1200">
            <v>30</v>
          </cell>
          <cell r="K1200">
            <v>5</v>
          </cell>
          <cell r="L1200">
            <v>5</v>
          </cell>
          <cell r="M1200">
            <v>4.9504950495049507E-2</v>
          </cell>
          <cell r="N1200">
            <v>0.05</v>
          </cell>
          <cell r="O1200" t="str">
            <v>$1763</v>
          </cell>
          <cell r="P1200" t="str">
            <v>$1763</v>
          </cell>
          <cell r="Q1200">
            <v>45609</v>
          </cell>
          <cell r="R1200" t="str">
            <v>Hyderabad</v>
          </cell>
          <cell r="S1200" t="str">
            <v>Desktop</v>
          </cell>
          <cell r="T1200" t="str">
            <v>data analytics training</v>
          </cell>
        </row>
        <row r="1201">
          <cell r="A1201" t="str">
            <v>A2199</v>
          </cell>
          <cell r="B1201" t="str">
            <v>Data Analytics Course</v>
          </cell>
          <cell r="C1201">
            <v>113</v>
          </cell>
          <cell r="D1201">
            <v>113</v>
          </cell>
          <cell r="E1201">
            <v>5642</v>
          </cell>
          <cell r="F1201">
            <v>5642</v>
          </cell>
          <cell r="G1201" t="str">
            <v>$245.69</v>
          </cell>
          <cell r="H1201" t="str">
            <v>$245.69</v>
          </cell>
          <cell r="I1201">
            <v>19</v>
          </cell>
          <cell r="J1201">
            <v>19</v>
          </cell>
          <cell r="K1201">
            <v>7</v>
          </cell>
          <cell r="L1201">
            <v>7</v>
          </cell>
          <cell r="M1201">
            <v>6.1946902654867256E-2</v>
          </cell>
          <cell r="N1201">
            <v>6.2E-2</v>
          </cell>
          <cell r="O1201" t="str">
            <v>$1366</v>
          </cell>
          <cell r="P1201" t="str">
            <v>$1366</v>
          </cell>
          <cell r="Q1201">
            <v>45616</v>
          </cell>
          <cell r="R1201" t="str">
            <v>Bangaluru</v>
          </cell>
          <cell r="S1201" t="str">
            <v>Mobile</v>
          </cell>
          <cell r="T1201" t="str">
            <v>data analytics training</v>
          </cell>
        </row>
        <row r="1202">
          <cell r="A1202" t="str">
            <v>A2200</v>
          </cell>
          <cell r="B1202" t="str">
            <v>Data Analytics Course</v>
          </cell>
          <cell r="C1202">
            <v>97</v>
          </cell>
          <cell r="D1202">
            <v>97</v>
          </cell>
          <cell r="E1202">
            <v>5552</v>
          </cell>
          <cell r="F1202">
            <v>5552</v>
          </cell>
          <cell r="G1202" t="str">
            <v>$228.97</v>
          </cell>
          <cell r="H1202" t="str">
            <v>$228.97</v>
          </cell>
          <cell r="I1202">
            <v>14</v>
          </cell>
          <cell r="J1202">
            <v>14</v>
          </cell>
          <cell r="K1202">
            <v>6</v>
          </cell>
          <cell r="L1202">
            <v>6</v>
          </cell>
          <cell r="M1202">
            <v>6.1855670103092786E-2</v>
          </cell>
          <cell r="N1202">
            <v>6.2E-2</v>
          </cell>
          <cell r="O1202" t="str">
            <v>$1304</v>
          </cell>
          <cell r="P1202" t="str">
            <v>$1304</v>
          </cell>
          <cell r="Q1202">
            <v>45603</v>
          </cell>
          <cell r="R1202" t="str">
            <v>Hyderabad</v>
          </cell>
          <cell r="S1202" t="str">
            <v>Desktop</v>
          </cell>
          <cell r="T1202" t="str">
            <v>analytics for data</v>
          </cell>
        </row>
        <row r="1203">
          <cell r="A1203" t="str">
            <v>A2201</v>
          </cell>
          <cell r="B1203" t="str">
            <v>Data Analytcis Course</v>
          </cell>
          <cell r="C1203">
            <v>155</v>
          </cell>
          <cell r="D1203">
            <v>155</v>
          </cell>
          <cell r="E1203">
            <v>3662</v>
          </cell>
          <cell r="F1203">
            <v>3662</v>
          </cell>
          <cell r="G1203" t="str">
            <v>$208.16</v>
          </cell>
          <cell r="H1203" t="str">
            <v>$208.16</v>
          </cell>
          <cell r="I1203">
            <v>23</v>
          </cell>
          <cell r="J1203">
            <v>23</v>
          </cell>
          <cell r="K1203">
            <v>4</v>
          </cell>
          <cell r="L1203">
            <v>4</v>
          </cell>
          <cell r="M1203">
            <v>2.5806451612903226E-2</v>
          </cell>
          <cell r="N1203">
            <v>2.5999999999999999E-2</v>
          </cell>
          <cell r="O1203" t="str">
            <v>$1913</v>
          </cell>
          <cell r="P1203" t="str">
            <v>$1913</v>
          </cell>
          <cell r="Q1203">
            <v>45623</v>
          </cell>
          <cell r="R1203" t="str">
            <v>Hyderabad</v>
          </cell>
          <cell r="S1203" t="str">
            <v>Desktop</v>
          </cell>
          <cell r="T1203" t="str">
            <v>online data analytic</v>
          </cell>
        </row>
        <row r="1204">
          <cell r="A1204" t="str">
            <v>A2202</v>
          </cell>
          <cell r="B1204" t="str">
            <v>Data Analytics Course</v>
          </cell>
          <cell r="C1204">
            <v>109</v>
          </cell>
          <cell r="D1204">
            <v>109</v>
          </cell>
          <cell r="E1204">
            <v>5187</v>
          </cell>
          <cell r="F1204">
            <v>5187</v>
          </cell>
          <cell r="G1204" t="str">
            <v>$222.69</v>
          </cell>
          <cell r="H1204" t="str">
            <v>$222.69</v>
          </cell>
          <cell r="I1204">
            <v>17</v>
          </cell>
          <cell r="J1204">
            <v>17</v>
          </cell>
          <cell r="K1204">
            <v>7</v>
          </cell>
          <cell r="L1204">
            <v>7</v>
          </cell>
          <cell r="M1204">
            <v>6.4220183486238536E-2</v>
          </cell>
          <cell r="O1204" t="str">
            <v>$1690</v>
          </cell>
          <cell r="P1204" t="str">
            <v>$1690</v>
          </cell>
          <cell r="Q1204">
            <v>45619</v>
          </cell>
          <cell r="R1204" t="str">
            <v>Bangaluru</v>
          </cell>
          <cell r="S1204" t="str">
            <v>Tablet</v>
          </cell>
          <cell r="T1204" t="str">
            <v>learn data analytics</v>
          </cell>
        </row>
        <row r="1205">
          <cell r="A1205" t="str">
            <v>A2203</v>
          </cell>
          <cell r="B1205" t="str">
            <v>Data Analytics Course</v>
          </cell>
          <cell r="C1205">
            <v>181</v>
          </cell>
          <cell r="D1205">
            <v>181</v>
          </cell>
          <cell r="E1205">
            <v>3647</v>
          </cell>
          <cell r="F1205">
            <v>3647</v>
          </cell>
          <cell r="G1205" t="str">
            <v>$227.37</v>
          </cell>
          <cell r="H1205" t="str">
            <v>$227.37</v>
          </cell>
          <cell r="I1205">
            <v>30</v>
          </cell>
          <cell r="J1205">
            <v>30</v>
          </cell>
          <cell r="K1205">
            <v>6</v>
          </cell>
          <cell r="L1205">
            <v>6</v>
          </cell>
          <cell r="M1205">
            <v>3.3149171270718231E-2</v>
          </cell>
          <cell r="N1205">
            <v>3.3000000000000002E-2</v>
          </cell>
          <cell r="O1205" t="str">
            <v>$1412</v>
          </cell>
          <cell r="P1205" t="str">
            <v>$1412</v>
          </cell>
          <cell r="Q1205">
            <v>45626</v>
          </cell>
          <cell r="R1205" t="str">
            <v>Hyderabad</v>
          </cell>
          <cell r="S1205" t="str">
            <v>Desktop</v>
          </cell>
          <cell r="T1205" t="str">
            <v>data analytics course</v>
          </cell>
        </row>
        <row r="1206">
          <cell r="A1206" t="str">
            <v>A2204</v>
          </cell>
          <cell r="B1206" t="str">
            <v>Data Analytics Course</v>
          </cell>
          <cell r="C1206">
            <v>131</v>
          </cell>
          <cell r="D1206">
            <v>131</v>
          </cell>
          <cell r="E1206">
            <v>3626</v>
          </cell>
          <cell r="F1206">
            <v>3626</v>
          </cell>
          <cell r="G1206" t="str">
            <v>$193.68</v>
          </cell>
          <cell r="H1206" t="str">
            <v>$193.68</v>
          </cell>
          <cell r="I1206">
            <v>27</v>
          </cell>
          <cell r="J1206">
            <v>27</v>
          </cell>
          <cell r="K1206">
            <v>3</v>
          </cell>
          <cell r="L1206">
            <v>3</v>
          </cell>
          <cell r="M1206">
            <v>2.2900763358778626E-2</v>
          </cell>
          <cell r="N1206">
            <v>0.05</v>
          </cell>
          <cell r="O1206" t="str">
            <v>$1500</v>
          </cell>
          <cell r="Q1206">
            <v>45621</v>
          </cell>
          <cell r="R1206" t="str">
            <v>Bangaluru</v>
          </cell>
          <cell r="S1206" t="str">
            <v>Tablet</v>
          </cell>
          <cell r="T1206" t="str">
            <v>data analytics online</v>
          </cell>
        </row>
        <row r="1207">
          <cell r="A1207" t="str">
            <v>A2205</v>
          </cell>
          <cell r="B1207" t="str">
            <v>Data Analytics Course</v>
          </cell>
          <cell r="C1207">
            <v>138.95699356913184</v>
          </cell>
          <cell r="E1207">
            <v>5650</v>
          </cell>
          <cell r="F1207">
            <v>5650</v>
          </cell>
          <cell r="G1207" t="str">
            <v>$225.22</v>
          </cell>
          <cell r="H1207" t="str">
            <v>$225.22</v>
          </cell>
          <cell r="I1207">
            <v>26</v>
          </cell>
          <cell r="J1207">
            <v>26</v>
          </cell>
          <cell r="K1207">
            <v>3</v>
          </cell>
          <cell r="L1207">
            <v>3</v>
          </cell>
          <cell r="M1207">
            <v>2.1589413551232915E-2</v>
          </cell>
          <cell r="O1207" t="str">
            <v>$1774</v>
          </cell>
          <cell r="P1207" t="str">
            <v>$1774</v>
          </cell>
          <cell r="Q1207">
            <v>45598</v>
          </cell>
          <cell r="R1207" t="str">
            <v>Hyderabad</v>
          </cell>
          <cell r="S1207" t="str">
            <v>Desktop</v>
          </cell>
          <cell r="T1207" t="str">
            <v>online data analytic</v>
          </cell>
        </row>
        <row r="1208">
          <cell r="A1208" t="str">
            <v>A2206</v>
          </cell>
          <cell r="B1208" t="str">
            <v>Data Analytcis Course</v>
          </cell>
          <cell r="C1208">
            <v>109</v>
          </cell>
          <cell r="D1208">
            <v>109</v>
          </cell>
          <cell r="E1208">
            <v>5219</v>
          </cell>
          <cell r="F1208">
            <v>5219</v>
          </cell>
          <cell r="G1208" t="str">
            <v>$215.76</v>
          </cell>
          <cell r="H1208" t="str">
            <v>$215.76</v>
          </cell>
          <cell r="I1208">
            <v>15</v>
          </cell>
          <cell r="J1208">
            <v>15</v>
          </cell>
          <cell r="K1208">
            <v>3</v>
          </cell>
          <cell r="L1208">
            <v>3</v>
          </cell>
          <cell r="M1208">
            <v>2.7522935779816515E-2</v>
          </cell>
          <cell r="N1208">
            <v>2.8000000000000001E-2</v>
          </cell>
          <cell r="O1208" t="str">
            <v>$1408</v>
          </cell>
          <cell r="P1208" t="str">
            <v>$1408</v>
          </cell>
          <cell r="Q1208">
            <v>45614</v>
          </cell>
          <cell r="R1208" t="str">
            <v>Hyderabad</v>
          </cell>
          <cell r="S1208" t="str">
            <v>Tablet</v>
          </cell>
          <cell r="T1208" t="str">
            <v>learn data analytics</v>
          </cell>
        </row>
        <row r="1209">
          <cell r="A1209" t="str">
            <v>A2207</v>
          </cell>
          <cell r="B1209" t="str">
            <v>Data Analytics Course</v>
          </cell>
          <cell r="C1209">
            <v>191</v>
          </cell>
          <cell r="D1209">
            <v>191</v>
          </cell>
          <cell r="E1209">
            <v>3333</v>
          </cell>
          <cell r="F1209">
            <v>3333</v>
          </cell>
          <cell r="G1209" t="str">
            <v>$187.71</v>
          </cell>
          <cell r="H1209" t="str">
            <v>$187.71</v>
          </cell>
          <cell r="I1209">
            <v>13</v>
          </cell>
          <cell r="J1209">
            <v>13</v>
          </cell>
          <cell r="K1209">
            <v>5</v>
          </cell>
          <cell r="L1209">
            <v>5</v>
          </cell>
          <cell r="M1209">
            <v>2.6178010471204188E-2</v>
          </cell>
          <cell r="N1209">
            <v>2.5999999999999999E-2</v>
          </cell>
          <cell r="O1209" t="str">
            <v>$1360</v>
          </cell>
          <cell r="P1209" t="str">
            <v>$1360</v>
          </cell>
          <cell r="Q1209">
            <v>45622</v>
          </cell>
          <cell r="R1209" t="str">
            <v>Hyderabad</v>
          </cell>
          <cell r="S1209" t="str">
            <v>Desktop</v>
          </cell>
          <cell r="T1209" t="str">
            <v>learn data analytics</v>
          </cell>
        </row>
        <row r="1210">
          <cell r="A1210" t="str">
            <v>A2208</v>
          </cell>
          <cell r="B1210" t="str">
            <v>Data Analytics Course</v>
          </cell>
          <cell r="C1210">
            <v>101</v>
          </cell>
          <cell r="D1210">
            <v>101</v>
          </cell>
          <cell r="E1210">
            <v>4435</v>
          </cell>
          <cell r="F1210">
            <v>4435</v>
          </cell>
          <cell r="G1210" t="str">
            <v>$222.49</v>
          </cell>
          <cell r="H1210" t="str">
            <v>$222.49</v>
          </cell>
          <cell r="I1210">
            <v>11</v>
          </cell>
          <cell r="J1210">
            <v>11</v>
          </cell>
          <cell r="K1210">
            <v>10</v>
          </cell>
          <cell r="L1210">
            <v>10</v>
          </cell>
          <cell r="M1210">
            <v>9.9009900990099015E-2</v>
          </cell>
          <cell r="N1210">
            <v>9.9000000000000005E-2</v>
          </cell>
          <cell r="O1210" t="str">
            <v>$1277</v>
          </cell>
          <cell r="P1210" t="str">
            <v>$1277</v>
          </cell>
          <cell r="Q1210">
            <v>45617</v>
          </cell>
          <cell r="R1210" t="str">
            <v>Chennai</v>
          </cell>
          <cell r="S1210" t="str">
            <v>Mobile</v>
          </cell>
          <cell r="T1210" t="str">
            <v>data analytics training</v>
          </cell>
        </row>
        <row r="1211">
          <cell r="A1211" t="str">
            <v>A2209</v>
          </cell>
          <cell r="B1211" t="str">
            <v>Data Analytcis Course</v>
          </cell>
          <cell r="C1211">
            <v>152</v>
          </cell>
          <cell r="D1211">
            <v>152</v>
          </cell>
          <cell r="E1211">
            <v>5204</v>
          </cell>
          <cell r="F1211">
            <v>5204</v>
          </cell>
          <cell r="G1211" t="str">
            <v>$210.28</v>
          </cell>
          <cell r="H1211" t="str">
            <v>$210.28</v>
          </cell>
          <cell r="I1211">
            <v>11</v>
          </cell>
          <cell r="J1211">
            <v>11</v>
          </cell>
          <cell r="K1211">
            <v>7</v>
          </cell>
          <cell r="L1211">
            <v>7</v>
          </cell>
          <cell r="M1211">
            <v>4.6052631578947366E-2</v>
          </cell>
          <cell r="N1211">
            <v>4.5999999999999999E-2</v>
          </cell>
          <cell r="O1211" t="str">
            <v>$1500</v>
          </cell>
          <cell r="Q1211">
            <v>45619</v>
          </cell>
          <cell r="R1211" t="str">
            <v>Bangaluru</v>
          </cell>
          <cell r="S1211" t="str">
            <v>Mobile</v>
          </cell>
          <cell r="T1211" t="str">
            <v>online data analytic</v>
          </cell>
        </row>
        <row r="1212">
          <cell r="A1212" t="str">
            <v>A2210</v>
          </cell>
          <cell r="B1212" t="str">
            <v>Data Analytcis Course</v>
          </cell>
          <cell r="C1212">
            <v>164</v>
          </cell>
          <cell r="D1212">
            <v>164</v>
          </cell>
          <cell r="E1212">
            <v>3856</v>
          </cell>
          <cell r="F1212">
            <v>3856</v>
          </cell>
          <cell r="G1212" t="str">
            <v>$241.65</v>
          </cell>
          <cell r="H1212" t="str">
            <v>$241.65</v>
          </cell>
          <cell r="I1212">
            <v>27</v>
          </cell>
          <cell r="J1212">
            <v>27</v>
          </cell>
          <cell r="K1212">
            <v>4</v>
          </cell>
          <cell r="L1212">
            <v>4</v>
          </cell>
          <cell r="M1212">
            <v>2.4390243902439025E-2</v>
          </cell>
          <cell r="N1212">
            <v>2.4E-2</v>
          </cell>
          <cell r="O1212" t="str">
            <v>$1786</v>
          </cell>
          <cell r="P1212" t="str">
            <v>$1786</v>
          </cell>
          <cell r="Q1212">
            <v>45617</v>
          </cell>
          <cell r="R1212" t="str">
            <v>Chennai</v>
          </cell>
          <cell r="S1212" t="str">
            <v>Desktop</v>
          </cell>
          <cell r="T1212" t="str">
            <v>data analytics training</v>
          </cell>
        </row>
        <row r="1213">
          <cell r="A1213" t="str">
            <v>A2211</v>
          </cell>
          <cell r="B1213" t="str">
            <v>Data Analytcis Course</v>
          </cell>
          <cell r="C1213">
            <v>83</v>
          </cell>
          <cell r="D1213">
            <v>83</v>
          </cell>
          <cell r="E1213">
            <v>4143</v>
          </cell>
          <cell r="F1213">
            <v>4143</v>
          </cell>
          <cell r="G1213" t="str">
            <v>$203.11</v>
          </cell>
          <cell r="H1213" t="str">
            <v>$203.11</v>
          </cell>
          <cell r="I1213">
            <v>23</v>
          </cell>
          <cell r="J1213">
            <v>23</v>
          </cell>
          <cell r="K1213">
            <v>10</v>
          </cell>
          <cell r="L1213">
            <v>10</v>
          </cell>
          <cell r="M1213">
            <v>0.12048192771084337</v>
          </cell>
          <cell r="O1213" t="str">
            <v>$1517</v>
          </cell>
          <cell r="P1213" t="str">
            <v>$1517</v>
          </cell>
          <cell r="Q1213">
            <v>45622</v>
          </cell>
          <cell r="R1213" t="str">
            <v>Chennai</v>
          </cell>
          <cell r="S1213" t="str">
            <v>Mobile</v>
          </cell>
          <cell r="T1213" t="str">
            <v>learn data analytics</v>
          </cell>
        </row>
        <row r="1214">
          <cell r="A1214" t="str">
            <v>A2212</v>
          </cell>
          <cell r="B1214" t="str">
            <v>Data Analytics Course</v>
          </cell>
          <cell r="C1214">
            <v>199</v>
          </cell>
          <cell r="D1214">
            <v>199</v>
          </cell>
          <cell r="E1214">
            <v>5895</v>
          </cell>
          <cell r="F1214">
            <v>5895</v>
          </cell>
          <cell r="G1214" t="str">
            <v>$239.59</v>
          </cell>
          <cell r="H1214" t="str">
            <v>$239.59</v>
          </cell>
          <cell r="I1214">
            <v>21</v>
          </cell>
          <cell r="J1214">
            <v>21</v>
          </cell>
          <cell r="K1214">
            <v>4</v>
          </cell>
          <cell r="L1214">
            <v>4</v>
          </cell>
          <cell r="M1214">
            <v>2.0100502512562814E-2</v>
          </cell>
          <cell r="N1214">
            <v>0.02</v>
          </cell>
          <cell r="O1214" t="str">
            <v>$1592</v>
          </cell>
          <cell r="P1214" t="str">
            <v>$1592</v>
          </cell>
          <cell r="Q1214">
            <v>45626</v>
          </cell>
          <cell r="R1214" t="str">
            <v>Bangaluru</v>
          </cell>
          <cell r="S1214" t="str">
            <v>Mobile</v>
          </cell>
          <cell r="T1214" t="str">
            <v>data analytics training</v>
          </cell>
        </row>
        <row r="1215">
          <cell r="A1215" t="str">
            <v>A2213</v>
          </cell>
          <cell r="B1215" t="str">
            <v>Data Analytics Course</v>
          </cell>
          <cell r="C1215">
            <v>141</v>
          </cell>
          <cell r="D1215">
            <v>141</v>
          </cell>
          <cell r="E1215">
            <v>4039</v>
          </cell>
          <cell r="F1215">
            <v>4039</v>
          </cell>
          <cell r="G1215" t="str">
            <v>$205.8</v>
          </cell>
          <cell r="H1215" t="str">
            <v>$205.8</v>
          </cell>
          <cell r="I1215">
            <v>28</v>
          </cell>
          <cell r="J1215">
            <v>28</v>
          </cell>
          <cell r="K1215">
            <v>6</v>
          </cell>
          <cell r="L1215">
            <v>6</v>
          </cell>
          <cell r="M1215">
            <v>4.2553191489361701E-2</v>
          </cell>
          <cell r="O1215" t="str">
            <v>$1220</v>
          </cell>
          <cell r="P1215" t="str">
            <v>$1220</v>
          </cell>
          <cell r="Q1215">
            <v>45604</v>
          </cell>
          <cell r="R1215" t="str">
            <v>Hyderabad</v>
          </cell>
          <cell r="S1215" t="str">
            <v>Desktop</v>
          </cell>
          <cell r="T1215" t="str">
            <v>data analytics online</v>
          </cell>
        </row>
        <row r="1216">
          <cell r="A1216" t="str">
            <v>A2214</v>
          </cell>
          <cell r="B1216" t="str">
            <v>Data Analytcis Course</v>
          </cell>
          <cell r="C1216">
            <v>131</v>
          </cell>
          <cell r="D1216">
            <v>131</v>
          </cell>
          <cell r="E1216">
            <v>4773</v>
          </cell>
          <cell r="F1216">
            <v>4773</v>
          </cell>
          <cell r="G1216" t="str">
            <v>$215.36</v>
          </cell>
          <cell r="H1216" t="str">
            <v>$215.36</v>
          </cell>
          <cell r="I1216">
            <v>26</v>
          </cell>
          <cell r="J1216">
            <v>26</v>
          </cell>
          <cell r="K1216">
            <v>7</v>
          </cell>
          <cell r="L1216">
            <v>7</v>
          </cell>
          <cell r="M1216">
            <v>5.3435114503816793E-2</v>
          </cell>
          <cell r="N1216">
            <v>5.2999999999999999E-2</v>
          </cell>
          <cell r="O1216" t="str">
            <v>$1363</v>
          </cell>
          <cell r="P1216" t="str">
            <v>$1363</v>
          </cell>
          <cell r="Q1216">
            <v>45604</v>
          </cell>
          <cell r="R1216" t="str">
            <v>Chennai</v>
          </cell>
          <cell r="S1216" t="str">
            <v>Tablet</v>
          </cell>
          <cell r="T1216" t="str">
            <v>data analytics online</v>
          </cell>
        </row>
        <row r="1217">
          <cell r="A1217" t="str">
            <v>A2215</v>
          </cell>
          <cell r="B1217" t="str">
            <v>Data Analytics Course</v>
          </cell>
          <cell r="C1217">
            <v>138.95699356913184</v>
          </cell>
          <cell r="E1217">
            <v>5360</v>
          </cell>
          <cell r="F1217">
            <v>5360</v>
          </cell>
          <cell r="G1217" t="str">
            <v>$229.38</v>
          </cell>
          <cell r="H1217" t="str">
            <v>$229.38</v>
          </cell>
          <cell r="I1217">
            <v>30</v>
          </cell>
          <cell r="J1217">
            <v>30</v>
          </cell>
          <cell r="K1217">
            <v>7</v>
          </cell>
          <cell r="L1217">
            <v>7</v>
          </cell>
          <cell r="M1217">
            <v>5.0375298286210138E-2</v>
          </cell>
          <cell r="O1217" t="str">
            <v>$1896</v>
          </cell>
          <cell r="P1217" t="str">
            <v>$1896</v>
          </cell>
          <cell r="Q1217">
            <v>45615</v>
          </cell>
          <cell r="R1217" t="str">
            <v>Hyderabad</v>
          </cell>
          <cell r="S1217" t="str">
            <v>Tablet</v>
          </cell>
          <cell r="T1217" t="str">
            <v>learn data analytics</v>
          </cell>
        </row>
        <row r="1218">
          <cell r="A1218" t="str">
            <v>A2216</v>
          </cell>
          <cell r="B1218" t="str">
            <v>Data Analytics Course</v>
          </cell>
          <cell r="C1218">
            <v>164</v>
          </cell>
          <cell r="D1218">
            <v>164</v>
          </cell>
          <cell r="E1218">
            <v>5380</v>
          </cell>
          <cell r="F1218">
            <v>5380</v>
          </cell>
          <cell r="G1218" t="str">
            <v>$223.15</v>
          </cell>
          <cell r="H1218" t="str">
            <v>$223.15</v>
          </cell>
          <cell r="I1218">
            <v>13</v>
          </cell>
          <cell r="J1218">
            <v>13</v>
          </cell>
          <cell r="K1218">
            <v>5</v>
          </cell>
          <cell r="L1218">
            <v>5</v>
          </cell>
          <cell r="M1218">
            <v>3.048780487804878E-2</v>
          </cell>
          <cell r="N1218">
            <v>4.7E-2</v>
          </cell>
          <cell r="O1218" t="str">
            <v>$1661</v>
          </cell>
          <cell r="P1218" t="str">
            <v>$1661</v>
          </cell>
          <cell r="Q1218">
            <v>45619</v>
          </cell>
          <cell r="R1218" t="str">
            <v>Hyderabad</v>
          </cell>
          <cell r="S1218" t="str">
            <v>Desktop</v>
          </cell>
          <cell r="T1218" t="str">
            <v>analytics for data</v>
          </cell>
        </row>
        <row r="1219">
          <cell r="A1219" t="str">
            <v>A2217</v>
          </cell>
          <cell r="B1219" t="str">
            <v>Data Analytics Course</v>
          </cell>
          <cell r="C1219">
            <v>149</v>
          </cell>
          <cell r="D1219">
            <v>149</v>
          </cell>
          <cell r="E1219">
            <v>3323</v>
          </cell>
          <cell r="F1219">
            <v>3323</v>
          </cell>
          <cell r="G1219" t="str">
            <v>$197.76</v>
          </cell>
          <cell r="H1219" t="str">
            <v>$197.76</v>
          </cell>
          <cell r="I1219">
            <v>23</v>
          </cell>
          <cell r="J1219">
            <v>23</v>
          </cell>
          <cell r="K1219">
            <v>4</v>
          </cell>
          <cell r="L1219">
            <v>4</v>
          </cell>
          <cell r="M1219">
            <v>2.6845637583892617E-2</v>
          </cell>
          <cell r="N1219">
            <v>2.7E-2</v>
          </cell>
          <cell r="O1219" t="str">
            <v>$1181</v>
          </cell>
          <cell r="P1219" t="str">
            <v>$1181</v>
          </cell>
          <cell r="Q1219">
            <v>45613</v>
          </cell>
          <cell r="R1219" t="str">
            <v>Bangaluru</v>
          </cell>
          <cell r="S1219" t="str">
            <v>Mobile</v>
          </cell>
          <cell r="T1219" t="str">
            <v>data analytics online</v>
          </cell>
        </row>
        <row r="1220">
          <cell r="A1220" t="str">
            <v>A2218</v>
          </cell>
          <cell r="B1220" t="str">
            <v>Data Analytics Course</v>
          </cell>
          <cell r="C1220">
            <v>112</v>
          </cell>
          <cell r="D1220">
            <v>112</v>
          </cell>
          <cell r="E1220">
            <v>3870</v>
          </cell>
          <cell r="F1220">
            <v>3870</v>
          </cell>
          <cell r="G1220" t="str">
            <v>$215.05</v>
          </cell>
          <cell r="H1220" t="str">
            <v>$215.05</v>
          </cell>
          <cell r="I1220">
            <v>26</v>
          </cell>
          <cell r="J1220">
            <v>26</v>
          </cell>
          <cell r="K1220">
            <v>6</v>
          </cell>
          <cell r="L1220">
            <v>6</v>
          </cell>
          <cell r="M1220">
            <v>5.3571428571428568E-2</v>
          </cell>
          <cell r="N1220">
            <v>5.3999999999999999E-2</v>
          </cell>
          <cell r="O1220" t="str">
            <v>$1483</v>
          </cell>
          <cell r="P1220" t="str">
            <v>$1483</v>
          </cell>
          <cell r="Q1220">
            <v>45599</v>
          </cell>
          <cell r="R1220" t="str">
            <v>Hyderabad</v>
          </cell>
          <cell r="S1220" t="str">
            <v>Desktop</v>
          </cell>
          <cell r="T1220" t="str">
            <v>learn data analytics</v>
          </cell>
        </row>
        <row r="1221">
          <cell r="A1221" t="str">
            <v>A2219</v>
          </cell>
          <cell r="B1221" t="str">
            <v>Data Analytics Course</v>
          </cell>
          <cell r="C1221">
            <v>139</v>
          </cell>
          <cell r="D1221">
            <v>139</v>
          </cell>
          <cell r="E1221">
            <v>4486</v>
          </cell>
          <cell r="F1221">
            <v>4486</v>
          </cell>
          <cell r="G1221" t="str">
            <v>$205.46</v>
          </cell>
          <cell r="H1221" t="str">
            <v>$205.46</v>
          </cell>
          <cell r="I1221">
            <v>28</v>
          </cell>
          <cell r="J1221">
            <v>28</v>
          </cell>
          <cell r="K1221">
            <v>4</v>
          </cell>
          <cell r="L1221">
            <v>4</v>
          </cell>
          <cell r="M1221">
            <v>2.8776978417266189E-2</v>
          </cell>
          <cell r="N1221">
            <v>5.8000000000000003E-2</v>
          </cell>
          <cell r="O1221" t="str">
            <v>$1853</v>
          </cell>
          <cell r="P1221" t="str">
            <v>$1853</v>
          </cell>
          <cell r="Q1221">
            <v>45620</v>
          </cell>
          <cell r="R1221" t="str">
            <v>Bangaluru</v>
          </cell>
          <cell r="S1221" t="str">
            <v>Tablet</v>
          </cell>
          <cell r="T1221" t="str">
            <v>online data analytic</v>
          </cell>
        </row>
        <row r="1222">
          <cell r="A1222" t="str">
            <v>A2220</v>
          </cell>
          <cell r="B1222" t="str">
            <v>Data Analytics Course</v>
          </cell>
          <cell r="C1222">
            <v>105</v>
          </cell>
          <cell r="D1222">
            <v>105</v>
          </cell>
          <cell r="E1222">
            <v>3384</v>
          </cell>
          <cell r="F1222">
            <v>3384</v>
          </cell>
          <cell r="G1222" t="str">
            <v>$240.41</v>
          </cell>
          <cell r="H1222" t="str">
            <v>$240.41</v>
          </cell>
          <cell r="I1222">
            <v>26</v>
          </cell>
          <cell r="J1222">
            <v>26</v>
          </cell>
          <cell r="K1222">
            <v>8</v>
          </cell>
          <cell r="L1222">
            <v>8</v>
          </cell>
          <cell r="M1222">
            <v>7.6190476190476197E-2</v>
          </cell>
          <cell r="N1222">
            <v>5.7000000000000002E-2</v>
          </cell>
          <cell r="O1222" t="str">
            <v>$1399</v>
          </cell>
          <cell r="P1222" t="str">
            <v>$1399</v>
          </cell>
          <cell r="Q1222">
            <v>45599</v>
          </cell>
          <cell r="R1222" t="str">
            <v>Bangaluru</v>
          </cell>
          <cell r="S1222" t="str">
            <v>Desktop</v>
          </cell>
          <cell r="T1222" t="str">
            <v>data analytics online</v>
          </cell>
        </row>
        <row r="1223">
          <cell r="A1223" t="str">
            <v>A2221</v>
          </cell>
          <cell r="B1223" t="str">
            <v>Data Analytics Course</v>
          </cell>
          <cell r="C1223">
            <v>83</v>
          </cell>
          <cell r="D1223">
            <v>83</v>
          </cell>
          <cell r="E1223">
            <v>5066</v>
          </cell>
          <cell r="F1223">
            <v>5066</v>
          </cell>
          <cell r="G1223" t="str">
            <v>$236.91</v>
          </cell>
          <cell r="H1223" t="str">
            <v>$236.91</v>
          </cell>
          <cell r="I1223">
            <v>22</v>
          </cell>
          <cell r="J1223">
            <v>22</v>
          </cell>
          <cell r="K1223">
            <v>6.5225225225225225</v>
          </cell>
          <cell r="M1223">
            <v>7.8584608705090639E-2</v>
          </cell>
          <cell r="O1223" t="str">
            <v>$1500</v>
          </cell>
          <cell r="Q1223">
            <v>45617</v>
          </cell>
          <cell r="R1223" t="str">
            <v>Chennai</v>
          </cell>
          <cell r="S1223" t="str">
            <v>Desktop</v>
          </cell>
          <cell r="T1223" t="str">
            <v>learn data analytics</v>
          </cell>
        </row>
        <row r="1224">
          <cell r="A1224" t="str">
            <v>A2222</v>
          </cell>
          <cell r="B1224" t="str">
            <v>Data Analytcis Course</v>
          </cell>
          <cell r="C1224">
            <v>127</v>
          </cell>
          <cell r="D1224">
            <v>127</v>
          </cell>
          <cell r="E1224">
            <v>5947</v>
          </cell>
          <cell r="F1224">
            <v>5947</v>
          </cell>
          <cell r="G1224" t="str">
            <v>$209.67</v>
          </cell>
          <cell r="H1224" t="str">
            <v>$209.67</v>
          </cell>
          <cell r="I1224">
            <v>27</v>
          </cell>
          <cell r="J1224">
            <v>27</v>
          </cell>
          <cell r="K1224">
            <v>3</v>
          </cell>
          <cell r="L1224">
            <v>3</v>
          </cell>
          <cell r="M1224">
            <v>2.3622047244094488E-2</v>
          </cell>
          <cell r="N1224">
            <v>2.4E-2</v>
          </cell>
          <cell r="O1224" t="str">
            <v>$1155</v>
          </cell>
          <cell r="P1224" t="str">
            <v>$1155</v>
          </cell>
          <cell r="Q1224">
            <v>45624</v>
          </cell>
          <cell r="R1224" t="str">
            <v>Chennai</v>
          </cell>
          <cell r="S1224" t="str">
            <v>Desktop</v>
          </cell>
          <cell r="T1224" t="str">
            <v>learn data analytics</v>
          </cell>
        </row>
        <row r="1225">
          <cell r="A1225" t="str">
            <v>A2223</v>
          </cell>
          <cell r="B1225" t="str">
            <v>Data Analytcis Course</v>
          </cell>
          <cell r="C1225">
            <v>133</v>
          </cell>
          <cell r="D1225">
            <v>133</v>
          </cell>
          <cell r="E1225">
            <v>4286</v>
          </cell>
          <cell r="F1225">
            <v>4286</v>
          </cell>
          <cell r="G1225" t="str">
            <v>$216.16</v>
          </cell>
          <cell r="H1225" t="str">
            <v>$216.16</v>
          </cell>
          <cell r="I1225">
            <v>18</v>
          </cell>
          <cell r="J1225">
            <v>18</v>
          </cell>
          <cell r="K1225">
            <v>9</v>
          </cell>
          <cell r="L1225">
            <v>9</v>
          </cell>
          <cell r="M1225">
            <v>6.7669172932330823E-2</v>
          </cell>
          <cell r="N1225">
            <v>5.3999999999999999E-2</v>
          </cell>
          <cell r="O1225" t="str">
            <v>$1839</v>
          </cell>
          <cell r="P1225" t="str">
            <v>$1839</v>
          </cell>
          <cell r="Q1225">
            <v>45604</v>
          </cell>
          <cell r="R1225" t="str">
            <v>Chennai</v>
          </cell>
          <cell r="S1225" t="str">
            <v>Desktop</v>
          </cell>
          <cell r="T1225" t="str">
            <v>data analytics online</v>
          </cell>
        </row>
        <row r="1226">
          <cell r="A1226" t="str">
            <v>A2224</v>
          </cell>
          <cell r="B1226" t="str">
            <v>Data Analytics Course</v>
          </cell>
          <cell r="C1226">
            <v>197</v>
          </cell>
          <cell r="D1226">
            <v>197</v>
          </cell>
          <cell r="E1226">
            <v>5733</v>
          </cell>
          <cell r="F1226">
            <v>5733</v>
          </cell>
          <cell r="G1226" t="str">
            <v>$185.09</v>
          </cell>
          <cell r="H1226" t="str">
            <v>$185.09</v>
          </cell>
          <cell r="I1226">
            <v>14</v>
          </cell>
          <cell r="J1226">
            <v>14</v>
          </cell>
          <cell r="K1226">
            <v>5</v>
          </cell>
          <cell r="L1226">
            <v>5</v>
          </cell>
          <cell r="M1226">
            <v>2.5380710659898477E-2</v>
          </cell>
          <cell r="N1226">
            <v>2.5000000000000001E-2</v>
          </cell>
          <cell r="O1226" t="str">
            <v>$1295</v>
          </cell>
          <cell r="P1226" t="str">
            <v>$1295</v>
          </cell>
          <cell r="Q1226">
            <v>45601</v>
          </cell>
          <cell r="R1226" t="str">
            <v>Bangaluru</v>
          </cell>
          <cell r="S1226" t="str">
            <v>Tablet</v>
          </cell>
          <cell r="T1226" t="str">
            <v>data analytics training</v>
          </cell>
        </row>
        <row r="1227">
          <cell r="A1227" t="str">
            <v>A2225</v>
          </cell>
          <cell r="B1227" t="str">
            <v>Data Analytcis Course</v>
          </cell>
          <cell r="C1227">
            <v>125</v>
          </cell>
          <cell r="D1227">
            <v>125</v>
          </cell>
          <cell r="E1227">
            <v>5103</v>
          </cell>
          <cell r="F1227">
            <v>5103</v>
          </cell>
          <cell r="G1227" t="str">
            <v>$221.93</v>
          </cell>
          <cell r="H1227" t="str">
            <v>$221.93</v>
          </cell>
          <cell r="I1227">
            <v>30</v>
          </cell>
          <cell r="J1227">
            <v>30</v>
          </cell>
          <cell r="K1227">
            <v>7</v>
          </cell>
          <cell r="L1227">
            <v>7</v>
          </cell>
          <cell r="M1227">
            <v>5.6000000000000001E-2</v>
          </cell>
          <cell r="N1227">
            <v>5.1999999999999998E-2</v>
          </cell>
          <cell r="O1227" t="str">
            <v>$1398</v>
          </cell>
          <cell r="P1227" t="str">
            <v>$1398</v>
          </cell>
          <cell r="Q1227">
            <v>45604</v>
          </cell>
          <cell r="R1227" t="str">
            <v>Hyderabad</v>
          </cell>
          <cell r="S1227" t="str">
            <v>Tablet</v>
          </cell>
          <cell r="T1227" t="str">
            <v>analytics for data</v>
          </cell>
        </row>
        <row r="1228">
          <cell r="A1228" t="str">
            <v>A2226</v>
          </cell>
          <cell r="B1228" t="str">
            <v>Data Analytcis Course</v>
          </cell>
          <cell r="C1228">
            <v>147</v>
          </cell>
          <cell r="D1228">
            <v>147</v>
          </cell>
          <cell r="E1228">
            <v>5228</v>
          </cell>
          <cell r="F1228">
            <v>5228</v>
          </cell>
          <cell r="G1228" t="str">
            <v>$210.94</v>
          </cell>
          <cell r="H1228" t="str">
            <v>$210.94</v>
          </cell>
          <cell r="I1228">
            <v>12</v>
          </cell>
          <cell r="J1228">
            <v>12</v>
          </cell>
          <cell r="K1228">
            <v>9</v>
          </cell>
          <cell r="L1228">
            <v>9</v>
          </cell>
          <cell r="M1228">
            <v>6.1224489795918366E-2</v>
          </cell>
          <cell r="O1228" t="str">
            <v>$1784</v>
          </cell>
          <cell r="P1228" t="str">
            <v>$1784</v>
          </cell>
          <cell r="Q1228">
            <v>45624</v>
          </cell>
          <cell r="R1228" t="str">
            <v>Bangaluru</v>
          </cell>
          <cell r="S1228" t="str">
            <v>Desktop</v>
          </cell>
          <cell r="T1228" t="str">
            <v>data analytics training</v>
          </cell>
        </row>
        <row r="1229">
          <cell r="A1229" t="str">
            <v>A2227</v>
          </cell>
          <cell r="B1229" t="str">
            <v>Data Analytcis Course</v>
          </cell>
          <cell r="C1229">
            <v>153</v>
          </cell>
          <cell r="D1229">
            <v>153</v>
          </cell>
          <cell r="E1229">
            <v>3666</v>
          </cell>
          <cell r="F1229">
            <v>3666</v>
          </cell>
          <cell r="G1229" t="str">
            <v>$198.4</v>
          </cell>
          <cell r="H1229" t="str">
            <v>$198.4</v>
          </cell>
          <cell r="I1229">
            <v>16</v>
          </cell>
          <cell r="J1229">
            <v>16</v>
          </cell>
          <cell r="K1229">
            <v>4</v>
          </cell>
          <cell r="L1229">
            <v>4</v>
          </cell>
          <cell r="M1229">
            <v>2.6143790849673203E-2</v>
          </cell>
          <cell r="N1229">
            <v>2.5999999999999999E-2</v>
          </cell>
          <cell r="O1229" t="str">
            <v>$1820</v>
          </cell>
          <cell r="P1229" t="str">
            <v>$1820</v>
          </cell>
          <cell r="Q1229">
            <v>45616</v>
          </cell>
          <cell r="R1229" t="str">
            <v>Bangaluru</v>
          </cell>
          <cell r="S1229" t="str">
            <v>Mobile</v>
          </cell>
          <cell r="T1229" t="str">
            <v>learn data analytics</v>
          </cell>
        </row>
        <row r="1230">
          <cell r="A1230" t="str">
            <v>A2228</v>
          </cell>
          <cell r="B1230" t="str">
            <v>Data Analytics Course</v>
          </cell>
          <cell r="C1230">
            <v>196</v>
          </cell>
          <cell r="D1230">
            <v>196</v>
          </cell>
          <cell r="E1230">
            <v>3440</v>
          </cell>
          <cell r="F1230">
            <v>3440</v>
          </cell>
          <cell r="G1230" t="str">
            <v>$212.98</v>
          </cell>
          <cell r="H1230" t="str">
            <v>$212.98</v>
          </cell>
          <cell r="I1230">
            <v>15</v>
          </cell>
          <cell r="J1230">
            <v>15</v>
          </cell>
          <cell r="K1230">
            <v>5</v>
          </cell>
          <cell r="L1230">
            <v>5</v>
          </cell>
          <cell r="M1230">
            <v>2.5510204081632654E-2</v>
          </cell>
          <cell r="N1230">
            <v>2.5999999999999999E-2</v>
          </cell>
          <cell r="O1230" t="str">
            <v>$1539</v>
          </cell>
          <cell r="P1230" t="str">
            <v>$1539</v>
          </cell>
          <cell r="Q1230">
            <v>45622</v>
          </cell>
          <cell r="R1230" t="str">
            <v>Hyderabad</v>
          </cell>
          <cell r="S1230" t="str">
            <v>Tablet</v>
          </cell>
          <cell r="T1230" t="str">
            <v>learn data analytics</v>
          </cell>
        </row>
        <row r="1231">
          <cell r="A1231" t="str">
            <v>A2229</v>
          </cell>
          <cell r="B1231" t="str">
            <v>Data Analytics Course</v>
          </cell>
          <cell r="C1231">
            <v>87</v>
          </cell>
          <cell r="D1231">
            <v>87</v>
          </cell>
          <cell r="E1231">
            <v>3031</v>
          </cell>
          <cell r="F1231">
            <v>3031</v>
          </cell>
          <cell r="G1231" t="str">
            <v>$234.25</v>
          </cell>
          <cell r="H1231" t="str">
            <v>$234.25</v>
          </cell>
          <cell r="I1231">
            <v>17</v>
          </cell>
          <cell r="J1231">
            <v>17</v>
          </cell>
          <cell r="K1231">
            <v>7</v>
          </cell>
          <cell r="L1231">
            <v>7</v>
          </cell>
          <cell r="M1231">
            <v>8.0459770114942528E-2</v>
          </cell>
          <cell r="N1231">
            <v>0.08</v>
          </cell>
          <cell r="O1231" t="str">
            <v>$1167</v>
          </cell>
          <cell r="P1231" t="str">
            <v>$1167</v>
          </cell>
          <cell r="Q1231">
            <v>45601</v>
          </cell>
          <cell r="R1231" t="str">
            <v>Hyderabad</v>
          </cell>
          <cell r="S1231" t="str">
            <v>Desktop</v>
          </cell>
          <cell r="T1231" t="str">
            <v>data analytics online</v>
          </cell>
        </row>
        <row r="1232">
          <cell r="A1232" t="str">
            <v>A2230</v>
          </cell>
          <cell r="B1232" t="str">
            <v>Data Analytics Course</v>
          </cell>
          <cell r="C1232">
            <v>151</v>
          </cell>
          <cell r="D1232">
            <v>151</v>
          </cell>
          <cell r="E1232">
            <v>5957</v>
          </cell>
          <cell r="F1232">
            <v>5957</v>
          </cell>
          <cell r="G1232" t="str">
            <v>$188.22</v>
          </cell>
          <cell r="H1232" t="str">
            <v>$188.22</v>
          </cell>
          <cell r="I1232">
            <v>15</v>
          </cell>
          <cell r="J1232">
            <v>15</v>
          </cell>
          <cell r="K1232">
            <v>8</v>
          </cell>
          <cell r="L1232">
            <v>8</v>
          </cell>
          <cell r="M1232">
            <v>5.2980132450331126E-2</v>
          </cell>
          <cell r="N1232">
            <v>5.2999999999999999E-2</v>
          </cell>
          <cell r="O1232" t="str">
            <v>$1468</v>
          </cell>
          <cell r="P1232" t="str">
            <v>$1468</v>
          </cell>
          <cell r="Q1232">
            <v>45621</v>
          </cell>
          <cell r="R1232" t="str">
            <v>Hyderabad</v>
          </cell>
          <cell r="S1232" t="str">
            <v>Tablet</v>
          </cell>
          <cell r="T1232" t="str">
            <v>analytics for data</v>
          </cell>
        </row>
        <row r="1233">
          <cell r="A1233" t="str">
            <v>A2231</v>
          </cell>
          <cell r="B1233" t="str">
            <v>Data Analytcis Course</v>
          </cell>
          <cell r="C1233">
            <v>93</v>
          </cell>
          <cell r="D1233">
            <v>93</v>
          </cell>
          <cell r="E1233">
            <v>4689</v>
          </cell>
          <cell r="F1233">
            <v>4689</v>
          </cell>
          <cell r="G1233" t="str">
            <v>$197.54</v>
          </cell>
          <cell r="H1233" t="str">
            <v>$197.54</v>
          </cell>
          <cell r="I1233">
            <v>15</v>
          </cell>
          <cell r="J1233">
            <v>15</v>
          </cell>
          <cell r="K1233">
            <v>4</v>
          </cell>
          <cell r="L1233">
            <v>4</v>
          </cell>
          <cell r="M1233">
            <v>4.3010752688172046E-2</v>
          </cell>
          <cell r="N1233">
            <v>4.2999999999999997E-2</v>
          </cell>
          <cell r="O1233" t="str">
            <v>$1073</v>
          </cell>
          <cell r="P1233" t="str">
            <v>$1073</v>
          </cell>
          <cell r="Q1233">
            <v>45621</v>
          </cell>
          <cell r="R1233" t="str">
            <v>Hyderabad</v>
          </cell>
          <cell r="S1233" t="str">
            <v>Mobile</v>
          </cell>
          <cell r="T1233" t="str">
            <v>data analytics online</v>
          </cell>
        </row>
        <row r="1234">
          <cell r="A1234" t="str">
            <v>A2232</v>
          </cell>
          <cell r="B1234" t="str">
            <v>Data Analytics Course</v>
          </cell>
          <cell r="C1234">
            <v>145</v>
          </cell>
          <cell r="D1234">
            <v>145</v>
          </cell>
          <cell r="E1234">
            <v>3085</v>
          </cell>
          <cell r="F1234">
            <v>3085</v>
          </cell>
          <cell r="G1234" t="str">
            <v>$194.96</v>
          </cell>
          <cell r="H1234" t="str">
            <v>$194.96</v>
          </cell>
          <cell r="I1234">
            <v>26</v>
          </cell>
          <cell r="J1234">
            <v>26</v>
          </cell>
          <cell r="K1234">
            <v>5</v>
          </cell>
          <cell r="L1234">
            <v>5</v>
          </cell>
          <cell r="M1234">
            <v>3.4482758620689655E-2</v>
          </cell>
          <cell r="N1234">
            <v>3.3000000000000002E-2</v>
          </cell>
          <cell r="O1234" t="str">
            <v>$1673</v>
          </cell>
          <cell r="P1234" t="str">
            <v>$1673</v>
          </cell>
          <cell r="Q1234">
            <v>45620</v>
          </cell>
          <cell r="R1234" t="str">
            <v>Bangaluru</v>
          </cell>
          <cell r="S1234" t="str">
            <v>Desktop</v>
          </cell>
          <cell r="T1234" t="str">
            <v>online data analytic</v>
          </cell>
        </row>
        <row r="1235">
          <cell r="A1235" t="str">
            <v>A2233</v>
          </cell>
          <cell r="B1235" t="str">
            <v>Data Analytics Course</v>
          </cell>
          <cell r="C1235">
            <v>128</v>
          </cell>
          <cell r="D1235">
            <v>128</v>
          </cell>
          <cell r="E1235">
            <v>3341</v>
          </cell>
          <cell r="F1235">
            <v>3341</v>
          </cell>
          <cell r="G1235" t="str">
            <v>$185.57</v>
          </cell>
          <cell r="H1235" t="str">
            <v>$185.57</v>
          </cell>
          <cell r="I1235">
            <v>25</v>
          </cell>
          <cell r="J1235">
            <v>25</v>
          </cell>
          <cell r="K1235">
            <v>5</v>
          </cell>
          <cell r="L1235">
            <v>5</v>
          </cell>
          <cell r="M1235">
            <v>3.90625E-2</v>
          </cell>
          <cell r="N1235">
            <v>3.9E-2</v>
          </cell>
          <cell r="O1235" t="str">
            <v>$1516</v>
          </cell>
          <cell r="P1235" t="str">
            <v>$1516</v>
          </cell>
          <cell r="Q1235">
            <v>45616</v>
          </cell>
          <cell r="R1235" t="str">
            <v>Hyderabad</v>
          </cell>
          <cell r="S1235" t="str">
            <v>Tablet</v>
          </cell>
          <cell r="T1235" t="str">
            <v>online data analytic</v>
          </cell>
        </row>
        <row r="1236">
          <cell r="A1236" t="str">
            <v>A2234</v>
          </cell>
          <cell r="B1236" t="str">
            <v>Data Analytics Course</v>
          </cell>
          <cell r="C1236">
            <v>134</v>
          </cell>
          <cell r="D1236">
            <v>134</v>
          </cell>
          <cell r="E1236">
            <v>5521</v>
          </cell>
          <cell r="F1236">
            <v>5521</v>
          </cell>
          <cell r="G1236" t="str">
            <v>$243.57</v>
          </cell>
          <cell r="H1236" t="str">
            <v>$243.57</v>
          </cell>
          <cell r="I1236">
            <v>15</v>
          </cell>
          <cell r="J1236">
            <v>15</v>
          </cell>
          <cell r="K1236">
            <v>3</v>
          </cell>
          <cell r="L1236">
            <v>3</v>
          </cell>
          <cell r="M1236">
            <v>2.2388059701492536E-2</v>
          </cell>
          <cell r="O1236" t="str">
            <v>$1658</v>
          </cell>
          <cell r="P1236" t="str">
            <v>$1658</v>
          </cell>
          <cell r="Q1236">
            <v>45620</v>
          </cell>
          <cell r="R1236" t="str">
            <v>Bangaluru</v>
          </cell>
          <cell r="S1236" t="str">
            <v>Desktop</v>
          </cell>
          <cell r="T1236" t="str">
            <v>online data analytic</v>
          </cell>
        </row>
        <row r="1237">
          <cell r="A1237" t="str">
            <v>A2235</v>
          </cell>
          <cell r="B1237" t="str">
            <v>Data Analytics Course</v>
          </cell>
          <cell r="C1237">
            <v>104</v>
          </cell>
          <cell r="D1237">
            <v>104</v>
          </cell>
          <cell r="E1237">
            <v>3696</v>
          </cell>
          <cell r="F1237">
            <v>3696</v>
          </cell>
          <cell r="G1237" t="str">
            <v>$206.54</v>
          </cell>
          <cell r="H1237" t="str">
            <v>$206.54</v>
          </cell>
          <cell r="I1237">
            <v>28</v>
          </cell>
          <cell r="J1237">
            <v>28</v>
          </cell>
          <cell r="K1237">
            <v>6.5307050796057622</v>
          </cell>
          <cell r="M1237">
            <v>6.27952411500554E-2</v>
          </cell>
          <cell r="N1237">
            <v>5.2999999999999999E-2</v>
          </cell>
          <cell r="O1237" t="str">
            <v>$1985</v>
          </cell>
          <cell r="P1237" t="str">
            <v>$1985</v>
          </cell>
          <cell r="Q1237">
            <v>45607</v>
          </cell>
          <cell r="R1237" t="str">
            <v>Chennai</v>
          </cell>
          <cell r="S1237" t="str">
            <v>Desktop</v>
          </cell>
          <cell r="T1237" t="str">
            <v>data analytics training</v>
          </cell>
        </row>
        <row r="1238">
          <cell r="A1238" t="str">
            <v>A2236</v>
          </cell>
          <cell r="B1238" t="str">
            <v>Data Analytcis Course</v>
          </cell>
          <cell r="C1238">
            <v>177</v>
          </cell>
          <cell r="D1238">
            <v>177</v>
          </cell>
          <cell r="E1238">
            <v>3765</v>
          </cell>
          <cell r="F1238">
            <v>3765</v>
          </cell>
          <cell r="G1238" t="str">
            <v>$216.48</v>
          </cell>
          <cell r="H1238" t="str">
            <v>$216.48</v>
          </cell>
          <cell r="I1238">
            <v>26</v>
          </cell>
          <cell r="J1238">
            <v>26</v>
          </cell>
          <cell r="K1238">
            <v>10</v>
          </cell>
          <cell r="L1238">
            <v>10</v>
          </cell>
          <cell r="M1238">
            <v>5.6497175141242938E-2</v>
          </cell>
          <cell r="N1238">
            <v>5.6000000000000001E-2</v>
          </cell>
          <cell r="O1238" t="str">
            <v>$1507</v>
          </cell>
          <cell r="P1238" t="str">
            <v>$1507</v>
          </cell>
          <cell r="Q1238">
            <v>45616</v>
          </cell>
          <cell r="R1238" t="str">
            <v>Bangaluru</v>
          </cell>
          <cell r="S1238" t="str">
            <v>Tablet</v>
          </cell>
          <cell r="T1238" t="str">
            <v>data analytics online</v>
          </cell>
        </row>
        <row r="1239">
          <cell r="A1239" t="str">
            <v>A2237</v>
          </cell>
          <cell r="B1239" t="str">
            <v>Data Analytics Course</v>
          </cell>
          <cell r="C1239">
            <v>94</v>
          </cell>
          <cell r="D1239">
            <v>94</v>
          </cell>
          <cell r="E1239">
            <v>5455</v>
          </cell>
          <cell r="F1239">
            <v>5455</v>
          </cell>
          <cell r="G1239" t="str">
            <v>$249.09</v>
          </cell>
          <cell r="H1239" t="str">
            <v>$249.09</v>
          </cell>
          <cell r="I1239">
            <v>15</v>
          </cell>
          <cell r="J1239">
            <v>15</v>
          </cell>
          <cell r="K1239">
            <v>3</v>
          </cell>
          <cell r="L1239">
            <v>3</v>
          </cell>
          <cell r="M1239">
            <v>3.1914893617021274E-2</v>
          </cell>
          <cell r="O1239" t="str">
            <v>$1500</v>
          </cell>
          <cell r="Q1239">
            <v>45610</v>
          </cell>
          <cell r="R1239" t="str">
            <v>Hyderabad</v>
          </cell>
          <cell r="S1239" t="str">
            <v>Mobile</v>
          </cell>
          <cell r="T1239" t="str">
            <v>analytics for data</v>
          </cell>
        </row>
        <row r="1240">
          <cell r="A1240" t="str">
            <v>A2238</v>
          </cell>
          <cell r="B1240" t="str">
            <v>Data Analytics Course</v>
          </cell>
          <cell r="C1240">
            <v>198</v>
          </cell>
          <cell r="D1240">
            <v>198</v>
          </cell>
          <cell r="E1240">
            <v>5260</v>
          </cell>
          <cell r="F1240">
            <v>5260</v>
          </cell>
          <cell r="G1240" t="str">
            <v>$205.53</v>
          </cell>
          <cell r="H1240" t="str">
            <v>$205.53</v>
          </cell>
          <cell r="I1240">
            <v>13</v>
          </cell>
          <cell r="J1240">
            <v>13</v>
          </cell>
          <cell r="K1240">
            <v>10</v>
          </cell>
          <cell r="L1240">
            <v>10</v>
          </cell>
          <cell r="M1240">
            <v>5.0505050505050504E-2</v>
          </cell>
          <cell r="N1240">
            <v>5.0999999999999997E-2</v>
          </cell>
          <cell r="O1240" t="str">
            <v>$1766</v>
          </cell>
          <cell r="P1240" t="str">
            <v>$1766</v>
          </cell>
          <cell r="Q1240">
            <v>45608</v>
          </cell>
          <cell r="R1240" t="str">
            <v>Bangaluru</v>
          </cell>
          <cell r="S1240" t="str">
            <v>Desktop</v>
          </cell>
          <cell r="T1240" t="str">
            <v>analytics for data</v>
          </cell>
        </row>
        <row r="1241">
          <cell r="A1241" t="str">
            <v>A2239</v>
          </cell>
          <cell r="B1241" t="str">
            <v>Data Analytics Course</v>
          </cell>
          <cell r="C1241">
            <v>140</v>
          </cell>
          <cell r="D1241">
            <v>140</v>
          </cell>
          <cell r="E1241">
            <v>4404</v>
          </cell>
          <cell r="F1241">
            <v>4404</v>
          </cell>
          <cell r="G1241" t="str">
            <v>$186.01</v>
          </cell>
          <cell r="H1241" t="str">
            <v>$186.01</v>
          </cell>
          <cell r="I1241">
            <v>23</v>
          </cell>
          <cell r="J1241">
            <v>23</v>
          </cell>
          <cell r="K1241">
            <v>6</v>
          </cell>
          <cell r="L1241">
            <v>6</v>
          </cell>
          <cell r="M1241">
            <v>4.2857142857142858E-2</v>
          </cell>
          <cell r="N1241">
            <v>5.8999999999999997E-2</v>
          </cell>
          <cell r="O1241" t="str">
            <v>$1625</v>
          </cell>
          <cell r="P1241" t="str">
            <v>$1625</v>
          </cell>
          <cell r="Q1241">
            <v>45605</v>
          </cell>
          <cell r="R1241" t="str">
            <v>Hyderabad</v>
          </cell>
          <cell r="S1241" t="str">
            <v>Tablet</v>
          </cell>
          <cell r="T1241" t="str">
            <v>analytics for data</v>
          </cell>
        </row>
        <row r="1242">
          <cell r="A1242" t="str">
            <v>A2240</v>
          </cell>
          <cell r="B1242" t="str">
            <v>Data Analytcis Course</v>
          </cell>
          <cell r="C1242">
            <v>137</v>
          </cell>
          <cell r="D1242">
            <v>137</v>
          </cell>
          <cell r="E1242">
            <v>5445</v>
          </cell>
          <cell r="F1242">
            <v>5445</v>
          </cell>
          <cell r="G1242" t="str">
            <v>$237.51</v>
          </cell>
          <cell r="H1242" t="str">
            <v>$237.51</v>
          </cell>
          <cell r="I1242">
            <v>20</v>
          </cell>
          <cell r="J1242">
            <v>20</v>
          </cell>
          <cell r="K1242">
            <v>5</v>
          </cell>
          <cell r="L1242">
            <v>5</v>
          </cell>
          <cell r="M1242">
            <v>3.6496350364963501E-2</v>
          </cell>
          <cell r="O1242" t="str">
            <v>$1904</v>
          </cell>
          <cell r="P1242" t="str">
            <v>$1904</v>
          </cell>
          <cell r="Q1242">
            <v>45621</v>
          </cell>
          <cell r="R1242" t="str">
            <v>Hyderabad</v>
          </cell>
          <cell r="S1242" t="str">
            <v>Tablet</v>
          </cell>
          <cell r="T1242" t="str">
            <v>learn data analytics</v>
          </cell>
        </row>
        <row r="1243">
          <cell r="A1243" t="str">
            <v>A2241</v>
          </cell>
          <cell r="B1243" t="str">
            <v>Data Analytcis Course</v>
          </cell>
          <cell r="C1243">
            <v>153</v>
          </cell>
          <cell r="D1243">
            <v>153</v>
          </cell>
          <cell r="E1243">
            <v>3068</v>
          </cell>
          <cell r="F1243">
            <v>3068</v>
          </cell>
          <cell r="G1243" t="str">
            <v>$200.00</v>
          </cell>
          <cell r="I1243">
            <v>25</v>
          </cell>
          <cell r="J1243">
            <v>25</v>
          </cell>
          <cell r="K1243">
            <v>8</v>
          </cell>
          <cell r="L1243">
            <v>8</v>
          </cell>
          <cell r="M1243">
            <v>5.2287581699346407E-2</v>
          </cell>
          <cell r="N1243">
            <v>5.1999999999999998E-2</v>
          </cell>
          <cell r="O1243" t="str">
            <v>$1165</v>
          </cell>
          <cell r="P1243" t="str">
            <v>$1165</v>
          </cell>
          <cell r="Q1243">
            <v>45615</v>
          </cell>
          <cell r="R1243" t="str">
            <v>Chennai</v>
          </cell>
          <cell r="S1243" t="str">
            <v>Tablet</v>
          </cell>
          <cell r="T1243" t="str">
            <v>analytics for data</v>
          </cell>
        </row>
        <row r="1244">
          <cell r="A1244" t="str">
            <v>A2242</v>
          </cell>
          <cell r="B1244" t="str">
            <v>Data Analytics Course</v>
          </cell>
          <cell r="C1244">
            <v>177</v>
          </cell>
          <cell r="D1244">
            <v>177</v>
          </cell>
          <cell r="E1244">
            <v>4523.2808326787117</v>
          </cell>
          <cell r="G1244" t="str">
            <v>$240.09</v>
          </cell>
          <cell r="H1244" t="str">
            <v>$240.09</v>
          </cell>
          <cell r="I1244">
            <v>26</v>
          </cell>
          <cell r="J1244">
            <v>26</v>
          </cell>
          <cell r="K1244">
            <v>10</v>
          </cell>
          <cell r="L1244">
            <v>10</v>
          </cell>
          <cell r="M1244">
            <v>5.6497175141242938E-2</v>
          </cell>
          <cell r="O1244" t="str">
            <v>$1500</v>
          </cell>
          <cell r="Q1244">
            <v>45604</v>
          </cell>
          <cell r="R1244" t="str">
            <v>Chennai</v>
          </cell>
          <cell r="S1244" t="str">
            <v>Mobile</v>
          </cell>
          <cell r="T1244" t="str">
            <v>data analytics training</v>
          </cell>
        </row>
        <row r="1245">
          <cell r="A1245" t="str">
            <v>A2243</v>
          </cell>
          <cell r="B1245" t="str">
            <v>Data Analytics Course</v>
          </cell>
          <cell r="C1245">
            <v>100</v>
          </cell>
          <cell r="D1245">
            <v>100</v>
          </cell>
          <cell r="E1245">
            <v>4042</v>
          </cell>
          <cell r="F1245">
            <v>4042</v>
          </cell>
          <cell r="G1245" t="str">
            <v>$200.00</v>
          </cell>
          <cell r="I1245">
            <v>13</v>
          </cell>
          <cell r="J1245">
            <v>13</v>
          </cell>
          <cell r="K1245">
            <v>6</v>
          </cell>
          <cell r="L1245">
            <v>6</v>
          </cell>
          <cell r="M1245">
            <v>0.06</v>
          </cell>
          <cell r="O1245" t="str">
            <v>$1678</v>
          </cell>
          <cell r="P1245" t="str">
            <v>$1678</v>
          </cell>
          <cell r="Q1245">
            <v>45614</v>
          </cell>
          <cell r="R1245" t="str">
            <v>Chennai</v>
          </cell>
          <cell r="S1245" t="str">
            <v>Desktop</v>
          </cell>
          <cell r="T1245" t="str">
            <v>analytics for data</v>
          </cell>
        </row>
        <row r="1246">
          <cell r="A1246" t="str">
            <v>A2244</v>
          </cell>
          <cell r="B1246" t="str">
            <v>Data Analytics Course</v>
          </cell>
          <cell r="C1246">
            <v>160</v>
          </cell>
          <cell r="D1246">
            <v>160</v>
          </cell>
          <cell r="E1246">
            <v>5645</v>
          </cell>
          <cell r="F1246">
            <v>5645</v>
          </cell>
          <cell r="G1246" t="str">
            <v>$195.42</v>
          </cell>
          <cell r="H1246" t="str">
            <v>$195.42</v>
          </cell>
          <cell r="I1246">
            <v>25</v>
          </cell>
          <cell r="J1246">
            <v>25</v>
          </cell>
          <cell r="K1246">
            <v>6</v>
          </cell>
          <cell r="L1246">
            <v>6</v>
          </cell>
          <cell r="M1246">
            <v>3.7499999999999999E-2</v>
          </cell>
          <cell r="N1246">
            <v>3.1E-2</v>
          </cell>
          <cell r="O1246" t="str">
            <v>$1600</v>
          </cell>
          <cell r="P1246" t="str">
            <v>$1600</v>
          </cell>
          <cell r="Q1246">
            <v>45612</v>
          </cell>
          <cell r="R1246" t="str">
            <v>Hyderabad</v>
          </cell>
          <cell r="S1246" t="str">
            <v>Tablet</v>
          </cell>
          <cell r="T1246" t="str">
            <v>data analytics online</v>
          </cell>
        </row>
        <row r="1247">
          <cell r="A1247" t="str">
            <v>A2245</v>
          </cell>
          <cell r="B1247" t="str">
            <v>Data Analytcis Course</v>
          </cell>
          <cell r="C1247">
            <v>194</v>
          </cell>
          <cell r="D1247">
            <v>194</v>
          </cell>
          <cell r="E1247">
            <v>3751</v>
          </cell>
          <cell r="F1247">
            <v>3751</v>
          </cell>
          <cell r="G1247" t="str">
            <v>$244.34</v>
          </cell>
          <cell r="H1247" t="str">
            <v>$244.34</v>
          </cell>
          <cell r="I1247">
            <v>23</v>
          </cell>
          <cell r="J1247">
            <v>23</v>
          </cell>
          <cell r="K1247">
            <v>5</v>
          </cell>
          <cell r="L1247">
            <v>5</v>
          </cell>
          <cell r="M1247">
            <v>2.5773195876288658E-2</v>
          </cell>
          <cell r="N1247">
            <v>2.5999999999999999E-2</v>
          </cell>
          <cell r="O1247" t="str">
            <v>$1500</v>
          </cell>
          <cell r="Q1247">
            <v>45598</v>
          </cell>
          <cell r="R1247" t="str">
            <v>Bangaluru</v>
          </cell>
          <cell r="S1247" t="str">
            <v>Mobile</v>
          </cell>
          <cell r="T1247" t="str">
            <v>data analytics online</v>
          </cell>
        </row>
        <row r="1248">
          <cell r="A1248" t="str">
            <v>A2246</v>
          </cell>
          <cell r="B1248" t="str">
            <v>Data Analytics Course</v>
          </cell>
          <cell r="C1248">
            <v>128</v>
          </cell>
          <cell r="D1248">
            <v>128</v>
          </cell>
          <cell r="E1248">
            <v>5010</v>
          </cell>
          <cell r="F1248">
            <v>5010</v>
          </cell>
          <cell r="G1248" t="str">
            <v>$202.34</v>
          </cell>
          <cell r="H1248" t="str">
            <v>$202.34</v>
          </cell>
          <cell r="I1248">
            <v>26</v>
          </cell>
          <cell r="J1248">
            <v>26</v>
          </cell>
          <cell r="K1248">
            <v>7</v>
          </cell>
          <cell r="L1248">
            <v>7</v>
          </cell>
          <cell r="M1248">
            <v>5.46875E-2</v>
          </cell>
          <cell r="N1248">
            <v>5.5E-2</v>
          </cell>
          <cell r="O1248" t="str">
            <v>$1500</v>
          </cell>
          <cell r="Q1248">
            <v>45612</v>
          </cell>
          <cell r="R1248" t="str">
            <v>Hyderabad</v>
          </cell>
          <cell r="S1248" t="str">
            <v>Tablet</v>
          </cell>
          <cell r="T1248" t="str">
            <v>data analytics training</v>
          </cell>
        </row>
        <row r="1249">
          <cell r="A1249" t="str">
            <v>A2247</v>
          </cell>
          <cell r="B1249" t="str">
            <v>Data Analytics Course</v>
          </cell>
          <cell r="C1249">
            <v>80</v>
          </cell>
          <cell r="D1249">
            <v>80</v>
          </cell>
          <cell r="E1249">
            <v>4506</v>
          </cell>
          <cell r="F1249">
            <v>4506</v>
          </cell>
          <cell r="G1249" t="str">
            <v>$236.47</v>
          </cell>
          <cell r="H1249" t="str">
            <v>$236.47</v>
          </cell>
          <cell r="I1249">
            <v>11</v>
          </cell>
          <cell r="J1249">
            <v>11</v>
          </cell>
          <cell r="K1249">
            <v>5</v>
          </cell>
          <cell r="L1249">
            <v>5</v>
          </cell>
          <cell r="M1249">
            <v>6.25E-2</v>
          </cell>
          <cell r="O1249" t="str">
            <v>$1953</v>
          </cell>
          <cell r="P1249" t="str">
            <v>$1953</v>
          </cell>
          <cell r="Q1249">
            <v>45616</v>
          </cell>
          <cell r="R1249" t="str">
            <v>Chennai</v>
          </cell>
          <cell r="S1249" t="str">
            <v>Desktop</v>
          </cell>
          <cell r="T1249" t="str">
            <v>data analytics course</v>
          </cell>
        </row>
        <row r="1250">
          <cell r="A1250" t="str">
            <v>A2248</v>
          </cell>
          <cell r="B1250" t="str">
            <v>Data Analytics Course</v>
          </cell>
          <cell r="C1250">
            <v>81</v>
          </cell>
          <cell r="D1250">
            <v>81</v>
          </cell>
          <cell r="E1250">
            <v>5843</v>
          </cell>
          <cell r="F1250">
            <v>5843</v>
          </cell>
          <cell r="G1250" t="str">
            <v>$209.54</v>
          </cell>
          <cell r="H1250" t="str">
            <v>$209.54</v>
          </cell>
          <cell r="I1250">
            <v>10</v>
          </cell>
          <cell r="J1250">
            <v>10</v>
          </cell>
          <cell r="K1250">
            <v>9</v>
          </cell>
          <cell r="L1250">
            <v>9</v>
          </cell>
          <cell r="M1250">
            <v>0.1111111111111111</v>
          </cell>
          <cell r="O1250" t="str">
            <v>$1979</v>
          </cell>
          <cell r="P1250" t="str">
            <v>$1979</v>
          </cell>
          <cell r="Q1250">
            <v>45605</v>
          </cell>
          <cell r="R1250" t="str">
            <v>Hyderabad</v>
          </cell>
          <cell r="S1250" t="str">
            <v>Tablet</v>
          </cell>
          <cell r="T1250" t="str">
            <v>data analytics training</v>
          </cell>
        </row>
        <row r="1251">
          <cell r="A1251" t="str">
            <v>A2249</v>
          </cell>
          <cell r="B1251" t="str">
            <v>Data Analytcis Course</v>
          </cell>
          <cell r="C1251">
            <v>102</v>
          </cell>
          <cell r="D1251">
            <v>102</v>
          </cell>
          <cell r="E1251">
            <v>5369</v>
          </cell>
          <cell r="F1251">
            <v>5369</v>
          </cell>
          <cell r="G1251" t="str">
            <v>$198.39</v>
          </cell>
          <cell r="H1251" t="str">
            <v>$198.39</v>
          </cell>
          <cell r="I1251">
            <v>29</v>
          </cell>
          <cell r="J1251">
            <v>29</v>
          </cell>
          <cell r="K1251">
            <v>4</v>
          </cell>
          <cell r="L1251">
            <v>4</v>
          </cell>
          <cell r="M1251">
            <v>3.9215686274509803E-2</v>
          </cell>
          <cell r="N1251">
            <v>3.9E-2</v>
          </cell>
          <cell r="O1251" t="str">
            <v>$1659</v>
          </cell>
          <cell r="P1251" t="str">
            <v>$1659</v>
          </cell>
          <cell r="Q1251">
            <v>45615</v>
          </cell>
          <cell r="R1251" t="str">
            <v>Chennai</v>
          </cell>
          <cell r="S1251" t="str">
            <v>Tablet</v>
          </cell>
          <cell r="T1251" t="str">
            <v>data analytics course</v>
          </cell>
        </row>
        <row r="1252">
          <cell r="A1252" t="str">
            <v>A2250</v>
          </cell>
          <cell r="B1252" t="str">
            <v>Data Analytics Course</v>
          </cell>
          <cell r="C1252">
            <v>197</v>
          </cell>
          <cell r="D1252">
            <v>197</v>
          </cell>
          <cell r="E1252">
            <v>4047</v>
          </cell>
          <cell r="F1252">
            <v>4047</v>
          </cell>
          <cell r="G1252" t="str">
            <v>$202.72</v>
          </cell>
          <cell r="H1252" t="str">
            <v>$202.72</v>
          </cell>
          <cell r="I1252">
            <v>15</v>
          </cell>
          <cell r="J1252">
            <v>15</v>
          </cell>
          <cell r="K1252">
            <v>3</v>
          </cell>
          <cell r="L1252">
            <v>3</v>
          </cell>
          <cell r="M1252">
            <v>1.5228426395939087E-2</v>
          </cell>
          <cell r="N1252">
            <v>1.4999999999999999E-2</v>
          </cell>
          <cell r="O1252" t="str">
            <v>$1345</v>
          </cell>
          <cell r="P1252" t="str">
            <v>$1345</v>
          </cell>
          <cell r="Q1252">
            <v>45601</v>
          </cell>
          <cell r="R1252" t="str">
            <v>Bangaluru</v>
          </cell>
          <cell r="S1252" t="str">
            <v>Mobile</v>
          </cell>
          <cell r="T1252" t="str">
            <v>data analytics online</v>
          </cell>
        </row>
        <row r="1253">
          <cell r="A1253" t="str">
            <v>A2251</v>
          </cell>
          <cell r="B1253" t="str">
            <v>Data Analytics Course</v>
          </cell>
          <cell r="C1253">
            <v>84</v>
          </cell>
          <cell r="D1253">
            <v>84</v>
          </cell>
          <cell r="E1253">
            <v>4463</v>
          </cell>
          <cell r="F1253">
            <v>4463</v>
          </cell>
          <cell r="G1253" t="str">
            <v>$198.44</v>
          </cell>
          <cell r="H1253" t="str">
            <v>$198.44</v>
          </cell>
          <cell r="I1253">
            <v>17</v>
          </cell>
          <cell r="J1253">
            <v>17</v>
          </cell>
          <cell r="K1253">
            <v>3</v>
          </cell>
          <cell r="L1253">
            <v>3</v>
          </cell>
          <cell r="M1253">
            <v>3.5714285714285712E-2</v>
          </cell>
          <cell r="N1253">
            <v>3.5999999999999997E-2</v>
          </cell>
          <cell r="O1253" t="str">
            <v>$1110</v>
          </cell>
          <cell r="P1253" t="str">
            <v>$1110</v>
          </cell>
          <cell r="Q1253">
            <v>45598</v>
          </cell>
          <cell r="R1253" t="str">
            <v>Chennai</v>
          </cell>
          <cell r="S1253" t="str">
            <v>Mobile</v>
          </cell>
          <cell r="T1253" t="str">
            <v>analytics for data</v>
          </cell>
        </row>
        <row r="1254">
          <cell r="A1254" t="str">
            <v>A2252</v>
          </cell>
          <cell r="B1254" t="str">
            <v>Data Analytics Course</v>
          </cell>
          <cell r="C1254">
            <v>119</v>
          </cell>
          <cell r="D1254">
            <v>119</v>
          </cell>
          <cell r="E1254">
            <v>4610</v>
          </cell>
          <cell r="F1254">
            <v>4610</v>
          </cell>
          <cell r="G1254" t="str">
            <v>$222.7</v>
          </cell>
          <cell r="H1254" t="str">
            <v>$222.7</v>
          </cell>
          <cell r="I1254">
            <v>18</v>
          </cell>
          <cell r="J1254">
            <v>18</v>
          </cell>
          <cell r="K1254">
            <v>3</v>
          </cell>
          <cell r="L1254">
            <v>3</v>
          </cell>
          <cell r="M1254">
            <v>2.5210084033613446E-2</v>
          </cell>
          <cell r="N1254">
            <v>2.5000000000000001E-2</v>
          </cell>
          <cell r="O1254" t="str">
            <v>$1473</v>
          </cell>
          <cell r="P1254" t="str">
            <v>$1473</v>
          </cell>
          <cell r="Q1254">
            <v>45614</v>
          </cell>
          <cell r="R1254" t="str">
            <v>Hyderabad</v>
          </cell>
          <cell r="S1254" t="str">
            <v>Desktop</v>
          </cell>
          <cell r="T1254" t="str">
            <v>data analytics online</v>
          </cell>
        </row>
        <row r="1255">
          <cell r="A1255" t="str">
            <v>A2253</v>
          </cell>
          <cell r="B1255" t="str">
            <v>Data Analytics Course</v>
          </cell>
          <cell r="C1255">
            <v>96</v>
          </cell>
          <cell r="D1255">
            <v>96</v>
          </cell>
          <cell r="E1255">
            <v>5957</v>
          </cell>
          <cell r="F1255">
            <v>5957</v>
          </cell>
          <cell r="G1255" t="str">
            <v>$225.59</v>
          </cell>
          <cell r="H1255" t="str">
            <v>$225.59</v>
          </cell>
          <cell r="I1255">
            <v>27</v>
          </cell>
          <cell r="J1255">
            <v>27</v>
          </cell>
          <cell r="K1255">
            <v>10</v>
          </cell>
          <cell r="L1255">
            <v>10</v>
          </cell>
          <cell r="M1255">
            <v>0.10416666666666667</v>
          </cell>
          <cell r="N1255">
            <v>0.104</v>
          </cell>
          <cell r="O1255" t="str">
            <v>$1062</v>
          </cell>
          <cell r="P1255" t="str">
            <v>$1062</v>
          </cell>
          <cell r="Q1255">
            <v>45617</v>
          </cell>
          <cell r="R1255" t="str">
            <v>Hyderabad</v>
          </cell>
          <cell r="S1255" t="str">
            <v>Mobile</v>
          </cell>
          <cell r="T1255" t="str">
            <v>data analytics online</v>
          </cell>
        </row>
        <row r="1256">
          <cell r="A1256" t="str">
            <v>A2254</v>
          </cell>
          <cell r="B1256" t="str">
            <v>Data Analytcis Course</v>
          </cell>
          <cell r="C1256">
            <v>144</v>
          </cell>
          <cell r="D1256">
            <v>144</v>
          </cell>
          <cell r="E1256">
            <v>5704</v>
          </cell>
          <cell r="F1256">
            <v>5704</v>
          </cell>
          <cell r="G1256" t="str">
            <v>$196.67</v>
          </cell>
          <cell r="H1256" t="str">
            <v>$196.67</v>
          </cell>
          <cell r="I1256">
            <v>29</v>
          </cell>
          <cell r="J1256">
            <v>29</v>
          </cell>
          <cell r="K1256">
            <v>6</v>
          </cell>
          <cell r="L1256">
            <v>6</v>
          </cell>
          <cell r="M1256">
            <v>4.1666666666666664E-2</v>
          </cell>
          <cell r="N1256">
            <v>4.2000000000000003E-2</v>
          </cell>
          <cell r="O1256" t="str">
            <v>$1573</v>
          </cell>
          <cell r="P1256" t="str">
            <v>$1573</v>
          </cell>
          <cell r="Q1256">
            <v>45625</v>
          </cell>
          <cell r="R1256" t="str">
            <v>Chennai</v>
          </cell>
          <cell r="S1256" t="str">
            <v>Mobile</v>
          </cell>
          <cell r="T1256" t="str">
            <v>analytics for data</v>
          </cell>
        </row>
        <row r="1257">
          <cell r="A1257" t="str">
            <v>A2255</v>
          </cell>
          <cell r="B1257" t="str">
            <v>Data Analytics Course</v>
          </cell>
          <cell r="C1257">
            <v>148</v>
          </cell>
          <cell r="D1257">
            <v>148</v>
          </cell>
          <cell r="E1257">
            <v>5335</v>
          </cell>
          <cell r="F1257">
            <v>5335</v>
          </cell>
          <cell r="G1257" t="str">
            <v>$223.36</v>
          </cell>
          <cell r="H1257" t="str">
            <v>$223.36</v>
          </cell>
          <cell r="I1257">
            <v>21</v>
          </cell>
          <cell r="J1257">
            <v>21</v>
          </cell>
          <cell r="K1257">
            <v>9</v>
          </cell>
          <cell r="L1257">
            <v>9</v>
          </cell>
          <cell r="M1257">
            <v>6.0810810810810814E-2</v>
          </cell>
          <cell r="N1257">
            <v>6.0999999999999999E-2</v>
          </cell>
          <cell r="O1257" t="str">
            <v>$1251</v>
          </cell>
          <cell r="P1257" t="str">
            <v>$1251</v>
          </cell>
          <cell r="Q1257">
            <v>45616</v>
          </cell>
          <cell r="R1257" t="str">
            <v>Hyderabad</v>
          </cell>
          <cell r="S1257" t="str">
            <v>Tablet</v>
          </cell>
          <cell r="T1257" t="str">
            <v>data analytics online</v>
          </cell>
        </row>
        <row r="1258">
          <cell r="A1258" t="str">
            <v>A2256</v>
          </cell>
          <cell r="B1258" t="str">
            <v>Data Analytics Course</v>
          </cell>
          <cell r="C1258">
            <v>151</v>
          </cell>
          <cell r="D1258">
            <v>151</v>
          </cell>
          <cell r="E1258">
            <v>4901</v>
          </cell>
          <cell r="F1258">
            <v>4901</v>
          </cell>
          <cell r="G1258" t="str">
            <v>$224.29</v>
          </cell>
          <cell r="H1258" t="str">
            <v>$224.29</v>
          </cell>
          <cell r="I1258">
            <v>27</v>
          </cell>
          <cell r="J1258">
            <v>27</v>
          </cell>
          <cell r="K1258">
            <v>7</v>
          </cell>
          <cell r="L1258">
            <v>7</v>
          </cell>
          <cell r="M1258">
            <v>4.6357615894039736E-2</v>
          </cell>
          <cell r="O1258" t="str">
            <v>$1425</v>
          </cell>
          <cell r="P1258" t="str">
            <v>$1425</v>
          </cell>
          <cell r="Q1258">
            <v>45601</v>
          </cell>
          <cell r="R1258" t="str">
            <v>Hyderabad</v>
          </cell>
          <cell r="S1258" t="str">
            <v>Mobile</v>
          </cell>
          <cell r="T1258" t="str">
            <v>data analytics training</v>
          </cell>
        </row>
        <row r="1259">
          <cell r="A1259" t="str">
            <v>A2257</v>
          </cell>
          <cell r="B1259" t="str">
            <v>Data Analytcis Course</v>
          </cell>
          <cell r="C1259">
            <v>175</v>
          </cell>
          <cell r="D1259">
            <v>175</v>
          </cell>
          <cell r="E1259">
            <v>5392</v>
          </cell>
          <cell r="F1259">
            <v>5392</v>
          </cell>
          <cell r="G1259" t="str">
            <v>$187.74</v>
          </cell>
          <cell r="H1259" t="str">
            <v>$187.74</v>
          </cell>
          <cell r="I1259">
            <v>17</v>
          </cell>
          <cell r="J1259">
            <v>17</v>
          </cell>
          <cell r="K1259">
            <v>9</v>
          </cell>
          <cell r="L1259">
            <v>9</v>
          </cell>
          <cell r="M1259">
            <v>5.1428571428571428E-2</v>
          </cell>
          <cell r="O1259" t="str">
            <v>$1015</v>
          </cell>
          <cell r="P1259" t="str">
            <v>$1015</v>
          </cell>
          <cell r="Q1259">
            <v>45617</v>
          </cell>
          <cell r="R1259" t="str">
            <v>Bangaluru</v>
          </cell>
          <cell r="S1259" t="str">
            <v>Tablet</v>
          </cell>
          <cell r="T1259" t="str">
            <v>data analytics online</v>
          </cell>
        </row>
        <row r="1260">
          <cell r="A1260" t="str">
            <v>A2258</v>
          </cell>
          <cell r="B1260" t="str">
            <v>Data Analytcis Course</v>
          </cell>
          <cell r="C1260">
            <v>189</v>
          </cell>
          <cell r="D1260">
            <v>189</v>
          </cell>
          <cell r="E1260">
            <v>3461</v>
          </cell>
          <cell r="F1260">
            <v>3461</v>
          </cell>
          <cell r="G1260" t="str">
            <v>$224.72</v>
          </cell>
          <cell r="H1260" t="str">
            <v>$224.72</v>
          </cell>
          <cell r="I1260">
            <v>20</v>
          </cell>
          <cell r="J1260">
            <v>20</v>
          </cell>
          <cell r="K1260">
            <v>6.530454895913647</v>
          </cell>
          <cell r="M1260">
            <v>3.4552671406950515E-2</v>
          </cell>
          <cell r="O1260" t="str">
            <v>$1390</v>
          </cell>
          <cell r="P1260" t="str">
            <v>$1390</v>
          </cell>
          <cell r="Q1260">
            <v>45617</v>
          </cell>
          <cell r="R1260" t="str">
            <v>Hyderabad</v>
          </cell>
          <cell r="S1260" t="str">
            <v>Desktop</v>
          </cell>
          <cell r="T1260" t="str">
            <v>data analytics training</v>
          </cell>
        </row>
        <row r="1261">
          <cell r="A1261" t="str">
            <v>A2259</v>
          </cell>
          <cell r="B1261" t="str">
            <v>Data Analytics Course</v>
          </cell>
          <cell r="C1261">
            <v>157</v>
          </cell>
          <cell r="D1261">
            <v>157</v>
          </cell>
          <cell r="E1261">
            <v>5451</v>
          </cell>
          <cell r="F1261">
            <v>5451</v>
          </cell>
          <cell r="G1261" t="str">
            <v>$183.89</v>
          </cell>
          <cell r="H1261" t="str">
            <v>$183.89</v>
          </cell>
          <cell r="I1261">
            <v>12</v>
          </cell>
          <cell r="J1261">
            <v>12</v>
          </cell>
          <cell r="K1261">
            <v>10</v>
          </cell>
          <cell r="L1261">
            <v>10</v>
          </cell>
          <cell r="M1261">
            <v>6.3694267515923567E-2</v>
          </cell>
          <cell r="N1261">
            <v>6.4000000000000001E-2</v>
          </cell>
          <cell r="O1261" t="str">
            <v>$1180</v>
          </cell>
          <cell r="P1261" t="str">
            <v>$1180</v>
          </cell>
          <cell r="Q1261">
            <v>45625</v>
          </cell>
          <cell r="R1261" t="str">
            <v>Chennai</v>
          </cell>
          <cell r="S1261" t="str">
            <v>Desktop</v>
          </cell>
          <cell r="T1261" t="str">
            <v>data analytics course</v>
          </cell>
        </row>
        <row r="1262">
          <cell r="A1262" t="str">
            <v>A2260</v>
          </cell>
          <cell r="B1262" t="str">
            <v>Data Analytics Course</v>
          </cell>
          <cell r="C1262">
            <v>126</v>
          </cell>
          <cell r="D1262">
            <v>126</v>
          </cell>
          <cell r="E1262">
            <v>4523.2808326787117</v>
          </cell>
          <cell r="G1262" t="str">
            <v>$201.56</v>
          </cell>
          <cell r="H1262" t="str">
            <v>$201.56</v>
          </cell>
          <cell r="I1262">
            <v>27</v>
          </cell>
          <cell r="J1262">
            <v>27</v>
          </cell>
          <cell r="K1262">
            <v>10</v>
          </cell>
          <cell r="L1262">
            <v>10</v>
          </cell>
          <cell r="M1262">
            <v>7.9365079365079361E-2</v>
          </cell>
          <cell r="N1262">
            <v>7.9000000000000001E-2</v>
          </cell>
          <cell r="O1262" t="str">
            <v>$1122</v>
          </cell>
          <cell r="P1262" t="str">
            <v>$1122</v>
          </cell>
          <cell r="Q1262">
            <v>45617</v>
          </cell>
          <cell r="R1262" t="str">
            <v>Hyderabad</v>
          </cell>
          <cell r="S1262" t="str">
            <v>Desktop</v>
          </cell>
          <cell r="T1262" t="str">
            <v>analytics for data</v>
          </cell>
        </row>
        <row r="1263">
          <cell r="A1263" t="str">
            <v>A2261</v>
          </cell>
          <cell r="B1263" t="str">
            <v>Data Analytcis Course</v>
          </cell>
          <cell r="C1263">
            <v>85</v>
          </cell>
          <cell r="D1263">
            <v>85</v>
          </cell>
          <cell r="E1263">
            <v>3770</v>
          </cell>
          <cell r="F1263">
            <v>3770</v>
          </cell>
          <cell r="G1263" t="str">
            <v>$204.04</v>
          </cell>
          <cell r="H1263" t="str">
            <v>$204.04</v>
          </cell>
          <cell r="I1263">
            <v>30</v>
          </cell>
          <cell r="J1263">
            <v>30</v>
          </cell>
          <cell r="K1263">
            <v>7</v>
          </cell>
          <cell r="L1263">
            <v>7</v>
          </cell>
          <cell r="M1263">
            <v>8.2352941176470587E-2</v>
          </cell>
          <cell r="O1263" t="str">
            <v>$1238</v>
          </cell>
          <cell r="P1263" t="str">
            <v>$1238</v>
          </cell>
          <cell r="Q1263">
            <v>45610</v>
          </cell>
          <cell r="R1263" t="str">
            <v>Hyderabad</v>
          </cell>
          <cell r="S1263" t="str">
            <v>Mobile</v>
          </cell>
          <cell r="T1263" t="str">
            <v>learn data analytics</v>
          </cell>
        </row>
        <row r="1264">
          <cell r="A1264" t="str">
            <v>A2262</v>
          </cell>
          <cell r="B1264" t="str">
            <v>Data Analytics Course</v>
          </cell>
          <cell r="C1264">
            <v>89</v>
          </cell>
          <cell r="D1264">
            <v>89</v>
          </cell>
          <cell r="E1264">
            <v>3573</v>
          </cell>
          <cell r="F1264">
            <v>3573</v>
          </cell>
          <cell r="G1264" t="str">
            <v>$193.53</v>
          </cell>
          <cell r="H1264" t="str">
            <v>$193.53</v>
          </cell>
          <cell r="I1264">
            <v>20.014559386973179</v>
          </cell>
          <cell r="K1264">
            <v>10</v>
          </cell>
          <cell r="L1264">
            <v>10</v>
          </cell>
          <cell r="M1264">
            <v>0.11235955056179775</v>
          </cell>
          <cell r="N1264">
            <v>0.112</v>
          </cell>
          <cell r="O1264" t="str">
            <v>$1926</v>
          </cell>
          <cell r="P1264" t="str">
            <v>$1926</v>
          </cell>
          <cell r="Q1264">
            <v>45611</v>
          </cell>
          <cell r="R1264" t="str">
            <v>Hyderabad</v>
          </cell>
          <cell r="S1264" t="str">
            <v>Desktop</v>
          </cell>
          <cell r="T1264" t="str">
            <v>learn data analytics</v>
          </cell>
        </row>
        <row r="1265">
          <cell r="A1265" t="str">
            <v>A2263</v>
          </cell>
          <cell r="B1265" t="str">
            <v>Data Analytics Course</v>
          </cell>
          <cell r="C1265">
            <v>152</v>
          </cell>
          <cell r="D1265">
            <v>152</v>
          </cell>
          <cell r="E1265">
            <v>4092</v>
          </cell>
          <cell r="F1265">
            <v>4092</v>
          </cell>
          <cell r="G1265" t="str">
            <v>$196.66</v>
          </cell>
          <cell r="H1265" t="str">
            <v>$196.66</v>
          </cell>
          <cell r="I1265">
            <v>10</v>
          </cell>
          <cell r="J1265">
            <v>10</v>
          </cell>
          <cell r="K1265">
            <v>5</v>
          </cell>
          <cell r="L1265">
            <v>5</v>
          </cell>
          <cell r="M1265">
            <v>3.2894736842105261E-2</v>
          </cell>
          <cell r="O1265" t="str">
            <v>$1396</v>
          </cell>
          <cell r="P1265" t="str">
            <v>$1396</v>
          </cell>
          <cell r="Q1265">
            <v>45607</v>
          </cell>
          <cell r="R1265" t="str">
            <v>Chennai</v>
          </cell>
          <cell r="S1265" t="str">
            <v>Desktop</v>
          </cell>
          <cell r="T1265" t="str">
            <v>analytics for data</v>
          </cell>
        </row>
        <row r="1266">
          <cell r="A1266" t="str">
            <v>A2264</v>
          </cell>
          <cell r="B1266" t="str">
            <v>Data Analytics Course</v>
          </cell>
          <cell r="C1266">
            <v>126</v>
          </cell>
          <cell r="D1266">
            <v>126</v>
          </cell>
          <cell r="E1266">
            <v>3999</v>
          </cell>
          <cell r="F1266">
            <v>3999</v>
          </cell>
          <cell r="G1266" t="str">
            <v>$181.58</v>
          </cell>
          <cell r="H1266" t="str">
            <v>$181.58</v>
          </cell>
          <cell r="I1266">
            <v>22</v>
          </cell>
          <cell r="J1266">
            <v>22</v>
          </cell>
          <cell r="K1266">
            <v>9</v>
          </cell>
          <cell r="L1266">
            <v>9</v>
          </cell>
          <cell r="M1266">
            <v>7.1428571428571425E-2</v>
          </cell>
          <cell r="N1266">
            <v>7.0999999999999994E-2</v>
          </cell>
          <cell r="O1266" t="str">
            <v>$1145</v>
          </cell>
          <cell r="P1266" t="str">
            <v>$1145</v>
          </cell>
          <cell r="Q1266">
            <v>45623</v>
          </cell>
          <cell r="R1266" t="str">
            <v>Hyderabad</v>
          </cell>
          <cell r="S1266" t="str">
            <v>Mobile</v>
          </cell>
          <cell r="T1266" t="str">
            <v>online data analytic</v>
          </cell>
        </row>
        <row r="1267">
          <cell r="A1267" t="str">
            <v>A2265</v>
          </cell>
          <cell r="B1267" t="str">
            <v>Data Analytics Course</v>
          </cell>
          <cell r="C1267">
            <v>153</v>
          </cell>
          <cell r="D1267">
            <v>153</v>
          </cell>
          <cell r="E1267">
            <v>3354</v>
          </cell>
          <cell r="F1267">
            <v>3354</v>
          </cell>
          <cell r="G1267" t="str">
            <v>$243.13</v>
          </cell>
          <cell r="H1267" t="str">
            <v>$243.13</v>
          </cell>
          <cell r="I1267">
            <v>24</v>
          </cell>
          <cell r="J1267">
            <v>24</v>
          </cell>
          <cell r="K1267">
            <v>6</v>
          </cell>
          <cell r="L1267">
            <v>6</v>
          </cell>
          <cell r="M1267">
            <v>3.9215686274509803E-2</v>
          </cell>
          <cell r="N1267">
            <v>3.9E-2</v>
          </cell>
          <cell r="O1267" t="str">
            <v>$1536</v>
          </cell>
          <cell r="P1267" t="str">
            <v>$1536</v>
          </cell>
          <cell r="Q1267">
            <v>45606</v>
          </cell>
          <cell r="R1267" t="str">
            <v>Chennai</v>
          </cell>
          <cell r="S1267" t="str">
            <v>Mobile</v>
          </cell>
          <cell r="T1267" t="str">
            <v>data analytics course</v>
          </cell>
        </row>
        <row r="1268">
          <cell r="A1268" t="str">
            <v>A2266</v>
          </cell>
          <cell r="B1268" t="str">
            <v>Data Analytics Course</v>
          </cell>
          <cell r="C1268">
            <v>98</v>
          </cell>
          <cell r="D1268">
            <v>98</v>
          </cell>
          <cell r="E1268">
            <v>4801</v>
          </cell>
          <cell r="F1268">
            <v>4801</v>
          </cell>
          <cell r="G1268" t="str">
            <v>$186.52</v>
          </cell>
          <cell r="H1268" t="str">
            <v>$186.52</v>
          </cell>
          <cell r="I1268">
            <v>10</v>
          </cell>
          <cell r="J1268">
            <v>10</v>
          </cell>
          <cell r="K1268">
            <v>3</v>
          </cell>
          <cell r="L1268">
            <v>3</v>
          </cell>
          <cell r="M1268">
            <v>3.0612244897959183E-2</v>
          </cell>
          <cell r="N1268">
            <v>3.1E-2</v>
          </cell>
          <cell r="O1268" t="str">
            <v>$1121</v>
          </cell>
          <cell r="P1268" t="str">
            <v>$1121</v>
          </cell>
          <cell r="Q1268">
            <v>45603</v>
          </cell>
          <cell r="R1268" t="str">
            <v>Hyderabad</v>
          </cell>
          <cell r="S1268" t="str">
            <v>Desktop</v>
          </cell>
          <cell r="T1268" t="str">
            <v>learn data analytics</v>
          </cell>
        </row>
        <row r="1269">
          <cell r="A1269" t="str">
            <v>A2267</v>
          </cell>
          <cell r="B1269" t="str">
            <v>Data Analytcis Course</v>
          </cell>
          <cell r="C1269">
            <v>145</v>
          </cell>
          <cell r="D1269">
            <v>145</v>
          </cell>
          <cell r="E1269">
            <v>4799</v>
          </cell>
          <cell r="F1269">
            <v>4799</v>
          </cell>
          <cell r="G1269" t="str">
            <v>$194.74</v>
          </cell>
          <cell r="H1269" t="str">
            <v>$194.74</v>
          </cell>
          <cell r="I1269">
            <v>17</v>
          </cell>
          <cell r="J1269">
            <v>17</v>
          </cell>
          <cell r="K1269">
            <v>6</v>
          </cell>
          <cell r="L1269">
            <v>6</v>
          </cell>
          <cell r="M1269">
            <v>4.1379310344827586E-2</v>
          </cell>
          <cell r="O1269" t="str">
            <v>$1381</v>
          </cell>
          <cell r="P1269" t="str">
            <v>$1381</v>
          </cell>
          <cell r="Q1269">
            <v>45603</v>
          </cell>
          <cell r="R1269" t="str">
            <v>Hyderabad</v>
          </cell>
          <cell r="S1269" t="str">
            <v>Desktop</v>
          </cell>
          <cell r="T1269" t="str">
            <v>analytics for data</v>
          </cell>
        </row>
        <row r="1270">
          <cell r="A1270" t="str">
            <v>A2268</v>
          </cell>
          <cell r="B1270" t="str">
            <v>Data Analytics Course</v>
          </cell>
          <cell r="C1270">
            <v>179</v>
          </cell>
          <cell r="D1270">
            <v>179</v>
          </cell>
          <cell r="E1270">
            <v>3753</v>
          </cell>
          <cell r="F1270">
            <v>3753</v>
          </cell>
          <cell r="G1270" t="str">
            <v>$220.87</v>
          </cell>
          <cell r="H1270" t="str">
            <v>$220.87</v>
          </cell>
          <cell r="I1270">
            <v>23</v>
          </cell>
          <cell r="J1270">
            <v>23</v>
          </cell>
          <cell r="K1270">
            <v>6</v>
          </cell>
          <cell r="L1270">
            <v>6</v>
          </cell>
          <cell r="M1270">
            <v>3.3519553072625698E-2</v>
          </cell>
          <cell r="O1270" t="str">
            <v>$1966</v>
          </cell>
          <cell r="P1270" t="str">
            <v>$1966</v>
          </cell>
          <cell r="Q1270">
            <v>45610</v>
          </cell>
          <cell r="R1270" t="str">
            <v>Bangaluru</v>
          </cell>
          <cell r="S1270" t="str">
            <v>Tablet</v>
          </cell>
          <cell r="T1270" t="str">
            <v>data analytics course</v>
          </cell>
        </row>
        <row r="1271">
          <cell r="A1271" t="str">
            <v>A2269</v>
          </cell>
          <cell r="B1271" t="str">
            <v>Data Analytics Course</v>
          </cell>
          <cell r="C1271">
            <v>108</v>
          </cell>
          <cell r="D1271">
            <v>108</v>
          </cell>
          <cell r="E1271">
            <v>4698</v>
          </cell>
          <cell r="F1271">
            <v>4698</v>
          </cell>
          <cell r="G1271" t="str">
            <v>$187.19</v>
          </cell>
          <cell r="H1271" t="str">
            <v>$187.19</v>
          </cell>
          <cell r="I1271">
            <v>19</v>
          </cell>
          <cell r="J1271">
            <v>19</v>
          </cell>
          <cell r="K1271">
            <v>10</v>
          </cell>
          <cell r="L1271">
            <v>10</v>
          </cell>
          <cell r="M1271">
            <v>9.2592592592592587E-2</v>
          </cell>
          <cell r="O1271" t="str">
            <v>$1118</v>
          </cell>
          <cell r="P1271" t="str">
            <v>$1118</v>
          </cell>
          <cell r="Q1271">
            <v>45611</v>
          </cell>
          <cell r="R1271" t="str">
            <v>Hyderabad</v>
          </cell>
          <cell r="S1271" t="str">
            <v>Mobile</v>
          </cell>
          <cell r="T1271" t="str">
            <v>data analytics online</v>
          </cell>
        </row>
        <row r="1272">
          <cell r="A1272" t="str">
            <v>A2270</v>
          </cell>
          <cell r="B1272" t="str">
            <v>Data Analytcis Course</v>
          </cell>
          <cell r="C1272">
            <v>191</v>
          </cell>
          <cell r="D1272">
            <v>191</v>
          </cell>
          <cell r="E1272">
            <v>3522</v>
          </cell>
          <cell r="F1272">
            <v>3522</v>
          </cell>
          <cell r="G1272" t="str">
            <v>$216.65</v>
          </cell>
          <cell r="H1272" t="str">
            <v>$216.65</v>
          </cell>
          <cell r="I1272">
            <v>25</v>
          </cell>
          <cell r="J1272">
            <v>25</v>
          </cell>
          <cell r="K1272">
            <v>5</v>
          </cell>
          <cell r="L1272">
            <v>5</v>
          </cell>
          <cell r="M1272">
            <v>2.6178010471204188E-2</v>
          </cell>
          <cell r="N1272">
            <v>2.5999999999999999E-2</v>
          </cell>
          <cell r="O1272" t="str">
            <v>$1835</v>
          </cell>
          <cell r="P1272" t="str">
            <v>$1835</v>
          </cell>
          <cell r="Q1272">
            <v>45620</v>
          </cell>
          <cell r="R1272" t="str">
            <v>Chennai</v>
          </cell>
          <cell r="S1272" t="str">
            <v>Tablet</v>
          </cell>
          <cell r="T1272" t="str">
            <v>data analytics training</v>
          </cell>
        </row>
        <row r="1273">
          <cell r="A1273" t="str">
            <v>A2271</v>
          </cell>
          <cell r="B1273" t="str">
            <v>Data Analytics Course</v>
          </cell>
          <cell r="C1273">
            <v>183</v>
          </cell>
          <cell r="D1273">
            <v>183</v>
          </cell>
          <cell r="E1273">
            <v>3363</v>
          </cell>
          <cell r="F1273">
            <v>3363</v>
          </cell>
          <cell r="G1273" t="str">
            <v>$212.08</v>
          </cell>
          <cell r="H1273" t="str">
            <v>$212.08</v>
          </cell>
          <cell r="I1273">
            <v>10</v>
          </cell>
          <cell r="J1273">
            <v>10</v>
          </cell>
          <cell r="K1273">
            <v>9</v>
          </cell>
          <cell r="L1273">
            <v>9</v>
          </cell>
          <cell r="M1273">
            <v>4.9180327868852458E-2</v>
          </cell>
          <cell r="N1273">
            <v>4.9000000000000002E-2</v>
          </cell>
          <cell r="O1273" t="str">
            <v>$1511</v>
          </cell>
          <cell r="P1273" t="str">
            <v>$1511</v>
          </cell>
          <cell r="Q1273">
            <v>45603</v>
          </cell>
          <cell r="R1273" t="str">
            <v>Chennai</v>
          </cell>
          <cell r="S1273" t="str">
            <v>Tablet</v>
          </cell>
          <cell r="T1273" t="str">
            <v>data analytics online</v>
          </cell>
        </row>
        <row r="1274">
          <cell r="A1274" t="str">
            <v>A2272</v>
          </cell>
          <cell r="B1274" t="str">
            <v>Data Analytics Course</v>
          </cell>
          <cell r="C1274">
            <v>175</v>
          </cell>
          <cell r="D1274">
            <v>175</v>
          </cell>
          <cell r="E1274">
            <v>5924</v>
          </cell>
          <cell r="F1274">
            <v>5924</v>
          </cell>
          <cell r="G1274" t="str">
            <v>$223.3</v>
          </cell>
          <cell r="H1274" t="str">
            <v>$223.3</v>
          </cell>
          <cell r="I1274">
            <v>14</v>
          </cell>
          <cell r="J1274">
            <v>14</v>
          </cell>
          <cell r="K1274">
            <v>3</v>
          </cell>
          <cell r="L1274">
            <v>3</v>
          </cell>
          <cell r="M1274">
            <v>1.7142857142857144E-2</v>
          </cell>
          <cell r="N1274">
            <v>1.7000000000000001E-2</v>
          </cell>
          <cell r="O1274" t="str">
            <v>$1505</v>
          </cell>
          <cell r="P1274" t="str">
            <v>$1505</v>
          </cell>
          <cell r="Q1274">
            <v>45600</v>
          </cell>
          <cell r="R1274" t="str">
            <v>Bangaluru</v>
          </cell>
          <cell r="S1274" t="str">
            <v>Mobile</v>
          </cell>
          <cell r="T1274" t="str">
            <v>analytics for data</v>
          </cell>
        </row>
        <row r="1275">
          <cell r="A1275" t="str">
            <v>A2273</v>
          </cell>
          <cell r="B1275" t="str">
            <v>Data Analytics Course</v>
          </cell>
          <cell r="C1275">
            <v>97</v>
          </cell>
          <cell r="D1275">
            <v>97</v>
          </cell>
          <cell r="E1275">
            <v>3558</v>
          </cell>
          <cell r="F1275">
            <v>3558</v>
          </cell>
          <cell r="G1275" t="str">
            <v>$195.5</v>
          </cell>
          <cell r="H1275" t="str">
            <v>$195.5</v>
          </cell>
          <cell r="I1275">
            <v>13</v>
          </cell>
          <cell r="J1275">
            <v>13</v>
          </cell>
          <cell r="K1275">
            <v>3</v>
          </cell>
          <cell r="L1275">
            <v>3</v>
          </cell>
          <cell r="M1275">
            <v>3.0927835051546393E-2</v>
          </cell>
          <cell r="N1275">
            <v>5.8000000000000003E-2</v>
          </cell>
          <cell r="O1275" t="str">
            <v>$1544</v>
          </cell>
          <cell r="P1275" t="str">
            <v>$1544</v>
          </cell>
          <cell r="Q1275">
            <v>45607</v>
          </cell>
          <cell r="R1275" t="str">
            <v>Hyderabad</v>
          </cell>
          <cell r="S1275" t="str">
            <v>Desktop</v>
          </cell>
          <cell r="T1275" t="str">
            <v>data analytics course</v>
          </cell>
        </row>
        <row r="1276">
          <cell r="A1276" t="str">
            <v>A2274</v>
          </cell>
          <cell r="B1276" t="str">
            <v>Data Analytics Course</v>
          </cell>
          <cell r="C1276">
            <v>159</v>
          </cell>
          <cell r="D1276">
            <v>159</v>
          </cell>
          <cell r="E1276">
            <v>4208</v>
          </cell>
          <cell r="F1276">
            <v>4208</v>
          </cell>
          <cell r="G1276" t="str">
            <v>$236.75</v>
          </cell>
          <cell r="H1276" t="str">
            <v>$236.75</v>
          </cell>
          <cell r="I1276">
            <v>13</v>
          </cell>
          <cell r="J1276">
            <v>13</v>
          </cell>
          <cell r="K1276">
            <v>8</v>
          </cell>
          <cell r="L1276">
            <v>8</v>
          </cell>
          <cell r="M1276">
            <v>5.0314465408805034E-2</v>
          </cell>
          <cell r="N1276">
            <v>0.05</v>
          </cell>
          <cell r="O1276" t="str">
            <v>$1849</v>
          </cell>
          <cell r="P1276" t="str">
            <v>$1849</v>
          </cell>
          <cell r="Q1276">
            <v>45612</v>
          </cell>
          <cell r="R1276" t="str">
            <v>Hyderabad</v>
          </cell>
          <cell r="S1276" t="str">
            <v>Tablet</v>
          </cell>
          <cell r="T1276" t="str">
            <v>data analytics training</v>
          </cell>
        </row>
        <row r="1277">
          <cell r="A1277" t="str">
            <v>A2275</v>
          </cell>
          <cell r="B1277" t="str">
            <v>Data Analytics Course</v>
          </cell>
          <cell r="C1277">
            <v>125</v>
          </cell>
          <cell r="D1277">
            <v>125</v>
          </cell>
          <cell r="E1277">
            <v>3607</v>
          </cell>
          <cell r="F1277">
            <v>3607</v>
          </cell>
          <cell r="G1277" t="str">
            <v>$224.45</v>
          </cell>
          <cell r="H1277" t="str">
            <v>$224.45</v>
          </cell>
          <cell r="I1277">
            <v>22</v>
          </cell>
          <cell r="J1277">
            <v>22</v>
          </cell>
          <cell r="K1277">
            <v>9</v>
          </cell>
          <cell r="L1277">
            <v>9</v>
          </cell>
          <cell r="M1277">
            <v>7.1999999999999995E-2</v>
          </cell>
          <cell r="N1277">
            <v>7.1999999999999995E-2</v>
          </cell>
          <cell r="O1277" t="str">
            <v>$1392</v>
          </cell>
          <cell r="P1277" t="str">
            <v>$1392</v>
          </cell>
          <cell r="Q1277">
            <v>45598</v>
          </cell>
          <cell r="R1277" t="str">
            <v>Bangaluru</v>
          </cell>
          <cell r="S1277" t="str">
            <v>Tablet</v>
          </cell>
          <cell r="T1277" t="str">
            <v>analytics for data</v>
          </cell>
        </row>
        <row r="1278">
          <cell r="A1278" t="str">
            <v>A2276</v>
          </cell>
          <cell r="B1278" t="str">
            <v>Data Analytcis Course</v>
          </cell>
          <cell r="C1278">
            <v>193</v>
          </cell>
          <cell r="D1278">
            <v>193</v>
          </cell>
          <cell r="E1278">
            <v>4523.2808326787117</v>
          </cell>
          <cell r="G1278" t="str">
            <v>$199.27</v>
          </cell>
          <cell r="H1278" t="str">
            <v>$199.27</v>
          </cell>
          <cell r="I1278">
            <v>13</v>
          </cell>
          <cell r="J1278">
            <v>13</v>
          </cell>
          <cell r="K1278">
            <v>9</v>
          </cell>
          <cell r="L1278">
            <v>9</v>
          </cell>
          <cell r="M1278">
            <v>4.6632124352331605E-2</v>
          </cell>
          <cell r="O1278" t="str">
            <v>$1612</v>
          </cell>
          <cell r="P1278" t="str">
            <v>$1612</v>
          </cell>
          <cell r="Q1278">
            <v>45604</v>
          </cell>
          <cell r="R1278" t="str">
            <v>Bangaluru</v>
          </cell>
          <cell r="S1278" t="str">
            <v>Mobile</v>
          </cell>
          <cell r="T1278" t="str">
            <v>data analytics online</v>
          </cell>
        </row>
        <row r="1279">
          <cell r="A1279" t="str">
            <v>A2277</v>
          </cell>
          <cell r="B1279" t="str">
            <v>Data Analytcis Course</v>
          </cell>
          <cell r="C1279">
            <v>110</v>
          </cell>
          <cell r="D1279">
            <v>110</v>
          </cell>
          <cell r="E1279">
            <v>5220</v>
          </cell>
          <cell r="F1279">
            <v>5220</v>
          </cell>
          <cell r="G1279" t="str">
            <v>$233.06</v>
          </cell>
          <cell r="H1279" t="str">
            <v>$233.06</v>
          </cell>
          <cell r="I1279">
            <v>16</v>
          </cell>
          <cell r="J1279">
            <v>16</v>
          </cell>
          <cell r="K1279">
            <v>4</v>
          </cell>
          <cell r="L1279">
            <v>4</v>
          </cell>
          <cell r="M1279">
            <v>3.6363636363636362E-2</v>
          </cell>
          <cell r="N1279">
            <v>3.5999999999999997E-2</v>
          </cell>
          <cell r="O1279" t="str">
            <v>$1711</v>
          </cell>
          <cell r="P1279" t="str">
            <v>$1711</v>
          </cell>
          <cell r="Q1279">
            <v>45611</v>
          </cell>
          <cell r="R1279" t="str">
            <v>Bangaluru</v>
          </cell>
          <cell r="S1279" t="str">
            <v>Mobile</v>
          </cell>
          <cell r="T1279" t="str">
            <v>data analytics training</v>
          </cell>
        </row>
        <row r="1280">
          <cell r="A1280" t="str">
            <v>A2278</v>
          </cell>
          <cell r="B1280" t="str">
            <v>Data Analytics Course</v>
          </cell>
          <cell r="C1280">
            <v>83</v>
          </cell>
          <cell r="D1280">
            <v>83</v>
          </cell>
          <cell r="E1280">
            <v>5247</v>
          </cell>
          <cell r="F1280">
            <v>5247</v>
          </cell>
          <cell r="G1280" t="str">
            <v>$231.04</v>
          </cell>
          <cell r="H1280" t="str">
            <v>$231.04</v>
          </cell>
          <cell r="I1280">
            <v>27</v>
          </cell>
          <cell r="J1280">
            <v>27</v>
          </cell>
          <cell r="K1280">
            <v>3</v>
          </cell>
          <cell r="L1280">
            <v>3</v>
          </cell>
          <cell r="M1280">
            <v>3.614457831325301E-2</v>
          </cell>
          <cell r="N1280">
            <v>5.3999999999999999E-2</v>
          </cell>
          <cell r="O1280" t="str">
            <v>$1636</v>
          </cell>
          <cell r="P1280" t="str">
            <v>$1636</v>
          </cell>
          <cell r="Q1280">
            <v>45600</v>
          </cell>
          <cell r="R1280" t="str">
            <v>Chennai</v>
          </cell>
          <cell r="S1280" t="str">
            <v>Desktop</v>
          </cell>
          <cell r="T1280" t="str">
            <v>data analytics online</v>
          </cell>
        </row>
        <row r="1281">
          <cell r="A1281" t="str">
            <v>A2279</v>
          </cell>
          <cell r="B1281" t="str">
            <v>Data Analytics Course</v>
          </cell>
          <cell r="C1281">
            <v>166</v>
          </cell>
          <cell r="D1281">
            <v>166</v>
          </cell>
          <cell r="E1281">
            <v>5522</v>
          </cell>
          <cell r="F1281">
            <v>5522</v>
          </cell>
          <cell r="G1281" t="str">
            <v>$218.34</v>
          </cell>
          <cell r="H1281" t="str">
            <v>$218.34</v>
          </cell>
          <cell r="I1281">
            <v>13</v>
          </cell>
          <cell r="J1281">
            <v>13</v>
          </cell>
          <cell r="K1281">
            <v>3</v>
          </cell>
          <cell r="L1281">
            <v>3</v>
          </cell>
          <cell r="M1281">
            <v>1.8072289156626505E-2</v>
          </cell>
          <cell r="N1281">
            <v>1.7999999999999999E-2</v>
          </cell>
          <cell r="O1281" t="str">
            <v>$1235</v>
          </cell>
          <cell r="P1281" t="str">
            <v>$1235</v>
          </cell>
          <cell r="Q1281">
            <v>45618</v>
          </cell>
          <cell r="R1281" t="str">
            <v>Chennai</v>
          </cell>
          <cell r="S1281" t="str">
            <v>Desktop</v>
          </cell>
          <cell r="T1281" t="str">
            <v>online data analytic</v>
          </cell>
        </row>
        <row r="1282">
          <cell r="A1282" t="str">
            <v>A2280</v>
          </cell>
          <cell r="B1282" t="str">
            <v>Data Analytics Course</v>
          </cell>
          <cell r="C1282">
            <v>108</v>
          </cell>
          <cell r="D1282">
            <v>108</v>
          </cell>
          <cell r="E1282">
            <v>3682</v>
          </cell>
          <cell r="F1282">
            <v>3682</v>
          </cell>
          <cell r="G1282" t="str">
            <v>$214.43</v>
          </cell>
          <cell r="H1282" t="str">
            <v>$214.43</v>
          </cell>
          <cell r="I1282">
            <v>20</v>
          </cell>
          <cell r="J1282">
            <v>20</v>
          </cell>
          <cell r="K1282">
            <v>3</v>
          </cell>
          <cell r="L1282">
            <v>3</v>
          </cell>
          <cell r="M1282">
            <v>2.7777777777777776E-2</v>
          </cell>
          <cell r="N1282">
            <v>2.8000000000000001E-2</v>
          </cell>
          <cell r="O1282" t="str">
            <v>$1553</v>
          </cell>
          <cell r="P1282" t="str">
            <v>$1553</v>
          </cell>
          <cell r="Q1282">
            <v>45623</v>
          </cell>
          <cell r="R1282" t="str">
            <v>Bangaluru</v>
          </cell>
          <cell r="S1282" t="str">
            <v>Desktop</v>
          </cell>
          <cell r="T1282" t="str">
            <v>learn data analytics</v>
          </cell>
        </row>
        <row r="1283">
          <cell r="A1283" t="str">
            <v>A2281</v>
          </cell>
          <cell r="B1283" t="str">
            <v>Data Analytcis Course</v>
          </cell>
          <cell r="C1283">
            <v>84</v>
          </cell>
          <cell r="D1283">
            <v>84</v>
          </cell>
          <cell r="E1283">
            <v>4549</v>
          </cell>
          <cell r="F1283">
            <v>4549</v>
          </cell>
          <cell r="G1283" t="str">
            <v>$191.96</v>
          </cell>
          <cell r="H1283" t="str">
            <v>$191.96</v>
          </cell>
          <cell r="I1283">
            <v>15</v>
          </cell>
          <cell r="J1283">
            <v>15</v>
          </cell>
          <cell r="K1283">
            <v>7</v>
          </cell>
          <cell r="L1283">
            <v>7</v>
          </cell>
          <cell r="M1283">
            <v>8.3333333333333329E-2</v>
          </cell>
          <cell r="O1283" t="str">
            <v>$1303</v>
          </cell>
          <cell r="P1283" t="str">
            <v>$1303</v>
          </cell>
          <cell r="Q1283">
            <v>45609</v>
          </cell>
          <cell r="R1283" t="str">
            <v>Hyderabad</v>
          </cell>
          <cell r="S1283" t="str">
            <v>Desktop</v>
          </cell>
          <cell r="T1283" t="str">
            <v>data analytics course</v>
          </cell>
        </row>
        <row r="1284">
          <cell r="A1284" t="str">
            <v>A2282</v>
          </cell>
          <cell r="B1284" t="str">
            <v>Data Analytics Course</v>
          </cell>
          <cell r="C1284">
            <v>117</v>
          </cell>
          <cell r="D1284">
            <v>117</v>
          </cell>
          <cell r="E1284">
            <v>5170</v>
          </cell>
          <cell r="F1284">
            <v>5170</v>
          </cell>
          <cell r="G1284" t="str">
            <v>$200.00</v>
          </cell>
          <cell r="I1284">
            <v>16</v>
          </cell>
          <cell r="J1284">
            <v>16</v>
          </cell>
          <cell r="K1284">
            <v>10</v>
          </cell>
          <cell r="L1284">
            <v>10</v>
          </cell>
          <cell r="M1284">
            <v>8.5470085470085472E-2</v>
          </cell>
          <cell r="N1284">
            <v>8.5000000000000006E-2</v>
          </cell>
          <cell r="O1284" t="str">
            <v>$1500</v>
          </cell>
          <cell r="Q1284">
            <v>45616</v>
          </cell>
          <cell r="R1284" t="str">
            <v>Hyderabad</v>
          </cell>
          <cell r="S1284" t="str">
            <v>Tablet</v>
          </cell>
          <cell r="T1284" t="str">
            <v>data analytics online</v>
          </cell>
        </row>
        <row r="1285">
          <cell r="A1285" t="str">
            <v>A2283</v>
          </cell>
          <cell r="B1285" t="str">
            <v>Data Analytics Course</v>
          </cell>
          <cell r="C1285">
            <v>195</v>
          </cell>
          <cell r="D1285">
            <v>195</v>
          </cell>
          <cell r="E1285">
            <v>3122</v>
          </cell>
          <cell r="F1285">
            <v>3122</v>
          </cell>
          <cell r="G1285" t="str">
            <v>$205.3</v>
          </cell>
          <cell r="H1285" t="str">
            <v>$205.3</v>
          </cell>
          <cell r="I1285">
            <v>24</v>
          </cell>
          <cell r="J1285">
            <v>24</v>
          </cell>
          <cell r="K1285">
            <v>4</v>
          </cell>
          <cell r="L1285">
            <v>4</v>
          </cell>
          <cell r="M1285">
            <v>2.0512820512820513E-2</v>
          </cell>
          <cell r="N1285">
            <v>4.2999999999999997E-2</v>
          </cell>
          <cell r="O1285" t="str">
            <v>$1326</v>
          </cell>
          <cell r="P1285" t="str">
            <v>$1326</v>
          </cell>
          <cell r="Q1285">
            <v>45610</v>
          </cell>
          <cell r="R1285" t="str">
            <v>Bangaluru</v>
          </cell>
          <cell r="S1285" t="str">
            <v>Mobile</v>
          </cell>
          <cell r="T1285" t="str">
            <v>data analytics training</v>
          </cell>
        </row>
        <row r="1286">
          <cell r="A1286" t="str">
            <v>A2284</v>
          </cell>
          <cell r="B1286" t="str">
            <v>Data Analytics Course</v>
          </cell>
          <cell r="C1286">
            <v>149</v>
          </cell>
          <cell r="D1286">
            <v>149</v>
          </cell>
          <cell r="E1286">
            <v>3650</v>
          </cell>
          <cell r="F1286">
            <v>3650</v>
          </cell>
          <cell r="G1286" t="str">
            <v>$220.25</v>
          </cell>
          <cell r="H1286" t="str">
            <v>$220.25</v>
          </cell>
          <cell r="I1286">
            <v>17</v>
          </cell>
          <cell r="J1286">
            <v>17</v>
          </cell>
          <cell r="K1286">
            <v>3</v>
          </cell>
          <cell r="L1286">
            <v>3</v>
          </cell>
          <cell r="M1286">
            <v>2.0134228187919462E-2</v>
          </cell>
          <cell r="N1286">
            <v>0.02</v>
          </cell>
          <cell r="O1286" t="str">
            <v>$1500</v>
          </cell>
          <cell r="Q1286">
            <v>45625</v>
          </cell>
          <cell r="R1286" t="str">
            <v>Hyderabad</v>
          </cell>
          <cell r="S1286" t="str">
            <v>Mobile</v>
          </cell>
          <cell r="T1286" t="str">
            <v>data analytics online</v>
          </cell>
        </row>
        <row r="1287">
          <cell r="A1287" t="str">
            <v>A2285</v>
          </cell>
          <cell r="B1287" t="str">
            <v>Data Analytics Course</v>
          </cell>
          <cell r="C1287">
            <v>142</v>
          </cell>
          <cell r="D1287">
            <v>142</v>
          </cell>
          <cell r="E1287">
            <v>5436</v>
          </cell>
          <cell r="F1287">
            <v>5436</v>
          </cell>
          <cell r="G1287" t="str">
            <v>$237.09</v>
          </cell>
          <cell r="H1287" t="str">
            <v>$237.09</v>
          </cell>
          <cell r="I1287">
            <v>14</v>
          </cell>
          <cell r="J1287">
            <v>14</v>
          </cell>
          <cell r="K1287">
            <v>7</v>
          </cell>
          <cell r="L1287">
            <v>7</v>
          </cell>
          <cell r="M1287">
            <v>4.9295774647887321E-2</v>
          </cell>
          <cell r="O1287" t="str">
            <v>$1269</v>
          </cell>
          <cell r="P1287" t="str">
            <v>$1269</v>
          </cell>
          <cell r="Q1287">
            <v>45616</v>
          </cell>
          <cell r="R1287" t="str">
            <v>Bangaluru</v>
          </cell>
          <cell r="S1287" t="str">
            <v>Tablet</v>
          </cell>
          <cell r="T1287" t="str">
            <v>online data analytic</v>
          </cell>
        </row>
        <row r="1288">
          <cell r="A1288" t="str">
            <v>A2286</v>
          </cell>
          <cell r="B1288" t="str">
            <v>Data Analytics Course</v>
          </cell>
          <cell r="C1288">
            <v>98</v>
          </cell>
          <cell r="D1288">
            <v>98</v>
          </cell>
          <cell r="E1288">
            <v>5485</v>
          </cell>
          <cell r="F1288">
            <v>5485</v>
          </cell>
          <cell r="G1288" t="str">
            <v>$182.29</v>
          </cell>
          <cell r="H1288" t="str">
            <v>$182.29</v>
          </cell>
          <cell r="I1288">
            <v>16</v>
          </cell>
          <cell r="J1288">
            <v>16</v>
          </cell>
          <cell r="K1288">
            <v>5</v>
          </cell>
          <cell r="L1288">
            <v>5</v>
          </cell>
          <cell r="M1288">
            <v>5.1020408163265307E-2</v>
          </cell>
          <cell r="N1288">
            <v>5.0999999999999997E-2</v>
          </cell>
          <cell r="O1288" t="str">
            <v>$1518</v>
          </cell>
          <cell r="P1288" t="str">
            <v>$1518</v>
          </cell>
          <cell r="Q1288">
            <v>45615</v>
          </cell>
          <cell r="R1288" t="str">
            <v>Chennai</v>
          </cell>
          <cell r="S1288" t="str">
            <v>Desktop</v>
          </cell>
          <cell r="T1288" t="str">
            <v>learn data analytics</v>
          </cell>
        </row>
        <row r="1289">
          <cell r="A1289" t="str">
            <v>A2287</v>
          </cell>
          <cell r="B1289" t="str">
            <v>Data Analytics Course</v>
          </cell>
          <cell r="C1289">
            <v>169</v>
          </cell>
          <cell r="D1289">
            <v>169</v>
          </cell>
          <cell r="E1289">
            <v>3778</v>
          </cell>
          <cell r="F1289">
            <v>3778</v>
          </cell>
          <cell r="G1289" t="str">
            <v>$200.00</v>
          </cell>
          <cell r="I1289">
            <v>11</v>
          </cell>
          <cell r="J1289">
            <v>11</v>
          </cell>
          <cell r="K1289">
            <v>3</v>
          </cell>
          <cell r="L1289">
            <v>3</v>
          </cell>
          <cell r="M1289">
            <v>1.7751479289940829E-2</v>
          </cell>
          <cell r="N1289">
            <v>1.7999999999999999E-2</v>
          </cell>
          <cell r="O1289" t="str">
            <v>$1721</v>
          </cell>
          <cell r="P1289" t="str">
            <v>$1721</v>
          </cell>
          <cell r="Q1289">
            <v>45610</v>
          </cell>
          <cell r="R1289" t="str">
            <v>Bangaluru</v>
          </cell>
          <cell r="S1289" t="str">
            <v>Desktop</v>
          </cell>
          <cell r="T1289" t="str">
            <v>data analytics training</v>
          </cell>
        </row>
        <row r="1290">
          <cell r="A1290" t="str">
            <v>A2288</v>
          </cell>
          <cell r="B1290" t="str">
            <v>Data Analytics Course</v>
          </cell>
          <cell r="C1290">
            <v>99</v>
          </cell>
          <cell r="D1290">
            <v>99</v>
          </cell>
          <cell r="E1290">
            <v>3051</v>
          </cell>
          <cell r="F1290">
            <v>3051</v>
          </cell>
          <cell r="G1290" t="str">
            <v>$200.00</v>
          </cell>
          <cell r="I1290">
            <v>18</v>
          </cell>
          <cell r="J1290">
            <v>18</v>
          </cell>
          <cell r="K1290">
            <v>6</v>
          </cell>
          <cell r="L1290">
            <v>6</v>
          </cell>
          <cell r="M1290">
            <v>6.0606060606060608E-2</v>
          </cell>
          <cell r="N1290">
            <v>5.2999999999999999E-2</v>
          </cell>
          <cell r="O1290" t="str">
            <v>$1762</v>
          </cell>
          <cell r="P1290" t="str">
            <v>$1762</v>
          </cell>
          <cell r="Q1290">
            <v>45625</v>
          </cell>
          <cell r="R1290" t="str">
            <v>Hyderabad</v>
          </cell>
          <cell r="S1290" t="str">
            <v>Mobile</v>
          </cell>
          <cell r="T1290" t="str">
            <v>online data analytic</v>
          </cell>
        </row>
        <row r="1291">
          <cell r="A1291" t="str">
            <v>A2289</v>
          </cell>
          <cell r="B1291" t="str">
            <v>Data Analytcis Course</v>
          </cell>
          <cell r="C1291">
            <v>170</v>
          </cell>
          <cell r="D1291">
            <v>170</v>
          </cell>
          <cell r="E1291">
            <v>5286</v>
          </cell>
          <cell r="F1291">
            <v>5286</v>
          </cell>
          <cell r="G1291" t="str">
            <v>$190.65</v>
          </cell>
          <cell r="H1291" t="str">
            <v>$190.65</v>
          </cell>
          <cell r="I1291">
            <v>22</v>
          </cell>
          <cell r="J1291">
            <v>22</v>
          </cell>
          <cell r="K1291">
            <v>7</v>
          </cell>
          <cell r="L1291">
            <v>7</v>
          </cell>
          <cell r="M1291">
            <v>4.1176470588235294E-2</v>
          </cell>
          <cell r="N1291">
            <v>4.1000000000000002E-2</v>
          </cell>
          <cell r="O1291" t="str">
            <v>$1110</v>
          </cell>
          <cell r="P1291" t="str">
            <v>$1110</v>
          </cell>
          <cell r="Q1291">
            <v>45605</v>
          </cell>
          <cell r="R1291" t="str">
            <v>Hyderabad</v>
          </cell>
          <cell r="S1291" t="str">
            <v>Desktop</v>
          </cell>
          <cell r="T1291" t="str">
            <v>data analytics online</v>
          </cell>
        </row>
        <row r="1292">
          <cell r="A1292" t="str">
            <v>A2290</v>
          </cell>
          <cell r="B1292" t="str">
            <v>Data Analytics Course</v>
          </cell>
          <cell r="C1292">
            <v>138.95699356913184</v>
          </cell>
          <cell r="E1292">
            <v>3533</v>
          </cell>
          <cell r="F1292">
            <v>3533</v>
          </cell>
          <cell r="G1292" t="str">
            <v>$248.96</v>
          </cell>
          <cell r="H1292" t="str">
            <v>$248.96</v>
          </cell>
          <cell r="I1292">
            <v>22</v>
          </cell>
          <cell r="J1292">
            <v>22</v>
          </cell>
          <cell r="K1292">
            <v>4</v>
          </cell>
          <cell r="L1292">
            <v>4</v>
          </cell>
          <cell r="M1292">
            <v>2.8785884734977219E-2</v>
          </cell>
          <cell r="O1292" t="str">
            <v>$1606</v>
          </cell>
          <cell r="P1292" t="str">
            <v>$1606</v>
          </cell>
          <cell r="Q1292">
            <v>45601</v>
          </cell>
          <cell r="R1292" t="str">
            <v>Hyderabad</v>
          </cell>
          <cell r="S1292" t="str">
            <v>Mobile</v>
          </cell>
          <cell r="T1292" t="str">
            <v>data analytics training</v>
          </cell>
        </row>
        <row r="1293">
          <cell r="A1293" t="str">
            <v>A2291</v>
          </cell>
          <cell r="B1293" t="str">
            <v>Data Analytics Course</v>
          </cell>
          <cell r="C1293">
            <v>156</v>
          </cell>
          <cell r="D1293">
            <v>156</v>
          </cell>
          <cell r="E1293">
            <v>5125</v>
          </cell>
          <cell r="F1293">
            <v>5125</v>
          </cell>
          <cell r="G1293" t="str">
            <v>$182.15</v>
          </cell>
          <cell r="H1293" t="str">
            <v>$182.15</v>
          </cell>
          <cell r="I1293">
            <v>26</v>
          </cell>
          <cell r="J1293">
            <v>26</v>
          </cell>
          <cell r="K1293">
            <v>10</v>
          </cell>
          <cell r="L1293">
            <v>10</v>
          </cell>
          <cell r="M1293">
            <v>6.4102564102564097E-2</v>
          </cell>
          <cell r="N1293">
            <v>6.4000000000000001E-2</v>
          </cell>
          <cell r="O1293" t="str">
            <v>$1658</v>
          </cell>
          <cell r="P1293" t="str">
            <v>$1658</v>
          </cell>
          <cell r="Q1293">
            <v>45612</v>
          </cell>
          <cell r="R1293" t="str">
            <v>Hyderabad</v>
          </cell>
          <cell r="S1293" t="str">
            <v>Mobile</v>
          </cell>
          <cell r="T1293" t="str">
            <v>data analytics course</v>
          </cell>
        </row>
        <row r="1294">
          <cell r="A1294" t="str">
            <v>A2292</v>
          </cell>
          <cell r="B1294" t="str">
            <v>Data Analytics Course</v>
          </cell>
          <cell r="C1294">
            <v>91</v>
          </cell>
          <cell r="D1294">
            <v>91</v>
          </cell>
          <cell r="E1294">
            <v>4500</v>
          </cell>
          <cell r="F1294">
            <v>4500</v>
          </cell>
          <cell r="G1294" t="str">
            <v>$241.81</v>
          </cell>
          <cell r="H1294" t="str">
            <v>$241.81</v>
          </cell>
          <cell r="I1294">
            <v>20</v>
          </cell>
          <cell r="J1294">
            <v>20</v>
          </cell>
          <cell r="K1294">
            <v>3</v>
          </cell>
          <cell r="L1294">
            <v>3</v>
          </cell>
          <cell r="M1294">
            <v>3.2967032967032968E-2</v>
          </cell>
          <cell r="N1294">
            <v>3.3000000000000002E-2</v>
          </cell>
          <cell r="O1294" t="str">
            <v>$1902</v>
          </cell>
          <cell r="P1294" t="str">
            <v>$1902</v>
          </cell>
          <cell r="Q1294">
            <v>45618</v>
          </cell>
          <cell r="R1294" t="str">
            <v>Hyderabad</v>
          </cell>
          <cell r="S1294" t="str">
            <v>Mobile</v>
          </cell>
          <cell r="T1294" t="str">
            <v>data analytics online</v>
          </cell>
        </row>
        <row r="1295">
          <cell r="A1295" t="str">
            <v>A2293</v>
          </cell>
          <cell r="B1295" t="str">
            <v>Data Analytics Course</v>
          </cell>
          <cell r="C1295">
            <v>140</v>
          </cell>
          <cell r="D1295">
            <v>140</v>
          </cell>
          <cell r="E1295">
            <v>4633</v>
          </cell>
          <cell r="F1295">
            <v>4633</v>
          </cell>
          <cell r="G1295" t="str">
            <v>$228.65</v>
          </cell>
          <cell r="H1295" t="str">
            <v>$228.65</v>
          </cell>
          <cell r="I1295">
            <v>15</v>
          </cell>
          <cell r="J1295">
            <v>15</v>
          </cell>
          <cell r="K1295">
            <v>4</v>
          </cell>
          <cell r="L1295">
            <v>4</v>
          </cell>
          <cell r="M1295">
            <v>2.8571428571428571E-2</v>
          </cell>
          <cell r="N1295">
            <v>4.9000000000000002E-2</v>
          </cell>
          <cell r="O1295" t="str">
            <v>$1738</v>
          </cell>
          <cell r="P1295" t="str">
            <v>$1738</v>
          </cell>
          <cell r="Q1295">
            <v>45616</v>
          </cell>
          <cell r="R1295" t="str">
            <v>Hyderabad</v>
          </cell>
          <cell r="S1295" t="str">
            <v>Mobile</v>
          </cell>
          <cell r="T1295" t="str">
            <v>data analytics online</v>
          </cell>
        </row>
        <row r="1296">
          <cell r="A1296" t="str">
            <v>A2294</v>
          </cell>
          <cell r="B1296" t="str">
            <v>Data Analytcis Course</v>
          </cell>
          <cell r="C1296">
            <v>142</v>
          </cell>
          <cell r="D1296">
            <v>142</v>
          </cell>
          <cell r="E1296">
            <v>3155</v>
          </cell>
          <cell r="F1296">
            <v>3155</v>
          </cell>
          <cell r="G1296" t="str">
            <v>$229.01</v>
          </cell>
          <cell r="H1296" t="str">
            <v>$229.01</v>
          </cell>
          <cell r="I1296">
            <v>20.07221350078493</v>
          </cell>
          <cell r="K1296">
            <v>10</v>
          </cell>
          <cell r="L1296">
            <v>10</v>
          </cell>
          <cell r="M1296">
            <v>7.0422535211267609E-2</v>
          </cell>
          <cell r="N1296">
            <v>5.2999999999999999E-2</v>
          </cell>
          <cell r="O1296" t="str">
            <v>$1955</v>
          </cell>
          <cell r="P1296" t="str">
            <v>$1955</v>
          </cell>
          <cell r="Q1296">
            <v>45597</v>
          </cell>
          <cell r="R1296" t="str">
            <v>Hyderabad</v>
          </cell>
          <cell r="S1296" t="str">
            <v>Mobile</v>
          </cell>
          <cell r="T1296" t="str">
            <v>learn data analytics</v>
          </cell>
        </row>
        <row r="1297">
          <cell r="A1297" t="str">
            <v>A2295</v>
          </cell>
          <cell r="B1297" t="str">
            <v>Data Analytics Course</v>
          </cell>
          <cell r="C1297">
            <v>198</v>
          </cell>
          <cell r="D1297">
            <v>198</v>
          </cell>
          <cell r="E1297">
            <v>3444</v>
          </cell>
          <cell r="F1297">
            <v>3444</v>
          </cell>
          <cell r="G1297" t="str">
            <v>$195.91</v>
          </cell>
          <cell r="H1297" t="str">
            <v>$195.91</v>
          </cell>
          <cell r="I1297">
            <v>27</v>
          </cell>
          <cell r="J1297">
            <v>27</v>
          </cell>
          <cell r="K1297">
            <v>4</v>
          </cell>
          <cell r="L1297">
            <v>4</v>
          </cell>
          <cell r="M1297">
            <v>2.0202020202020204E-2</v>
          </cell>
          <cell r="N1297">
            <v>5.6000000000000001E-2</v>
          </cell>
          <cell r="O1297" t="str">
            <v>$1317</v>
          </cell>
          <cell r="P1297" t="str">
            <v>$1317</v>
          </cell>
          <cell r="Q1297">
            <v>45606</v>
          </cell>
          <cell r="R1297" t="str">
            <v>Chennai</v>
          </cell>
          <cell r="S1297" t="str">
            <v>Desktop</v>
          </cell>
          <cell r="T1297" t="str">
            <v>data analytics online</v>
          </cell>
        </row>
        <row r="1298">
          <cell r="A1298" t="str">
            <v>A2296</v>
          </cell>
          <cell r="B1298" t="str">
            <v>Data Analytics Course</v>
          </cell>
          <cell r="C1298">
            <v>88</v>
          </cell>
          <cell r="D1298">
            <v>88</v>
          </cell>
          <cell r="E1298">
            <v>4253</v>
          </cell>
          <cell r="F1298">
            <v>4253</v>
          </cell>
          <cell r="G1298" t="str">
            <v>$210.5</v>
          </cell>
          <cell r="H1298" t="str">
            <v>$210.5</v>
          </cell>
          <cell r="I1298">
            <v>23</v>
          </cell>
          <cell r="J1298">
            <v>23</v>
          </cell>
          <cell r="K1298">
            <v>8</v>
          </cell>
          <cell r="L1298">
            <v>8</v>
          </cell>
          <cell r="M1298">
            <v>9.0909090909090912E-2</v>
          </cell>
          <cell r="N1298">
            <v>5.0999999999999997E-2</v>
          </cell>
          <cell r="O1298" t="str">
            <v>$1918</v>
          </cell>
          <cell r="P1298" t="str">
            <v>$1918</v>
          </cell>
          <cell r="Q1298">
            <v>45607</v>
          </cell>
          <cell r="R1298" t="str">
            <v>Bangaluru</v>
          </cell>
          <cell r="S1298" t="str">
            <v>Tablet</v>
          </cell>
          <cell r="T1298" t="str">
            <v>data analytics online</v>
          </cell>
        </row>
        <row r="1299">
          <cell r="A1299" t="str">
            <v>A2297</v>
          </cell>
          <cell r="B1299" t="str">
            <v>Data Analytics Course</v>
          </cell>
          <cell r="C1299">
            <v>130</v>
          </cell>
          <cell r="D1299">
            <v>130</v>
          </cell>
          <cell r="E1299">
            <v>4925</v>
          </cell>
          <cell r="F1299">
            <v>4925</v>
          </cell>
          <cell r="G1299" t="str">
            <v>$201.1</v>
          </cell>
          <cell r="H1299" t="str">
            <v>$201.1</v>
          </cell>
          <cell r="I1299">
            <v>26</v>
          </cell>
          <cell r="J1299">
            <v>26</v>
          </cell>
          <cell r="K1299">
            <v>5</v>
          </cell>
          <cell r="L1299">
            <v>5</v>
          </cell>
          <cell r="M1299">
            <v>3.8461538461538464E-2</v>
          </cell>
          <cell r="O1299" t="str">
            <v>$1301</v>
          </cell>
          <cell r="P1299" t="str">
            <v>$1301</v>
          </cell>
          <cell r="Q1299">
            <v>45611</v>
          </cell>
          <cell r="R1299" t="str">
            <v>Hyderabad</v>
          </cell>
          <cell r="S1299" t="str">
            <v>Tablet</v>
          </cell>
          <cell r="T1299" t="str">
            <v>analytics for data</v>
          </cell>
        </row>
        <row r="1300">
          <cell r="A1300" t="str">
            <v>A2298</v>
          </cell>
          <cell r="B1300" t="str">
            <v>Data Analytics Course</v>
          </cell>
          <cell r="C1300">
            <v>186</v>
          </cell>
          <cell r="D1300">
            <v>186</v>
          </cell>
          <cell r="E1300">
            <v>3576</v>
          </cell>
          <cell r="F1300">
            <v>3576</v>
          </cell>
          <cell r="G1300" t="str">
            <v>$213.96</v>
          </cell>
          <cell r="H1300" t="str">
            <v>$213.96</v>
          </cell>
          <cell r="I1300">
            <v>26</v>
          </cell>
          <cell r="J1300">
            <v>26</v>
          </cell>
          <cell r="K1300">
            <v>4</v>
          </cell>
          <cell r="L1300">
            <v>4</v>
          </cell>
          <cell r="M1300">
            <v>2.1505376344086023E-2</v>
          </cell>
          <cell r="N1300">
            <v>2.1999999999999999E-2</v>
          </cell>
          <cell r="O1300" t="str">
            <v>$1689</v>
          </cell>
          <cell r="P1300" t="str">
            <v>$1689</v>
          </cell>
          <cell r="Q1300">
            <v>45598</v>
          </cell>
          <cell r="R1300" t="str">
            <v>Chennai</v>
          </cell>
          <cell r="S1300" t="str">
            <v>Tablet</v>
          </cell>
          <cell r="T1300" t="str">
            <v>learn data analytics</v>
          </cell>
        </row>
        <row r="1301">
          <cell r="A1301" t="str">
            <v>A2299</v>
          </cell>
          <cell r="B1301" t="str">
            <v>Data Analytics Course</v>
          </cell>
          <cell r="C1301">
            <v>146</v>
          </cell>
          <cell r="D1301">
            <v>146</v>
          </cell>
          <cell r="E1301">
            <v>5831</v>
          </cell>
          <cell r="F1301">
            <v>5831</v>
          </cell>
          <cell r="G1301" t="str">
            <v>$203.07</v>
          </cell>
          <cell r="H1301" t="str">
            <v>$203.07</v>
          </cell>
          <cell r="I1301">
            <v>19</v>
          </cell>
          <cell r="J1301">
            <v>19</v>
          </cell>
          <cell r="K1301">
            <v>5</v>
          </cell>
          <cell r="L1301">
            <v>5</v>
          </cell>
          <cell r="M1301">
            <v>3.4246575342465752E-2</v>
          </cell>
          <cell r="N1301">
            <v>5.5E-2</v>
          </cell>
          <cell r="O1301" t="str">
            <v>$1216</v>
          </cell>
          <cell r="P1301" t="str">
            <v>$1216</v>
          </cell>
          <cell r="Q1301">
            <v>45624</v>
          </cell>
          <cell r="R1301" t="str">
            <v>Hyderabad</v>
          </cell>
          <cell r="S1301" t="str">
            <v>Mobile</v>
          </cell>
          <cell r="T1301" t="str">
            <v>analytics for data</v>
          </cell>
        </row>
        <row r="1302">
          <cell r="A1302" t="str">
            <v>A2300</v>
          </cell>
          <cell r="B1302" t="str">
            <v>Data Analytics Course</v>
          </cell>
          <cell r="C1302">
            <v>199</v>
          </cell>
          <cell r="D1302">
            <v>199</v>
          </cell>
          <cell r="E1302">
            <v>5147</v>
          </cell>
          <cell r="F1302">
            <v>5147</v>
          </cell>
          <cell r="G1302" t="str">
            <v>$203.08</v>
          </cell>
          <cell r="H1302" t="str">
            <v>$203.08</v>
          </cell>
          <cell r="I1302">
            <v>27</v>
          </cell>
          <cell r="J1302">
            <v>27</v>
          </cell>
          <cell r="K1302">
            <v>10</v>
          </cell>
          <cell r="L1302">
            <v>10</v>
          </cell>
          <cell r="M1302">
            <v>5.0251256281407038E-2</v>
          </cell>
          <cell r="N1302">
            <v>0.05</v>
          </cell>
          <cell r="O1302" t="str">
            <v>$1126</v>
          </cell>
          <cell r="P1302" t="str">
            <v>$1126</v>
          </cell>
          <cell r="Q1302">
            <v>45626</v>
          </cell>
          <cell r="R1302" t="str">
            <v>Chennai</v>
          </cell>
          <cell r="S1302" t="str">
            <v>Tablet</v>
          </cell>
          <cell r="T1302" t="str">
            <v>data analytics course</v>
          </cell>
        </row>
        <row r="1303">
          <cell r="A1303" t="str">
            <v>A2301</v>
          </cell>
          <cell r="B1303" t="str">
            <v>Data Analytics Course</v>
          </cell>
          <cell r="C1303">
            <v>94</v>
          </cell>
          <cell r="D1303">
            <v>94</v>
          </cell>
          <cell r="E1303">
            <v>4242</v>
          </cell>
          <cell r="F1303">
            <v>4242</v>
          </cell>
          <cell r="G1303" t="str">
            <v>$208.78</v>
          </cell>
          <cell r="H1303" t="str">
            <v>$208.78</v>
          </cell>
          <cell r="I1303">
            <v>14</v>
          </cell>
          <cell r="J1303">
            <v>14</v>
          </cell>
          <cell r="K1303">
            <v>5</v>
          </cell>
          <cell r="L1303">
            <v>5</v>
          </cell>
          <cell r="M1303">
            <v>5.3191489361702128E-2</v>
          </cell>
          <cell r="N1303">
            <v>5.2999999999999999E-2</v>
          </cell>
          <cell r="O1303" t="str">
            <v>$1122</v>
          </cell>
          <cell r="P1303" t="str">
            <v>$1122</v>
          </cell>
          <cell r="Q1303">
            <v>45613</v>
          </cell>
          <cell r="R1303" t="str">
            <v>Hyderabad</v>
          </cell>
          <cell r="S1303" t="str">
            <v>Tablet</v>
          </cell>
          <cell r="T1303" t="str">
            <v>learn data analytics</v>
          </cell>
        </row>
        <row r="1304">
          <cell r="A1304" t="str">
            <v>A2302</v>
          </cell>
          <cell r="B1304" t="str">
            <v>Data Analytcis Course</v>
          </cell>
          <cell r="C1304">
            <v>119</v>
          </cell>
          <cell r="D1304">
            <v>119</v>
          </cell>
          <cell r="E1304">
            <v>5530</v>
          </cell>
          <cell r="F1304">
            <v>5530</v>
          </cell>
          <cell r="G1304" t="str">
            <v>$205.75</v>
          </cell>
          <cell r="H1304" t="str">
            <v>$205.75</v>
          </cell>
          <cell r="I1304">
            <v>25</v>
          </cell>
          <cell r="J1304">
            <v>25</v>
          </cell>
          <cell r="K1304">
            <v>9</v>
          </cell>
          <cell r="L1304">
            <v>9</v>
          </cell>
          <cell r="M1304">
            <v>7.5630252100840331E-2</v>
          </cell>
          <cell r="O1304" t="str">
            <v>$1725</v>
          </cell>
          <cell r="P1304" t="str">
            <v>$1725</v>
          </cell>
          <cell r="Q1304">
            <v>45610</v>
          </cell>
          <cell r="R1304" t="str">
            <v>Hyderabad</v>
          </cell>
          <cell r="S1304" t="str">
            <v>Mobile</v>
          </cell>
          <cell r="T1304" t="str">
            <v>analytics for data</v>
          </cell>
        </row>
        <row r="1305">
          <cell r="A1305" t="str">
            <v>A2303</v>
          </cell>
          <cell r="B1305" t="str">
            <v>Data Analytcis Course</v>
          </cell>
          <cell r="C1305">
            <v>168</v>
          </cell>
          <cell r="D1305">
            <v>168</v>
          </cell>
          <cell r="E1305">
            <v>4614</v>
          </cell>
          <cell r="F1305">
            <v>4614</v>
          </cell>
          <cell r="G1305" t="str">
            <v>$241.24</v>
          </cell>
          <cell r="H1305" t="str">
            <v>$241.24</v>
          </cell>
          <cell r="I1305">
            <v>28</v>
          </cell>
          <cell r="J1305">
            <v>28</v>
          </cell>
          <cell r="K1305">
            <v>9</v>
          </cell>
          <cell r="L1305">
            <v>9</v>
          </cell>
          <cell r="M1305">
            <v>5.3571428571428568E-2</v>
          </cell>
          <cell r="O1305" t="str">
            <v>$1307</v>
          </cell>
          <cell r="P1305" t="str">
            <v>$1307</v>
          </cell>
          <cell r="Q1305">
            <v>45597</v>
          </cell>
          <cell r="R1305" t="str">
            <v>Hyderabad</v>
          </cell>
          <cell r="S1305" t="str">
            <v>Mobile</v>
          </cell>
          <cell r="T1305" t="str">
            <v>online data analytic</v>
          </cell>
        </row>
        <row r="1306">
          <cell r="A1306" t="str">
            <v>A2304</v>
          </cell>
          <cell r="B1306" t="str">
            <v>Data Analytics Course</v>
          </cell>
          <cell r="C1306">
            <v>117</v>
          </cell>
          <cell r="D1306">
            <v>117</v>
          </cell>
          <cell r="E1306">
            <v>5016</v>
          </cell>
          <cell r="F1306">
            <v>5016</v>
          </cell>
          <cell r="G1306" t="str">
            <v>$249.38</v>
          </cell>
          <cell r="H1306" t="str">
            <v>$249.38</v>
          </cell>
          <cell r="I1306">
            <v>10</v>
          </cell>
          <cell r="J1306">
            <v>10</v>
          </cell>
          <cell r="K1306">
            <v>9</v>
          </cell>
          <cell r="L1306">
            <v>9</v>
          </cell>
          <cell r="M1306">
            <v>7.6923076923076927E-2</v>
          </cell>
          <cell r="N1306">
            <v>7.6999999999999999E-2</v>
          </cell>
          <cell r="O1306" t="str">
            <v>$1832</v>
          </cell>
          <cell r="P1306" t="str">
            <v>$1832</v>
          </cell>
          <cell r="Q1306">
            <v>45598</v>
          </cell>
          <cell r="R1306" t="str">
            <v>Bangaluru</v>
          </cell>
          <cell r="S1306" t="str">
            <v>Tablet</v>
          </cell>
          <cell r="T1306" t="str">
            <v>learn data analytics</v>
          </cell>
        </row>
        <row r="1307">
          <cell r="A1307" t="str">
            <v>A2305</v>
          </cell>
          <cell r="B1307" t="str">
            <v>Data Analytcis Course</v>
          </cell>
          <cell r="C1307">
            <v>156</v>
          </cell>
          <cell r="D1307">
            <v>156</v>
          </cell>
          <cell r="E1307">
            <v>5072</v>
          </cell>
          <cell r="F1307">
            <v>5072</v>
          </cell>
          <cell r="G1307" t="str">
            <v>$249.37</v>
          </cell>
          <cell r="H1307" t="str">
            <v>$249.37</v>
          </cell>
          <cell r="I1307">
            <v>18</v>
          </cell>
          <cell r="J1307">
            <v>18</v>
          </cell>
          <cell r="K1307">
            <v>3</v>
          </cell>
          <cell r="L1307">
            <v>3</v>
          </cell>
          <cell r="M1307">
            <v>1.9230769230769232E-2</v>
          </cell>
          <cell r="N1307">
            <v>5.8000000000000003E-2</v>
          </cell>
          <cell r="O1307" t="str">
            <v>$1701</v>
          </cell>
          <cell r="P1307" t="str">
            <v>$1701</v>
          </cell>
          <cell r="Q1307">
            <v>45608</v>
          </cell>
          <cell r="R1307" t="str">
            <v>Hyderabad</v>
          </cell>
          <cell r="S1307" t="str">
            <v>Mobile</v>
          </cell>
          <cell r="T1307" t="str">
            <v>learn data analytics</v>
          </cell>
        </row>
        <row r="1308">
          <cell r="A1308" t="str">
            <v>A2306</v>
          </cell>
          <cell r="B1308" t="str">
            <v>Data Analytics Course</v>
          </cell>
          <cell r="C1308">
            <v>151</v>
          </cell>
          <cell r="D1308">
            <v>151</v>
          </cell>
          <cell r="E1308">
            <v>4805</v>
          </cell>
          <cell r="F1308">
            <v>4805</v>
          </cell>
          <cell r="G1308" t="str">
            <v>$241.95</v>
          </cell>
          <cell r="H1308" t="str">
            <v>$241.95</v>
          </cell>
          <cell r="I1308">
            <v>22</v>
          </cell>
          <cell r="J1308">
            <v>22</v>
          </cell>
          <cell r="K1308">
            <v>3</v>
          </cell>
          <cell r="L1308">
            <v>3</v>
          </cell>
          <cell r="M1308">
            <v>1.9867549668874173E-2</v>
          </cell>
          <cell r="N1308">
            <v>5.6000000000000001E-2</v>
          </cell>
          <cell r="O1308" t="str">
            <v>$1571</v>
          </cell>
          <cell r="P1308" t="str">
            <v>$1571</v>
          </cell>
          <cell r="Q1308">
            <v>45599</v>
          </cell>
          <cell r="R1308" t="str">
            <v>Chennai</v>
          </cell>
          <cell r="S1308" t="str">
            <v>Tablet</v>
          </cell>
          <cell r="T1308" t="str">
            <v>online data analytic</v>
          </cell>
        </row>
        <row r="1309">
          <cell r="A1309" t="str">
            <v>A2307</v>
          </cell>
          <cell r="B1309" t="str">
            <v>Data Analytcis Course</v>
          </cell>
          <cell r="C1309">
            <v>133</v>
          </cell>
          <cell r="D1309">
            <v>133</v>
          </cell>
          <cell r="E1309">
            <v>4474</v>
          </cell>
          <cell r="F1309">
            <v>4474</v>
          </cell>
          <cell r="G1309" t="str">
            <v>$198.99</v>
          </cell>
          <cell r="H1309" t="str">
            <v>$198.99</v>
          </cell>
          <cell r="I1309">
            <v>10</v>
          </cell>
          <cell r="J1309">
            <v>10</v>
          </cell>
          <cell r="K1309">
            <v>6.542834267413931</v>
          </cell>
          <cell r="M1309">
            <v>4.9194242612134821E-2</v>
          </cell>
          <cell r="O1309" t="str">
            <v>$1394</v>
          </cell>
          <cell r="P1309" t="str">
            <v>$1394</v>
          </cell>
          <cell r="Q1309">
            <v>45599</v>
          </cell>
          <cell r="R1309" t="str">
            <v>Bangaluru</v>
          </cell>
          <cell r="S1309" t="str">
            <v>Mobile</v>
          </cell>
          <cell r="T1309" t="str">
            <v>online data analytic</v>
          </cell>
        </row>
        <row r="1310">
          <cell r="A1310" t="str">
            <v>A2308</v>
          </cell>
          <cell r="B1310" t="str">
            <v>Data Analytics Course</v>
          </cell>
          <cell r="C1310">
            <v>105</v>
          </cell>
          <cell r="D1310">
            <v>105</v>
          </cell>
          <cell r="E1310">
            <v>5151</v>
          </cell>
          <cell r="F1310">
            <v>5151</v>
          </cell>
          <cell r="G1310" t="str">
            <v>$188.18</v>
          </cell>
          <cell r="H1310" t="str">
            <v>$188.18</v>
          </cell>
          <cell r="I1310">
            <v>14</v>
          </cell>
          <cell r="J1310">
            <v>14</v>
          </cell>
          <cell r="K1310">
            <v>9</v>
          </cell>
          <cell r="L1310">
            <v>9</v>
          </cell>
          <cell r="M1310">
            <v>8.5714285714285715E-2</v>
          </cell>
          <cell r="N1310">
            <v>3.2000000000000001E-2</v>
          </cell>
          <cell r="O1310" t="str">
            <v>$1595</v>
          </cell>
          <cell r="P1310" t="str">
            <v>$1595</v>
          </cell>
          <cell r="Q1310">
            <v>45599</v>
          </cell>
          <cell r="R1310" t="str">
            <v>Chennai</v>
          </cell>
          <cell r="S1310" t="str">
            <v>Tablet</v>
          </cell>
          <cell r="T1310" t="str">
            <v>online data analytic</v>
          </cell>
        </row>
        <row r="1311">
          <cell r="A1311" t="str">
            <v>A2309</v>
          </cell>
          <cell r="B1311" t="str">
            <v>Data Analytics Course</v>
          </cell>
          <cell r="C1311">
            <v>98</v>
          </cell>
          <cell r="D1311">
            <v>98</v>
          </cell>
          <cell r="E1311">
            <v>4515</v>
          </cell>
          <cell r="F1311">
            <v>4515</v>
          </cell>
          <cell r="G1311" t="str">
            <v>$219.39</v>
          </cell>
          <cell r="H1311" t="str">
            <v>$219.39</v>
          </cell>
          <cell r="I1311">
            <v>12</v>
          </cell>
          <cell r="J1311">
            <v>12</v>
          </cell>
          <cell r="K1311">
            <v>7</v>
          </cell>
          <cell r="L1311">
            <v>7</v>
          </cell>
          <cell r="M1311">
            <v>7.1428571428571425E-2</v>
          </cell>
          <cell r="O1311" t="str">
            <v>$1805</v>
          </cell>
          <cell r="P1311" t="str">
            <v>$1805</v>
          </cell>
          <cell r="Q1311">
            <v>45603</v>
          </cell>
          <cell r="R1311" t="str">
            <v>Bangaluru</v>
          </cell>
          <cell r="S1311" t="str">
            <v>Desktop</v>
          </cell>
          <cell r="T1311" t="str">
            <v>learn data analytics</v>
          </cell>
        </row>
        <row r="1312">
          <cell r="A1312" t="str">
            <v>A2310</v>
          </cell>
          <cell r="B1312" t="str">
            <v>Data Analytics Course</v>
          </cell>
          <cell r="C1312">
            <v>93</v>
          </cell>
          <cell r="D1312">
            <v>93</v>
          </cell>
          <cell r="E1312">
            <v>4269</v>
          </cell>
          <cell r="F1312">
            <v>4269</v>
          </cell>
          <cell r="G1312" t="str">
            <v>$247.76</v>
          </cell>
          <cell r="H1312" t="str">
            <v>$247.76</v>
          </cell>
          <cell r="I1312">
            <v>21</v>
          </cell>
          <cell r="J1312">
            <v>21</v>
          </cell>
          <cell r="K1312">
            <v>8</v>
          </cell>
          <cell r="L1312">
            <v>8</v>
          </cell>
          <cell r="M1312">
            <v>8.6021505376344093E-2</v>
          </cell>
          <cell r="N1312">
            <v>8.5999999999999993E-2</v>
          </cell>
          <cell r="O1312" t="str">
            <v>$1543</v>
          </cell>
          <cell r="P1312" t="str">
            <v>$1543</v>
          </cell>
          <cell r="Q1312">
            <v>45615</v>
          </cell>
          <cell r="R1312" t="str">
            <v>Chennai</v>
          </cell>
          <cell r="S1312" t="str">
            <v>Tablet</v>
          </cell>
          <cell r="T1312" t="str">
            <v>learn data analytics</v>
          </cell>
        </row>
        <row r="1313">
          <cell r="A1313" t="str">
            <v>A2311</v>
          </cell>
          <cell r="B1313" t="str">
            <v>Data Analytics Course</v>
          </cell>
          <cell r="C1313">
            <v>165</v>
          </cell>
          <cell r="D1313">
            <v>165</v>
          </cell>
          <cell r="E1313">
            <v>3759</v>
          </cell>
          <cell r="F1313">
            <v>3759</v>
          </cell>
          <cell r="G1313" t="str">
            <v>$231.62</v>
          </cell>
          <cell r="H1313" t="str">
            <v>$231.62</v>
          </cell>
          <cell r="I1313">
            <v>23</v>
          </cell>
          <cell r="J1313">
            <v>23</v>
          </cell>
          <cell r="K1313">
            <v>6.5393258426966296</v>
          </cell>
          <cell r="M1313">
            <v>3.9632277834525026E-2</v>
          </cell>
          <cell r="O1313" t="str">
            <v>$1052</v>
          </cell>
          <cell r="P1313" t="str">
            <v>$1052</v>
          </cell>
          <cell r="Q1313">
            <v>45624</v>
          </cell>
          <cell r="R1313" t="str">
            <v>Chennai</v>
          </cell>
          <cell r="S1313" t="str">
            <v>Mobile</v>
          </cell>
          <cell r="T1313" t="str">
            <v>analytics for data</v>
          </cell>
        </row>
        <row r="1314">
          <cell r="A1314" t="str">
            <v>A2312</v>
          </cell>
          <cell r="B1314" t="str">
            <v>Data Analytics Course</v>
          </cell>
          <cell r="C1314">
            <v>156</v>
          </cell>
          <cell r="D1314">
            <v>156</v>
          </cell>
          <cell r="E1314">
            <v>4476</v>
          </cell>
          <cell r="F1314">
            <v>4476</v>
          </cell>
          <cell r="G1314" t="str">
            <v>$186.68</v>
          </cell>
          <cell r="H1314" t="str">
            <v>$186.68</v>
          </cell>
          <cell r="I1314">
            <v>17</v>
          </cell>
          <cell r="J1314">
            <v>17</v>
          </cell>
          <cell r="K1314">
            <v>10</v>
          </cell>
          <cell r="L1314">
            <v>10</v>
          </cell>
          <cell r="M1314">
            <v>6.4102564102564097E-2</v>
          </cell>
          <cell r="N1314">
            <v>3.3000000000000002E-2</v>
          </cell>
          <cell r="O1314" t="str">
            <v>$1372</v>
          </cell>
          <cell r="P1314" t="str">
            <v>$1372</v>
          </cell>
          <cell r="Q1314">
            <v>45609</v>
          </cell>
          <cell r="R1314" t="str">
            <v>Bangaluru</v>
          </cell>
          <cell r="S1314" t="str">
            <v>Tablet</v>
          </cell>
          <cell r="T1314" t="str">
            <v>analytics for data</v>
          </cell>
        </row>
        <row r="1315">
          <cell r="A1315" t="str">
            <v>A2313</v>
          </cell>
          <cell r="B1315" t="str">
            <v>Data Analytics Course</v>
          </cell>
          <cell r="C1315">
            <v>166</v>
          </cell>
          <cell r="D1315">
            <v>166</v>
          </cell>
          <cell r="E1315">
            <v>5749</v>
          </cell>
          <cell r="F1315">
            <v>5749</v>
          </cell>
          <cell r="G1315" t="str">
            <v>$236.52</v>
          </cell>
          <cell r="H1315" t="str">
            <v>$236.52</v>
          </cell>
          <cell r="I1315">
            <v>11</v>
          </cell>
          <cell r="J1315">
            <v>11</v>
          </cell>
          <cell r="K1315">
            <v>5</v>
          </cell>
          <cell r="L1315">
            <v>5</v>
          </cell>
          <cell r="M1315">
            <v>3.0120481927710843E-2</v>
          </cell>
          <cell r="N1315">
            <v>3.5999999999999997E-2</v>
          </cell>
          <cell r="O1315" t="str">
            <v>$1780</v>
          </cell>
          <cell r="P1315" t="str">
            <v>$1780</v>
          </cell>
          <cell r="Q1315">
            <v>45611</v>
          </cell>
          <cell r="R1315" t="str">
            <v>Hyderabad</v>
          </cell>
          <cell r="S1315" t="str">
            <v>Desktop</v>
          </cell>
          <cell r="T1315" t="str">
            <v>analytics for data</v>
          </cell>
        </row>
        <row r="1316">
          <cell r="A1316" t="str">
            <v>A2314</v>
          </cell>
          <cell r="B1316" t="str">
            <v>Data Analytics Course</v>
          </cell>
          <cell r="C1316">
            <v>134</v>
          </cell>
          <cell r="D1316">
            <v>134</v>
          </cell>
          <cell r="E1316">
            <v>5166</v>
          </cell>
          <cell r="F1316">
            <v>5166</v>
          </cell>
          <cell r="G1316" t="str">
            <v>$191.92</v>
          </cell>
          <cell r="H1316" t="str">
            <v>$191.92</v>
          </cell>
          <cell r="I1316">
            <v>10</v>
          </cell>
          <cell r="J1316">
            <v>10</v>
          </cell>
          <cell r="K1316">
            <v>3</v>
          </cell>
          <cell r="L1316">
            <v>3</v>
          </cell>
          <cell r="M1316">
            <v>2.2388059701492536E-2</v>
          </cell>
          <cell r="N1316">
            <v>3.6999999999999998E-2</v>
          </cell>
          <cell r="O1316" t="str">
            <v>$1526</v>
          </cell>
          <cell r="P1316" t="str">
            <v>$1526</v>
          </cell>
          <cell r="Q1316">
            <v>45600</v>
          </cell>
          <cell r="R1316" t="str">
            <v>Bangaluru</v>
          </cell>
          <cell r="S1316" t="str">
            <v>Mobile</v>
          </cell>
          <cell r="T1316" t="str">
            <v>learn data analytics</v>
          </cell>
        </row>
        <row r="1317">
          <cell r="A1317" t="str">
            <v>A2315</v>
          </cell>
          <cell r="B1317" t="str">
            <v>Data Analytics Course</v>
          </cell>
          <cell r="C1317">
            <v>103</v>
          </cell>
          <cell r="D1317">
            <v>103</v>
          </cell>
          <cell r="E1317">
            <v>3687</v>
          </cell>
          <cell r="F1317">
            <v>3687</v>
          </cell>
          <cell r="G1317" t="str">
            <v>$194.73</v>
          </cell>
          <cell r="H1317" t="str">
            <v>$194.73</v>
          </cell>
          <cell r="I1317">
            <v>27</v>
          </cell>
          <cell r="J1317">
            <v>27</v>
          </cell>
          <cell r="K1317">
            <v>4</v>
          </cell>
          <cell r="L1317">
            <v>4</v>
          </cell>
          <cell r="M1317">
            <v>3.8834951456310676E-2</v>
          </cell>
          <cell r="O1317" t="str">
            <v>$1347</v>
          </cell>
          <cell r="P1317" t="str">
            <v>$1347</v>
          </cell>
          <cell r="Q1317">
            <v>45611</v>
          </cell>
          <cell r="R1317" t="str">
            <v>Hyderabad</v>
          </cell>
          <cell r="S1317" t="str">
            <v>Tablet</v>
          </cell>
          <cell r="T1317" t="str">
            <v>learn data analytics</v>
          </cell>
        </row>
        <row r="1318">
          <cell r="A1318" t="str">
            <v>A2316</v>
          </cell>
          <cell r="B1318" t="str">
            <v>Data Analytcis Course</v>
          </cell>
          <cell r="C1318">
            <v>95</v>
          </cell>
          <cell r="D1318">
            <v>95</v>
          </cell>
          <cell r="E1318">
            <v>4939</v>
          </cell>
          <cell r="F1318">
            <v>4939</v>
          </cell>
          <cell r="G1318" t="str">
            <v>$219.43</v>
          </cell>
          <cell r="H1318" t="str">
            <v>$219.43</v>
          </cell>
          <cell r="I1318">
            <v>26</v>
          </cell>
          <cell r="J1318">
            <v>26</v>
          </cell>
          <cell r="K1318">
            <v>3</v>
          </cell>
          <cell r="L1318">
            <v>3</v>
          </cell>
          <cell r="M1318">
            <v>3.1578947368421054E-2</v>
          </cell>
          <cell r="N1318">
            <v>3.2000000000000001E-2</v>
          </cell>
          <cell r="O1318" t="str">
            <v>$1785</v>
          </cell>
          <cell r="P1318" t="str">
            <v>$1785</v>
          </cell>
          <cell r="Q1318">
            <v>45603</v>
          </cell>
          <cell r="R1318" t="str">
            <v>Hyderabad</v>
          </cell>
          <cell r="S1318" t="str">
            <v>Mobile</v>
          </cell>
          <cell r="T1318" t="str">
            <v>data analytics training</v>
          </cell>
        </row>
        <row r="1319">
          <cell r="A1319" t="str">
            <v>A2317</v>
          </cell>
          <cell r="B1319" t="str">
            <v>Data Analytics Course</v>
          </cell>
          <cell r="C1319">
            <v>155</v>
          </cell>
          <cell r="D1319">
            <v>155</v>
          </cell>
          <cell r="E1319">
            <v>3180</v>
          </cell>
          <cell r="F1319">
            <v>3180</v>
          </cell>
          <cell r="G1319" t="str">
            <v>$229.63</v>
          </cell>
          <cell r="H1319" t="str">
            <v>$229.63</v>
          </cell>
          <cell r="I1319">
            <v>15</v>
          </cell>
          <cell r="J1319">
            <v>15</v>
          </cell>
          <cell r="K1319">
            <v>8</v>
          </cell>
          <cell r="L1319">
            <v>8</v>
          </cell>
          <cell r="M1319">
            <v>5.1612903225806452E-2</v>
          </cell>
          <cell r="N1319">
            <v>5.1999999999999998E-2</v>
          </cell>
          <cell r="O1319" t="str">
            <v>$1832</v>
          </cell>
          <cell r="P1319" t="str">
            <v>$1832</v>
          </cell>
          <cell r="Q1319">
            <v>45611</v>
          </cell>
          <cell r="R1319" t="str">
            <v>Hyderabad</v>
          </cell>
          <cell r="S1319" t="str">
            <v>Desktop</v>
          </cell>
          <cell r="T1319" t="str">
            <v>data analytics course</v>
          </cell>
        </row>
        <row r="1320">
          <cell r="A1320" t="str">
            <v>A2318</v>
          </cell>
          <cell r="B1320" t="str">
            <v>Data Analytics Course</v>
          </cell>
          <cell r="C1320">
            <v>184</v>
          </cell>
          <cell r="D1320">
            <v>184</v>
          </cell>
          <cell r="E1320">
            <v>3981</v>
          </cell>
          <cell r="F1320">
            <v>3981</v>
          </cell>
          <cell r="G1320" t="str">
            <v>$193.25</v>
          </cell>
          <cell r="H1320" t="str">
            <v>$193.25</v>
          </cell>
          <cell r="I1320">
            <v>16</v>
          </cell>
          <cell r="J1320">
            <v>16</v>
          </cell>
          <cell r="K1320">
            <v>3</v>
          </cell>
          <cell r="L1320">
            <v>3</v>
          </cell>
          <cell r="M1320">
            <v>1.6304347826086956E-2</v>
          </cell>
          <cell r="N1320">
            <v>3.5000000000000003E-2</v>
          </cell>
          <cell r="O1320" t="str">
            <v>$1359</v>
          </cell>
          <cell r="P1320" t="str">
            <v>$1359</v>
          </cell>
          <cell r="Q1320">
            <v>45626</v>
          </cell>
          <cell r="R1320" t="str">
            <v>Hyderabad</v>
          </cell>
          <cell r="S1320" t="str">
            <v>Tablet</v>
          </cell>
          <cell r="T1320" t="str">
            <v>learn data analytics</v>
          </cell>
        </row>
        <row r="1321">
          <cell r="A1321" t="str">
            <v>A2319</v>
          </cell>
          <cell r="B1321" t="str">
            <v>Data Analytics Course</v>
          </cell>
          <cell r="C1321">
            <v>186</v>
          </cell>
          <cell r="D1321">
            <v>186</v>
          </cell>
          <cell r="E1321">
            <v>3392</v>
          </cell>
          <cell r="F1321">
            <v>3392</v>
          </cell>
          <cell r="G1321" t="str">
            <v>$218.16</v>
          </cell>
          <cell r="H1321" t="str">
            <v>$218.16</v>
          </cell>
          <cell r="I1321">
            <v>29</v>
          </cell>
          <cell r="J1321">
            <v>29</v>
          </cell>
          <cell r="K1321">
            <v>7</v>
          </cell>
          <cell r="L1321">
            <v>7</v>
          </cell>
          <cell r="M1321">
            <v>3.7634408602150539E-2</v>
          </cell>
          <cell r="N1321">
            <v>3.7999999999999999E-2</v>
          </cell>
          <cell r="O1321" t="str">
            <v>$1012</v>
          </cell>
          <cell r="P1321" t="str">
            <v>$1012</v>
          </cell>
          <cell r="Q1321">
            <v>45604</v>
          </cell>
          <cell r="R1321" t="str">
            <v>Hyderabad</v>
          </cell>
          <cell r="S1321" t="str">
            <v>Desktop</v>
          </cell>
          <cell r="T1321" t="str">
            <v>analytics for data</v>
          </cell>
        </row>
        <row r="1322">
          <cell r="A1322" t="str">
            <v>A2320</v>
          </cell>
          <cell r="B1322" t="str">
            <v>Data Analytics Course</v>
          </cell>
          <cell r="C1322">
            <v>93</v>
          </cell>
          <cell r="D1322">
            <v>93</v>
          </cell>
          <cell r="E1322">
            <v>3160</v>
          </cell>
          <cell r="F1322">
            <v>3160</v>
          </cell>
          <cell r="G1322" t="str">
            <v>$220.75</v>
          </cell>
          <cell r="H1322" t="str">
            <v>$220.75</v>
          </cell>
          <cell r="I1322">
            <v>30</v>
          </cell>
          <cell r="J1322">
            <v>30</v>
          </cell>
          <cell r="K1322">
            <v>8</v>
          </cell>
          <cell r="L1322">
            <v>8</v>
          </cell>
          <cell r="M1322">
            <v>8.6021505376344093E-2</v>
          </cell>
          <cell r="N1322">
            <v>8.5999999999999993E-2</v>
          </cell>
          <cell r="O1322" t="str">
            <v>$1472</v>
          </cell>
          <cell r="P1322" t="str">
            <v>$1472</v>
          </cell>
          <cell r="Q1322">
            <v>45604</v>
          </cell>
          <cell r="R1322" t="str">
            <v>Hyderabad</v>
          </cell>
          <cell r="S1322" t="str">
            <v>Desktop</v>
          </cell>
          <cell r="T1322" t="str">
            <v>data analytics online</v>
          </cell>
        </row>
        <row r="1323">
          <cell r="A1323" t="str">
            <v>A2321</v>
          </cell>
          <cell r="B1323" t="str">
            <v>Data Analytics Course</v>
          </cell>
          <cell r="C1323">
            <v>138</v>
          </cell>
          <cell r="D1323">
            <v>138</v>
          </cell>
          <cell r="E1323">
            <v>4699</v>
          </cell>
          <cell r="F1323">
            <v>4699</v>
          </cell>
          <cell r="G1323" t="str">
            <v>$202.54</v>
          </cell>
          <cell r="H1323" t="str">
            <v>$202.54</v>
          </cell>
          <cell r="I1323">
            <v>26</v>
          </cell>
          <cell r="J1323">
            <v>26</v>
          </cell>
          <cell r="K1323">
            <v>9</v>
          </cell>
          <cell r="L1323">
            <v>9</v>
          </cell>
          <cell r="M1323">
            <v>6.5217391304347824E-2</v>
          </cell>
          <cell r="N1323">
            <v>6.5000000000000002E-2</v>
          </cell>
          <cell r="O1323" t="str">
            <v>$1133</v>
          </cell>
          <cell r="P1323" t="str">
            <v>$1133</v>
          </cell>
          <cell r="Q1323">
            <v>45621</v>
          </cell>
          <cell r="R1323" t="str">
            <v>Hyderabad</v>
          </cell>
          <cell r="S1323" t="str">
            <v>Tablet</v>
          </cell>
          <cell r="T1323" t="str">
            <v>online data analytic</v>
          </cell>
        </row>
        <row r="1324">
          <cell r="A1324" t="str">
            <v>A2322</v>
          </cell>
          <cell r="B1324" t="str">
            <v>Data Analytics Course</v>
          </cell>
          <cell r="C1324">
            <v>96</v>
          </cell>
          <cell r="D1324">
            <v>96</v>
          </cell>
          <cell r="E1324">
            <v>3730</v>
          </cell>
          <cell r="F1324">
            <v>3730</v>
          </cell>
          <cell r="G1324" t="str">
            <v>$217.61</v>
          </cell>
          <cell r="H1324" t="str">
            <v>$217.61</v>
          </cell>
          <cell r="I1324">
            <v>16</v>
          </cell>
          <cell r="J1324">
            <v>16</v>
          </cell>
          <cell r="K1324">
            <v>4</v>
          </cell>
          <cell r="L1324">
            <v>4</v>
          </cell>
          <cell r="M1324">
            <v>4.1666666666666664E-2</v>
          </cell>
          <cell r="N1324">
            <v>4.2000000000000003E-2</v>
          </cell>
          <cell r="O1324" t="str">
            <v>$1283</v>
          </cell>
          <cell r="P1324" t="str">
            <v>$1283</v>
          </cell>
          <cell r="Q1324">
            <v>45603</v>
          </cell>
          <cell r="R1324" t="str">
            <v>Hyderabad</v>
          </cell>
          <cell r="S1324" t="str">
            <v>Desktop</v>
          </cell>
          <cell r="T1324" t="str">
            <v>analytics for data</v>
          </cell>
        </row>
        <row r="1325">
          <cell r="A1325" t="str">
            <v>A2323</v>
          </cell>
          <cell r="B1325" t="str">
            <v>Data Analytics Course</v>
          </cell>
          <cell r="C1325">
            <v>127</v>
          </cell>
          <cell r="D1325">
            <v>127</v>
          </cell>
          <cell r="E1325">
            <v>5221</v>
          </cell>
          <cell r="F1325">
            <v>5221</v>
          </cell>
          <cell r="G1325" t="str">
            <v>$226.67</v>
          </cell>
          <cell r="H1325" t="str">
            <v>$226.67</v>
          </cell>
          <cell r="I1325">
            <v>17</v>
          </cell>
          <cell r="J1325">
            <v>17</v>
          </cell>
          <cell r="K1325">
            <v>3</v>
          </cell>
          <cell r="L1325">
            <v>3</v>
          </cell>
          <cell r="M1325">
            <v>2.3622047244094488E-2</v>
          </cell>
          <cell r="O1325" t="str">
            <v>$1384</v>
          </cell>
          <cell r="P1325" t="str">
            <v>$1384</v>
          </cell>
          <cell r="Q1325">
            <v>45599</v>
          </cell>
          <cell r="R1325" t="str">
            <v>Bangaluru</v>
          </cell>
          <cell r="S1325" t="str">
            <v>Tablet</v>
          </cell>
          <cell r="T1325" t="str">
            <v>data analytics training</v>
          </cell>
        </row>
        <row r="1326">
          <cell r="A1326" t="str">
            <v>A2324</v>
          </cell>
          <cell r="B1326" t="str">
            <v>Data Analytcis Course</v>
          </cell>
          <cell r="C1326">
            <v>92</v>
          </cell>
          <cell r="D1326">
            <v>92</v>
          </cell>
          <cell r="E1326">
            <v>3299</v>
          </cell>
          <cell r="F1326">
            <v>3299</v>
          </cell>
          <cell r="G1326" t="str">
            <v>$188.58</v>
          </cell>
          <cell r="H1326" t="str">
            <v>$188.58</v>
          </cell>
          <cell r="I1326">
            <v>11</v>
          </cell>
          <cell r="J1326">
            <v>11</v>
          </cell>
          <cell r="K1326">
            <v>9</v>
          </cell>
          <cell r="L1326">
            <v>9</v>
          </cell>
          <cell r="M1326">
            <v>9.7826086956521743E-2</v>
          </cell>
          <cell r="N1326">
            <v>9.8000000000000004E-2</v>
          </cell>
          <cell r="O1326" t="str">
            <v>$1678</v>
          </cell>
          <cell r="P1326" t="str">
            <v>$1678</v>
          </cell>
          <cell r="Q1326">
            <v>45623</v>
          </cell>
          <cell r="R1326" t="str">
            <v>Hyderabad</v>
          </cell>
          <cell r="S1326" t="str">
            <v>Desktop</v>
          </cell>
          <cell r="T1326" t="str">
            <v>data analytics online</v>
          </cell>
        </row>
        <row r="1327">
          <cell r="A1327" t="str">
            <v>A2325</v>
          </cell>
          <cell r="B1327" t="str">
            <v>Data Analytics Course</v>
          </cell>
          <cell r="C1327">
            <v>156</v>
          </cell>
          <cell r="D1327">
            <v>156</v>
          </cell>
          <cell r="E1327">
            <v>5634</v>
          </cell>
          <cell r="F1327">
            <v>5634</v>
          </cell>
          <cell r="G1327" t="str">
            <v>$247.45</v>
          </cell>
          <cell r="H1327" t="str">
            <v>$247.45</v>
          </cell>
          <cell r="I1327">
            <v>16</v>
          </cell>
          <cell r="J1327">
            <v>16</v>
          </cell>
          <cell r="K1327">
            <v>5</v>
          </cell>
          <cell r="L1327">
            <v>5</v>
          </cell>
          <cell r="M1327">
            <v>3.2051282051282048E-2</v>
          </cell>
          <cell r="N1327">
            <v>3.2000000000000001E-2</v>
          </cell>
          <cell r="O1327" t="str">
            <v>$1925</v>
          </cell>
          <cell r="P1327" t="str">
            <v>$1925</v>
          </cell>
          <cell r="Q1327">
            <v>45604</v>
          </cell>
          <cell r="R1327" t="str">
            <v>Bangaluru</v>
          </cell>
          <cell r="S1327" t="str">
            <v>Tablet</v>
          </cell>
          <cell r="T1327" t="str">
            <v>data analytics course</v>
          </cell>
        </row>
        <row r="1328">
          <cell r="A1328" t="str">
            <v>A2326</v>
          </cell>
          <cell r="B1328" t="str">
            <v>Data Analytcis Course</v>
          </cell>
          <cell r="C1328">
            <v>113</v>
          </cell>
          <cell r="D1328">
            <v>113</v>
          </cell>
          <cell r="E1328">
            <v>5991</v>
          </cell>
          <cell r="F1328">
            <v>5991</v>
          </cell>
          <cell r="G1328" t="str">
            <v>$211.28</v>
          </cell>
          <cell r="H1328" t="str">
            <v>$211.28</v>
          </cell>
          <cell r="I1328">
            <v>16</v>
          </cell>
          <cell r="J1328">
            <v>16</v>
          </cell>
          <cell r="K1328">
            <v>3</v>
          </cell>
          <cell r="L1328">
            <v>3</v>
          </cell>
          <cell r="M1328">
            <v>2.6548672566371681E-2</v>
          </cell>
          <cell r="N1328">
            <v>2.7E-2</v>
          </cell>
          <cell r="O1328" t="str">
            <v>$1499</v>
          </cell>
          <cell r="P1328" t="str">
            <v>$1499</v>
          </cell>
          <cell r="Q1328">
            <v>45612</v>
          </cell>
          <cell r="R1328" t="str">
            <v>Bangaluru</v>
          </cell>
          <cell r="S1328" t="str">
            <v>Tablet</v>
          </cell>
          <cell r="T1328" t="str">
            <v>learn data analytics</v>
          </cell>
        </row>
        <row r="1329">
          <cell r="A1329" t="str">
            <v>A2327</v>
          </cell>
          <cell r="B1329" t="str">
            <v>Data Analytics Course</v>
          </cell>
          <cell r="C1329">
            <v>84</v>
          </cell>
          <cell r="D1329">
            <v>84</v>
          </cell>
          <cell r="E1329">
            <v>3917</v>
          </cell>
          <cell r="F1329">
            <v>3917</v>
          </cell>
          <cell r="G1329" t="str">
            <v>$233.19</v>
          </cell>
          <cell r="H1329" t="str">
            <v>$233.19</v>
          </cell>
          <cell r="I1329">
            <v>13</v>
          </cell>
          <cell r="J1329">
            <v>13</v>
          </cell>
          <cell r="K1329">
            <v>10</v>
          </cell>
          <cell r="L1329">
            <v>10</v>
          </cell>
          <cell r="M1329">
            <v>0.11904761904761904</v>
          </cell>
          <cell r="N1329">
            <v>4.9000000000000002E-2</v>
          </cell>
          <cell r="O1329" t="str">
            <v>$1500</v>
          </cell>
          <cell r="Q1329">
            <v>45607</v>
          </cell>
          <cell r="R1329" t="str">
            <v>Chennai</v>
          </cell>
          <cell r="S1329" t="str">
            <v>Desktop</v>
          </cell>
          <cell r="T1329" t="str">
            <v>data analytics course</v>
          </cell>
        </row>
        <row r="1330">
          <cell r="A1330" t="str">
            <v>A2328</v>
          </cell>
          <cell r="B1330" t="str">
            <v>Data Analytics Course</v>
          </cell>
          <cell r="C1330">
            <v>189</v>
          </cell>
          <cell r="D1330">
            <v>189</v>
          </cell>
          <cell r="E1330">
            <v>5335</v>
          </cell>
          <cell r="F1330">
            <v>5335</v>
          </cell>
          <cell r="G1330" t="str">
            <v>$181.46</v>
          </cell>
          <cell r="H1330" t="str">
            <v>$181.46</v>
          </cell>
          <cell r="I1330">
            <v>27</v>
          </cell>
          <cell r="J1330">
            <v>27</v>
          </cell>
          <cell r="K1330">
            <v>9</v>
          </cell>
          <cell r="L1330">
            <v>9</v>
          </cell>
          <cell r="M1330">
            <v>4.7619047619047616E-2</v>
          </cell>
          <cell r="N1330">
            <v>4.8000000000000001E-2</v>
          </cell>
          <cell r="O1330" t="str">
            <v>$1734</v>
          </cell>
          <cell r="P1330" t="str">
            <v>$1734</v>
          </cell>
          <cell r="Q1330">
            <v>45604</v>
          </cell>
          <cell r="R1330" t="str">
            <v>Hyderabad</v>
          </cell>
          <cell r="S1330" t="str">
            <v>Mobile</v>
          </cell>
          <cell r="T1330" t="str">
            <v>online data analytic</v>
          </cell>
        </row>
        <row r="1331">
          <cell r="A1331" t="str">
            <v>A2329</v>
          </cell>
          <cell r="B1331" t="str">
            <v>Data Analytics Course</v>
          </cell>
          <cell r="C1331">
            <v>149</v>
          </cell>
          <cell r="D1331">
            <v>149</v>
          </cell>
          <cell r="E1331">
            <v>4550</v>
          </cell>
          <cell r="F1331">
            <v>4550</v>
          </cell>
          <cell r="G1331" t="str">
            <v>$219.44</v>
          </cell>
          <cell r="H1331" t="str">
            <v>$219.44</v>
          </cell>
          <cell r="I1331">
            <v>11</v>
          </cell>
          <cell r="J1331">
            <v>11</v>
          </cell>
          <cell r="K1331">
            <v>9</v>
          </cell>
          <cell r="L1331">
            <v>9</v>
          </cell>
          <cell r="M1331">
            <v>6.0402684563758392E-2</v>
          </cell>
          <cell r="N1331">
            <v>0.06</v>
          </cell>
          <cell r="O1331" t="str">
            <v>$1659</v>
          </cell>
          <cell r="P1331" t="str">
            <v>$1659</v>
          </cell>
          <cell r="Q1331">
            <v>45612</v>
          </cell>
          <cell r="R1331" t="str">
            <v>Hyderabad</v>
          </cell>
          <cell r="S1331" t="str">
            <v>Tablet</v>
          </cell>
          <cell r="T1331" t="str">
            <v>online data analytic</v>
          </cell>
        </row>
        <row r="1332">
          <cell r="A1332" t="str">
            <v>A2330</v>
          </cell>
          <cell r="B1332" t="str">
            <v>Data Analytics Course</v>
          </cell>
          <cell r="C1332">
            <v>100</v>
          </cell>
          <cell r="D1332">
            <v>100</v>
          </cell>
          <cell r="E1332">
            <v>5805</v>
          </cell>
          <cell r="F1332">
            <v>5805</v>
          </cell>
          <cell r="G1332" t="str">
            <v>$181.27</v>
          </cell>
          <cell r="H1332" t="str">
            <v>$181.27</v>
          </cell>
          <cell r="I1332">
            <v>15</v>
          </cell>
          <cell r="J1332">
            <v>15</v>
          </cell>
          <cell r="K1332">
            <v>4</v>
          </cell>
          <cell r="L1332">
            <v>4</v>
          </cell>
          <cell r="M1332">
            <v>0.04</v>
          </cell>
          <cell r="N1332">
            <v>0.04</v>
          </cell>
          <cell r="O1332" t="str">
            <v>$1195</v>
          </cell>
          <cell r="P1332" t="str">
            <v>$1195</v>
          </cell>
          <cell r="Q1332">
            <v>45600</v>
          </cell>
          <cell r="R1332" t="str">
            <v>Hyderabad</v>
          </cell>
          <cell r="S1332" t="str">
            <v>Desktop</v>
          </cell>
          <cell r="T1332" t="str">
            <v>learn data analytics</v>
          </cell>
        </row>
        <row r="1333">
          <cell r="A1333" t="str">
            <v>A2331</v>
          </cell>
          <cell r="B1333" t="str">
            <v>Data Analytics Course</v>
          </cell>
          <cell r="C1333">
            <v>105</v>
          </cell>
          <cell r="D1333">
            <v>105</v>
          </cell>
          <cell r="E1333">
            <v>5156</v>
          </cell>
          <cell r="F1333">
            <v>5156</v>
          </cell>
          <cell r="G1333" t="str">
            <v>$201.01</v>
          </cell>
          <cell r="H1333" t="str">
            <v>$201.01</v>
          </cell>
          <cell r="I1333">
            <v>25</v>
          </cell>
          <cell r="J1333">
            <v>25</v>
          </cell>
          <cell r="K1333">
            <v>10</v>
          </cell>
          <cell r="L1333">
            <v>10</v>
          </cell>
          <cell r="M1333">
            <v>9.5238095238095233E-2</v>
          </cell>
          <cell r="O1333" t="str">
            <v>$1472</v>
          </cell>
          <cell r="P1333" t="str">
            <v>$1472</v>
          </cell>
          <cell r="Q1333">
            <v>45607</v>
          </cell>
          <cell r="R1333" t="str">
            <v>Bangaluru</v>
          </cell>
          <cell r="S1333" t="str">
            <v>Desktop</v>
          </cell>
          <cell r="T1333" t="str">
            <v>analytics for data</v>
          </cell>
        </row>
        <row r="1334">
          <cell r="A1334" t="str">
            <v>A2332</v>
          </cell>
          <cell r="B1334" t="str">
            <v>Data Analytcis Course</v>
          </cell>
          <cell r="C1334">
            <v>86</v>
          </cell>
          <cell r="D1334">
            <v>86</v>
          </cell>
          <cell r="E1334">
            <v>5060</v>
          </cell>
          <cell r="F1334">
            <v>5060</v>
          </cell>
          <cell r="G1334" t="str">
            <v>$249.4</v>
          </cell>
          <cell r="H1334" t="str">
            <v>$249.4</v>
          </cell>
          <cell r="I1334">
            <v>15</v>
          </cell>
          <cell r="J1334">
            <v>15</v>
          </cell>
          <cell r="K1334">
            <v>4</v>
          </cell>
          <cell r="L1334">
            <v>4</v>
          </cell>
          <cell r="M1334">
            <v>4.6511627906976744E-2</v>
          </cell>
          <cell r="N1334">
            <v>4.7E-2</v>
          </cell>
          <cell r="O1334" t="str">
            <v>$1761</v>
          </cell>
          <cell r="P1334" t="str">
            <v>$1761</v>
          </cell>
          <cell r="Q1334">
            <v>45611</v>
          </cell>
          <cell r="R1334" t="str">
            <v>Chennai</v>
          </cell>
          <cell r="S1334" t="str">
            <v>Tablet</v>
          </cell>
          <cell r="T1334" t="str">
            <v>data analytics online</v>
          </cell>
        </row>
        <row r="1335">
          <cell r="A1335" t="str">
            <v>A2333</v>
          </cell>
          <cell r="B1335" t="str">
            <v>Data Analytcis Course</v>
          </cell>
          <cell r="C1335">
            <v>93</v>
          </cell>
          <cell r="D1335">
            <v>93</v>
          </cell>
          <cell r="E1335">
            <v>5178</v>
          </cell>
          <cell r="F1335">
            <v>5178</v>
          </cell>
          <cell r="G1335" t="str">
            <v>$245.13</v>
          </cell>
          <cell r="H1335" t="str">
            <v>$245.13</v>
          </cell>
          <cell r="I1335">
            <v>14</v>
          </cell>
          <cell r="J1335">
            <v>14</v>
          </cell>
          <cell r="K1335">
            <v>5</v>
          </cell>
          <cell r="L1335">
            <v>5</v>
          </cell>
          <cell r="M1335">
            <v>5.3763440860215055E-2</v>
          </cell>
          <cell r="N1335">
            <v>5.3999999999999999E-2</v>
          </cell>
          <cell r="O1335" t="str">
            <v>$1080</v>
          </cell>
          <cell r="P1335" t="str">
            <v>$1080</v>
          </cell>
          <cell r="Q1335">
            <v>45604</v>
          </cell>
          <cell r="R1335" t="str">
            <v>Bangaluru</v>
          </cell>
          <cell r="S1335" t="str">
            <v>Mobile</v>
          </cell>
          <cell r="T1335" t="str">
            <v>data analytics online</v>
          </cell>
        </row>
        <row r="1336">
          <cell r="A1336" t="str">
            <v>A2334</v>
          </cell>
          <cell r="B1336" t="str">
            <v>Data Analytcis Course</v>
          </cell>
          <cell r="C1336">
            <v>180</v>
          </cell>
          <cell r="D1336">
            <v>180</v>
          </cell>
          <cell r="E1336">
            <v>3076</v>
          </cell>
          <cell r="F1336">
            <v>3076</v>
          </cell>
          <cell r="G1336" t="str">
            <v>$227.91</v>
          </cell>
          <cell r="H1336" t="str">
            <v>$227.91</v>
          </cell>
          <cell r="I1336">
            <v>12</v>
          </cell>
          <cell r="J1336">
            <v>12</v>
          </cell>
          <cell r="K1336">
            <v>10</v>
          </cell>
          <cell r="L1336">
            <v>10</v>
          </cell>
          <cell r="M1336">
            <v>5.5555555555555552E-2</v>
          </cell>
          <cell r="N1336">
            <v>5.6000000000000001E-2</v>
          </cell>
          <cell r="O1336" t="str">
            <v>$1500</v>
          </cell>
          <cell r="Q1336">
            <v>45601</v>
          </cell>
          <cell r="R1336" t="str">
            <v>Bangaluru</v>
          </cell>
          <cell r="S1336" t="str">
            <v>Desktop</v>
          </cell>
          <cell r="T1336" t="str">
            <v>online data analytic</v>
          </cell>
        </row>
        <row r="1337">
          <cell r="A1337" t="str">
            <v>A2335</v>
          </cell>
          <cell r="B1337" t="str">
            <v>Data Analytcis Course</v>
          </cell>
          <cell r="C1337">
            <v>156</v>
          </cell>
          <cell r="D1337">
            <v>156</v>
          </cell>
          <cell r="E1337">
            <v>3218</v>
          </cell>
          <cell r="F1337">
            <v>3218</v>
          </cell>
          <cell r="G1337" t="str">
            <v>$235.69</v>
          </cell>
          <cell r="H1337" t="str">
            <v>$235.69</v>
          </cell>
          <cell r="I1337">
            <v>28</v>
          </cell>
          <cell r="J1337">
            <v>28</v>
          </cell>
          <cell r="K1337">
            <v>6</v>
          </cell>
          <cell r="L1337">
            <v>6</v>
          </cell>
          <cell r="M1337">
            <v>3.8461538461538464E-2</v>
          </cell>
          <cell r="N1337">
            <v>3.7999999999999999E-2</v>
          </cell>
          <cell r="O1337" t="str">
            <v>$1289</v>
          </cell>
          <cell r="P1337" t="str">
            <v>$1289</v>
          </cell>
          <cell r="Q1337">
            <v>45612</v>
          </cell>
          <cell r="R1337" t="str">
            <v>Hyderabad</v>
          </cell>
          <cell r="S1337" t="str">
            <v>Tablet</v>
          </cell>
          <cell r="T1337" t="str">
            <v>data analytics online</v>
          </cell>
        </row>
        <row r="1338">
          <cell r="A1338" t="str">
            <v>A2336</v>
          </cell>
          <cell r="B1338" t="str">
            <v>Data Analytics Course</v>
          </cell>
          <cell r="C1338">
            <v>124</v>
          </cell>
          <cell r="D1338">
            <v>124</v>
          </cell>
          <cell r="E1338">
            <v>4682</v>
          </cell>
          <cell r="F1338">
            <v>4682</v>
          </cell>
          <cell r="G1338" t="str">
            <v>$207.53</v>
          </cell>
          <cell r="H1338" t="str">
            <v>$207.53</v>
          </cell>
          <cell r="I1338">
            <v>20</v>
          </cell>
          <cell r="J1338">
            <v>20</v>
          </cell>
          <cell r="K1338">
            <v>3</v>
          </cell>
          <cell r="L1338">
            <v>3</v>
          </cell>
          <cell r="M1338">
            <v>2.4193548387096774E-2</v>
          </cell>
          <cell r="N1338">
            <v>3.3000000000000002E-2</v>
          </cell>
          <cell r="O1338" t="str">
            <v>$1550</v>
          </cell>
          <cell r="P1338" t="str">
            <v>$1550</v>
          </cell>
          <cell r="Q1338">
            <v>45599</v>
          </cell>
          <cell r="R1338" t="str">
            <v>Bangaluru</v>
          </cell>
          <cell r="S1338" t="str">
            <v>Tablet</v>
          </cell>
          <cell r="T1338" t="str">
            <v>online data analytic</v>
          </cell>
        </row>
        <row r="1339">
          <cell r="A1339" t="str">
            <v>A2337</v>
          </cell>
          <cell r="B1339" t="str">
            <v>Data Analytics Course</v>
          </cell>
          <cell r="C1339">
            <v>177</v>
          </cell>
          <cell r="D1339">
            <v>177</v>
          </cell>
          <cell r="E1339">
            <v>3592</v>
          </cell>
          <cell r="F1339">
            <v>3592</v>
          </cell>
          <cell r="G1339" t="str">
            <v>$205.25</v>
          </cell>
          <cell r="H1339" t="str">
            <v>$205.25</v>
          </cell>
          <cell r="I1339">
            <v>29</v>
          </cell>
          <cell r="J1339">
            <v>29</v>
          </cell>
          <cell r="K1339">
            <v>9</v>
          </cell>
          <cell r="L1339">
            <v>9</v>
          </cell>
          <cell r="M1339">
            <v>5.0847457627118647E-2</v>
          </cell>
          <cell r="N1339">
            <v>5.0999999999999997E-2</v>
          </cell>
          <cell r="O1339" t="str">
            <v>$1271</v>
          </cell>
          <cell r="P1339" t="str">
            <v>$1271</v>
          </cell>
          <cell r="Q1339">
            <v>45611</v>
          </cell>
          <cell r="R1339" t="str">
            <v>Hyderabad</v>
          </cell>
          <cell r="S1339" t="str">
            <v>Desktop</v>
          </cell>
          <cell r="T1339" t="str">
            <v>data analytics training</v>
          </cell>
        </row>
        <row r="1340">
          <cell r="A1340" t="str">
            <v>A2338</v>
          </cell>
          <cell r="B1340" t="str">
            <v>Data Analytics Course</v>
          </cell>
          <cell r="C1340">
            <v>156</v>
          </cell>
          <cell r="D1340">
            <v>156</v>
          </cell>
          <cell r="E1340">
            <v>3506</v>
          </cell>
          <cell r="F1340">
            <v>3506</v>
          </cell>
          <cell r="G1340" t="str">
            <v>$242.9</v>
          </cell>
          <cell r="H1340" t="str">
            <v>$242.9</v>
          </cell>
          <cell r="I1340">
            <v>13</v>
          </cell>
          <cell r="J1340">
            <v>13</v>
          </cell>
          <cell r="K1340">
            <v>6.5450819672131146</v>
          </cell>
          <cell r="M1340">
            <v>4.1955653635981506E-2</v>
          </cell>
          <cell r="O1340" t="str">
            <v>$1208</v>
          </cell>
          <cell r="P1340" t="str">
            <v>$1208</v>
          </cell>
          <cell r="Q1340">
            <v>45597</v>
          </cell>
          <cell r="R1340" t="str">
            <v>Hyderabad</v>
          </cell>
          <cell r="S1340" t="str">
            <v>Desktop</v>
          </cell>
          <cell r="T1340" t="str">
            <v>analytics for data</v>
          </cell>
        </row>
        <row r="1341">
          <cell r="A1341" t="str">
            <v>A2339</v>
          </cell>
          <cell r="B1341" t="str">
            <v>Data Analytics Course</v>
          </cell>
          <cell r="C1341">
            <v>132</v>
          </cell>
          <cell r="D1341">
            <v>132</v>
          </cell>
          <cell r="E1341">
            <v>3562</v>
          </cell>
          <cell r="F1341">
            <v>3562</v>
          </cell>
          <cell r="G1341" t="str">
            <v>$238.34</v>
          </cell>
          <cell r="H1341" t="str">
            <v>$238.34</v>
          </cell>
          <cell r="I1341">
            <v>23</v>
          </cell>
          <cell r="J1341">
            <v>23</v>
          </cell>
          <cell r="K1341">
            <v>4</v>
          </cell>
          <cell r="L1341">
            <v>4</v>
          </cell>
          <cell r="M1341">
            <v>3.0303030303030304E-2</v>
          </cell>
          <cell r="N1341">
            <v>0.03</v>
          </cell>
          <cell r="O1341" t="str">
            <v>$1033</v>
          </cell>
          <cell r="P1341" t="str">
            <v>$1033</v>
          </cell>
          <cell r="Q1341">
            <v>45625</v>
          </cell>
          <cell r="R1341" t="str">
            <v>Hyderabad</v>
          </cell>
          <cell r="S1341" t="str">
            <v>Tablet</v>
          </cell>
          <cell r="T1341" t="str">
            <v>data analytics course</v>
          </cell>
        </row>
        <row r="1342">
          <cell r="A1342" t="str">
            <v>A2340</v>
          </cell>
          <cell r="B1342" t="str">
            <v>Data Analytcis Course</v>
          </cell>
          <cell r="C1342">
            <v>178</v>
          </cell>
          <cell r="D1342">
            <v>178</v>
          </cell>
          <cell r="E1342">
            <v>4523.2808326787117</v>
          </cell>
          <cell r="G1342" t="str">
            <v>$203.6</v>
          </cell>
          <cell r="H1342" t="str">
            <v>$203.6</v>
          </cell>
          <cell r="I1342">
            <v>12</v>
          </cell>
          <cell r="J1342">
            <v>12</v>
          </cell>
          <cell r="K1342">
            <v>3</v>
          </cell>
          <cell r="L1342">
            <v>3</v>
          </cell>
          <cell r="M1342">
            <v>1.6853932584269662E-2</v>
          </cell>
          <cell r="N1342">
            <v>1.7000000000000001E-2</v>
          </cell>
          <cell r="O1342" t="str">
            <v>$1155</v>
          </cell>
          <cell r="P1342" t="str">
            <v>$1155</v>
          </cell>
          <cell r="Q1342">
            <v>45598</v>
          </cell>
          <cell r="R1342" t="str">
            <v>Hyderabad</v>
          </cell>
          <cell r="S1342" t="str">
            <v>Tablet</v>
          </cell>
          <cell r="T1342" t="str">
            <v>analytics for data</v>
          </cell>
        </row>
        <row r="1343">
          <cell r="A1343" t="str">
            <v>A2341</v>
          </cell>
          <cell r="B1343" t="str">
            <v>Data Analytcis Course</v>
          </cell>
          <cell r="C1343">
            <v>153</v>
          </cell>
          <cell r="D1343">
            <v>153</v>
          </cell>
          <cell r="E1343">
            <v>3953</v>
          </cell>
          <cell r="F1343">
            <v>3953</v>
          </cell>
          <cell r="G1343" t="str">
            <v>$237.56</v>
          </cell>
          <cell r="H1343" t="str">
            <v>$237.56</v>
          </cell>
          <cell r="I1343">
            <v>20</v>
          </cell>
          <cell r="J1343">
            <v>20</v>
          </cell>
          <cell r="K1343">
            <v>6</v>
          </cell>
          <cell r="L1343">
            <v>6</v>
          </cell>
          <cell r="M1343">
            <v>3.9215686274509803E-2</v>
          </cell>
          <cell r="N1343">
            <v>5.2999999999999999E-2</v>
          </cell>
          <cell r="O1343" t="str">
            <v>$1388</v>
          </cell>
          <cell r="P1343" t="str">
            <v>$1388</v>
          </cell>
          <cell r="Q1343">
            <v>45622</v>
          </cell>
          <cell r="R1343" t="str">
            <v>Hyderabad</v>
          </cell>
          <cell r="S1343" t="str">
            <v>Tablet</v>
          </cell>
          <cell r="T1343" t="str">
            <v>learn data analytics</v>
          </cell>
        </row>
        <row r="1344">
          <cell r="A1344" t="str">
            <v>A2342</v>
          </cell>
          <cell r="B1344" t="str">
            <v>Data Analytics Course</v>
          </cell>
          <cell r="C1344">
            <v>187</v>
          </cell>
          <cell r="D1344">
            <v>187</v>
          </cell>
          <cell r="E1344">
            <v>4891</v>
          </cell>
          <cell r="F1344">
            <v>4891</v>
          </cell>
          <cell r="G1344" t="str">
            <v>$223.99</v>
          </cell>
          <cell r="H1344" t="str">
            <v>$223.99</v>
          </cell>
          <cell r="I1344">
            <v>14</v>
          </cell>
          <cell r="J1344">
            <v>14</v>
          </cell>
          <cell r="K1344">
            <v>8</v>
          </cell>
          <cell r="L1344">
            <v>8</v>
          </cell>
          <cell r="M1344">
            <v>4.2780748663101602E-2</v>
          </cell>
          <cell r="N1344">
            <v>4.2999999999999997E-2</v>
          </cell>
          <cell r="O1344" t="str">
            <v>$1014</v>
          </cell>
          <cell r="P1344" t="str">
            <v>$1014</v>
          </cell>
          <cell r="Q1344">
            <v>45622</v>
          </cell>
          <cell r="R1344" t="str">
            <v>Bangaluru</v>
          </cell>
          <cell r="S1344" t="str">
            <v>Mobile</v>
          </cell>
          <cell r="T1344" t="str">
            <v>online data analytic</v>
          </cell>
        </row>
        <row r="1345">
          <cell r="A1345" t="str">
            <v>A2343</v>
          </cell>
          <cell r="B1345" t="str">
            <v>Data Analytics Course</v>
          </cell>
          <cell r="C1345">
            <v>155</v>
          </cell>
          <cell r="D1345">
            <v>155</v>
          </cell>
          <cell r="E1345">
            <v>4976</v>
          </cell>
          <cell r="F1345">
            <v>4976</v>
          </cell>
          <cell r="G1345" t="str">
            <v>$183.21</v>
          </cell>
          <cell r="H1345" t="str">
            <v>$183.21</v>
          </cell>
          <cell r="I1345">
            <v>10</v>
          </cell>
          <cell r="J1345">
            <v>10</v>
          </cell>
          <cell r="K1345">
            <v>5</v>
          </cell>
          <cell r="L1345">
            <v>5</v>
          </cell>
          <cell r="M1345">
            <v>3.2258064516129031E-2</v>
          </cell>
          <cell r="N1345">
            <v>5.2999999999999999E-2</v>
          </cell>
          <cell r="O1345" t="str">
            <v>$1554</v>
          </cell>
          <cell r="P1345" t="str">
            <v>$1554</v>
          </cell>
          <cell r="Q1345">
            <v>45609</v>
          </cell>
          <cell r="R1345" t="str">
            <v>Hyderabad</v>
          </cell>
          <cell r="S1345" t="str">
            <v>Tablet</v>
          </cell>
          <cell r="T1345" t="str">
            <v>online data analytic</v>
          </cell>
        </row>
        <row r="1346">
          <cell r="A1346" t="str">
            <v>A2344</v>
          </cell>
          <cell r="B1346" t="str">
            <v>Data Analytics Course</v>
          </cell>
          <cell r="C1346">
            <v>90</v>
          </cell>
          <cell r="D1346">
            <v>90</v>
          </cell>
          <cell r="E1346">
            <v>5781</v>
          </cell>
          <cell r="F1346">
            <v>5781</v>
          </cell>
          <cell r="G1346" t="str">
            <v>$200.71</v>
          </cell>
          <cell r="H1346" t="str">
            <v>$200.71</v>
          </cell>
          <cell r="I1346">
            <v>28</v>
          </cell>
          <cell r="J1346">
            <v>28</v>
          </cell>
          <cell r="K1346">
            <v>5</v>
          </cell>
          <cell r="L1346">
            <v>5</v>
          </cell>
          <cell r="M1346">
            <v>5.5555555555555552E-2</v>
          </cell>
          <cell r="N1346">
            <v>4.5999999999999999E-2</v>
          </cell>
          <cell r="O1346" t="str">
            <v>$1500</v>
          </cell>
          <cell r="Q1346">
            <v>45603</v>
          </cell>
          <cell r="R1346" t="str">
            <v>Bangaluru</v>
          </cell>
          <cell r="S1346" t="str">
            <v>Mobile</v>
          </cell>
          <cell r="T1346" t="str">
            <v>data analytics online</v>
          </cell>
        </row>
        <row r="1347">
          <cell r="A1347" t="str">
            <v>A2345</v>
          </cell>
          <cell r="B1347" t="str">
            <v>Data Analytcis Course</v>
          </cell>
          <cell r="C1347">
            <v>172</v>
          </cell>
          <cell r="D1347">
            <v>172</v>
          </cell>
          <cell r="E1347">
            <v>3001</v>
          </cell>
          <cell r="F1347">
            <v>3001</v>
          </cell>
          <cell r="G1347" t="str">
            <v>$210.62</v>
          </cell>
          <cell r="H1347" t="str">
            <v>$210.62</v>
          </cell>
          <cell r="I1347">
            <v>14</v>
          </cell>
          <cell r="J1347">
            <v>14</v>
          </cell>
          <cell r="K1347">
            <v>4</v>
          </cell>
          <cell r="L1347">
            <v>4</v>
          </cell>
          <cell r="M1347">
            <v>2.3255813953488372E-2</v>
          </cell>
          <cell r="N1347">
            <v>2.3E-2</v>
          </cell>
          <cell r="O1347" t="str">
            <v>$1192</v>
          </cell>
          <cell r="P1347" t="str">
            <v>$1192</v>
          </cell>
          <cell r="Q1347">
            <v>45621</v>
          </cell>
          <cell r="R1347" t="str">
            <v>Hyderabad</v>
          </cell>
          <cell r="S1347" t="str">
            <v>Tablet</v>
          </cell>
          <cell r="T1347" t="str">
            <v>data analytics online</v>
          </cell>
        </row>
        <row r="1348">
          <cell r="A1348" t="str">
            <v>A2346</v>
          </cell>
          <cell r="B1348" t="str">
            <v>Data Analytics Course</v>
          </cell>
          <cell r="C1348">
            <v>92</v>
          </cell>
          <cell r="D1348">
            <v>92</v>
          </cell>
          <cell r="E1348">
            <v>5728</v>
          </cell>
          <cell r="F1348">
            <v>5728</v>
          </cell>
          <cell r="G1348" t="str">
            <v>$224.5</v>
          </cell>
          <cell r="H1348" t="str">
            <v>$224.5</v>
          </cell>
          <cell r="I1348">
            <v>14</v>
          </cell>
          <cell r="J1348">
            <v>14</v>
          </cell>
          <cell r="K1348">
            <v>9</v>
          </cell>
          <cell r="L1348">
            <v>9</v>
          </cell>
          <cell r="M1348">
            <v>9.7826086956521743E-2</v>
          </cell>
          <cell r="N1348">
            <v>9.8000000000000004E-2</v>
          </cell>
          <cell r="O1348" t="str">
            <v>$1876</v>
          </cell>
          <cell r="P1348" t="str">
            <v>$1876</v>
          </cell>
          <cell r="Q1348">
            <v>45622</v>
          </cell>
          <cell r="R1348" t="str">
            <v>Hyderabad</v>
          </cell>
          <cell r="S1348" t="str">
            <v>Tablet</v>
          </cell>
          <cell r="T1348" t="str">
            <v>online data analytic</v>
          </cell>
        </row>
        <row r="1349">
          <cell r="A1349" t="str">
            <v>A2347</v>
          </cell>
          <cell r="B1349" t="str">
            <v>Data Analytics Course</v>
          </cell>
          <cell r="C1349">
            <v>162</v>
          </cell>
          <cell r="D1349">
            <v>162</v>
          </cell>
          <cell r="E1349">
            <v>5103</v>
          </cell>
          <cell r="F1349">
            <v>5103</v>
          </cell>
          <cell r="G1349" t="str">
            <v>$188.15</v>
          </cell>
          <cell r="H1349" t="str">
            <v>$188.15</v>
          </cell>
          <cell r="I1349">
            <v>13</v>
          </cell>
          <cell r="J1349">
            <v>13</v>
          </cell>
          <cell r="K1349">
            <v>9</v>
          </cell>
          <cell r="L1349">
            <v>9</v>
          </cell>
          <cell r="M1349">
            <v>5.5555555555555552E-2</v>
          </cell>
          <cell r="N1349">
            <v>5.6000000000000001E-2</v>
          </cell>
          <cell r="O1349" t="str">
            <v>$1264</v>
          </cell>
          <cell r="P1349" t="str">
            <v>$1264</v>
          </cell>
          <cell r="Q1349">
            <v>45624</v>
          </cell>
          <cell r="R1349" t="str">
            <v>Hyderabad</v>
          </cell>
          <cell r="S1349" t="str">
            <v>Mobile</v>
          </cell>
          <cell r="T1349" t="str">
            <v>analytics for data</v>
          </cell>
        </row>
        <row r="1350">
          <cell r="A1350" t="str">
            <v>A2348</v>
          </cell>
          <cell r="B1350" t="str">
            <v>Data Analytics Course</v>
          </cell>
          <cell r="C1350">
            <v>193</v>
          </cell>
          <cell r="D1350">
            <v>193</v>
          </cell>
          <cell r="E1350">
            <v>3131</v>
          </cell>
          <cell r="F1350">
            <v>3131</v>
          </cell>
          <cell r="G1350" t="str">
            <v>$198.1</v>
          </cell>
          <cell r="H1350" t="str">
            <v>$198.1</v>
          </cell>
          <cell r="I1350">
            <v>22</v>
          </cell>
          <cell r="J1350">
            <v>22</v>
          </cell>
          <cell r="K1350">
            <v>5</v>
          </cell>
          <cell r="L1350">
            <v>5</v>
          </cell>
          <cell r="M1350">
            <v>2.5906735751295335E-2</v>
          </cell>
          <cell r="N1350">
            <v>3.5000000000000003E-2</v>
          </cell>
          <cell r="O1350" t="str">
            <v>$1870</v>
          </cell>
          <cell r="P1350" t="str">
            <v>$1870</v>
          </cell>
          <cell r="Q1350">
            <v>45615</v>
          </cell>
          <cell r="R1350" t="str">
            <v>Bangaluru</v>
          </cell>
          <cell r="S1350" t="str">
            <v>Tablet</v>
          </cell>
          <cell r="T1350" t="str">
            <v>data analytics course</v>
          </cell>
        </row>
        <row r="1351">
          <cell r="A1351" t="str">
            <v>A2349</v>
          </cell>
          <cell r="B1351" t="str">
            <v>Data Analytcis Course</v>
          </cell>
          <cell r="C1351">
            <v>138.95699356913184</v>
          </cell>
          <cell r="E1351">
            <v>3547</v>
          </cell>
          <cell r="F1351">
            <v>3547</v>
          </cell>
          <cell r="G1351" t="str">
            <v>$238.34</v>
          </cell>
          <cell r="H1351" t="str">
            <v>$238.34</v>
          </cell>
          <cell r="I1351">
            <v>13</v>
          </cell>
          <cell r="J1351">
            <v>13</v>
          </cell>
          <cell r="K1351">
            <v>5</v>
          </cell>
          <cell r="L1351">
            <v>5</v>
          </cell>
          <cell r="M1351">
            <v>3.5982355918721523E-2</v>
          </cell>
          <cell r="O1351" t="str">
            <v>$1130</v>
          </cell>
          <cell r="P1351" t="str">
            <v>$1130</v>
          </cell>
          <cell r="Q1351">
            <v>45598</v>
          </cell>
          <cell r="R1351" t="str">
            <v>Hyderabad</v>
          </cell>
          <cell r="S1351" t="str">
            <v>Desktop</v>
          </cell>
          <cell r="T1351" t="str">
            <v>data analytics online</v>
          </cell>
        </row>
        <row r="1352">
          <cell r="A1352" t="str">
            <v>A2350</v>
          </cell>
          <cell r="B1352" t="str">
            <v>Data Analytcis Course</v>
          </cell>
          <cell r="C1352">
            <v>185</v>
          </cell>
          <cell r="D1352">
            <v>185</v>
          </cell>
          <cell r="E1352">
            <v>4070</v>
          </cell>
          <cell r="F1352">
            <v>4070</v>
          </cell>
          <cell r="G1352" t="str">
            <v>$200.95</v>
          </cell>
          <cell r="H1352" t="str">
            <v>$200.95</v>
          </cell>
          <cell r="I1352">
            <v>21</v>
          </cell>
          <cell r="J1352">
            <v>21</v>
          </cell>
          <cell r="K1352">
            <v>5</v>
          </cell>
          <cell r="L1352">
            <v>5</v>
          </cell>
          <cell r="M1352">
            <v>2.7027027027027029E-2</v>
          </cell>
          <cell r="N1352">
            <v>2.7E-2</v>
          </cell>
          <cell r="O1352" t="str">
            <v>$1503</v>
          </cell>
          <cell r="P1352" t="str">
            <v>$1503</v>
          </cell>
          <cell r="Q1352">
            <v>45603</v>
          </cell>
          <cell r="R1352" t="str">
            <v>Hyderabad</v>
          </cell>
          <cell r="S1352" t="str">
            <v>Mobile</v>
          </cell>
          <cell r="T1352" t="str">
            <v>online data analytic</v>
          </cell>
        </row>
        <row r="1353">
          <cell r="A1353" t="str">
            <v>A2351</v>
          </cell>
          <cell r="B1353" t="str">
            <v>Data Analytcis Course</v>
          </cell>
          <cell r="C1353">
            <v>117</v>
          </cell>
          <cell r="D1353">
            <v>117</v>
          </cell>
          <cell r="E1353">
            <v>3350</v>
          </cell>
          <cell r="F1353">
            <v>3350</v>
          </cell>
          <cell r="G1353" t="str">
            <v>$243.68</v>
          </cell>
          <cell r="H1353" t="str">
            <v>$243.68</v>
          </cell>
          <cell r="I1353">
            <v>23</v>
          </cell>
          <cell r="J1353">
            <v>23</v>
          </cell>
          <cell r="K1353">
            <v>5</v>
          </cell>
          <cell r="L1353">
            <v>5</v>
          </cell>
          <cell r="M1353">
            <v>4.2735042735042736E-2</v>
          </cell>
          <cell r="N1353">
            <v>5.6000000000000001E-2</v>
          </cell>
          <cell r="O1353" t="str">
            <v>$1204</v>
          </cell>
          <cell r="P1353" t="str">
            <v>$1204</v>
          </cell>
          <cell r="Q1353">
            <v>45610</v>
          </cell>
          <cell r="R1353" t="str">
            <v>Hyderabad</v>
          </cell>
          <cell r="S1353" t="str">
            <v>Desktop</v>
          </cell>
          <cell r="T1353" t="str">
            <v>analytics for data</v>
          </cell>
        </row>
        <row r="1354">
          <cell r="A1354" t="str">
            <v>A2352</v>
          </cell>
          <cell r="B1354" t="str">
            <v>Data Analytics Course</v>
          </cell>
          <cell r="C1354">
            <v>123</v>
          </cell>
          <cell r="D1354">
            <v>123</v>
          </cell>
          <cell r="E1354">
            <v>4976</v>
          </cell>
          <cell r="F1354">
            <v>4976</v>
          </cell>
          <cell r="G1354" t="str">
            <v>$244.49</v>
          </cell>
          <cell r="H1354" t="str">
            <v>$244.49</v>
          </cell>
          <cell r="I1354">
            <v>14</v>
          </cell>
          <cell r="J1354">
            <v>14</v>
          </cell>
          <cell r="K1354">
            <v>4</v>
          </cell>
          <cell r="L1354">
            <v>4</v>
          </cell>
          <cell r="M1354">
            <v>3.2520325203252036E-2</v>
          </cell>
          <cell r="N1354">
            <v>3.3000000000000002E-2</v>
          </cell>
          <cell r="O1354" t="str">
            <v>$1579</v>
          </cell>
          <cell r="P1354" t="str">
            <v>$1579</v>
          </cell>
          <cell r="Q1354">
            <v>45598</v>
          </cell>
          <cell r="R1354" t="str">
            <v>Chennai</v>
          </cell>
          <cell r="S1354" t="str">
            <v>Desktop</v>
          </cell>
          <cell r="T1354" t="str">
            <v>analytics for data</v>
          </cell>
        </row>
        <row r="1355">
          <cell r="A1355" t="str">
            <v>A2353</v>
          </cell>
          <cell r="B1355" t="str">
            <v>Data Analytics Course</v>
          </cell>
          <cell r="C1355">
            <v>181</v>
          </cell>
          <cell r="D1355">
            <v>181</v>
          </cell>
          <cell r="E1355">
            <v>5612</v>
          </cell>
          <cell r="F1355">
            <v>5612</v>
          </cell>
          <cell r="G1355" t="str">
            <v>$203.66</v>
          </cell>
          <cell r="H1355" t="str">
            <v>$203.66</v>
          </cell>
          <cell r="I1355">
            <v>17</v>
          </cell>
          <cell r="J1355">
            <v>17</v>
          </cell>
          <cell r="K1355">
            <v>3</v>
          </cell>
          <cell r="L1355">
            <v>3</v>
          </cell>
          <cell r="M1355">
            <v>1.6574585635359115E-2</v>
          </cell>
          <cell r="N1355">
            <v>1.7000000000000001E-2</v>
          </cell>
          <cell r="O1355" t="str">
            <v>$1500</v>
          </cell>
          <cell r="Q1355">
            <v>45603</v>
          </cell>
          <cell r="R1355" t="str">
            <v>Hyderabad</v>
          </cell>
          <cell r="S1355" t="str">
            <v>Tablet</v>
          </cell>
          <cell r="T1355" t="str">
            <v>data analytics training</v>
          </cell>
        </row>
        <row r="1356">
          <cell r="A1356" t="str">
            <v>A2354</v>
          </cell>
          <cell r="B1356" t="str">
            <v>Data Analytcis Course</v>
          </cell>
          <cell r="C1356">
            <v>118</v>
          </cell>
          <cell r="D1356">
            <v>118</v>
          </cell>
          <cell r="E1356">
            <v>4390</v>
          </cell>
          <cell r="F1356">
            <v>4390</v>
          </cell>
          <cell r="G1356" t="str">
            <v>$214.04</v>
          </cell>
          <cell r="H1356" t="str">
            <v>$214.04</v>
          </cell>
          <cell r="I1356">
            <v>24</v>
          </cell>
          <cell r="J1356">
            <v>24</v>
          </cell>
          <cell r="K1356">
            <v>8</v>
          </cell>
          <cell r="L1356">
            <v>8</v>
          </cell>
          <cell r="M1356">
            <v>6.7796610169491525E-2</v>
          </cell>
          <cell r="N1356">
            <v>6.8000000000000005E-2</v>
          </cell>
          <cell r="O1356" t="str">
            <v>$1071</v>
          </cell>
          <cell r="P1356" t="str">
            <v>$1071</v>
          </cell>
          <cell r="Q1356">
            <v>45614</v>
          </cell>
          <cell r="R1356" t="str">
            <v>Hyderabad</v>
          </cell>
          <cell r="S1356" t="str">
            <v>Tablet</v>
          </cell>
          <cell r="T1356" t="str">
            <v>analytics for data</v>
          </cell>
        </row>
        <row r="1357">
          <cell r="A1357" t="str">
            <v>A2355</v>
          </cell>
          <cell r="B1357" t="str">
            <v>Data Analytics Course</v>
          </cell>
          <cell r="C1357">
            <v>82</v>
          </cell>
          <cell r="D1357">
            <v>82</v>
          </cell>
          <cell r="E1357">
            <v>3698</v>
          </cell>
          <cell r="F1357">
            <v>3698</v>
          </cell>
          <cell r="G1357" t="str">
            <v>$229.12</v>
          </cell>
          <cell r="H1357" t="str">
            <v>$229.12</v>
          </cell>
          <cell r="I1357">
            <v>30</v>
          </cell>
          <cell r="J1357">
            <v>30</v>
          </cell>
          <cell r="K1357">
            <v>9</v>
          </cell>
          <cell r="L1357">
            <v>9</v>
          </cell>
          <cell r="M1357">
            <v>0.10975609756097561</v>
          </cell>
          <cell r="N1357">
            <v>0.11</v>
          </cell>
          <cell r="O1357" t="str">
            <v>$1246</v>
          </cell>
          <cell r="P1357" t="str">
            <v>$1246</v>
          </cell>
          <cell r="Q1357">
            <v>45616</v>
          </cell>
          <cell r="R1357" t="str">
            <v>Hyderabad</v>
          </cell>
          <cell r="S1357" t="str">
            <v>Mobile</v>
          </cell>
          <cell r="T1357" t="str">
            <v>learn data analytics</v>
          </cell>
        </row>
        <row r="1358">
          <cell r="A1358" t="str">
            <v>A2356</v>
          </cell>
          <cell r="B1358" t="str">
            <v>Data Analytics Course</v>
          </cell>
          <cell r="C1358">
            <v>175</v>
          </cell>
          <cell r="D1358">
            <v>175</v>
          </cell>
          <cell r="E1358">
            <v>4295</v>
          </cell>
          <cell r="F1358">
            <v>4295</v>
          </cell>
          <cell r="G1358" t="str">
            <v>$195.17</v>
          </cell>
          <cell r="H1358" t="str">
            <v>$195.17</v>
          </cell>
          <cell r="I1358">
            <v>18</v>
          </cell>
          <cell r="J1358">
            <v>18</v>
          </cell>
          <cell r="K1358">
            <v>6</v>
          </cell>
          <cell r="L1358">
            <v>6</v>
          </cell>
          <cell r="M1358">
            <v>3.4285714285714287E-2</v>
          </cell>
          <cell r="O1358" t="str">
            <v>$1939</v>
          </cell>
          <cell r="P1358" t="str">
            <v>$1939</v>
          </cell>
          <cell r="Q1358">
            <v>45623</v>
          </cell>
          <cell r="R1358" t="str">
            <v>Hyderabad</v>
          </cell>
          <cell r="S1358" t="str">
            <v>Tablet</v>
          </cell>
          <cell r="T1358" t="str">
            <v>data analytics online</v>
          </cell>
        </row>
        <row r="1359">
          <cell r="A1359" t="str">
            <v>A2357</v>
          </cell>
          <cell r="B1359" t="str">
            <v>Data Analytics Course</v>
          </cell>
          <cell r="C1359">
            <v>130</v>
          </cell>
          <cell r="D1359">
            <v>130</v>
          </cell>
          <cell r="E1359">
            <v>3332</v>
          </cell>
          <cell r="F1359">
            <v>3332</v>
          </cell>
          <cell r="G1359" t="str">
            <v>$202.06</v>
          </cell>
          <cell r="H1359" t="str">
            <v>$202.06</v>
          </cell>
          <cell r="I1359">
            <v>14</v>
          </cell>
          <cell r="J1359">
            <v>14</v>
          </cell>
          <cell r="K1359">
            <v>5</v>
          </cell>
          <cell r="L1359">
            <v>5</v>
          </cell>
          <cell r="M1359">
            <v>3.8461538461538464E-2</v>
          </cell>
          <cell r="N1359">
            <v>3.7999999999999999E-2</v>
          </cell>
          <cell r="O1359" t="str">
            <v>$1184</v>
          </cell>
          <cell r="P1359" t="str">
            <v>$1184</v>
          </cell>
          <cell r="Q1359">
            <v>45610</v>
          </cell>
          <cell r="R1359" t="str">
            <v>Hyderabad</v>
          </cell>
          <cell r="S1359" t="str">
            <v>Desktop</v>
          </cell>
          <cell r="T1359" t="str">
            <v>online data analytic</v>
          </cell>
        </row>
        <row r="1360">
          <cell r="A1360" t="str">
            <v>A2358</v>
          </cell>
          <cell r="B1360" t="str">
            <v>Data Analytcis Course</v>
          </cell>
          <cell r="C1360">
            <v>92</v>
          </cell>
          <cell r="D1360">
            <v>92</v>
          </cell>
          <cell r="E1360">
            <v>4082</v>
          </cell>
          <cell r="F1360">
            <v>4082</v>
          </cell>
          <cell r="G1360" t="str">
            <v>$186.29</v>
          </cell>
          <cell r="H1360" t="str">
            <v>$186.29</v>
          </cell>
          <cell r="I1360">
            <v>25</v>
          </cell>
          <cell r="J1360">
            <v>25</v>
          </cell>
          <cell r="K1360">
            <v>5</v>
          </cell>
          <cell r="L1360">
            <v>5</v>
          </cell>
          <cell r="M1360">
            <v>5.434782608695652E-2</v>
          </cell>
          <cell r="N1360">
            <v>5.3999999999999999E-2</v>
          </cell>
          <cell r="O1360" t="str">
            <v>$1046</v>
          </cell>
          <cell r="P1360" t="str">
            <v>$1046</v>
          </cell>
          <cell r="Q1360">
            <v>45620</v>
          </cell>
          <cell r="R1360" t="str">
            <v>Chennai</v>
          </cell>
          <cell r="S1360" t="str">
            <v>Tablet</v>
          </cell>
          <cell r="T1360" t="str">
            <v>online data analytic</v>
          </cell>
        </row>
        <row r="1361">
          <cell r="A1361" t="str">
            <v>A2359</v>
          </cell>
          <cell r="B1361" t="str">
            <v>Data Analytics Course</v>
          </cell>
          <cell r="C1361">
            <v>159</v>
          </cell>
          <cell r="D1361">
            <v>159</v>
          </cell>
          <cell r="E1361">
            <v>4464</v>
          </cell>
          <cell r="F1361">
            <v>4464</v>
          </cell>
          <cell r="G1361" t="str">
            <v>$204.86</v>
          </cell>
          <cell r="H1361" t="str">
            <v>$204.86</v>
          </cell>
          <cell r="I1361">
            <v>27</v>
          </cell>
          <cell r="J1361">
            <v>27</v>
          </cell>
          <cell r="K1361">
            <v>3</v>
          </cell>
          <cell r="L1361">
            <v>3</v>
          </cell>
          <cell r="M1361">
            <v>1.8867924528301886E-2</v>
          </cell>
          <cell r="O1361" t="str">
            <v>$1963</v>
          </cell>
          <cell r="P1361" t="str">
            <v>$1963</v>
          </cell>
          <cell r="Q1361">
            <v>45616</v>
          </cell>
          <cell r="R1361" t="str">
            <v>Chennai</v>
          </cell>
          <cell r="S1361" t="str">
            <v>Tablet</v>
          </cell>
          <cell r="T1361" t="str">
            <v>analytics for data</v>
          </cell>
        </row>
        <row r="1362">
          <cell r="A1362" t="str">
            <v>A2360</v>
          </cell>
          <cell r="B1362" t="str">
            <v>Data Analytics Course</v>
          </cell>
          <cell r="C1362">
            <v>193</v>
          </cell>
          <cell r="D1362">
            <v>193</v>
          </cell>
          <cell r="E1362">
            <v>5263</v>
          </cell>
          <cell r="F1362">
            <v>5263</v>
          </cell>
          <cell r="G1362" t="str">
            <v>$240.5</v>
          </cell>
          <cell r="H1362" t="str">
            <v>$240.5</v>
          </cell>
          <cell r="I1362">
            <v>18</v>
          </cell>
          <cell r="J1362">
            <v>18</v>
          </cell>
          <cell r="K1362">
            <v>6</v>
          </cell>
          <cell r="L1362">
            <v>6</v>
          </cell>
          <cell r="M1362">
            <v>3.1088082901554404E-2</v>
          </cell>
          <cell r="N1362">
            <v>5.3999999999999999E-2</v>
          </cell>
          <cell r="O1362" t="str">
            <v>$1670</v>
          </cell>
          <cell r="P1362" t="str">
            <v>$1670</v>
          </cell>
          <cell r="Q1362">
            <v>45617</v>
          </cell>
          <cell r="R1362" t="str">
            <v>Hyderabad</v>
          </cell>
          <cell r="S1362" t="str">
            <v>Tablet</v>
          </cell>
          <cell r="T1362" t="str">
            <v>online data analytic</v>
          </cell>
        </row>
        <row r="1363">
          <cell r="A1363" t="str">
            <v>A2361</v>
          </cell>
          <cell r="B1363" t="str">
            <v>Data Analytics Course</v>
          </cell>
          <cell r="C1363">
            <v>98</v>
          </cell>
          <cell r="D1363">
            <v>98</v>
          </cell>
          <cell r="E1363">
            <v>4371</v>
          </cell>
          <cell r="F1363">
            <v>4371</v>
          </cell>
          <cell r="G1363" t="str">
            <v>$246.23</v>
          </cell>
          <cell r="H1363" t="str">
            <v>$246.23</v>
          </cell>
          <cell r="I1363">
            <v>25</v>
          </cell>
          <cell r="J1363">
            <v>25</v>
          </cell>
          <cell r="K1363">
            <v>7</v>
          </cell>
          <cell r="L1363">
            <v>7</v>
          </cell>
          <cell r="M1363">
            <v>7.1428571428571425E-2</v>
          </cell>
          <cell r="N1363">
            <v>7.0999999999999994E-2</v>
          </cell>
          <cell r="O1363" t="str">
            <v>$1114</v>
          </cell>
          <cell r="P1363" t="str">
            <v>$1114</v>
          </cell>
          <cell r="Q1363">
            <v>45610</v>
          </cell>
          <cell r="R1363" t="str">
            <v>Hyderabad</v>
          </cell>
          <cell r="S1363" t="str">
            <v>Tablet</v>
          </cell>
          <cell r="T1363" t="str">
            <v>analytics for data</v>
          </cell>
        </row>
        <row r="1364">
          <cell r="A1364" t="str">
            <v>A2362</v>
          </cell>
          <cell r="B1364" t="str">
            <v>Data Analytics Course</v>
          </cell>
          <cell r="C1364">
            <v>176</v>
          </cell>
          <cell r="D1364">
            <v>176</v>
          </cell>
          <cell r="E1364">
            <v>3657</v>
          </cell>
          <cell r="F1364">
            <v>3657</v>
          </cell>
          <cell r="G1364" t="str">
            <v>$209.44</v>
          </cell>
          <cell r="H1364" t="str">
            <v>$209.44</v>
          </cell>
          <cell r="I1364">
            <v>19</v>
          </cell>
          <cell r="J1364">
            <v>19</v>
          </cell>
          <cell r="K1364">
            <v>3</v>
          </cell>
          <cell r="L1364">
            <v>3</v>
          </cell>
          <cell r="M1364">
            <v>1.7045454545454544E-2</v>
          </cell>
          <cell r="N1364">
            <v>1.7000000000000001E-2</v>
          </cell>
          <cell r="O1364" t="str">
            <v>$1171</v>
          </cell>
          <cell r="P1364" t="str">
            <v>$1171</v>
          </cell>
          <cell r="Q1364">
            <v>45603</v>
          </cell>
          <cell r="R1364" t="str">
            <v>Bangaluru</v>
          </cell>
          <cell r="S1364" t="str">
            <v>Desktop</v>
          </cell>
          <cell r="T1364" t="str">
            <v>online data analytic</v>
          </cell>
        </row>
        <row r="1365">
          <cell r="A1365" t="str">
            <v>A2363</v>
          </cell>
          <cell r="B1365" t="str">
            <v>Data Analytics Course</v>
          </cell>
          <cell r="C1365">
            <v>182</v>
          </cell>
          <cell r="D1365">
            <v>182</v>
          </cell>
          <cell r="E1365">
            <v>5833</v>
          </cell>
          <cell r="F1365">
            <v>5833</v>
          </cell>
          <cell r="G1365" t="str">
            <v>$243.72</v>
          </cell>
          <cell r="H1365" t="str">
            <v>$243.72</v>
          </cell>
          <cell r="I1365">
            <v>20</v>
          </cell>
          <cell r="J1365">
            <v>20</v>
          </cell>
          <cell r="K1365">
            <v>5</v>
          </cell>
          <cell r="L1365">
            <v>5</v>
          </cell>
          <cell r="M1365">
            <v>2.7472527472527472E-2</v>
          </cell>
          <cell r="N1365">
            <v>2.7E-2</v>
          </cell>
          <cell r="O1365" t="str">
            <v>$1206</v>
          </cell>
          <cell r="P1365" t="str">
            <v>$1206</v>
          </cell>
          <cell r="Q1365">
            <v>45610</v>
          </cell>
          <cell r="R1365" t="str">
            <v>Bangaluru</v>
          </cell>
          <cell r="S1365" t="str">
            <v>Desktop</v>
          </cell>
          <cell r="T1365" t="str">
            <v>data analytics course</v>
          </cell>
        </row>
        <row r="1366">
          <cell r="A1366" t="str">
            <v>A2364</v>
          </cell>
          <cell r="B1366" t="str">
            <v>Data Analytcis Course</v>
          </cell>
          <cell r="C1366">
            <v>85</v>
          </cell>
          <cell r="D1366">
            <v>85</v>
          </cell>
          <cell r="E1366">
            <v>3077</v>
          </cell>
          <cell r="F1366">
            <v>3077</v>
          </cell>
          <cell r="G1366" t="str">
            <v>$200.16</v>
          </cell>
          <cell r="H1366" t="str">
            <v>$200.16</v>
          </cell>
          <cell r="I1366">
            <v>11</v>
          </cell>
          <cell r="J1366">
            <v>11</v>
          </cell>
          <cell r="K1366">
            <v>10</v>
          </cell>
          <cell r="L1366">
            <v>10</v>
          </cell>
          <cell r="M1366">
            <v>0.11764705882352941</v>
          </cell>
          <cell r="N1366">
            <v>0.11799999999999999</v>
          </cell>
          <cell r="O1366" t="str">
            <v>$1876</v>
          </cell>
          <cell r="P1366" t="str">
            <v>$1876</v>
          </cell>
          <cell r="Q1366">
            <v>45619</v>
          </cell>
          <cell r="R1366" t="str">
            <v>Hyderabad</v>
          </cell>
          <cell r="S1366" t="str">
            <v>Mobile</v>
          </cell>
          <cell r="T1366" t="str">
            <v>analytics for data</v>
          </cell>
        </row>
        <row r="1367">
          <cell r="A1367" t="str">
            <v>A2365</v>
          </cell>
          <cell r="B1367" t="str">
            <v>Data Analytcis Course</v>
          </cell>
          <cell r="C1367">
            <v>98</v>
          </cell>
          <cell r="D1367">
            <v>98</v>
          </cell>
          <cell r="E1367">
            <v>3646</v>
          </cell>
          <cell r="F1367">
            <v>3646</v>
          </cell>
          <cell r="G1367" t="str">
            <v>$239.05</v>
          </cell>
          <cell r="H1367" t="str">
            <v>$239.05</v>
          </cell>
          <cell r="I1367">
            <v>14</v>
          </cell>
          <cell r="J1367">
            <v>14</v>
          </cell>
          <cell r="K1367">
            <v>6</v>
          </cell>
          <cell r="L1367">
            <v>6</v>
          </cell>
          <cell r="M1367">
            <v>6.1224489795918366E-2</v>
          </cell>
          <cell r="N1367">
            <v>3.4000000000000002E-2</v>
          </cell>
          <cell r="O1367" t="str">
            <v>$1586</v>
          </cell>
          <cell r="P1367" t="str">
            <v>$1586</v>
          </cell>
          <cell r="Q1367">
            <v>45610</v>
          </cell>
          <cell r="R1367" t="str">
            <v>Bangaluru</v>
          </cell>
          <cell r="S1367" t="str">
            <v>Desktop</v>
          </cell>
          <cell r="T1367" t="str">
            <v>data analytics course</v>
          </cell>
        </row>
        <row r="1368">
          <cell r="A1368" t="str">
            <v>A2366</v>
          </cell>
          <cell r="B1368" t="str">
            <v>Data Analytics Course</v>
          </cell>
          <cell r="C1368">
            <v>160</v>
          </cell>
          <cell r="D1368">
            <v>160</v>
          </cell>
          <cell r="E1368">
            <v>3139</v>
          </cell>
          <cell r="F1368">
            <v>3139</v>
          </cell>
          <cell r="G1368" t="str">
            <v>$230.55</v>
          </cell>
          <cell r="H1368" t="str">
            <v>$230.55</v>
          </cell>
          <cell r="I1368">
            <v>28</v>
          </cell>
          <cell r="J1368">
            <v>28</v>
          </cell>
          <cell r="K1368">
            <v>5</v>
          </cell>
          <cell r="L1368">
            <v>5</v>
          </cell>
          <cell r="M1368">
            <v>3.125E-2</v>
          </cell>
          <cell r="N1368">
            <v>3.1E-2</v>
          </cell>
          <cell r="O1368" t="str">
            <v>$1449</v>
          </cell>
          <cell r="P1368" t="str">
            <v>$1449</v>
          </cell>
          <cell r="Q1368">
            <v>45611</v>
          </cell>
          <cell r="R1368" t="str">
            <v>Hyderabad</v>
          </cell>
          <cell r="S1368" t="str">
            <v>Desktop</v>
          </cell>
          <cell r="T1368" t="str">
            <v>analytics for data</v>
          </cell>
        </row>
        <row r="1369">
          <cell r="A1369" t="str">
            <v>A2367</v>
          </cell>
          <cell r="B1369" t="str">
            <v>Data Analytcis Course</v>
          </cell>
          <cell r="C1369">
            <v>179</v>
          </cell>
          <cell r="D1369">
            <v>179</v>
          </cell>
          <cell r="E1369">
            <v>4005</v>
          </cell>
          <cell r="F1369">
            <v>4005</v>
          </cell>
          <cell r="G1369" t="str">
            <v>$232.47</v>
          </cell>
          <cell r="H1369" t="str">
            <v>$232.47</v>
          </cell>
          <cell r="I1369">
            <v>16</v>
          </cell>
          <cell r="J1369">
            <v>16</v>
          </cell>
          <cell r="K1369">
            <v>10</v>
          </cell>
          <cell r="L1369">
            <v>10</v>
          </cell>
          <cell r="M1369">
            <v>5.5865921787709494E-2</v>
          </cell>
          <cell r="N1369">
            <v>5.6000000000000001E-2</v>
          </cell>
          <cell r="O1369" t="str">
            <v>$1553</v>
          </cell>
          <cell r="P1369" t="str">
            <v>$1553</v>
          </cell>
          <cell r="Q1369">
            <v>45620</v>
          </cell>
          <cell r="R1369" t="str">
            <v>Hyderabad</v>
          </cell>
          <cell r="S1369" t="str">
            <v>Desktop</v>
          </cell>
          <cell r="T1369" t="str">
            <v>analytics for data</v>
          </cell>
        </row>
        <row r="1370">
          <cell r="A1370" t="str">
            <v>A2368</v>
          </cell>
          <cell r="B1370" t="str">
            <v>Data Analytics Course</v>
          </cell>
          <cell r="C1370">
            <v>138.95699356913184</v>
          </cell>
          <cell r="E1370">
            <v>4315</v>
          </cell>
          <cell r="F1370">
            <v>4315</v>
          </cell>
          <cell r="G1370" t="str">
            <v>$196.3</v>
          </cell>
          <cell r="H1370" t="str">
            <v>$196.3</v>
          </cell>
          <cell r="I1370">
            <v>24</v>
          </cell>
          <cell r="J1370">
            <v>24</v>
          </cell>
          <cell r="K1370">
            <v>5</v>
          </cell>
          <cell r="L1370">
            <v>5</v>
          </cell>
          <cell r="M1370">
            <v>3.5982355918721523E-2</v>
          </cell>
          <cell r="O1370" t="str">
            <v>$1364</v>
          </cell>
          <cell r="P1370" t="str">
            <v>$1364</v>
          </cell>
          <cell r="Q1370">
            <v>45622</v>
          </cell>
          <cell r="R1370" t="str">
            <v>Hyderabad</v>
          </cell>
          <cell r="S1370" t="str">
            <v>Mobile</v>
          </cell>
          <cell r="T1370" t="str">
            <v>data analytics course</v>
          </cell>
        </row>
        <row r="1371">
          <cell r="A1371" t="str">
            <v>A2369</v>
          </cell>
          <cell r="B1371" t="str">
            <v>Data Analytics Course</v>
          </cell>
          <cell r="C1371">
            <v>195</v>
          </cell>
          <cell r="D1371">
            <v>195</v>
          </cell>
          <cell r="E1371">
            <v>3876</v>
          </cell>
          <cell r="F1371">
            <v>3876</v>
          </cell>
          <cell r="G1371" t="str">
            <v>$187.59</v>
          </cell>
          <cell r="H1371" t="str">
            <v>$187.59</v>
          </cell>
          <cell r="I1371">
            <v>28</v>
          </cell>
          <cell r="J1371">
            <v>28</v>
          </cell>
          <cell r="K1371">
            <v>3</v>
          </cell>
          <cell r="L1371">
            <v>3</v>
          </cell>
          <cell r="M1371">
            <v>1.5384615384615385E-2</v>
          </cell>
          <cell r="O1371" t="str">
            <v>$1828</v>
          </cell>
          <cell r="P1371" t="str">
            <v>$1828</v>
          </cell>
          <cell r="Q1371">
            <v>45617</v>
          </cell>
          <cell r="R1371" t="str">
            <v>Chennai</v>
          </cell>
          <cell r="S1371" t="str">
            <v>Mobile</v>
          </cell>
          <cell r="T1371" t="str">
            <v>data analytics course</v>
          </cell>
        </row>
        <row r="1372">
          <cell r="A1372" t="str">
            <v>A2370</v>
          </cell>
          <cell r="B1372" t="str">
            <v>Data Analytics Course</v>
          </cell>
          <cell r="C1372">
            <v>197</v>
          </cell>
          <cell r="D1372">
            <v>197</v>
          </cell>
          <cell r="E1372">
            <v>3174</v>
          </cell>
          <cell r="F1372">
            <v>3174</v>
          </cell>
          <cell r="G1372" t="str">
            <v>$200.00</v>
          </cell>
          <cell r="I1372">
            <v>22</v>
          </cell>
          <cell r="J1372">
            <v>22</v>
          </cell>
          <cell r="K1372">
            <v>7</v>
          </cell>
          <cell r="L1372">
            <v>7</v>
          </cell>
          <cell r="M1372">
            <v>3.553299492385787E-2</v>
          </cell>
          <cell r="N1372">
            <v>3.5999999999999997E-2</v>
          </cell>
          <cell r="O1372" t="str">
            <v>$1527</v>
          </cell>
          <cell r="P1372" t="str">
            <v>$1527</v>
          </cell>
          <cell r="Q1372">
            <v>45610</v>
          </cell>
          <cell r="R1372" t="str">
            <v>Chennai</v>
          </cell>
          <cell r="S1372" t="str">
            <v>Tablet</v>
          </cell>
          <cell r="T1372" t="str">
            <v>data analytics online</v>
          </cell>
        </row>
        <row r="1373">
          <cell r="A1373" t="str">
            <v>A2371</v>
          </cell>
          <cell r="B1373" t="str">
            <v>Data Analytics Course</v>
          </cell>
          <cell r="C1373">
            <v>92</v>
          </cell>
          <cell r="D1373">
            <v>92</v>
          </cell>
          <cell r="E1373">
            <v>5550</v>
          </cell>
          <cell r="F1373">
            <v>5550</v>
          </cell>
          <cell r="G1373" t="str">
            <v>$226.38</v>
          </cell>
          <cell r="H1373" t="str">
            <v>$226.38</v>
          </cell>
          <cell r="I1373">
            <v>28</v>
          </cell>
          <cell r="J1373">
            <v>28</v>
          </cell>
          <cell r="K1373">
            <v>8</v>
          </cell>
          <cell r="L1373">
            <v>8</v>
          </cell>
          <cell r="M1373">
            <v>8.6956521739130432E-2</v>
          </cell>
          <cell r="N1373">
            <v>8.6999999999999994E-2</v>
          </cell>
          <cell r="O1373" t="str">
            <v>$1322</v>
          </cell>
          <cell r="P1373" t="str">
            <v>$1322</v>
          </cell>
          <cell r="Q1373">
            <v>45617</v>
          </cell>
          <cell r="R1373" t="str">
            <v>Hyderabad</v>
          </cell>
          <cell r="S1373" t="str">
            <v>Tablet</v>
          </cell>
          <cell r="T1373" t="str">
            <v>learn data analytics</v>
          </cell>
        </row>
        <row r="1374">
          <cell r="A1374" t="str">
            <v>A2372</v>
          </cell>
          <cell r="B1374" t="str">
            <v>Data Analytics Course</v>
          </cell>
          <cell r="C1374">
            <v>90</v>
          </cell>
          <cell r="D1374">
            <v>90</v>
          </cell>
          <cell r="E1374">
            <v>3526</v>
          </cell>
          <cell r="F1374">
            <v>3526</v>
          </cell>
          <cell r="G1374" t="str">
            <v>$211.39</v>
          </cell>
          <cell r="H1374" t="str">
            <v>$211.39</v>
          </cell>
          <cell r="I1374">
            <v>10</v>
          </cell>
          <cell r="J1374">
            <v>10</v>
          </cell>
          <cell r="K1374">
            <v>3</v>
          </cell>
          <cell r="L1374">
            <v>3</v>
          </cell>
          <cell r="M1374">
            <v>3.3333333333333333E-2</v>
          </cell>
          <cell r="N1374">
            <v>3.6999999999999998E-2</v>
          </cell>
          <cell r="O1374" t="str">
            <v>$1395</v>
          </cell>
          <cell r="P1374" t="str">
            <v>$1395</v>
          </cell>
          <cell r="Q1374">
            <v>45616</v>
          </cell>
          <cell r="R1374" t="str">
            <v>Chennai</v>
          </cell>
          <cell r="S1374" t="str">
            <v>Desktop</v>
          </cell>
          <cell r="T1374" t="str">
            <v>online data analytic</v>
          </cell>
        </row>
        <row r="1375">
          <cell r="A1375" t="str">
            <v>A2373</v>
          </cell>
          <cell r="B1375" t="str">
            <v>Data Analytics Course</v>
          </cell>
          <cell r="C1375">
            <v>149</v>
          </cell>
          <cell r="D1375">
            <v>149</v>
          </cell>
          <cell r="E1375">
            <v>3192</v>
          </cell>
          <cell r="F1375">
            <v>3192</v>
          </cell>
          <cell r="G1375" t="str">
            <v>$200.00</v>
          </cell>
          <cell r="I1375">
            <v>20.119565217391305</v>
          </cell>
          <cell r="K1375">
            <v>4</v>
          </cell>
          <cell r="L1375">
            <v>4</v>
          </cell>
          <cell r="M1375">
            <v>2.6845637583892617E-2</v>
          </cell>
          <cell r="N1375">
            <v>3.7999999999999999E-2</v>
          </cell>
          <cell r="O1375" t="str">
            <v>$1708</v>
          </cell>
          <cell r="P1375" t="str">
            <v>$1708</v>
          </cell>
          <cell r="Q1375">
            <v>45610</v>
          </cell>
          <cell r="R1375" t="str">
            <v>Chennai</v>
          </cell>
          <cell r="S1375" t="str">
            <v>Tablet</v>
          </cell>
          <cell r="T1375" t="str">
            <v>online data analytic</v>
          </cell>
        </row>
        <row r="1376">
          <cell r="A1376" t="str">
            <v>A2374</v>
          </cell>
          <cell r="B1376" t="str">
            <v>Data Analytics Course</v>
          </cell>
          <cell r="C1376">
            <v>82</v>
          </cell>
          <cell r="D1376">
            <v>82</v>
          </cell>
          <cell r="E1376">
            <v>4132</v>
          </cell>
          <cell r="F1376">
            <v>4132</v>
          </cell>
          <cell r="G1376" t="str">
            <v>$247.13</v>
          </cell>
          <cell r="H1376" t="str">
            <v>$247.13</v>
          </cell>
          <cell r="I1376">
            <v>11</v>
          </cell>
          <cell r="J1376">
            <v>11</v>
          </cell>
          <cell r="K1376">
            <v>6</v>
          </cell>
          <cell r="L1376">
            <v>6</v>
          </cell>
          <cell r="M1376">
            <v>7.3170731707317069E-2</v>
          </cell>
          <cell r="N1376">
            <v>7.2999999999999995E-2</v>
          </cell>
          <cell r="O1376" t="str">
            <v>$1091</v>
          </cell>
          <cell r="P1376" t="str">
            <v>$1091</v>
          </cell>
          <cell r="Q1376">
            <v>45608</v>
          </cell>
          <cell r="R1376" t="str">
            <v>Hyderabad</v>
          </cell>
          <cell r="S1376" t="str">
            <v>Tablet</v>
          </cell>
          <cell r="T1376" t="str">
            <v>data analytics training</v>
          </cell>
        </row>
        <row r="1377">
          <cell r="A1377" t="str">
            <v>A2375</v>
          </cell>
          <cell r="B1377" t="str">
            <v>Data Analytcis Course</v>
          </cell>
          <cell r="C1377">
            <v>151</v>
          </cell>
          <cell r="D1377">
            <v>151</v>
          </cell>
          <cell r="E1377">
            <v>5826</v>
          </cell>
          <cell r="F1377">
            <v>5826</v>
          </cell>
          <cell r="G1377" t="str">
            <v>$226.53</v>
          </cell>
          <cell r="H1377" t="str">
            <v>$226.53</v>
          </cell>
          <cell r="I1377">
            <v>16</v>
          </cell>
          <cell r="J1377">
            <v>16</v>
          </cell>
          <cell r="K1377">
            <v>8</v>
          </cell>
          <cell r="L1377">
            <v>8</v>
          </cell>
          <cell r="M1377">
            <v>5.2980132450331126E-2</v>
          </cell>
          <cell r="N1377">
            <v>5.2999999999999999E-2</v>
          </cell>
          <cell r="O1377" t="str">
            <v>$1511</v>
          </cell>
          <cell r="P1377" t="str">
            <v>$1511</v>
          </cell>
          <cell r="Q1377">
            <v>45621</v>
          </cell>
          <cell r="R1377" t="str">
            <v>Hyderabad</v>
          </cell>
          <cell r="S1377" t="str">
            <v>Desktop</v>
          </cell>
          <cell r="T1377" t="str">
            <v>learn data analytics</v>
          </cell>
        </row>
        <row r="1378">
          <cell r="A1378" t="str">
            <v>A2376</v>
          </cell>
          <cell r="B1378" t="str">
            <v>Data Analytics Course</v>
          </cell>
          <cell r="C1378">
            <v>162</v>
          </cell>
          <cell r="D1378">
            <v>162</v>
          </cell>
          <cell r="E1378">
            <v>5997</v>
          </cell>
          <cell r="F1378">
            <v>5997</v>
          </cell>
          <cell r="G1378" t="str">
            <v>$240.29</v>
          </cell>
          <cell r="H1378" t="str">
            <v>$240.29</v>
          </cell>
          <cell r="I1378">
            <v>20</v>
          </cell>
          <cell r="J1378">
            <v>20</v>
          </cell>
          <cell r="K1378">
            <v>5</v>
          </cell>
          <cell r="L1378">
            <v>5</v>
          </cell>
          <cell r="M1378">
            <v>3.0864197530864196E-2</v>
          </cell>
          <cell r="N1378">
            <v>3.5000000000000003E-2</v>
          </cell>
          <cell r="O1378" t="str">
            <v>$1144</v>
          </cell>
          <cell r="P1378" t="str">
            <v>$1144</v>
          </cell>
          <cell r="Q1378">
            <v>45620</v>
          </cell>
          <cell r="R1378" t="str">
            <v>Bangaluru</v>
          </cell>
          <cell r="S1378" t="str">
            <v>Mobile</v>
          </cell>
          <cell r="T1378" t="str">
            <v>data analytics online</v>
          </cell>
        </row>
        <row r="1379">
          <cell r="A1379" t="str">
            <v>A2377</v>
          </cell>
          <cell r="B1379" t="str">
            <v>Data Analytcis Course</v>
          </cell>
          <cell r="C1379">
            <v>197</v>
          </cell>
          <cell r="D1379">
            <v>197</v>
          </cell>
          <cell r="E1379">
            <v>4541</v>
          </cell>
          <cell r="F1379">
            <v>4541</v>
          </cell>
          <cell r="G1379" t="str">
            <v>$243.81</v>
          </cell>
          <cell r="H1379" t="str">
            <v>$243.81</v>
          </cell>
          <cell r="I1379">
            <v>19</v>
          </cell>
          <cell r="J1379">
            <v>19</v>
          </cell>
          <cell r="K1379">
            <v>9</v>
          </cell>
          <cell r="L1379">
            <v>9</v>
          </cell>
          <cell r="M1379">
            <v>4.5685279187817257E-2</v>
          </cell>
          <cell r="N1379">
            <v>5.7000000000000002E-2</v>
          </cell>
          <cell r="O1379" t="str">
            <v>$1701</v>
          </cell>
          <cell r="P1379" t="str">
            <v>$1701</v>
          </cell>
          <cell r="Q1379">
            <v>45607</v>
          </cell>
          <cell r="R1379" t="str">
            <v>Hyderabad</v>
          </cell>
          <cell r="S1379" t="str">
            <v>Desktop</v>
          </cell>
          <cell r="T1379" t="str">
            <v>data analytics training</v>
          </cell>
        </row>
        <row r="1380">
          <cell r="A1380" t="str">
            <v>A2378</v>
          </cell>
          <cell r="B1380" t="str">
            <v>Data Analytcis Course</v>
          </cell>
          <cell r="C1380">
            <v>133</v>
          </cell>
          <cell r="D1380">
            <v>133</v>
          </cell>
          <cell r="E1380">
            <v>4642</v>
          </cell>
          <cell r="F1380">
            <v>4642</v>
          </cell>
          <cell r="G1380" t="str">
            <v>$184.52</v>
          </cell>
          <cell r="H1380" t="str">
            <v>$184.52</v>
          </cell>
          <cell r="I1380">
            <v>22</v>
          </cell>
          <cell r="J1380">
            <v>22</v>
          </cell>
          <cell r="K1380">
            <v>4</v>
          </cell>
          <cell r="L1380">
            <v>4</v>
          </cell>
          <cell r="M1380">
            <v>3.007518796992481E-2</v>
          </cell>
          <cell r="N1380">
            <v>3.2000000000000001E-2</v>
          </cell>
          <cell r="O1380" t="str">
            <v>$1074</v>
          </cell>
          <cell r="P1380" t="str">
            <v>$1074</v>
          </cell>
          <cell r="Q1380">
            <v>45610</v>
          </cell>
          <cell r="R1380" t="str">
            <v>Hyderabad</v>
          </cell>
          <cell r="S1380" t="str">
            <v>Desktop</v>
          </cell>
          <cell r="T1380" t="str">
            <v>online data analytic</v>
          </cell>
        </row>
        <row r="1381">
          <cell r="A1381" t="str">
            <v>A2379</v>
          </cell>
          <cell r="B1381" t="str">
            <v>Data Analytics Course</v>
          </cell>
          <cell r="C1381">
            <v>194</v>
          </cell>
          <cell r="D1381">
            <v>194</v>
          </cell>
          <cell r="E1381">
            <v>5509</v>
          </cell>
          <cell r="F1381">
            <v>5509</v>
          </cell>
          <cell r="G1381" t="str">
            <v>$235.45</v>
          </cell>
          <cell r="H1381" t="str">
            <v>$235.45</v>
          </cell>
          <cell r="I1381">
            <v>18</v>
          </cell>
          <cell r="J1381">
            <v>18</v>
          </cell>
          <cell r="K1381">
            <v>5</v>
          </cell>
          <cell r="L1381">
            <v>5</v>
          </cell>
          <cell r="M1381">
            <v>2.5773195876288658E-2</v>
          </cell>
          <cell r="O1381" t="str">
            <v>$1025</v>
          </cell>
          <cell r="P1381" t="str">
            <v>$1025</v>
          </cell>
          <cell r="Q1381">
            <v>45608</v>
          </cell>
          <cell r="R1381" t="str">
            <v>Chennai</v>
          </cell>
          <cell r="S1381" t="str">
            <v>Tablet</v>
          </cell>
          <cell r="T1381" t="str">
            <v>online data analytic</v>
          </cell>
        </row>
        <row r="1382">
          <cell r="A1382" t="str">
            <v>A2380</v>
          </cell>
          <cell r="B1382" t="str">
            <v>Data Analytics Course</v>
          </cell>
          <cell r="C1382">
            <v>169</v>
          </cell>
          <cell r="D1382">
            <v>169</v>
          </cell>
          <cell r="E1382">
            <v>3647</v>
          </cell>
          <cell r="F1382">
            <v>3647</v>
          </cell>
          <cell r="G1382" t="str">
            <v>$194.12</v>
          </cell>
          <cell r="H1382" t="str">
            <v>$194.12</v>
          </cell>
          <cell r="I1382">
            <v>12</v>
          </cell>
          <cell r="J1382">
            <v>12</v>
          </cell>
          <cell r="K1382">
            <v>6</v>
          </cell>
          <cell r="L1382">
            <v>6</v>
          </cell>
          <cell r="M1382">
            <v>3.5502958579881658E-2</v>
          </cell>
          <cell r="N1382">
            <v>3.5999999999999997E-2</v>
          </cell>
          <cell r="O1382" t="str">
            <v>$1697</v>
          </cell>
          <cell r="P1382" t="str">
            <v>$1697</v>
          </cell>
          <cell r="Q1382">
            <v>45618</v>
          </cell>
          <cell r="R1382" t="str">
            <v>Bangaluru</v>
          </cell>
          <cell r="S1382" t="str">
            <v>Desktop</v>
          </cell>
          <cell r="T1382" t="str">
            <v>learn data analytics</v>
          </cell>
        </row>
        <row r="1383">
          <cell r="A1383" t="str">
            <v>A2381</v>
          </cell>
          <cell r="B1383" t="str">
            <v>Data Analytics Course</v>
          </cell>
          <cell r="C1383">
            <v>149</v>
          </cell>
          <cell r="D1383">
            <v>149</v>
          </cell>
          <cell r="E1383">
            <v>5209</v>
          </cell>
          <cell r="F1383">
            <v>5209</v>
          </cell>
          <cell r="G1383" t="str">
            <v>$183.91</v>
          </cell>
          <cell r="H1383" t="str">
            <v>$183.91</v>
          </cell>
          <cell r="I1383">
            <v>18</v>
          </cell>
          <cell r="J1383">
            <v>18</v>
          </cell>
          <cell r="K1383">
            <v>10</v>
          </cell>
          <cell r="L1383">
            <v>10</v>
          </cell>
          <cell r="M1383">
            <v>6.7114093959731544E-2</v>
          </cell>
          <cell r="O1383" t="str">
            <v>$1799</v>
          </cell>
          <cell r="P1383" t="str">
            <v>$1799</v>
          </cell>
          <cell r="Q1383">
            <v>45625</v>
          </cell>
          <cell r="R1383" t="str">
            <v>Hyderabad</v>
          </cell>
          <cell r="S1383" t="str">
            <v>Desktop</v>
          </cell>
          <cell r="T1383" t="str">
            <v>learn data analytics</v>
          </cell>
        </row>
        <row r="1384">
          <cell r="A1384" t="str">
            <v>A2382</v>
          </cell>
          <cell r="B1384" t="str">
            <v>Data Analytcis Course</v>
          </cell>
          <cell r="C1384">
            <v>124</v>
          </cell>
          <cell r="D1384">
            <v>124</v>
          </cell>
          <cell r="E1384">
            <v>5980</v>
          </cell>
          <cell r="F1384">
            <v>5980</v>
          </cell>
          <cell r="G1384" t="str">
            <v>$200.65</v>
          </cell>
          <cell r="H1384" t="str">
            <v>$200.65</v>
          </cell>
          <cell r="I1384">
            <v>25</v>
          </cell>
          <cell r="J1384">
            <v>25</v>
          </cell>
          <cell r="K1384">
            <v>4</v>
          </cell>
          <cell r="L1384">
            <v>4</v>
          </cell>
          <cell r="M1384">
            <v>3.2258064516129031E-2</v>
          </cell>
          <cell r="N1384">
            <v>3.2000000000000001E-2</v>
          </cell>
          <cell r="O1384" t="str">
            <v>$1768</v>
          </cell>
          <cell r="P1384" t="str">
            <v>$1768</v>
          </cell>
          <cell r="Q1384">
            <v>45600</v>
          </cell>
          <cell r="R1384" t="str">
            <v>Bangaluru</v>
          </cell>
          <cell r="S1384" t="str">
            <v>Desktop</v>
          </cell>
          <cell r="T1384" t="str">
            <v>learn data analytics</v>
          </cell>
        </row>
        <row r="1385">
          <cell r="A1385" t="str">
            <v>A2383</v>
          </cell>
          <cell r="B1385" t="str">
            <v>Data Analytics Course</v>
          </cell>
          <cell r="C1385">
            <v>170</v>
          </cell>
          <cell r="D1385">
            <v>170</v>
          </cell>
          <cell r="E1385">
            <v>5443</v>
          </cell>
          <cell r="F1385">
            <v>5443</v>
          </cell>
          <cell r="G1385" t="str">
            <v>$235.99</v>
          </cell>
          <cell r="H1385" t="str">
            <v>$235.99</v>
          </cell>
          <cell r="I1385">
            <v>23</v>
          </cell>
          <cell r="J1385">
            <v>23</v>
          </cell>
          <cell r="K1385">
            <v>5</v>
          </cell>
          <cell r="L1385">
            <v>5</v>
          </cell>
          <cell r="M1385">
            <v>2.9411764705882353E-2</v>
          </cell>
          <cell r="O1385" t="str">
            <v>$1314</v>
          </cell>
          <cell r="P1385" t="str">
            <v>$1314</v>
          </cell>
          <cell r="Q1385">
            <v>45617</v>
          </cell>
          <cell r="R1385" t="str">
            <v>Hyderabad</v>
          </cell>
          <cell r="S1385" t="str">
            <v>Mobile</v>
          </cell>
          <cell r="T1385" t="str">
            <v>analytics for data</v>
          </cell>
        </row>
        <row r="1386">
          <cell r="A1386" t="str">
            <v>A2384</v>
          </cell>
          <cell r="B1386" t="str">
            <v>Data Analytics Course</v>
          </cell>
          <cell r="C1386">
            <v>127</v>
          </cell>
          <cell r="D1386">
            <v>127</v>
          </cell>
          <cell r="E1386">
            <v>5326</v>
          </cell>
          <cell r="F1386">
            <v>5326</v>
          </cell>
          <cell r="G1386" t="str">
            <v>$226.11</v>
          </cell>
          <cell r="H1386" t="str">
            <v>$226.11</v>
          </cell>
          <cell r="I1386">
            <v>18</v>
          </cell>
          <cell r="J1386">
            <v>18</v>
          </cell>
          <cell r="K1386">
            <v>10</v>
          </cell>
          <cell r="L1386">
            <v>10</v>
          </cell>
          <cell r="M1386">
            <v>7.874015748031496E-2</v>
          </cell>
          <cell r="N1386">
            <v>0.04</v>
          </cell>
          <cell r="O1386" t="str">
            <v>$1040</v>
          </cell>
          <cell r="P1386" t="str">
            <v>$1040</v>
          </cell>
          <cell r="Q1386">
            <v>45617</v>
          </cell>
          <cell r="R1386" t="str">
            <v>Hyderabad</v>
          </cell>
          <cell r="S1386" t="str">
            <v>Mobile</v>
          </cell>
          <cell r="T1386" t="str">
            <v>online data analytic</v>
          </cell>
        </row>
        <row r="1387">
          <cell r="A1387" t="str">
            <v>A2385</v>
          </cell>
          <cell r="B1387" t="str">
            <v>Data Analytics Course</v>
          </cell>
          <cell r="C1387">
            <v>114</v>
          </cell>
          <cell r="D1387">
            <v>114</v>
          </cell>
          <cell r="E1387">
            <v>5565</v>
          </cell>
          <cell r="F1387">
            <v>5565</v>
          </cell>
          <cell r="G1387" t="str">
            <v>$210.04</v>
          </cell>
          <cell r="H1387" t="str">
            <v>$210.04</v>
          </cell>
          <cell r="I1387">
            <v>16</v>
          </cell>
          <cell r="J1387">
            <v>16</v>
          </cell>
          <cell r="K1387">
            <v>4</v>
          </cell>
          <cell r="L1387">
            <v>4</v>
          </cell>
          <cell r="M1387">
            <v>3.5087719298245612E-2</v>
          </cell>
          <cell r="N1387">
            <v>3.5000000000000003E-2</v>
          </cell>
          <cell r="O1387" t="str">
            <v>$1800</v>
          </cell>
          <cell r="P1387" t="str">
            <v>$1800</v>
          </cell>
          <cell r="Q1387">
            <v>45603</v>
          </cell>
          <cell r="R1387" t="str">
            <v>Bangaluru</v>
          </cell>
          <cell r="S1387" t="str">
            <v>Desktop</v>
          </cell>
          <cell r="T1387" t="str">
            <v>data analytics training</v>
          </cell>
        </row>
        <row r="1388">
          <cell r="A1388" t="str">
            <v>A2386</v>
          </cell>
          <cell r="B1388" t="str">
            <v>Data Analytics Course</v>
          </cell>
          <cell r="C1388">
            <v>154</v>
          </cell>
          <cell r="D1388">
            <v>154</v>
          </cell>
          <cell r="E1388">
            <v>3312</v>
          </cell>
          <cell r="F1388">
            <v>3312</v>
          </cell>
          <cell r="G1388" t="str">
            <v>$203.23</v>
          </cell>
          <cell r="H1388" t="str">
            <v>$203.23</v>
          </cell>
          <cell r="I1388">
            <v>16</v>
          </cell>
          <cell r="J1388">
            <v>16</v>
          </cell>
          <cell r="K1388">
            <v>5</v>
          </cell>
          <cell r="L1388">
            <v>5</v>
          </cell>
          <cell r="M1388">
            <v>3.2467532467532464E-2</v>
          </cell>
          <cell r="N1388">
            <v>4.2000000000000003E-2</v>
          </cell>
          <cell r="O1388" t="str">
            <v>$1977</v>
          </cell>
          <cell r="P1388" t="str">
            <v>$1977</v>
          </cell>
          <cell r="Q1388">
            <v>45600</v>
          </cell>
          <cell r="R1388" t="str">
            <v>Hyderabad</v>
          </cell>
          <cell r="S1388" t="str">
            <v>Desktop</v>
          </cell>
          <cell r="T1388" t="str">
            <v>data analytics training</v>
          </cell>
        </row>
        <row r="1389">
          <cell r="A1389" t="str">
            <v>A2387</v>
          </cell>
          <cell r="B1389" t="str">
            <v>Data Analytics Course</v>
          </cell>
          <cell r="C1389">
            <v>138.95699356913184</v>
          </cell>
          <cell r="E1389">
            <v>4369</v>
          </cell>
          <cell r="F1389">
            <v>4369</v>
          </cell>
          <cell r="G1389" t="str">
            <v>$225.53</v>
          </cell>
          <cell r="H1389" t="str">
            <v>$225.53</v>
          </cell>
          <cell r="I1389">
            <v>28</v>
          </cell>
          <cell r="J1389">
            <v>28</v>
          </cell>
          <cell r="K1389">
            <v>4</v>
          </cell>
          <cell r="L1389">
            <v>4</v>
          </cell>
          <cell r="M1389">
            <v>2.8785884734977219E-2</v>
          </cell>
          <cell r="O1389" t="str">
            <v>$1241</v>
          </cell>
          <cell r="P1389" t="str">
            <v>$1241</v>
          </cell>
          <cell r="Q1389">
            <v>45619</v>
          </cell>
          <cell r="R1389" t="str">
            <v>Hyderabad</v>
          </cell>
          <cell r="S1389" t="str">
            <v>Tablet</v>
          </cell>
          <cell r="T1389" t="str">
            <v>data analytics online</v>
          </cell>
        </row>
        <row r="1390">
          <cell r="A1390" t="str">
            <v>A2388</v>
          </cell>
          <cell r="B1390" t="str">
            <v>Data Analytics Course</v>
          </cell>
          <cell r="C1390">
            <v>126</v>
          </cell>
          <cell r="D1390">
            <v>126</v>
          </cell>
          <cell r="E1390">
            <v>3570</v>
          </cell>
          <cell r="F1390">
            <v>3570</v>
          </cell>
          <cell r="G1390" t="str">
            <v>$214.78</v>
          </cell>
          <cell r="H1390" t="str">
            <v>$214.78</v>
          </cell>
          <cell r="I1390">
            <v>28</v>
          </cell>
          <cell r="J1390">
            <v>28</v>
          </cell>
          <cell r="K1390">
            <v>9</v>
          </cell>
          <cell r="L1390">
            <v>9</v>
          </cell>
          <cell r="M1390">
            <v>7.1428571428571425E-2</v>
          </cell>
          <cell r="N1390">
            <v>7.0999999999999994E-2</v>
          </cell>
          <cell r="O1390" t="str">
            <v>$1078</v>
          </cell>
          <cell r="P1390" t="str">
            <v>$1078</v>
          </cell>
          <cell r="Q1390">
            <v>45608</v>
          </cell>
          <cell r="R1390" t="str">
            <v>Chennai</v>
          </cell>
          <cell r="S1390" t="str">
            <v>Tablet</v>
          </cell>
          <cell r="T1390" t="str">
            <v>data analytics training</v>
          </cell>
        </row>
        <row r="1391">
          <cell r="A1391" t="str">
            <v>A2389</v>
          </cell>
          <cell r="B1391" t="str">
            <v>Data Analytcis Course</v>
          </cell>
          <cell r="C1391">
            <v>138.95699356913184</v>
          </cell>
          <cell r="E1391">
            <v>3883</v>
          </cell>
          <cell r="F1391">
            <v>3883</v>
          </cell>
          <cell r="G1391" t="str">
            <v>$225.89</v>
          </cell>
          <cell r="H1391" t="str">
            <v>$225.89</v>
          </cell>
          <cell r="I1391">
            <v>23</v>
          </cell>
          <cell r="J1391">
            <v>23</v>
          </cell>
          <cell r="K1391">
            <v>5</v>
          </cell>
          <cell r="L1391">
            <v>5</v>
          </cell>
          <cell r="M1391">
            <v>3.5982355918721523E-2</v>
          </cell>
          <cell r="O1391" t="str">
            <v>$1183</v>
          </cell>
          <cell r="P1391" t="str">
            <v>$1183</v>
          </cell>
          <cell r="Q1391">
            <v>45617</v>
          </cell>
          <cell r="R1391" t="str">
            <v>Bangaluru</v>
          </cell>
          <cell r="S1391" t="str">
            <v>Mobile</v>
          </cell>
          <cell r="T1391" t="str">
            <v>online data analytic</v>
          </cell>
        </row>
        <row r="1392">
          <cell r="A1392" t="str">
            <v>A2390</v>
          </cell>
          <cell r="B1392" t="str">
            <v>Data Analytics Course</v>
          </cell>
          <cell r="C1392">
            <v>125</v>
          </cell>
          <cell r="D1392">
            <v>125</v>
          </cell>
          <cell r="E1392">
            <v>5736</v>
          </cell>
          <cell r="F1392">
            <v>5736</v>
          </cell>
          <cell r="G1392" t="str">
            <v>$197.28</v>
          </cell>
          <cell r="H1392" t="str">
            <v>$197.28</v>
          </cell>
          <cell r="I1392">
            <v>30</v>
          </cell>
          <cell r="J1392">
            <v>30</v>
          </cell>
          <cell r="K1392">
            <v>5</v>
          </cell>
          <cell r="L1392">
            <v>5</v>
          </cell>
          <cell r="M1392">
            <v>0.04</v>
          </cell>
          <cell r="N1392">
            <v>0.04</v>
          </cell>
          <cell r="O1392" t="str">
            <v>$1265</v>
          </cell>
          <cell r="P1392" t="str">
            <v>$1265</v>
          </cell>
          <cell r="Q1392">
            <v>45614</v>
          </cell>
          <cell r="R1392" t="str">
            <v>Chennai</v>
          </cell>
          <cell r="S1392" t="str">
            <v>Mobile</v>
          </cell>
          <cell r="T1392" t="str">
            <v>analytics for data</v>
          </cell>
        </row>
        <row r="1393">
          <cell r="A1393" t="str">
            <v>A2391</v>
          </cell>
          <cell r="B1393" t="str">
            <v>Data Analytics Course</v>
          </cell>
          <cell r="C1393">
            <v>197</v>
          </cell>
          <cell r="D1393">
            <v>197</v>
          </cell>
          <cell r="E1393">
            <v>5921</v>
          </cell>
          <cell r="F1393">
            <v>5921</v>
          </cell>
          <cell r="G1393" t="str">
            <v>$214.97</v>
          </cell>
          <cell r="H1393" t="str">
            <v>$214.97</v>
          </cell>
          <cell r="I1393">
            <v>18</v>
          </cell>
          <cell r="J1393">
            <v>18</v>
          </cell>
          <cell r="K1393">
            <v>6</v>
          </cell>
          <cell r="L1393">
            <v>6</v>
          </cell>
          <cell r="M1393">
            <v>3.0456852791878174E-2</v>
          </cell>
          <cell r="N1393">
            <v>0.03</v>
          </cell>
          <cell r="O1393" t="str">
            <v>$1975</v>
          </cell>
          <cell r="P1393" t="str">
            <v>$1975</v>
          </cell>
          <cell r="Q1393">
            <v>45610</v>
          </cell>
          <cell r="R1393" t="str">
            <v>Chennai</v>
          </cell>
          <cell r="S1393" t="str">
            <v>Desktop</v>
          </cell>
          <cell r="T1393" t="str">
            <v>learn data analytics</v>
          </cell>
        </row>
        <row r="1394">
          <cell r="A1394" t="str">
            <v>A2392</v>
          </cell>
          <cell r="B1394" t="str">
            <v>Data Analytcis Course</v>
          </cell>
          <cell r="C1394">
            <v>98</v>
          </cell>
          <cell r="D1394">
            <v>98</v>
          </cell>
          <cell r="E1394">
            <v>3687</v>
          </cell>
          <cell r="F1394">
            <v>3687</v>
          </cell>
          <cell r="G1394" t="str">
            <v>$206.7</v>
          </cell>
          <cell r="H1394" t="str">
            <v>$206.7</v>
          </cell>
          <cell r="I1394">
            <v>12</v>
          </cell>
          <cell r="J1394">
            <v>12</v>
          </cell>
          <cell r="K1394">
            <v>10</v>
          </cell>
          <cell r="L1394">
            <v>10</v>
          </cell>
          <cell r="M1394">
            <v>0.10204081632653061</v>
          </cell>
          <cell r="O1394" t="str">
            <v>$1640</v>
          </cell>
          <cell r="P1394" t="str">
            <v>$1640</v>
          </cell>
          <cell r="Q1394">
            <v>45603</v>
          </cell>
          <cell r="R1394" t="str">
            <v>Hyderabad</v>
          </cell>
          <cell r="S1394" t="str">
            <v>Mobile</v>
          </cell>
          <cell r="T1394" t="str">
            <v>online data analytic</v>
          </cell>
        </row>
        <row r="1395">
          <cell r="A1395" t="str">
            <v>A2393</v>
          </cell>
          <cell r="B1395" t="str">
            <v>Data Analytics Course</v>
          </cell>
          <cell r="C1395">
            <v>164</v>
          </cell>
          <cell r="D1395">
            <v>164</v>
          </cell>
          <cell r="E1395">
            <v>5334</v>
          </cell>
          <cell r="F1395">
            <v>5334</v>
          </cell>
          <cell r="G1395" t="str">
            <v>$203.91</v>
          </cell>
          <cell r="H1395" t="str">
            <v>$203.91</v>
          </cell>
          <cell r="I1395">
            <v>18</v>
          </cell>
          <cell r="J1395">
            <v>18</v>
          </cell>
          <cell r="K1395">
            <v>6</v>
          </cell>
          <cell r="L1395">
            <v>6</v>
          </cell>
          <cell r="M1395">
            <v>3.6585365853658534E-2</v>
          </cell>
          <cell r="N1395">
            <v>5.7000000000000002E-2</v>
          </cell>
          <cell r="O1395" t="str">
            <v>$1128</v>
          </cell>
          <cell r="P1395" t="str">
            <v>$1128</v>
          </cell>
          <cell r="Q1395">
            <v>45614</v>
          </cell>
          <cell r="R1395" t="str">
            <v>Chennai</v>
          </cell>
          <cell r="S1395" t="str">
            <v>Desktop</v>
          </cell>
          <cell r="T1395" t="str">
            <v>data analytics course</v>
          </cell>
        </row>
        <row r="1396">
          <cell r="A1396" t="str">
            <v>A2394</v>
          </cell>
          <cell r="B1396" t="str">
            <v>Data Analytics Course</v>
          </cell>
          <cell r="C1396">
            <v>111</v>
          </cell>
          <cell r="D1396">
            <v>111</v>
          </cell>
          <cell r="E1396">
            <v>4647</v>
          </cell>
          <cell r="F1396">
            <v>4647</v>
          </cell>
          <cell r="G1396" t="str">
            <v>$247.0</v>
          </cell>
          <cell r="H1396" t="str">
            <v>$247.0</v>
          </cell>
          <cell r="I1396">
            <v>15</v>
          </cell>
          <cell r="J1396">
            <v>15</v>
          </cell>
          <cell r="K1396">
            <v>4</v>
          </cell>
          <cell r="L1396">
            <v>4</v>
          </cell>
          <cell r="M1396">
            <v>3.6036036036036036E-2</v>
          </cell>
          <cell r="O1396" t="str">
            <v>$1601</v>
          </cell>
          <cell r="P1396" t="str">
            <v>$1601</v>
          </cell>
          <cell r="Q1396">
            <v>45625</v>
          </cell>
          <cell r="R1396" t="str">
            <v>Chennai</v>
          </cell>
          <cell r="S1396" t="str">
            <v>Desktop</v>
          </cell>
          <cell r="T1396" t="str">
            <v>learn data analytics</v>
          </cell>
        </row>
        <row r="1397">
          <cell r="A1397" t="str">
            <v>A2395</v>
          </cell>
          <cell r="B1397" t="str">
            <v>Data Analytics Course</v>
          </cell>
          <cell r="C1397">
            <v>191</v>
          </cell>
          <cell r="D1397">
            <v>191</v>
          </cell>
          <cell r="E1397">
            <v>3485</v>
          </cell>
          <cell r="F1397">
            <v>3485</v>
          </cell>
          <cell r="G1397" t="str">
            <v>$212.43</v>
          </cell>
          <cell r="H1397" t="str">
            <v>$212.43</v>
          </cell>
          <cell r="I1397">
            <v>10</v>
          </cell>
          <cell r="J1397">
            <v>10</v>
          </cell>
          <cell r="K1397">
            <v>7</v>
          </cell>
          <cell r="L1397">
            <v>7</v>
          </cell>
          <cell r="M1397">
            <v>3.6649214659685861E-2</v>
          </cell>
          <cell r="O1397" t="str">
            <v>$1813</v>
          </cell>
          <cell r="P1397" t="str">
            <v>$1813</v>
          </cell>
          <cell r="Q1397">
            <v>45624</v>
          </cell>
          <cell r="R1397" t="str">
            <v>Bangaluru</v>
          </cell>
          <cell r="S1397" t="str">
            <v>Mobile</v>
          </cell>
          <cell r="T1397" t="str">
            <v>analytics for data</v>
          </cell>
        </row>
        <row r="1398">
          <cell r="A1398" t="str">
            <v>A2396</v>
          </cell>
          <cell r="B1398" t="str">
            <v>Data Analytics Course</v>
          </cell>
          <cell r="C1398">
            <v>149</v>
          </cell>
          <cell r="D1398">
            <v>149</v>
          </cell>
          <cell r="E1398">
            <v>5720</v>
          </cell>
          <cell r="F1398">
            <v>5720</v>
          </cell>
          <cell r="G1398" t="str">
            <v>$211.54</v>
          </cell>
          <cell r="H1398" t="str">
            <v>$211.54</v>
          </cell>
          <cell r="I1398">
            <v>14</v>
          </cell>
          <cell r="J1398">
            <v>14</v>
          </cell>
          <cell r="K1398">
            <v>5</v>
          </cell>
          <cell r="L1398">
            <v>5</v>
          </cell>
          <cell r="M1398">
            <v>3.3557046979865772E-2</v>
          </cell>
          <cell r="N1398">
            <v>3.4000000000000002E-2</v>
          </cell>
          <cell r="O1398" t="str">
            <v>$1612</v>
          </cell>
          <cell r="P1398" t="str">
            <v>$1612</v>
          </cell>
          <cell r="Q1398">
            <v>45625</v>
          </cell>
          <cell r="R1398" t="str">
            <v>Hyderabad</v>
          </cell>
          <cell r="S1398" t="str">
            <v>Desktop</v>
          </cell>
          <cell r="T1398" t="str">
            <v>data analytics course</v>
          </cell>
        </row>
        <row r="1399">
          <cell r="A1399" t="str">
            <v>A2397</v>
          </cell>
          <cell r="B1399" t="str">
            <v>Data Analytics Course</v>
          </cell>
          <cell r="C1399">
            <v>183</v>
          </cell>
          <cell r="D1399">
            <v>183</v>
          </cell>
          <cell r="E1399">
            <v>3540</v>
          </cell>
          <cell r="F1399">
            <v>3540</v>
          </cell>
          <cell r="G1399" t="str">
            <v>$222.14</v>
          </cell>
          <cell r="H1399" t="str">
            <v>$222.14</v>
          </cell>
          <cell r="I1399">
            <v>15</v>
          </cell>
          <cell r="J1399">
            <v>15</v>
          </cell>
          <cell r="K1399">
            <v>3</v>
          </cell>
          <cell r="L1399">
            <v>3</v>
          </cell>
          <cell r="M1399">
            <v>1.6393442622950821E-2</v>
          </cell>
          <cell r="N1399">
            <v>1.6E-2</v>
          </cell>
          <cell r="O1399" t="str">
            <v>$1248</v>
          </cell>
          <cell r="P1399" t="str">
            <v>$1248</v>
          </cell>
          <cell r="Q1399">
            <v>45607</v>
          </cell>
          <cell r="R1399" t="str">
            <v>Hyderabad</v>
          </cell>
          <cell r="S1399" t="str">
            <v>Mobile</v>
          </cell>
          <cell r="T1399" t="str">
            <v>learn data analytics</v>
          </cell>
        </row>
        <row r="1400">
          <cell r="A1400" t="str">
            <v>A2398</v>
          </cell>
          <cell r="B1400" t="str">
            <v>Data Analytcis Course</v>
          </cell>
          <cell r="C1400">
            <v>198</v>
          </cell>
          <cell r="D1400">
            <v>198</v>
          </cell>
          <cell r="E1400">
            <v>4035</v>
          </cell>
          <cell r="F1400">
            <v>4035</v>
          </cell>
          <cell r="G1400" t="str">
            <v>$215.94</v>
          </cell>
          <cell r="H1400" t="str">
            <v>$215.94</v>
          </cell>
          <cell r="I1400">
            <v>22</v>
          </cell>
          <cell r="J1400">
            <v>22</v>
          </cell>
          <cell r="K1400">
            <v>8</v>
          </cell>
          <cell r="L1400">
            <v>8</v>
          </cell>
          <cell r="M1400">
            <v>4.0404040404040407E-2</v>
          </cell>
          <cell r="O1400" t="str">
            <v>$1500</v>
          </cell>
          <cell r="Q1400">
            <v>45606</v>
          </cell>
          <cell r="R1400" t="str">
            <v>Bangaluru</v>
          </cell>
          <cell r="S1400" t="str">
            <v>Mobile</v>
          </cell>
          <cell r="T1400" t="str">
            <v>learn data analytics</v>
          </cell>
        </row>
        <row r="1401">
          <cell r="A1401" t="str">
            <v>A2399</v>
          </cell>
          <cell r="B1401" t="str">
            <v>Data Analytcis Course</v>
          </cell>
          <cell r="C1401">
            <v>170</v>
          </cell>
          <cell r="D1401">
            <v>170</v>
          </cell>
          <cell r="E1401">
            <v>3024</v>
          </cell>
          <cell r="F1401">
            <v>3024</v>
          </cell>
          <cell r="G1401" t="str">
            <v>$234.76</v>
          </cell>
          <cell r="H1401" t="str">
            <v>$234.76</v>
          </cell>
          <cell r="I1401">
            <v>11</v>
          </cell>
          <cell r="J1401">
            <v>11</v>
          </cell>
          <cell r="K1401">
            <v>10</v>
          </cell>
          <cell r="L1401">
            <v>10</v>
          </cell>
          <cell r="M1401">
            <v>5.8823529411764705E-2</v>
          </cell>
          <cell r="O1401" t="str">
            <v>$1941</v>
          </cell>
          <cell r="P1401" t="str">
            <v>$1941</v>
          </cell>
          <cell r="Q1401">
            <v>45602</v>
          </cell>
          <cell r="R1401" t="str">
            <v>Chennai</v>
          </cell>
          <cell r="S1401" t="str">
            <v>Mobile</v>
          </cell>
          <cell r="T1401" t="str">
            <v>learn data analytics</v>
          </cell>
        </row>
        <row r="1402">
          <cell r="A1402" t="str">
            <v>A2400</v>
          </cell>
          <cell r="B1402" t="str">
            <v>Data Analytics Course</v>
          </cell>
          <cell r="C1402">
            <v>174</v>
          </cell>
          <cell r="D1402">
            <v>174</v>
          </cell>
          <cell r="E1402">
            <v>4334</v>
          </cell>
          <cell r="F1402">
            <v>4334</v>
          </cell>
          <cell r="G1402" t="str">
            <v>$186.29</v>
          </cell>
          <cell r="H1402" t="str">
            <v>$186.29</v>
          </cell>
          <cell r="I1402">
            <v>12</v>
          </cell>
          <cell r="J1402">
            <v>12</v>
          </cell>
          <cell r="K1402">
            <v>4</v>
          </cell>
          <cell r="L1402">
            <v>4</v>
          </cell>
          <cell r="M1402">
            <v>2.2988505747126436E-2</v>
          </cell>
          <cell r="N1402">
            <v>2.3E-2</v>
          </cell>
          <cell r="O1402" t="str">
            <v>$1457</v>
          </cell>
          <cell r="P1402" t="str">
            <v>$1457</v>
          </cell>
          <cell r="Q1402">
            <v>45618</v>
          </cell>
          <cell r="R1402" t="str">
            <v>Bangaluru</v>
          </cell>
          <cell r="S1402" t="str">
            <v>Mobile</v>
          </cell>
          <cell r="T1402" t="str">
            <v>analytics for data</v>
          </cell>
        </row>
        <row r="1403">
          <cell r="A1403" t="str">
            <v>A2401</v>
          </cell>
          <cell r="B1403" t="str">
            <v>Data Analytcis Course</v>
          </cell>
          <cell r="C1403">
            <v>91</v>
          </cell>
          <cell r="D1403">
            <v>91</v>
          </cell>
          <cell r="E1403">
            <v>4038</v>
          </cell>
          <cell r="F1403">
            <v>4038</v>
          </cell>
          <cell r="G1403" t="str">
            <v>$197.15</v>
          </cell>
          <cell r="H1403" t="str">
            <v>$197.15</v>
          </cell>
          <cell r="I1403">
            <v>23</v>
          </cell>
          <cell r="J1403">
            <v>23</v>
          </cell>
          <cell r="K1403">
            <v>6</v>
          </cell>
          <cell r="L1403">
            <v>6</v>
          </cell>
          <cell r="M1403">
            <v>6.5934065934065936E-2</v>
          </cell>
          <cell r="N1403">
            <v>6.6000000000000003E-2</v>
          </cell>
          <cell r="O1403" t="str">
            <v>$1000</v>
          </cell>
          <cell r="P1403" t="str">
            <v>$1000</v>
          </cell>
          <cell r="Q1403">
            <v>45625</v>
          </cell>
          <cell r="R1403" t="str">
            <v>Hyderabad</v>
          </cell>
          <cell r="S1403" t="str">
            <v>Mobile</v>
          </cell>
          <cell r="T1403" t="str">
            <v>data analytics online</v>
          </cell>
        </row>
        <row r="1404">
          <cell r="A1404" t="str">
            <v>A2402</v>
          </cell>
          <cell r="B1404" t="str">
            <v>Data Analytcis Course</v>
          </cell>
          <cell r="C1404">
            <v>197</v>
          </cell>
          <cell r="D1404">
            <v>197</v>
          </cell>
          <cell r="E1404">
            <v>4347</v>
          </cell>
          <cell r="F1404">
            <v>4347</v>
          </cell>
          <cell r="G1404" t="str">
            <v>$215.2</v>
          </cell>
          <cell r="H1404" t="str">
            <v>$215.2</v>
          </cell>
          <cell r="I1404">
            <v>20</v>
          </cell>
          <cell r="J1404">
            <v>20</v>
          </cell>
          <cell r="K1404">
            <v>6</v>
          </cell>
          <cell r="L1404">
            <v>6</v>
          </cell>
          <cell r="M1404">
            <v>3.0456852791878174E-2</v>
          </cell>
          <cell r="O1404" t="str">
            <v>$1204</v>
          </cell>
          <cell r="P1404" t="str">
            <v>$1204</v>
          </cell>
          <cell r="Q1404">
            <v>45622</v>
          </cell>
          <cell r="R1404" t="str">
            <v>Hyderabad</v>
          </cell>
          <cell r="S1404" t="str">
            <v>Desktop</v>
          </cell>
          <cell r="T1404" t="str">
            <v>online data analytic</v>
          </cell>
        </row>
        <row r="1405">
          <cell r="A1405" t="str">
            <v>A2403</v>
          </cell>
          <cell r="B1405" t="str">
            <v>Data Analytcis Course</v>
          </cell>
          <cell r="C1405">
            <v>138.95699356913184</v>
          </cell>
          <cell r="E1405">
            <v>5803</v>
          </cell>
          <cell r="F1405">
            <v>5803</v>
          </cell>
          <cell r="G1405" t="str">
            <v>$203.03</v>
          </cell>
          <cell r="H1405" t="str">
            <v>$203.03</v>
          </cell>
          <cell r="I1405">
            <v>16</v>
          </cell>
          <cell r="J1405">
            <v>16</v>
          </cell>
          <cell r="K1405">
            <v>8</v>
          </cell>
          <cell r="L1405">
            <v>8</v>
          </cell>
          <cell r="M1405">
            <v>5.7571769469954438E-2</v>
          </cell>
          <cell r="N1405">
            <v>3.4000000000000002E-2</v>
          </cell>
          <cell r="O1405" t="str">
            <v>$1397</v>
          </cell>
          <cell r="P1405" t="str">
            <v>$1397</v>
          </cell>
          <cell r="Q1405">
            <v>45626</v>
          </cell>
          <cell r="R1405" t="str">
            <v>Chennai</v>
          </cell>
          <cell r="S1405" t="str">
            <v>Mobile</v>
          </cell>
          <cell r="T1405" t="str">
            <v>analytics for data</v>
          </cell>
        </row>
        <row r="1406">
          <cell r="A1406" t="str">
            <v>A2404</v>
          </cell>
          <cell r="B1406" t="str">
            <v>Data Analytics Course</v>
          </cell>
          <cell r="C1406">
            <v>152</v>
          </cell>
          <cell r="D1406">
            <v>152</v>
          </cell>
          <cell r="E1406">
            <v>4182</v>
          </cell>
          <cell r="F1406">
            <v>4182</v>
          </cell>
          <cell r="G1406" t="str">
            <v>$233.45</v>
          </cell>
          <cell r="H1406" t="str">
            <v>$233.45</v>
          </cell>
          <cell r="I1406">
            <v>19</v>
          </cell>
          <cell r="J1406">
            <v>19</v>
          </cell>
          <cell r="K1406">
            <v>5</v>
          </cell>
          <cell r="L1406">
            <v>5</v>
          </cell>
          <cell r="M1406">
            <v>3.2894736842105261E-2</v>
          </cell>
          <cell r="N1406">
            <v>3.3000000000000002E-2</v>
          </cell>
          <cell r="O1406" t="str">
            <v>$1719</v>
          </cell>
          <cell r="P1406" t="str">
            <v>$1719</v>
          </cell>
          <cell r="Q1406">
            <v>45609</v>
          </cell>
          <cell r="R1406" t="str">
            <v>Hyderabad</v>
          </cell>
          <cell r="S1406" t="str">
            <v>Mobile</v>
          </cell>
          <cell r="T1406" t="str">
            <v>data analytics course</v>
          </cell>
        </row>
        <row r="1407">
          <cell r="A1407" t="str">
            <v>A2405</v>
          </cell>
          <cell r="B1407" t="str">
            <v>Data Analytcis Course</v>
          </cell>
          <cell r="C1407">
            <v>189</v>
          </cell>
          <cell r="D1407">
            <v>189</v>
          </cell>
          <cell r="E1407">
            <v>4809</v>
          </cell>
          <cell r="F1407">
            <v>4809</v>
          </cell>
          <cell r="G1407" t="str">
            <v>$225.32</v>
          </cell>
          <cell r="H1407" t="str">
            <v>$225.32</v>
          </cell>
          <cell r="I1407">
            <v>27</v>
          </cell>
          <cell r="J1407">
            <v>27</v>
          </cell>
          <cell r="K1407">
            <v>10</v>
          </cell>
          <cell r="L1407">
            <v>10</v>
          </cell>
          <cell r="M1407">
            <v>5.2910052910052907E-2</v>
          </cell>
          <cell r="N1407">
            <v>5.2999999999999999E-2</v>
          </cell>
          <cell r="O1407" t="str">
            <v>$1324</v>
          </cell>
          <cell r="P1407" t="str">
            <v>$1324</v>
          </cell>
          <cell r="Q1407">
            <v>45614</v>
          </cell>
          <cell r="R1407" t="str">
            <v>Hyderabad</v>
          </cell>
          <cell r="S1407" t="str">
            <v>Mobile</v>
          </cell>
          <cell r="T1407" t="str">
            <v>analytics for data</v>
          </cell>
        </row>
        <row r="1408">
          <cell r="A1408" t="str">
            <v>A2406</v>
          </cell>
          <cell r="B1408" t="str">
            <v>Data Analytics Course</v>
          </cell>
          <cell r="C1408">
            <v>138.95699356913184</v>
          </cell>
          <cell r="E1408">
            <v>5640</v>
          </cell>
          <cell r="F1408">
            <v>5640</v>
          </cell>
          <cell r="G1408" t="str">
            <v>$210.51</v>
          </cell>
          <cell r="H1408" t="str">
            <v>$210.51</v>
          </cell>
          <cell r="I1408">
            <v>13</v>
          </cell>
          <cell r="J1408">
            <v>13</v>
          </cell>
          <cell r="K1408">
            <v>8</v>
          </cell>
          <cell r="L1408">
            <v>8</v>
          </cell>
          <cell r="M1408">
            <v>5.7571769469954438E-2</v>
          </cell>
          <cell r="O1408" t="str">
            <v>$1536</v>
          </cell>
          <cell r="P1408" t="str">
            <v>$1536</v>
          </cell>
          <cell r="Q1408">
            <v>45607</v>
          </cell>
          <cell r="R1408" t="str">
            <v>Hyderabad</v>
          </cell>
          <cell r="S1408" t="str">
            <v>Desktop</v>
          </cell>
          <cell r="T1408" t="str">
            <v>data analytics course</v>
          </cell>
        </row>
        <row r="1409">
          <cell r="A1409" t="str">
            <v>A2407</v>
          </cell>
          <cell r="B1409" t="str">
            <v>Data Analytcis Course</v>
          </cell>
          <cell r="C1409">
            <v>159</v>
          </cell>
          <cell r="D1409">
            <v>159</v>
          </cell>
          <cell r="E1409">
            <v>3401</v>
          </cell>
          <cell r="F1409">
            <v>3401</v>
          </cell>
          <cell r="G1409" t="str">
            <v>$222.71</v>
          </cell>
          <cell r="H1409" t="str">
            <v>$222.71</v>
          </cell>
          <cell r="I1409">
            <v>18</v>
          </cell>
          <cell r="J1409">
            <v>18</v>
          </cell>
          <cell r="K1409">
            <v>3</v>
          </cell>
          <cell r="L1409">
            <v>3</v>
          </cell>
          <cell r="M1409">
            <v>1.8867924528301886E-2</v>
          </cell>
          <cell r="N1409">
            <v>1.9E-2</v>
          </cell>
          <cell r="O1409" t="str">
            <v>$1849</v>
          </cell>
          <cell r="P1409" t="str">
            <v>$1849</v>
          </cell>
          <cell r="Q1409">
            <v>45601</v>
          </cell>
          <cell r="R1409" t="str">
            <v>Hyderabad</v>
          </cell>
          <cell r="S1409" t="str">
            <v>Desktop</v>
          </cell>
          <cell r="T1409" t="str">
            <v>data analytics online</v>
          </cell>
        </row>
        <row r="1410">
          <cell r="A1410" t="str">
            <v>A2408</v>
          </cell>
          <cell r="B1410" t="str">
            <v>Data Analytcis Course</v>
          </cell>
          <cell r="C1410">
            <v>175</v>
          </cell>
          <cell r="D1410">
            <v>175</v>
          </cell>
          <cell r="E1410">
            <v>5561</v>
          </cell>
          <cell r="F1410">
            <v>5561</v>
          </cell>
          <cell r="G1410" t="str">
            <v>$231.96</v>
          </cell>
          <cell r="H1410" t="str">
            <v>$231.96</v>
          </cell>
          <cell r="I1410">
            <v>20</v>
          </cell>
          <cell r="J1410">
            <v>20</v>
          </cell>
          <cell r="K1410">
            <v>8</v>
          </cell>
          <cell r="L1410">
            <v>8</v>
          </cell>
          <cell r="M1410">
            <v>4.5714285714285714E-2</v>
          </cell>
          <cell r="N1410">
            <v>5.7000000000000002E-2</v>
          </cell>
          <cell r="O1410" t="str">
            <v>$1174</v>
          </cell>
          <cell r="P1410" t="str">
            <v>$1174</v>
          </cell>
          <cell r="Q1410">
            <v>45610</v>
          </cell>
          <cell r="R1410" t="str">
            <v>Hyderabad</v>
          </cell>
          <cell r="S1410" t="str">
            <v>Mobile</v>
          </cell>
          <cell r="T1410" t="str">
            <v>data analytics course</v>
          </cell>
        </row>
        <row r="1411">
          <cell r="A1411" t="str">
            <v>A2409</v>
          </cell>
          <cell r="B1411" t="str">
            <v>Data Analytics Course</v>
          </cell>
          <cell r="C1411">
            <v>175</v>
          </cell>
          <cell r="D1411">
            <v>175</v>
          </cell>
          <cell r="E1411">
            <v>5720</v>
          </cell>
          <cell r="F1411">
            <v>5720</v>
          </cell>
          <cell r="G1411" t="str">
            <v>$243.8</v>
          </cell>
          <cell r="H1411" t="str">
            <v>$243.8</v>
          </cell>
          <cell r="I1411">
            <v>17</v>
          </cell>
          <cell r="J1411">
            <v>17</v>
          </cell>
          <cell r="K1411">
            <v>6</v>
          </cell>
          <cell r="L1411">
            <v>6</v>
          </cell>
          <cell r="M1411">
            <v>3.4285714285714287E-2</v>
          </cell>
          <cell r="O1411" t="str">
            <v>$1500</v>
          </cell>
          <cell r="Q1411">
            <v>45622</v>
          </cell>
          <cell r="R1411" t="str">
            <v>Chennai</v>
          </cell>
          <cell r="S1411" t="str">
            <v>Desktop</v>
          </cell>
          <cell r="T1411" t="str">
            <v>data analytics online</v>
          </cell>
        </row>
        <row r="1412">
          <cell r="A1412" t="str">
            <v>A2410</v>
          </cell>
          <cell r="B1412" t="str">
            <v>Data Analytcis Course</v>
          </cell>
          <cell r="C1412">
            <v>82</v>
          </cell>
          <cell r="D1412">
            <v>82</v>
          </cell>
          <cell r="E1412">
            <v>4898</v>
          </cell>
          <cell r="F1412">
            <v>4898</v>
          </cell>
          <cell r="G1412" t="str">
            <v>$215.11</v>
          </cell>
          <cell r="H1412" t="str">
            <v>$215.11</v>
          </cell>
          <cell r="I1412">
            <v>25</v>
          </cell>
          <cell r="J1412">
            <v>25</v>
          </cell>
          <cell r="K1412">
            <v>8</v>
          </cell>
          <cell r="L1412">
            <v>8</v>
          </cell>
          <cell r="M1412">
            <v>9.7560975609756101E-2</v>
          </cell>
          <cell r="N1412">
            <v>9.8000000000000004E-2</v>
          </cell>
          <cell r="O1412" t="str">
            <v>$1776</v>
          </cell>
          <cell r="P1412" t="str">
            <v>$1776</v>
          </cell>
          <cell r="Q1412">
            <v>45605</v>
          </cell>
          <cell r="R1412" t="str">
            <v>Hyderabad</v>
          </cell>
          <cell r="S1412" t="str">
            <v>Tablet</v>
          </cell>
          <cell r="T1412" t="str">
            <v>analytics for data</v>
          </cell>
        </row>
        <row r="1413">
          <cell r="A1413" t="str">
            <v>A2411</v>
          </cell>
          <cell r="B1413" t="str">
            <v>Data Analytcis Course</v>
          </cell>
          <cell r="C1413">
            <v>146</v>
          </cell>
          <cell r="D1413">
            <v>146</v>
          </cell>
          <cell r="E1413">
            <v>5871</v>
          </cell>
          <cell r="F1413">
            <v>5871</v>
          </cell>
          <cell r="G1413" t="str">
            <v>$218.69</v>
          </cell>
          <cell r="H1413" t="str">
            <v>$218.69</v>
          </cell>
          <cell r="I1413">
            <v>30</v>
          </cell>
          <cell r="J1413">
            <v>30</v>
          </cell>
          <cell r="K1413">
            <v>4</v>
          </cell>
          <cell r="L1413">
            <v>4</v>
          </cell>
          <cell r="M1413">
            <v>2.7397260273972601E-2</v>
          </cell>
          <cell r="O1413" t="str">
            <v>$1500</v>
          </cell>
          <cell r="Q1413">
            <v>45618</v>
          </cell>
          <cell r="R1413" t="str">
            <v>Hyderabad</v>
          </cell>
          <cell r="S1413" t="str">
            <v>Desktop</v>
          </cell>
          <cell r="T1413" t="str">
            <v>learn data analytics</v>
          </cell>
        </row>
        <row r="1414">
          <cell r="A1414" t="str">
            <v>A2412</v>
          </cell>
          <cell r="B1414" t="str">
            <v>Data Analytics Course</v>
          </cell>
          <cell r="C1414">
            <v>85</v>
          </cell>
          <cell r="D1414">
            <v>85</v>
          </cell>
          <cell r="E1414">
            <v>5954</v>
          </cell>
          <cell r="F1414">
            <v>5954</v>
          </cell>
          <cell r="G1414" t="str">
            <v>$201.88</v>
          </cell>
          <cell r="H1414" t="str">
            <v>$201.88</v>
          </cell>
          <cell r="I1414">
            <v>18</v>
          </cell>
          <cell r="J1414">
            <v>18</v>
          </cell>
          <cell r="K1414">
            <v>6</v>
          </cell>
          <cell r="L1414">
            <v>6</v>
          </cell>
          <cell r="M1414">
            <v>7.0588235294117646E-2</v>
          </cell>
          <cell r="N1414">
            <v>7.0999999999999994E-2</v>
          </cell>
          <cell r="O1414" t="str">
            <v>$1526</v>
          </cell>
          <cell r="P1414" t="str">
            <v>$1526</v>
          </cell>
          <cell r="Q1414">
            <v>45623</v>
          </cell>
          <cell r="R1414" t="str">
            <v>Chennai</v>
          </cell>
          <cell r="S1414" t="str">
            <v>Tablet</v>
          </cell>
          <cell r="T1414" t="str">
            <v>analytics for data</v>
          </cell>
        </row>
        <row r="1415">
          <cell r="A1415" t="str">
            <v>A2413</v>
          </cell>
          <cell r="B1415" t="str">
            <v>Data Analytics Course</v>
          </cell>
          <cell r="C1415">
            <v>128</v>
          </cell>
          <cell r="D1415">
            <v>128</v>
          </cell>
          <cell r="E1415">
            <v>3487</v>
          </cell>
          <cell r="F1415">
            <v>3487</v>
          </cell>
          <cell r="G1415" t="str">
            <v>$236.19</v>
          </cell>
          <cell r="H1415" t="str">
            <v>$236.19</v>
          </cell>
          <cell r="I1415">
            <v>25</v>
          </cell>
          <cell r="J1415">
            <v>25</v>
          </cell>
          <cell r="K1415">
            <v>6</v>
          </cell>
          <cell r="L1415">
            <v>6</v>
          </cell>
          <cell r="M1415">
            <v>4.6875E-2</v>
          </cell>
          <cell r="N1415">
            <v>4.7E-2</v>
          </cell>
          <cell r="O1415" t="str">
            <v>$1961</v>
          </cell>
          <cell r="P1415" t="str">
            <v>$1961</v>
          </cell>
          <cell r="Q1415">
            <v>45598</v>
          </cell>
          <cell r="R1415" t="str">
            <v>Hyderabad</v>
          </cell>
          <cell r="S1415" t="str">
            <v>Tablet</v>
          </cell>
          <cell r="T1415" t="str">
            <v>data analytics course</v>
          </cell>
        </row>
        <row r="1416">
          <cell r="A1416" t="str">
            <v>A2414</v>
          </cell>
          <cell r="B1416" t="str">
            <v>Data Analytics Course</v>
          </cell>
          <cell r="C1416">
            <v>153</v>
          </cell>
          <cell r="D1416">
            <v>153</v>
          </cell>
          <cell r="E1416">
            <v>3808</v>
          </cell>
          <cell r="F1416">
            <v>3808</v>
          </cell>
          <cell r="G1416" t="str">
            <v>$189.61</v>
          </cell>
          <cell r="H1416" t="str">
            <v>$189.61</v>
          </cell>
          <cell r="I1416">
            <v>19</v>
          </cell>
          <cell r="J1416">
            <v>19</v>
          </cell>
          <cell r="K1416">
            <v>8</v>
          </cell>
          <cell r="L1416">
            <v>8</v>
          </cell>
          <cell r="M1416">
            <v>5.2287581699346407E-2</v>
          </cell>
          <cell r="N1416">
            <v>5.1999999999999998E-2</v>
          </cell>
          <cell r="O1416" t="str">
            <v>$1246</v>
          </cell>
          <cell r="P1416" t="str">
            <v>$1246</v>
          </cell>
          <cell r="Q1416">
            <v>45598</v>
          </cell>
          <cell r="R1416" t="str">
            <v>Hyderabad</v>
          </cell>
          <cell r="S1416" t="str">
            <v>Tablet</v>
          </cell>
          <cell r="T1416" t="str">
            <v>data analytics course</v>
          </cell>
        </row>
        <row r="1417">
          <cell r="A1417" t="str">
            <v>A2415</v>
          </cell>
          <cell r="B1417" t="str">
            <v>Data Analytcis Course</v>
          </cell>
          <cell r="C1417">
            <v>192</v>
          </cell>
          <cell r="D1417">
            <v>192</v>
          </cell>
          <cell r="E1417">
            <v>5720</v>
          </cell>
          <cell r="F1417">
            <v>5720</v>
          </cell>
          <cell r="G1417" t="str">
            <v>$243.11</v>
          </cell>
          <cell r="H1417" t="str">
            <v>$243.11</v>
          </cell>
          <cell r="I1417">
            <v>30</v>
          </cell>
          <cell r="J1417">
            <v>30</v>
          </cell>
          <cell r="K1417">
            <v>9</v>
          </cell>
          <cell r="L1417">
            <v>9</v>
          </cell>
          <cell r="M1417">
            <v>4.6875E-2</v>
          </cell>
          <cell r="O1417" t="str">
            <v>$1555</v>
          </cell>
          <cell r="P1417" t="str">
            <v>$1555</v>
          </cell>
          <cell r="Q1417">
            <v>45598</v>
          </cell>
          <cell r="R1417" t="str">
            <v>Bangaluru</v>
          </cell>
          <cell r="S1417" t="str">
            <v>Mobile</v>
          </cell>
          <cell r="T1417" t="str">
            <v>online data analytic</v>
          </cell>
        </row>
        <row r="1418">
          <cell r="A1418" t="str">
            <v>A2416</v>
          </cell>
          <cell r="B1418" t="str">
            <v>Data Analytcis Course</v>
          </cell>
          <cell r="C1418">
            <v>148</v>
          </cell>
          <cell r="D1418">
            <v>148</v>
          </cell>
          <cell r="E1418">
            <v>4721</v>
          </cell>
          <cell r="F1418">
            <v>4721</v>
          </cell>
          <cell r="G1418" t="str">
            <v>$189.48</v>
          </cell>
          <cell r="H1418" t="str">
            <v>$189.48</v>
          </cell>
          <cell r="I1418">
            <v>26</v>
          </cell>
          <cell r="J1418">
            <v>26</v>
          </cell>
          <cell r="K1418">
            <v>8</v>
          </cell>
          <cell r="L1418">
            <v>8</v>
          </cell>
          <cell r="M1418">
            <v>5.4054054054054057E-2</v>
          </cell>
          <cell r="N1418">
            <v>5.3999999999999999E-2</v>
          </cell>
          <cell r="O1418" t="str">
            <v>$1176</v>
          </cell>
          <cell r="P1418" t="str">
            <v>$1176</v>
          </cell>
          <cell r="Q1418">
            <v>45597</v>
          </cell>
          <cell r="R1418" t="str">
            <v>Hyderabad</v>
          </cell>
          <cell r="S1418" t="str">
            <v>Mobile</v>
          </cell>
          <cell r="T1418" t="str">
            <v>online data analytic</v>
          </cell>
        </row>
        <row r="1419">
          <cell r="A1419" t="str">
            <v>A2417</v>
          </cell>
          <cell r="B1419" t="str">
            <v>Data Analytics Course</v>
          </cell>
          <cell r="C1419">
            <v>153</v>
          </cell>
          <cell r="D1419">
            <v>153</v>
          </cell>
          <cell r="E1419">
            <v>4768</v>
          </cell>
          <cell r="F1419">
            <v>4768</v>
          </cell>
          <cell r="G1419" t="str">
            <v>$214.39</v>
          </cell>
          <cell r="H1419" t="str">
            <v>$214.39</v>
          </cell>
          <cell r="I1419">
            <v>25</v>
          </cell>
          <cell r="J1419">
            <v>25</v>
          </cell>
          <cell r="K1419">
            <v>5</v>
          </cell>
          <cell r="L1419">
            <v>5</v>
          </cell>
          <cell r="M1419">
            <v>3.2679738562091505E-2</v>
          </cell>
          <cell r="N1419">
            <v>4.1000000000000002E-2</v>
          </cell>
          <cell r="O1419" t="str">
            <v>$1837</v>
          </cell>
          <cell r="P1419" t="str">
            <v>$1837</v>
          </cell>
          <cell r="Q1419">
            <v>45622</v>
          </cell>
          <cell r="R1419" t="str">
            <v>Bangaluru</v>
          </cell>
          <cell r="S1419" t="str">
            <v>Tablet</v>
          </cell>
          <cell r="T1419" t="str">
            <v>data analytics online</v>
          </cell>
        </row>
        <row r="1420">
          <cell r="A1420" t="str">
            <v>A2418</v>
          </cell>
          <cell r="B1420" t="str">
            <v>Data Analytics Course</v>
          </cell>
          <cell r="C1420">
            <v>138.95699356913184</v>
          </cell>
          <cell r="E1420">
            <v>5494</v>
          </cell>
          <cell r="F1420">
            <v>5494</v>
          </cell>
          <cell r="G1420" t="str">
            <v>$187.68</v>
          </cell>
          <cell r="H1420" t="str">
            <v>$187.68</v>
          </cell>
          <cell r="I1420">
            <v>23</v>
          </cell>
          <cell r="J1420">
            <v>23</v>
          </cell>
          <cell r="K1420">
            <v>8</v>
          </cell>
          <cell r="L1420">
            <v>8</v>
          </cell>
          <cell r="M1420">
            <v>5.7571769469954438E-2</v>
          </cell>
          <cell r="N1420">
            <v>4.5999999999999999E-2</v>
          </cell>
          <cell r="O1420" t="str">
            <v>$1402</v>
          </cell>
          <cell r="P1420" t="str">
            <v>$1402</v>
          </cell>
          <cell r="Q1420">
            <v>45620</v>
          </cell>
          <cell r="R1420" t="str">
            <v>Hyderabad</v>
          </cell>
          <cell r="S1420" t="str">
            <v>Tablet</v>
          </cell>
          <cell r="T1420" t="str">
            <v>data analytics course</v>
          </cell>
        </row>
        <row r="1421">
          <cell r="A1421" t="str">
            <v>A2419</v>
          </cell>
          <cell r="B1421" t="str">
            <v>Data Analytics Course</v>
          </cell>
          <cell r="C1421">
            <v>169</v>
          </cell>
          <cell r="D1421">
            <v>169</v>
          </cell>
          <cell r="E1421">
            <v>4523.2808326787117</v>
          </cell>
          <cell r="G1421" t="str">
            <v>$180.58</v>
          </cell>
          <cell r="H1421" t="str">
            <v>$180.58</v>
          </cell>
          <cell r="I1421">
            <v>30</v>
          </cell>
          <cell r="J1421">
            <v>30</v>
          </cell>
          <cell r="K1421">
            <v>7</v>
          </cell>
          <cell r="L1421">
            <v>7</v>
          </cell>
          <cell r="M1421">
            <v>4.142011834319527E-2</v>
          </cell>
          <cell r="N1421">
            <v>4.9000000000000002E-2</v>
          </cell>
          <cell r="O1421" t="str">
            <v>$1661</v>
          </cell>
          <cell r="P1421" t="str">
            <v>$1661</v>
          </cell>
          <cell r="Q1421">
            <v>45622</v>
          </cell>
          <cell r="R1421" t="str">
            <v>Chennai</v>
          </cell>
          <cell r="S1421" t="str">
            <v>Mobile</v>
          </cell>
          <cell r="T1421" t="str">
            <v>data analytics training</v>
          </cell>
        </row>
        <row r="1422">
          <cell r="A1422" t="str">
            <v>A2420</v>
          </cell>
          <cell r="B1422" t="str">
            <v>Data Analytics Course</v>
          </cell>
          <cell r="C1422">
            <v>146</v>
          </cell>
          <cell r="D1422">
            <v>146</v>
          </cell>
          <cell r="E1422">
            <v>5173</v>
          </cell>
          <cell r="F1422">
            <v>5173</v>
          </cell>
          <cell r="G1422" t="str">
            <v>$234.26</v>
          </cell>
          <cell r="H1422" t="str">
            <v>$234.26</v>
          </cell>
          <cell r="I1422">
            <v>20</v>
          </cell>
          <cell r="J1422">
            <v>20</v>
          </cell>
          <cell r="K1422">
            <v>7</v>
          </cell>
          <cell r="L1422">
            <v>7</v>
          </cell>
          <cell r="M1422">
            <v>4.7945205479452052E-2</v>
          </cell>
          <cell r="N1422">
            <v>4.8000000000000001E-2</v>
          </cell>
          <cell r="O1422" t="str">
            <v>$1089</v>
          </cell>
          <cell r="P1422" t="str">
            <v>$1089</v>
          </cell>
          <cell r="Q1422">
            <v>45624</v>
          </cell>
          <cell r="R1422" t="str">
            <v>Hyderabad</v>
          </cell>
          <cell r="S1422" t="str">
            <v>Mobile</v>
          </cell>
          <cell r="T1422" t="str">
            <v>online data analytic</v>
          </cell>
        </row>
        <row r="1423">
          <cell r="A1423" t="str">
            <v>A2421</v>
          </cell>
          <cell r="B1423" t="str">
            <v>Data Analytics Course</v>
          </cell>
          <cell r="C1423">
            <v>81</v>
          </cell>
          <cell r="D1423">
            <v>81</v>
          </cell>
          <cell r="E1423">
            <v>4808</v>
          </cell>
          <cell r="F1423">
            <v>4808</v>
          </cell>
          <cell r="G1423" t="str">
            <v>$189.19</v>
          </cell>
          <cell r="H1423" t="str">
            <v>$189.19</v>
          </cell>
          <cell r="I1423">
            <v>17</v>
          </cell>
          <cell r="J1423">
            <v>17</v>
          </cell>
          <cell r="K1423">
            <v>9</v>
          </cell>
          <cell r="L1423">
            <v>9</v>
          </cell>
          <cell r="M1423">
            <v>0.1111111111111111</v>
          </cell>
          <cell r="N1423">
            <v>0.111</v>
          </cell>
          <cell r="O1423" t="str">
            <v>$1759</v>
          </cell>
          <cell r="P1423" t="str">
            <v>$1759</v>
          </cell>
          <cell r="Q1423">
            <v>45621</v>
          </cell>
          <cell r="R1423" t="str">
            <v>Hyderabad</v>
          </cell>
          <cell r="S1423" t="str">
            <v>Desktop</v>
          </cell>
          <cell r="T1423" t="str">
            <v>online data analytic</v>
          </cell>
        </row>
        <row r="1424">
          <cell r="A1424" t="str">
            <v>A2422</v>
          </cell>
          <cell r="B1424" t="str">
            <v>Data Analytcis Course</v>
          </cell>
          <cell r="C1424">
            <v>185</v>
          </cell>
          <cell r="D1424">
            <v>185</v>
          </cell>
          <cell r="E1424">
            <v>4523.2808326787117</v>
          </cell>
          <cell r="G1424" t="str">
            <v>$234.72</v>
          </cell>
          <cell r="H1424" t="str">
            <v>$234.72</v>
          </cell>
          <cell r="I1424">
            <v>18</v>
          </cell>
          <cell r="J1424">
            <v>18</v>
          </cell>
          <cell r="K1424">
            <v>6</v>
          </cell>
          <cell r="L1424">
            <v>6</v>
          </cell>
          <cell r="M1424">
            <v>3.2432432432432434E-2</v>
          </cell>
          <cell r="N1424">
            <v>3.2000000000000001E-2</v>
          </cell>
          <cell r="O1424" t="str">
            <v>$1508</v>
          </cell>
          <cell r="P1424" t="str">
            <v>$1508</v>
          </cell>
          <cell r="Q1424">
            <v>45623</v>
          </cell>
          <cell r="R1424" t="str">
            <v>Hyderabad</v>
          </cell>
          <cell r="S1424" t="str">
            <v>Desktop</v>
          </cell>
          <cell r="T1424" t="str">
            <v>data analytics online</v>
          </cell>
        </row>
        <row r="1425">
          <cell r="A1425" t="str">
            <v>A2423</v>
          </cell>
          <cell r="B1425" t="str">
            <v>Data Analytics Course</v>
          </cell>
          <cell r="C1425">
            <v>90</v>
          </cell>
          <cell r="D1425">
            <v>90</v>
          </cell>
          <cell r="E1425">
            <v>5319</v>
          </cell>
          <cell r="F1425">
            <v>5319</v>
          </cell>
          <cell r="G1425" t="str">
            <v>$208.19</v>
          </cell>
          <cell r="H1425" t="str">
            <v>$208.19</v>
          </cell>
          <cell r="I1425">
            <v>13</v>
          </cell>
          <cell r="J1425">
            <v>13</v>
          </cell>
          <cell r="K1425">
            <v>7</v>
          </cell>
          <cell r="L1425">
            <v>7</v>
          </cell>
          <cell r="M1425">
            <v>7.7777777777777779E-2</v>
          </cell>
          <cell r="O1425" t="str">
            <v>$1719</v>
          </cell>
          <cell r="P1425" t="str">
            <v>$1719</v>
          </cell>
          <cell r="Q1425">
            <v>45622</v>
          </cell>
          <cell r="R1425" t="str">
            <v>Hyderabad</v>
          </cell>
          <cell r="S1425" t="str">
            <v>Tablet</v>
          </cell>
          <cell r="T1425" t="str">
            <v>data analytics training</v>
          </cell>
        </row>
        <row r="1426">
          <cell r="A1426" t="str">
            <v>A2424</v>
          </cell>
          <cell r="B1426" t="str">
            <v>Data Analytics Course</v>
          </cell>
          <cell r="C1426">
            <v>155</v>
          </cell>
          <cell r="D1426">
            <v>155</v>
          </cell>
          <cell r="E1426">
            <v>4532</v>
          </cell>
          <cell r="F1426">
            <v>4532</v>
          </cell>
          <cell r="G1426" t="str">
            <v>$203.44</v>
          </cell>
          <cell r="H1426" t="str">
            <v>$203.44</v>
          </cell>
          <cell r="I1426">
            <v>19</v>
          </cell>
          <cell r="J1426">
            <v>19</v>
          </cell>
          <cell r="K1426">
            <v>8</v>
          </cell>
          <cell r="L1426">
            <v>8</v>
          </cell>
          <cell r="M1426">
            <v>5.1612903225806452E-2</v>
          </cell>
          <cell r="N1426">
            <v>5.1999999999999998E-2</v>
          </cell>
          <cell r="O1426" t="str">
            <v>$1709</v>
          </cell>
          <cell r="P1426" t="str">
            <v>$1709</v>
          </cell>
          <cell r="Q1426">
            <v>45613</v>
          </cell>
          <cell r="R1426" t="str">
            <v>Bangaluru</v>
          </cell>
          <cell r="S1426" t="str">
            <v>Desktop</v>
          </cell>
          <cell r="T1426" t="str">
            <v>learn data analytics</v>
          </cell>
        </row>
        <row r="1427">
          <cell r="A1427" t="str">
            <v>A2425</v>
          </cell>
          <cell r="B1427" t="str">
            <v>Data Analytcis Course</v>
          </cell>
          <cell r="C1427">
            <v>125</v>
          </cell>
          <cell r="D1427">
            <v>125</v>
          </cell>
          <cell r="E1427">
            <v>3458</v>
          </cell>
          <cell r="F1427">
            <v>3458</v>
          </cell>
          <cell r="G1427" t="str">
            <v>$180.49</v>
          </cell>
          <cell r="H1427" t="str">
            <v>$180.49</v>
          </cell>
          <cell r="I1427">
            <v>19</v>
          </cell>
          <cell r="J1427">
            <v>19</v>
          </cell>
          <cell r="K1427">
            <v>3</v>
          </cell>
          <cell r="L1427">
            <v>3</v>
          </cell>
          <cell r="M1427">
            <v>2.4E-2</v>
          </cell>
          <cell r="O1427" t="str">
            <v>$1754</v>
          </cell>
          <cell r="P1427" t="str">
            <v>$1754</v>
          </cell>
          <cell r="Q1427">
            <v>45605</v>
          </cell>
          <cell r="R1427" t="str">
            <v>Chennai</v>
          </cell>
          <cell r="S1427" t="str">
            <v>Tablet</v>
          </cell>
          <cell r="T1427" t="str">
            <v>data analytics online</v>
          </cell>
        </row>
        <row r="1428">
          <cell r="A1428" t="str">
            <v>A2426</v>
          </cell>
          <cell r="B1428" t="str">
            <v>Data Analytics Course</v>
          </cell>
          <cell r="C1428">
            <v>151</v>
          </cell>
          <cell r="D1428">
            <v>151</v>
          </cell>
          <cell r="E1428">
            <v>5432</v>
          </cell>
          <cell r="F1428">
            <v>5432</v>
          </cell>
          <cell r="G1428" t="str">
            <v>$204.76</v>
          </cell>
          <cell r="H1428" t="str">
            <v>$204.76</v>
          </cell>
          <cell r="I1428">
            <v>18</v>
          </cell>
          <cell r="J1428">
            <v>18</v>
          </cell>
          <cell r="K1428">
            <v>9</v>
          </cell>
          <cell r="L1428">
            <v>9</v>
          </cell>
          <cell r="M1428">
            <v>5.9602649006622516E-2</v>
          </cell>
          <cell r="N1428">
            <v>0.06</v>
          </cell>
          <cell r="O1428" t="str">
            <v>$1500</v>
          </cell>
          <cell r="Q1428">
            <v>45609</v>
          </cell>
          <cell r="R1428" t="str">
            <v>Bangaluru</v>
          </cell>
          <cell r="S1428" t="str">
            <v>Mobile</v>
          </cell>
          <cell r="T1428" t="str">
            <v>data analytics training</v>
          </cell>
        </row>
        <row r="1429">
          <cell r="A1429" t="str">
            <v>A2427</v>
          </cell>
          <cell r="B1429" t="str">
            <v>Data Analytics Course</v>
          </cell>
          <cell r="C1429">
            <v>82</v>
          </cell>
          <cell r="D1429">
            <v>82</v>
          </cell>
          <cell r="E1429">
            <v>3052</v>
          </cell>
          <cell r="F1429">
            <v>3052</v>
          </cell>
          <cell r="G1429" t="str">
            <v>$211.11</v>
          </cell>
          <cell r="H1429" t="str">
            <v>$211.11</v>
          </cell>
          <cell r="I1429">
            <v>12</v>
          </cell>
          <cell r="J1429">
            <v>12</v>
          </cell>
          <cell r="K1429">
            <v>3</v>
          </cell>
          <cell r="L1429">
            <v>3</v>
          </cell>
          <cell r="M1429">
            <v>3.6585365853658534E-2</v>
          </cell>
          <cell r="N1429">
            <v>3.6999999999999998E-2</v>
          </cell>
          <cell r="O1429" t="str">
            <v>$1917</v>
          </cell>
          <cell r="P1429" t="str">
            <v>$1917</v>
          </cell>
          <cell r="Q1429">
            <v>45602</v>
          </cell>
          <cell r="R1429" t="str">
            <v>Hyderabad</v>
          </cell>
          <cell r="S1429" t="str">
            <v>Desktop</v>
          </cell>
          <cell r="T1429" t="str">
            <v>learn data analytics</v>
          </cell>
        </row>
        <row r="1430">
          <cell r="A1430" t="str">
            <v>A2428</v>
          </cell>
          <cell r="B1430" t="str">
            <v>Data Analytcis Course</v>
          </cell>
          <cell r="C1430">
            <v>198</v>
          </cell>
          <cell r="D1430">
            <v>198</v>
          </cell>
          <cell r="E1430">
            <v>5718</v>
          </cell>
          <cell r="F1430">
            <v>5718</v>
          </cell>
          <cell r="G1430" t="str">
            <v>$194.37</v>
          </cell>
          <cell r="H1430" t="str">
            <v>$194.37</v>
          </cell>
          <cell r="I1430">
            <v>13</v>
          </cell>
          <cell r="J1430">
            <v>13</v>
          </cell>
          <cell r="K1430">
            <v>8</v>
          </cell>
          <cell r="L1430">
            <v>8</v>
          </cell>
          <cell r="M1430">
            <v>4.0404040404040407E-2</v>
          </cell>
          <cell r="N1430">
            <v>0.04</v>
          </cell>
          <cell r="O1430" t="str">
            <v>$1118</v>
          </cell>
          <cell r="P1430" t="str">
            <v>$1118</v>
          </cell>
          <cell r="Q1430">
            <v>45612</v>
          </cell>
          <cell r="R1430" t="str">
            <v>Bangaluru</v>
          </cell>
          <cell r="S1430" t="str">
            <v>Tablet</v>
          </cell>
          <cell r="T1430" t="str">
            <v>data analytics training</v>
          </cell>
        </row>
        <row r="1431">
          <cell r="A1431" t="str">
            <v>A2429</v>
          </cell>
          <cell r="B1431" t="str">
            <v>Data Analytcis Course</v>
          </cell>
          <cell r="C1431">
            <v>115</v>
          </cell>
          <cell r="D1431">
            <v>115</v>
          </cell>
          <cell r="E1431">
            <v>4762</v>
          </cell>
          <cell r="F1431">
            <v>4762</v>
          </cell>
          <cell r="G1431" t="str">
            <v>$241.63</v>
          </cell>
          <cell r="H1431" t="str">
            <v>$241.63</v>
          </cell>
          <cell r="I1431">
            <v>20</v>
          </cell>
          <cell r="J1431">
            <v>20</v>
          </cell>
          <cell r="K1431">
            <v>8</v>
          </cell>
          <cell r="L1431">
            <v>8</v>
          </cell>
          <cell r="M1431">
            <v>6.9565217391304349E-2</v>
          </cell>
          <cell r="N1431">
            <v>5.8000000000000003E-2</v>
          </cell>
          <cell r="O1431" t="str">
            <v>$1555</v>
          </cell>
          <cell r="P1431" t="str">
            <v>$1555</v>
          </cell>
          <cell r="Q1431">
            <v>45599</v>
          </cell>
          <cell r="R1431" t="str">
            <v>Chennai</v>
          </cell>
          <cell r="S1431" t="str">
            <v>Desktop</v>
          </cell>
          <cell r="T1431" t="str">
            <v>data analytics course</v>
          </cell>
        </row>
        <row r="1432">
          <cell r="A1432" t="str">
            <v>A2430</v>
          </cell>
          <cell r="B1432" t="str">
            <v>Data Analytics Course</v>
          </cell>
          <cell r="C1432">
            <v>158</v>
          </cell>
          <cell r="D1432">
            <v>158</v>
          </cell>
          <cell r="E1432">
            <v>4953</v>
          </cell>
          <cell r="F1432">
            <v>4953</v>
          </cell>
          <cell r="G1432" t="str">
            <v>$243.07</v>
          </cell>
          <cell r="H1432" t="str">
            <v>$243.07</v>
          </cell>
          <cell r="I1432">
            <v>20</v>
          </cell>
          <cell r="J1432">
            <v>20</v>
          </cell>
          <cell r="K1432">
            <v>8</v>
          </cell>
          <cell r="L1432">
            <v>8</v>
          </cell>
          <cell r="M1432">
            <v>5.0632911392405063E-2</v>
          </cell>
          <cell r="N1432">
            <v>5.0999999999999997E-2</v>
          </cell>
          <cell r="O1432" t="str">
            <v>$1955</v>
          </cell>
          <cell r="P1432" t="str">
            <v>$1955</v>
          </cell>
          <cell r="Q1432">
            <v>45600</v>
          </cell>
          <cell r="R1432" t="str">
            <v>Hyderabad</v>
          </cell>
          <cell r="S1432" t="str">
            <v>Tablet</v>
          </cell>
          <cell r="T1432" t="str">
            <v>learn data analytics</v>
          </cell>
        </row>
        <row r="1433">
          <cell r="A1433" t="str">
            <v>A2431</v>
          </cell>
          <cell r="B1433" t="str">
            <v>Data Analytics Course</v>
          </cell>
          <cell r="C1433">
            <v>102</v>
          </cell>
          <cell r="D1433">
            <v>102</v>
          </cell>
          <cell r="E1433">
            <v>3784</v>
          </cell>
          <cell r="F1433">
            <v>3784</v>
          </cell>
          <cell r="G1433" t="str">
            <v>$219.45</v>
          </cell>
          <cell r="H1433" t="str">
            <v>$219.45</v>
          </cell>
          <cell r="I1433">
            <v>13</v>
          </cell>
          <cell r="J1433">
            <v>13</v>
          </cell>
          <cell r="K1433">
            <v>9</v>
          </cell>
          <cell r="L1433">
            <v>9</v>
          </cell>
          <cell r="M1433">
            <v>8.8235294117647065E-2</v>
          </cell>
          <cell r="N1433">
            <v>4.4999999999999998E-2</v>
          </cell>
          <cell r="O1433" t="str">
            <v>$1967</v>
          </cell>
          <cell r="P1433" t="str">
            <v>$1967</v>
          </cell>
          <cell r="Q1433">
            <v>45616</v>
          </cell>
          <cell r="R1433" t="str">
            <v>Hyderabad</v>
          </cell>
          <cell r="S1433" t="str">
            <v>Desktop</v>
          </cell>
          <cell r="T1433" t="str">
            <v>data analytics course</v>
          </cell>
        </row>
        <row r="1434">
          <cell r="A1434" t="str">
            <v>A2432</v>
          </cell>
          <cell r="B1434" t="str">
            <v>Data Analytcis Course</v>
          </cell>
          <cell r="C1434">
            <v>93</v>
          </cell>
          <cell r="D1434">
            <v>93</v>
          </cell>
          <cell r="E1434">
            <v>4523.2808326787117</v>
          </cell>
          <cell r="G1434" t="str">
            <v>$192.81</v>
          </cell>
          <cell r="H1434" t="str">
            <v>$192.81</v>
          </cell>
          <cell r="I1434">
            <v>22</v>
          </cell>
          <cell r="J1434">
            <v>22</v>
          </cell>
          <cell r="K1434">
            <v>7</v>
          </cell>
          <cell r="L1434">
            <v>7</v>
          </cell>
          <cell r="M1434">
            <v>7.5268817204301078E-2</v>
          </cell>
          <cell r="N1434">
            <v>7.4999999999999997E-2</v>
          </cell>
          <cell r="O1434" t="str">
            <v>$1726</v>
          </cell>
          <cell r="P1434" t="str">
            <v>$1726</v>
          </cell>
          <cell r="Q1434">
            <v>45614</v>
          </cell>
          <cell r="R1434" t="str">
            <v>Bangaluru</v>
          </cell>
          <cell r="S1434" t="str">
            <v>Desktop</v>
          </cell>
          <cell r="T1434" t="str">
            <v>learn data analytics</v>
          </cell>
        </row>
        <row r="1435">
          <cell r="A1435" t="str">
            <v>A2433</v>
          </cell>
          <cell r="B1435" t="str">
            <v>Data Analytics Course</v>
          </cell>
          <cell r="C1435">
            <v>198</v>
          </cell>
          <cell r="D1435">
            <v>198</v>
          </cell>
          <cell r="E1435">
            <v>5860</v>
          </cell>
          <cell r="F1435">
            <v>5860</v>
          </cell>
          <cell r="G1435" t="str">
            <v>$185.25</v>
          </cell>
          <cell r="H1435" t="str">
            <v>$185.25</v>
          </cell>
          <cell r="I1435">
            <v>24</v>
          </cell>
          <cell r="J1435">
            <v>24</v>
          </cell>
          <cell r="K1435">
            <v>9</v>
          </cell>
          <cell r="L1435">
            <v>9</v>
          </cell>
          <cell r="M1435">
            <v>4.5454545454545456E-2</v>
          </cell>
          <cell r="N1435">
            <v>4.1000000000000002E-2</v>
          </cell>
          <cell r="O1435" t="str">
            <v>$1950</v>
          </cell>
          <cell r="P1435" t="str">
            <v>$1950</v>
          </cell>
          <cell r="Q1435">
            <v>45597</v>
          </cell>
          <cell r="R1435" t="str">
            <v>Bangaluru</v>
          </cell>
          <cell r="S1435" t="str">
            <v>Tablet</v>
          </cell>
          <cell r="T1435" t="str">
            <v>data analytics training</v>
          </cell>
        </row>
        <row r="1436">
          <cell r="A1436" t="str">
            <v>A2434</v>
          </cell>
          <cell r="B1436" t="str">
            <v>Data Analytics Course</v>
          </cell>
          <cell r="C1436">
            <v>174</v>
          </cell>
          <cell r="D1436">
            <v>174</v>
          </cell>
          <cell r="E1436">
            <v>4169</v>
          </cell>
          <cell r="F1436">
            <v>4169</v>
          </cell>
          <cell r="G1436" t="str">
            <v>$189.36</v>
          </cell>
          <cell r="H1436" t="str">
            <v>$189.36</v>
          </cell>
          <cell r="I1436">
            <v>23</v>
          </cell>
          <cell r="J1436">
            <v>23</v>
          </cell>
          <cell r="K1436">
            <v>8</v>
          </cell>
          <cell r="L1436">
            <v>8</v>
          </cell>
          <cell r="M1436">
            <v>4.5977011494252873E-2</v>
          </cell>
          <cell r="N1436">
            <v>4.5999999999999999E-2</v>
          </cell>
          <cell r="O1436" t="str">
            <v>$1110</v>
          </cell>
          <cell r="P1436" t="str">
            <v>$1110</v>
          </cell>
          <cell r="Q1436">
            <v>45610</v>
          </cell>
          <cell r="R1436" t="str">
            <v>Hyderabad</v>
          </cell>
          <cell r="S1436" t="str">
            <v>Tablet</v>
          </cell>
          <cell r="T1436" t="str">
            <v>data analytics course</v>
          </cell>
        </row>
        <row r="1437">
          <cell r="A1437" t="str">
            <v>A2435</v>
          </cell>
          <cell r="B1437" t="str">
            <v>Data Analytics Course</v>
          </cell>
          <cell r="C1437">
            <v>193</v>
          </cell>
          <cell r="D1437">
            <v>193</v>
          </cell>
          <cell r="E1437">
            <v>5831</v>
          </cell>
          <cell r="F1437">
            <v>5831</v>
          </cell>
          <cell r="G1437" t="str">
            <v>$200.00</v>
          </cell>
          <cell r="I1437">
            <v>24</v>
          </cell>
          <cell r="J1437">
            <v>24</v>
          </cell>
          <cell r="K1437">
            <v>5</v>
          </cell>
          <cell r="L1437">
            <v>5</v>
          </cell>
          <cell r="M1437">
            <v>2.5906735751295335E-2</v>
          </cell>
          <cell r="O1437" t="str">
            <v>$1265</v>
          </cell>
          <cell r="P1437" t="str">
            <v>$1265</v>
          </cell>
          <cell r="Q1437">
            <v>45610</v>
          </cell>
          <cell r="R1437" t="str">
            <v>Chennai</v>
          </cell>
          <cell r="S1437" t="str">
            <v>Mobile</v>
          </cell>
          <cell r="T1437" t="str">
            <v>online data analytic</v>
          </cell>
        </row>
        <row r="1438">
          <cell r="A1438" t="str">
            <v>A2436</v>
          </cell>
          <cell r="B1438" t="str">
            <v>Data Analytics Course</v>
          </cell>
          <cell r="C1438">
            <v>117</v>
          </cell>
          <cell r="D1438">
            <v>117</v>
          </cell>
          <cell r="E1438">
            <v>5269</v>
          </cell>
          <cell r="F1438">
            <v>5269</v>
          </cell>
          <cell r="G1438" t="str">
            <v>$196.1</v>
          </cell>
          <cell r="H1438" t="str">
            <v>$196.1</v>
          </cell>
          <cell r="I1438">
            <v>26</v>
          </cell>
          <cell r="J1438">
            <v>26</v>
          </cell>
          <cell r="K1438">
            <v>6.5690115761353516</v>
          </cell>
          <cell r="M1438">
            <v>5.6145398086626934E-2</v>
          </cell>
          <cell r="O1438" t="str">
            <v>$1096</v>
          </cell>
          <cell r="P1438" t="str">
            <v>$1096</v>
          </cell>
          <cell r="Q1438">
            <v>45601</v>
          </cell>
          <cell r="R1438" t="str">
            <v>Bangaluru</v>
          </cell>
          <cell r="S1438" t="str">
            <v>Desktop</v>
          </cell>
          <cell r="T1438" t="str">
            <v>online data analytic</v>
          </cell>
        </row>
        <row r="1439">
          <cell r="A1439" t="str">
            <v>A2437</v>
          </cell>
          <cell r="B1439" t="str">
            <v>Data Analytics Course</v>
          </cell>
          <cell r="C1439">
            <v>147</v>
          </cell>
          <cell r="D1439">
            <v>147</v>
          </cell>
          <cell r="E1439">
            <v>5793</v>
          </cell>
          <cell r="F1439">
            <v>5793</v>
          </cell>
          <cell r="G1439" t="str">
            <v>$240.32</v>
          </cell>
          <cell r="H1439" t="str">
            <v>$240.32</v>
          </cell>
          <cell r="I1439">
            <v>25</v>
          </cell>
          <cell r="J1439">
            <v>25</v>
          </cell>
          <cell r="K1439">
            <v>5</v>
          </cell>
          <cell r="L1439">
            <v>5</v>
          </cell>
          <cell r="M1439">
            <v>3.4013605442176874E-2</v>
          </cell>
          <cell r="N1439">
            <v>4.9000000000000002E-2</v>
          </cell>
          <cell r="O1439" t="str">
            <v>$1645</v>
          </cell>
          <cell r="P1439" t="str">
            <v>$1645</v>
          </cell>
          <cell r="Q1439">
            <v>45623</v>
          </cell>
          <cell r="R1439" t="str">
            <v>Hyderabad</v>
          </cell>
          <cell r="S1439" t="str">
            <v>Tablet</v>
          </cell>
          <cell r="T1439" t="str">
            <v>data analytics course</v>
          </cell>
        </row>
        <row r="1440">
          <cell r="A1440" t="str">
            <v>A2438</v>
          </cell>
          <cell r="B1440" t="str">
            <v>Data Analytics Course</v>
          </cell>
          <cell r="C1440">
            <v>179</v>
          </cell>
          <cell r="D1440">
            <v>179</v>
          </cell>
          <cell r="E1440">
            <v>3338</v>
          </cell>
          <cell r="F1440">
            <v>3338</v>
          </cell>
          <cell r="G1440" t="str">
            <v>$218.33</v>
          </cell>
          <cell r="H1440" t="str">
            <v>$218.33</v>
          </cell>
          <cell r="I1440">
            <v>30</v>
          </cell>
          <cell r="J1440">
            <v>30</v>
          </cell>
          <cell r="K1440">
            <v>7</v>
          </cell>
          <cell r="L1440">
            <v>7</v>
          </cell>
          <cell r="M1440">
            <v>3.9106145251396648E-2</v>
          </cell>
          <cell r="N1440">
            <v>3.9E-2</v>
          </cell>
          <cell r="O1440" t="str">
            <v>$1500</v>
          </cell>
          <cell r="Q1440">
            <v>45620</v>
          </cell>
          <cell r="R1440" t="str">
            <v>Hyderabad</v>
          </cell>
          <cell r="S1440" t="str">
            <v>Desktop</v>
          </cell>
          <cell r="T1440" t="str">
            <v>data analytics online</v>
          </cell>
        </row>
        <row r="1441">
          <cell r="A1441" t="str">
            <v>A2439</v>
          </cell>
          <cell r="B1441" t="str">
            <v>Data Analytics Course</v>
          </cell>
          <cell r="C1441">
            <v>194</v>
          </cell>
          <cell r="D1441">
            <v>194</v>
          </cell>
          <cell r="E1441">
            <v>4297</v>
          </cell>
          <cell r="F1441">
            <v>4297</v>
          </cell>
          <cell r="G1441" t="str">
            <v>$237.87</v>
          </cell>
          <cell r="H1441" t="str">
            <v>$237.87</v>
          </cell>
          <cell r="I1441">
            <v>22</v>
          </cell>
          <cell r="J1441">
            <v>22</v>
          </cell>
          <cell r="K1441">
            <v>3</v>
          </cell>
          <cell r="L1441">
            <v>3</v>
          </cell>
          <cell r="M1441">
            <v>1.5463917525773196E-2</v>
          </cell>
          <cell r="O1441" t="str">
            <v>$1739</v>
          </cell>
          <cell r="P1441" t="str">
            <v>$1739</v>
          </cell>
          <cell r="Q1441">
            <v>45625</v>
          </cell>
          <cell r="R1441" t="str">
            <v>Hyderabad</v>
          </cell>
          <cell r="S1441" t="str">
            <v>Desktop</v>
          </cell>
          <cell r="T1441" t="str">
            <v>data analytics course</v>
          </cell>
        </row>
        <row r="1442">
          <cell r="A1442" t="str">
            <v>A2440</v>
          </cell>
          <cell r="B1442" t="str">
            <v>Data Analytics Course</v>
          </cell>
          <cell r="C1442">
            <v>112</v>
          </cell>
          <cell r="D1442">
            <v>112</v>
          </cell>
          <cell r="E1442">
            <v>3961</v>
          </cell>
          <cell r="F1442">
            <v>3961</v>
          </cell>
          <cell r="G1442" t="str">
            <v>$214.45</v>
          </cell>
          <cell r="H1442" t="str">
            <v>$214.45</v>
          </cell>
          <cell r="I1442">
            <v>13</v>
          </cell>
          <cell r="J1442">
            <v>13</v>
          </cell>
          <cell r="K1442">
            <v>7</v>
          </cell>
          <cell r="L1442">
            <v>7</v>
          </cell>
          <cell r="M1442">
            <v>6.25E-2</v>
          </cell>
          <cell r="O1442" t="str">
            <v>$1594</v>
          </cell>
          <cell r="P1442" t="str">
            <v>$1594</v>
          </cell>
          <cell r="Q1442">
            <v>45613</v>
          </cell>
          <cell r="R1442" t="str">
            <v>Hyderabad</v>
          </cell>
          <cell r="S1442" t="str">
            <v>Desktop</v>
          </cell>
          <cell r="T1442" t="str">
            <v>analytics for data</v>
          </cell>
        </row>
        <row r="1443">
          <cell r="A1443" t="str">
            <v>A2441</v>
          </cell>
          <cell r="B1443" t="str">
            <v>Data Analytics Course</v>
          </cell>
          <cell r="C1443">
            <v>88</v>
          </cell>
          <cell r="D1443">
            <v>88</v>
          </cell>
          <cell r="E1443">
            <v>5063</v>
          </cell>
          <cell r="F1443">
            <v>5063</v>
          </cell>
          <cell r="G1443" t="str">
            <v>$195.2</v>
          </cell>
          <cell r="H1443" t="str">
            <v>$195.2</v>
          </cell>
          <cell r="I1443">
            <v>22</v>
          </cell>
          <cell r="J1443">
            <v>22</v>
          </cell>
          <cell r="K1443">
            <v>3</v>
          </cell>
          <cell r="L1443">
            <v>3</v>
          </cell>
          <cell r="M1443">
            <v>3.4090909090909088E-2</v>
          </cell>
          <cell r="N1443">
            <v>3.4000000000000002E-2</v>
          </cell>
          <cell r="O1443" t="str">
            <v>$1460</v>
          </cell>
          <cell r="P1443" t="str">
            <v>$1460</v>
          </cell>
          <cell r="Q1443">
            <v>45616</v>
          </cell>
          <cell r="R1443" t="str">
            <v>Hyderabad</v>
          </cell>
          <cell r="S1443" t="str">
            <v>Mobile</v>
          </cell>
          <cell r="T1443" t="str">
            <v>analytics for data</v>
          </cell>
        </row>
        <row r="1444">
          <cell r="A1444" t="str">
            <v>A2442</v>
          </cell>
          <cell r="B1444" t="str">
            <v>Data Analytcis Course</v>
          </cell>
          <cell r="C1444">
            <v>172</v>
          </cell>
          <cell r="D1444">
            <v>172</v>
          </cell>
          <cell r="E1444">
            <v>5635</v>
          </cell>
          <cell r="F1444">
            <v>5635</v>
          </cell>
          <cell r="G1444" t="str">
            <v>$200.16</v>
          </cell>
          <cell r="H1444" t="str">
            <v>$200.16</v>
          </cell>
          <cell r="I1444">
            <v>21</v>
          </cell>
          <cell r="J1444">
            <v>21</v>
          </cell>
          <cell r="K1444">
            <v>7</v>
          </cell>
          <cell r="L1444">
            <v>7</v>
          </cell>
          <cell r="M1444">
            <v>4.0697674418604654E-2</v>
          </cell>
          <cell r="N1444">
            <v>3.5999999999999997E-2</v>
          </cell>
          <cell r="O1444" t="str">
            <v>$1727</v>
          </cell>
          <cell r="P1444" t="str">
            <v>$1727</v>
          </cell>
          <cell r="Q1444">
            <v>45610</v>
          </cell>
          <cell r="R1444" t="str">
            <v>Chennai</v>
          </cell>
          <cell r="S1444" t="str">
            <v>Mobile</v>
          </cell>
          <cell r="T1444" t="str">
            <v>data analytics online</v>
          </cell>
        </row>
        <row r="1445">
          <cell r="A1445" t="str">
            <v>A2443</v>
          </cell>
          <cell r="B1445" t="str">
            <v>Data Analytcis Course</v>
          </cell>
          <cell r="C1445">
            <v>81</v>
          </cell>
          <cell r="D1445">
            <v>81</v>
          </cell>
          <cell r="E1445">
            <v>4404</v>
          </cell>
          <cell r="F1445">
            <v>4404</v>
          </cell>
          <cell r="G1445" t="str">
            <v>$239.62</v>
          </cell>
          <cell r="H1445" t="str">
            <v>$239.62</v>
          </cell>
          <cell r="I1445">
            <v>11</v>
          </cell>
          <cell r="J1445">
            <v>11</v>
          </cell>
          <cell r="K1445">
            <v>4</v>
          </cell>
          <cell r="L1445">
            <v>4</v>
          </cell>
          <cell r="M1445">
            <v>4.9382716049382713E-2</v>
          </cell>
          <cell r="N1445">
            <v>3.5000000000000003E-2</v>
          </cell>
          <cell r="O1445" t="str">
            <v>$1814</v>
          </cell>
          <cell r="P1445" t="str">
            <v>$1814</v>
          </cell>
          <cell r="Q1445">
            <v>45617</v>
          </cell>
          <cell r="R1445" t="str">
            <v>Bangaluru</v>
          </cell>
          <cell r="S1445" t="str">
            <v>Mobile</v>
          </cell>
          <cell r="T1445" t="str">
            <v>data analytics course</v>
          </cell>
        </row>
        <row r="1446">
          <cell r="A1446" t="str">
            <v>A2444</v>
          </cell>
          <cell r="B1446" t="str">
            <v>Data Analytics Course</v>
          </cell>
          <cell r="C1446">
            <v>142</v>
          </cell>
          <cell r="D1446">
            <v>142</v>
          </cell>
          <cell r="E1446">
            <v>4312</v>
          </cell>
          <cell r="F1446">
            <v>4312</v>
          </cell>
          <cell r="G1446" t="str">
            <v>$213.54</v>
          </cell>
          <cell r="H1446" t="str">
            <v>$213.54</v>
          </cell>
          <cell r="I1446">
            <v>21</v>
          </cell>
          <cell r="J1446">
            <v>21</v>
          </cell>
          <cell r="K1446">
            <v>7</v>
          </cell>
          <cell r="L1446">
            <v>7</v>
          </cell>
          <cell r="M1446">
            <v>4.9295774647887321E-2</v>
          </cell>
          <cell r="N1446">
            <v>4.9000000000000002E-2</v>
          </cell>
          <cell r="O1446" t="str">
            <v>$1666</v>
          </cell>
          <cell r="P1446" t="str">
            <v>$1666</v>
          </cell>
          <cell r="Q1446">
            <v>45616</v>
          </cell>
          <cell r="R1446" t="str">
            <v>Hyderabad</v>
          </cell>
          <cell r="S1446" t="str">
            <v>Desktop</v>
          </cell>
          <cell r="T1446" t="str">
            <v>learn data analytics</v>
          </cell>
        </row>
        <row r="1447">
          <cell r="A1447" t="str">
            <v>A2445</v>
          </cell>
          <cell r="B1447" t="str">
            <v>Data Analytics Course</v>
          </cell>
          <cell r="C1447">
            <v>111</v>
          </cell>
          <cell r="D1447">
            <v>111</v>
          </cell>
          <cell r="E1447">
            <v>3302</v>
          </cell>
          <cell r="F1447">
            <v>3302</v>
          </cell>
          <cell r="G1447" t="str">
            <v>$193.18</v>
          </cell>
          <cell r="H1447" t="str">
            <v>$193.18</v>
          </cell>
          <cell r="I1447">
            <v>30</v>
          </cell>
          <cell r="J1447">
            <v>30</v>
          </cell>
          <cell r="K1447">
            <v>10</v>
          </cell>
          <cell r="L1447">
            <v>10</v>
          </cell>
          <cell r="M1447">
            <v>9.0090090090090086E-2</v>
          </cell>
          <cell r="O1447" t="str">
            <v>$1783</v>
          </cell>
          <cell r="P1447" t="str">
            <v>$1783</v>
          </cell>
          <cell r="Q1447">
            <v>45615</v>
          </cell>
          <cell r="R1447" t="str">
            <v>Chennai</v>
          </cell>
          <cell r="S1447" t="str">
            <v>Mobile</v>
          </cell>
          <cell r="T1447" t="str">
            <v>analytics for data</v>
          </cell>
        </row>
        <row r="1448">
          <cell r="A1448" t="str">
            <v>A2446</v>
          </cell>
          <cell r="B1448" t="str">
            <v>Data Analytics Course</v>
          </cell>
          <cell r="C1448">
            <v>81</v>
          </cell>
          <cell r="D1448">
            <v>81</v>
          </cell>
          <cell r="E1448">
            <v>3575</v>
          </cell>
          <cell r="F1448">
            <v>3575</v>
          </cell>
          <cell r="G1448" t="str">
            <v>$192.71</v>
          </cell>
          <cell r="H1448" t="str">
            <v>$192.71</v>
          </cell>
          <cell r="I1448">
            <v>27</v>
          </cell>
          <cell r="J1448">
            <v>27</v>
          </cell>
          <cell r="K1448">
            <v>4</v>
          </cell>
          <cell r="L1448">
            <v>4</v>
          </cell>
          <cell r="M1448">
            <v>4.9382716049382713E-2</v>
          </cell>
          <cell r="N1448">
            <v>4.9000000000000002E-2</v>
          </cell>
          <cell r="O1448" t="str">
            <v>$1158</v>
          </cell>
          <cell r="P1448" t="str">
            <v>$1158</v>
          </cell>
          <cell r="Q1448">
            <v>45607</v>
          </cell>
          <cell r="R1448" t="str">
            <v>Hyderabad</v>
          </cell>
          <cell r="S1448" t="str">
            <v>Tablet</v>
          </cell>
          <cell r="T1448" t="str">
            <v>online data analytic</v>
          </cell>
        </row>
        <row r="1449">
          <cell r="A1449" t="str">
            <v>A2447</v>
          </cell>
          <cell r="B1449" t="str">
            <v>Data Analytcis Course</v>
          </cell>
          <cell r="C1449">
            <v>112</v>
          </cell>
          <cell r="D1449">
            <v>112</v>
          </cell>
          <cell r="E1449">
            <v>5055</v>
          </cell>
          <cell r="F1449">
            <v>5055</v>
          </cell>
          <cell r="G1449" t="str">
            <v>$213.36</v>
          </cell>
          <cell r="H1449" t="str">
            <v>$213.36</v>
          </cell>
          <cell r="I1449">
            <v>26</v>
          </cell>
          <cell r="J1449">
            <v>26</v>
          </cell>
          <cell r="K1449">
            <v>5</v>
          </cell>
          <cell r="L1449">
            <v>5</v>
          </cell>
          <cell r="M1449">
            <v>4.4642857142857144E-2</v>
          </cell>
          <cell r="N1449">
            <v>5.8000000000000003E-2</v>
          </cell>
          <cell r="O1449" t="str">
            <v>$1959</v>
          </cell>
          <cell r="P1449" t="str">
            <v>$1959</v>
          </cell>
          <cell r="Q1449">
            <v>45625</v>
          </cell>
          <cell r="R1449" t="str">
            <v>Hyderabad</v>
          </cell>
          <cell r="S1449" t="str">
            <v>Desktop</v>
          </cell>
          <cell r="T1449" t="str">
            <v>data analytics training</v>
          </cell>
        </row>
        <row r="1450">
          <cell r="A1450" t="str">
            <v>A2448</v>
          </cell>
          <cell r="B1450" t="str">
            <v>Data Analytics Course</v>
          </cell>
          <cell r="C1450">
            <v>101</v>
          </cell>
          <cell r="D1450">
            <v>101</v>
          </cell>
          <cell r="E1450">
            <v>5415</v>
          </cell>
          <cell r="F1450">
            <v>5415</v>
          </cell>
          <cell r="G1450" t="str">
            <v>$236.41</v>
          </cell>
          <cell r="H1450" t="str">
            <v>$236.41</v>
          </cell>
          <cell r="I1450">
            <v>13</v>
          </cell>
          <cell r="J1450">
            <v>13</v>
          </cell>
          <cell r="K1450">
            <v>10</v>
          </cell>
          <cell r="L1450">
            <v>10</v>
          </cell>
          <cell r="M1450">
            <v>9.9009900990099015E-2</v>
          </cell>
          <cell r="N1450">
            <v>3.9E-2</v>
          </cell>
          <cell r="O1450" t="str">
            <v>$1832</v>
          </cell>
          <cell r="P1450" t="str">
            <v>$1832</v>
          </cell>
          <cell r="Q1450">
            <v>45611</v>
          </cell>
          <cell r="R1450" t="str">
            <v>Hyderabad</v>
          </cell>
          <cell r="S1450" t="str">
            <v>Tablet</v>
          </cell>
          <cell r="T1450" t="str">
            <v>learn data analytics</v>
          </cell>
        </row>
        <row r="1451">
          <cell r="A1451" t="str">
            <v>A2449</v>
          </cell>
          <cell r="B1451" t="str">
            <v>Data Analytics Course</v>
          </cell>
          <cell r="C1451">
            <v>166</v>
          </cell>
          <cell r="D1451">
            <v>166</v>
          </cell>
          <cell r="E1451">
            <v>3118</v>
          </cell>
          <cell r="F1451">
            <v>3118</v>
          </cell>
          <cell r="G1451" t="str">
            <v>$212.46</v>
          </cell>
          <cell r="H1451" t="str">
            <v>$212.46</v>
          </cell>
          <cell r="I1451">
            <v>25</v>
          </cell>
          <cell r="J1451">
            <v>25</v>
          </cell>
          <cell r="K1451">
            <v>7</v>
          </cell>
          <cell r="L1451">
            <v>7</v>
          </cell>
          <cell r="M1451">
            <v>4.2168674698795178E-2</v>
          </cell>
          <cell r="N1451">
            <v>4.2000000000000003E-2</v>
          </cell>
          <cell r="O1451" t="str">
            <v>$1813</v>
          </cell>
          <cell r="P1451" t="str">
            <v>$1813</v>
          </cell>
          <cell r="Q1451">
            <v>45610</v>
          </cell>
          <cell r="R1451" t="str">
            <v>Hyderabad</v>
          </cell>
          <cell r="S1451" t="str">
            <v>Tablet</v>
          </cell>
          <cell r="T1451" t="str">
            <v>online data analytic</v>
          </cell>
        </row>
        <row r="1452">
          <cell r="A1452" t="str">
            <v>A2450</v>
          </cell>
          <cell r="B1452" t="str">
            <v>Data Analytics Course</v>
          </cell>
          <cell r="C1452">
            <v>138.95699356913184</v>
          </cell>
          <cell r="E1452">
            <v>5271</v>
          </cell>
          <cell r="F1452">
            <v>5271</v>
          </cell>
          <cell r="G1452" t="str">
            <v>$200.00</v>
          </cell>
          <cell r="I1452">
            <v>14</v>
          </cell>
          <cell r="J1452">
            <v>14</v>
          </cell>
          <cell r="K1452">
            <v>8</v>
          </cell>
          <cell r="L1452">
            <v>8</v>
          </cell>
          <cell r="M1452">
            <v>5.7571769469954438E-2</v>
          </cell>
          <cell r="O1452" t="str">
            <v>$1629</v>
          </cell>
          <cell r="P1452" t="str">
            <v>$1629</v>
          </cell>
          <cell r="Q1452">
            <v>45618</v>
          </cell>
          <cell r="R1452" t="str">
            <v>Hyderabad</v>
          </cell>
          <cell r="S1452" t="str">
            <v>Mobile</v>
          </cell>
          <cell r="T1452" t="str">
            <v>data analytics online</v>
          </cell>
        </row>
        <row r="1453">
          <cell r="A1453" t="str">
            <v>A2451</v>
          </cell>
          <cell r="B1453" t="str">
            <v>Data Analytcis Course</v>
          </cell>
          <cell r="C1453">
            <v>148</v>
          </cell>
          <cell r="D1453">
            <v>148</v>
          </cell>
          <cell r="E1453">
            <v>4523.2808326787117</v>
          </cell>
          <cell r="G1453" t="str">
            <v>$214.26</v>
          </cell>
          <cell r="H1453" t="str">
            <v>$214.26</v>
          </cell>
          <cell r="I1453">
            <v>21</v>
          </cell>
          <cell r="J1453">
            <v>21</v>
          </cell>
          <cell r="K1453">
            <v>8</v>
          </cell>
          <cell r="L1453">
            <v>8</v>
          </cell>
          <cell r="M1453">
            <v>5.4054054054054057E-2</v>
          </cell>
          <cell r="O1453" t="str">
            <v>$1629</v>
          </cell>
          <cell r="P1453" t="str">
            <v>$1629</v>
          </cell>
          <cell r="Q1453">
            <v>45609</v>
          </cell>
          <cell r="R1453" t="str">
            <v>Hyderabad</v>
          </cell>
          <cell r="S1453" t="str">
            <v>Tablet</v>
          </cell>
          <cell r="T1453" t="str">
            <v>data analytics online</v>
          </cell>
        </row>
        <row r="1454">
          <cell r="A1454" t="str">
            <v>A2452</v>
          </cell>
          <cell r="B1454" t="str">
            <v>Data Analytcis Course</v>
          </cell>
          <cell r="C1454">
            <v>126</v>
          </cell>
          <cell r="D1454">
            <v>126</v>
          </cell>
          <cell r="E1454">
            <v>5250</v>
          </cell>
          <cell r="F1454">
            <v>5250</v>
          </cell>
          <cell r="G1454" t="str">
            <v>$239.73</v>
          </cell>
          <cell r="H1454" t="str">
            <v>$239.73</v>
          </cell>
          <cell r="I1454">
            <v>30</v>
          </cell>
          <cell r="J1454">
            <v>30</v>
          </cell>
          <cell r="K1454">
            <v>4</v>
          </cell>
          <cell r="L1454">
            <v>4</v>
          </cell>
          <cell r="M1454">
            <v>3.1746031746031744E-2</v>
          </cell>
          <cell r="N1454">
            <v>3.2000000000000001E-2</v>
          </cell>
          <cell r="O1454" t="str">
            <v>$1070</v>
          </cell>
          <cell r="P1454" t="str">
            <v>$1070</v>
          </cell>
          <cell r="Q1454">
            <v>45619</v>
          </cell>
          <cell r="R1454" t="str">
            <v>Bangaluru</v>
          </cell>
          <cell r="S1454" t="str">
            <v>Tablet</v>
          </cell>
          <cell r="T1454" t="str">
            <v>analytics for data</v>
          </cell>
        </row>
        <row r="1455">
          <cell r="A1455" t="str">
            <v>A2453</v>
          </cell>
          <cell r="B1455" t="str">
            <v>Data Analytics Course</v>
          </cell>
          <cell r="C1455">
            <v>119</v>
          </cell>
          <cell r="D1455">
            <v>119</v>
          </cell>
          <cell r="E1455">
            <v>4405</v>
          </cell>
          <cell r="F1455">
            <v>4405</v>
          </cell>
          <cell r="G1455" t="str">
            <v>$233.66</v>
          </cell>
          <cell r="H1455" t="str">
            <v>$233.66</v>
          </cell>
          <cell r="I1455">
            <v>25</v>
          </cell>
          <cell r="J1455">
            <v>25</v>
          </cell>
          <cell r="K1455">
            <v>3</v>
          </cell>
          <cell r="L1455">
            <v>3</v>
          </cell>
          <cell r="M1455">
            <v>2.5210084033613446E-2</v>
          </cell>
          <cell r="N1455">
            <v>3.9E-2</v>
          </cell>
          <cell r="O1455" t="str">
            <v>$1407</v>
          </cell>
          <cell r="P1455" t="str">
            <v>$1407</v>
          </cell>
          <cell r="Q1455">
            <v>45608</v>
          </cell>
          <cell r="R1455" t="str">
            <v>Hyderabad</v>
          </cell>
          <cell r="S1455" t="str">
            <v>Desktop</v>
          </cell>
          <cell r="T1455" t="str">
            <v>data analytics course</v>
          </cell>
        </row>
        <row r="1456">
          <cell r="A1456" t="str">
            <v>A2454</v>
          </cell>
          <cell r="B1456" t="str">
            <v>Data Analytics Course</v>
          </cell>
          <cell r="C1456">
            <v>189</v>
          </cell>
          <cell r="D1456">
            <v>189</v>
          </cell>
          <cell r="E1456">
            <v>5060</v>
          </cell>
          <cell r="F1456">
            <v>5060</v>
          </cell>
          <cell r="G1456" t="str">
            <v>$236.54</v>
          </cell>
          <cell r="H1456" t="str">
            <v>$236.54</v>
          </cell>
          <cell r="I1456">
            <v>26</v>
          </cell>
          <cell r="J1456">
            <v>26</v>
          </cell>
          <cell r="K1456">
            <v>7</v>
          </cell>
          <cell r="L1456">
            <v>7</v>
          </cell>
          <cell r="M1456">
            <v>3.7037037037037035E-2</v>
          </cell>
          <cell r="N1456">
            <v>4.2999999999999997E-2</v>
          </cell>
          <cell r="O1456" t="str">
            <v>$1877</v>
          </cell>
          <cell r="P1456" t="str">
            <v>$1877</v>
          </cell>
          <cell r="Q1456">
            <v>45606</v>
          </cell>
          <cell r="R1456" t="str">
            <v>Chennai</v>
          </cell>
          <cell r="S1456" t="str">
            <v>Mobile</v>
          </cell>
          <cell r="T1456" t="str">
            <v>data analytics training</v>
          </cell>
        </row>
        <row r="1457">
          <cell r="A1457" t="str">
            <v>A2455</v>
          </cell>
          <cell r="B1457" t="str">
            <v>Data Analytics Course</v>
          </cell>
          <cell r="C1457">
            <v>167</v>
          </cell>
          <cell r="D1457">
            <v>167</v>
          </cell>
          <cell r="E1457">
            <v>3296</v>
          </cell>
          <cell r="F1457">
            <v>3296</v>
          </cell>
          <cell r="G1457" t="str">
            <v>$246.85</v>
          </cell>
          <cell r="H1457" t="str">
            <v>$246.85</v>
          </cell>
          <cell r="I1457">
            <v>29</v>
          </cell>
          <cell r="J1457">
            <v>29</v>
          </cell>
          <cell r="K1457">
            <v>8</v>
          </cell>
          <cell r="L1457">
            <v>8</v>
          </cell>
          <cell r="M1457">
            <v>4.790419161676647E-2</v>
          </cell>
          <cell r="N1457">
            <v>4.8000000000000001E-2</v>
          </cell>
          <cell r="O1457" t="str">
            <v>$1723</v>
          </cell>
          <cell r="P1457" t="str">
            <v>$1723</v>
          </cell>
          <cell r="Q1457">
            <v>45613</v>
          </cell>
          <cell r="R1457" t="str">
            <v>Bangaluru</v>
          </cell>
          <cell r="S1457" t="str">
            <v>Desktop</v>
          </cell>
          <cell r="T1457" t="str">
            <v>data analytics online</v>
          </cell>
        </row>
        <row r="1458">
          <cell r="A1458" t="str">
            <v>A2456</v>
          </cell>
          <cell r="B1458" t="str">
            <v>Data Analytcis Course</v>
          </cell>
          <cell r="C1458">
            <v>198</v>
          </cell>
          <cell r="D1458">
            <v>198</v>
          </cell>
          <cell r="E1458">
            <v>3499</v>
          </cell>
          <cell r="F1458">
            <v>3499</v>
          </cell>
          <cell r="G1458" t="str">
            <v>$209.74</v>
          </cell>
          <cell r="H1458" t="str">
            <v>$209.74</v>
          </cell>
          <cell r="I1458">
            <v>30</v>
          </cell>
          <cell r="J1458">
            <v>30</v>
          </cell>
          <cell r="K1458">
            <v>9</v>
          </cell>
          <cell r="L1458">
            <v>9</v>
          </cell>
          <cell r="M1458">
            <v>4.5454545454545456E-2</v>
          </cell>
          <cell r="N1458">
            <v>0.04</v>
          </cell>
          <cell r="O1458" t="str">
            <v>$1893</v>
          </cell>
          <cell r="P1458" t="str">
            <v>$1893</v>
          </cell>
          <cell r="Q1458">
            <v>45621</v>
          </cell>
          <cell r="R1458" t="str">
            <v>Hyderabad</v>
          </cell>
          <cell r="S1458" t="str">
            <v>Desktop</v>
          </cell>
          <cell r="T1458" t="str">
            <v>data analytics course</v>
          </cell>
        </row>
        <row r="1459">
          <cell r="A1459" t="str">
            <v>A2457</v>
          </cell>
          <cell r="B1459" t="str">
            <v>Data Analytics Course</v>
          </cell>
          <cell r="C1459">
            <v>95</v>
          </cell>
          <cell r="D1459">
            <v>95</v>
          </cell>
          <cell r="E1459">
            <v>3449</v>
          </cell>
          <cell r="F1459">
            <v>3449</v>
          </cell>
          <cell r="G1459" t="str">
            <v>$184.55</v>
          </cell>
          <cell r="H1459" t="str">
            <v>$184.55</v>
          </cell>
          <cell r="I1459">
            <v>10</v>
          </cell>
          <cell r="J1459">
            <v>10</v>
          </cell>
          <cell r="K1459">
            <v>10</v>
          </cell>
          <cell r="L1459">
            <v>10</v>
          </cell>
          <cell r="M1459">
            <v>0.10526315789473684</v>
          </cell>
          <cell r="N1459">
            <v>4.1000000000000002E-2</v>
          </cell>
          <cell r="O1459" t="str">
            <v>$1601</v>
          </cell>
          <cell r="P1459" t="str">
            <v>$1601</v>
          </cell>
          <cell r="Q1459">
            <v>45612</v>
          </cell>
          <cell r="R1459" t="str">
            <v>Hyderabad</v>
          </cell>
          <cell r="S1459" t="str">
            <v>Mobile</v>
          </cell>
          <cell r="T1459" t="str">
            <v>analytics for data</v>
          </cell>
        </row>
        <row r="1460">
          <cell r="A1460" t="str">
            <v>A2458</v>
          </cell>
          <cell r="B1460" t="str">
            <v>Data Analytics Course</v>
          </cell>
          <cell r="C1460">
            <v>181</v>
          </cell>
          <cell r="D1460">
            <v>181</v>
          </cell>
          <cell r="E1460">
            <v>3738</v>
          </cell>
          <cell r="F1460">
            <v>3738</v>
          </cell>
          <cell r="G1460" t="str">
            <v>$206.61</v>
          </cell>
          <cell r="H1460" t="str">
            <v>$206.61</v>
          </cell>
          <cell r="I1460">
            <v>16</v>
          </cell>
          <cell r="J1460">
            <v>16</v>
          </cell>
          <cell r="K1460">
            <v>9</v>
          </cell>
          <cell r="L1460">
            <v>9</v>
          </cell>
          <cell r="M1460">
            <v>4.9723756906077346E-2</v>
          </cell>
          <cell r="N1460">
            <v>0.05</v>
          </cell>
          <cell r="O1460" t="str">
            <v>$1868</v>
          </cell>
          <cell r="P1460" t="str">
            <v>$1868</v>
          </cell>
          <cell r="Q1460">
            <v>45605</v>
          </cell>
          <cell r="R1460" t="str">
            <v>Hyderabad</v>
          </cell>
          <cell r="S1460" t="str">
            <v>Mobile</v>
          </cell>
          <cell r="T1460" t="str">
            <v>online data analytic</v>
          </cell>
        </row>
        <row r="1461">
          <cell r="A1461" t="str">
            <v>A2459</v>
          </cell>
          <cell r="B1461" t="str">
            <v>Data Analytics Course</v>
          </cell>
          <cell r="C1461">
            <v>105</v>
          </cell>
          <cell r="D1461">
            <v>105</v>
          </cell>
          <cell r="E1461">
            <v>4236</v>
          </cell>
          <cell r="F1461">
            <v>4236</v>
          </cell>
          <cell r="G1461" t="str">
            <v>$180.2</v>
          </cell>
          <cell r="H1461" t="str">
            <v>$180.2</v>
          </cell>
          <cell r="I1461">
            <v>12</v>
          </cell>
          <cell r="J1461">
            <v>12</v>
          </cell>
          <cell r="K1461">
            <v>7</v>
          </cell>
          <cell r="L1461">
            <v>7</v>
          </cell>
          <cell r="M1461">
            <v>6.6666666666666666E-2</v>
          </cell>
          <cell r="N1461">
            <v>6.7000000000000004E-2</v>
          </cell>
          <cell r="O1461" t="str">
            <v>$1500</v>
          </cell>
          <cell r="Q1461">
            <v>45620</v>
          </cell>
          <cell r="R1461" t="str">
            <v>Chennai</v>
          </cell>
          <cell r="S1461" t="str">
            <v>Mobile</v>
          </cell>
          <cell r="T1461" t="str">
            <v>learn data analytics</v>
          </cell>
        </row>
        <row r="1462">
          <cell r="A1462" t="str">
            <v>A2460</v>
          </cell>
          <cell r="B1462" t="str">
            <v>Data Analytics Course</v>
          </cell>
          <cell r="C1462">
            <v>178</v>
          </cell>
          <cell r="D1462">
            <v>178</v>
          </cell>
          <cell r="E1462">
            <v>5751</v>
          </cell>
          <cell r="F1462">
            <v>5751</v>
          </cell>
          <cell r="G1462" t="str">
            <v>$205.34</v>
          </cell>
          <cell r="H1462" t="str">
            <v>$205.34</v>
          </cell>
          <cell r="I1462">
            <v>24</v>
          </cell>
          <cell r="J1462">
            <v>24</v>
          </cell>
          <cell r="K1462">
            <v>10</v>
          </cell>
          <cell r="L1462">
            <v>10</v>
          </cell>
          <cell r="M1462">
            <v>5.6179775280898875E-2</v>
          </cell>
          <cell r="O1462" t="str">
            <v>$1903</v>
          </cell>
          <cell r="P1462" t="str">
            <v>$1903</v>
          </cell>
          <cell r="Q1462">
            <v>45616</v>
          </cell>
          <cell r="R1462" t="str">
            <v>Hyderabad</v>
          </cell>
          <cell r="S1462" t="str">
            <v>Desktop</v>
          </cell>
          <cell r="T1462" t="str">
            <v>data analytics course</v>
          </cell>
        </row>
        <row r="1463">
          <cell r="A1463" t="str">
            <v>A2461</v>
          </cell>
          <cell r="B1463" t="str">
            <v>Data Analytcis Course</v>
          </cell>
          <cell r="C1463">
            <v>127</v>
          </cell>
          <cell r="D1463">
            <v>127</v>
          </cell>
          <cell r="E1463">
            <v>5050</v>
          </cell>
          <cell r="F1463">
            <v>5050</v>
          </cell>
          <cell r="G1463" t="str">
            <v>$184.77</v>
          </cell>
          <cell r="H1463" t="str">
            <v>$184.77</v>
          </cell>
          <cell r="I1463">
            <v>28</v>
          </cell>
          <cell r="J1463">
            <v>28</v>
          </cell>
          <cell r="K1463">
            <v>9</v>
          </cell>
          <cell r="L1463">
            <v>9</v>
          </cell>
          <cell r="M1463">
            <v>7.0866141732283464E-2</v>
          </cell>
          <cell r="N1463">
            <v>7.0999999999999994E-2</v>
          </cell>
          <cell r="O1463" t="str">
            <v>$1906</v>
          </cell>
          <cell r="P1463" t="str">
            <v>$1906</v>
          </cell>
          <cell r="Q1463">
            <v>45598</v>
          </cell>
          <cell r="R1463" t="str">
            <v>Chennai</v>
          </cell>
          <cell r="S1463" t="str">
            <v>Desktop</v>
          </cell>
          <cell r="T1463" t="str">
            <v>data analytics online</v>
          </cell>
        </row>
        <row r="1464">
          <cell r="A1464" t="str">
            <v>A2462</v>
          </cell>
          <cell r="B1464" t="str">
            <v>Data Analytics Course</v>
          </cell>
          <cell r="C1464">
            <v>198</v>
          </cell>
          <cell r="D1464">
            <v>198</v>
          </cell>
          <cell r="E1464">
            <v>4773</v>
          </cell>
          <cell r="F1464">
            <v>4773</v>
          </cell>
          <cell r="G1464" t="str">
            <v>$202.54</v>
          </cell>
          <cell r="H1464" t="str">
            <v>$202.54</v>
          </cell>
          <cell r="I1464">
            <v>17</v>
          </cell>
          <cell r="J1464">
            <v>17</v>
          </cell>
          <cell r="K1464">
            <v>10</v>
          </cell>
          <cell r="L1464">
            <v>10</v>
          </cell>
          <cell r="M1464">
            <v>5.0505050505050504E-2</v>
          </cell>
          <cell r="O1464" t="str">
            <v>$1082</v>
          </cell>
          <cell r="P1464" t="str">
            <v>$1082</v>
          </cell>
          <cell r="Q1464">
            <v>45615</v>
          </cell>
          <cell r="R1464" t="str">
            <v>Bangaluru</v>
          </cell>
          <cell r="S1464" t="str">
            <v>Mobile</v>
          </cell>
          <cell r="T1464" t="str">
            <v>data analytics online</v>
          </cell>
        </row>
        <row r="1465">
          <cell r="A1465" t="str">
            <v>A2463</v>
          </cell>
          <cell r="B1465" t="str">
            <v>Data Analytcis Course</v>
          </cell>
          <cell r="C1465">
            <v>86</v>
          </cell>
          <cell r="D1465">
            <v>86</v>
          </cell>
          <cell r="E1465">
            <v>5652</v>
          </cell>
          <cell r="F1465">
            <v>5652</v>
          </cell>
          <cell r="G1465" t="str">
            <v>$249.13</v>
          </cell>
          <cell r="H1465" t="str">
            <v>$249.13</v>
          </cell>
          <cell r="I1465">
            <v>25</v>
          </cell>
          <cell r="J1465">
            <v>25</v>
          </cell>
          <cell r="K1465">
            <v>7</v>
          </cell>
          <cell r="L1465">
            <v>7</v>
          </cell>
          <cell r="M1465">
            <v>8.1395348837209308E-2</v>
          </cell>
          <cell r="N1465">
            <v>8.1000000000000003E-2</v>
          </cell>
          <cell r="O1465" t="str">
            <v>$1981</v>
          </cell>
          <cell r="P1465" t="str">
            <v>$1981</v>
          </cell>
          <cell r="Q1465">
            <v>45602</v>
          </cell>
          <cell r="R1465" t="str">
            <v>Hyderabad</v>
          </cell>
          <cell r="S1465" t="str">
            <v>Mobile</v>
          </cell>
          <cell r="T1465" t="str">
            <v>data analytics training</v>
          </cell>
        </row>
        <row r="1466">
          <cell r="A1466" t="str">
            <v>A2464</v>
          </cell>
          <cell r="B1466" t="str">
            <v>Data Analytics Course</v>
          </cell>
          <cell r="C1466">
            <v>138.95699356913184</v>
          </cell>
          <cell r="E1466">
            <v>5085</v>
          </cell>
          <cell r="F1466">
            <v>5085</v>
          </cell>
          <cell r="G1466" t="str">
            <v>$182.42</v>
          </cell>
          <cell r="H1466" t="str">
            <v>$182.42</v>
          </cell>
          <cell r="I1466">
            <v>11</v>
          </cell>
          <cell r="J1466">
            <v>11</v>
          </cell>
          <cell r="K1466">
            <v>7</v>
          </cell>
          <cell r="L1466">
            <v>7</v>
          </cell>
          <cell r="M1466">
            <v>5.0375298286210138E-2</v>
          </cell>
          <cell r="O1466" t="str">
            <v>$1109</v>
          </cell>
          <cell r="P1466" t="str">
            <v>$1109</v>
          </cell>
          <cell r="Q1466">
            <v>45600</v>
          </cell>
          <cell r="R1466" t="str">
            <v>Bangaluru</v>
          </cell>
          <cell r="S1466" t="str">
            <v>Desktop</v>
          </cell>
          <cell r="T1466" t="str">
            <v>online data analytic</v>
          </cell>
        </row>
        <row r="1467">
          <cell r="A1467" t="str">
            <v>A2465</v>
          </cell>
          <cell r="B1467" t="str">
            <v>Data Analytics Course</v>
          </cell>
          <cell r="C1467">
            <v>191</v>
          </cell>
          <cell r="D1467">
            <v>191</v>
          </cell>
          <cell r="E1467">
            <v>5070</v>
          </cell>
          <cell r="F1467">
            <v>5070</v>
          </cell>
          <cell r="G1467" t="str">
            <v>$247.41</v>
          </cell>
          <cell r="H1467" t="str">
            <v>$247.41</v>
          </cell>
          <cell r="I1467">
            <v>12</v>
          </cell>
          <cell r="J1467">
            <v>12</v>
          </cell>
          <cell r="K1467">
            <v>4</v>
          </cell>
          <cell r="L1467">
            <v>4</v>
          </cell>
          <cell r="M1467">
            <v>2.0942408376963352E-2</v>
          </cell>
          <cell r="O1467" t="str">
            <v>$1266</v>
          </cell>
          <cell r="P1467" t="str">
            <v>$1266</v>
          </cell>
          <cell r="Q1467">
            <v>45621</v>
          </cell>
          <cell r="R1467" t="str">
            <v>Hyderabad</v>
          </cell>
          <cell r="S1467" t="str">
            <v>Mobile</v>
          </cell>
          <cell r="T1467" t="str">
            <v>analytics for data</v>
          </cell>
        </row>
        <row r="1468">
          <cell r="A1468" t="str">
            <v>A2466</v>
          </cell>
          <cell r="B1468" t="str">
            <v>Data Analytcis Course</v>
          </cell>
          <cell r="C1468">
            <v>139</v>
          </cell>
          <cell r="D1468">
            <v>139</v>
          </cell>
          <cell r="E1468">
            <v>5879</v>
          </cell>
          <cell r="F1468">
            <v>5879</v>
          </cell>
          <cell r="G1468" t="str">
            <v>$197.9</v>
          </cell>
          <cell r="H1468" t="str">
            <v>$197.9</v>
          </cell>
          <cell r="I1468">
            <v>24</v>
          </cell>
          <cell r="J1468">
            <v>24</v>
          </cell>
          <cell r="K1468">
            <v>4</v>
          </cell>
          <cell r="L1468">
            <v>4</v>
          </cell>
          <cell r="M1468">
            <v>2.8776978417266189E-2</v>
          </cell>
          <cell r="N1468">
            <v>2.9000000000000001E-2</v>
          </cell>
          <cell r="O1468" t="str">
            <v>$1476</v>
          </cell>
          <cell r="P1468" t="str">
            <v>$1476</v>
          </cell>
          <cell r="Q1468">
            <v>45601</v>
          </cell>
          <cell r="R1468" t="str">
            <v>Hyderabad</v>
          </cell>
          <cell r="S1468" t="str">
            <v>Mobile</v>
          </cell>
          <cell r="T1468" t="str">
            <v>data analytics course</v>
          </cell>
        </row>
        <row r="1469">
          <cell r="A1469" t="str">
            <v>A2467</v>
          </cell>
          <cell r="B1469" t="str">
            <v>Data Analytics Course</v>
          </cell>
          <cell r="C1469">
            <v>197</v>
          </cell>
          <cell r="D1469">
            <v>197</v>
          </cell>
          <cell r="E1469">
            <v>3620</v>
          </cell>
          <cell r="F1469">
            <v>3620</v>
          </cell>
          <cell r="G1469" t="str">
            <v>$235.19</v>
          </cell>
          <cell r="H1469" t="str">
            <v>$235.19</v>
          </cell>
          <cell r="I1469">
            <v>18</v>
          </cell>
          <cell r="J1469">
            <v>18</v>
          </cell>
          <cell r="K1469">
            <v>7</v>
          </cell>
          <cell r="L1469">
            <v>7</v>
          </cell>
          <cell r="M1469">
            <v>3.553299492385787E-2</v>
          </cell>
          <cell r="N1469">
            <v>3.5999999999999997E-2</v>
          </cell>
          <cell r="O1469" t="str">
            <v>$1740</v>
          </cell>
          <cell r="P1469" t="str">
            <v>$1740</v>
          </cell>
          <cell r="Q1469">
            <v>45597</v>
          </cell>
          <cell r="R1469" t="str">
            <v>Bangaluru</v>
          </cell>
          <cell r="S1469" t="str">
            <v>Mobile</v>
          </cell>
          <cell r="T1469" t="str">
            <v>online data analytic</v>
          </cell>
        </row>
        <row r="1470">
          <cell r="A1470" t="str">
            <v>A2468</v>
          </cell>
          <cell r="B1470" t="str">
            <v>Data Analytics Course</v>
          </cell>
          <cell r="C1470">
            <v>116</v>
          </cell>
          <cell r="D1470">
            <v>116</v>
          </cell>
          <cell r="E1470">
            <v>4250</v>
          </cell>
          <cell r="F1470">
            <v>4250</v>
          </cell>
          <cell r="G1470" t="str">
            <v>$216.66</v>
          </cell>
          <cell r="H1470" t="str">
            <v>$216.66</v>
          </cell>
          <cell r="I1470">
            <v>10</v>
          </cell>
          <cell r="J1470">
            <v>10</v>
          </cell>
          <cell r="K1470">
            <v>9</v>
          </cell>
          <cell r="L1470">
            <v>9</v>
          </cell>
          <cell r="M1470">
            <v>7.7586206896551727E-2</v>
          </cell>
          <cell r="N1470">
            <v>7.8E-2</v>
          </cell>
          <cell r="O1470" t="str">
            <v>$1877</v>
          </cell>
          <cell r="P1470" t="str">
            <v>$1877</v>
          </cell>
          <cell r="Q1470">
            <v>45598</v>
          </cell>
          <cell r="R1470" t="str">
            <v>Chennai</v>
          </cell>
          <cell r="S1470" t="str">
            <v>Mobile</v>
          </cell>
          <cell r="T1470" t="str">
            <v>data analytics training</v>
          </cell>
        </row>
        <row r="1471">
          <cell r="A1471" t="str">
            <v>A2469</v>
          </cell>
          <cell r="B1471" t="str">
            <v>Data Analytics Course</v>
          </cell>
          <cell r="C1471">
            <v>192</v>
          </cell>
          <cell r="D1471">
            <v>192</v>
          </cell>
          <cell r="E1471">
            <v>4850</v>
          </cell>
          <cell r="F1471">
            <v>4850</v>
          </cell>
          <cell r="G1471" t="str">
            <v>$235.42</v>
          </cell>
          <cell r="H1471" t="str">
            <v>$235.42</v>
          </cell>
          <cell r="I1471">
            <v>22</v>
          </cell>
          <cell r="J1471">
            <v>22</v>
          </cell>
          <cell r="K1471">
            <v>10</v>
          </cell>
          <cell r="L1471">
            <v>10</v>
          </cell>
          <cell r="M1471">
            <v>5.2083333333333336E-2</v>
          </cell>
          <cell r="N1471">
            <v>5.1999999999999998E-2</v>
          </cell>
          <cell r="O1471" t="str">
            <v>$1124</v>
          </cell>
          <cell r="P1471" t="str">
            <v>$1124</v>
          </cell>
          <cell r="Q1471">
            <v>45610</v>
          </cell>
          <cell r="R1471" t="str">
            <v>Bangaluru</v>
          </cell>
          <cell r="S1471" t="str">
            <v>Desktop</v>
          </cell>
          <cell r="T1471" t="str">
            <v>analytics for data</v>
          </cell>
        </row>
        <row r="1472">
          <cell r="A1472" t="str">
            <v>A2470</v>
          </cell>
          <cell r="B1472" t="str">
            <v>Data Analytics Course</v>
          </cell>
          <cell r="C1472">
            <v>118</v>
          </cell>
          <cell r="D1472">
            <v>118</v>
          </cell>
          <cell r="E1472">
            <v>3815</v>
          </cell>
          <cell r="F1472">
            <v>3815</v>
          </cell>
          <cell r="G1472" t="str">
            <v>$185.78</v>
          </cell>
          <cell r="H1472" t="str">
            <v>$185.78</v>
          </cell>
          <cell r="I1472">
            <v>16</v>
          </cell>
          <cell r="J1472">
            <v>16</v>
          </cell>
          <cell r="K1472">
            <v>4</v>
          </cell>
          <cell r="L1472">
            <v>4</v>
          </cell>
          <cell r="M1472">
            <v>3.3898305084745763E-2</v>
          </cell>
          <cell r="O1472" t="str">
            <v>$1093</v>
          </cell>
          <cell r="P1472" t="str">
            <v>$1093</v>
          </cell>
          <cell r="Q1472">
            <v>45613</v>
          </cell>
          <cell r="R1472" t="str">
            <v>Hyderabad</v>
          </cell>
          <cell r="S1472" t="str">
            <v>Desktop</v>
          </cell>
          <cell r="T1472" t="str">
            <v>data analytics online</v>
          </cell>
        </row>
        <row r="1473">
          <cell r="A1473" t="str">
            <v>A2471</v>
          </cell>
          <cell r="B1473" t="str">
            <v>Data Analytics Course</v>
          </cell>
          <cell r="C1473">
            <v>172</v>
          </cell>
          <cell r="D1473">
            <v>172</v>
          </cell>
          <cell r="E1473">
            <v>5741</v>
          </cell>
          <cell r="F1473">
            <v>5741</v>
          </cell>
          <cell r="G1473" t="str">
            <v>$198.44</v>
          </cell>
          <cell r="H1473" t="str">
            <v>$198.44</v>
          </cell>
          <cell r="I1473">
            <v>14</v>
          </cell>
          <cell r="J1473">
            <v>14</v>
          </cell>
          <cell r="K1473">
            <v>4</v>
          </cell>
          <cell r="L1473">
            <v>4</v>
          </cell>
          <cell r="M1473">
            <v>2.3255813953488372E-2</v>
          </cell>
          <cell r="N1473">
            <v>2.3E-2</v>
          </cell>
          <cell r="O1473" t="str">
            <v>$1755</v>
          </cell>
          <cell r="P1473" t="str">
            <v>$1755</v>
          </cell>
          <cell r="Q1473">
            <v>45607</v>
          </cell>
          <cell r="R1473" t="str">
            <v>Chennai</v>
          </cell>
          <cell r="S1473" t="str">
            <v>Desktop</v>
          </cell>
          <cell r="T1473" t="str">
            <v>analytics for data</v>
          </cell>
        </row>
        <row r="1474">
          <cell r="A1474" t="str">
            <v>A2472</v>
          </cell>
          <cell r="B1474" t="str">
            <v>Data Analytics Course</v>
          </cell>
          <cell r="C1474">
            <v>174</v>
          </cell>
          <cell r="D1474">
            <v>174</v>
          </cell>
          <cell r="E1474">
            <v>4272</v>
          </cell>
          <cell r="F1474">
            <v>4272</v>
          </cell>
          <cell r="G1474" t="str">
            <v>$240.77</v>
          </cell>
          <cell r="H1474" t="str">
            <v>$240.77</v>
          </cell>
          <cell r="I1474">
            <v>16</v>
          </cell>
          <cell r="J1474">
            <v>16</v>
          </cell>
          <cell r="K1474">
            <v>7</v>
          </cell>
          <cell r="L1474">
            <v>7</v>
          </cell>
          <cell r="M1474">
            <v>4.0229885057471264E-2</v>
          </cell>
          <cell r="N1474">
            <v>4.1000000000000002E-2</v>
          </cell>
          <cell r="O1474" t="str">
            <v>$1004</v>
          </cell>
          <cell r="P1474" t="str">
            <v>$1004</v>
          </cell>
          <cell r="Q1474">
            <v>45619</v>
          </cell>
          <cell r="R1474" t="str">
            <v>Bangaluru</v>
          </cell>
          <cell r="S1474" t="str">
            <v>Desktop</v>
          </cell>
          <cell r="T1474" t="str">
            <v>learn data analytics</v>
          </cell>
        </row>
        <row r="1475">
          <cell r="A1475" t="str">
            <v>A2473</v>
          </cell>
          <cell r="B1475" t="str">
            <v>Data Analytics Course</v>
          </cell>
          <cell r="C1475">
            <v>175</v>
          </cell>
          <cell r="D1475">
            <v>175</v>
          </cell>
          <cell r="E1475">
            <v>4974</v>
          </cell>
          <cell r="F1475">
            <v>4974</v>
          </cell>
          <cell r="G1475" t="str">
            <v>$182.22</v>
          </cell>
          <cell r="H1475" t="str">
            <v>$182.22</v>
          </cell>
          <cell r="I1475">
            <v>21</v>
          </cell>
          <cell r="J1475">
            <v>21</v>
          </cell>
          <cell r="K1475">
            <v>5</v>
          </cell>
          <cell r="L1475">
            <v>5</v>
          </cell>
          <cell r="M1475">
            <v>2.8571428571428571E-2</v>
          </cell>
          <cell r="O1475" t="str">
            <v>$1300</v>
          </cell>
          <cell r="P1475" t="str">
            <v>$1300</v>
          </cell>
          <cell r="Q1475">
            <v>45619</v>
          </cell>
          <cell r="R1475" t="str">
            <v>Chennai</v>
          </cell>
          <cell r="S1475" t="str">
            <v>Mobile</v>
          </cell>
          <cell r="T1475" t="str">
            <v>learn data analytics</v>
          </cell>
        </row>
        <row r="1476">
          <cell r="A1476" t="str">
            <v>A2474</v>
          </cell>
          <cell r="B1476" t="str">
            <v>Data Analytcis Course</v>
          </cell>
          <cell r="C1476">
            <v>138.95699356913184</v>
          </cell>
          <cell r="E1476">
            <v>3215</v>
          </cell>
          <cell r="F1476">
            <v>3215</v>
          </cell>
          <cell r="G1476" t="str">
            <v>$191.22</v>
          </cell>
          <cell r="H1476" t="str">
            <v>$191.22</v>
          </cell>
          <cell r="I1476">
            <v>30</v>
          </cell>
          <cell r="J1476">
            <v>30</v>
          </cell>
          <cell r="K1476">
            <v>7</v>
          </cell>
          <cell r="L1476">
            <v>7</v>
          </cell>
          <cell r="M1476">
            <v>5.0375298286210138E-2</v>
          </cell>
          <cell r="O1476" t="str">
            <v>$1588</v>
          </cell>
          <cell r="P1476" t="str">
            <v>$1588</v>
          </cell>
          <cell r="Q1476">
            <v>45619</v>
          </cell>
          <cell r="R1476" t="str">
            <v>Hyderabad</v>
          </cell>
          <cell r="S1476" t="str">
            <v>Desktop</v>
          </cell>
          <cell r="T1476" t="str">
            <v>analytics for data</v>
          </cell>
        </row>
        <row r="1477">
          <cell r="A1477" t="str">
            <v>A2475</v>
          </cell>
          <cell r="B1477" t="str">
            <v>Data Analytics Course</v>
          </cell>
          <cell r="C1477">
            <v>138.95699356913184</v>
          </cell>
          <cell r="E1477">
            <v>3723</v>
          </cell>
          <cell r="F1477">
            <v>3723</v>
          </cell>
          <cell r="G1477" t="str">
            <v>$201.32</v>
          </cell>
          <cell r="H1477" t="str">
            <v>$201.32</v>
          </cell>
          <cell r="I1477">
            <v>21</v>
          </cell>
          <cell r="J1477">
            <v>21</v>
          </cell>
          <cell r="K1477">
            <v>8</v>
          </cell>
          <cell r="L1477">
            <v>8</v>
          </cell>
          <cell r="M1477">
            <v>5.7571769469954438E-2</v>
          </cell>
          <cell r="O1477" t="str">
            <v>$1500</v>
          </cell>
          <cell r="Q1477">
            <v>45602</v>
          </cell>
          <cell r="R1477" t="str">
            <v>Chennai</v>
          </cell>
          <cell r="S1477" t="str">
            <v>Tablet</v>
          </cell>
          <cell r="T1477" t="str">
            <v>data analytics course</v>
          </cell>
        </row>
        <row r="1478">
          <cell r="A1478" t="str">
            <v>A2476</v>
          </cell>
          <cell r="B1478" t="str">
            <v>Data Analytcis Course</v>
          </cell>
          <cell r="C1478">
            <v>103</v>
          </cell>
          <cell r="D1478">
            <v>103</v>
          </cell>
          <cell r="E1478">
            <v>4670</v>
          </cell>
          <cell r="F1478">
            <v>4670</v>
          </cell>
          <cell r="G1478" t="str">
            <v>$203.4</v>
          </cell>
          <cell r="H1478" t="str">
            <v>$203.4</v>
          </cell>
          <cell r="I1478">
            <v>21</v>
          </cell>
          <cell r="J1478">
            <v>21</v>
          </cell>
          <cell r="K1478">
            <v>4</v>
          </cell>
          <cell r="L1478">
            <v>4</v>
          </cell>
          <cell r="M1478">
            <v>3.8834951456310676E-2</v>
          </cell>
          <cell r="O1478" t="str">
            <v>$1562</v>
          </cell>
          <cell r="P1478" t="str">
            <v>$1562</v>
          </cell>
          <cell r="Q1478">
            <v>45621</v>
          </cell>
          <cell r="R1478" t="str">
            <v>Hyderabad</v>
          </cell>
          <cell r="S1478" t="str">
            <v>Mobile</v>
          </cell>
          <cell r="T1478" t="str">
            <v>analytics for data</v>
          </cell>
        </row>
        <row r="1479">
          <cell r="A1479" t="str">
            <v>A2477</v>
          </cell>
          <cell r="B1479" t="str">
            <v>Data Analytcis Course</v>
          </cell>
          <cell r="C1479">
            <v>187</v>
          </cell>
          <cell r="D1479">
            <v>187</v>
          </cell>
          <cell r="E1479">
            <v>4474</v>
          </cell>
          <cell r="F1479">
            <v>4474</v>
          </cell>
          <cell r="G1479" t="str">
            <v>$182.47</v>
          </cell>
          <cell r="H1479" t="str">
            <v>$182.47</v>
          </cell>
          <cell r="I1479">
            <v>10</v>
          </cell>
          <cell r="J1479">
            <v>10</v>
          </cell>
          <cell r="K1479">
            <v>6.5641735918744226</v>
          </cell>
          <cell r="M1479">
            <v>3.5102532576868573E-2</v>
          </cell>
          <cell r="O1479" t="str">
            <v>$1768</v>
          </cell>
          <cell r="P1479" t="str">
            <v>$1768</v>
          </cell>
          <cell r="Q1479">
            <v>45609</v>
          </cell>
          <cell r="R1479" t="str">
            <v>Hyderabad</v>
          </cell>
          <cell r="S1479" t="str">
            <v>Tablet</v>
          </cell>
          <cell r="T1479" t="str">
            <v>online data analytic</v>
          </cell>
        </row>
        <row r="1480">
          <cell r="A1480" t="str">
            <v>A2478</v>
          </cell>
          <cell r="B1480" t="str">
            <v>Data Analytcis Course</v>
          </cell>
          <cell r="C1480">
            <v>138.95699356913184</v>
          </cell>
          <cell r="E1480">
            <v>3009</v>
          </cell>
          <cell r="F1480">
            <v>3009</v>
          </cell>
          <cell r="G1480" t="str">
            <v>$195.17</v>
          </cell>
          <cell r="H1480" t="str">
            <v>$195.17</v>
          </cell>
          <cell r="I1480">
            <v>20.136446886446887</v>
          </cell>
          <cell r="K1480">
            <v>6</v>
          </cell>
          <cell r="L1480">
            <v>6</v>
          </cell>
          <cell r="M1480">
            <v>4.317882710246583E-2</v>
          </cell>
          <cell r="O1480" t="str">
            <v>$1083</v>
          </cell>
          <cell r="P1480" t="str">
            <v>$1083</v>
          </cell>
          <cell r="Q1480">
            <v>45619</v>
          </cell>
          <cell r="R1480" t="str">
            <v>Chennai</v>
          </cell>
          <cell r="S1480" t="str">
            <v>Tablet</v>
          </cell>
          <cell r="T1480" t="str">
            <v>data analytics online</v>
          </cell>
        </row>
        <row r="1481">
          <cell r="A1481" t="str">
            <v>A2479</v>
          </cell>
          <cell r="B1481" t="str">
            <v>Data Analytcis Course</v>
          </cell>
          <cell r="C1481">
            <v>109</v>
          </cell>
          <cell r="D1481">
            <v>109</v>
          </cell>
          <cell r="E1481">
            <v>3933</v>
          </cell>
          <cell r="F1481">
            <v>3933</v>
          </cell>
          <cell r="G1481" t="str">
            <v>$189.73</v>
          </cell>
          <cell r="H1481" t="str">
            <v>$189.73</v>
          </cell>
          <cell r="I1481">
            <v>11</v>
          </cell>
          <cell r="J1481">
            <v>11</v>
          </cell>
          <cell r="K1481">
            <v>4</v>
          </cell>
          <cell r="L1481">
            <v>4</v>
          </cell>
          <cell r="M1481">
            <v>3.669724770642202E-2</v>
          </cell>
          <cell r="O1481" t="str">
            <v>$1700</v>
          </cell>
          <cell r="P1481" t="str">
            <v>$1700</v>
          </cell>
          <cell r="Q1481">
            <v>45603</v>
          </cell>
          <cell r="R1481" t="str">
            <v>Hyderabad</v>
          </cell>
          <cell r="S1481" t="str">
            <v>Desktop</v>
          </cell>
          <cell r="T1481" t="str">
            <v>data analytics online</v>
          </cell>
        </row>
        <row r="1482">
          <cell r="A1482" t="str">
            <v>A2480</v>
          </cell>
          <cell r="B1482" t="str">
            <v>Data Analytics Course</v>
          </cell>
          <cell r="C1482">
            <v>118</v>
          </cell>
          <cell r="D1482">
            <v>118</v>
          </cell>
          <cell r="E1482">
            <v>4360</v>
          </cell>
          <cell r="F1482">
            <v>4360</v>
          </cell>
          <cell r="G1482" t="str">
            <v>$232.09</v>
          </cell>
          <cell r="H1482" t="str">
            <v>$232.09</v>
          </cell>
          <cell r="I1482">
            <v>10</v>
          </cell>
          <cell r="J1482">
            <v>10</v>
          </cell>
          <cell r="K1482">
            <v>9</v>
          </cell>
          <cell r="L1482">
            <v>9</v>
          </cell>
          <cell r="M1482">
            <v>7.6271186440677971E-2</v>
          </cell>
          <cell r="N1482">
            <v>7.5999999999999998E-2</v>
          </cell>
          <cell r="O1482" t="str">
            <v>$1252</v>
          </cell>
          <cell r="P1482" t="str">
            <v>$1252</v>
          </cell>
          <cell r="Q1482">
            <v>45609</v>
          </cell>
          <cell r="R1482" t="str">
            <v>Hyderabad</v>
          </cell>
          <cell r="S1482" t="str">
            <v>Desktop</v>
          </cell>
          <cell r="T1482" t="str">
            <v>data analytics training</v>
          </cell>
        </row>
        <row r="1483">
          <cell r="A1483" t="str">
            <v>A2481</v>
          </cell>
          <cell r="B1483" t="str">
            <v>Data Analytics Course</v>
          </cell>
          <cell r="C1483">
            <v>164</v>
          </cell>
          <cell r="D1483">
            <v>164</v>
          </cell>
          <cell r="E1483">
            <v>5120</v>
          </cell>
          <cell r="F1483">
            <v>5120</v>
          </cell>
          <cell r="G1483" t="str">
            <v>$185.69</v>
          </cell>
          <cell r="H1483" t="str">
            <v>$185.69</v>
          </cell>
          <cell r="I1483">
            <v>10</v>
          </cell>
          <cell r="J1483">
            <v>10</v>
          </cell>
          <cell r="K1483">
            <v>5</v>
          </cell>
          <cell r="L1483">
            <v>5</v>
          </cell>
          <cell r="M1483">
            <v>3.048780487804878E-2</v>
          </cell>
          <cell r="N1483">
            <v>3.1E-2</v>
          </cell>
          <cell r="O1483" t="str">
            <v>$1597</v>
          </cell>
          <cell r="P1483" t="str">
            <v>$1597</v>
          </cell>
          <cell r="Q1483">
            <v>45619</v>
          </cell>
          <cell r="R1483" t="str">
            <v>Hyderabad</v>
          </cell>
          <cell r="S1483" t="str">
            <v>Tablet</v>
          </cell>
          <cell r="T1483" t="str">
            <v>analytics for data</v>
          </cell>
        </row>
        <row r="1484">
          <cell r="A1484" t="str">
            <v>A2482</v>
          </cell>
          <cell r="B1484" t="str">
            <v>Data Analytics Course</v>
          </cell>
          <cell r="C1484">
            <v>166</v>
          </cell>
          <cell r="D1484">
            <v>166</v>
          </cell>
          <cell r="E1484">
            <v>3887</v>
          </cell>
          <cell r="F1484">
            <v>3887</v>
          </cell>
          <cell r="G1484" t="str">
            <v>$192.0</v>
          </cell>
          <cell r="H1484" t="str">
            <v>$192.0</v>
          </cell>
          <cell r="I1484">
            <v>24</v>
          </cell>
          <cell r="J1484">
            <v>24</v>
          </cell>
          <cell r="K1484">
            <v>9</v>
          </cell>
          <cell r="L1484">
            <v>9</v>
          </cell>
          <cell r="M1484">
            <v>5.4216867469879519E-2</v>
          </cell>
          <cell r="N1484">
            <v>5.3999999999999999E-2</v>
          </cell>
          <cell r="O1484" t="str">
            <v>$1890</v>
          </cell>
          <cell r="P1484" t="str">
            <v>$1890</v>
          </cell>
          <cell r="Q1484">
            <v>45609</v>
          </cell>
          <cell r="R1484" t="str">
            <v>Chennai</v>
          </cell>
          <cell r="S1484" t="str">
            <v>Tablet</v>
          </cell>
          <cell r="T1484" t="str">
            <v>data analytics course</v>
          </cell>
        </row>
        <row r="1485">
          <cell r="A1485" t="str">
            <v>A2483</v>
          </cell>
          <cell r="B1485" t="str">
            <v>Data Analytcis Course</v>
          </cell>
          <cell r="C1485">
            <v>88</v>
          </cell>
          <cell r="D1485">
            <v>88</v>
          </cell>
          <cell r="E1485">
            <v>3909</v>
          </cell>
          <cell r="F1485">
            <v>3909</v>
          </cell>
          <cell r="G1485" t="str">
            <v>$189.57</v>
          </cell>
          <cell r="H1485" t="str">
            <v>$189.57</v>
          </cell>
          <cell r="I1485">
            <v>30</v>
          </cell>
          <cell r="J1485">
            <v>30</v>
          </cell>
          <cell r="K1485">
            <v>10</v>
          </cell>
          <cell r="L1485">
            <v>10</v>
          </cell>
          <cell r="M1485">
            <v>0.11363636363636363</v>
          </cell>
          <cell r="N1485">
            <v>0.114</v>
          </cell>
          <cell r="O1485" t="str">
            <v>$1750</v>
          </cell>
          <cell r="P1485" t="str">
            <v>$1750</v>
          </cell>
          <cell r="Q1485">
            <v>45625</v>
          </cell>
          <cell r="R1485" t="str">
            <v>Chennai</v>
          </cell>
          <cell r="S1485" t="str">
            <v>Desktop</v>
          </cell>
          <cell r="T1485" t="str">
            <v>data analytics training</v>
          </cell>
        </row>
        <row r="1486">
          <cell r="A1486" t="str">
            <v>A2484</v>
          </cell>
          <cell r="B1486" t="str">
            <v>Data Analytics Course</v>
          </cell>
          <cell r="C1486">
            <v>125</v>
          </cell>
          <cell r="D1486">
            <v>125</v>
          </cell>
          <cell r="E1486">
            <v>3017</v>
          </cell>
          <cell r="F1486">
            <v>3017</v>
          </cell>
          <cell r="G1486" t="str">
            <v>$232.51</v>
          </cell>
          <cell r="H1486" t="str">
            <v>$232.51</v>
          </cell>
          <cell r="I1486">
            <v>14</v>
          </cell>
          <cell r="J1486">
            <v>14</v>
          </cell>
          <cell r="K1486">
            <v>7</v>
          </cell>
          <cell r="L1486">
            <v>7</v>
          </cell>
          <cell r="M1486">
            <v>5.6000000000000001E-2</v>
          </cell>
          <cell r="O1486" t="str">
            <v>$1510</v>
          </cell>
          <cell r="P1486" t="str">
            <v>$1510</v>
          </cell>
          <cell r="Q1486">
            <v>45604</v>
          </cell>
          <cell r="R1486" t="str">
            <v>Chennai</v>
          </cell>
          <cell r="S1486" t="str">
            <v>Tablet</v>
          </cell>
          <cell r="T1486" t="str">
            <v>data analytics training</v>
          </cell>
        </row>
        <row r="1487">
          <cell r="A1487" t="str">
            <v>A2485</v>
          </cell>
          <cell r="B1487" t="str">
            <v>Data Analytics Course</v>
          </cell>
          <cell r="C1487">
            <v>138.95699356913184</v>
          </cell>
          <cell r="E1487">
            <v>5127</v>
          </cell>
          <cell r="F1487">
            <v>5127</v>
          </cell>
          <cell r="G1487" t="str">
            <v>$206.95</v>
          </cell>
          <cell r="H1487" t="str">
            <v>$206.95</v>
          </cell>
          <cell r="I1487">
            <v>26</v>
          </cell>
          <cell r="J1487">
            <v>26</v>
          </cell>
          <cell r="K1487">
            <v>5</v>
          </cell>
          <cell r="L1487">
            <v>5</v>
          </cell>
          <cell r="M1487">
            <v>3.5982355918721523E-2</v>
          </cell>
          <cell r="O1487" t="str">
            <v>$1902</v>
          </cell>
          <cell r="P1487" t="str">
            <v>$1902</v>
          </cell>
          <cell r="Q1487">
            <v>45613</v>
          </cell>
          <cell r="R1487" t="str">
            <v>Bangaluru</v>
          </cell>
          <cell r="S1487" t="str">
            <v>Desktop</v>
          </cell>
          <cell r="T1487" t="str">
            <v>online data analytic</v>
          </cell>
        </row>
        <row r="1488">
          <cell r="A1488" t="str">
            <v>A2486</v>
          </cell>
          <cell r="B1488" t="str">
            <v>Data Analytics Course</v>
          </cell>
          <cell r="C1488">
            <v>151</v>
          </cell>
          <cell r="D1488">
            <v>151</v>
          </cell>
          <cell r="E1488">
            <v>3992</v>
          </cell>
          <cell r="F1488">
            <v>3992</v>
          </cell>
          <cell r="G1488" t="str">
            <v>$212.42</v>
          </cell>
          <cell r="H1488" t="str">
            <v>$212.42</v>
          </cell>
          <cell r="I1488">
            <v>10</v>
          </cell>
          <cell r="J1488">
            <v>10</v>
          </cell>
          <cell r="K1488">
            <v>9</v>
          </cell>
          <cell r="L1488">
            <v>9</v>
          </cell>
          <cell r="M1488">
            <v>5.9602649006622516E-2</v>
          </cell>
          <cell r="N1488">
            <v>0.06</v>
          </cell>
          <cell r="O1488" t="str">
            <v>$1890</v>
          </cell>
          <cell r="P1488" t="str">
            <v>$1890</v>
          </cell>
          <cell r="Q1488">
            <v>45622</v>
          </cell>
          <cell r="R1488" t="str">
            <v>Bangaluru</v>
          </cell>
          <cell r="S1488" t="str">
            <v>Tablet</v>
          </cell>
          <cell r="T1488" t="str">
            <v>learn data analytics</v>
          </cell>
        </row>
        <row r="1489">
          <cell r="A1489" t="str">
            <v>A2487</v>
          </cell>
          <cell r="B1489" t="str">
            <v>Data Analytics Course</v>
          </cell>
          <cell r="C1489">
            <v>182</v>
          </cell>
          <cell r="D1489">
            <v>182</v>
          </cell>
          <cell r="E1489">
            <v>3554</v>
          </cell>
          <cell r="F1489">
            <v>3554</v>
          </cell>
          <cell r="G1489" t="str">
            <v>$181.74</v>
          </cell>
          <cell r="H1489" t="str">
            <v>$181.74</v>
          </cell>
          <cell r="I1489">
            <v>18</v>
          </cell>
          <cell r="J1489">
            <v>18</v>
          </cell>
          <cell r="K1489">
            <v>4</v>
          </cell>
          <cell r="L1489">
            <v>4</v>
          </cell>
          <cell r="M1489">
            <v>2.197802197802198E-2</v>
          </cell>
          <cell r="N1489">
            <v>2.1999999999999999E-2</v>
          </cell>
          <cell r="O1489" t="str">
            <v>$1933</v>
          </cell>
          <cell r="P1489" t="str">
            <v>$1933</v>
          </cell>
          <cell r="Q1489">
            <v>45598</v>
          </cell>
          <cell r="R1489" t="str">
            <v>Hyderabad</v>
          </cell>
          <cell r="S1489" t="str">
            <v>Tablet</v>
          </cell>
          <cell r="T1489" t="str">
            <v>learn data analytics</v>
          </cell>
        </row>
        <row r="1490">
          <cell r="A1490" t="str">
            <v>A2488</v>
          </cell>
          <cell r="B1490" t="str">
            <v>Data Analytcis Course</v>
          </cell>
          <cell r="C1490">
            <v>84</v>
          </cell>
          <cell r="D1490">
            <v>84</v>
          </cell>
          <cell r="E1490">
            <v>4051</v>
          </cell>
          <cell r="F1490">
            <v>4051</v>
          </cell>
          <cell r="G1490" t="str">
            <v>$196.83</v>
          </cell>
          <cell r="H1490" t="str">
            <v>$196.83</v>
          </cell>
          <cell r="I1490">
            <v>21</v>
          </cell>
          <cell r="J1490">
            <v>21</v>
          </cell>
          <cell r="K1490">
            <v>4</v>
          </cell>
          <cell r="L1490">
            <v>4</v>
          </cell>
          <cell r="M1490">
            <v>4.7619047619047616E-2</v>
          </cell>
          <cell r="N1490">
            <v>4.8000000000000001E-2</v>
          </cell>
          <cell r="O1490" t="str">
            <v>$1094</v>
          </cell>
          <cell r="P1490" t="str">
            <v>$1094</v>
          </cell>
          <cell r="Q1490">
            <v>45610</v>
          </cell>
          <cell r="R1490" t="str">
            <v>Hyderabad</v>
          </cell>
          <cell r="S1490" t="str">
            <v>Mobile</v>
          </cell>
          <cell r="T1490" t="str">
            <v>online data analytic</v>
          </cell>
        </row>
        <row r="1491">
          <cell r="A1491" t="str">
            <v>A2489</v>
          </cell>
          <cell r="B1491" t="str">
            <v>Data Analytics Course</v>
          </cell>
          <cell r="C1491">
            <v>127</v>
          </cell>
          <cell r="D1491">
            <v>127</v>
          </cell>
          <cell r="E1491">
            <v>3541</v>
          </cell>
          <cell r="F1491">
            <v>3541</v>
          </cell>
          <cell r="G1491" t="str">
            <v>$239.47</v>
          </cell>
          <cell r="H1491" t="str">
            <v>$239.47</v>
          </cell>
          <cell r="I1491">
            <v>16</v>
          </cell>
          <cell r="J1491">
            <v>16</v>
          </cell>
          <cell r="K1491">
            <v>10</v>
          </cell>
          <cell r="L1491">
            <v>10</v>
          </cell>
          <cell r="M1491">
            <v>7.874015748031496E-2</v>
          </cell>
          <cell r="N1491">
            <v>7.9000000000000001E-2</v>
          </cell>
          <cell r="O1491" t="str">
            <v>$1474</v>
          </cell>
          <cell r="P1491" t="str">
            <v>$1474</v>
          </cell>
          <cell r="Q1491">
            <v>45621</v>
          </cell>
          <cell r="R1491" t="str">
            <v>Chennai</v>
          </cell>
          <cell r="S1491" t="str">
            <v>Tablet</v>
          </cell>
          <cell r="T1491" t="str">
            <v>data analytics training</v>
          </cell>
        </row>
        <row r="1492">
          <cell r="A1492" t="str">
            <v>A2490</v>
          </cell>
          <cell r="B1492" t="str">
            <v>Data Analytics Course</v>
          </cell>
          <cell r="C1492">
            <v>104</v>
          </cell>
          <cell r="D1492">
            <v>104</v>
          </cell>
          <cell r="E1492">
            <v>5878</v>
          </cell>
          <cell r="F1492">
            <v>5878</v>
          </cell>
          <cell r="G1492" t="str">
            <v>$228.79</v>
          </cell>
          <cell r="H1492" t="str">
            <v>$228.79</v>
          </cell>
          <cell r="I1492">
            <v>21</v>
          </cell>
          <cell r="J1492">
            <v>21</v>
          </cell>
          <cell r="K1492">
            <v>3</v>
          </cell>
          <cell r="L1492">
            <v>3</v>
          </cell>
          <cell r="M1492">
            <v>2.8846153846153848E-2</v>
          </cell>
          <cell r="N1492">
            <v>0.05</v>
          </cell>
          <cell r="O1492" t="str">
            <v>$1101</v>
          </cell>
          <cell r="P1492" t="str">
            <v>$1101</v>
          </cell>
          <cell r="Q1492">
            <v>45601</v>
          </cell>
          <cell r="R1492" t="str">
            <v>Chennai</v>
          </cell>
          <cell r="S1492" t="str">
            <v>Mobile</v>
          </cell>
          <cell r="T1492" t="str">
            <v>data analytics course</v>
          </cell>
        </row>
        <row r="1493">
          <cell r="A1493" t="str">
            <v>A2491</v>
          </cell>
          <cell r="B1493" t="str">
            <v>Data Analytics Course</v>
          </cell>
          <cell r="C1493">
            <v>161</v>
          </cell>
          <cell r="D1493">
            <v>161</v>
          </cell>
          <cell r="E1493">
            <v>4611</v>
          </cell>
          <cell r="F1493">
            <v>4611</v>
          </cell>
          <cell r="G1493" t="str">
            <v>$228.34</v>
          </cell>
          <cell r="H1493" t="str">
            <v>$228.34</v>
          </cell>
          <cell r="I1493">
            <v>26</v>
          </cell>
          <cell r="J1493">
            <v>26</v>
          </cell>
          <cell r="K1493">
            <v>7</v>
          </cell>
          <cell r="L1493">
            <v>7</v>
          </cell>
          <cell r="M1493">
            <v>4.3478260869565216E-2</v>
          </cell>
          <cell r="N1493">
            <v>4.2999999999999997E-2</v>
          </cell>
          <cell r="O1493" t="str">
            <v>$1473</v>
          </cell>
          <cell r="P1493" t="str">
            <v>$1473</v>
          </cell>
          <cell r="Q1493">
            <v>45621</v>
          </cell>
          <cell r="R1493" t="str">
            <v>Bangaluru</v>
          </cell>
          <cell r="S1493" t="str">
            <v>Tablet</v>
          </cell>
          <cell r="T1493" t="str">
            <v>data analytics online</v>
          </cell>
        </row>
        <row r="1494">
          <cell r="A1494" t="str">
            <v>A2492</v>
          </cell>
          <cell r="B1494" t="str">
            <v>Data Analytics Course</v>
          </cell>
          <cell r="C1494">
            <v>141</v>
          </cell>
          <cell r="D1494">
            <v>141</v>
          </cell>
          <cell r="E1494">
            <v>4764</v>
          </cell>
          <cell r="F1494">
            <v>4764</v>
          </cell>
          <cell r="G1494" t="str">
            <v>$187.72</v>
          </cell>
          <cell r="H1494" t="str">
            <v>$187.72</v>
          </cell>
          <cell r="I1494">
            <v>28</v>
          </cell>
          <cell r="J1494">
            <v>28</v>
          </cell>
          <cell r="K1494">
            <v>4</v>
          </cell>
          <cell r="L1494">
            <v>4</v>
          </cell>
          <cell r="M1494">
            <v>2.8368794326241134E-2</v>
          </cell>
          <cell r="N1494">
            <v>2.8000000000000001E-2</v>
          </cell>
          <cell r="O1494" t="str">
            <v>$1428</v>
          </cell>
          <cell r="P1494" t="str">
            <v>$1428</v>
          </cell>
          <cell r="Q1494">
            <v>45612</v>
          </cell>
          <cell r="R1494" t="str">
            <v>Bangaluru</v>
          </cell>
          <cell r="S1494" t="str">
            <v>Mobile</v>
          </cell>
          <cell r="T1494" t="str">
            <v>analytics for data</v>
          </cell>
        </row>
        <row r="1495">
          <cell r="A1495" t="str">
            <v>A2493</v>
          </cell>
          <cell r="B1495" t="str">
            <v>Data Analytcis Course</v>
          </cell>
          <cell r="C1495">
            <v>186</v>
          </cell>
          <cell r="D1495">
            <v>186</v>
          </cell>
          <cell r="E1495">
            <v>4603</v>
          </cell>
          <cell r="F1495">
            <v>4603</v>
          </cell>
          <cell r="G1495" t="str">
            <v>$191.84</v>
          </cell>
          <cell r="H1495" t="str">
            <v>$191.84</v>
          </cell>
          <cell r="I1495">
            <v>26</v>
          </cell>
          <cell r="J1495">
            <v>26</v>
          </cell>
          <cell r="K1495">
            <v>9</v>
          </cell>
          <cell r="L1495">
            <v>9</v>
          </cell>
          <cell r="M1495">
            <v>4.8387096774193547E-2</v>
          </cell>
          <cell r="N1495">
            <v>4.7E-2</v>
          </cell>
          <cell r="O1495" t="str">
            <v>$1918</v>
          </cell>
          <cell r="P1495" t="str">
            <v>$1918</v>
          </cell>
          <cell r="Q1495">
            <v>45603</v>
          </cell>
          <cell r="R1495" t="str">
            <v>Hyderabad</v>
          </cell>
          <cell r="S1495" t="str">
            <v>Desktop</v>
          </cell>
          <cell r="T1495" t="str">
            <v>learn data analytics</v>
          </cell>
        </row>
        <row r="1496">
          <cell r="A1496" t="str">
            <v>A2494</v>
          </cell>
          <cell r="B1496" t="str">
            <v>Data Analytics Course</v>
          </cell>
          <cell r="C1496">
            <v>138.95699356913184</v>
          </cell>
          <cell r="E1496">
            <v>5003</v>
          </cell>
          <cell r="F1496">
            <v>5003</v>
          </cell>
          <cell r="G1496" t="str">
            <v>$195.4</v>
          </cell>
          <cell r="H1496" t="str">
            <v>$195.4</v>
          </cell>
          <cell r="I1496">
            <v>15</v>
          </cell>
          <cell r="J1496">
            <v>15</v>
          </cell>
          <cell r="K1496">
            <v>7</v>
          </cell>
          <cell r="L1496">
            <v>7</v>
          </cell>
          <cell r="M1496">
            <v>5.0375298286210138E-2</v>
          </cell>
          <cell r="O1496" t="str">
            <v>$1273</v>
          </cell>
          <cell r="P1496" t="str">
            <v>$1273</v>
          </cell>
          <cell r="Q1496">
            <v>45614</v>
          </cell>
          <cell r="R1496" t="str">
            <v>Chennai</v>
          </cell>
          <cell r="S1496" t="str">
            <v>Desktop</v>
          </cell>
          <cell r="T1496" t="str">
            <v>data analytics training</v>
          </cell>
        </row>
        <row r="1497">
          <cell r="A1497" t="str">
            <v>A2495</v>
          </cell>
          <cell r="B1497" t="str">
            <v>Data Analytics Course</v>
          </cell>
          <cell r="C1497">
            <v>124</v>
          </cell>
          <cell r="D1497">
            <v>124</v>
          </cell>
          <cell r="E1497">
            <v>5212</v>
          </cell>
          <cell r="F1497">
            <v>5212</v>
          </cell>
          <cell r="G1497" t="str">
            <v>$190.83</v>
          </cell>
          <cell r="H1497" t="str">
            <v>$190.83</v>
          </cell>
          <cell r="I1497">
            <v>13</v>
          </cell>
          <cell r="J1497">
            <v>13</v>
          </cell>
          <cell r="K1497">
            <v>6</v>
          </cell>
          <cell r="L1497">
            <v>6</v>
          </cell>
          <cell r="M1497">
            <v>4.8387096774193547E-2</v>
          </cell>
          <cell r="N1497">
            <v>4.8000000000000001E-2</v>
          </cell>
          <cell r="O1497" t="str">
            <v>$1399</v>
          </cell>
          <cell r="P1497" t="str">
            <v>$1399</v>
          </cell>
          <cell r="Q1497">
            <v>45603</v>
          </cell>
          <cell r="R1497" t="str">
            <v>Bangaluru</v>
          </cell>
          <cell r="S1497" t="str">
            <v>Desktop</v>
          </cell>
          <cell r="T1497" t="str">
            <v>data analytics course</v>
          </cell>
        </row>
        <row r="1498">
          <cell r="A1498" t="str">
            <v>A2496</v>
          </cell>
          <cell r="B1498" t="str">
            <v>Data Analytics Course</v>
          </cell>
          <cell r="C1498">
            <v>97</v>
          </cell>
          <cell r="D1498">
            <v>97</v>
          </cell>
          <cell r="E1498">
            <v>5285</v>
          </cell>
          <cell r="F1498">
            <v>5285</v>
          </cell>
          <cell r="G1498" t="str">
            <v>$249.65</v>
          </cell>
          <cell r="H1498" t="str">
            <v>$249.65</v>
          </cell>
          <cell r="I1498">
            <v>12</v>
          </cell>
          <cell r="J1498">
            <v>12</v>
          </cell>
          <cell r="K1498">
            <v>7</v>
          </cell>
          <cell r="L1498">
            <v>7</v>
          </cell>
          <cell r="M1498">
            <v>7.2164948453608241E-2</v>
          </cell>
          <cell r="N1498">
            <v>5.0999999999999997E-2</v>
          </cell>
          <cell r="O1498" t="str">
            <v>$1411</v>
          </cell>
          <cell r="P1498" t="str">
            <v>$1411</v>
          </cell>
          <cell r="Q1498">
            <v>45623</v>
          </cell>
          <cell r="R1498" t="str">
            <v>Bangaluru</v>
          </cell>
          <cell r="S1498" t="str">
            <v>Desktop</v>
          </cell>
          <cell r="T1498" t="str">
            <v>data analytics training</v>
          </cell>
        </row>
        <row r="1499">
          <cell r="A1499" t="str">
            <v>A2497</v>
          </cell>
          <cell r="B1499" t="str">
            <v>Data Analytics Course</v>
          </cell>
          <cell r="C1499">
            <v>111</v>
          </cell>
          <cell r="D1499">
            <v>111</v>
          </cell>
          <cell r="E1499">
            <v>3177</v>
          </cell>
          <cell r="F1499">
            <v>3177</v>
          </cell>
          <cell r="G1499" t="str">
            <v>$224.51</v>
          </cell>
          <cell r="H1499" t="str">
            <v>$224.51</v>
          </cell>
          <cell r="I1499">
            <v>18</v>
          </cell>
          <cell r="J1499">
            <v>18</v>
          </cell>
          <cell r="K1499">
            <v>8</v>
          </cell>
          <cell r="L1499">
            <v>8</v>
          </cell>
          <cell r="M1499">
            <v>7.2072072072072071E-2</v>
          </cell>
          <cell r="O1499" t="str">
            <v>$1946</v>
          </cell>
          <cell r="P1499" t="str">
            <v>$1946</v>
          </cell>
          <cell r="Q1499">
            <v>45621</v>
          </cell>
          <cell r="R1499" t="str">
            <v>Hyderabad</v>
          </cell>
          <cell r="S1499" t="str">
            <v>Desktop</v>
          </cell>
          <cell r="T1499" t="str">
            <v>learn data analytics</v>
          </cell>
        </row>
        <row r="1500">
          <cell r="A1500" t="str">
            <v>A2498</v>
          </cell>
          <cell r="B1500" t="str">
            <v>Data Analytics Course</v>
          </cell>
          <cell r="C1500">
            <v>93</v>
          </cell>
          <cell r="D1500">
            <v>93</v>
          </cell>
          <cell r="E1500">
            <v>5571</v>
          </cell>
          <cell r="F1500">
            <v>5571</v>
          </cell>
          <cell r="G1500" t="str">
            <v>$185.71</v>
          </cell>
          <cell r="H1500" t="str">
            <v>$185.71</v>
          </cell>
          <cell r="I1500">
            <v>12</v>
          </cell>
          <cell r="J1500">
            <v>12</v>
          </cell>
          <cell r="K1500">
            <v>7</v>
          </cell>
          <cell r="L1500">
            <v>7</v>
          </cell>
          <cell r="M1500">
            <v>7.5268817204301078E-2</v>
          </cell>
          <cell r="N1500">
            <v>7.4999999999999997E-2</v>
          </cell>
          <cell r="O1500" t="str">
            <v>$1630</v>
          </cell>
          <cell r="P1500" t="str">
            <v>$1630</v>
          </cell>
          <cell r="Q1500">
            <v>45617</v>
          </cell>
          <cell r="R1500" t="str">
            <v>Hyderabad</v>
          </cell>
          <cell r="S1500" t="str">
            <v>Tablet</v>
          </cell>
          <cell r="T1500" t="str">
            <v>online data analytic</v>
          </cell>
        </row>
        <row r="1501">
          <cell r="A1501" t="str">
            <v>A2499</v>
          </cell>
          <cell r="B1501" t="str">
            <v>Data Analytics Course</v>
          </cell>
          <cell r="C1501">
            <v>92</v>
          </cell>
          <cell r="D1501">
            <v>92</v>
          </cell>
          <cell r="E1501">
            <v>3237</v>
          </cell>
          <cell r="F1501">
            <v>3237</v>
          </cell>
          <cell r="G1501" t="str">
            <v>$245.48</v>
          </cell>
          <cell r="H1501" t="str">
            <v>$245.48</v>
          </cell>
          <cell r="I1501">
            <v>15</v>
          </cell>
          <cell r="J1501">
            <v>15</v>
          </cell>
          <cell r="K1501">
            <v>6</v>
          </cell>
          <cell r="L1501">
            <v>6</v>
          </cell>
          <cell r="M1501">
            <v>6.5217391304347824E-2</v>
          </cell>
          <cell r="N1501">
            <v>6.5000000000000002E-2</v>
          </cell>
          <cell r="O1501" t="str">
            <v>$1500</v>
          </cell>
          <cell r="Q1501">
            <v>45615</v>
          </cell>
          <cell r="R1501" t="str">
            <v>Chennai</v>
          </cell>
          <cell r="S1501" t="str">
            <v>Desktop</v>
          </cell>
          <cell r="T1501" t="str">
            <v>data analytics online</v>
          </cell>
        </row>
        <row r="1502">
          <cell r="A1502" t="str">
            <v>A2500</v>
          </cell>
          <cell r="B1502" t="str">
            <v>Data Analytics Course</v>
          </cell>
          <cell r="C1502">
            <v>138</v>
          </cell>
          <cell r="D1502">
            <v>138</v>
          </cell>
          <cell r="E1502">
            <v>5314</v>
          </cell>
          <cell r="F1502">
            <v>5314</v>
          </cell>
          <cell r="G1502" t="str">
            <v>$198.39</v>
          </cell>
          <cell r="H1502" t="str">
            <v>$198.39</v>
          </cell>
          <cell r="I1502">
            <v>17</v>
          </cell>
          <cell r="J1502">
            <v>17</v>
          </cell>
          <cell r="K1502">
            <v>10</v>
          </cell>
          <cell r="L1502">
            <v>10</v>
          </cell>
          <cell r="M1502">
            <v>7.2463768115942032E-2</v>
          </cell>
          <cell r="N1502">
            <v>7.1999999999999995E-2</v>
          </cell>
          <cell r="O1502" t="str">
            <v>$1250</v>
          </cell>
          <cell r="P1502" t="str">
            <v>$1250</v>
          </cell>
          <cell r="Q1502">
            <v>45616</v>
          </cell>
          <cell r="R1502" t="str">
            <v>Hyderabad</v>
          </cell>
          <cell r="S1502" t="str">
            <v>Desktop</v>
          </cell>
          <cell r="T1502" t="str">
            <v>online data analytic</v>
          </cell>
        </row>
        <row r="1503">
          <cell r="A1503" t="str">
            <v>A2501</v>
          </cell>
          <cell r="B1503" t="str">
            <v>Data Analytics Course</v>
          </cell>
          <cell r="C1503">
            <v>129</v>
          </cell>
          <cell r="D1503">
            <v>129</v>
          </cell>
          <cell r="E1503">
            <v>4452</v>
          </cell>
          <cell r="F1503">
            <v>4452</v>
          </cell>
          <cell r="G1503" t="str">
            <v>$196.06</v>
          </cell>
          <cell r="H1503" t="str">
            <v>$196.06</v>
          </cell>
          <cell r="I1503">
            <v>10</v>
          </cell>
          <cell r="J1503">
            <v>10</v>
          </cell>
          <cell r="K1503">
            <v>9</v>
          </cell>
          <cell r="L1503">
            <v>9</v>
          </cell>
          <cell r="M1503">
            <v>6.9767441860465115E-2</v>
          </cell>
          <cell r="N1503">
            <v>5.2999999999999999E-2</v>
          </cell>
          <cell r="O1503" t="str">
            <v>$1069</v>
          </cell>
          <cell r="P1503" t="str">
            <v>$1069</v>
          </cell>
          <cell r="Q1503">
            <v>45609</v>
          </cell>
          <cell r="R1503" t="str">
            <v>Chennai</v>
          </cell>
          <cell r="S1503" t="str">
            <v>Tablet</v>
          </cell>
          <cell r="T1503" t="str">
            <v>learn data analytics</v>
          </cell>
        </row>
        <row r="1504">
          <cell r="A1504" t="str">
            <v>A2502</v>
          </cell>
          <cell r="B1504" t="str">
            <v>Data Analytcis Course</v>
          </cell>
          <cell r="C1504">
            <v>183</v>
          </cell>
          <cell r="D1504">
            <v>183</v>
          </cell>
          <cell r="E1504">
            <v>3920</v>
          </cell>
          <cell r="F1504">
            <v>3920</v>
          </cell>
          <cell r="G1504" t="str">
            <v>$235.79</v>
          </cell>
          <cell r="H1504" t="str">
            <v>$235.79</v>
          </cell>
          <cell r="I1504">
            <v>20</v>
          </cell>
          <cell r="J1504">
            <v>20</v>
          </cell>
          <cell r="K1504">
            <v>7</v>
          </cell>
          <cell r="L1504">
            <v>7</v>
          </cell>
          <cell r="M1504">
            <v>3.825136612021858E-2</v>
          </cell>
          <cell r="N1504">
            <v>3.7999999999999999E-2</v>
          </cell>
          <cell r="O1504" t="str">
            <v>$1238</v>
          </cell>
          <cell r="P1504" t="str">
            <v>$1238</v>
          </cell>
          <cell r="Q1504">
            <v>45613</v>
          </cell>
          <cell r="R1504" t="str">
            <v>Chennai</v>
          </cell>
          <cell r="S1504" t="str">
            <v>Mobile</v>
          </cell>
          <cell r="T1504" t="str">
            <v>data analytics training</v>
          </cell>
        </row>
        <row r="1505">
          <cell r="A1505" t="str">
            <v>A2503</v>
          </cell>
          <cell r="B1505" t="str">
            <v>Data Analytics Course</v>
          </cell>
          <cell r="C1505">
            <v>154</v>
          </cell>
          <cell r="D1505">
            <v>154</v>
          </cell>
          <cell r="E1505">
            <v>4603</v>
          </cell>
          <cell r="F1505">
            <v>4603</v>
          </cell>
          <cell r="G1505" t="str">
            <v>$214.0</v>
          </cell>
          <cell r="H1505" t="str">
            <v>$214.0</v>
          </cell>
          <cell r="I1505">
            <v>20</v>
          </cell>
          <cell r="J1505">
            <v>20</v>
          </cell>
          <cell r="K1505">
            <v>3</v>
          </cell>
          <cell r="L1505">
            <v>3</v>
          </cell>
          <cell r="M1505">
            <v>1.948051948051948E-2</v>
          </cell>
          <cell r="N1505">
            <v>1.9E-2</v>
          </cell>
          <cell r="O1505" t="str">
            <v>$1709</v>
          </cell>
          <cell r="P1505" t="str">
            <v>$1709</v>
          </cell>
          <cell r="Q1505">
            <v>45614</v>
          </cell>
          <cell r="R1505" t="str">
            <v>Hyderabad</v>
          </cell>
          <cell r="S1505" t="str">
            <v>Tablet</v>
          </cell>
          <cell r="T1505" t="str">
            <v>data analytics course</v>
          </cell>
        </row>
        <row r="1506">
          <cell r="A1506" t="str">
            <v>A2504</v>
          </cell>
          <cell r="B1506" t="str">
            <v>Data Analytcis Course</v>
          </cell>
          <cell r="C1506">
            <v>95</v>
          </cell>
          <cell r="D1506">
            <v>95</v>
          </cell>
          <cell r="E1506">
            <v>4938</v>
          </cell>
          <cell r="F1506">
            <v>4938</v>
          </cell>
          <cell r="G1506" t="str">
            <v>$204.5</v>
          </cell>
          <cell r="H1506" t="str">
            <v>$204.5</v>
          </cell>
          <cell r="I1506">
            <v>12</v>
          </cell>
          <cell r="J1506">
            <v>12</v>
          </cell>
          <cell r="K1506">
            <v>6</v>
          </cell>
          <cell r="L1506">
            <v>6</v>
          </cell>
          <cell r="M1506">
            <v>6.3157894736842107E-2</v>
          </cell>
          <cell r="N1506">
            <v>4.5999999999999999E-2</v>
          </cell>
          <cell r="O1506" t="str">
            <v>$1494</v>
          </cell>
          <cell r="P1506" t="str">
            <v>$1494</v>
          </cell>
          <cell r="Q1506">
            <v>45614</v>
          </cell>
          <cell r="R1506" t="str">
            <v>Bangaluru</v>
          </cell>
          <cell r="S1506" t="str">
            <v>Tablet</v>
          </cell>
          <cell r="T1506" t="str">
            <v>data analytics training</v>
          </cell>
        </row>
        <row r="1507">
          <cell r="A1507" t="str">
            <v>A2505</v>
          </cell>
          <cell r="B1507" t="str">
            <v>Data Analytics Course</v>
          </cell>
          <cell r="C1507">
            <v>173</v>
          </cell>
          <cell r="D1507">
            <v>173</v>
          </cell>
          <cell r="E1507">
            <v>5291</v>
          </cell>
          <cell r="F1507">
            <v>5291</v>
          </cell>
          <cell r="G1507" t="str">
            <v>$200.00</v>
          </cell>
          <cell r="I1507">
            <v>23</v>
          </cell>
          <cell r="J1507">
            <v>23</v>
          </cell>
          <cell r="K1507">
            <v>8</v>
          </cell>
          <cell r="L1507">
            <v>8</v>
          </cell>
          <cell r="M1507">
            <v>4.6242774566473986E-2</v>
          </cell>
          <cell r="O1507" t="str">
            <v>$1557</v>
          </cell>
          <cell r="P1507" t="str">
            <v>$1557</v>
          </cell>
          <cell r="Q1507">
            <v>45609</v>
          </cell>
          <cell r="R1507" t="str">
            <v>Chennai</v>
          </cell>
          <cell r="S1507" t="str">
            <v>Mobile</v>
          </cell>
          <cell r="T1507" t="str">
            <v>data analytics online</v>
          </cell>
        </row>
        <row r="1508">
          <cell r="A1508" t="str">
            <v>A2506</v>
          </cell>
          <cell r="B1508" t="str">
            <v>Data Analytics Course</v>
          </cell>
          <cell r="C1508">
            <v>112</v>
          </cell>
          <cell r="D1508">
            <v>112</v>
          </cell>
          <cell r="E1508">
            <v>4072</v>
          </cell>
          <cell r="F1508">
            <v>4072</v>
          </cell>
          <cell r="G1508" t="str">
            <v>$211.56</v>
          </cell>
          <cell r="H1508" t="str">
            <v>$211.56</v>
          </cell>
          <cell r="I1508">
            <v>17</v>
          </cell>
          <cell r="J1508">
            <v>17</v>
          </cell>
          <cell r="K1508">
            <v>10</v>
          </cell>
          <cell r="L1508">
            <v>10</v>
          </cell>
          <cell r="M1508">
            <v>8.9285714285714288E-2</v>
          </cell>
          <cell r="N1508">
            <v>8.8999999999999996E-2</v>
          </cell>
          <cell r="O1508" t="str">
            <v>$1229</v>
          </cell>
          <cell r="P1508" t="str">
            <v>$1229</v>
          </cell>
          <cell r="Q1508">
            <v>45597</v>
          </cell>
          <cell r="R1508" t="str">
            <v>Hyderabad</v>
          </cell>
          <cell r="S1508" t="str">
            <v>Desktop</v>
          </cell>
          <cell r="T1508" t="str">
            <v>analytics for data</v>
          </cell>
        </row>
        <row r="1509">
          <cell r="A1509" t="str">
            <v>A2507</v>
          </cell>
          <cell r="B1509" t="str">
            <v>Data Analytics Course</v>
          </cell>
          <cell r="C1509">
            <v>170</v>
          </cell>
          <cell r="D1509">
            <v>170</v>
          </cell>
          <cell r="E1509">
            <v>5953</v>
          </cell>
          <cell r="F1509">
            <v>5953</v>
          </cell>
          <cell r="G1509" t="str">
            <v>$186.11</v>
          </cell>
          <cell r="H1509" t="str">
            <v>$186.11</v>
          </cell>
          <cell r="I1509">
            <v>25</v>
          </cell>
          <cell r="J1509">
            <v>25</v>
          </cell>
          <cell r="K1509">
            <v>8</v>
          </cell>
          <cell r="L1509">
            <v>8</v>
          </cell>
          <cell r="M1509">
            <v>4.7058823529411764E-2</v>
          </cell>
          <cell r="O1509" t="str">
            <v>$1080</v>
          </cell>
          <cell r="P1509" t="str">
            <v>$1080</v>
          </cell>
          <cell r="Q1509">
            <v>45622</v>
          </cell>
          <cell r="R1509" t="str">
            <v>Bangaluru</v>
          </cell>
          <cell r="S1509" t="str">
            <v>Mobile</v>
          </cell>
          <cell r="T1509" t="str">
            <v>data analytics online</v>
          </cell>
        </row>
        <row r="1510">
          <cell r="A1510" t="str">
            <v>A2508</v>
          </cell>
          <cell r="B1510" t="str">
            <v>Data Analytics Course</v>
          </cell>
          <cell r="C1510">
            <v>96</v>
          </cell>
          <cell r="D1510">
            <v>96</v>
          </cell>
          <cell r="E1510">
            <v>4523.2808326787117</v>
          </cell>
          <cell r="G1510" t="str">
            <v>$232.87</v>
          </cell>
          <cell r="H1510" t="str">
            <v>$232.87</v>
          </cell>
          <cell r="I1510">
            <v>20.196613358419569</v>
          </cell>
          <cell r="K1510">
            <v>10</v>
          </cell>
          <cell r="L1510">
            <v>10</v>
          </cell>
          <cell r="M1510">
            <v>0.10416666666666667</v>
          </cell>
          <cell r="N1510">
            <v>5.2999999999999999E-2</v>
          </cell>
          <cell r="O1510" t="str">
            <v>$1162</v>
          </cell>
          <cell r="P1510" t="str">
            <v>$1162</v>
          </cell>
          <cell r="Q1510">
            <v>45610</v>
          </cell>
          <cell r="R1510" t="str">
            <v>Hyderabad</v>
          </cell>
          <cell r="S1510" t="str">
            <v>Mobile</v>
          </cell>
          <cell r="T1510" t="str">
            <v>learn data analytics</v>
          </cell>
        </row>
        <row r="1511">
          <cell r="A1511" t="str">
            <v>A2509</v>
          </cell>
          <cell r="B1511" t="str">
            <v>Data Analytcis Course</v>
          </cell>
          <cell r="C1511">
            <v>113</v>
          </cell>
          <cell r="D1511">
            <v>113</v>
          </cell>
          <cell r="E1511">
            <v>3104</v>
          </cell>
          <cell r="F1511">
            <v>3104</v>
          </cell>
          <cell r="G1511" t="str">
            <v>$230.92</v>
          </cell>
          <cell r="H1511" t="str">
            <v>$230.92</v>
          </cell>
          <cell r="I1511">
            <v>28</v>
          </cell>
          <cell r="J1511">
            <v>28</v>
          </cell>
          <cell r="K1511">
            <v>9</v>
          </cell>
          <cell r="L1511">
            <v>9</v>
          </cell>
          <cell r="M1511">
            <v>7.9646017699115043E-2</v>
          </cell>
          <cell r="N1511">
            <v>0.08</v>
          </cell>
          <cell r="O1511" t="str">
            <v>$1422</v>
          </cell>
          <cell r="P1511" t="str">
            <v>$1422</v>
          </cell>
          <cell r="Q1511">
            <v>45623</v>
          </cell>
          <cell r="R1511" t="str">
            <v>Hyderabad</v>
          </cell>
          <cell r="S1511" t="str">
            <v>Tablet</v>
          </cell>
          <cell r="T1511" t="str">
            <v>data analytics course</v>
          </cell>
        </row>
        <row r="1512">
          <cell r="A1512" t="str">
            <v>A2510</v>
          </cell>
          <cell r="B1512" t="str">
            <v>Data Analytics Course</v>
          </cell>
          <cell r="C1512">
            <v>145</v>
          </cell>
          <cell r="D1512">
            <v>145</v>
          </cell>
          <cell r="E1512">
            <v>4882</v>
          </cell>
          <cell r="F1512">
            <v>4882</v>
          </cell>
          <cell r="G1512" t="str">
            <v>$217.25</v>
          </cell>
          <cell r="H1512" t="str">
            <v>$217.25</v>
          </cell>
          <cell r="I1512">
            <v>22</v>
          </cell>
          <cell r="J1512">
            <v>22</v>
          </cell>
          <cell r="K1512">
            <v>3</v>
          </cell>
          <cell r="L1512">
            <v>3</v>
          </cell>
          <cell r="M1512">
            <v>2.0689655172413793E-2</v>
          </cell>
          <cell r="N1512">
            <v>2.1000000000000001E-2</v>
          </cell>
          <cell r="O1512" t="str">
            <v>$1814</v>
          </cell>
          <cell r="P1512" t="str">
            <v>$1814</v>
          </cell>
          <cell r="Q1512">
            <v>45615</v>
          </cell>
          <cell r="R1512" t="str">
            <v>Hyderabad</v>
          </cell>
          <cell r="S1512" t="str">
            <v>Mobile</v>
          </cell>
          <cell r="T1512" t="str">
            <v>analytics for data</v>
          </cell>
        </row>
        <row r="1513">
          <cell r="A1513" t="str">
            <v>A2511</v>
          </cell>
          <cell r="B1513" t="str">
            <v>Data Analytics Course</v>
          </cell>
          <cell r="C1513">
            <v>83</v>
          </cell>
          <cell r="D1513">
            <v>83</v>
          </cell>
          <cell r="E1513">
            <v>3212</v>
          </cell>
          <cell r="F1513">
            <v>3212</v>
          </cell>
          <cell r="G1513" t="str">
            <v>$243.86</v>
          </cell>
          <cell r="H1513" t="str">
            <v>$243.86</v>
          </cell>
          <cell r="I1513">
            <v>25</v>
          </cell>
          <cell r="J1513">
            <v>25</v>
          </cell>
          <cell r="K1513">
            <v>4</v>
          </cell>
          <cell r="L1513">
            <v>4</v>
          </cell>
          <cell r="M1513">
            <v>4.8192771084337352E-2</v>
          </cell>
          <cell r="N1513">
            <v>4.8000000000000001E-2</v>
          </cell>
          <cell r="O1513" t="str">
            <v>$1612</v>
          </cell>
          <cell r="P1513" t="str">
            <v>$1612</v>
          </cell>
          <cell r="Q1513">
            <v>45615</v>
          </cell>
          <cell r="R1513" t="str">
            <v>Bangaluru</v>
          </cell>
          <cell r="S1513" t="str">
            <v>Mobile</v>
          </cell>
          <cell r="T1513" t="str">
            <v>data analytics course</v>
          </cell>
        </row>
        <row r="1514">
          <cell r="A1514" t="str">
            <v>A2512</v>
          </cell>
          <cell r="B1514" t="str">
            <v>Data Analytics Course</v>
          </cell>
          <cell r="C1514">
            <v>90</v>
          </cell>
          <cell r="D1514">
            <v>90</v>
          </cell>
          <cell r="E1514">
            <v>4973</v>
          </cell>
          <cell r="F1514">
            <v>4973</v>
          </cell>
          <cell r="G1514" t="str">
            <v>$181.04</v>
          </cell>
          <cell r="H1514" t="str">
            <v>$181.04</v>
          </cell>
          <cell r="I1514">
            <v>23</v>
          </cell>
          <cell r="J1514">
            <v>23</v>
          </cell>
          <cell r="K1514">
            <v>5</v>
          </cell>
          <cell r="L1514">
            <v>5</v>
          </cell>
          <cell r="M1514">
            <v>5.5555555555555552E-2</v>
          </cell>
          <cell r="N1514">
            <v>5.6000000000000001E-2</v>
          </cell>
          <cell r="O1514" t="str">
            <v>$1039</v>
          </cell>
          <cell r="P1514" t="str">
            <v>$1039</v>
          </cell>
          <cell r="Q1514">
            <v>45599</v>
          </cell>
          <cell r="R1514" t="str">
            <v>Hyderabad</v>
          </cell>
          <cell r="S1514" t="str">
            <v>Desktop</v>
          </cell>
          <cell r="T1514" t="str">
            <v>online data analytic</v>
          </cell>
        </row>
        <row r="1515">
          <cell r="A1515" t="str">
            <v>A2513</v>
          </cell>
          <cell r="B1515" t="str">
            <v>Data Analytics Course</v>
          </cell>
          <cell r="C1515">
            <v>140</v>
          </cell>
          <cell r="D1515">
            <v>140</v>
          </cell>
          <cell r="E1515">
            <v>5227</v>
          </cell>
          <cell r="F1515">
            <v>5227</v>
          </cell>
          <cell r="G1515" t="str">
            <v>$222.57</v>
          </cell>
          <cell r="H1515" t="str">
            <v>$222.57</v>
          </cell>
          <cell r="I1515">
            <v>27</v>
          </cell>
          <cell r="J1515">
            <v>27</v>
          </cell>
          <cell r="K1515">
            <v>3</v>
          </cell>
          <cell r="L1515">
            <v>3</v>
          </cell>
          <cell r="M1515">
            <v>2.1428571428571429E-2</v>
          </cell>
          <cell r="N1515">
            <v>2.1000000000000001E-2</v>
          </cell>
          <cell r="O1515" t="str">
            <v>$1527</v>
          </cell>
          <cell r="P1515" t="str">
            <v>$1527</v>
          </cell>
          <cell r="Q1515">
            <v>45614</v>
          </cell>
          <cell r="R1515" t="str">
            <v>Hyderabad</v>
          </cell>
          <cell r="S1515" t="str">
            <v>Desktop</v>
          </cell>
          <cell r="T1515" t="str">
            <v>learn data analytics</v>
          </cell>
        </row>
        <row r="1516">
          <cell r="A1516" t="str">
            <v>A2514</v>
          </cell>
          <cell r="B1516" t="str">
            <v>Data Analytcis Course</v>
          </cell>
          <cell r="C1516">
            <v>111</v>
          </cell>
          <cell r="D1516">
            <v>111</v>
          </cell>
          <cell r="E1516">
            <v>5434</v>
          </cell>
          <cell r="F1516">
            <v>5434</v>
          </cell>
          <cell r="G1516" t="str">
            <v>$181.05</v>
          </cell>
          <cell r="H1516" t="str">
            <v>$181.05</v>
          </cell>
          <cell r="I1516">
            <v>10</v>
          </cell>
          <cell r="J1516">
            <v>10</v>
          </cell>
          <cell r="K1516">
            <v>5</v>
          </cell>
          <cell r="L1516">
            <v>5</v>
          </cell>
          <cell r="M1516">
            <v>4.5045045045045043E-2</v>
          </cell>
          <cell r="N1516">
            <v>4.4999999999999998E-2</v>
          </cell>
          <cell r="O1516" t="str">
            <v>$1627</v>
          </cell>
          <cell r="P1516" t="str">
            <v>$1627</v>
          </cell>
          <cell r="Q1516">
            <v>45619</v>
          </cell>
          <cell r="R1516" t="str">
            <v>Chennai</v>
          </cell>
          <cell r="S1516" t="str">
            <v>Mobile</v>
          </cell>
          <cell r="T1516" t="str">
            <v>data analytics training</v>
          </cell>
        </row>
        <row r="1517">
          <cell r="A1517" t="str">
            <v>A2515</v>
          </cell>
          <cell r="B1517" t="str">
            <v>Data Analytics Course</v>
          </cell>
          <cell r="C1517">
            <v>105</v>
          </cell>
          <cell r="D1517">
            <v>105</v>
          </cell>
          <cell r="E1517">
            <v>3300</v>
          </cell>
          <cell r="F1517">
            <v>3300</v>
          </cell>
          <cell r="G1517" t="str">
            <v>$180.25</v>
          </cell>
          <cell r="H1517" t="str">
            <v>$180.25</v>
          </cell>
          <cell r="I1517">
            <v>22</v>
          </cell>
          <cell r="J1517">
            <v>22</v>
          </cell>
          <cell r="K1517">
            <v>10</v>
          </cell>
          <cell r="L1517">
            <v>10</v>
          </cell>
          <cell r="M1517">
            <v>9.5238095238095233E-2</v>
          </cell>
          <cell r="N1517">
            <v>9.5000000000000001E-2</v>
          </cell>
          <cell r="O1517" t="str">
            <v>$1640</v>
          </cell>
          <cell r="P1517" t="str">
            <v>$1640</v>
          </cell>
          <cell r="Q1517">
            <v>45617</v>
          </cell>
          <cell r="R1517" t="str">
            <v>Bangaluru</v>
          </cell>
          <cell r="S1517" t="str">
            <v>Mobile</v>
          </cell>
          <cell r="T1517" t="str">
            <v>online data analytic</v>
          </cell>
        </row>
        <row r="1518">
          <cell r="A1518" t="str">
            <v>A2516</v>
          </cell>
          <cell r="B1518" t="str">
            <v>Data Analytics Course</v>
          </cell>
          <cell r="C1518">
            <v>181</v>
          </cell>
          <cell r="D1518">
            <v>181</v>
          </cell>
          <cell r="E1518">
            <v>4857</v>
          </cell>
          <cell r="F1518">
            <v>4857</v>
          </cell>
          <cell r="G1518" t="str">
            <v>$215.59</v>
          </cell>
          <cell r="H1518" t="str">
            <v>$215.59</v>
          </cell>
          <cell r="I1518">
            <v>13</v>
          </cell>
          <cell r="J1518">
            <v>13</v>
          </cell>
          <cell r="K1518">
            <v>8</v>
          </cell>
          <cell r="L1518">
            <v>8</v>
          </cell>
          <cell r="M1518">
            <v>4.4198895027624308E-2</v>
          </cell>
          <cell r="N1518">
            <v>4.3999999999999997E-2</v>
          </cell>
          <cell r="O1518" t="str">
            <v>$1883</v>
          </cell>
          <cell r="P1518" t="str">
            <v>$1883</v>
          </cell>
          <cell r="Q1518">
            <v>45619</v>
          </cell>
          <cell r="R1518" t="str">
            <v>Bangaluru</v>
          </cell>
          <cell r="S1518" t="str">
            <v>Desktop</v>
          </cell>
          <cell r="T1518" t="str">
            <v>learn data analytics</v>
          </cell>
        </row>
        <row r="1519">
          <cell r="A1519" t="str">
            <v>A2517</v>
          </cell>
          <cell r="B1519" t="str">
            <v>Data Analytics Course</v>
          </cell>
          <cell r="C1519">
            <v>189</v>
          </cell>
          <cell r="D1519">
            <v>189</v>
          </cell>
          <cell r="E1519">
            <v>4019</v>
          </cell>
          <cell r="F1519">
            <v>4019</v>
          </cell>
          <cell r="G1519" t="str">
            <v>$248.09</v>
          </cell>
          <cell r="H1519" t="str">
            <v>$248.09</v>
          </cell>
          <cell r="I1519">
            <v>16</v>
          </cell>
          <cell r="J1519">
            <v>16</v>
          </cell>
          <cell r="K1519">
            <v>6</v>
          </cell>
          <cell r="L1519">
            <v>6</v>
          </cell>
          <cell r="M1519">
            <v>3.1746031746031744E-2</v>
          </cell>
          <cell r="N1519">
            <v>4.4999999999999998E-2</v>
          </cell>
          <cell r="O1519" t="str">
            <v>$1378</v>
          </cell>
          <cell r="P1519" t="str">
            <v>$1378</v>
          </cell>
          <cell r="Q1519">
            <v>45626</v>
          </cell>
          <cell r="R1519" t="str">
            <v>Hyderabad</v>
          </cell>
          <cell r="S1519" t="str">
            <v>Tablet</v>
          </cell>
          <cell r="T1519" t="str">
            <v>online data analytic</v>
          </cell>
        </row>
        <row r="1520">
          <cell r="A1520" t="str">
            <v>A2518</v>
          </cell>
          <cell r="B1520" t="str">
            <v>Data Analytcis Course</v>
          </cell>
          <cell r="C1520">
            <v>138</v>
          </cell>
          <cell r="D1520">
            <v>138</v>
          </cell>
          <cell r="E1520">
            <v>5495</v>
          </cell>
          <cell r="F1520">
            <v>5495</v>
          </cell>
          <cell r="G1520" t="str">
            <v>$220.69</v>
          </cell>
          <cell r="H1520" t="str">
            <v>$220.69</v>
          </cell>
          <cell r="I1520">
            <v>19</v>
          </cell>
          <cell r="J1520">
            <v>19</v>
          </cell>
          <cell r="K1520">
            <v>5</v>
          </cell>
          <cell r="L1520">
            <v>5</v>
          </cell>
          <cell r="M1520">
            <v>3.6231884057971016E-2</v>
          </cell>
          <cell r="N1520">
            <v>3.5999999999999997E-2</v>
          </cell>
          <cell r="O1520" t="str">
            <v>$1624</v>
          </cell>
          <cell r="P1520" t="str">
            <v>$1624</v>
          </cell>
          <cell r="Q1520">
            <v>45600</v>
          </cell>
          <cell r="R1520" t="str">
            <v>Hyderabad</v>
          </cell>
          <cell r="S1520" t="str">
            <v>Tablet</v>
          </cell>
          <cell r="T1520" t="str">
            <v>online data analytic</v>
          </cell>
        </row>
        <row r="1521">
          <cell r="A1521" t="str">
            <v>A2519</v>
          </cell>
          <cell r="B1521" t="str">
            <v>Data Analytcis Course</v>
          </cell>
          <cell r="C1521">
            <v>178</v>
          </cell>
          <cell r="D1521">
            <v>178</v>
          </cell>
          <cell r="E1521">
            <v>5218</v>
          </cell>
          <cell r="F1521">
            <v>5218</v>
          </cell>
          <cell r="G1521" t="str">
            <v>$208.92</v>
          </cell>
          <cell r="H1521" t="str">
            <v>$208.92</v>
          </cell>
          <cell r="I1521">
            <v>20</v>
          </cell>
          <cell r="J1521">
            <v>20</v>
          </cell>
          <cell r="K1521">
            <v>7</v>
          </cell>
          <cell r="L1521">
            <v>7</v>
          </cell>
          <cell r="M1521">
            <v>3.9325842696629212E-2</v>
          </cell>
          <cell r="N1521">
            <v>3.9E-2</v>
          </cell>
          <cell r="O1521" t="str">
            <v>$1714</v>
          </cell>
          <cell r="P1521" t="str">
            <v>$1714</v>
          </cell>
          <cell r="Q1521">
            <v>45621</v>
          </cell>
          <cell r="R1521" t="str">
            <v>Chennai</v>
          </cell>
          <cell r="S1521" t="str">
            <v>Mobile</v>
          </cell>
          <cell r="T1521" t="str">
            <v>analytics for data</v>
          </cell>
        </row>
        <row r="1522">
          <cell r="A1522" t="str">
            <v>A2520</v>
          </cell>
          <cell r="B1522" t="str">
            <v>Data Analytics Course</v>
          </cell>
          <cell r="C1522">
            <v>155</v>
          </cell>
          <cell r="D1522">
            <v>155</v>
          </cell>
          <cell r="E1522">
            <v>5996</v>
          </cell>
          <cell r="F1522">
            <v>5996</v>
          </cell>
          <cell r="G1522" t="str">
            <v>$247.54</v>
          </cell>
          <cell r="H1522" t="str">
            <v>$247.54</v>
          </cell>
          <cell r="I1522">
            <v>15</v>
          </cell>
          <cell r="J1522">
            <v>15</v>
          </cell>
          <cell r="K1522">
            <v>5</v>
          </cell>
          <cell r="L1522">
            <v>5</v>
          </cell>
          <cell r="M1522">
            <v>3.2258064516129031E-2</v>
          </cell>
          <cell r="N1522">
            <v>3.2000000000000001E-2</v>
          </cell>
          <cell r="O1522" t="str">
            <v>$1883</v>
          </cell>
          <cell r="P1522" t="str">
            <v>$1883</v>
          </cell>
          <cell r="Q1522">
            <v>45623</v>
          </cell>
          <cell r="R1522" t="str">
            <v>Hyderabad</v>
          </cell>
          <cell r="S1522" t="str">
            <v>Mobile</v>
          </cell>
          <cell r="T1522" t="str">
            <v>analytics for data</v>
          </cell>
        </row>
        <row r="1523">
          <cell r="A1523" t="str">
            <v>A2521</v>
          </cell>
          <cell r="B1523" t="str">
            <v>Data Analytics Course</v>
          </cell>
          <cell r="C1523">
            <v>168</v>
          </cell>
          <cell r="D1523">
            <v>168</v>
          </cell>
          <cell r="E1523">
            <v>4932</v>
          </cell>
          <cell r="F1523">
            <v>4932</v>
          </cell>
          <cell r="G1523" t="str">
            <v>$198.95</v>
          </cell>
          <cell r="H1523" t="str">
            <v>$198.95</v>
          </cell>
          <cell r="I1523">
            <v>16</v>
          </cell>
          <cell r="J1523">
            <v>16</v>
          </cell>
          <cell r="K1523">
            <v>7</v>
          </cell>
          <cell r="L1523">
            <v>7</v>
          </cell>
          <cell r="M1523">
            <v>4.1666666666666664E-2</v>
          </cell>
          <cell r="N1523">
            <v>5.1999999999999998E-2</v>
          </cell>
          <cell r="O1523" t="str">
            <v>$1301</v>
          </cell>
          <cell r="P1523" t="str">
            <v>$1301</v>
          </cell>
          <cell r="Q1523">
            <v>45615</v>
          </cell>
          <cell r="R1523" t="str">
            <v>Bangaluru</v>
          </cell>
          <cell r="S1523" t="str">
            <v>Desktop</v>
          </cell>
          <cell r="T1523" t="str">
            <v>data analytics training</v>
          </cell>
        </row>
        <row r="1524">
          <cell r="A1524" t="str">
            <v>A2522</v>
          </cell>
          <cell r="B1524" t="str">
            <v>Data Analytcis Course</v>
          </cell>
          <cell r="C1524">
            <v>152</v>
          </cell>
          <cell r="D1524">
            <v>152</v>
          </cell>
          <cell r="E1524">
            <v>4498</v>
          </cell>
          <cell r="F1524">
            <v>4498</v>
          </cell>
          <cell r="G1524" t="str">
            <v>$233.81</v>
          </cell>
          <cell r="H1524" t="str">
            <v>$233.81</v>
          </cell>
          <cell r="I1524">
            <v>30</v>
          </cell>
          <cell r="J1524">
            <v>30</v>
          </cell>
          <cell r="K1524">
            <v>6</v>
          </cell>
          <cell r="L1524">
            <v>6</v>
          </cell>
          <cell r="M1524">
            <v>3.9473684210526314E-2</v>
          </cell>
          <cell r="N1524">
            <v>3.9E-2</v>
          </cell>
          <cell r="O1524" t="str">
            <v>$1090</v>
          </cell>
          <cell r="P1524" t="str">
            <v>$1090</v>
          </cell>
          <cell r="Q1524">
            <v>45621</v>
          </cell>
          <cell r="R1524" t="str">
            <v>Hyderabad</v>
          </cell>
          <cell r="S1524" t="str">
            <v>Desktop</v>
          </cell>
          <cell r="T1524" t="str">
            <v>data analytics online</v>
          </cell>
        </row>
        <row r="1525">
          <cell r="A1525" t="str">
            <v>A2523</v>
          </cell>
          <cell r="B1525" t="str">
            <v>Data Analytics Course</v>
          </cell>
          <cell r="C1525">
            <v>111</v>
          </cell>
          <cell r="D1525">
            <v>111</v>
          </cell>
          <cell r="E1525">
            <v>4164</v>
          </cell>
          <cell r="F1525">
            <v>4164</v>
          </cell>
          <cell r="G1525" t="str">
            <v>$191.04</v>
          </cell>
          <cell r="H1525" t="str">
            <v>$191.04</v>
          </cell>
          <cell r="I1525">
            <v>18</v>
          </cell>
          <cell r="J1525">
            <v>18</v>
          </cell>
          <cell r="K1525">
            <v>9</v>
          </cell>
          <cell r="L1525">
            <v>9</v>
          </cell>
          <cell r="M1525">
            <v>8.1081081081081086E-2</v>
          </cell>
          <cell r="O1525" t="str">
            <v>$1687</v>
          </cell>
          <cell r="P1525" t="str">
            <v>$1687</v>
          </cell>
          <cell r="Q1525">
            <v>45617</v>
          </cell>
          <cell r="R1525" t="str">
            <v>Bangaluru</v>
          </cell>
          <cell r="S1525" t="str">
            <v>Tablet</v>
          </cell>
          <cell r="T1525" t="str">
            <v>data analytics training</v>
          </cell>
        </row>
        <row r="1526">
          <cell r="A1526" t="str">
            <v>A2524</v>
          </cell>
          <cell r="B1526" t="str">
            <v>Data Analytics Course</v>
          </cell>
          <cell r="C1526">
            <v>141</v>
          </cell>
          <cell r="D1526">
            <v>141</v>
          </cell>
          <cell r="E1526">
            <v>4329</v>
          </cell>
          <cell r="F1526">
            <v>4329</v>
          </cell>
          <cell r="G1526" t="str">
            <v>$230.44</v>
          </cell>
          <cell r="H1526" t="str">
            <v>$230.44</v>
          </cell>
          <cell r="I1526">
            <v>14</v>
          </cell>
          <cell r="J1526">
            <v>14</v>
          </cell>
          <cell r="K1526">
            <v>6</v>
          </cell>
          <cell r="L1526">
            <v>6</v>
          </cell>
          <cell r="M1526">
            <v>4.2553191489361701E-2</v>
          </cell>
          <cell r="N1526">
            <v>4.2999999999999997E-2</v>
          </cell>
          <cell r="O1526" t="str">
            <v>$1610</v>
          </cell>
          <cell r="P1526" t="str">
            <v>$1610</v>
          </cell>
          <cell r="Q1526">
            <v>45603</v>
          </cell>
          <cell r="R1526" t="str">
            <v>Hyderabad</v>
          </cell>
          <cell r="S1526" t="str">
            <v>Mobile</v>
          </cell>
          <cell r="T1526" t="str">
            <v>learn data analytics</v>
          </cell>
        </row>
        <row r="1527">
          <cell r="A1527" t="str">
            <v>A2525</v>
          </cell>
          <cell r="B1527" t="str">
            <v>Data Analytics Course</v>
          </cell>
          <cell r="C1527">
            <v>97</v>
          </cell>
          <cell r="D1527">
            <v>97</v>
          </cell>
          <cell r="E1527">
            <v>5764</v>
          </cell>
          <cell r="F1527">
            <v>5764</v>
          </cell>
          <cell r="G1527" t="str">
            <v>$246.15</v>
          </cell>
          <cell r="H1527" t="str">
            <v>$246.15</v>
          </cell>
          <cell r="I1527">
            <v>30</v>
          </cell>
          <cell r="J1527">
            <v>30</v>
          </cell>
          <cell r="K1527">
            <v>7</v>
          </cell>
          <cell r="L1527">
            <v>7</v>
          </cell>
          <cell r="M1527">
            <v>7.2164948453608241E-2</v>
          </cell>
          <cell r="O1527" t="str">
            <v>$1345</v>
          </cell>
          <cell r="P1527" t="str">
            <v>$1345</v>
          </cell>
          <cell r="Q1527">
            <v>45614</v>
          </cell>
          <cell r="R1527" t="str">
            <v>Chennai</v>
          </cell>
          <cell r="S1527" t="str">
            <v>Mobile</v>
          </cell>
          <cell r="T1527" t="str">
            <v>analytics for data</v>
          </cell>
        </row>
        <row r="1528">
          <cell r="A1528" t="str">
            <v>A2526</v>
          </cell>
          <cell r="B1528" t="str">
            <v>Data Analytcis Course</v>
          </cell>
          <cell r="C1528">
            <v>82</v>
          </cell>
          <cell r="D1528">
            <v>82</v>
          </cell>
          <cell r="E1528">
            <v>5430</v>
          </cell>
          <cell r="F1528">
            <v>5430</v>
          </cell>
          <cell r="G1528" t="str">
            <v>$205.46</v>
          </cell>
          <cell r="H1528" t="str">
            <v>$205.46</v>
          </cell>
          <cell r="I1528">
            <v>18</v>
          </cell>
          <cell r="J1528">
            <v>18</v>
          </cell>
          <cell r="K1528">
            <v>5</v>
          </cell>
          <cell r="L1528">
            <v>5</v>
          </cell>
          <cell r="M1528">
            <v>6.097560975609756E-2</v>
          </cell>
          <cell r="N1528">
            <v>6.0999999999999999E-2</v>
          </cell>
          <cell r="O1528" t="str">
            <v>$1435</v>
          </cell>
          <cell r="P1528" t="str">
            <v>$1435</v>
          </cell>
          <cell r="Q1528">
            <v>45626</v>
          </cell>
          <cell r="R1528" t="str">
            <v>Bangaluru</v>
          </cell>
          <cell r="S1528" t="str">
            <v>Mobile</v>
          </cell>
          <cell r="T1528" t="str">
            <v>online data analytic</v>
          </cell>
        </row>
        <row r="1529">
          <cell r="A1529" t="str">
            <v>A2527</v>
          </cell>
          <cell r="B1529" t="str">
            <v>Data Analytics Course</v>
          </cell>
          <cell r="C1529">
            <v>164</v>
          </cell>
          <cell r="D1529">
            <v>164</v>
          </cell>
          <cell r="E1529">
            <v>5179</v>
          </cell>
          <cell r="F1529">
            <v>5179</v>
          </cell>
          <cell r="G1529" t="str">
            <v>$206.72</v>
          </cell>
          <cell r="H1529" t="str">
            <v>$206.72</v>
          </cell>
          <cell r="I1529">
            <v>18</v>
          </cell>
          <cell r="J1529">
            <v>18</v>
          </cell>
          <cell r="K1529">
            <v>9</v>
          </cell>
          <cell r="L1529">
            <v>9</v>
          </cell>
          <cell r="M1529">
            <v>5.4878048780487805E-2</v>
          </cell>
          <cell r="N1529">
            <v>5.5E-2</v>
          </cell>
          <cell r="O1529" t="str">
            <v>$1213</v>
          </cell>
          <cell r="P1529" t="str">
            <v>$1213</v>
          </cell>
          <cell r="Q1529">
            <v>45623</v>
          </cell>
          <cell r="R1529" t="str">
            <v>Hyderabad</v>
          </cell>
          <cell r="S1529" t="str">
            <v>Tablet</v>
          </cell>
          <cell r="T1529" t="str">
            <v>data analytics course</v>
          </cell>
        </row>
        <row r="1530">
          <cell r="A1530" t="str">
            <v>A2528</v>
          </cell>
          <cell r="B1530" t="str">
            <v>Data Analytcis Course</v>
          </cell>
          <cell r="C1530">
            <v>109</v>
          </cell>
          <cell r="D1530">
            <v>109</v>
          </cell>
          <cell r="E1530">
            <v>5707</v>
          </cell>
          <cell r="F1530">
            <v>5707</v>
          </cell>
          <cell r="G1530" t="str">
            <v>$246.86</v>
          </cell>
          <cell r="H1530" t="str">
            <v>$246.86</v>
          </cell>
          <cell r="I1530">
            <v>22</v>
          </cell>
          <cell r="J1530">
            <v>22</v>
          </cell>
          <cell r="K1530">
            <v>4</v>
          </cell>
          <cell r="L1530">
            <v>4</v>
          </cell>
          <cell r="M1530">
            <v>3.669724770642202E-2</v>
          </cell>
          <cell r="N1530">
            <v>3.4000000000000002E-2</v>
          </cell>
          <cell r="O1530" t="str">
            <v>$1980</v>
          </cell>
          <cell r="P1530" t="str">
            <v>$1980</v>
          </cell>
          <cell r="Q1530">
            <v>45615</v>
          </cell>
          <cell r="R1530" t="str">
            <v>Chennai</v>
          </cell>
          <cell r="S1530" t="str">
            <v>Tablet</v>
          </cell>
          <cell r="T1530" t="str">
            <v>data analytics online</v>
          </cell>
        </row>
        <row r="1531">
          <cell r="A1531" t="str">
            <v>A2529</v>
          </cell>
          <cell r="B1531" t="str">
            <v>Data Analytics Course</v>
          </cell>
          <cell r="C1531">
            <v>126</v>
          </cell>
          <cell r="D1531">
            <v>126</v>
          </cell>
          <cell r="E1531">
            <v>3263</v>
          </cell>
          <cell r="F1531">
            <v>3263</v>
          </cell>
          <cell r="G1531" t="str">
            <v>$237.54</v>
          </cell>
          <cell r="H1531" t="str">
            <v>$237.54</v>
          </cell>
          <cell r="I1531">
            <v>20.19463087248322</v>
          </cell>
          <cell r="K1531">
            <v>9</v>
          </cell>
          <cell r="L1531">
            <v>9</v>
          </cell>
          <cell r="M1531">
            <v>7.1428571428571425E-2</v>
          </cell>
          <cell r="O1531" t="str">
            <v>$1364</v>
          </cell>
          <cell r="P1531" t="str">
            <v>$1364</v>
          </cell>
          <cell r="Q1531">
            <v>45613</v>
          </cell>
          <cell r="R1531" t="str">
            <v>Hyderabad</v>
          </cell>
          <cell r="S1531" t="str">
            <v>Mobile</v>
          </cell>
          <cell r="T1531" t="str">
            <v>data analytics online</v>
          </cell>
        </row>
        <row r="1532">
          <cell r="A1532" t="str">
            <v>A2530</v>
          </cell>
          <cell r="B1532" t="str">
            <v>Data Analytcis Course</v>
          </cell>
          <cell r="C1532">
            <v>175</v>
          </cell>
          <cell r="D1532">
            <v>175</v>
          </cell>
          <cell r="E1532">
            <v>5718</v>
          </cell>
          <cell r="F1532">
            <v>5718</v>
          </cell>
          <cell r="G1532" t="str">
            <v>$225.4</v>
          </cell>
          <cell r="H1532" t="str">
            <v>$225.4</v>
          </cell>
          <cell r="I1532">
            <v>19</v>
          </cell>
          <cell r="J1532">
            <v>19</v>
          </cell>
          <cell r="K1532">
            <v>6</v>
          </cell>
          <cell r="L1532">
            <v>6</v>
          </cell>
          <cell r="M1532">
            <v>3.4285714285714287E-2</v>
          </cell>
          <cell r="N1532">
            <v>5.7000000000000002E-2</v>
          </cell>
          <cell r="O1532" t="str">
            <v>$1001</v>
          </cell>
          <cell r="P1532" t="str">
            <v>$1001</v>
          </cell>
          <cell r="Q1532">
            <v>45608</v>
          </cell>
          <cell r="R1532" t="str">
            <v>Hyderabad</v>
          </cell>
          <cell r="S1532" t="str">
            <v>Tablet</v>
          </cell>
          <cell r="T1532" t="str">
            <v>analytics for data</v>
          </cell>
        </row>
        <row r="1533">
          <cell r="A1533" t="str">
            <v>A2531</v>
          </cell>
          <cell r="B1533" t="str">
            <v>Data Analytics Course</v>
          </cell>
          <cell r="C1533">
            <v>96</v>
          </cell>
          <cell r="D1533">
            <v>96</v>
          </cell>
          <cell r="E1533">
            <v>5075</v>
          </cell>
          <cell r="F1533">
            <v>5075</v>
          </cell>
          <cell r="G1533" t="str">
            <v>$221.28</v>
          </cell>
          <cell r="H1533" t="str">
            <v>$221.28</v>
          </cell>
          <cell r="I1533">
            <v>25</v>
          </cell>
          <cell r="J1533">
            <v>25</v>
          </cell>
          <cell r="K1533">
            <v>3</v>
          </cell>
          <cell r="L1533">
            <v>3</v>
          </cell>
          <cell r="M1533">
            <v>3.125E-2</v>
          </cell>
          <cell r="N1533">
            <v>3.7999999999999999E-2</v>
          </cell>
          <cell r="O1533" t="str">
            <v>$1937</v>
          </cell>
          <cell r="P1533" t="str">
            <v>$1937</v>
          </cell>
          <cell r="Q1533">
            <v>45619</v>
          </cell>
          <cell r="R1533" t="str">
            <v>Hyderabad</v>
          </cell>
          <cell r="S1533" t="str">
            <v>Desktop</v>
          </cell>
          <cell r="T1533" t="str">
            <v>learn data analytics</v>
          </cell>
        </row>
        <row r="1534">
          <cell r="A1534" t="str">
            <v>A2532</v>
          </cell>
          <cell r="B1534" t="str">
            <v>Data Analytics Course</v>
          </cell>
          <cell r="C1534">
            <v>113</v>
          </cell>
          <cell r="D1534">
            <v>113</v>
          </cell>
          <cell r="E1534">
            <v>4473</v>
          </cell>
          <cell r="F1534">
            <v>4473</v>
          </cell>
          <cell r="G1534" t="str">
            <v>$202.3</v>
          </cell>
          <cell r="H1534" t="str">
            <v>$202.3</v>
          </cell>
          <cell r="I1534">
            <v>17</v>
          </cell>
          <cell r="J1534">
            <v>17</v>
          </cell>
          <cell r="K1534">
            <v>5</v>
          </cell>
          <cell r="L1534">
            <v>5</v>
          </cell>
          <cell r="M1534">
            <v>4.4247787610619468E-2</v>
          </cell>
          <cell r="N1534">
            <v>4.3999999999999997E-2</v>
          </cell>
          <cell r="O1534" t="str">
            <v>$1049</v>
          </cell>
          <cell r="P1534" t="str">
            <v>$1049</v>
          </cell>
          <cell r="Q1534">
            <v>45604</v>
          </cell>
          <cell r="R1534" t="str">
            <v>Bangaluru</v>
          </cell>
          <cell r="S1534" t="str">
            <v>Tablet</v>
          </cell>
          <cell r="T1534" t="str">
            <v>online data analytic</v>
          </cell>
        </row>
        <row r="1535">
          <cell r="A1535" t="str">
            <v>A2533</v>
          </cell>
          <cell r="B1535" t="str">
            <v>Data Analytics Course</v>
          </cell>
          <cell r="C1535">
            <v>96</v>
          </cell>
          <cell r="D1535">
            <v>96</v>
          </cell>
          <cell r="E1535">
            <v>3979</v>
          </cell>
          <cell r="F1535">
            <v>3979</v>
          </cell>
          <cell r="G1535" t="str">
            <v>$232.44</v>
          </cell>
          <cell r="H1535" t="str">
            <v>$232.44</v>
          </cell>
          <cell r="I1535">
            <v>27</v>
          </cell>
          <cell r="J1535">
            <v>27</v>
          </cell>
          <cell r="K1535">
            <v>7</v>
          </cell>
          <cell r="L1535">
            <v>7</v>
          </cell>
          <cell r="M1535">
            <v>7.2916666666666671E-2</v>
          </cell>
          <cell r="O1535" t="str">
            <v>$1140</v>
          </cell>
          <cell r="P1535" t="str">
            <v>$1140</v>
          </cell>
          <cell r="Q1535">
            <v>45626</v>
          </cell>
          <cell r="R1535" t="str">
            <v>Hyderabad</v>
          </cell>
          <cell r="S1535" t="str">
            <v>Mobile</v>
          </cell>
          <cell r="T1535" t="str">
            <v>learn data analytics</v>
          </cell>
        </row>
        <row r="1536">
          <cell r="A1536" t="str">
            <v>A2534</v>
          </cell>
          <cell r="B1536" t="str">
            <v>Data Analytcis Course</v>
          </cell>
          <cell r="C1536">
            <v>162</v>
          </cell>
          <cell r="D1536">
            <v>162</v>
          </cell>
          <cell r="E1536">
            <v>5688</v>
          </cell>
          <cell r="F1536">
            <v>5688</v>
          </cell>
          <cell r="G1536" t="str">
            <v>$190.31</v>
          </cell>
          <cell r="H1536" t="str">
            <v>$190.31</v>
          </cell>
          <cell r="I1536">
            <v>17</v>
          </cell>
          <cell r="J1536">
            <v>17</v>
          </cell>
          <cell r="K1536">
            <v>5</v>
          </cell>
          <cell r="L1536">
            <v>5</v>
          </cell>
          <cell r="M1536">
            <v>3.0864197530864196E-2</v>
          </cell>
          <cell r="N1536">
            <v>3.1E-2</v>
          </cell>
          <cell r="O1536" t="str">
            <v>$1556</v>
          </cell>
          <cell r="P1536" t="str">
            <v>$1556</v>
          </cell>
          <cell r="Q1536">
            <v>45621</v>
          </cell>
          <cell r="R1536" t="str">
            <v>Chennai</v>
          </cell>
          <cell r="S1536" t="str">
            <v>Tablet</v>
          </cell>
          <cell r="T1536" t="str">
            <v>data analytics course</v>
          </cell>
        </row>
        <row r="1537">
          <cell r="A1537" t="str">
            <v>A2535</v>
          </cell>
          <cell r="B1537" t="str">
            <v>Data Analytics Course</v>
          </cell>
          <cell r="C1537">
            <v>125</v>
          </cell>
          <cell r="D1537">
            <v>125</v>
          </cell>
          <cell r="E1537">
            <v>3546</v>
          </cell>
          <cell r="F1537">
            <v>3546</v>
          </cell>
          <cell r="G1537" t="str">
            <v>$234.02</v>
          </cell>
          <cell r="H1537" t="str">
            <v>$234.02</v>
          </cell>
          <cell r="I1537">
            <v>23</v>
          </cell>
          <cell r="J1537">
            <v>23</v>
          </cell>
          <cell r="K1537">
            <v>10</v>
          </cell>
          <cell r="L1537">
            <v>10</v>
          </cell>
          <cell r="M1537">
            <v>0.08</v>
          </cell>
          <cell r="O1537" t="str">
            <v>$1072</v>
          </cell>
          <cell r="P1537" t="str">
            <v>$1072</v>
          </cell>
          <cell r="Q1537">
            <v>45623</v>
          </cell>
          <cell r="R1537" t="str">
            <v>Hyderabad</v>
          </cell>
          <cell r="S1537" t="str">
            <v>Desktop</v>
          </cell>
          <cell r="T1537" t="str">
            <v>analytics for data</v>
          </cell>
        </row>
        <row r="1538">
          <cell r="A1538" t="str">
            <v>A2536</v>
          </cell>
          <cell r="B1538" t="str">
            <v>Data Analytics Course</v>
          </cell>
          <cell r="C1538">
            <v>89</v>
          </cell>
          <cell r="D1538">
            <v>89</v>
          </cell>
          <cell r="E1538">
            <v>4188</v>
          </cell>
          <cell r="F1538">
            <v>4188</v>
          </cell>
          <cell r="G1538" t="str">
            <v>$206.71</v>
          </cell>
          <cell r="H1538" t="str">
            <v>$206.71</v>
          </cell>
          <cell r="I1538">
            <v>16</v>
          </cell>
          <cell r="J1538">
            <v>16</v>
          </cell>
          <cell r="K1538">
            <v>4</v>
          </cell>
          <cell r="L1538">
            <v>4</v>
          </cell>
          <cell r="M1538">
            <v>4.49438202247191E-2</v>
          </cell>
          <cell r="N1538">
            <v>4.4999999999999998E-2</v>
          </cell>
          <cell r="O1538" t="str">
            <v>$1382</v>
          </cell>
          <cell r="P1538" t="str">
            <v>$1382</v>
          </cell>
          <cell r="Q1538">
            <v>45597</v>
          </cell>
          <cell r="R1538" t="str">
            <v>Chennai</v>
          </cell>
          <cell r="S1538" t="str">
            <v>Tablet</v>
          </cell>
          <cell r="T1538" t="str">
            <v>online data analytic</v>
          </cell>
        </row>
        <row r="1539">
          <cell r="A1539" t="str">
            <v>A2537</v>
          </cell>
          <cell r="B1539" t="str">
            <v>Data Analytics Course</v>
          </cell>
          <cell r="C1539">
            <v>99</v>
          </cell>
          <cell r="D1539">
            <v>99</v>
          </cell>
          <cell r="E1539">
            <v>4134</v>
          </cell>
          <cell r="F1539">
            <v>4134</v>
          </cell>
          <cell r="G1539" t="str">
            <v>$234.04</v>
          </cell>
          <cell r="H1539" t="str">
            <v>$234.04</v>
          </cell>
          <cell r="I1539">
            <v>18</v>
          </cell>
          <cell r="J1539">
            <v>18</v>
          </cell>
          <cell r="K1539">
            <v>3</v>
          </cell>
          <cell r="L1539">
            <v>3</v>
          </cell>
          <cell r="M1539">
            <v>3.0303030303030304E-2</v>
          </cell>
          <cell r="N1539">
            <v>0.03</v>
          </cell>
          <cell r="O1539" t="str">
            <v>$1683</v>
          </cell>
          <cell r="P1539" t="str">
            <v>$1683</v>
          </cell>
          <cell r="Q1539">
            <v>45626</v>
          </cell>
          <cell r="R1539" t="str">
            <v>Hyderabad</v>
          </cell>
          <cell r="S1539" t="str">
            <v>Desktop</v>
          </cell>
          <cell r="T1539" t="str">
            <v>learn data analytics</v>
          </cell>
        </row>
        <row r="1540">
          <cell r="A1540" t="str">
            <v>A2538</v>
          </cell>
          <cell r="B1540" t="str">
            <v>Data Analytcis Course</v>
          </cell>
          <cell r="C1540">
            <v>91</v>
          </cell>
          <cell r="D1540">
            <v>91</v>
          </cell>
          <cell r="E1540">
            <v>4710</v>
          </cell>
          <cell r="F1540">
            <v>4710</v>
          </cell>
          <cell r="G1540" t="str">
            <v>$199.18</v>
          </cell>
          <cell r="H1540" t="str">
            <v>$199.18</v>
          </cell>
          <cell r="I1540">
            <v>21</v>
          </cell>
          <cell r="J1540">
            <v>21</v>
          </cell>
          <cell r="K1540">
            <v>9</v>
          </cell>
          <cell r="L1540">
            <v>9</v>
          </cell>
          <cell r="M1540">
            <v>9.8901098901098897E-2</v>
          </cell>
          <cell r="N1540">
            <v>9.9000000000000005E-2</v>
          </cell>
          <cell r="O1540" t="str">
            <v>$1431</v>
          </cell>
          <cell r="P1540" t="str">
            <v>$1431</v>
          </cell>
          <cell r="Q1540">
            <v>45606</v>
          </cell>
          <cell r="R1540" t="str">
            <v>Bangaluru</v>
          </cell>
          <cell r="S1540" t="str">
            <v>Tablet</v>
          </cell>
          <cell r="T1540" t="str">
            <v>data analytics course</v>
          </cell>
        </row>
        <row r="1541">
          <cell r="A1541" t="str">
            <v>A2539</v>
          </cell>
          <cell r="B1541" t="str">
            <v>Data Analytics Course</v>
          </cell>
          <cell r="C1541">
            <v>141</v>
          </cell>
          <cell r="D1541">
            <v>141</v>
          </cell>
          <cell r="E1541">
            <v>4654</v>
          </cell>
          <cell r="F1541">
            <v>4654</v>
          </cell>
          <cell r="G1541" t="str">
            <v>$192.19</v>
          </cell>
          <cell r="H1541" t="str">
            <v>$192.19</v>
          </cell>
          <cell r="I1541">
            <v>21</v>
          </cell>
          <cell r="J1541">
            <v>21</v>
          </cell>
          <cell r="K1541">
            <v>6</v>
          </cell>
          <cell r="L1541">
            <v>6</v>
          </cell>
          <cell r="M1541">
            <v>4.2553191489361701E-2</v>
          </cell>
          <cell r="N1541">
            <v>4.2999999999999997E-2</v>
          </cell>
          <cell r="O1541" t="str">
            <v>$1932</v>
          </cell>
          <cell r="P1541" t="str">
            <v>$1932</v>
          </cell>
          <cell r="Q1541">
            <v>45621</v>
          </cell>
          <cell r="R1541" t="str">
            <v>Bangaluru</v>
          </cell>
          <cell r="S1541" t="str">
            <v>Mobile</v>
          </cell>
          <cell r="T1541" t="str">
            <v>analytics for data</v>
          </cell>
        </row>
        <row r="1542">
          <cell r="A1542" t="str">
            <v>A2540</v>
          </cell>
          <cell r="B1542" t="str">
            <v>Data Analytics Course</v>
          </cell>
          <cell r="C1542">
            <v>110</v>
          </cell>
          <cell r="D1542">
            <v>110</v>
          </cell>
          <cell r="E1542">
            <v>5509</v>
          </cell>
          <cell r="F1542">
            <v>5509</v>
          </cell>
          <cell r="G1542" t="str">
            <v>$245.38</v>
          </cell>
          <cell r="H1542" t="str">
            <v>$245.38</v>
          </cell>
          <cell r="I1542">
            <v>13</v>
          </cell>
          <cell r="J1542">
            <v>13</v>
          </cell>
          <cell r="K1542">
            <v>8</v>
          </cell>
          <cell r="L1542">
            <v>8</v>
          </cell>
          <cell r="M1542">
            <v>7.2727272727272724E-2</v>
          </cell>
          <cell r="N1542">
            <v>4.8000000000000001E-2</v>
          </cell>
          <cell r="O1542" t="str">
            <v>$1539</v>
          </cell>
          <cell r="P1542" t="str">
            <v>$1539</v>
          </cell>
          <cell r="Q1542">
            <v>45606</v>
          </cell>
          <cell r="R1542" t="str">
            <v>Bangaluru</v>
          </cell>
          <cell r="S1542" t="str">
            <v>Mobile</v>
          </cell>
          <cell r="T1542" t="str">
            <v>learn data analytics</v>
          </cell>
        </row>
        <row r="1543">
          <cell r="A1543" t="str">
            <v>A2541</v>
          </cell>
          <cell r="B1543" t="str">
            <v>Data Analytcis Course</v>
          </cell>
          <cell r="C1543">
            <v>96</v>
          </cell>
          <cell r="D1543">
            <v>96</v>
          </cell>
          <cell r="E1543">
            <v>3091</v>
          </cell>
          <cell r="F1543">
            <v>3091</v>
          </cell>
          <cell r="G1543" t="str">
            <v>$187.57</v>
          </cell>
          <cell r="H1543" t="str">
            <v>$187.57</v>
          </cell>
          <cell r="I1543">
            <v>11</v>
          </cell>
          <cell r="J1543">
            <v>11</v>
          </cell>
          <cell r="K1543">
            <v>6.5627450980392155</v>
          </cell>
          <cell r="M1543">
            <v>6.8361928104575156E-2</v>
          </cell>
          <cell r="O1543" t="str">
            <v>$1737</v>
          </cell>
          <cell r="P1543" t="str">
            <v>$1737</v>
          </cell>
          <cell r="Q1543">
            <v>45606</v>
          </cell>
          <cell r="R1543" t="str">
            <v>Bangaluru</v>
          </cell>
          <cell r="S1543" t="str">
            <v>Tablet</v>
          </cell>
          <cell r="T1543" t="str">
            <v>data analytics course</v>
          </cell>
        </row>
        <row r="1544">
          <cell r="A1544" t="str">
            <v>A2542</v>
          </cell>
          <cell r="B1544" t="str">
            <v>Data Analytcis Course</v>
          </cell>
          <cell r="C1544">
            <v>85</v>
          </cell>
          <cell r="D1544">
            <v>85</v>
          </cell>
          <cell r="E1544">
            <v>4653</v>
          </cell>
          <cell r="F1544">
            <v>4653</v>
          </cell>
          <cell r="G1544" t="str">
            <v>$196.73</v>
          </cell>
          <cell r="H1544" t="str">
            <v>$196.73</v>
          </cell>
          <cell r="I1544">
            <v>23</v>
          </cell>
          <cell r="J1544">
            <v>23</v>
          </cell>
          <cell r="K1544">
            <v>6</v>
          </cell>
          <cell r="L1544">
            <v>6</v>
          </cell>
          <cell r="M1544">
            <v>7.0588235294117646E-2</v>
          </cell>
          <cell r="N1544">
            <v>7.0999999999999994E-2</v>
          </cell>
          <cell r="O1544" t="str">
            <v>$1032</v>
          </cell>
          <cell r="P1544" t="str">
            <v>$1032</v>
          </cell>
          <cell r="Q1544">
            <v>45609</v>
          </cell>
          <cell r="R1544" t="str">
            <v>Hyderabad</v>
          </cell>
          <cell r="S1544" t="str">
            <v>Mobile</v>
          </cell>
          <cell r="T1544" t="str">
            <v>data analytics course</v>
          </cell>
        </row>
        <row r="1545">
          <cell r="A1545" t="str">
            <v>A2543</v>
          </cell>
          <cell r="B1545" t="str">
            <v>Data Analytics Course</v>
          </cell>
          <cell r="C1545">
            <v>151</v>
          </cell>
          <cell r="D1545">
            <v>151</v>
          </cell>
          <cell r="E1545">
            <v>5389</v>
          </cell>
          <cell r="F1545">
            <v>5389</v>
          </cell>
          <cell r="G1545" t="str">
            <v>$227.07</v>
          </cell>
          <cell r="H1545" t="str">
            <v>$227.07</v>
          </cell>
          <cell r="I1545">
            <v>18</v>
          </cell>
          <cell r="J1545">
            <v>18</v>
          </cell>
          <cell r="K1545">
            <v>10</v>
          </cell>
          <cell r="L1545">
            <v>10</v>
          </cell>
          <cell r="M1545">
            <v>6.6225165562913912E-2</v>
          </cell>
          <cell r="N1545">
            <v>5.7000000000000002E-2</v>
          </cell>
          <cell r="O1545" t="str">
            <v>$1318</v>
          </cell>
          <cell r="P1545" t="str">
            <v>$1318</v>
          </cell>
          <cell r="Q1545">
            <v>45616</v>
          </cell>
          <cell r="R1545" t="str">
            <v>Bangaluru</v>
          </cell>
          <cell r="S1545" t="str">
            <v>Desktop</v>
          </cell>
          <cell r="T1545" t="str">
            <v>data analytics training</v>
          </cell>
        </row>
        <row r="1546">
          <cell r="A1546" t="str">
            <v>A2544</v>
          </cell>
          <cell r="B1546" t="str">
            <v>Data Analytics Course</v>
          </cell>
          <cell r="C1546">
            <v>139</v>
          </cell>
          <cell r="D1546">
            <v>139</v>
          </cell>
          <cell r="E1546">
            <v>5290</v>
          </cell>
          <cell r="F1546">
            <v>5290</v>
          </cell>
          <cell r="G1546" t="str">
            <v>$208.43</v>
          </cell>
          <cell r="H1546" t="str">
            <v>$208.43</v>
          </cell>
          <cell r="I1546">
            <v>28</v>
          </cell>
          <cell r="J1546">
            <v>28</v>
          </cell>
          <cell r="K1546">
            <v>4</v>
          </cell>
          <cell r="L1546">
            <v>4</v>
          </cell>
          <cell r="M1546">
            <v>2.8776978417266189E-2</v>
          </cell>
          <cell r="N1546">
            <v>5.0999999999999997E-2</v>
          </cell>
          <cell r="O1546" t="str">
            <v>$1022</v>
          </cell>
          <cell r="P1546" t="str">
            <v>$1022</v>
          </cell>
          <cell r="Q1546">
            <v>45616</v>
          </cell>
          <cell r="R1546" t="str">
            <v>Bangaluru</v>
          </cell>
          <cell r="S1546" t="str">
            <v>Tablet</v>
          </cell>
          <cell r="T1546" t="str">
            <v>data analytics online</v>
          </cell>
        </row>
        <row r="1547">
          <cell r="A1547" t="str">
            <v>A2545</v>
          </cell>
          <cell r="B1547" t="str">
            <v>Data Analytics Course</v>
          </cell>
          <cell r="C1547">
            <v>120</v>
          </cell>
          <cell r="D1547">
            <v>120</v>
          </cell>
          <cell r="E1547">
            <v>3060</v>
          </cell>
          <cell r="F1547">
            <v>3060</v>
          </cell>
          <cell r="G1547" t="str">
            <v>$197.96</v>
          </cell>
          <cell r="H1547" t="str">
            <v>$197.96</v>
          </cell>
          <cell r="I1547">
            <v>20.200389105058367</v>
          </cell>
          <cell r="K1547">
            <v>8</v>
          </cell>
          <cell r="L1547">
            <v>8</v>
          </cell>
          <cell r="M1547">
            <v>6.6666666666666666E-2</v>
          </cell>
          <cell r="N1547">
            <v>6.7000000000000004E-2</v>
          </cell>
          <cell r="O1547" t="str">
            <v>$1679</v>
          </cell>
          <cell r="P1547" t="str">
            <v>$1679</v>
          </cell>
          <cell r="Q1547">
            <v>45619</v>
          </cell>
          <cell r="R1547" t="str">
            <v>Hyderabad</v>
          </cell>
          <cell r="S1547" t="str">
            <v>Tablet</v>
          </cell>
          <cell r="T1547" t="str">
            <v>analytics for data</v>
          </cell>
        </row>
        <row r="1548">
          <cell r="A1548" t="str">
            <v>A2546</v>
          </cell>
          <cell r="B1548" t="str">
            <v>Data Analytcis Course</v>
          </cell>
          <cell r="C1548">
            <v>109</v>
          </cell>
          <cell r="D1548">
            <v>109</v>
          </cell>
          <cell r="E1548">
            <v>4444</v>
          </cell>
          <cell r="F1548">
            <v>4444</v>
          </cell>
          <cell r="G1548" t="str">
            <v>$219.46</v>
          </cell>
          <cell r="H1548" t="str">
            <v>$219.46</v>
          </cell>
          <cell r="I1548">
            <v>12</v>
          </cell>
          <cell r="J1548">
            <v>12</v>
          </cell>
          <cell r="K1548">
            <v>9</v>
          </cell>
          <cell r="L1548">
            <v>9</v>
          </cell>
          <cell r="M1548">
            <v>8.2568807339449546E-2</v>
          </cell>
          <cell r="N1548">
            <v>8.3000000000000004E-2</v>
          </cell>
          <cell r="O1548" t="str">
            <v>$1159</v>
          </cell>
          <cell r="P1548" t="str">
            <v>$1159</v>
          </cell>
          <cell r="Q1548">
            <v>45624</v>
          </cell>
          <cell r="R1548" t="str">
            <v>Chennai</v>
          </cell>
          <cell r="S1548" t="str">
            <v>Mobile</v>
          </cell>
          <cell r="T1548" t="str">
            <v>data analytics training</v>
          </cell>
        </row>
        <row r="1549">
          <cell r="A1549" t="str">
            <v>A2547</v>
          </cell>
          <cell r="B1549" t="str">
            <v>Data Analytics Course</v>
          </cell>
          <cell r="C1549">
            <v>145</v>
          </cell>
          <cell r="D1549">
            <v>145</v>
          </cell>
          <cell r="E1549">
            <v>3509</v>
          </cell>
          <cell r="F1549">
            <v>3509</v>
          </cell>
          <cell r="G1549" t="str">
            <v>$181.11</v>
          </cell>
          <cell r="H1549" t="str">
            <v>$181.11</v>
          </cell>
          <cell r="I1549">
            <v>19</v>
          </cell>
          <cell r="J1549">
            <v>19</v>
          </cell>
          <cell r="K1549">
            <v>10</v>
          </cell>
          <cell r="L1549">
            <v>10</v>
          </cell>
          <cell r="M1549">
            <v>6.8965517241379309E-2</v>
          </cell>
          <cell r="N1549">
            <v>4.8000000000000001E-2</v>
          </cell>
          <cell r="O1549" t="str">
            <v>$1627</v>
          </cell>
          <cell r="P1549" t="str">
            <v>$1627</v>
          </cell>
          <cell r="Q1549">
            <v>45618</v>
          </cell>
          <cell r="R1549" t="str">
            <v>Hyderabad</v>
          </cell>
          <cell r="S1549" t="str">
            <v>Mobile</v>
          </cell>
          <cell r="T1549" t="str">
            <v>online data analytic</v>
          </cell>
        </row>
        <row r="1550">
          <cell r="A1550" t="str">
            <v>A2548</v>
          </cell>
          <cell r="B1550" t="str">
            <v>Data Analytics Course</v>
          </cell>
          <cell r="C1550">
            <v>151</v>
          </cell>
          <cell r="D1550">
            <v>151</v>
          </cell>
          <cell r="E1550">
            <v>4675</v>
          </cell>
          <cell r="F1550">
            <v>4675</v>
          </cell>
          <cell r="G1550" t="str">
            <v>$183.02</v>
          </cell>
          <cell r="H1550" t="str">
            <v>$183.02</v>
          </cell>
          <cell r="I1550">
            <v>14</v>
          </cell>
          <cell r="J1550">
            <v>14</v>
          </cell>
          <cell r="K1550">
            <v>7</v>
          </cell>
          <cell r="L1550">
            <v>7</v>
          </cell>
          <cell r="M1550">
            <v>4.6357615894039736E-2</v>
          </cell>
          <cell r="N1550">
            <v>4.5999999999999999E-2</v>
          </cell>
          <cell r="O1550" t="str">
            <v>$1000</v>
          </cell>
          <cell r="P1550" t="str">
            <v>$1000</v>
          </cell>
          <cell r="Q1550">
            <v>45606</v>
          </cell>
          <cell r="R1550" t="str">
            <v>Hyderabad</v>
          </cell>
          <cell r="S1550" t="str">
            <v>Mobile</v>
          </cell>
          <cell r="T1550" t="str">
            <v>analytics for data</v>
          </cell>
        </row>
        <row r="1551">
          <cell r="A1551" t="str">
            <v>A2549</v>
          </cell>
          <cell r="B1551" t="str">
            <v>Data Analytics Course</v>
          </cell>
          <cell r="C1551">
            <v>108</v>
          </cell>
          <cell r="D1551">
            <v>108</v>
          </cell>
          <cell r="E1551">
            <v>5869</v>
          </cell>
          <cell r="F1551">
            <v>5869</v>
          </cell>
          <cell r="G1551" t="str">
            <v>$226.93</v>
          </cell>
          <cell r="H1551" t="str">
            <v>$226.93</v>
          </cell>
          <cell r="I1551">
            <v>16</v>
          </cell>
          <cell r="J1551">
            <v>16</v>
          </cell>
          <cell r="K1551">
            <v>7</v>
          </cell>
          <cell r="L1551">
            <v>7</v>
          </cell>
          <cell r="M1551">
            <v>6.4814814814814811E-2</v>
          </cell>
          <cell r="N1551">
            <v>6.5000000000000002E-2</v>
          </cell>
          <cell r="O1551" t="str">
            <v>$1633</v>
          </cell>
          <cell r="P1551" t="str">
            <v>$1633</v>
          </cell>
          <cell r="Q1551">
            <v>45599</v>
          </cell>
          <cell r="R1551" t="str">
            <v>Chennai</v>
          </cell>
          <cell r="S1551" t="str">
            <v>Desktop</v>
          </cell>
          <cell r="T1551" t="str">
            <v>analytics for data</v>
          </cell>
        </row>
        <row r="1552">
          <cell r="A1552" t="str">
            <v>A2550</v>
          </cell>
          <cell r="B1552" t="str">
            <v>Data Analytcis Course</v>
          </cell>
          <cell r="C1552">
            <v>166</v>
          </cell>
          <cell r="D1552">
            <v>166</v>
          </cell>
          <cell r="E1552">
            <v>3992</v>
          </cell>
          <cell r="F1552">
            <v>3992</v>
          </cell>
          <cell r="G1552" t="str">
            <v>$205.9</v>
          </cell>
          <cell r="H1552" t="str">
            <v>$205.9</v>
          </cell>
          <cell r="I1552">
            <v>15</v>
          </cell>
          <cell r="J1552">
            <v>15</v>
          </cell>
          <cell r="K1552">
            <v>8</v>
          </cell>
          <cell r="L1552">
            <v>8</v>
          </cell>
          <cell r="M1552">
            <v>4.8192771084337352E-2</v>
          </cell>
          <cell r="N1552">
            <v>4.8000000000000001E-2</v>
          </cell>
          <cell r="O1552" t="str">
            <v>$1899</v>
          </cell>
          <cell r="P1552" t="str">
            <v>$1899</v>
          </cell>
          <cell r="Q1552">
            <v>45601</v>
          </cell>
          <cell r="R1552" t="str">
            <v>Chennai</v>
          </cell>
          <cell r="S1552" t="str">
            <v>Desktop</v>
          </cell>
          <cell r="T1552" t="str">
            <v>analytics for data</v>
          </cell>
        </row>
        <row r="1553">
          <cell r="A1553" t="str">
            <v>A2551</v>
          </cell>
          <cell r="B1553" t="str">
            <v>Data Analytics Course</v>
          </cell>
          <cell r="C1553">
            <v>134</v>
          </cell>
          <cell r="D1553">
            <v>134</v>
          </cell>
          <cell r="E1553">
            <v>4172</v>
          </cell>
          <cell r="F1553">
            <v>4172</v>
          </cell>
          <cell r="G1553" t="str">
            <v>$191.8</v>
          </cell>
          <cell r="H1553" t="str">
            <v>$191.8</v>
          </cell>
          <cell r="I1553">
            <v>26</v>
          </cell>
          <cell r="J1553">
            <v>26</v>
          </cell>
          <cell r="K1553">
            <v>5</v>
          </cell>
          <cell r="L1553">
            <v>5</v>
          </cell>
          <cell r="M1553">
            <v>3.7313432835820892E-2</v>
          </cell>
          <cell r="N1553">
            <v>3.6999999999999998E-2</v>
          </cell>
          <cell r="O1553" t="str">
            <v>$1170</v>
          </cell>
          <cell r="P1553" t="str">
            <v>$1170</v>
          </cell>
          <cell r="Q1553">
            <v>45614</v>
          </cell>
          <cell r="R1553" t="str">
            <v>Hyderabad</v>
          </cell>
          <cell r="S1553" t="str">
            <v>Tablet</v>
          </cell>
          <cell r="T1553" t="str">
            <v>online data analytic</v>
          </cell>
        </row>
        <row r="1554">
          <cell r="A1554" t="str">
            <v>A2552</v>
          </cell>
          <cell r="B1554" t="str">
            <v>Data Analytics Course</v>
          </cell>
          <cell r="C1554">
            <v>104</v>
          </cell>
          <cell r="D1554">
            <v>104</v>
          </cell>
          <cell r="E1554">
            <v>5926</v>
          </cell>
          <cell r="F1554">
            <v>5926</v>
          </cell>
          <cell r="G1554" t="str">
            <v>$224.63</v>
          </cell>
          <cell r="H1554" t="str">
            <v>$224.63</v>
          </cell>
          <cell r="I1554">
            <v>17</v>
          </cell>
          <cell r="J1554">
            <v>17</v>
          </cell>
          <cell r="K1554">
            <v>8</v>
          </cell>
          <cell r="L1554">
            <v>8</v>
          </cell>
          <cell r="M1554">
            <v>7.6923076923076927E-2</v>
          </cell>
          <cell r="O1554" t="str">
            <v>$1239</v>
          </cell>
          <cell r="P1554" t="str">
            <v>$1239</v>
          </cell>
          <cell r="Q1554">
            <v>45620</v>
          </cell>
          <cell r="R1554" t="str">
            <v>Hyderabad</v>
          </cell>
          <cell r="S1554" t="str">
            <v>Mobile</v>
          </cell>
          <cell r="T1554" t="str">
            <v>learn data analytics</v>
          </cell>
        </row>
        <row r="1555">
          <cell r="A1555" t="str">
            <v>A2553</v>
          </cell>
          <cell r="B1555" t="str">
            <v>Data Analytcis Course</v>
          </cell>
          <cell r="C1555">
            <v>138.95699356913184</v>
          </cell>
          <cell r="E1555">
            <v>5785</v>
          </cell>
          <cell r="F1555">
            <v>5785</v>
          </cell>
          <cell r="G1555" t="str">
            <v>$195.39</v>
          </cell>
          <cell r="H1555" t="str">
            <v>$195.39</v>
          </cell>
          <cell r="I1555">
            <v>15</v>
          </cell>
          <cell r="J1555">
            <v>15</v>
          </cell>
          <cell r="K1555">
            <v>10</v>
          </cell>
          <cell r="L1555">
            <v>10</v>
          </cell>
          <cell r="M1555">
            <v>7.1964711837443046E-2</v>
          </cell>
          <cell r="O1555" t="str">
            <v>$1296</v>
          </cell>
          <cell r="P1555" t="str">
            <v>$1296</v>
          </cell>
          <cell r="Q1555">
            <v>45621</v>
          </cell>
          <cell r="R1555" t="str">
            <v>Hyderabad</v>
          </cell>
          <cell r="S1555" t="str">
            <v>Tablet</v>
          </cell>
          <cell r="T1555" t="str">
            <v>analytics for data</v>
          </cell>
        </row>
        <row r="1556">
          <cell r="A1556" t="str">
            <v>A2554</v>
          </cell>
          <cell r="B1556" t="str">
            <v>Data Analytics Course</v>
          </cell>
          <cell r="C1556">
            <v>160</v>
          </cell>
          <cell r="D1556">
            <v>160</v>
          </cell>
          <cell r="E1556">
            <v>5664</v>
          </cell>
          <cell r="F1556">
            <v>5664</v>
          </cell>
          <cell r="G1556" t="str">
            <v>$210.58</v>
          </cell>
          <cell r="H1556" t="str">
            <v>$210.58</v>
          </cell>
          <cell r="I1556">
            <v>16</v>
          </cell>
          <cell r="J1556">
            <v>16</v>
          </cell>
          <cell r="K1556">
            <v>9</v>
          </cell>
          <cell r="L1556">
            <v>9</v>
          </cell>
          <cell r="M1556">
            <v>5.6250000000000001E-2</v>
          </cell>
          <cell r="O1556" t="str">
            <v>$1836</v>
          </cell>
          <cell r="P1556" t="str">
            <v>$1836</v>
          </cell>
          <cell r="Q1556">
            <v>45603</v>
          </cell>
          <cell r="R1556" t="str">
            <v>Bangaluru</v>
          </cell>
          <cell r="S1556" t="str">
            <v>Mobile</v>
          </cell>
          <cell r="T1556" t="str">
            <v>data analytics training</v>
          </cell>
        </row>
        <row r="1557">
          <cell r="A1557" t="str">
            <v>A2555</v>
          </cell>
          <cell r="B1557" t="str">
            <v>Data Analytics Course</v>
          </cell>
          <cell r="C1557">
            <v>147</v>
          </cell>
          <cell r="D1557">
            <v>147</v>
          </cell>
          <cell r="E1557">
            <v>5930</v>
          </cell>
          <cell r="F1557">
            <v>5930</v>
          </cell>
          <cell r="G1557" t="str">
            <v>$248.18</v>
          </cell>
          <cell r="H1557" t="str">
            <v>$248.18</v>
          </cell>
          <cell r="I1557">
            <v>22</v>
          </cell>
          <cell r="J1557">
            <v>22</v>
          </cell>
          <cell r="K1557">
            <v>10</v>
          </cell>
          <cell r="L1557">
            <v>10</v>
          </cell>
          <cell r="M1557">
            <v>6.8027210884353748E-2</v>
          </cell>
          <cell r="N1557">
            <v>6.8000000000000005E-2</v>
          </cell>
          <cell r="O1557" t="str">
            <v>$1743</v>
          </cell>
          <cell r="P1557" t="str">
            <v>$1743</v>
          </cell>
          <cell r="Q1557">
            <v>45611</v>
          </cell>
          <cell r="R1557" t="str">
            <v>Hyderabad</v>
          </cell>
          <cell r="S1557" t="str">
            <v>Desktop</v>
          </cell>
          <cell r="T1557" t="str">
            <v>analytics for data</v>
          </cell>
        </row>
        <row r="1558">
          <cell r="A1558" t="str">
            <v>A2556</v>
          </cell>
          <cell r="B1558" t="str">
            <v>Data Analytics Course</v>
          </cell>
          <cell r="C1558">
            <v>196</v>
          </cell>
          <cell r="D1558">
            <v>196</v>
          </cell>
          <cell r="E1558">
            <v>3656</v>
          </cell>
          <cell r="F1558">
            <v>3656</v>
          </cell>
          <cell r="G1558" t="str">
            <v>$240.44</v>
          </cell>
          <cell r="H1558" t="str">
            <v>$240.44</v>
          </cell>
          <cell r="I1558">
            <v>15</v>
          </cell>
          <cell r="J1558">
            <v>15</v>
          </cell>
          <cell r="K1558">
            <v>6</v>
          </cell>
          <cell r="L1558">
            <v>6</v>
          </cell>
          <cell r="M1558">
            <v>3.0612244897959183E-2</v>
          </cell>
          <cell r="N1558">
            <v>5.1999999999999998E-2</v>
          </cell>
          <cell r="O1558" t="str">
            <v>$1894</v>
          </cell>
          <cell r="P1558" t="str">
            <v>$1894</v>
          </cell>
          <cell r="Q1558">
            <v>45599</v>
          </cell>
          <cell r="R1558" t="str">
            <v>Hyderabad</v>
          </cell>
          <cell r="S1558" t="str">
            <v>Tablet</v>
          </cell>
          <cell r="T1558" t="str">
            <v>analytics for data</v>
          </cell>
        </row>
        <row r="1559">
          <cell r="A1559" t="str">
            <v>A2557</v>
          </cell>
          <cell r="B1559" t="str">
            <v>Data Analytics Course</v>
          </cell>
          <cell r="C1559">
            <v>159</v>
          </cell>
          <cell r="D1559">
            <v>159</v>
          </cell>
          <cell r="E1559">
            <v>5078</v>
          </cell>
          <cell r="F1559">
            <v>5078</v>
          </cell>
          <cell r="G1559" t="str">
            <v>$182.57</v>
          </cell>
          <cell r="H1559" t="str">
            <v>$182.57</v>
          </cell>
          <cell r="I1559">
            <v>30</v>
          </cell>
          <cell r="J1559">
            <v>30</v>
          </cell>
          <cell r="K1559">
            <v>8</v>
          </cell>
          <cell r="L1559">
            <v>8</v>
          </cell>
          <cell r="M1559">
            <v>5.0314465408805034E-2</v>
          </cell>
          <cell r="N1559">
            <v>0.05</v>
          </cell>
          <cell r="O1559" t="str">
            <v>$1541</v>
          </cell>
          <cell r="P1559" t="str">
            <v>$1541</v>
          </cell>
          <cell r="Q1559">
            <v>45605</v>
          </cell>
          <cell r="R1559" t="str">
            <v>Hyderabad</v>
          </cell>
          <cell r="S1559" t="str">
            <v>Mobile</v>
          </cell>
          <cell r="T1559" t="str">
            <v>data analytics course</v>
          </cell>
        </row>
        <row r="1560">
          <cell r="A1560" t="str">
            <v>A2558</v>
          </cell>
          <cell r="B1560" t="str">
            <v>Data Analytcis Course</v>
          </cell>
          <cell r="C1560">
            <v>104</v>
          </cell>
          <cell r="D1560">
            <v>104</v>
          </cell>
          <cell r="E1560">
            <v>5257</v>
          </cell>
          <cell r="F1560">
            <v>5257</v>
          </cell>
          <cell r="G1560" t="str">
            <v>$220.44</v>
          </cell>
          <cell r="H1560" t="str">
            <v>$220.44</v>
          </cell>
          <cell r="I1560">
            <v>17</v>
          </cell>
          <cell r="J1560">
            <v>17</v>
          </cell>
          <cell r="K1560">
            <v>7</v>
          </cell>
          <cell r="L1560">
            <v>7</v>
          </cell>
          <cell r="M1560">
            <v>6.7307692307692304E-2</v>
          </cell>
          <cell r="N1560">
            <v>5.1999999999999998E-2</v>
          </cell>
          <cell r="O1560" t="str">
            <v>$1462</v>
          </cell>
          <cell r="P1560" t="str">
            <v>$1462</v>
          </cell>
          <cell r="Q1560">
            <v>45623</v>
          </cell>
          <cell r="R1560" t="str">
            <v>Hyderabad</v>
          </cell>
          <cell r="S1560" t="str">
            <v>Mobile</v>
          </cell>
          <cell r="T1560" t="str">
            <v>data analytics online</v>
          </cell>
        </row>
        <row r="1561">
          <cell r="A1561" t="str">
            <v>A2559</v>
          </cell>
          <cell r="B1561" t="str">
            <v>Data Analytics Course</v>
          </cell>
          <cell r="C1561">
            <v>135</v>
          </cell>
          <cell r="D1561">
            <v>135</v>
          </cell>
          <cell r="E1561">
            <v>5582</v>
          </cell>
          <cell r="F1561">
            <v>5582</v>
          </cell>
          <cell r="G1561" t="str">
            <v>$209.14</v>
          </cell>
          <cell r="H1561" t="str">
            <v>$209.14</v>
          </cell>
          <cell r="I1561">
            <v>28</v>
          </cell>
          <cell r="J1561">
            <v>28</v>
          </cell>
          <cell r="K1561">
            <v>5</v>
          </cell>
          <cell r="L1561">
            <v>5</v>
          </cell>
          <cell r="M1561">
            <v>3.7037037037037035E-2</v>
          </cell>
          <cell r="N1561">
            <v>3.6999999999999998E-2</v>
          </cell>
          <cell r="O1561" t="str">
            <v>$1912</v>
          </cell>
          <cell r="P1561" t="str">
            <v>$1912</v>
          </cell>
          <cell r="Q1561">
            <v>45621</v>
          </cell>
          <cell r="R1561" t="str">
            <v>Hyderabad</v>
          </cell>
          <cell r="S1561" t="str">
            <v>Tablet</v>
          </cell>
          <cell r="T1561" t="str">
            <v>online data analytic</v>
          </cell>
        </row>
        <row r="1562">
          <cell r="A1562" t="str">
            <v>A2560</v>
          </cell>
          <cell r="B1562" t="str">
            <v>Data Analytics Course</v>
          </cell>
          <cell r="C1562">
            <v>92</v>
          </cell>
          <cell r="D1562">
            <v>92</v>
          </cell>
          <cell r="E1562">
            <v>3097</v>
          </cell>
          <cell r="F1562">
            <v>3097</v>
          </cell>
          <cell r="G1562" t="str">
            <v>$232.27</v>
          </cell>
          <cell r="H1562" t="str">
            <v>$232.27</v>
          </cell>
          <cell r="I1562">
            <v>21</v>
          </cell>
          <cell r="J1562">
            <v>21</v>
          </cell>
          <cell r="K1562">
            <v>6.5439121756487024</v>
          </cell>
          <cell r="M1562">
            <v>7.1129480170094586E-2</v>
          </cell>
          <cell r="O1562" t="str">
            <v>$1905</v>
          </cell>
          <cell r="P1562" t="str">
            <v>$1905</v>
          </cell>
          <cell r="Q1562">
            <v>45610</v>
          </cell>
          <cell r="R1562" t="str">
            <v>Hyderabad</v>
          </cell>
          <cell r="S1562" t="str">
            <v>Desktop</v>
          </cell>
          <cell r="T1562" t="str">
            <v>analytics for data</v>
          </cell>
        </row>
        <row r="1563">
          <cell r="A1563" t="str">
            <v>A2561</v>
          </cell>
          <cell r="B1563" t="str">
            <v>Data Analytics Course</v>
          </cell>
          <cell r="C1563">
            <v>136</v>
          </cell>
          <cell r="D1563">
            <v>136</v>
          </cell>
          <cell r="E1563">
            <v>3657</v>
          </cell>
          <cell r="F1563">
            <v>3657</v>
          </cell>
          <cell r="G1563" t="str">
            <v>$236.19</v>
          </cell>
          <cell r="H1563" t="str">
            <v>$236.19</v>
          </cell>
          <cell r="I1563">
            <v>12</v>
          </cell>
          <cell r="J1563">
            <v>12</v>
          </cell>
          <cell r="K1563">
            <v>5</v>
          </cell>
          <cell r="L1563">
            <v>5</v>
          </cell>
          <cell r="M1563">
            <v>3.6764705882352942E-2</v>
          </cell>
          <cell r="N1563">
            <v>3.6999999999999998E-2</v>
          </cell>
          <cell r="O1563" t="str">
            <v>$1425</v>
          </cell>
          <cell r="P1563" t="str">
            <v>$1425</v>
          </cell>
          <cell r="Q1563">
            <v>45602</v>
          </cell>
          <cell r="R1563" t="str">
            <v>Chennai</v>
          </cell>
          <cell r="S1563" t="str">
            <v>Mobile</v>
          </cell>
          <cell r="T1563" t="str">
            <v>online data analytic</v>
          </cell>
        </row>
        <row r="1564">
          <cell r="A1564" t="str">
            <v>A2562</v>
          </cell>
          <cell r="B1564" t="str">
            <v>Data Analytics Course</v>
          </cell>
          <cell r="C1564">
            <v>135</v>
          </cell>
          <cell r="D1564">
            <v>135</v>
          </cell>
          <cell r="E1564">
            <v>3198</v>
          </cell>
          <cell r="F1564">
            <v>3198</v>
          </cell>
          <cell r="G1564" t="str">
            <v>$227.48</v>
          </cell>
          <cell r="H1564" t="str">
            <v>$227.48</v>
          </cell>
          <cell r="I1564">
            <v>20.228260869565219</v>
          </cell>
          <cell r="K1564">
            <v>6</v>
          </cell>
          <cell r="L1564">
            <v>6</v>
          </cell>
          <cell r="M1564">
            <v>4.4444444444444446E-2</v>
          </cell>
          <cell r="N1564">
            <v>4.3999999999999997E-2</v>
          </cell>
          <cell r="O1564" t="str">
            <v>$1882</v>
          </cell>
          <cell r="P1564" t="str">
            <v>$1882</v>
          </cell>
          <cell r="Q1564">
            <v>45605</v>
          </cell>
          <cell r="R1564" t="str">
            <v>Bangaluru</v>
          </cell>
          <cell r="S1564" t="str">
            <v>Desktop</v>
          </cell>
          <cell r="T1564" t="str">
            <v>online data analytic</v>
          </cell>
        </row>
        <row r="1565">
          <cell r="A1565" t="str">
            <v>A2563</v>
          </cell>
          <cell r="B1565" t="str">
            <v>Data Analytcis Course</v>
          </cell>
          <cell r="C1565">
            <v>91</v>
          </cell>
          <cell r="D1565">
            <v>91</v>
          </cell>
          <cell r="E1565">
            <v>5017</v>
          </cell>
          <cell r="F1565">
            <v>5017</v>
          </cell>
          <cell r="G1565" t="str">
            <v>$239.34</v>
          </cell>
          <cell r="H1565" t="str">
            <v>$239.34</v>
          </cell>
          <cell r="I1565">
            <v>15</v>
          </cell>
          <cell r="J1565">
            <v>15</v>
          </cell>
          <cell r="K1565">
            <v>5</v>
          </cell>
          <cell r="L1565">
            <v>5</v>
          </cell>
          <cell r="M1565">
            <v>5.4945054945054944E-2</v>
          </cell>
          <cell r="N1565">
            <v>5.5E-2</v>
          </cell>
          <cell r="O1565" t="str">
            <v>$1500</v>
          </cell>
          <cell r="Q1565">
            <v>45598</v>
          </cell>
          <cell r="R1565" t="str">
            <v>Hyderabad</v>
          </cell>
          <cell r="S1565" t="str">
            <v>Tablet</v>
          </cell>
          <cell r="T1565" t="str">
            <v>analytics for data</v>
          </cell>
        </row>
        <row r="1566">
          <cell r="A1566" t="str">
            <v>A2564</v>
          </cell>
          <cell r="B1566" t="str">
            <v>Data Analytics Course</v>
          </cell>
          <cell r="C1566">
            <v>181</v>
          </cell>
          <cell r="D1566">
            <v>181</v>
          </cell>
          <cell r="E1566">
            <v>5343</v>
          </cell>
          <cell r="F1566">
            <v>5343</v>
          </cell>
          <cell r="G1566" t="str">
            <v>$244.02</v>
          </cell>
          <cell r="H1566" t="str">
            <v>$244.02</v>
          </cell>
          <cell r="I1566">
            <v>30</v>
          </cell>
          <cell r="J1566">
            <v>30</v>
          </cell>
          <cell r="K1566">
            <v>9</v>
          </cell>
          <cell r="L1566">
            <v>9</v>
          </cell>
          <cell r="M1566">
            <v>4.9723756906077346E-2</v>
          </cell>
          <cell r="N1566">
            <v>3.7999999999999999E-2</v>
          </cell>
          <cell r="O1566" t="str">
            <v>$1639</v>
          </cell>
          <cell r="P1566" t="str">
            <v>$1639</v>
          </cell>
          <cell r="Q1566">
            <v>45622</v>
          </cell>
          <cell r="R1566" t="str">
            <v>Hyderabad</v>
          </cell>
          <cell r="S1566" t="str">
            <v>Mobile</v>
          </cell>
          <cell r="T1566" t="str">
            <v>learn data analytics</v>
          </cell>
        </row>
        <row r="1567">
          <cell r="A1567" t="str">
            <v>A2565</v>
          </cell>
          <cell r="B1567" t="str">
            <v>Data Analytcis Course</v>
          </cell>
          <cell r="C1567">
            <v>138.95699356913184</v>
          </cell>
          <cell r="E1567">
            <v>4896</v>
          </cell>
          <cell r="F1567">
            <v>4896</v>
          </cell>
          <cell r="G1567" t="str">
            <v>$207.51</v>
          </cell>
          <cell r="H1567" t="str">
            <v>$207.51</v>
          </cell>
          <cell r="I1567">
            <v>17</v>
          </cell>
          <cell r="J1567">
            <v>17</v>
          </cell>
          <cell r="K1567">
            <v>6.5450901803607211</v>
          </cell>
          <cell r="M1567">
            <v>4.7101552877973747E-2</v>
          </cell>
          <cell r="O1567" t="str">
            <v>$1500</v>
          </cell>
          <cell r="Q1567">
            <v>45607</v>
          </cell>
          <cell r="R1567" t="str">
            <v>Hyderabad</v>
          </cell>
          <cell r="S1567" t="str">
            <v>Mobile</v>
          </cell>
          <cell r="T1567" t="str">
            <v>data analytics online</v>
          </cell>
        </row>
        <row r="1568">
          <cell r="A1568" t="str">
            <v>A2566</v>
          </cell>
          <cell r="B1568" t="str">
            <v>Data Analytcis Course</v>
          </cell>
          <cell r="C1568">
            <v>80</v>
          </cell>
          <cell r="D1568">
            <v>80</v>
          </cell>
          <cell r="E1568">
            <v>5756</v>
          </cell>
          <cell r="F1568">
            <v>5756</v>
          </cell>
          <cell r="G1568" t="str">
            <v>$205.38</v>
          </cell>
          <cell r="H1568" t="str">
            <v>$205.38</v>
          </cell>
          <cell r="I1568">
            <v>16</v>
          </cell>
          <cell r="J1568">
            <v>16</v>
          </cell>
          <cell r="K1568">
            <v>4</v>
          </cell>
          <cell r="L1568">
            <v>4</v>
          </cell>
          <cell r="M1568">
            <v>0.05</v>
          </cell>
          <cell r="N1568">
            <v>0.05</v>
          </cell>
          <cell r="O1568" t="str">
            <v>$1778</v>
          </cell>
          <cell r="P1568" t="str">
            <v>$1778</v>
          </cell>
          <cell r="Q1568">
            <v>45616</v>
          </cell>
          <cell r="R1568" t="str">
            <v>Chennai</v>
          </cell>
          <cell r="S1568" t="str">
            <v>Desktop</v>
          </cell>
          <cell r="T1568" t="str">
            <v>online data analytic</v>
          </cell>
        </row>
        <row r="1569">
          <cell r="A1569" t="str">
            <v>A2567</v>
          </cell>
          <cell r="B1569" t="str">
            <v>Data Analytics Course</v>
          </cell>
          <cell r="C1569">
            <v>155</v>
          </cell>
          <cell r="D1569">
            <v>155</v>
          </cell>
          <cell r="E1569">
            <v>5696</v>
          </cell>
          <cell r="F1569">
            <v>5696</v>
          </cell>
          <cell r="G1569" t="str">
            <v>$236.44</v>
          </cell>
          <cell r="H1569" t="str">
            <v>$236.44</v>
          </cell>
          <cell r="I1569">
            <v>13</v>
          </cell>
          <cell r="J1569">
            <v>13</v>
          </cell>
          <cell r="K1569">
            <v>3</v>
          </cell>
          <cell r="L1569">
            <v>3</v>
          </cell>
          <cell r="M1569">
            <v>1.935483870967742E-2</v>
          </cell>
          <cell r="N1569">
            <v>1.9E-2</v>
          </cell>
          <cell r="O1569" t="str">
            <v>$1207</v>
          </cell>
          <cell r="P1569" t="str">
            <v>$1207</v>
          </cell>
          <cell r="Q1569">
            <v>45619</v>
          </cell>
          <cell r="R1569" t="str">
            <v>Bangaluru</v>
          </cell>
          <cell r="S1569" t="str">
            <v>Mobile</v>
          </cell>
          <cell r="T1569" t="str">
            <v>data analytics online</v>
          </cell>
        </row>
        <row r="1570">
          <cell r="A1570" t="str">
            <v>A2568</v>
          </cell>
          <cell r="B1570" t="str">
            <v>Data Analytics Course</v>
          </cell>
          <cell r="C1570">
            <v>114</v>
          </cell>
          <cell r="D1570">
            <v>114</v>
          </cell>
          <cell r="E1570">
            <v>5683</v>
          </cell>
          <cell r="F1570">
            <v>5683</v>
          </cell>
          <cell r="G1570" t="str">
            <v>$214.42</v>
          </cell>
          <cell r="H1570" t="str">
            <v>$214.42</v>
          </cell>
          <cell r="I1570">
            <v>20</v>
          </cell>
          <cell r="J1570">
            <v>20</v>
          </cell>
          <cell r="K1570">
            <v>8</v>
          </cell>
          <cell r="L1570">
            <v>8</v>
          </cell>
          <cell r="M1570">
            <v>7.0175438596491224E-2</v>
          </cell>
          <cell r="N1570">
            <v>7.0000000000000007E-2</v>
          </cell>
          <cell r="O1570" t="str">
            <v>$1474</v>
          </cell>
          <cell r="P1570" t="str">
            <v>$1474</v>
          </cell>
          <cell r="Q1570">
            <v>45604</v>
          </cell>
          <cell r="R1570" t="str">
            <v>Hyderabad</v>
          </cell>
          <cell r="S1570" t="str">
            <v>Mobile</v>
          </cell>
          <cell r="T1570" t="str">
            <v>learn data analytics</v>
          </cell>
        </row>
        <row r="1571">
          <cell r="A1571" t="str">
            <v>A2569</v>
          </cell>
          <cell r="B1571" t="str">
            <v>Data Analytics Course</v>
          </cell>
          <cell r="C1571">
            <v>98</v>
          </cell>
          <cell r="D1571">
            <v>98</v>
          </cell>
          <cell r="E1571">
            <v>4669</v>
          </cell>
          <cell r="F1571">
            <v>4669</v>
          </cell>
          <cell r="G1571" t="str">
            <v>$205.72</v>
          </cell>
          <cell r="H1571" t="str">
            <v>$205.72</v>
          </cell>
          <cell r="I1571">
            <v>16</v>
          </cell>
          <cell r="J1571">
            <v>16</v>
          </cell>
          <cell r="K1571">
            <v>6</v>
          </cell>
          <cell r="L1571">
            <v>6</v>
          </cell>
          <cell r="M1571">
            <v>6.1224489795918366E-2</v>
          </cell>
          <cell r="N1571">
            <v>6.0999999999999999E-2</v>
          </cell>
          <cell r="O1571" t="str">
            <v>$1767</v>
          </cell>
          <cell r="P1571" t="str">
            <v>$1767</v>
          </cell>
          <cell r="Q1571">
            <v>45626</v>
          </cell>
          <cell r="R1571" t="str">
            <v>Hyderabad</v>
          </cell>
          <cell r="S1571" t="str">
            <v>Desktop</v>
          </cell>
          <cell r="T1571" t="str">
            <v>analytics for data</v>
          </cell>
        </row>
        <row r="1572">
          <cell r="A1572" t="str">
            <v>A2570</v>
          </cell>
          <cell r="B1572" t="str">
            <v>Data Analytics Course</v>
          </cell>
          <cell r="C1572">
            <v>125</v>
          </cell>
          <cell r="D1572">
            <v>125</v>
          </cell>
          <cell r="E1572">
            <v>3807</v>
          </cell>
          <cell r="F1572">
            <v>3807</v>
          </cell>
          <cell r="G1572" t="str">
            <v>$234.92</v>
          </cell>
          <cell r="H1572" t="str">
            <v>$234.92</v>
          </cell>
          <cell r="I1572">
            <v>11</v>
          </cell>
          <cell r="J1572">
            <v>11</v>
          </cell>
          <cell r="K1572">
            <v>6</v>
          </cell>
          <cell r="L1572">
            <v>6</v>
          </cell>
          <cell r="M1572">
            <v>4.8000000000000001E-2</v>
          </cell>
          <cell r="N1572">
            <v>4.8000000000000001E-2</v>
          </cell>
          <cell r="O1572" t="str">
            <v>$1500</v>
          </cell>
          <cell r="Q1572">
            <v>45625</v>
          </cell>
          <cell r="R1572" t="str">
            <v>Chennai</v>
          </cell>
          <cell r="S1572" t="str">
            <v>Mobile</v>
          </cell>
          <cell r="T1572" t="str">
            <v>online data analytic</v>
          </cell>
        </row>
        <row r="1573">
          <cell r="A1573" t="str">
            <v>A2571</v>
          </cell>
          <cell r="B1573" t="str">
            <v>Data Analytics Course</v>
          </cell>
          <cell r="C1573">
            <v>160</v>
          </cell>
          <cell r="D1573">
            <v>160</v>
          </cell>
          <cell r="E1573">
            <v>3163</v>
          </cell>
          <cell r="F1573">
            <v>3163</v>
          </cell>
          <cell r="G1573" t="str">
            <v>$238.95</v>
          </cell>
          <cell r="H1573" t="str">
            <v>$238.95</v>
          </cell>
          <cell r="I1573">
            <v>20</v>
          </cell>
          <cell r="J1573">
            <v>20</v>
          </cell>
          <cell r="K1573">
            <v>8</v>
          </cell>
          <cell r="L1573">
            <v>8</v>
          </cell>
          <cell r="M1573">
            <v>0.05</v>
          </cell>
          <cell r="N1573">
            <v>0.05</v>
          </cell>
          <cell r="O1573" t="str">
            <v>$1569</v>
          </cell>
          <cell r="P1573" t="str">
            <v>$1569</v>
          </cell>
          <cell r="Q1573">
            <v>45622</v>
          </cell>
          <cell r="R1573" t="str">
            <v>Chennai</v>
          </cell>
          <cell r="S1573" t="str">
            <v>Desktop</v>
          </cell>
          <cell r="T1573" t="str">
            <v>online data analytic</v>
          </cell>
        </row>
        <row r="1574">
          <cell r="A1574" t="str">
            <v>A2572</v>
          </cell>
          <cell r="B1574" t="str">
            <v>Data Analytics Course</v>
          </cell>
          <cell r="C1574">
            <v>175</v>
          </cell>
          <cell r="D1574">
            <v>175</v>
          </cell>
          <cell r="E1574">
            <v>3732</v>
          </cell>
          <cell r="F1574">
            <v>3732</v>
          </cell>
          <cell r="G1574" t="str">
            <v>$231.25</v>
          </cell>
          <cell r="H1574" t="str">
            <v>$231.25</v>
          </cell>
          <cell r="I1574">
            <v>16</v>
          </cell>
          <cell r="J1574">
            <v>16</v>
          </cell>
          <cell r="K1574">
            <v>10</v>
          </cell>
          <cell r="L1574">
            <v>10</v>
          </cell>
          <cell r="M1574">
            <v>5.7142857142857141E-2</v>
          </cell>
          <cell r="N1574">
            <v>5.7000000000000002E-2</v>
          </cell>
          <cell r="O1574" t="str">
            <v>$1014</v>
          </cell>
          <cell r="P1574" t="str">
            <v>$1014</v>
          </cell>
          <cell r="Q1574">
            <v>45611</v>
          </cell>
          <cell r="R1574" t="str">
            <v>Bangaluru</v>
          </cell>
          <cell r="S1574" t="str">
            <v>Mobile</v>
          </cell>
          <cell r="T1574" t="str">
            <v>learn data analytics</v>
          </cell>
        </row>
        <row r="1575">
          <cell r="A1575" t="str">
            <v>A2573</v>
          </cell>
          <cell r="B1575" t="str">
            <v>Data Analytcis Course</v>
          </cell>
          <cell r="C1575">
            <v>123</v>
          </cell>
          <cell r="D1575">
            <v>123</v>
          </cell>
          <cell r="E1575">
            <v>3860</v>
          </cell>
          <cell r="F1575">
            <v>3860</v>
          </cell>
          <cell r="G1575" t="str">
            <v>$224.63</v>
          </cell>
          <cell r="H1575" t="str">
            <v>$224.63</v>
          </cell>
          <cell r="I1575">
            <v>24</v>
          </cell>
          <cell r="J1575">
            <v>24</v>
          </cell>
          <cell r="K1575">
            <v>8</v>
          </cell>
          <cell r="L1575">
            <v>8</v>
          </cell>
          <cell r="M1575">
            <v>6.5040650406504072E-2</v>
          </cell>
          <cell r="N1575">
            <v>6.5000000000000002E-2</v>
          </cell>
          <cell r="O1575" t="str">
            <v>$1800</v>
          </cell>
          <cell r="P1575" t="str">
            <v>$1800</v>
          </cell>
          <cell r="Q1575">
            <v>45611</v>
          </cell>
          <cell r="R1575" t="str">
            <v>Bangaluru</v>
          </cell>
          <cell r="S1575" t="str">
            <v>Desktop</v>
          </cell>
          <cell r="T1575" t="str">
            <v>analytics for data</v>
          </cell>
        </row>
        <row r="1576">
          <cell r="A1576" t="str">
            <v>A2574</v>
          </cell>
          <cell r="B1576" t="str">
            <v>Data Analytics Course</v>
          </cell>
          <cell r="C1576">
            <v>106</v>
          </cell>
          <cell r="D1576">
            <v>106</v>
          </cell>
          <cell r="E1576">
            <v>3196</v>
          </cell>
          <cell r="F1576">
            <v>3196</v>
          </cell>
          <cell r="G1576" t="str">
            <v>$212.12</v>
          </cell>
          <cell r="H1576" t="str">
            <v>$212.12</v>
          </cell>
          <cell r="I1576">
            <v>15</v>
          </cell>
          <cell r="J1576">
            <v>15</v>
          </cell>
          <cell r="K1576">
            <v>6</v>
          </cell>
          <cell r="L1576">
            <v>6</v>
          </cell>
          <cell r="M1576">
            <v>5.6603773584905662E-2</v>
          </cell>
          <cell r="O1576" t="str">
            <v>$1314</v>
          </cell>
          <cell r="P1576" t="str">
            <v>$1314</v>
          </cell>
          <cell r="Q1576">
            <v>45619</v>
          </cell>
          <cell r="R1576" t="str">
            <v>Hyderabad</v>
          </cell>
          <cell r="S1576" t="str">
            <v>Tablet</v>
          </cell>
          <cell r="T1576" t="str">
            <v>analytics for data</v>
          </cell>
        </row>
        <row r="1577">
          <cell r="A1577" t="str">
            <v>A2575</v>
          </cell>
          <cell r="B1577" t="str">
            <v>Data Analytics Course</v>
          </cell>
          <cell r="C1577">
            <v>138.95699356913184</v>
          </cell>
          <cell r="E1577">
            <v>3322</v>
          </cell>
          <cell r="F1577">
            <v>3322</v>
          </cell>
          <cell r="G1577" t="str">
            <v>$205.85</v>
          </cell>
          <cell r="H1577" t="str">
            <v>$205.85</v>
          </cell>
          <cell r="I1577">
            <v>24</v>
          </cell>
          <cell r="J1577">
            <v>24</v>
          </cell>
          <cell r="K1577">
            <v>4</v>
          </cell>
          <cell r="L1577">
            <v>4</v>
          </cell>
          <cell r="M1577">
            <v>2.8785884734977219E-2</v>
          </cell>
          <cell r="O1577" t="str">
            <v>$1031</v>
          </cell>
          <cell r="P1577" t="str">
            <v>$1031</v>
          </cell>
          <cell r="Q1577">
            <v>45605</v>
          </cell>
          <cell r="R1577" t="str">
            <v>Hyderabad</v>
          </cell>
          <cell r="S1577" t="str">
            <v>Tablet</v>
          </cell>
          <cell r="T1577" t="str">
            <v>data analytics training</v>
          </cell>
        </row>
        <row r="1578">
          <cell r="A1578" t="str">
            <v>A2576</v>
          </cell>
          <cell r="B1578" t="str">
            <v>Data Analytics Course</v>
          </cell>
          <cell r="C1578">
            <v>185</v>
          </cell>
          <cell r="D1578">
            <v>185</v>
          </cell>
          <cell r="E1578">
            <v>5121</v>
          </cell>
          <cell r="F1578">
            <v>5121</v>
          </cell>
          <cell r="G1578" t="str">
            <v>$215.46</v>
          </cell>
          <cell r="H1578" t="str">
            <v>$215.46</v>
          </cell>
          <cell r="I1578">
            <v>12</v>
          </cell>
          <cell r="J1578">
            <v>12</v>
          </cell>
          <cell r="K1578">
            <v>9</v>
          </cell>
          <cell r="L1578">
            <v>9</v>
          </cell>
          <cell r="M1578">
            <v>4.8648648648648651E-2</v>
          </cell>
          <cell r="N1578">
            <v>4.9000000000000002E-2</v>
          </cell>
          <cell r="O1578" t="str">
            <v>$1724</v>
          </cell>
          <cell r="P1578" t="str">
            <v>$1724</v>
          </cell>
          <cell r="Q1578">
            <v>45598</v>
          </cell>
          <cell r="R1578" t="str">
            <v>Hyderabad</v>
          </cell>
          <cell r="S1578" t="str">
            <v>Mobile</v>
          </cell>
          <cell r="T1578" t="str">
            <v>data analytics course</v>
          </cell>
        </row>
        <row r="1579">
          <cell r="A1579" t="str">
            <v>A2577</v>
          </cell>
          <cell r="B1579" t="str">
            <v>Data Analytics Course</v>
          </cell>
          <cell r="C1579">
            <v>139</v>
          </cell>
          <cell r="D1579">
            <v>139</v>
          </cell>
          <cell r="E1579">
            <v>5610</v>
          </cell>
          <cell r="F1579">
            <v>5610</v>
          </cell>
          <cell r="G1579" t="str">
            <v>$239.44</v>
          </cell>
          <cell r="H1579" t="str">
            <v>$239.44</v>
          </cell>
          <cell r="I1579">
            <v>17</v>
          </cell>
          <cell r="J1579">
            <v>17</v>
          </cell>
          <cell r="K1579">
            <v>6</v>
          </cell>
          <cell r="L1579">
            <v>6</v>
          </cell>
          <cell r="M1579">
            <v>4.3165467625899283E-2</v>
          </cell>
          <cell r="N1579">
            <v>4.2999999999999997E-2</v>
          </cell>
          <cell r="O1579" t="str">
            <v>$1548</v>
          </cell>
          <cell r="P1579" t="str">
            <v>$1548</v>
          </cell>
          <cell r="Q1579">
            <v>45610</v>
          </cell>
          <cell r="R1579" t="str">
            <v>Bangaluru</v>
          </cell>
          <cell r="S1579" t="str">
            <v>Tablet</v>
          </cell>
          <cell r="T1579" t="str">
            <v>online data analytic</v>
          </cell>
        </row>
        <row r="1580">
          <cell r="A1580" t="str">
            <v>A2578</v>
          </cell>
          <cell r="B1580" t="str">
            <v>Data Analytics Course</v>
          </cell>
          <cell r="C1580">
            <v>174</v>
          </cell>
          <cell r="D1580">
            <v>174</v>
          </cell>
          <cell r="E1580">
            <v>3890</v>
          </cell>
          <cell r="F1580">
            <v>3890</v>
          </cell>
          <cell r="G1580" t="str">
            <v>$186.04</v>
          </cell>
          <cell r="H1580" t="str">
            <v>$186.04</v>
          </cell>
          <cell r="I1580">
            <v>28</v>
          </cell>
          <cell r="J1580">
            <v>28</v>
          </cell>
          <cell r="K1580">
            <v>7</v>
          </cell>
          <cell r="L1580">
            <v>7</v>
          </cell>
          <cell r="M1580">
            <v>4.0229885057471264E-2</v>
          </cell>
          <cell r="N1580">
            <v>0.04</v>
          </cell>
          <cell r="O1580" t="str">
            <v>$1793</v>
          </cell>
          <cell r="P1580" t="str">
            <v>$1793</v>
          </cell>
          <cell r="Q1580">
            <v>45617</v>
          </cell>
          <cell r="R1580" t="str">
            <v>Bangaluru</v>
          </cell>
          <cell r="S1580" t="str">
            <v>Tablet</v>
          </cell>
          <cell r="T1580" t="str">
            <v>online data analytic</v>
          </cell>
        </row>
        <row r="1581">
          <cell r="A1581" t="str">
            <v>A2579</v>
          </cell>
          <cell r="B1581" t="str">
            <v>Data Analytics Course</v>
          </cell>
          <cell r="C1581">
            <v>157</v>
          </cell>
          <cell r="D1581">
            <v>157</v>
          </cell>
          <cell r="E1581">
            <v>4671</v>
          </cell>
          <cell r="F1581">
            <v>4671</v>
          </cell>
          <cell r="G1581" t="str">
            <v>$248.17</v>
          </cell>
          <cell r="H1581" t="str">
            <v>$248.17</v>
          </cell>
          <cell r="I1581">
            <v>14</v>
          </cell>
          <cell r="J1581">
            <v>14</v>
          </cell>
          <cell r="K1581">
            <v>7</v>
          </cell>
          <cell r="L1581">
            <v>7</v>
          </cell>
          <cell r="M1581">
            <v>4.4585987261146494E-2</v>
          </cell>
          <cell r="N1581">
            <v>4.4999999999999998E-2</v>
          </cell>
          <cell r="O1581" t="str">
            <v>$1247</v>
          </cell>
          <cell r="P1581" t="str">
            <v>$1247</v>
          </cell>
          <cell r="Q1581">
            <v>45599</v>
          </cell>
          <cell r="R1581" t="str">
            <v>Hyderabad</v>
          </cell>
          <cell r="S1581" t="str">
            <v>Mobile</v>
          </cell>
          <cell r="T1581" t="str">
            <v>data analytics training</v>
          </cell>
        </row>
        <row r="1582">
          <cell r="A1582" t="str">
            <v>A2580</v>
          </cell>
          <cell r="B1582" t="str">
            <v>Data Analytics Course</v>
          </cell>
          <cell r="C1582">
            <v>160</v>
          </cell>
          <cell r="D1582">
            <v>160</v>
          </cell>
          <cell r="E1582">
            <v>5438</v>
          </cell>
          <cell r="F1582">
            <v>5438</v>
          </cell>
          <cell r="G1582" t="str">
            <v>$197.5</v>
          </cell>
          <cell r="H1582" t="str">
            <v>$197.5</v>
          </cell>
          <cell r="I1582">
            <v>16</v>
          </cell>
          <cell r="J1582">
            <v>16</v>
          </cell>
          <cell r="K1582">
            <v>6</v>
          </cell>
          <cell r="L1582">
            <v>6</v>
          </cell>
          <cell r="M1582">
            <v>3.7499999999999999E-2</v>
          </cell>
          <cell r="N1582">
            <v>3.6999999999999998E-2</v>
          </cell>
          <cell r="O1582" t="str">
            <v>$1752</v>
          </cell>
          <cell r="P1582" t="str">
            <v>$1752</v>
          </cell>
          <cell r="Q1582">
            <v>45599</v>
          </cell>
          <cell r="R1582" t="str">
            <v>Hyderabad</v>
          </cell>
          <cell r="S1582" t="str">
            <v>Tablet</v>
          </cell>
          <cell r="T1582" t="str">
            <v>data analytics course</v>
          </cell>
        </row>
        <row r="1583">
          <cell r="A1583" t="str">
            <v>A2581</v>
          </cell>
          <cell r="B1583" t="str">
            <v>Data Analytics Course</v>
          </cell>
          <cell r="C1583">
            <v>198</v>
          </cell>
          <cell r="D1583">
            <v>198</v>
          </cell>
          <cell r="E1583">
            <v>4726</v>
          </cell>
          <cell r="F1583">
            <v>4726</v>
          </cell>
          <cell r="G1583" t="str">
            <v>$185.13</v>
          </cell>
          <cell r="H1583" t="str">
            <v>$185.13</v>
          </cell>
          <cell r="I1583">
            <v>14</v>
          </cell>
          <cell r="J1583">
            <v>14</v>
          </cell>
          <cell r="K1583">
            <v>6.5452695829094605</v>
          </cell>
          <cell r="M1583">
            <v>3.3056917085401316E-2</v>
          </cell>
          <cell r="O1583" t="str">
            <v>$1580</v>
          </cell>
          <cell r="P1583" t="str">
            <v>$1580</v>
          </cell>
          <cell r="Q1583">
            <v>45613</v>
          </cell>
          <cell r="R1583" t="str">
            <v>Hyderabad</v>
          </cell>
          <cell r="S1583" t="str">
            <v>Tablet</v>
          </cell>
          <cell r="T1583" t="str">
            <v>learn data analytics</v>
          </cell>
        </row>
        <row r="1584">
          <cell r="A1584" t="str">
            <v>A2582</v>
          </cell>
          <cell r="B1584" t="str">
            <v>Data Analytics Course</v>
          </cell>
          <cell r="C1584">
            <v>144</v>
          </cell>
          <cell r="D1584">
            <v>144</v>
          </cell>
          <cell r="E1584">
            <v>5301</v>
          </cell>
          <cell r="F1584">
            <v>5301</v>
          </cell>
          <cell r="G1584" t="str">
            <v>$195.83</v>
          </cell>
          <cell r="H1584" t="str">
            <v>$195.83</v>
          </cell>
          <cell r="I1584">
            <v>12</v>
          </cell>
          <cell r="J1584">
            <v>12</v>
          </cell>
          <cell r="K1584">
            <v>3</v>
          </cell>
          <cell r="L1584">
            <v>3</v>
          </cell>
          <cell r="M1584">
            <v>2.0833333333333332E-2</v>
          </cell>
          <cell r="O1584" t="str">
            <v>$1654</v>
          </cell>
          <cell r="P1584" t="str">
            <v>$1654</v>
          </cell>
          <cell r="Q1584">
            <v>45623</v>
          </cell>
          <cell r="R1584" t="str">
            <v>Hyderabad</v>
          </cell>
          <cell r="S1584" t="str">
            <v>Tablet</v>
          </cell>
          <cell r="T1584" t="str">
            <v>data analytics online</v>
          </cell>
        </row>
        <row r="1585">
          <cell r="A1585" t="str">
            <v>A2583</v>
          </cell>
          <cell r="B1585" t="str">
            <v>Data Analytics Course</v>
          </cell>
          <cell r="C1585">
            <v>187</v>
          </cell>
          <cell r="D1585">
            <v>187</v>
          </cell>
          <cell r="E1585">
            <v>3722</v>
          </cell>
          <cell r="F1585">
            <v>3722</v>
          </cell>
          <cell r="G1585" t="str">
            <v>$182.43</v>
          </cell>
          <cell r="H1585" t="str">
            <v>$182.43</v>
          </cell>
          <cell r="I1585">
            <v>27</v>
          </cell>
          <cell r="J1585">
            <v>27</v>
          </cell>
          <cell r="K1585">
            <v>7</v>
          </cell>
          <cell r="L1585">
            <v>7</v>
          </cell>
          <cell r="M1585">
            <v>3.7433155080213901E-2</v>
          </cell>
          <cell r="N1585">
            <v>3.6999999999999998E-2</v>
          </cell>
          <cell r="O1585" t="str">
            <v>$1613</v>
          </cell>
          <cell r="P1585" t="str">
            <v>$1613</v>
          </cell>
          <cell r="Q1585">
            <v>45616</v>
          </cell>
          <cell r="R1585" t="str">
            <v>Hyderabad</v>
          </cell>
          <cell r="S1585" t="str">
            <v>Mobile</v>
          </cell>
          <cell r="T1585" t="str">
            <v>data analytics training</v>
          </cell>
        </row>
        <row r="1586">
          <cell r="A1586" t="str">
            <v>A2584</v>
          </cell>
          <cell r="B1586" t="str">
            <v>Data Analytics Course</v>
          </cell>
          <cell r="C1586">
            <v>139</v>
          </cell>
          <cell r="D1586">
            <v>139</v>
          </cell>
          <cell r="E1586">
            <v>3944</v>
          </cell>
          <cell r="F1586">
            <v>3944</v>
          </cell>
          <cell r="G1586" t="str">
            <v>$200.00</v>
          </cell>
          <cell r="I1586">
            <v>29</v>
          </cell>
          <cell r="J1586">
            <v>29</v>
          </cell>
          <cell r="K1586">
            <v>3</v>
          </cell>
          <cell r="L1586">
            <v>3</v>
          </cell>
          <cell r="M1586">
            <v>2.1582733812949641E-2</v>
          </cell>
          <cell r="N1586">
            <v>2.1999999999999999E-2</v>
          </cell>
          <cell r="O1586" t="str">
            <v>$1863</v>
          </cell>
          <cell r="P1586" t="str">
            <v>$1863</v>
          </cell>
          <cell r="Q1586">
            <v>45600</v>
          </cell>
          <cell r="R1586" t="str">
            <v>Hyderabad</v>
          </cell>
          <cell r="S1586" t="str">
            <v>Tablet</v>
          </cell>
          <cell r="T1586" t="str">
            <v>analytics for data</v>
          </cell>
        </row>
        <row r="1587">
          <cell r="A1587" t="str">
            <v>A2585</v>
          </cell>
          <cell r="B1587" t="str">
            <v>Data Analytics Course</v>
          </cell>
          <cell r="C1587">
            <v>194</v>
          </cell>
          <cell r="D1587">
            <v>194</v>
          </cell>
          <cell r="E1587">
            <v>5123</v>
          </cell>
          <cell r="F1587">
            <v>5123</v>
          </cell>
          <cell r="G1587" t="str">
            <v>$180.01</v>
          </cell>
          <cell r="H1587" t="str">
            <v>$180.01</v>
          </cell>
          <cell r="I1587">
            <v>27</v>
          </cell>
          <cell r="J1587">
            <v>27</v>
          </cell>
          <cell r="K1587">
            <v>5</v>
          </cell>
          <cell r="L1587">
            <v>5</v>
          </cell>
          <cell r="M1587">
            <v>2.5773195876288658E-2</v>
          </cell>
          <cell r="N1587">
            <v>3.5999999999999997E-2</v>
          </cell>
          <cell r="O1587" t="str">
            <v>$1978</v>
          </cell>
          <cell r="P1587" t="str">
            <v>$1978</v>
          </cell>
          <cell r="Q1587">
            <v>45601</v>
          </cell>
          <cell r="R1587" t="str">
            <v>Bangaluru</v>
          </cell>
          <cell r="S1587" t="str">
            <v>Mobile</v>
          </cell>
          <cell r="T1587" t="str">
            <v>learn data analytics</v>
          </cell>
        </row>
        <row r="1588">
          <cell r="A1588" t="str">
            <v>A2586</v>
          </cell>
          <cell r="B1588" t="str">
            <v>Data Analytics Course</v>
          </cell>
          <cell r="C1588">
            <v>157</v>
          </cell>
          <cell r="D1588">
            <v>157</v>
          </cell>
          <cell r="E1588">
            <v>4127</v>
          </cell>
          <cell r="F1588">
            <v>4127</v>
          </cell>
          <cell r="G1588" t="str">
            <v>$200.44</v>
          </cell>
          <cell r="H1588" t="str">
            <v>$200.44</v>
          </cell>
          <cell r="I1588">
            <v>30</v>
          </cell>
          <cell r="J1588">
            <v>30</v>
          </cell>
          <cell r="K1588">
            <v>8</v>
          </cell>
          <cell r="L1588">
            <v>8</v>
          </cell>
          <cell r="M1588">
            <v>5.0955414012738856E-2</v>
          </cell>
          <cell r="N1588">
            <v>5.8000000000000003E-2</v>
          </cell>
          <cell r="O1588" t="str">
            <v>$1044</v>
          </cell>
          <cell r="P1588" t="str">
            <v>$1044</v>
          </cell>
          <cell r="Q1588">
            <v>45611</v>
          </cell>
          <cell r="R1588" t="str">
            <v>Bangaluru</v>
          </cell>
          <cell r="S1588" t="str">
            <v>Desktop</v>
          </cell>
          <cell r="T1588" t="str">
            <v>data analytics training</v>
          </cell>
        </row>
        <row r="1589">
          <cell r="A1589" t="str">
            <v>A2587</v>
          </cell>
          <cell r="B1589" t="str">
            <v>Data Analytcis Course</v>
          </cell>
          <cell r="C1589">
            <v>112</v>
          </cell>
          <cell r="D1589">
            <v>112</v>
          </cell>
          <cell r="E1589">
            <v>4944</v>
          </cell>
          <cell r="F1589">
            <v>4944</v>
          </cell>
          <cell r="G1589" t="str">
            <v>$233.83</v>
          </cell>
          <cell r="H1589" t="str">
            <v>$233.83</v>
          </cell>
          <cell r="I1589">
            <v>19</v>
          </cell>
          <cell r="J1589">
            <v>19</v>
          </cell>
          <cell r="K1589">
            <v>4</v>
          </cell>
          <cell r="L1589">
            <v>4</v>
          </cell>
          <cell r="M1589">
            <v>3.5714285714285712E-2</v>
          </cell>
          <cell r="N1589">
            <v>3.5999999999999997E-2</v>
          </cell>
          <cell r="O1589" t="str">
            <v>$1296</v>
          </cell>
          <cell r="P1589" t="str">
            <v>$1296</v>
          </cell>
          <cell r="Q1589">
            <v>45623</v>
          </cell>
          <cell r="R1589" t="str">
            <v>Chennai</v>
          </cell>
          <cell r="S1589" t="str">
            <v>Tablet</v>
          </cell>
          <cell r="T1589" t="str">
            <v>data analytics training</v>
          </cell>
        </row>
        <row r="1590">
          <cell r="A1590" t="str">
            <v>A2588</v>
          </cell>
          <cell r="B1590" t="str">
            <v>Data Analytics Course</v>
          </cell>
          <cell r="C1590">
            <v>82</v>
          </cell>
          <cell r="D1590">
            <v>82</v>
          </cell>
          <cell r="E1590">
            <v>4534</v>
          </cell>
          <cell r="F1590">
            <v>4534</v>
          </cell>
          <cell r="G1590" t="str">
            <v>$203.89</v>
          </cell>
          <cell r="H1590" t="str">
            <v>$203.89</v>
          </cell>
          <cell r="I1590">
            <v>10</v>
          </cell>
          <cell r="J1590">
            <v>10</v>
          </cell>
          <cell r="K1590">
            <v>6</v>
          </cell>
          <cell r="L1590">
            <v>6</v>
          </cell>
          <cell r="M1590">
            <v>7.3170731707317069E-2</v>
          </cell>
          <cell r="N1590">
            <v>7.2999999999999995E-2</v>
          </cell>
          <cell r="O1590" t="str">
            <v>$1589</v>
          </cell>
          <cell r="P1590" t="str">
            <v>$1589</v>
          </cell>
          <cell r="Q1590">
            <v>45622</v>
          </cell>
          <cell r="R1590" t="str">
            <v>Chennai</v>
          </cell>
          <cell r="S1590" t="str">
            <v>Tablet</v>
          </cell>
          <cell r="T1590" t="str">
            <v>online data analytic</v>
          </cell>
        </row>
        <row r="1591">
          <cell r="A1591" t="str">
            <v>A2589</v>
          </cell>
          <cell r="B1591" t="str">
            <v>Data Analytics Course</v>
          </cell>
          <cell r="C1591">
            <v>152</v>
          </cell>
          <cell r="D1591">
            <v>152</v>
          </cell>
          <cell r="E1591">
            <v>5894</v>
          </cell>
          <cell r="F1591">
            <v>5894</v>
          </cell>
          <cell r="G1591" t="str">
            <v>$219.23</v>
          </cell>
          <cell r="H1591" t="str">
            <v>$219.23</v>
          </cell>
          <cell r="I1591">
            <v>14</v>
          </cell>
          <cell r="J1591">
            <v>14</v>
          </cell>
          <cell r="K1591">
            <v>5</v>
          </cell>
          <cell r="L1591">
            <v>5</v>
          </cell>
          <cell r="M1591">
            <v>3.2894736842105261E-2</v>
          </cell>
          <cell r="N1591">
            <v>3.3000000000000002E-2</v>
          </cell>
          <cell r="O1591" t="str">
            <v>$1641</v>
          </cell>
          <cell r="P1591" t="str">
            <v>$1641</v>
          </cell>
          <cell r="Q1591">
            <v>45609</v>
          </cell>
          <cell r="R1591" t="str">
            <v>Hyderabad</v>
          </cell>
          <cell r="S1591" t="str">
            <v>Mobile</v>
          </cell>
          <cell r="T1591" t="str">
            <v>data analytics training</v>
          </cell>
        </row>
        <row r="1592">
          <cell r="A1592" t="str">
            <v>A2590</v>
          </cell>
          <cell r="B1592" t="str">
            <v>Data Analytics Course</v>
          </cell>
          <cell r="C1592">
            <v>81</v>
          </cell>
          <cell r="D1592">
            <v>81</v>
          </cell>
          <cell r="E1592">
            <v>5545</v>
          </cell>
          <cell r="F1592">
            <v>5545</v>
          </cell>
          <cell r="G1592" t="str">
            <v>$212.89</v>
          </cell>
          <cell r="H1592" t="str">
            <v>$212.89</v>
          </cell>
          <cell r="I1592">
            <v>11</v>
          </cell>
          <cell r="J1592">
            <v>11</v>
          </cell>
          <cell r="K1592">
            <v>5</v>
          </cell>
          <cell r="L1592">
            <v>5</v>
          </cell>
          <cell r="M1592">
            <v>6.1728395061728392E-2</v>
          </cell>
          <cell r="N1592">
            <v>6.2E-2</v>
          </cell>
          <cell r="O1592" t="str">
            <v>$1818</v>
          </cell>
          <cell r="P1592" t="str">
            <v>$1818</v>
          </cell>
          <cell r="Q1592">
            <v>45611</v>
          </cell>
          <cell r="R1592" t="str">
            <v>Hyderabad</v>
          </cell>
          <cell r="S1592" t="str">
            <v>Mobile</v>
          </cell>
          <cell r="T1592" t="str">
            <v>data analytics online</v>
          </cell>
        </row>
        <row r="1593">
          <cell r="A1593" t="str">
            <v>A2591</v>
          </cell>
          <cell r="B1593" t="str">
            <v>Data Analytics Course</v>
          </cell>
          <cell r="C1593">
            <v>84</v>
          </cell>
          <cell r="D1593">
            <v>84</v>
          </cell>
          <cell r="E1593">
            <v>5573</v>
          </cell>
          <cell r="F1593">
            <v>5573</v>
          </cell>
          <cell r="G1593" t="str">
            <v>$200.00</v>
          </cell>
          <cell r="I1593">
            <v>23</v>
          </cell>
          <cell r="J1593">
            <v>23</v>
          </cell>
          <cell r="K1593">
            <v>6</v>
          </cell>
          <cell r="L1593">
            <v>6</v>
          </cell>
          <cell r="M1593">
            <v>7.1428571428571425E-2</v>
          </cell>
          <cell r="N1593">
            <v>7.0999999999999994E-2</v>
          </cell>
          <cell r="O1593" t="str">
            <v>$1656</v>
          </cell>
          <cell r="P1593" t="str">
            <v>$1656</v>
          </cell>
          <cell r="Q1593">
            <v>45608</v>
          </cell>
          <cell r="R1593" t="str">
            <v>Chennai</v>
          </cell>
          <cell r="S1593" t="str">
            <v>Desktop</v>
          </cell>
          <cell r="T1593" t="str">
            <v>online data analytic</v>
          </cell>
        </row>
        <row r="1594">
          <cell r="A1594" t="str">
            <v>A2592</v>
          </cell>
          <cell r="B1594" t="str">
            <v>Data Analytics Course</v>
          </cell>
          <cell r="C1594">
            <v>117</v>
          </cell>
          <cell r="D1594">
            <v>117</v>
          </cell>
          <cell r="E1594">
            <v>3039</v>
          </cell>
          <cell r="F1594">
            <v>3039</v>
          </cell>
          <cell r="G1594" t="str">
            <v>$223.72</v>
          </cell>
          <cell r="H1594" t="str">
            <v>$223.72</v>
          </cell>
          <cell r="I1594">
            <v>27</v>
          </cell>
          <cell r="J1594">
            <v>27</v>
          </cell>
          <cell r="K1594">
            <v>8</v>
          </cell>
          <cell r="L1594">
            <v>8</v>
          </cell>
          <cell r="M1594">
            <v>6.8376068376068383E-2</v>
          </cell>
          <cell r="N1594">
            <v>6.8000000000000005E-2</v>
          </cell>
          <cell r="O1594" t="str">
            <v>$1340</v>
          </cell>
          <cell r="P1594" t="str">
            <v>$1340</v>
          </cell>
          <cell r="Q1594">
            <v>45610</v>
          </cell>
          <cell r="R1594" t="str">
            <v>Bangaluru</v>
          </cell>
          <cell r="S1594" t="str">
            <v>Mobile</v>
          </cell>
          <cell r="T1594" t="str">
            <v>data analytics training</v>
          </cell>
        </row>
        <row r="1595">
          <cell r="A1595" t="str">
            <v>A2593</v>
          </cell>
          <cell r="B1595" t="str">
            <v>Data Analytics Course</v>
          </cell>
          <cell r="C1595">
            <v>82</v>
          </cell>
          <cell r="D1595">
            <v>82</v>
          </cell>
          <cell r="E1595">
            <v>3556</v>
          </cell>
          <cell r="F1595">
            <v>3556</v>
          </cell>
          <cell r="G1595" t="str">
            <v>$200.00</v>
          </cell>
          <cell r="I1595">
            <v>16</v>
          </cell>
          <cell r="J1595">
            <v>16</v>
          </cell>
          <cell r="K1595">
            <v>5</v>
          </cell>
          <cell r="L1595">
            <v>5</v>
          </cell>
          <cell r="M1595">
            <v>6.097560975609756E-2</v>
          </cell>
          <cell r="N1595">
            <v>6.0999999999999999E-2</v>
          </cell>
          <cell r="O1595" t="str">
            <v>$1331</v>
          </cell>
          <cell r="P1595" t="str">
            <v>$1331</v>
          </cell>
          <cell r="Q1595">
            <v>45613</v>
          </cell>
          <cell r="R1595" t="str">
            <v>Hyderabad</v>
          </cell>
          <cell r="S1595" t="str">
            <v>Mobile</v>
          </cell>
          <cell r="T1595" t="str">
            <v>data analytics online</v>
          </cell>
        </row>
        <row r="1596">
          <cell r="A1596" t="str">
            <v>A2594</v>
          </cell>
          <cell r="B1596" t="str">
            <v>Data Analytcis Course</v>
          </cell>
          <cell r="C1596">
            <v>192</v>
          </cell>
          <cell r="D1596">
            <v>192</v>
          </cell>
          <cell r="E1596">
            <v>4920</v>
          </cell>
          <cell r="F1596">
            <v>4920</v>
          </cell>
          <cell r="G1596" t="str">
            <v>$192.15</v>
          </cell>
          <cell r="H1596" t="str">
            <v>$192.15</v>
          </cell>
          <cell r="I1596">
            <v>18</v>
          </cell>
          <cell r="J1596">
            <v>18</v>
          </cell>
          <cell r="K1596">
            <v>10</v>
          </cell>
          <cell r="L1596">
            <v>10</v>
          </cell>
          <cell r="M1596">
            <v>5.2083333333333336E-2</v>
          </cell>
          <cell r="N1596">
            <v>5.1999999999999998E-2</v>
          </cell>
          <cell r="O1596" t="str">
            <v>$1665</v>
          </cell>
          <cell r="P1596" t="str">
            <v>$1665</v>
          </cell>
          <cell r="Q1596">
            <v>45605</v>
          </cell>
          <cell r="R1596" t="str">
            <v>Bangaluru</v>
          </cell>
          <cell r="S1596" t="str">
            <v>Mobile</v>
          </cell>
          <cell r="T1596" t="str">
            <v>data analytics online</v>
          </cell>
        </row>
        <row r="1597">
          <cell r="A1597" t="str">
            <v>A2595</v>
          </cell>
          <cell r="B1597" t="str">
            <v>Data Analytics Course</v>
          </cell>
          <cell r="C1597">
            <v>131</v>
          </cell>
          <cell r="D1597">
            <v>131</v>
          </cell>
          <cell r="E1597">
            <v>3187</v>
          </cell>
          <cell r="F1597">
            <v>3187</v>
          </cell>
          <cell r="G1597" t="str">
            <v>$234.53</v>
          </cell>
          <cell r="H1597" t="str">
            <v>$234.53</v>
          </cell>
          <cell r="I1597">
            <v>24</v>
          </cell>
          <cell r="J1597">
            <v>24</v>
          </cell>
          <cell r="K1597">
            <v>10</v>
          </cell>
          <cell r="L1597">
            <v>10</v>
          </cell>
          <cell r="M1597">
            <v>7.6335877862595422E-2</v>
          </cell>
          <cell r="O1597" t="str">
            <v>$1656</v>
          </cell>
          <cell r="P1597" t="str">
            <v>$1656</v>
          </cell>
          <cell r="Q1597">
            <v>45603</v>
          </cell>
          <cell r="R1597" t="str">
            <v>Bangaluru</v>
          </cell>
          <cell r="S1597" t="str">
            <v>Mobile</v>
          </cell>
          <cell r="T1597" t="str">
            <v>data analytics course</v>
          </cell>
        </row>
        <row r="1598">
          <cell r="A1598" t="str">
            <v>A2596</v>
          </cell>
          <cell r="B1598" t="str">
            <v>Data Analytics Course</v>
          </cell>
          <cell r="C1598">
            <v>177</v>
          </cell>
          <cell r="D1598">
            <v>177</v>
          </cell>
          <cell r="E1598">
            <v>3238</v>
          </cell>
          <cell r="F1598">
            <v>3238</v>
          </cell>
          <cell r="G1598" t="str">
            <v>$189.61</v>
          </cell>
          <cell r="H1598" t="str">
            <v>$189.61</v>
          </cell>
          <cell r="I1598">
            <v>29</v>
          </cell>
          <cell r="J1598">
            <v>29</v>
          </cell>
          <cell r="K1598">
            <v>7</v>
          </cell>
          <cell r="L1598">
            <v>7</v>
          </cell>
          <cell r="M1598">
            <v>3.954802259887006E-2</v>
          </cell>
          <cell r="N1598">
            <v>0.05</v>
          </cell>
          <cell r="O1598" t="str">
            <v>$1925</v>
          </cell>
          <cell r="P1598" t="str">
            <v>$1925</v>
          </cell>
          <cell r="Q1598">
            <v>45623</v>
          </cell>
          <cell r="R1598" t="str">
            <v>Hyderabad</v>
          </cell>
          <cell r="S1598" t="str">
            <v>Tablet</v>
          </cell>
          <cell r="T1598" t="str">
            <v>data analytics online</v>
          </cell>
        </row>
        <row r="1599">
          <cell r="A1599" t="str">
            <v>A2597</v>
          </cell>
          <cell r="B1599" t="str">
            <v>Data Analytics Course</v>
          </cell>
          <cell r="C1599">
            <v>138.95699356913184</v>
          </cell>
          <cell r="E1599">
            <v>4523.2808326787117</v>
          </cell>
          <cell r="G1599" t="str">
            <v>$182.66</v>
          </cell>
          <cell r="H1599" t="str">
            <v>$182.66</v>
          </cell>
          <cell r="I1599">
            <v>22</v>
          </cell>
          <cell r="J1599">
            <v>22</v>
          </cell>
          <cell r="K1599">
            <v>10</v>
          </cell>
          <cell r="L1599">
            <v>10</v>
          </cell>
          <cell r="M1599">
            <v>7.1964711837443046E-2</v>
          </cell>
          <cell r="O1599" t="str">
            <v>$1482</v>
          </cell>
          <cell r="P1599" t="str">
            <v>$1482</v>
          </cell>
          <cell r="Q1599">
            <v>45620</v>
          </cell>
          <cell r="R1599" t="str">
            <v>Hyderabad</v>
          </cell>
          <cell r="S1599" t="str">
            <v>Desktop</v>
          </cell>
          <cell r="T1599" t="str">
            <v>learn data analytics</v>
          </cell>
        </row>
        <row r="1600">
          <cell r="A1600" t="str">
            <v>A2598</v>
          </cell>
          <cell r="B1600" t="str">
            <v>Data Analytics Course</v>
          </cell>
          <cell r="C1600">
            <v>147</v>
          </cell>
          <cell r="D1600">
            <v>147</v>
          </cell>
          <cell r="E1600">
            <v>4507</v>
          </cell>
          <cell r="F1600">
            <v>4507</v>
          </cell>
          <cell r="G1600" t="str">
            <v>$190.42</v>
          </cell>
          <cell r="H1600" t="str">
            <v>$190.42</v>
          </cell>
          <cell r="I1600">
            <v>27</v>
          </cell>
          <cell r="J1600">
            <v>27</v>
          </cell>
          <cell r="K1600">
            <v>8</v>
          </cell>
          <cell r="L1600">
            <v>8</v>
          </cell>
          <cell r="M1600">
            <v>5.4421768707482991E-2</v>
          </cell>
          <cell r="N1600">
            <v>5.3999999999999999E-2</v>
          </cell>
          <cell r="O1600" t="str">
            <v>$1073</v>
          </cell>
          <cell r="P1600" t="str">
            <v>$1073</v>
          </cell>
          <cell r="Q1600">
            <v>45601</v>
          </cell>
          <cell r="R1600" t="str">
            <v>Bangaluru</v>
          </cell>
          <cell r="S1600" t="str">
            <v>Desktop</v>
          </cell>
          <cell r="T1600" t="str">
            <v>learn data analytics</v>
          </cell>
        </row>
        <row r="1601">
          <cell r="A1601" t="str">
            <v>A2599</v>
          </cell>
          <cell r="B1601" t="str">
            <v>Data Analytics Course</v>
          </cell>
          <cell r="C1601">
            <v>143</v>
          </cell>
          <cell r="D1601">
            <v>143</v>
          </cell>
          <cell r="E1601">
            <v>3606</v>
          </cell>
          <cell r="F1601">
            <v>3606</v>
          </cell>
          <cell r="G1601" t="str">
            <v>$200.29</v>
          </cell>
          <cell r="H1601" t="str">
            <v>$200.29</v>
          </cell>
          <cell r="I1601">
            <v>20.254098360655739</v>
          </cell>
          <cell r="K1601">
            <v>3</v>
          </cell>
          <cell r="L1601">
            <v>3</v>
          </cell>
          <cell r="M1601">
            <v>2.097902097902098E-2</v>
          </cell>
          <cell r="N1601">
            <v>3.5000000000000003E-2</v>
          </cell>
          <cell r="O1601" t="str">
            <v>$1550</v>
          </cell>
          <cell r="P1601" t="str">
            <v>$1550</v>
          </cell>
          <cell r="Q1601">
            <v>45616</v>
          </cell>
          <cell r="R1601" t="str">
            <v>Hyderabad</v>
          </cell>
          <cell r="S1601" t="str">
            <v>Mobile</v>
          </cell>
          <cell r="T1601" t="str">
            <v>learn data analytics</v>
          </cell>
        </row>
        <row r="1602">
          <cell r="A1602" t="str">
            <v>A2600</v>
          </cell>
          <cell r="B1602" t="str">
            <v>Data Analytcis Course</v>
          </cell>
          <cell r="C1602">
            <v>138.95699356913184</v>
          </cell>
          <cell r="E1602">
            <v>3355</v>
          </cell>
          <cell r="F1602">
            <v>3355</v>
          </cell>
          <cell r="G1602" t="str">
            <v>$186.9</v>
          </cell>
          <cell r="H1602" t="str">
            <v>$186.9</v>
          </cell>
          <cell r="I1602">
            <v>20</v>
          </cell>
          <cell r="J1602">
            <v>20</v>
          </cell>
          <cell r="K1602">
            <v>4</v>
          </cell>
          <cell r="L1602">
            <v>4</v>
          </cell>
          <cell r="M1602">
            <v>2.8785884734977219E-2</v>
          </cell>
          <cell r="O1602" t="str">
            <v>$1524</v>
          </cell>
          <cell r="P1602" t="str">
            <v>$1524</v>
          </cell>
          <cell r="Q1602">
            <v>45606</v>
          </cell>
          <cell r="R1602" t="str">
            <v>Hyderabad</v>
          </cell>
          <cell r="S1602" t="str">
            <v>Mobile</v>
          </cell>
          <cell r="T1602" t="str">
            <v>online data analytic</v>
          </cell>
        </row>
        <row r="1603">
          <cell r="A1603" t="str">
            <v>A2601</v>
          </cell>
          <cell r="B1603" t="str">
            <v>Data Analytics Course</v>
          </cell>
          <cell r="C1603">
            <v>160</v>
          </cell>
          <cell r="D1603">
            <v>160</v>
          </cell>
          <cell r="E1603">
            <v>3711</v>
          </cell>
          <cell r="F1603">
            <v>3711</v>
          </cell>
          <cell r="G1603" t="str">
            <v>$214.41</v>
          </cell>
          <cell r="H1603" t="str">
            <v>$214.41</v>
          </cell>
          <cell r="I1603">
            <v>10</v>
          </cell>
          <cell r="J1603">
            <v>10</v>
          </cell>
          <cell r="K1603">
            <v>6</v>
          </cell>
          <cell r="L1603">
            <v>6</v>
          </cell>
          <cell r="M1603">
            <v>3.7499999999999999E-2</v>
          </cell>
          <cell r="N1603">
            <v>3.6999999999999998E-2</v>
          </cell>
          <cell r="O1603" t="str">
            <v>$1550</v>
          </cell>
          <cell r="P1603" t="str">
            <v>$1550</v>
          </cell>
          <cell r="Q1603">
            <v>45603</v>
          </cell>
          <cell r="R1603" t="str">
            <v>Chennai</v>
          </cell>
          <cell r="S1603" t="str">
            <v>Mobile</v>
          </cell>
          <cell r="T1603" t="str">
            <v>analytics for data</v>
          </cell>
        </row>
        <row r="1604">
          <cell r="A1604" t="str">
            <v>A2602</v>
          </cell>
          <cell r="B1604" t="str">
            <v>Data Analytcis Course</v>
          </cell>
          <cell r="C1604">
            <v>172</v>
          </cell>
          <cell r="D1604">
            <v>172</v>
          </cell>
          <cell r="E1604">
            <v>4841</v>
          </cell>
          <cell r="F1604">
            <v>4841</v>
          </cell>
          <cell r="G1604" t="str">
            <v>$234.94</v>
          </cell>
          <cell r="H1604" t="str">
            <v>$234.94</v>
          </cell>
          <cell r="I1604">
            <v>28</v>
          </cell>
          <cell r="J1604">
            <v>28</v>
          </cell>
          <cell r="K1604">
            <v>8</v>
          </cell>
          <cell r="L1604">
            <v>8</v>
          </cell>
          <cell r="M1604">
            <v>4.6511627906976744E-2</v>
          </cell>
          <cell r="O1604" t="str">
            <v>$1258</v>
          </cell>
          <cell r="P1604" t="str">
            <v>$1258</v>
          </cell>
          <cell r="Q1604">
            <v>45608</v>
          </cell>
          <cell r="R1604" t="str">
            <v>Hyderabad</v>
          </cell>
          <cell r="S1604" t="str">
            <v>Desktop</v>
          </cell>
          <cell r="T1604" t="str">
            <v>analytics for data</v>
          </cell>
        </row>
        <row r="1605">
          <cell r="A1605" t="str">
            <v>A2603</v>
          </cell>
          <cell r="B1605" t="str">
            <v>Data Analytics Course</v>
          </cell>
          <cell r="C1605">
            <v>95</v>
          </cell>
          <cell r="D1605">
            <v>95</v>
          </cell>
          <cell r="E1605">
            <v>5411</v>
          </cell>
          <cell r="F1605">
            <v>5411</v>
          </cell>
          <cell r="G1605" t="str">
            <v>$182.58</v>
          </cell>
          <cell r="H1605" t="str">
            <v>$182.58</v>
          </cell>
          <cell r="I1605">
            <v>13</v>
          </cell>
          <cell r="J1605">
            <v>13</v>
          </cell>
          <cell r="K1605">
            <v>4</v>
          </cell>
          <cell r="L1605">
            <v>4</v>
          </cell>
          <cell r="M1605">
            <v>4.2105263157894736E-2</v>
          </cell>
          <cell r="N1605">
            <v>4.2000000000000003E-2</v>
          </cell>
          <cell r="O1605" t="str">
            <v>$1111</v>
          </cell>
          <cell r="P1605" t="str">
            <v>$1111</v>
          </cell>
          <cell r="Q1605">
            <v>45626</v>
          </cell>
          <cell r="R1605" t="str">
            <v>Chennai</v>
          </cell>
          <cell r="S1605" t="str">
            <v>Tablet</v>
          </cell>
          <cell r="T1605" t="str">
            <v>data analytics training</v>
          </cell>
        </row>
        <row r="1606">
          <cell r="A1606" t="str">
            <v>A2604</v>
          </cell>
          <cell r="B1606" t="str">
            <v>Data Analytcis Course</v>
          </cell>
          <cell r="C1606">
            <v>111</v>
          </cell>
          <cell r="D1606">
            <v>111</v>
          </cell>
          <cell r="E1606">
            <v>3520</v>
          </cell>
          <cell r="F1606">
            <v>3520</v>
          </cell>
          <cell r="G1606" t="str">
            <v>$237.4</v>
          </cell>
          <cell r="H1606" t="str">
            <v>$237.4</v>
          </cell>
          <cell r="I1606">
            <v>13</v>
          </cell>
          <cell r="J1606">
            <v>13</v>
          </cell>
          <cell r="K1606">
            <v>3</v>
          </cell>
          <cell r="L1606">
            <v>3</v>
          </cell>
          <cell r="M1606">
            <v>2.7027027027027029E-2</v>
          </cell>
          <cell r="N1606">
            <v>2.7E-2</v>
          </cell>
          <cell r="O1606" t="str">
            <v>$1395</v>
          </cell>
          <cell r="P1606" t="str">
            <v>$1395</v>
          </cell>
          <cell r="Q1606">
            <v>45615</v>
          </cell>
          <cell r="R1606" t="str">
            <v>Hyderabad</v>
          </cell>
          <cell r="S1606" t="str">
            <v>Mobile</v>
          </cell>
          <cell r="T1606" t="str">
            <v>online data analytic</v>
          </cell>
        </row>
        <row r="1607">
          <cell r="A1607" t="str">
            <v>A2605</v>
          </cell>
          <cell r="B1607" t="str">
            <v>Data Analytics Course</v>
          </cell>
          <cell r="C1607">
            <v>171</v>
          </cell>
          <cell r="D1607">
            <v>171</v>
          </cell>
          <cell r="E1607">
            <v>3460</v>
          </cell>
          <cell r="F1607">
            <v>3460</v>
          </cell>
          <cell r="G1607" t="str">
            <v>$184.14</v>
          </cell>
          <cell r="H1607" t="str">
            <v>$184.14</v>
          </cell>
          <cell r="I1607">
            <v>27</v>
          </cell>
          <cell r="J1607">
            <v>27</v>
          </cell>
          <cell r="K1607">
            <v>9</v>
          </cell>
          <cell r="L1607">
            <v>9</v>
          </cell>
          <cell r="M1607">
            <v>5.2631578947368418E-2</v>
          </cell>
          <cell r="N1607">
            <v>5.2999999999999999E-2</v>
          </cell>
          <cell r="O1607" t="str">
            <v>$1565</v>
          </cell>
          <cell r="P1607" t="str">
            <v>$1565</v>
          </cell>
          <cell r="Q1607">
            <v>45612</v>
          </cell>
          <cell r="R1607" t="str">
            <v>Bangaluru</v>
          </cell>
          <cell r="S1607" t="str">
            <v>Tablet</v>
          </cell>
          <cell r="T1607" t="str">
            <v>data analytics online</v>
          </cell>
        </row>
        <row r="1608">
          <cell r="A1608" t="str">
            <v>A2606</v>
          </cell>
          <cell r="B1608" t="str">
            <v>Data Analytics Course</v>
          </cell>
          <cell r="C1608">
            <v>145</v>
          </cell>
          <cell r="D1608">
            <v>145</v>
          </cell>
          <cell r="E1608">
            <v>5875</v>
          </cell>
          <cell r="F1608">
            <v>5875</v>
          </cell>
          <cell r="G1608" t="str">
            <v>$221.0</v>
          </cell>
          <cell r="H1608" t="str">
            <v>$221.0</v>
          </cell>
          <cell r="I1608">
            <v>14</v>
          </cell>
          <cell r="J1608">
            <v>14</v>
          </cell>
          <cell r="K1608">
            <v>7</v>
          </cell>
          <cell r="L1608">
            <v>7</v>
          </cell>
          <cell r="M1608">
            <v>4.8275862068965517E-2</v>
          </cell>
          <cell r="N1608">
            <v>4.8000000000000001E-2</v>
          </cell>
          <cell r="O1608" t="str">
            <v>$1230</v>
          </cell>
          <cell r="P1608" t="str">
            <v>$1230</v>
          </cell>
          <cell r="Q1608">
            <v>45620</v>
          </cell>
          <cell r="R1608" t="str">
            <v>Hyderabad</v>
          </cell>
          <cell r="S1608" t="str">
            <v>Desktop</v>
          </cell>
          <cell r="T1608" t="str">
            <v>learn data analytics</v>
          </cell>
        </row>
        <row r="1609">
          <cell r="A1609" t="str">
            <v>A2607</v>
          </cell>
          <cell r="B1609" t="str">
            <v>Data Analytics Course</v>
          </cell>
          <cell r="C1609">
            <v>118</v>
          </cell>
          <cell r="D1609">
            <v>118</v>
          </cell>
          <cell r="E1609">
            <v>3404</v>
          </cell>
          <cell r="F1609">
            <v>3404</v>
          </cell>
          <cell r="G1609" t="str">
            <v>$183.15</v>
          </cell>
          <cell r="H1609" t="str">
            <v>$183.15</v>
          </cell>
          <cell r="I1609">
            <v>27</v>
          </cell>
          <cell r="J1609">
            <v>27</v>
          </cell>
          <cell r="K1609">
            <v>7</v>
          </cell>
          <cell r="L1609">
            <v>7</v>
          </cell>
          <cell r="M1609">
            <v>5.9322033898305086E-2</v>
          </cell>
          <cell r="N1609">
            <v>5.8999999999999997E-2</v>
          </cell>
          <cell r="O1609" t="str">
            <v>$1489</v>
          </cell>
          <cell r="P1609" t="str">
            <v>$1489</v>
          </cell>
          <cell r="Q1609">
            <v>45617</v>
          </cell>
          <cell r="R1609" t="str">
            <v>Chennai</v>
          </cell>
          <cell r="S1609" t="str">
            <v>Tablet</v>
          </cell>
          <cell r="T1609" t="str">
            <v>learn data analytics</v>
          </cell>
        </row>
        <row r="1610">
          <cell r="A1610" t="str">
            <v>A2608</v>
          </cell>
          <cell r="B1610" t="str">
            <v>Data Analytics Course</v>
          </cell>
          <cell r="C1610">
            <v>171</v>
          </cell>
          <cell r="D1610">
            <v>171</v>
          </cell>
          <cell r="E1610">
            <v>3567</v>
          </cell>
          <cell r="F1610">
            <v>3567</v>
          </cell>
          <cell r="G1610" t="str">
            <v>$233.32</v>
          </cell>
          <cell r="H1610" t="str">
            <v>$233.32</v>
          </cell>
          <cell r="I1610">
            <v>27</v>
          </cell>
          <cell r="J1610">
            <v>27</v>
          </cell>
          <cell r="K1610">
            <v>4</v>
          </cell>
          <cell r="L1610">
            <v>4</v>
          </cell>
          <cell r="M1610">
            <v>2.3391812865497075E-2</v>
          </cell>
          <cell r="O1610" t="str">
            <v>$1271</v>
          </cell>
          <cell r="P1610" t="str">
            <v>$1271</v>
          </cell>
          <cell r="Q1610">
            <v>45601</v>
          </cell>
          <cell r="R1610" t="str">
            <v>Bangaluru</v>
          </cell>
          <cell r="S1610" t="str">
            <v>Desktop</v>
          </cell>
          <cell r="T1610" t="str">
            <v>analytics for data</v>
          </cell>
        </row>
        <row r="1611">
          <cell r="A1611" t="str">
            <v>A2609</v>
          </cell>
          <cell r="B1611" t="str">
            <v>Data Analytcis Course</v>
          </cell>
          <cell r="C1611">
            <v>108</v>
          </cell>
          <cell r="D1611">
            <v>108</v>
          </cell>
          <cell r="E1611">
            <v>3628</v>
          </cell>
          <cell r="F1611">
            <v>3628</v>
          </cell>
          <cell r="G1611" t="str">
            <v>$185.68</v>
          </cell>
          <cell r="H1611" t="str">
            <v>$185.68</v>
          </cell>
          <cell r="I1611">
            <v>24</v>
          </cell>
          <cell r="J1611">
            <v>24</v>
          </cell>
          <cell r="K1611">
            <v>8</v>
          </cell>
          <cell r="L1611">
            <v>8</v>
          </cell>
          <cell r="M1611">
            <v>7.407407407407407E-2</v>
          </cell>
          <cell r="N1611">
            <v>7.3999999999999996E-2</v>
          </cell>
          <cell r="O1611" t="str">
            <v>$1682</v>
          </cell>
          <cell r="P1611" t="str">
            <v>$1682</v>
          </cell>
          <cell r="Q1611">
            <v>45615</v>
          </cell>
          <cell r="R1611" t="str">
            <v>Bangaluru</v>
          </cell>
          <cell r="S1611" t="str">
            <v>Tablet</v>
          </cell>
          <cell r="T1611" t="str">
            <v>learn data analytics</v>
          </cell>
        </row>
        <row r="1612">
          <cell r="A1612" t="str">
            <v>A2610</v>
          </cell>
          <cell r="B1612" t="str">
            <v>Data Analytcis Course</v>
          </cell>
          <cell r="C1612">
            <v>100</v>
          </cell>
          <cell r="D1612">
            <v>100</v>
          </cell>
          <cell r="E1612">
            <v>4994</v>
          </cell>
          <cell r="F1612">
            <v>4994</v>
          </cell>
          <cell r="G1612" t="str">
            <v>$206.32</v>
          </cell>
          <cell r="H1612" t="str">
            <v>$206.32</v>
          </cell>
          <cell r="I1612">
            <v>21</v>
          </cell>
          <cell r="J1612">
            <v>21</v>
          </cell>
          <cell r="K1612">
            <v>7</v>
          </cell>
          <cell r="L1612">
            <v>7</v>
          </cell>
          <cell r="M1612">
            <v>7.0000000000000007E-2</v>
          </cell>
          <cell r="N1612">
            <v>0.04</v>
          </cell>
          <cell r="O1612" t="str">
            <v>$1673</v>
          </cell>
          <cell r="P1612" t="str">
            <v>$1673</v>
          </cell>
          <cell r="Q1612">
            <v>45616</v>
          </cell>
          <cell r="R1612" t="str">
            <v>Bangaluru</v>
          </cell>
          <cell r="S1612" t="str">
            <v>Tablet</v>
          </cell>
          <cell r="T1612" t="str">
            <v>learn data analytics</v>
          </cell>
        </row>
        <row r="1613">
          <cell r="A1613" t="str">
            <v>A2611</v>
          </cell>
          <cell r="B1613" t="str">
            <v>Data Analytics Course</v>
          </cell>
          <cell r="C1613">
            <v>138</v>
          </cell>
          <cell r="D1613">
            <v>138</v>
          </cell>
          <cell r="E1613">
            <v>5758</v>
          </cell>
          <cell r="F1613">
            <v>5758</v>
          </cell>
          <cell r="G1613" t="str">
            <v>$193.53</v>
          </cell>
          <cell r="H1613" t="str">
            <v>$193.53</v>
          </cell>
          <cell r="I1613">
            <v>14</v>
          </cell>
          <cell r="J1613">
            <v>14</v>
          </cell>
          <cell r="K1613">
            <v>4</v>
          </cell>
          <cell r="L1613">
            <v>4</v>
          </cell>
          <cell r="M1613">
            <v>2.8985507246376812E-2</v>
          </cell>
          <cell r="N1613">
            <v>2.9000000000000001E-2</v>
          </cell>
          <cell r="O1613" t="str">
            <v>$1902</v>
          </cell>
          <cell r="P1613" t="str">
            <v>$1902</v>
          </cell>
          <cell r="Q1613">
            <v>45611</v>
          </cell>
          <cell r="R1613" t="str">
            <v>Hyderabad</v>
          </cell>
          <cell r="S1613" t="str">
            <v>Tablet</v>
          </cell>
          <cell r="T1613" t="str">
            <v>analytics for data</v>
          </cell>
        </row>
        <row r="1614">
          <cell r="A1614" t="str">
            <v>A2612</v>
          </cell>
          <cell r="B1614" t="str">
            <v>Data Analytics Course</v>
          </cell>
          <cell r="C1614">
            <v>88</v>
          </cell>
          <cell r="D1614">
            <v>88</v>
          </cell>
          <cell r="E1614">
            <v>3382</v>
          </cell>
          <cell r="F1614">
            <v>3382</v>
          </cell>
          <cell r="G1614" t="str">
            <v>$198.62</v>
          </cell>
          <cell r="H1614" t="str">
            <v>$198.62</v>
          </cell>
          <cell r="I1614">
            <v>25</v>
          </cell>
          <cell r="J1614">
            <v>25</v>
          </cell>
          <cell r="K1614">
            <v>9</v>
          </cell>
          <cell r="L1614">
            <v>9</v>
          </cell>
          <cell r="M1614">
            <v>0.10227272727272728</v>
          </cell>
          <cell r="N1614">
            <v>0.10199999999999999</v>
          </cell>
          <cell r="O1614" t="str">
            <v>$1599</v>
          </cell>
          <cell r="P1614" t="str">
            <v>$1599</v>
          </cell>
          <cell r="Q1614">
            <v>45606</v>
          </cell>
          <cell r="R1614" t="str">
            <v>Hyderabad</v>
          </cell>
          <cell r="S1614" t="str">
            <v>Desktop</v>
          </cell>
          <cell r="T1614" t="str">
            <v>data analytics training</v>
          </cell>
        </row>
        <row r="1615">
          <cell r="A1615" t="str">
            <v>A2613</v>
          </cell>
          <cell r="B1615" t="str">
            <v>Data Analytics Course</v>
          </cell>
          <cell r="C1615">
            <v>125</v>
          </cell>
          <cell r="D1615">
            <v>125</v>
          </cell>
          <cell r="E1615">
            <v>3652</v>
          </cell>
          <cell r="F1615">
            <v>3652</v>
          </cell>
          <cell r="G1615" t="str">
            <v>$186.61</v>
          </cell>
          <cell r="H1615" t="str">
            <v>$186.61</v>
          </cell>
          <cell r="I1615">
            <v>29</v>
          </cell>
          <cell r="J1615">
            <v>29</v>
          </cell>
          <cell r="K1615">
            <v>10</v>
          </cell>
          <cell r="L1615">
            <v>10</v>
          </cell>
          <cell r="M1615">
            <v>0.08</v>
          </cell>
          <cell r="N1615">
            <v>0.08</v>
          </cell>
          <cell r="O1615" t="str">
            <v>$1017</v>
          </cell>
          <cell r="P1615" t="str">
            <v>$1017</v>
          </cell>
          <cell r="Q1615">
            <v>45625</v>
          </cell>
          <cell r="R1615" t="str">
            <v>Chennai</v>
          </cell>
          <cell r="S1615" t="str">
            <v>Mobile</v>
          </cell>
          <cell r="T1615" t="str">
            <v>learn data analytics</v>
          </cell>
        </row>
        <row r="1616">
          <cell r="A1616" t="str">
            <v>A2614</v>
          </cell>
          <cell r="B1616" t="str">
            <v>Data Analytics Course</v>
          </cell>
          <cell r="C1616">
            <v>169</v>
          </cell>
          <cell r="D1616">
            <v>169</v>
          </cell>
          <cell r="E1616">
            <v>4120</v>
          </cell>
          <cell r="F1616">
            <v>4120</v>
          </cell>
          <cell r="G1616" t="str">
            <v>$215.75</v>
          </cell>
          <cell r="H1616" t="str">
            <v>$215.75</v>
          </cell>
          <cell r="I1616">
            <v>27</v>
          </cell>
          <cell r="J1616">
            <v>27</v>
          </cell>
          <cell r="K1616">
            <v>5</v>
          </cell>
          <cell r="L1616">
            <v>5</v>
          </cell>
          <cell r="M1616">
            <v>2.9585798816568046E-2</v>
          </cell>
          <cell r="N1616">
            <v>0.03</v>
          </cell>
          <cell r="O1616" t="str">
            <v>$1362</v>
          </cell>
          <cell r="P1616" t="str">
            <v>$1362</v>
          </cell>
          <cell r="Q1616">
            <v>45615</v>
          </cell>
          <cell r="R1616" t="str">
            <v>Bangaluru</v>
          </cell>
          <cell r="S1616" t="str">
            <v>Mobile</v>
          </cell>
          <cell r="T1616" t="str">
            <v>analytics for data</v>
          </cell>
        </row>
        <row r="1617">
          <cell r="A1617" t="str">
            <v>A2615</v>
          </cell>
          <cell r="B1617" t="str">
            <v>Data Analytics Course</v>
          </cell>
          <cell r="C1617">
            <v>169</v>
          </cell>
          <cell r="D1617">
            <v>169</v>
          </cell>
          <cell r="E1617">
            <v>3142</v>
          </cell>
          <cell r="F1617">
            <v>3142</v>
          </cell>
          <cell r="G1617" t="str">
            <v>$236.79</v>
          </cell>
          <cell r="H1617" t="str">
            <v>$236.79</v>
          </cell>
          <cell r="I1617">
            <v>18</v>
          </cell>
          <cell r="J1617">
            <v>18</v>
          </cell>
          <cell r="K1617">
            <v>7</v>
          </cell>
          <cell r="L1617">
            <v>7</v>
          </cell>
          <cell r="M1617">
            <v>4.142011834319527E-2</v>
          </cell>
          <cell r="N1617">
            <v>4.1000000000000002E-2</v>
          </cell>
          <cell r="O1617" t="str">
            <v>$1500</v>
          </cell>
          <cell r="Q1617">
            <v>45602</v>
          </cell>
          <cell r="R1617" t="str">
            <v>Hyderabad</v>
          </cell>
          <cell r="S1617" t="str">
            <v>Mobile</v>
          </cell>
          <cell r="T1617" t="str">
            <v>data analytics online</v>
          </cell>
        </row>
        <row r="1618">
          <cell r="A1618" t="str">
            <v>A2616</v>
          </cell>
          <cell r="B1618" t="str">
            <v>Data Analytics Course</v>
          </cell>
          <cell r="C1618">
            <v>149</v>
          </cell>
          <cell r="D1618">
            <v>149</v>
          </cell>
          <cell r="E1618">
            <v>5726</v>
          </cell>
          <cell r="F1618">
            <v>5726</v>
          </cell>
          <cell r="G1618" t="str">
            <v>$235.72</v>
          </cell>
          <cell r="H1618" t="str">
            <v>$235.72</v>
          </cell>
          <cell r="I1618">
            <v>17</v>
          </cell>
          <cell r="J1618">
            <v>17</v>
          </cell>
          <cell r="K1618">
            <v>7</v>
          </cell>
          <cell r="L1618">
            <v>7</v>
          </cell>
          <cell r="M1618">
            <v>4.6979865771812082E-2</v>
          </cell>
          <cell r="N1618">
            <v>4.7E-2</v>
          </cell>
          <cell r="O1618" t="str">
            <v>$1902</v>
          </cell>
          <cell r="P1618" t="str">
            <v>$1902</v>
          </cell>
          <cell r="Q1618">
            <v>45607</v>
          </cell>
          <cell r="R1618" t="str">
            <v>Bangaluru</v>
          </cell>
          <cell r="S1618" t="str">
            <v>Mobile</v>
          </cell>
          <cell r="T1618" t="str">
            <v>data analytics online</v>
          </cell>
        </row>
        <row r="1619">
          <cell r="A1619" t="str">
            <v>A2617</v>
          </cell>
          <cell r="B1619" t="str">
            <v>Data Analytics Course</v>
          </cell>
          <cell r="C1619">
            <v>99</v>
          </cell>
          <cell r="D1619">
            <v>99</v>
          </cell>
          <cell r="E1619">
            <v>5938</v>
          </cell>
          <cell r="F1619">
            <v>5938</v>
          </cell>
          <cell r="G1619" t="str">
            <v>$183.49</v>
          </cell>
          <cell r="H1619" t="str">
            <v>$183.49</v>
          </cell>
          <cell r="I1619">
            <v>30</v>
          </cell>
          <cell r="J1619">
            <v>30</v>
          </cell>
          <cell r="K1619">
            <v>3</v>
          </cell>
          <cell r="L1619">
            <v>3</v>
          </cell>
          <cell r="M1619">
            <v>3.0303030303030304E-2</v>
          </cell>
          <cell r="N1619">
            <v>0.03</v>
          </cell>
          <cell r="O1619" t="str">
            <v>$1487</v>
          </cell>
          <cell r="P1619" t="str">
            <v>$1487</v>
          </cell>
          <cell r="Q1619">
            <v>45614</v>
          </cell>
          <cell r="R1619" t="str">
            <v>Hyderabad</v>
          </cell>
          <cell r="S1619" t="str">
            <v>Mobile</v>
          </cell>
          <cell r="T1619" t="str">
            <v>data analytics online</v>
          </cell>
        </row>
        <row r="1620">
          <cell r="A1620" t="str">
            <v>A2618</v>
          </cell>
          <cell r="B1620" t="str">
            <v>Data Analytics Course</v>
          </cell>
          <cell r="C1620">
            <v>177</v>
          </cell>
          <cell r="D1620">
            <v>177</v>
          </cell>
          <cell r="E1620">
            <v>3567</v>
          </cell>
          <cell r="F1620">
            <v>3567</v>
          </cell>
          <cell r="G1620" t="str">
            <v>$214.71</v>
          </cell>
          <cell r="H1620" t="str">
            <v>$214.71</v>
          </cell>
          <cell r="I1620">
            <v>28</v>
          </cell>
          <cell r="J1620">
            <v>28</v>
          </cell>
          <cell r="K1620">
            <v>5</v>
          </cell>
          <cell r="L1620">
            <v>5</v>
          </cell>
          <cell r="M1620">
            <v>2.8248587570621469E-2</v>
          </cell>
          <cell r="N1620">
            <v>2.8000000000000001E-2</v>
          </cell>
          <cell r="O1620" t="str">
            <v>$1001</v>
          </cell>
          <cell r="P1620" t="str">
            <v>$1001</v>
          </cell>
          <cell r="Q1620">
            <v>45607</v>
          </cell>
          <cell r="R1620" t="str">
            <v>Chennai</v>
          </cell>
          <cell r="S1620" t="str">
            <v>Tablet</v>
          </cell>
          <cell r="T1620" t="str">
            <v>analytics for data</v>
          </cell>
        </row>
        <row r="1621">
          <cell r="A1621" t="str">
            <v>A2619</v>
          </cell>
          <cell r="B1621" t="str">
            <v>Data Analytcis Course</v>
          </cell>
          <cell r="C1621">
            <v>189</v>
          </cell>
          <cell r="D1621">
            <v>189</v>
          </cell>
          <cell r="E1621">
            <v>3215</v>
          </cell>
          <cell r="F1621">
            <v>3215</v>
          </cell>
          <cell r="G1621" t="str">
            <v>$224.53</v>
          </cell>
          <cell r="H1621" t="str">
            <v>$224.53</v>
          </cell>
          <cell r="I1621">
            <v>23</v>
          </cell>
          <cell r="J1621">
            <v>23</v>
          </cell>
          <cell r="K1621">
            <v>6.558139534883721</v>
          </cell>
          <cell r="M1621">
            <v>3.4699150978220746E-2</v>
          </cell>
          <cell r="N1621">
            <v>5.1999999999999998E-2</v>
          </cell>
          <cell r="O1621" t="str">
            <v>$1309</v>
          </cell>
          <cell r="P1621" t="str">
            <v>$1309</v>
          </cell>
          <cell r="Q1621">
            <v>45611</v>
          </cell>
          <cell r="R1621" t="str">
            <v>Bangaluru</v>
          </cell>
          <cell r="S1621" t="str">
            <v>Desktop</v>
          </cell>
          <cell r="T1621" t="str">
            <v>online data analytic</v>
          </cell>
        </row>
        <row r="1622">
          <cell r="A1622" t="str">
            <v>A2620</v>
          </cell>
          <cell r="B1622" t="str">
            <v>Data Analytcis Course</v>
          </cell>
          <cell r="C1622">
            <v>94</v>
          </cell>
          <cell r="D1622">
            <v>94</v>
          </cell>
          <cell r="E1622">
            <v>5094</v>
          </cell>
          <cell r="F1622">
            <v>5094</v>
          </cell>
          <cell r="G1622" t="str">
            <v>$200.00</v>
          </cell>
          <cell r="I1622">
            <v>24</v>
          </cell>
          <cell r="J1622">
            <v>24</v>
          </cell>
          <cell r="K1622">
            <v>3</v>
          </cell>
          <cell r="L1622">
            <v>3</v>
          </cell>
          <cell r="M1622">
            <v>3.1914893617021274E-2</v>
          </cell>
          <cell r="O1622" t="str">
            <v>$1974</v>
          </cell>
          <cell r="P1622" t="str">
            <v>$1974</v>
          </cell>
          <cell r="Q1622">
            <v>45605</v>
          </cell>
          <cell r="R1622" t="str">
            <v>Hyderabad</v>
          </cell>
          <cell r="S1622" t="str">
            <v>Desktop</v>
          </cell>
          <cell r="T1622" t="str">
            <v>online data analytic</v>
          </cell>
        </row>
        <row r="1623">
          <cell r="A1623" t="str">
            <v>A2621</v>
          </cell>
          <cell r="B1623" t="str">
            <v>Data Analytics Course</v>
          </cell>
          <cell r="C1623">
            <v>191</v>
          </cell>
          <cell r="D1623">
            <v>191</v>
          </cell>
          <cell r="E1623">
            <v>3337</v>
          </cell>
          <cell r="F1623">
            <v>3337</v>
          </cell>
          <cell r="G1623" t="str">
            <v>$231.0</v>
          </cell>
          <cell r="H1623" t="str">
            <v>$231.0</v>
          </cell>
          <cell r="I1623">
            <v>29</v>
          </cell>
          <cell r="J1623">
            <v>29</v>
          </cell>
          <cell r="K1623">
            <v>6</v>
          </cell>
          <cell r="L1623">
            <v>6</v>
          </cell>
          <cell r="M1623">
            <v>3.1413612565445025E-2</v>
          </cell>
          <cell r="N1623">
            <v>3.1E-2</v>
          </cell>
          <cell r="O1623" t="str">
            <v>$1424</v>
          </cell>
          <cell r="P1623" t="str">
            <v>$1424</v>
          </cell>
          <cell r="Q1623">
            <v>45614</v>
          </cell>
          <cell r="R1623" t="str">
            <v>Chennai</v>
          </cell>
          <cell r="S1623" t="str">
            <v>Tablet</v>
          </cell>
          <cell r="T1623" t="str">
            <v>data analytics course</v>
          </cell>
        </row>
        <row r="1624">
          <cell r="A1624" t="str">
            <v>A2622</v>
          </cell>
          <cell r="B1624" t="str">
            <v>Data Analytics Course</v>
          </cell>
          <cell r="C1624">
            <v>83</v>
          </cell>
          <cell r="D1624">
            <v>83</v>
          </cell>
          <cell r="E1624">
            <v>4359</v>
          </cell>
          <cell r="F1624">
            <v>4359</v>
          </cell>
          <cell r="G1624" t="str">
            <v>$227.14</v>
          </cell>
          <cell r="H1624" t="str">
            <v>$227.14</v>
          </cell>
          <cell r="I1624">
            <v>20.209643605870021</v>
          </cell>
          <cell r="K1624">
            <v>10</v>
          </cell>
          <cell r="L1624">
            <v>10</v>
          </cell>
          <cell r="M1624">
            <v>0.12048192771084337</v>
          </cell>
          <cell r="N1624">
            <v>0.12</v>
          </cell>
          <cell r="O1624" t="str">
            <v>$1500</v>
          </cell>
          <cell r="Q1624">
            <v>45598</v>
          </cell>
          <cell r="R1624" t="str">
            <v>Hyderabad</v>
          </cell>
          <cell r="S1624" t="str">
            <v>Desktop</v>
          </cell>
          <cell r="T1624" t="str">
            <v>data analytics online</v>
          </cell>
        </row>
        <row r="1625">
          <cell r="A1625" t="str">
            <v>A2623</v>
          </cell>
          <cell r="B1625" t="str">
            <v>Data Analytics Course</v>
          </cell>
          <cell r="C1625">
            <v>148</v>
          </cell>
          <cell r="D1625">
            <v>148</v>
          </cell>
          <cell r="E1625">
            <v>4813</v>
          </cell>
          <cell r="F1625">
            <v>4813</v>
          </cell>
          <cell r="G1625" t="str">
            <v>$212.78</v>
          </cell>
          <cell r="H1625" t="str">
            <v>$212.78</v>
          </cell>
          <cell r="I1625">
            <v>12</v>
          </cell>
          <cell r="J1625">
            <v>12</v>
          </cell>
          <cell r="K1625">
            <v>6.5588547189819728</v>
          </cell>
          <cell r="M1625">
            <v>4.4316585939067385E-2</v>
          </cell>
          <cell r="O1625" t="str">
            <v>$1833</v>
          </cell>
          <cell r="P1625" t="str">
            <v>$1833</v>
          </cell>
          <cell r="Q1625">
            <v>45619</v>
          </cell>
          <cell r="R1625" t="str">
            <v>Hyderabad</v>
          </cell>
          <cell r="S1625" t="str">
            <v>Mobile</v>
          </cell>
          <cell r="T1625" t="str">
            <v>online data analytic</v>
          </cell>
        </row>
        <row r="1626">
          <cell r="A1626" t="str">
            <v>A2624</v>
          </cell>
          <cell r="B1626" t="str">
            <v>Data Analytics Course</v>
          </cell>
          <cell r="C1626">
            <v>125</v>
          </cell>
          <cell r="D1626">
            <v>125</v>
          </cell>
          <cell r="E1626">
            <v>4300</v>
          </cell>
          <cell r="F1626">
            <v>4300</v>
          </cell>
          <cell r="G1626" t="str">
            <v>$221.37</v>
          </cell>
          <cell r="H1626" t="str">
            <v>$221.37</v>
          </cell>
          <cell r="I1626">
            <v>16</v>
          </cell>
          <cell r="J1626">
            <v>16</v>
          </cell>
          <cell r="K1626">
            <v>10</v>
          </cell>
          <cell r="L1626">
            <v>10</v>
          </cell>
          <cell r="M1626">
            <v>0.08</v>
          </cell>
          <cell r="N1626">
            <v>0.08</v>
          </cell>
          <cell r="O1626" t="str">
            <v>$1066</v>
          </cell>
          <cell r="P1626" t="str">
            <v>$1066</v>
          </cell>
          <cell r="Q1626">
            <v>45623</v>
          </cell>
          <cell r="R1626" t="str">
            <v>Hyderabad</v>
          </cell>
          <cell r="S1626" t="str">
            <v>Tablet</v>
          </cell>
          <cell r="T1626" t="str">
            <v>data analytics course</v>
          </cell>
        </row>
        <row r="1627">
          <cell r="A1627" t="str">
            <v>A2625</v>
          </cell>
          <cell r="B1627" t="str">
            <v>Data Analytics Course</v>
          </cell>
          <cell r="C1627">
            <v>105</v>
          </cell>
          <cell r="D1627">
            <v>105</v>
          </cell>
          <cell r="E1627">
            <v>4094</v>
          </cell>
          <cell r="F1627">
            <v>4094</v>
          </cell>
          <cell r="G1627" t="str">
            <v>$183.47</v>
          </cell>
          <cell r="H1627" t="str">
            <v>$183.47</v>
          </cell>
          <cell r="I1627">
            <v>11</v>
          </cell>
          <cell r="J1627">
            <v>11</v>
          </cell>
          <cell r="K1627">
            <v>6</v>
          </cell>
          <cell r="L1627">
            <v>6</v>
          </cell>
          <cell r="M1627">
            <v>5.7142857142857141E-2</v>
          </cell>
          <cell r="O1627" t="str">
            <v>$1817</v>
          </cell>
          <cell r="P1627" t="str">
            <v>$1817</v>
          </cell>
          <cell r="Q1627">
            <v>45621</v>
          </cell>
          <cell r="R1627" t="str">
            <v>Hyderabad</v>
          </cell>
          <cell r="S1627" t="str">
            <v>Mobile</v>
          </cell>
          <cell r="T1627" t="str">
            <v>online data analytic</v>
          </cell>
        </row>
        <row r="1628">
          <cell r="A1628" t="str">
            <v>A2626</v>
          </cell>
          <cell r="B1628" t="str">
            <v>Data Analytics Course</v>
          </cell>
          <cell r="C1628">
            <v>84</v>
          </cell>
          <cell r="D1628">
            <v>84</v>
          </cell>
          <cell r="E1628">
            <v>4263</v>
          </cell>
          <cell r="F1628">
            <v>4263</v>
          </cell>
          <cell r="G1628" t="str">
            <v>$234.62</v>
          </cell>
          <cell r="H1628" t="str">
            <v>$234.62</v>
          </cell>
          <cell r="I1628">
            <v>29</v>
          </cell>
          <cell r="J1628">
            <v>29</v>
          </cell>
          <cell r="K1628">
            <v>9</v>
          </cell>
          <cell r="L1628">
            <v>9</v>
          </cell>
          <cell r="M1628">
            <v>0.10714285714285714</v>
          </cell>
          <cell r="N1628">
            <v>0.107</v>
          </cell>
          <cell r="O1628" t="str">
            <v>$1599</v>
          </cell>
          <cell r="P1628" t="str">
            <v>$1599</v>
          </cell>
          <cell r="Q1628">
            <v>45614</v>
          </cell>
          <cell r="R1628" t="str">
            <v>Bangaluru</v>
          </cell>
          <cell r="S1628" t="str">
            <v>Mobile</v>
          </cell>
          <cell r="T1628" t="str">
            <v>learn data analytics</v>
          </cell>
        </row>
        <row r="1629">
          <cell r="A1629" t="str">
            <v>A2627</v>
          </cell>
          <cell r="B1629" t="str">
            <v>Data Analytcis Course</v>
          </cell>
          <cell r="C1629">
            <v>114</v>
          </cell>
          <cell r="D1629">
            <v>114</v>
          </cell>
          <cell r="E1629">
            <v>3472</v>
          </cell>
          <cell r="F1629">
            <v>3472</v>
          </cell>
          <cell r="G1629" t="str">
            <v>$242.89</v>
          </cell>
          <cell r="H1629" t="str">
            <v>$242.89</v>
          </cell>
          <cell r="I1629">
            <v>16</v>
          </cell>
          <cell r="J1629">
            <v>16</v>
          </cell>
          <cell r="K1629">
            <v>10</v>
          </cell>
          <cell r="L1629">
            <v>10</v>
          </cell>
          <cell r="M1629">
            <v>8.771929824561403E-2</v>
          </cell>
          <cell r="O1629" t="str">
            <v>$1642</v>
          </cell>
          <cell r="P1629" t="str">
            <v>$1642</v>
          </cell>
          <cell r="Q1629">
            <v>45624</v>
          </cell>
          <cell r="R1629" t="str">
            <v>Bangaluru</v>
          </cell>
          <cell r="S1629" t="str">
            <v>Tablet</v>
          </cell>
          <cell r="T1629" t="str">
            <v>analytics for data</v>
          </cell>
        </row>
        <row r="1630">
          <cell r="A1630" t="str">
            <v>A2628</v>
          </cell>
          <cell r="B1630" t="str">
            <v>Data Analytcis Course</v>
          </cell>
          <cell r="C1630">
            <v>129</v>
          </cell>
          <cell r="D1630">
            <v>129</v>
          </cell>
          <cell r="E1630">
            <v>4411</v>
          </cell>
          <cell r="F1630">
            <v>4411</v>
          </cell>
          <cell r="G1630" t="str">
            <v>$180.17</v>
          </cell>
          <cell r="H1630" t="str">
            <v>$180.17</v>
          </cell>
          <cell r="I1630">
            <v>28</v>
          </cell>
          <cell r="J1630">
            <v>28</v>
          </cell>
          <cell r="K1630">
            <v>5</v>
          </cell>
          <cell r="L1630">
            <v>5</v>
          </cell>
          <cell r="M1630">
            <v>3.875968992248062E-2</v>
          </cell>
          <cell r="N1630">
            <v>3.9E-2</v>
          </cell>
          <cell r="O1630" t="str">
            <v>$1173</v>
          </cell>
          <cell r="P1630" t="str">
            <v>$1173</v>
          </cell>
          <cell r="Q1630">
            <v>45606</v>
          </cell>
          <cell r="R1630" t="str">
            <v>Hyderabad</v>
          </cell>
          <cell r="S1630" t="str">
            <v>Desktop</v>
          </cell>
          <cell r="T1630" t="str">
            <v>data analytics online</v>
          </cell>
        </row>
        <row r="1631">
          <cell r="A1631" t="str">
            <v>A2629</v>
          </cell>
          <cell r="B1631" t="str">
            <v>Data Analytics Course</v>
          </cell>
          <cell r="C1631">
            <v>128</v>
          </cell>
          <cell r="D1631">
            <v>128</v>
          </cell>
          <cell r="E1631">
            <v>4787</v>
          </cell>
          <cell r="F1631">
            <v>4787</v>
          </cell>
          <cell r="G1631" t="str">
            <v>$204.29</v>
          </cell>
          <cell r="H1631" t="str">
            <v>$204.29</v>
          </cell>
          <cell r="I1631">
            <v>20.219409282700422</v>
          </cell>
          <cell r="K1631">
            <v>6.5511727078891262</v>
          </cell>
          <cell r="M1631">
            <v>5.1181036780383798E-2</v>
          </cell>
          <cell r="N1631">
            <v>5.8999999999999997E-2</v>
          </cell>
          <cell r="O1631" t="str">
            <v>$1880</v>
          </cell>
          <cell r="P1631" t="str">
            <v>$1880</v>
          </cell>
          <cell r="Q1631">
            <v>45625</v>
          </cell>
          <cell r="R1631" t="str">
            <v>Bangaluru</v>
          </cell>
          <cell r="S1631" t="str">
            <v>Desktop</v>
          </cell>
          <cell r="T1631" t="str">
            <v>data analytics training</v>
          </cell>
        </row>
        <row r="1632">
          <cell r="A1632" t="str">
            <v>A2630</v>
          </cell>
          <cell r="B1632" t="str">
            <v>Data Analytics Course</v>
          </cell>
          <cell r="C1632">
            <v>120</v>
          </cell>
          <cell r="D1632">
            <v>120</v>
          </cell>
          <cell r="E1632">
            <v>5915</v>
          </cell>
          <cell r="F1632">
            <v>5915</v>
          </cell>
          <cell r="G1632" t="str">
            <v>$241.95</v>
          </cell>
          <cell r="H1632" t="str">
            <v>$241.95</v>
          </cell>
          <cell r="I1632">
            <v>26</v>
          </cell>
          <cell r="J1632">
            <v>26</v>
          </cell>
          <cell r="K1632">
            <v>3</v>
          </cell>
          <cell r="L1632">
            <v>3</v>
          </cell>
          <cell r="M1632">
            <v>2.5000000000000001E-2</v>
          </cell>
          <cell r="O1632" t="str">
            <v>$1253</v>
          </cell>
          <cell r="P1632" t="str">
            <v>$1253</v>
          </cell>
          <cell r="Q1632">
            <v>45621</v>
          </cell>
          <cell r="R1632" t="str">
            <v>Hyderabad</v>
          </cell>
          <cell r="S1632" t="str">
            <v>Desktop</v>
          </cell>
          <cell r="T1632" t="str">
            <v>analytics for data</v>
          </cell>
        </row>
        <row r="1633">
          <cell r="A1633" t="str">
            <v>A2631</v>
          </cell>
          <cell r="B1633" t="str">
            <v>Data Analytcis Course</v>
          </cell>
          <cell r="C1633">
            <v>99</v>
          </cell>
          <cell r="D1633">
            <v>99</v>
          </cell>
          <cell r="E1633">
            <v>4111</v>
          </cell>
          <cell r="F1633">
            <v>4111</v>
          </cell>
          <cell r="G1633" t="str">
            <v>$192.09</v>
          </cell>
          <cell r="H1633" t="str">
            <v>$192.09</v>
          </cell>
          <cell r="I1633">
            <v>14</v>
          </cell>
          <cell r="J1633">
            <v>14</v>
          </cell>
          <cell r="K1633">
            <v>5</v>
          </cell>
          <cell r="L1633">
            <v>5</v>
          </cell>
          <cell r="M1633">
            <v>5.0505050505050504E-2</v>
          </cell>
          <cell r="O1633" t="str">
            <v>$1497</v>
          </cell>
          <cell r="P1633" t="str">
            <v>$1497</v>
          </cell>
          <cell r="Q1633">
            <v>45615</v>
          </cell>
          <cell r="R1633" t="str">
            <v>Hyderabad</v>
          </cell>
          <cell r="S1633" t="str">
            <v>Mobile</v>
          </cell>
          <cell r="T1633" t="str">
            <v>analytics for data</v>
          </cell>
        </row>
        <row r="1634">
          <cell r="A1634" t="str">
            <v>A2632</v>
          </cell>
          <cell r="B1634" t="str">
            <v>Data Analytics Course</v>
          </cell>
          <cell r="C1634">
            <v>180</v>
          </cell>
          <cell r="D1634">
            <v>180</v>
          </cell>
          <cell r="E1634">
            <v>3305</v>
          </cell>
          <cell r="F1634">
            <v>3305</v>
          </cell>
          <cell r="G1634" t="str">
            <v>$187.59</v>
          </cell>
          <cell r="H1634" t="str">
            <v>$187.59</v>
          </cell>
          <cell r="I1634">
            <v>14</v>
          </cell>
          <cell r="J1634">
            <v>14</v>
          </cell>
          <cell r="K1634">
            <v>10</v>
          </cell>
          <cell r="L1634">
            <v>10</v>
          </cell>
          <cell r="M1634">
            <v>5.5555555555555552E-2</v>
          </cell>
          <cell r="N1634">
            <v>5.6000000000000001E-2</v>
          </cell>
          <cell r="O1634" t="str">
            <v>$1500</v>
          </cell>
          <cell r="Q1634">
            <v>45615</v>
          </cell>
          <cell r="R1634" t="str">
            <v>Hyderabad</v>
          </cell>
          <cell r="S1634" t="str">
            <v>Desktop</v>
          </cell>
          <cell r="T1634" t="str">
            <v>data analytics online</v>
          </cell>
        </row>
        <row r="1635">
          <cell r="A1635" t="str">
            <v>A2633</v>
          </cell>
          <cell r="B1635" t="str">
            <v>Data Analytcis Course</v>
          </cell>
          <cell r="C1635">
            <v>154</v>
          </cell>
          <cell r="D1635">
            <v>154</v>
          </cell>
          <cell r="E1635">
            <v>3510</v>
          </cell>
          <cell r="F1635">
            <v>3510</v>
          </cell>
          <cell r="G1635" t="str">
            <v>$211.16</v>
          </cell>
          <cell r="H1635" t="str">
            <v>$211.16</v>
          </cell>
          <cell r="I1635">
            <v>26</v>
          </cell>
          <cell r="J1635">
            <v>26</v>
          </cell>
          <cell r="K1635">
            <v>10</v>
          </cell>
          <cell r="L1635">
            <v>10</v>
          </cell>
          <cell r="M1635">
            <v>6.4935064935064929E-2</v>
          </cell>
          <cell r="N1635">
            <v>6.5000000000000002E-2</v>
          </cell>
          <cell r="O1635" t="str">
            <v>$1167</v>
          </cell>
          <cell r="P1635" t="str">
            <v>$1167</v>
          </cell>
          <cell r="Q1635">
            <v>45610</v>
          </cell>
          <cell r="R1635" t="str">
            <v>Hyderabad</v>
          </cell>
          <cell r="S1635" t="str">
            <v>Tablet</v>
          </cell>
          <cell r="T1635" t="str">
            <v>online data analytic</v>
          </cell>
        </row>
        <row r="1636">
          <cell r="A1636" t="str">
            <v>A2634</v>
          </cell>
          <cell r="B1636" t="str">
            <v>Data Analytics Course</v>
          </cell>
          <cell r="C1636">
            <v>89</v>
          </cell>
          <cell r="D1636">
            <v>89</v>
          </cell>
          <cell r="E1636">
            <v>3265</v>
          </cell>
          <cell r="F1636">
            <v>3265</v>
          </cell>
          <cell r="G1636" t="str">
            <v>$234.51</v>
          </cell>
          <cell r="H1636" t="str">
            <v>$234.51</v>
          </cell>
          <cell r="I1636">
            <v>29</v>
          </cell>
          <cell r="J1636">
            <v>29</v>
          </cell>
          <cell r="K1636">
            <v>8</v>
          </cell>
          <cell r="L1636">
            <v>8</v>
          </cell>
          <cell r="M1636">
            <v>8.98876404494382E-2</v>
          </cell>
          <cell r="N1636">
            <v>0.09</v>
          </cell>
          <cell r="O1636" t="str">
            <v>$1500</v>
          </cell>
          <cell r="Q1636">
            <v>45624</v>
          </cell>
          <cell r="R1636" t="str">
            <v>Hyderabad</v>
          </cell>
          <cell r="S1636" t="str">
            <v>Tablet</v>
          </cell>
          <cell r="T1636" t="str">
            <v>data analytics course</v>
          </cell>
        </row>
        <row r="1637">
          <cell r="A1637" t="str">
            <v>A2635</v>
          </cell>
          <cell r="B1637" t="str">
            <v>Data Analytics Course</v>
          </cell>
          <cell r="C1637">
            <v>136</v>
          </cell>
          <cell r="D1637">
            <v>136</v>
          </cell>
          <cell r="E1637">
            <v>5977</v>
          </cell>
          <cell r="F1637">
            <v>5977</v>
          </cell>
          <cell r="G1637" t="str">
            <v>$249.89</v>
          </cell>
          <cell r="H1637" t="str">
            <v>$249.89</v>
          </cell>
          <cell r="I1637">
            <v>15</v>
          </cell>
          <cell r="J1637">
            <v>15</v>
          </cell>
          <cell r="K1637">
            <v>9</v>
          </cell>
          <cell r="L1637">
            <v>9</v>
          </cell>
          <cell r="M1637">
            <v>6.6176470588235295E-2</v>
          </cell>
          <cell r="N1637">
            <v>6.6000000000000003E-2</v>
          </cell>
          <cell r="O1637" t="str">
            <v>$1477</v>
          </cell>
          <cell r="P1637" t="str">
            <v>$1477</v>
          </cell>
          <cell r="Q1637">
            <v>45624</v>
          </cell>
          <cell r="R1637" t="str">
            <v>Hyderabad</v>
          </cell>
          <cell r="S1637" t="str">
            <v>Tablet</v>
          </cell>
          <cell r="T1637" t="str">
            <v>analytics for data</v>
          </cell>
        </row>
        <row r="1638">
          <cell r="A1638" t="str">
            <v>A2636</v>
          </cell>
          <cell r="B1638" t="str">
            <v>Data Analytics Course</v>
          </cell>
          <cell r="C1638">
            <v>177</v>
          </cell>
          <cell r="D1638">
            <v>177</v>
          </cell>
          <cell r="E1638">
            <v>5409</v>
          </cell>
          <cell r="F1638">
            <v>5409</v>
          </cell>
          <cell r="G1638" t="str">
            <v>$181.75</v>
          </cell>
          <cell r="H1638" t="str">
            <v>$181.75</v>
          </cell>
          <cell r="I1638">
            <v>19</v>
          </cell>
          <cell r="J1638">
            <v>19</v>
          </cell>
          <cell r="K1638">
            <v>4</v>
          </cell>
          <cell r="L1638">
            <v>4</v>
          </cell>
          <cell r="M1638">
            <v>2.2598870056497175E-2</v>
          </cell>
          <cell r="O1638" t="str">
            <v>$1793</v>
          </cell>
          <cell r="P1638" t="str">
            <v>$1793</v>
          </cell>
          <cell r="Q1638">
            <v>45599</v>
          </cell>
          <cell r="R1638" t="str">
            <v>Hyderabad</v>
          </cell>
          <cell r="S1638" t="str">
            <v>Tablet</v>
          </cell>
          <cell r="T1638" t="str">
            <v>data analytics course</v>
          </cell>
        </row>
        <row r="1639">
          <cell r="A1639" t="str">
            <v>A2637</v>
          </cell>
          <cell r="B1639" t="str">
            <v>Data Analytcis Course</v>
          </cell>
          <cell r="C1639">
            <v>145</v>
          </cell>
          <cell r="D1639">
            <v>145</v>
          </cell>
          <cell r="E1639">
            <v>5523</v>
          </cell>
          <cell r="F1639">
            <v>5523</v>
          </cell>
          <cell r="G1639" t="str">
            <v>$200.00</v>
          </cell>
          <cell r="I1639">
            <v>10</v>
          </cell>
          <cell r="J1639">
            <v>10</v>
          </cell>
          <cell r="K1639">
            <v>6.5477980665950595</v>
          </cell>
          <cell r="M1639">
            <v>4.5157228045483166E-2</v>
          </cell>
          <cell r="O1639" t="str">
            <v>$1668</v>
          </cell>
          <cell r="P1639" t="str">
            <v>$1668</v>
          </cell>
          <cell r="Q1639">
            <v>45615</v>
          </cell>
          <cell r="R1639" t="str">
            <v>Chennai</v>
          </cell>
          <cell r="S1639" t="str">
            <v>Mobile</v>
          </cell>
          <cell r="T1639" t="str">
            <v>data analytics training</v>
          </cell>
        </row>
        <row r="1640">
          <cell r="A1640" t="str">
            <v>A2638</v>
          </cell>
          <cell r="B1640" t="str">
            <v>Data Analytics Course</v>
          </cell>
          <cell r="C1640">
            <v>152</v>
          </cell>
          <cell r="D1640">
            <v>152</v>
          </cell>
          <cell r="E1640">
            <v>5421</v>
          </cell>
          <cell r="F1640">
            <v>5421</v>
          </cell>
          <cell r="G1640" t="str">
            <v>$248.08</v>
          </cell>
          <cell r="H1640" t="str">
            <v>$248.08</v>
          </cell>
          <cell r="I1640">
            <v>16</v>
          </cell>
          <cell r="J1640">
            <v>16</v>
          </cell>
          <cell r="K1640">
            <v>6</v>
          </cell>
          <cell r="L1640">
            <v>6</v>
          </cell>
          <cell r="M1640">
            <v>3.9473684210526314E-2</v>
          </cell>
          <cell r="N1640">
            <v>3.5000000000000003E-2</v>
          </cell>
          <cell r="O1640" t="str">
            <v>$1752</v>
          </cell>
          <cell r="P1640" t="str">
            <v>$1752</v>
          </cell>
          <cell r="Q1640">
            <v>45623</v>
          </cell>
          <cell r="R1640" t="str">
            <v>Hyderabad</v>
          </cell>
          <cell r="S1640" t="str">
            <v>Mobile</v>
          </cell>
          <cell r="T1640" t="str">
            <v>analytics for data</v>
          </cell>
        </row>
        <row r="1641">
          <cell r="A1641" t="str">
            <v>A2639</v>
          </cell>
          <cell r="B1641" t="str">
            <v>Data Analytics Course</v>
          </cell>
          <cell r="C1641">
            <v>187</v>
          </cell>
          <cell r="D1641">
            <v>187</v>
          </cell>
          <cell r="E1641">
            <v>5181</v>
          </cell>
          <cell r="F1641">
            <v>5181</v>
          </cell>
          <cell r="G1641" t="str">
            <v>$227.15</v>
          </cell>
          <cell r="H1641" t="str">
            <v>$227.15</v>
          </cell>
          <cell r="I1641">
            <v>18</v>
          </cell>
          <cell r="J1641">
            <v>18</v>
          </cell>
          <cell r="K1641">
            <v>10</v>
          </cell>
          <cell r="L1641">
            <v>10</v>
          </cell>
          <cell r="M1641">
            <v>5.3475935828877004E-2</v>
          </cell>
          <cell r="O1641" t="str">
            <v>$1516</v>
          </cell>
          <cell r="P1641" t="str">
            <v>$1516</v>
          </cell>
          <cell r="Q1641">
            <v>45621</v>
          </cell>
          <cell r="R1641" t="str">
            <v>Chennai</v>
          </cell>
          <cell r="S1641" t="str">
            <v>Tablet</v>
          </cell>
          <cell r="T1641" t="str">
            <v>data analytics training</v>
          </cell>
        </row>
        <row r="1642">
          <cell r="A1642" t="str">
            <v>A2640</v>
          </cell>
          <cell r="B1642" t="str">
            <v>Data Analytics Course</v>
          </cell>
          <cell r="C1642">
            <v>91</v>
          </cell>
          <cell r="D1642">
            <v>91</v>
          </cell>
          <cell r="E1642">
            <v>5484</v>
          </cell>
          <cell r="F1642">
            <v>5484</v>
          </cell>
          <cell r="G1642" t="str">
            <v>$198.25</v>
          </cell>
          <cell r="H1642" t="str">
            <v>$198.25</v>
          </cell>
          <cell r="I1642">
            <v>16</v>
          </cell>
          <cell r="J1642">
            <v>16</v>
          </cell>
          <cell r="K1642">
            <v>6</v>
          </cell>
          <cell r="L1642">
            <v>6</v>
          </cell>
          <cell r="M1642">
            <v>6.5934065934065936E-2</v>
          </cell>
          <cell r="N1642">
            <v>6.6000000000000003E-2</v>
          </cell>
          <cell r="O1642" t="str">
            <v>$1981</v>
          </cell>
          <cell r="P1642" t="str">
            <v>$1981</v>
          </cell>
          <cell r="Q1642">
            <v>45616</v>
          </cell>
          <cell r="R1642" t="str">
            <v>Chennai</v>
          </cell>
          <cell r="S1642" t="str">
            <v>Mobile</v>
          </cell>
          <cell r="T1642" t="str">
            <v>data analytics training</v>
          </cell>
        </row>
        <row r="1643">
          <cell r="A1643" t="str">
            <v>A2641</v>
          </cell>
          <cell r="B1643" t="str">
            <v>Data Analytics Course</v>
          </cell>
          <cell r="C1643">
            <v>180</v>
          </cell>
          <cell r="D1643">
            <v>180</v>
          </cell>
          <cell r="E1643">
            <v>5545</v>
          </cell>
          <cell r="F1643">
            <v>5545</v>
          </cell>
          <cell r="G1643" t="str">
            <v>$238.85</v>
          </cell>
          <cell r="H1643" t="str">
            <v>$238.85</v>
          </cell>
          <cell r="I1643">
            <v>30</v>
          </cell>
          <cell r="J1643">
            <v>30</v>
          </cell>
          <cell r="K1643">
            <v>10</v>
          </cell>
          <cell r="L1643">
            <v>10</v>
          </cell>
          <cell r="M1643">
            <v>5.5555555555555552E-2</v>
          </cell>
          <cell r="N1643">
            <v>5.6000000000000001E-2</v>
          </cell>
          <cell r="O1643" t="str">
            <v>$1971</v>
          </cell>
          <cell r="P1643" t="str">
            <v>$1971</v>
          </cell>
          <cell r="Q1643">
            <v>45620</v>
          </cell>
          <cell r="R1643" t="str">
            <v>Hyderabad</v>
          </cell>
          <cell r="S1643" t="str">
            <v>Desktop</v>
          </cell>
          <cell r="T1643" t="str">
            <v>data analytics course</v>
          </cell>
        </row>
        <row r="1644">
          <cell r="A1644" t="str">
            <v>A2642</v>
          </cell>
          <cell r="B1644" t="str">
            <v>Data Analytics Course</v>
          </cell>
          <cell r="C1644">
            <v>122</v>
          </cell>
          <cell r="D1644">
            <v>122</v>
          </cell>
          <cell r="E1644">
            <v>4295</v>
          </cell>
          <cell r="F1644">
            <v>4295</v>
          </cell>
          <cell r="G1644" t="str">
            <v>$200.00</v>
          </cell>
          <cell r="I1644">
            <v>24</v>
          </cell>
          <cell r="J1644">
            <v>24</v>
          </cell>
          <cell r="K1644">
            <v>6</v>
          </cell>
          <cell r="L1644">
            <v>6</v>
          </cell>
          <cell r="M1644">
            <v>4.9180327868852458E-2</v>
          </cell>
          <cell r="N1644">
            <v>4.9000000000000002E-2</v>
          </cell>
          <cell r="O1644" t="str">
            <v>$1349</v>
          </cell>
          <cell r="P1644" t="str">
            <v>$1349</v>
          </cell>
          <cell r="Q1644">
            <v>45606</v>
          </cell>
          <cell r="R1644" t="str">
            <v>Bangaluru</v>
          </cell>
          <cell r="S1644" t="str">
            <v>Desktop</v>
          </cell>
          <cell r="T1644" t="str">
            <v>data analytics course</v>
          </cell>
        </row>
        <row r="1645">
          <cell r="A1645" t="str">
            <v>A2643</v>
          </cell>
          <cell r="B1645" t="str">
            <v>Data Analytics Course</v>
          </cell>
          <cell r="C1645">
            <v>138.95699356913184</v>
          </cell>
          <cell r="E1645">
            <v>4314</v>
          </cell>
          <cell r="F1645">
            <v>4314</v>
          </cell>
          <cell r="G1645" t="str">
            <v>$194.56</v>
          </cell>
          <cell r="H1645" t="str">
            <v>$194.56</v>
          </cell>
          <cell r="I1645">
            <v>21</v>
          </cell>
          <cell r="J1645">
            <v>21</v>
          </cell>
          <cell r="K1645">
            <v>9</v>
          </cell>
          <cell r="L1645">
            <v>9</v>
          </cell>
          <cell r="M1645">
            <v>6.4768240653698753E-2</v>
          </cell>
          <cell r="O1645" t="str">
            <v>$1211</v>
          </cell>
          <cell r="P1645" t="str">
            <v>$1211</v>
          </cell>
          <cell r="Q1645">
            <v>45605</v>
          </cell>
          <cell r="R1645" t="str">
            <v>Hyderabad</v>
          </cell>
          <cell r="S1645" t="str">
            <v>Tablet</v>
          </cell>
          <cell r="T1645" t="str">
            <v>data analytics training</v>
          </cell>
        </row>
        <row r="1646">
          <cell r="A1646" t="str">
            <v>A2644</v>
          </cell>
          <cell r="B1646" t="str">
            <v>Data Analytcis Course</v>
          </cell>
          <cell r="C1646">
            <v>157</v>
          </cell>
          <cell r="D1646">
            <v>157</v>
          </cell>
          <cell r="E1646">
            <v>4111</v>
          </cell>
          <cell r="F1646">
            <v>4111</v>
          </cell>
          <cell r="G1646" t="str">
            <v>$208.46</v>
          </cell>
          <cell r="H1646" t="str">
            <v>$208.46</v>
          </cell>
          <cell r="I1646">
            <v>27</v>
          </cell>
          <cell r="J1646">
            <v>27</v>
          </cell>
          <cell r="K1646">
            <v>8</v>
          </cell>
          <cell r="L1646">
            <v>8</v>
          </cell>
          <cell r="M1646">
            <v>5.0955414012738856E-2</v>
          </cell>
          <cell r="O1646" t="str">
            <v>$1187</v>
          </cell>
          <cell r="P1646" t="str">
            <v>$1187</v>
          </cell>
          <cell r="Q1646">
            <v>45601</v>
          </cell>
          <cell r="R1646" t="str">
            <v>Hyderabad</v>
          </cell>
          <cell r="S1646" t="str">
            <v>Tablet</v>
          </cell>
          <cell r="T1646" t="str">
            <v>data analytics training</v>
          </cell>
        </row>
        <row r="1647">
          <cell r="A1647" t="str">
            <v>A2645</v>
          </cell>
          <cell r="B1647" t="str">
            <v>Data Analytics Course</v>
          </cell>
          <cell r="C1647">
            <v>178</v>
          </cell>
          <cell r="D1647">
            <v>178</v>
          </cell>
          <cell r="E1647">
            <v>5640</v>
          </cell>
          <cell r="F1647">
            <v>5640</v>
          </cell>
          <cell r="G1647" t="str">
            <v>$195.8</v>
          </cell>
          <cell r="H1647" t="str">
            <v>$195.8</v>
          </cell>
          <cell r="I1647">
            <v>25</v>
          </cell>
          <cell r="J1647">
            <v>25</v>
          </cell>
          <cell r="K1647">
            <v>4</v>
          </cell>
          <cell r="L1647">
            <v>4</v>
          </cell>
          <cell r="M1647">
            <v>2.247191011235955E-2</v>
          </cell>
          <cell r="N1647">
            <v>2.1999999999999999E-2</v>
          </cell>
          <cell r="O1647" t="str">
            <v>$1807</v>
          </cell>
          <cell r="P1647" t="str">
            <v>$1807</v>
          </cell>
          <cell r="Q1647">
            <v>45618</v>
          </cell>
          <cell r="R1647" t="str">
            <v>Hyderabad</v>
          </cell>
          <cell r="S1647" t="str">
            <v>Mobile</v>
          </cell>
          <cell r="T1647" t="str">
            <v>data analytics online</v>
          </cell>
        </row>
        <row r="1648">
          <cell r="A1648" t="str">
            <v>A2646</v>
          </cell>
          <cell r="B1648" t="str">
            <v>Data Analytics Course</v>
          </cell>
          <cell r="C1648">
            <v>94</v>
          </cell>
          <cell r="D1648">
            <v>94</v>
          </cell>
          <cell r="E1648">
            <v>3805</v>
          </cell>
          <cell r="F1648">
            <v>3805</v>
          </cell>
          <cell r="G1648" t="str">
            <v>$198.19</v>
          </cell>
          <cell r="H1648" t="str">
            <v>$198.19</v>
          </cell>
          <cell r="I1648">
            <v>12</v>
          </cell>
          <cell r="J1648">
            <v>12</v>
          </cell>
          <cell r="K1648">
            <v>8</v>
          </cell>
          <cell r="L1648">
            <v>8</v>
          </cell>
          <cell r="M1648">
            <v>8.5106382978723402E-2</v>
          </cell>
          <cell r="N1648">
            <v>8.5000000000000006E-2</v>
          </cell>
          <cell r="O1648" t="str">
            <v>$1523</v>
          </cell>
          <cell r="P1648" t="str">
            <v>$1523</v>
          </cell>
          <cell r="Q1648">
            <v>45606</v>
          </cell>
          <cell r="R1648" t="str">
            <v>Bangaluru</v>
          </cell>
          <cell r="S1648" t="str">
            <v>Tablet</v>
          </cell>
          <cell r="T1648" t="str">
            <v>data analytics course</v>
          </cell>
        </row>
        <row r="1649">
          <cell r="A1649" t="str">
            <v>A2647</v>
          </cell>
          <cell r="B1649" t="str">
            <v>Data Analytics Course</v>
          </cell>
          <cell r="C1649">
            <v>130</v>
          </cell>
          <cell r="D1649">
            <v>130</v>
          </cell>
          <cell r="E1649">
            <v>4561</v>
          </cell>
          <cell r="F1649">
            <v>4561</v>
          </cell>
          <cell r="G1649" t="str">
            <v>$196.04</v>
          </cell>
          <cell r="H1649" t="str">
            <v>$196.04</v>
          </cell>
          <cell r="I1649">
            <v>25</v>
          </cell>
          <cell r="J1649">
            <v>25</v>
          </cell>
          <cell r="K1649">
            <v>9</v>
          </cell>
          <cell r="L1649">
            <v>9</v>
          </cell>
          <cell r="M1649">
            <v>6.9230769230769235E-2</v>
          </cell>
          <cell r="N1649">
            <v>6.9000000000000006E-2</v>
          </cell>
          <cell r="O1649" t="str">
            <v>$1388</v>
          </cell>
          <cell r="P1649" t="str">
            <v>$1388</v>
          </cell>
          <cell r="Q1649">
            <v>45614</v>
          </cell>
          <cell r="R1649" t="str">
            <v>Hyderabad</v>
          </cell>
          <cell r="S1649" t="str">
            <v>Desktop</v>
          </cell>
          <cell r="T1649" t="str">
            <v>analytics for data</v>
          </cell>
        </row>
        <row r="1650">
          <cell r="A1650" t="str">
            <v>A2648</v>
          </cell>
          <cell r="B1650" t="str">
            <v>Data Analytics Course</v>
          </cell>
          <cell r="C1650">
            <v>169</v>
          </cell>
          <cell r="D1650">
            <v>169</v>
          </cell>
          <cell r="E1650">
            <v>5865</v>
          </cell>
          <cell r="F1650">
            <v>5865</v>
          </cell>
          <cell r="G1650" t="str">
            <v>$200.36</v>
          </cell>
          <cell r="H1650" t="str">
            <v>$200.36</v>
          </cell>
          <cell r="I1650">
            <v>19</v>
          </cell>
          <cell r="J1650">
            <v>19</v>
          </cell>
          <cell r="K1650">
            <v>5</v>
          </cell>
          <cell r="L1650">
            <v>5</v>
          </cell>
          <cell r="M1650">
            <v>2.9585798816568046E-2</v>
          </cell>
          <cell r="N1650">
            <v>0.03</v>
          </cell>
          <cell r="O1650" t="str">
            <v>$1482</v>
          </cell>
          <cell r="P1650" t="str">
            <v>$1482</v>
          </cell>
          <cell r="Q1650">
            <v>45626</v>
          </cell>
          <cell r="R1650" t="str">
            <v>Hyderabad</v>
          </cell>
          <cell r="S1650" t="str">
            <v>Mobile</v>
          </cell>
          <cell r="T1650" t="str">
            <v>online data analytic</v>
          </cell>
        </row>
        <row r="1651">
          <cell r="A1651" t="str">
            <v>A2649</v>
          </cell>
          <cell r="B1651" t="str">
            <v>Data Analytics Course</v>
          </cell>
          <cell r="C1651">
            <v>176</v>
          </cell>
          <cell r="D1651">
            <v>176</v>
          </cell>
          <cell r="E1651">
            <v>5275</v>
          </cell>
          <cell r="F1651">
            <v>5275</v>
          </cell>
          <cell r="G1651" t="str">
            <v>$241.12</v>
          </cell>
          <cell r="H1651" t="str">
            <v>$241.12</v>
          </cell>
          <cell r="I1651">
            <v>14</v>
          </cell>
          <cell r="J1651">
            <v>14</v>
          </cell>
          <cell r="K1651">
            <v>8</v>
          </cell>
          <cell r="L1651">
            <v>8</v>
          </cell>
          <cell r="M1651">
            <v>4.5454545454545456E-2</v>
          </cell>
          <cell r="O1651" t="str">
            <v>$1995</v>
          </cell>
          <cell r="P1651" t="str">
            <v>$1995</v>
          </cell>
          <cell r="Q1651">
            <v>45611</v>
          </cell>
          <cell r="R1651" t="str">
            <v>Chennai</v>
          </cell>
          <cell r="S1651" t="str">
            <v>Mobile</v>
          </cell>
          <cell r="T1651" t="str">
            <v>data analytics online</v>
          </cell>
        </row>
        <row r="1652">
          <cell r="A1652" t="str">
            <v>A2650</v>
          </cell>
          <cell r="B1652" t="str">
            <v>Data Analytcis Course</v>
          </cell>
          <cell r="C1652">
            <v>143</v>
          </cell>
          <cell r="D1652">
            <v>143</v>
          </cell>
          <cell r="E1652">
            <v>4964</v>
          </cell>
          <cell r="F1652">
            <v>4964</v>
          </cell>
          <cell r="G1652" t="str">
            <v>$207.66</v>
          </cell>
          <cell r="H1652" t="str">
            <v>$207.66</v>
          </cell>
          <cell r="I1652">
            <v>21</v>
          </cell>
          <cell r="J1652">
            <v>21</v>
          </cell>
          <cell r="K1652">
            <v>10</v>
          </cell>
          <cell r="L1652">
            <v>10</v>
          </cell>
          <cell r="M1652">
            <v>6.9930069930069935E-2</v>
          </cell>
          <cell r="N1652">
            <v>7.0000000000000007E-2</v>
          </cell>
          <cell r="O1652" t="str">
            <v>$1619</v>
          </cell>
          <cell r="P1652" t="str">
            <v>$1619</v>
          </cell>
          <cell r="Q1652">
            <v>45609</v>
          </cell>
          <cell r="R1652" t="str">
            <v>Chennai</v>
          </cell>
          <cell r="S1652" t="str">
            <v>Tablet</v>
          </cell>
          <cell r="T1652" t="str">
            <v>analytics for data</v>
          </cell>
        </row>
        <row r="1653">
          <cell r="A1653" t="str">
            <v>A2651</v>
          </cell>
          <cell r="B1653" t="str">
            <v>Data Analytics Course</v>
          </cell>
          <cell r="C1653">
            <v>153</v>
          </cell>
          <cell r="D1653">
            <v>153</v>
          </cell>
          <cell r="E1653">
            <v>5292</v>
          </cell>
          <cell r="F1653">
            <v>5292</v>
          </cell>
          <cell r="G1653" t="str">
            <v>$225.98</v>
          </cell>
          <cell r="H1653" t="str">
            <v>$225.98</v>
          </cell>
          <cell r="I1653">
            <v>21</v>
          </cell>
          <cell r="J1653">
            <v>21</v>
          </cell>
          <cell r="K1653">
            <v>9</v>
          </cell>
          <cell r="L1653">
            <v>9</v>
          </cell>
          <cell r="M1653">
            <v>5.8823529411764705E-2</v>
          </cell>
          <cell r="N1653">
            <v>5.8999999999999997E-2</v>
          </cell>
          <cell r="O1653" t="str">
            <v>$1223</v>
          </cell>
          <cell r="P1653" t="str">
            <v>$1223</v>
          </cell>
          <cell r="Q1653">
            <v>45606</v>
          </cell>
          <cell r="R1653" t="str">
            <v>Bangaluru</v>
          </cell>
          <cell r="S1653" t="str">
            <v>Mobile</v>
          </cell>
          <cell r="T1653" t="str">
            <v>data analytics course</v>
          </cell>
        </row>
        <row r="1654">
          <cell r="A1654" t="str">
            <v>A2652</v>
          </cell>
          <cell r="B1654" t="str">
            <v>Data Analytics Course</v>
          </cell>
          <cell r="C1654">
            <v>96</v>
          </cell>
          <cell r="D1654">
            <v>96</v>
          </cell>
          <cell r="E1654">
            <v>5568</v>
          </cell>
          <cell r="F1654">
            <v>5568</v>
          </cell>
          <cell r="G1654" t="str">
            <v>$210.99</v>
          </cell>
          <cell r="H1654" t="str">
            <v>$210.99</v>
          </cell>
          <cell r="I1654">
            <v>19</v>
          </cell>
          <cell r="J1654">
            <v>19</v>
          </cell>
          <cell r="K1654">
            <v>10</v>
          </cell>
          <cell r="L1654">
            <v>10</v>
          </cell>
          <cell r="M1654">
            <v>0.10416666666666667</v>
          </cell>
          <cell r="N1654">
            <v>0.104</v>
          </cell>
          <cell r="O1654" t="str">
            <v>$1317</v>
          </cell>
          <cell r="P1654" t="str">
            <v>$1317</v>
          </cell>
          <cell r="Q1654">
            <v>45617</v>
          </cell>
          <cell r="R1654" t="str">
            <v>Chennai</v>
          </cell>
          <cell r="S1654" t="str">
            <v>Desktop</v>
          </cell>
          <cell r="T1654" t="str">
            <v>learn data analytics</v>
          </cell>
        </row>
        <row r="1655">
          <cell r="A1655" t="str">
            <v>A2653</v>
          </cell>
          <cell r="B1655" t="str">
            <v>Data Analytics Course</v>
          </cell>
          <cell r="C1655">
            <v>96</v>
          </cell>
          <cell r="D1655">
            <v>96</v>
          </cell>
          <cell r="E1655">
            <v>4849</v>
          </cell>
          <cell r="F1655">
            <v>4849</v>
          </cell>
          <cell r="G1655" t="str">
            <v>$198.41</v>
          </cell>
          <cell r="H1655" t="str">
            <v>$198.41</v>
          </cell>
          <cell r="I1655">
            <v>13</v>
          </cell>
          <cell r="J1655">
            <v>13</v>
          </cell>
          <cell r="K1655">
            <v>5</v>
          </cell>
          <cell r="L1655">
            <v>5</v>
          </cell>
          <cell r="M1655">
            <v>5.2083333333333336E-2</v>
          </cell>
          <cell r="N1655">
            <v>5.1999999999999998E-2</v>
          </cell>
          <cell r="O1655" t="str">
            <v>$1198</v>
          </cell>
          <cell r="P1655" t="str">
            <v>$1198</v>
          </cell>
          <cell r="Q1655">
            <v>45623</v>
          </cell>
          <cell r="R1655" t="str">
            <v>Bangaluru</v>
          </cell>
          <cell r="S1655" t="str">
            <v>Mobile</v>
          </cell>
          <cell r="T1655" t="str">
            <v>online data analytic</v>
          </cell>
        </row>
        <row r="1656">
          <cell r="A1656" t="str">
            <v>A2654</v>
          </cell>
          <cell r="B1656" t="str">
            <v>Data Analytics Course</v>
          </cell>
          <cell r="C1656">
            <v>172</v>
          </cell>
          <cell r="D1656">
            <v>172</v>
          </cell>
          <cell r="E1656">
            <v>4128</v>
          </cell>
          <cell r="F1656">
            <v>4128</v>
          </cell>
          <cell r="G1656" t="str">
            <v>$200.00</v>
          </cell>
          <cell r="I1656">
            <v>12</v>
          </cell>
          <cell r="J1656">
            <v>12</v>
          </cell>
          <cell r="K1656">
            <v>7</v>
          </cell>
          <cell r="L1656">
            <v>7</v>
          </cell>
          <cell r="M1656">
            <v>4.0697674418604654E-2</v>
          </cell>
          <cell r="N1656">
            <v>4.1000000000000002E-2</v>
          </cell>
          <cell r="O1656" t="str">
            <v>$1070</v>
          </cell>
          <cell r="P1656" t="str">
            <v>$1070</v>
          </cell>
          <cell r="Q1656">
            <v>45613</v>
          </cell>
          <cell r="R1656" t="str">
            <v>Chennai</v>
          </cell>
          <cell r="S1656" t="str">
            <v>Tablet</v>
          </cell>
          <cell r="T1656" t="str">
            <v>learn data analytics</v>
          </cell>
        </row>
        <row r="1657">
          <cell r="A1657" t="str">
            <v>A2655</v>
          </cell>
          <cell r="B1657" t="str">
            <v>Data Analytics Course</v>
          </cell>
          <cell r="C1657">
            <v>197</v>
          </cell>
          <cell r="D1657">
            <v>197</v>
          </cell>
          <cell r="E1657">
            <v>4645</v>
          </cell>
          <cell r="F1657">
            <v>4645</v>
          </cell>
          <cell r="G1657" t="str">
            <v>$219.15</v>
          </cell>
          <cell r="H1657" t="str">
            <v>$219.15</v>
          </cell>
          <cell r="I1657">
            <v>24</v>
          </cell>
          <cell r="J1657">
            <v>24</v>
          </cell>
          <cell r="K1657">
            <v>5</v>
          </cell>
          <cell r="L1657">
            <v>5</v>
          </cell>
          <cell r="M1657">
            <v>2.5380710659898477E-2</v>
          </cell>
          <cell r="N1657">
            <v>2.5000000000000001E-2</v>
          </cell>
          <cell r="O1657" t="str">
            <v>$1911</v>
          </cell>
          <cell r="P1657" t="str">
            <v>$1911</v>
          </cell>
          <cell r="Q1657">
            <v>45626</v>
          </cell>
          <cell r="R1657" t="str">
            <v>Bangaluru</v>
          </cell>
          <cell r="S1657" t="str">
            <v>Mobile</v>
          </cell>
          <cell r="T1657" t="str">
            <v>online data analytic</v>
          </cell>
        </row>
        <row r="1658">
          <cell r="A1658" t="str">
            <v>A2656</v>
          </cell>
          <cell r="B1658" t="str">
            <v>Data Analytics Course</v>
          </cell>
          <cell r="C1658">
            <v>191</v>
          </cell>
          <cell r="D1658">
            <v>191</v>
          </cell>
          <cell r="E1658">
            <v>5706</v>
          </cell>
          <cell r="F1658">
            <v>5706</v>
          </cell>
          <cell r="G1658" t="str">
            <v>$249.69</v>
          </cell>
          <cell r="H1658" t="str">
            <v>$249.69</v>
          </cell>
          <cell r="I1658">
            <v>25</v>
          </cell>
          <cell r="J1658">
            <v>25</v>
          </cell>
          <cell r="K1658">
            <v>6</v>
          </cell>
          <cell r="L1658">
            <v>6</v>
          </cell>
          <cell r="M1658">
            <v>3.1413612565445025E-2</v>
          </cell>
          <cell r="N1658">
            <v>3.1E-2</v>
          </cell>
          <cell r="O1658" t="str">
            <v>$1821</v>
          </cell>
          <cell r="P1658" t="str">
            <v>$1821</v>
          </cell>
          <cell r="Q1658">
            <v>45612</v>
          </cell>
          <cell r="R1658" t="str">
            <v>Chennai</v>
          </cell>
          <cell r="S1658" t="str">
            <v>Desktop</v>
          </cell>
          <cell r="T1658" t="str">
            <v>data analytics online</v>
          </cell>
        </row>
        <row r="1659">
          <cell r="A1659" t="str">
            <v>A2657</v>
          </cell>
          <cell r="B1659" t="str">
            <v>Data Analytics Course</v>
          </cell>
          <cell r="C1659">
            <v>167</v>
          </cell>
          <cell r="D1659">
            <v>167</v>
          </cell>
          <cell r="E1659">
            <v>3438</v>
          </cell>
          <cell r="F1659">
            <v>3438</v>
          </cell>
          <cell r="G1659" t="str">
            <v>$235.2</v>
          </cell>
          <cell r="H1659" t="str">
            <v>$235.2</v>
          </cell>
          <cell r="I1659">
            <v>10</v>
          </cell>
          <cell r="J1659">
            <v>10</v>
          </cell>
          <cell r="K1659">
            <v>7</v>
          </cell>
          <cell r="L1659">
            <v>7</v>
          </cell>
          <cell r="M1659">
            <v>4.1916167664670656E-2</v>
          </cell>
          <cell r="O1659" t="str">
            <v>$1229</v>
          </cell>
          <cell r="P1659" t="str">
            <v>$1229</v>
          </cell>
          <cell r="Q1659">
            <v>45613</v>
          </cell>
          <cell r="R1659" t="str">
            <v>Chennai</v>
          </cell>
          <cell r="S1659" t="str">
            <v>Desktop</v>
          </cell>
          <cell r="T1659" t="str">
            <v>data analytics online</v>
          </cell>
        </row>
        <row r="1660">
          <cell r="A1660" t="str">
            <v>A2658</v>
          </cell>
          <cell r="B1660" t="str">
            <v>Data Analytics Course</v>
          </cell>
          <cell r="C1660">
            <v>191</v>
          </cell>
          <cell r="D1660">
            <v>191</v>
          </cell>
          <cell r="E1660">
            <v>3610</v>
          </cell>
          <cell r="F1660">
            <v>3610</v>
          </cell>
          <cell r="G1660" t="str">
            <v>$217.44</v>
          </cell>
          <cell r="H1660" t="str">
            <v>$217.44</v>
          </cell>
          <cell r="I1660">
            <v>27</v>
          </cell>
          <cell r="J1660">
            <v>27</v>
          </cell>
          <cell r="K1660">
            <v>6</v>
          </cell>
          <cell r="L1660">
            <v>6</v>
          </cell>
          <cell r="M1660">
            <v>3.1413612565445025E-2</v>
          </cell>
          <cell r="N1660">
            <v>3.1E-2</v>
          </cell>
          <cell r="O1660" t="str">
            <v>$1890</v>
          </cell>
          <cell r="P1660" t="str">
            <v>$1890</v>
          </cell>
          <cell r="Q1660">
            <v>45619</v>
          </cell>
          <cell r="R1660" t="str">
            <v>Chennai</v>
          </cell>
          <cell r="S1660" t="str">
            <v>Tablet</v>
          </cell>
          <cell r="T1660" t="str">
            <v>analytics for data</v>
          </cell>
        </row>
        <row r="1661">
          <cell r="A1661" t="str">
            <v>A2659</v>
          </cell>
          <cell r="B1661" t="str">
            <v>Data Analytics Course</v>
          </cell>
          <cell r="C1661">
            <v>90</v>
          </cell>
          <cell r="D1661">
            <v>90</v>
          </cell>
          <cell r="E1661">
            <v>3828</v>
          </cell>
          <cell r="F1661">
            <v>3828</v>
          </cell>
          <cell r="G1661" t="str">
            <v>$238.12</v>
          </cell>
          <cell r="H1661" t="str">
            <v>$238.12</v>
          </cell>
          <cell r="I1661">
            <v>21</v>
          </cell>
          <cell r="J1661">
            <v>21</v>
          </cell>
          <cell r="K1661">
            <v>6</v>
          </cell>
          <cell r="L1661">
            <v>6</v>
          </cell>
          <cell r="M1661">
            <v>6.6666666666666666E-2</v>
          </cell>
          <cell r="N1661">
            <v>0.06</v>
          </cell>
          <cell r="O1661" t="str">
            <v>$1505</v>
          </cell>
          <cell r="P1661" t="str">
            <v>$1505</v>
          </cell>
          <cell r="Q1661">
            <v>45617</v>
          </cell>
          <cell r="R1661" t="str">
            <v>Bangaluru</v>
          </cell>
          <cell r="S1661" t="str">
            <v>Desktop</v>
          </cell>
          <cell r="T1661" t="str">
            <v>data analytics online</v>
          </cell>
        </row>
        <row r="1662">
          <cell r="A1662" t="str">
            <v>A2660</v>
          </cell>
          <cell r="B1662" t="str">
            <v>Data Analytcis Course</v>
          </cell>
          <cell r="C1662">
            <v>115</v>
          </cell>
          <cell r="D1662">
            <v>115</v>
          </cell>
          <cell r="E1662">
            <v>5431</v>
          </cell>
          <cell r="F1662">
            <v>5431</v>
          </cell>
          <cell r="G1662" t="str">
            <v>$180.5</v>
          </cell>
          <cell r="H1662" t="str">
            <v>$180.5</v>
          </cell>
          <cell r="I1662">
            <v>20.234204793028322</v>
          </cell>
          <cell r="K1662">
            <v>7</v>
          </cell>
          <cell r="L1662">
            <v>7</v>
          </cell>
          <cell r="M1662">
            <v>6.0869565217391307E-2</v>
          </cell>
          <cell r="N1662">
            <v>6.0999999999999999E-2</v>
          </cell>
          <cell r="O1662" t="str">
            <v>$1995</v>
          </cell>
          <cell r="P1662" t="str">
            <v>$1995</v>
          </cell>
          <cell r="Q1662">
            <v>45611</v>
          </cell>
          <cell r="R1662" t="str">
            <v>Chennai</v>
          </cell>
          <cell r="S1662" t="str">
            <v>Desktop</v>
          </cell>
          <cell r="T1662" t="str">
            <v>data analytics course</v>
          </cell>
        </row>
        <row r="1663">
          <cell r="A1663" t="str">
            <v>A2661</v>
          </cell>
          <cell r="B1663" t="str">
            <v>Data Analytics Course</v>
          </cell>
          <cell r="C1663">
            <v>188</v>
          </cell>
          <cell r="D1663">
            <v>188</v>
          </cell>
          <cell r="E1663">
            <v>4300</v>
          </cell>
          <cell r="F1663">
            <v>4300</v>
          </cell>
          <cell r="G1663" t="str">
            <v>$226.13</v>
          </cell>
          <cell r="H1663" t="str">
            <v>$226.13</v>
          </cell>
          <cell r="I1663">
            <v>28</v>
          </cell>
          <cell r="J1663">
            <v>28</v>
          </cell>
          <cell r="K1663">
            <v>7</v>
          </cell>
          <cell r="L1663">
            <v>7</v>
          </cell>
          <cell r="M1663">
            <v>3.7234042553191488E-2</v>
          </cell>
          <cell r="O1663" t="str">
            <v>$1185</v>
          </cell>
          <cell r="P1663" t="str">
            <v>$1185</v>
          </cell>
          <cell r="Q1663">
            <v>45610</v>
          </cell>
          <cell r="R1663" t="str">
            <v>Hyderabad</v>
          </cell>
          <cell r="S1663" t="str">
            <v>Mobile</v>
          </cell>
          <cell r="T1663" t="str">
            <v>online data analytic</v>
          </cell>
        </row>
        <row r="1664">
          <cell r="A1664" t="str">
            <v>A2662</v>
          </cell>
          <cell r="B1664" t="str">
            <v>Data Analytcis Course</v>
          </cell>
          <cell r="C1664">
            <v>173</v>
          </cell>
          <cell r="D1664">
            <v>173</v>
          </cell>
          <cell r="E1664">
            <v>3829</v>
          </cell>
          <cell r="F1664">
            <v>3829</v>
          </cell>
          <cell r="G1664" t="str">
            <v>$221.28</v>
          </cell>
          <cell r="H1664" t="str">
            <v>$221.28</v>
          </cell>
          <cell r="I1664">
            <v>29</v>
          </cell>
          <cell r="J1664">
            <v>29</v>
          </cell>
          <cell r="K1664">
            <v>4</v>
          </cell>
          <cell r="L1664">
            <v>4</v>
          </cell>
          <cell r="M1664">
            <v>2.3121387283236993E-2</v>
          </cell>
          <cell r="N1664">
            <v>2.3E-2</v>
          </cell>
          <cell r="O1664" t="str">
            <v>$1417</v>
          </cell>
          <cell r="P1664" t="str">
            <v>$1417</v>
          </cell>
          <cell r="Q1664">
            <v>45621</v>
          </cell>
          <cell r="R1664" t="str">
            <v>Bangaluru</v>
          </cell>
          <cell r="S1664" t="str">
            <v>Desktop</v>
          </cell>
          <cell r="T1664" t="str">
            <v>learn data analytics</v>
          </cell>
        </row>
        <row r="1665">
          <cell r="A1665" t="str">
            <v>A2663</v>
          </cell>
          <cell r="B1665" t="str">
            <v>Data Analytics Course</v>
          </cell>
          <cell r="C1665">
            <v>107</v>
          </cell>
          <cell r="D1665">
            <v>107</v>
          </cell>
          <cell r="E1665">
            <v>4165</v>
          </cell>
          <cell r="F1665">
            <v>4165</v>
          </cell>
          <cell r="G1665" t="str">
            <v>$192.18</v>
          </cell>
          <cell r="H1665" t="str">
            <v>$192.18</v>
          </cell>
          <cell r="I1665">
            <v>21</v>
          </cell>
          <cell r="J1665">
            <v>21</v>
          </cell>
          <cell r="K1665">
            <v>10</v>
          </cell>
          <cell r="L1665">
            <v>10</v>
          </cell>
          <cell r="M1665">
            <v>9.3457943925233641E-2</v>
          </cell>
          <cell r="N1665">
            <v>9.2999999999999999E-2</v>
          </cell>
          <cell r="O1665" t="str">
            <v>$1754</v>
          </cell>
          <cell r="P1665" t="str">
            <v>$1754</v>
          </cell>
          <cell r="Q1665">
            <v>45625</v>
          </cell>
          <cell r="R1665" t="str">
            <v>Hyderabad</v>
          </cell>
          <cell r="S1665" t="str">
            <v>Mobile</v>
          </cell>
          <cell r="T1665" t="str">
            <v>learn data analytics</v>
          </cell>
        </row>
        <row r="1666">
          <cell r="A1666" t="str">
            <v>A2664</v>
          </cell>
          <cell r="B1666" t="str">
            <v>Data Analytics Course</v>
          </cell>
          <cell r="C1666">
            <v>171</v>
          </cell>
          <cell r="D1666">
            <v>171</v>
          </cell>
          <cell r="E1666">
            <v>5953</v>
          </cell>
          <cell r="F1666">
            <v>5953</v>
          </cell>
          <cell r="G1666" t="str">
            <v>$230.37</v>
          </cell>
          <cell r="H1666" t="str">
            <v>$230.37</v>
          </cell>
          <cell r="I1666">
            <v>14</v>
          </cell>
          <cell r="J1666">
            <v>14</v>
          </cell>
          <cell r="K1666">
            <v>7</v>
          </cell>
          <cell r="L1666">
            <v>7</v>
          </cell>
          <cell r="M1666">
            <v>4.0935672514619881E-2</v>
          </cell>
          <cell r="N1666">
            <v>4.8000000000000001E-2</v>
          </cell>
          <cell r="O1666" t="str">
            <v>$1436</v>
          </cell>
          <cell r="P1666" t="str">
            <v>$1436</v>
          </cell>
          <cell r="Q1666">
            <v>45613</v>
          </cell>
          <cell r="R1666" t="str">
            <v>Bangaluru</v>
          </cell>
          <cell r="S1666" t="str">
            <v>Tablet</v>
          </cell>
          <cell r="T1666" t="str">
            <v>analytics for data</v>
          </cell>
        </row>
        <row r="1667">
          <cell r="A1667" t="str">
            <v>A2665</v>
          </cell>
          <cell r="B1667" t="str">
            <v>Data Analytcis Course</v>
          </cell>
          <cell r="C1667">
            <v>87</v>
          </cell>
          <cell r="D1667">
            <v>87</v>
          </cell>
          <cell r="E1667">
            <v>4836</v>
          </cell>
          <cell r="F1667">
            <v>4836</v>
          </cell>
          <cell r="G1667" t="str">
            <v>$242.0</v>
          </cell>
          <cell r="H1667" t="str">
            <v>$242.0</v>
          </cell>
          <cell r="I1667">
            <v>12</v>
          </cell>
          <cell r="J1667">
            <v>12</v>
          </cell>
          <cell r="K1667">
            <v>7</v>
          </cell>
          <cell r="L1667">
            <v>7</v>
          </cell>
          <cell r="M1667">
            <v>8.0459770114942528E-2</v>
          </cell>
          <cell r="O1667" t="str">
            <v>$1665</v>
          </cell>
          <cell r="P1667" t="str">
            <v>$1665</v>
          </cell>
          <cell r="Q1667">
            <v>45611</v>
          </cell>
          <cell r="R1667" t="str">
            <v>Hyderabad</v>
          </cell>
          <cell r="S1667" t="str">
            <v>Desktop</v>
          </cell>
          <cell r="T1667" t="str">
            <v>learn data analytics</v>
          </cell>
        </row>
        <row r="1668">
          <cell r="A1668" t="str">
            <v>A2666</v>
          </cell>
          <cell r="B1668" t="str">
            <v>Data Analytcis Course</v>
          </cell>
          <cell r="C1668">
            <v>199</v>
          </cell>
          <cell r="D1668">
            <v>199</v>
          </cell>
          <cell r="E1668">
            <v>3717</v>
          </cell>
          <cell r="F1668">
            <v>3717</v>
          </cell>
          <cell r="G1668" t="str">
            <v>$226.84</v>
          </cell>
          <cell r="H1668" t="str">
            <v>$226.84</v>
          </cell>
          <cell r="I1668">
            <v>27</v>
          </cell>
          <cell r="J1668">
            <v>27</v>
          </cell>
          <cell r="K1668">
            <v>3</v>
          </cell>
          <cell r="L1668">
            <v>3</v>
          </cell>
          <cell r="M1668">
            <v>1.507537688442211E-2</v>
          </cell>
          <cell r="N1668">
            <v>3.6999999999999998E-2</v>
          </cell>
          <cell r="O1668" t="str">
            <v>$1449</v>
          </cell>
          <cell r="P1668" t="str">
            <v>$1449</v>
          </cell>
          <cell r="Q1668">
            <v>45621</v>
          </cell>
          <cell r="R1668" t="str">
            <v>Chennai</v>
          </cell>
          <cell r="S1668" t="str">
            <v>Mobile</v>
          </cell>
          <cell r="T1668" t="str">
            <v>data analytics training</v>
          </cell>
        </row>
        <row r="1669">
          <cell r="A1669" t="str">
            <v>A2667</v>
          </cell>
          <cell r="B1669" t="str">
            <v>Data Analytics Course</v>
          </cell>
          <cell r="C1669">
            <v>195</v>
          </cell>
          <cell r="D1669">
            <v>195</v>
          </cell>
          <cell r="E1669">
            <v>5190</v>
          </cell>
          <cell r="F1669">
            <v>5190</v>
          </cell>
          <cell r="G1669" t="str">
            <v>$231.62</v>
          </cell>
          <cell r="H1669" t="str">
            <v>$231.62</v>
          </cell>
          <cell r="I1669">
            <v>20.223684210526315</v>
          </cell>
          <cell r="K1669">
            <v>3</v>
          </cell>
          <cell r="L1669">
            <v>3</v>
          </cell>
          <cell r="M1669">
            <v>1.5384615384615385E-2</v>
          </cell>
          <cell r="O1669" t="str">
            <v>$1429</v>
          </cell>
          <cell r="P1669" t="str">
            <v>$1429</v>
          </cell>
          <cell r="Q1669">
            <v>45608</v>
          </cell>
          <cell r="R1669" t="str">
            <v>Hyderabad</v>
          </cell>
          <cell r="S1669" t="str">
            <v>Tablet</v>
          </cell>
          <cell r="T1669" t="str">
            <v>data analytics course</v>
          </cell>
        </row>
        <row r="1670">
          <cell r="A1670" t="str">
            <v>A2668</v>
          </cell>
          <cell r="B1670" t="str">
            <v>Data Analytics Course</v>
          </cell>
          <cell r="C1670">
            <v>97</v>
          </cell>
          <cell r="D1670">
            <v>97</v>
          </cell>
          <cell r="E1670">
            <v>3921</v>
          </cell>
          <cell r="F1670">
            <v>3921</v>
          </cell>
          <cell r="G1670" t="str">
            <v>$232.83</v>
          </cell>
          <cell r="H1670" t="str">
            <v>$232.83</v>
          </cell>
          <cell r="I1670">
            <v>11</v>
          </cell>
          <cell r="J1670">
            <v>11</v>
          </cell>
          <cell r="K1670">
            <v>9</v>
          </cell>
          <cell r="L1670">
            <v>9</v>
          </cell>
          <cell r="M1670">
            <v>9.2783505154639179E-2</v>
          </cell>
          <cell r="N1670">
            <v>3.5999999999999997E-2</v>
          </cell>
          <cell r="O1670" t="str">
            <v>$1886</v>
          </cell>
          <cell r="P1670" t="str">
            <v>$1886</v>
          </cell>
          <cell r="Q1670">
            <v>45612</v>
          </cell>
          <cell r="R1670" t="str">
            <v>Hyderabad</v>
          </cell>
          <cell r="S1670" t="str">
            <v>Tablet</v>
          </cell>
          <cell r="T1670" t="str">
            <v>analytics for data</v>
          </cell>
        </row>
        <row r="1671">
          <cell r="A1671" t="str">
            <v>A2669</v>
          </cell>
          <cell r="B1671" t="str">
            <v>Data Analytcis Course</v>
          </cell>
          <cell r="C1671">
            <v>184</v>
          </cell>
          <cell r="D1671">
            <v>184</v>
          </cell>
          <cell r="E1671">
            <v>3824</v>
          </cell>
          <cell r="F1671">
            <v>3824</v>
          </cell>
          <cell r="G1671" t="str">
            <v>$200.99</v>
          </cell>
          <cell r="H1671" t="str">
            <v>$200.99</v>
          </cell>
          <cell r="I1671">
            <v>26</v>
          </cell>
          <cell r="J1671">
            <v>26</v>
          </cell>
          <cell r="K1671">
            <v>6</v>
          </cell>
          <cell r="L1671">
            <v>6</v>
          </cell>
          <cell r="M1671">
            <v>3.2608695652173912E-2</v>
          </cell>
          <cell r="O1671" t="str">
            <v>$1023</v>
          </cell>
          <cell r="P1671" t="str">
            <v>$1023</v>
          </cell>
          <cell r="Q1671">
            <v>45622</v>
          </cell>
          <cell r="R1671" t="str">
            <v>Bangaluru</v>
          </cell>
          <cell r="S1671" t="str">
            <v>Mobile</v>
          </cell>
          <cell r="T1671" t="str">
            <v>data analytics online</v>
          </cell>
        </row>
        <row r="1672">
          <cell r="A1672" t="str">
            <v>A2670</v>
          </cell>
          <cell r="B1672" t="str">
            <v>Data Analytics Course</v>
          </cell>
          <cell r="C1672">
            <v>168</v>
          </cell>
          <cell r="D1672">
            <v>168</v>
          </cell>
          <cell r="E1672">
            <v>5414</v>
          </cell>
          <cell r="F1672">
            <v>5414</v>
          </cell>
          <cell r="G1672" t="str">
            <v>$221.78</v>
          </cell>
          <cell r="H1672" t="str">
            <v>$221.78</v>
          </cell>
          <cell r="I1672">
            <v>19</v>
          </cell>
          <cell r="J1672">
            <v>19</v>
          </cell>
          <cell r="K1672">
            <v>8</v>
          </cell>
          <cell r="L1672">
            <v>8</v>
          </cell>
          <cell r="M1672">
            <v>4.7619047619047616E-2</v>
          </cell>
          <cell r="N1672">
            <v>4.8000000000000001E-2</v>
          </cell>
          <cell r="O1672" t="str">
            <v>$1715</v>
          </cell>
          <cell r="P1672" t="str">
            <v>$1715</v>
          </cell>
          <cell r="Q1672">
            <v>45625</v>
          </cell>
          <cell r="R1672" t="str">
            <v>Bangaluru</v>
          </cell>
          <cell r="S1672" t="str">
            <v>Mobile</v>
          </cell>
          <cell r="T1672" t="str">
            <v>data analytics training</v>
          </cell>
        </row>
        <row r="1673">
          <cell r="A1673" t="str">
            <v>A2671</v>
          </cell>
          <cell r="B1673" t="str">
            <v>Data Analytcis Course</v>
          </cell>
          <cell r="C1673">
            <v>128</v>
          </cell>
          <cell r="D1673">
            <v>128</v>
          </cell>
          <cell r="E1673">
            <v>3984</v>
          </cell>
          <cell r="F1673">
            <v>3984</v>
          </cell>
          <cell r="G1673" t="str">
            <v>$222.78</v>
          </cell>
          <cell r="H1673" t="str">
            <v>$222.78</v>
          </cell>
          <cell r="I1673">
            <v>26</v>
          </cell>
          <cell r="J1673">
            <v>26</v>
          </cell>
          <cell r="K1673">
            <v>4</v>
          </cell>
          <cell r="L1673">
            <v>4</v>
          </cell>
          <cell r="M1673">
            <v>3.125E-2</v>
          </cell>
          <cell r="O1673" t="str">
            <v>$1786</v>
          </cell>
          <cell r="P1673" t="str">
            <v>$1786</v>
          </cell>
          <cell r="Q1673">
            <v>45610</v>
          </cell>
          <cell r="R1673" t="str">
            <v>Bangaluru</v>
          </cell>
          <cell r="S1673" t="str">
            <v>Desktop</v>
          </cell>
          <cell r="T1673" t="str">
            <v>data analytics online</v>
          </cell>
        </row>
        <row r="1674">
          <cell r="A1674" t="str">
            <v>A2672</v>
          </cell>
          <cell r="B1674" t="str">
            <v>Data Analytics Course</v>
          </cell>
          <cell r="C1674">
            <v>117</v>
          </cell>
          <cell r="D1674">
            <v>117</v>
          </cell>
          <cell r="E1674">
            <v>4716</v>
          </cell>
          <cell r="F1674">
            <v>4716</v>
          </cell>
          <cell r="G1674" t="str">
            <v>$213.86</v>
          </cell>
          <cell r="H1674" t="str">
            <v>$213.86</v>
          </cell>
          <cell r="I1674">
            <v>26</v>
          </cell>
          <cell r="J1674">
            <v>26</v>
          </cell>
          <cell r="K1674">
            <v>4</v>
          </cell>
          <cell r="L1674">
            <v>4</v>
          </cell>
          <cell r="M1674">
            <v>3.4188034188034191E-2</v>
          </cell>
          <cell r="O1674" t="str">
            <v>$1500</v>
          </cell>
          <cell r="Q1674">
            <v>45623</v>
          </cell>
          <cell r="R1674" t="str">
            <v>Hyderabad</v>
          </cell>
          <cell r="S1674" t="str">
            <v>Mobile</v>
          </cell>
          <cell r="T1674" t="str">
            <v>online data analytic</v>
          </cell>
        </row>
        <row r="1675">
          <cell r="A1675" t="str">
            <v>A2673</v>
          </cell>
          <cell r="B1675" t="str">
            <v>Data Analytics Course</v>
          </cell>
          <cell r="C1675">
            <v>142</v>
          </cell>
          <cell r="D1675">
            <v>142</v>
          </cell>
          <cell r="E1675">
            <v>5265</v>
          </cell>
          <cell r="F1675">
            <v>5265</v>
          </cell>
          <cell r="G1675" t="str">
            <v>$183.15</v>
          </cell>
          <cell r="H1675" t="str">
            <v>$183.15</v>
          </cell>
          <cell r="I1675">
            <v>19</v>
          </cell>
          <cell r="J1675">
            <v>19</v>
          </cell>
          <cell r="K1675">
            <v>9</v>
          </cell>
          <cell r="L1675">
            <v>9</v>
          </cell>
          <cell r="M1675">
            <v>6.3380281690140844E-2</v>
          </cell>
          <cell r="N1675">
            <v>4.7E-2</v>
          </cell>
          <cell r="O1675" t="str">
            <v>$1173</v>
          </cell>
          <cell r="P1675" t="str">
            <v>$1173</v>
          </cell>
          <cell r="Q1675">
            <v>45603</v>
          </cell>
          <cell r="R1675" t="str">
            <v>Bangaluru</v>
          </cell>
          <cell r="S1675" t="str">
            <v>Desktop</v>
          </cell>
          <cell r="T1675" t="str">
            <v>online data analytic</v>
          </cell>
        </row>
        <row r="1676">
          <cell r="A1676" t="str">
            <v>A2674</v>
          </cell>
          <cell r="B1676" t="str">
            <v>Data Analytics Course</v>
          </cell>
          <cell r="C1676">
            <v>194</v>
          </cell>
          <cell r="D1676">
            <v>194</v>
          </cell>
          <cell r="E1676">
            <v>5273</v>
          </cell>
          <cell r="F1676">
            <v>5273</v>
          </cell>
          <cell r="G1676" t="str">
            <v>$201.59</v>
          </cell>
          <cell r="H1676" t="str">
            <v>$201.59</v>
          </cell>
          <cell r="I1676">
            <v>15</v>
          </cell>
          <cell r="J1676">
            <v>15</v>
          </cell>
          <cell r="K1676">
            <v>10</v>
          </cell>
          <cell r="L1676">
            <v>10</v>
          </cell>
          <cell r="M1676">
            <v>5.1546391752577317E-2</v>
          </cell>
          <cell r="O1676" t="str">
            <v>$1018</v>
          </cell>
          <cell r="P1676" t="str">
            <v>$1018</v>
          </cell>
          <cell r="Q1676">
            <v>45602</v>
          </cell>
          <cell r="R1676" t="str">
            <v>Chennai</v>
          </cell>
          <cell r="S1676" t="str">
            <v>Mobile</v>
          </cell>
          <cell r="T1676" t="str">
            <v>data analytics online</v>
          </cell>
        </row>
        <row r="1677">
          <cell r="A1677" t="str">
            <v>A2675</v>
          </cell>
          <cell r="B1677" t="str">
            <v>Data Analytics Course</v>
          </cell>
          <cell r="C1677">
            <v>141</v>
          </cell>
          <cell r="D1677">
            <v>141</v>
          </cell>
          <cell r="E1677">
            <v>5656</v>
          </cell>
          <cell r="F1677">
            <v>5656</v>
          </cell>
          <cell r="G1677" t="str">
            <v>$193.58</v>
          </cell>
          <cell r="H1677" t="str">
            <v>$193.58</v>
          </cell>
          <cell r="I1677">
            <v>20</v>
          </cell>
          <cell r="J1677">
            <v>20</v>
          </cell>
          <cell r="K1677">
            <v>6</v>
          </cell>
          <cell r="L1677">
            <v>6</v>
          </cell>
          <cell r="M1677">
            <v>4.2553191489361701E-2</v>
          </cell>
          <cell r="N1677">
            <v>4.2999999999999997E-2</v>
          </cell>
          <cell r="O1677" t="str">
            <v>$1953</v>
          </cell>
          <cell r="P1677" t="str">
            <v>$1953</v>
          </cell>
          <cell r="Q1677">
            <v>45622</v>
          </cell>
          <cell r="R1677" t="str">
            <v>Bangaluru</v>
          </cell>
          <cell r="S1677" t="str">
            <v>Desktop</v>
          </cell>
          <cell r="T1677" t="str">
            <v>data analytics course</v>
          </cell>
        </row>
        <row r="1678">
          <cell r="A1678" t="str">
            <v>A2676</v>
          </cell>
          <cell r="B1678" t="str">
            <v>Data Analytics Course</v>
          </cell>
          <cell r="C1678">
            <v>137</v>
          </cell>
          <cell r="D1678">
            <v>137</v>
          </cell>
          <cell r="E1678">
            <v>3149</v>
          </cell>
          <cell r="F1678">
            <v>3149</v>
          </cell>
          <cell r="G1678" t="str">
            <v>$195.06</v>
          </cell>
          <cell r="H1678" t="str">
            <v>$195.06</v>
          </cell>
          <cell r="I1678">
            <v>17</v>
          </cell>
          <cell r="J1678">
            <v>17</v>
          </cell>
          <cell r="K1678">
            <v>6</v>
          </cell>
          <cell r="L1678">
            <v>6</v>
          </cell>
          <cell r="M1678">
            <v>4.3795620437956206E-2</v>
          </cell>
          <cell r="N1678">
            <v>4.5999999999999999E-2</v>
          </cell>
          <cell r="O1678" t="str">
            <v>$1718</v>
          </cell>
          <cell r="P1678" t="str">
            <v>$1718</v>
          </cell>
          <cell r="Q1678">
            <v>45604</v>
          </cell>
          <cell r="R1678" t="str">
            <v>Hyderabad</v>
          </cell>
          <cell r="S1678" t="str">
            <v>Tablet</v>
          </cell>
          <cell r="T1678" t="str">
            <v>analytics for data</v>
          </cell>
        </row>
        <row r="1679">
          <cell r="A1679" t="str">
            <v>A2677</v>
          </cell>
          <cell r="B1679" t="str">
            <v>Data Analytics Course</v>
          </cell>
          <cell r="C1679">
            <v>162</v>
          </cell>
          <cell r="D1679">
            <v>162</v>
          </cell>
          <cell r="E1679">
            <v>5799</v>
          </cell>
          <cell r="F1679">
            <v>5799</v>
          </cell>
          <cell r="G1679" t="str">
            <v>$196.39</v>
          </cell>
          <cell r="H1679" t="str">
            <v>$196.39</v>
          </cell>
          <cell r="I1679">
            <v>27</v>
          </cell>
          <cell r="J1679">
            <v>27</v>
          </cell>
          <cell r="K1679">
            <v>8</v>
          </cell>
          <cell r="L1679">
            <v>8</v>
          </cell>
          <cell r="M1679">
            <v>4.9382716049382713E-2</v>
          </cell>
          <cell r="N1679">
            <v>4.9000000000000002E-2</v>
          </cell>
          <cell r="O1679" t="str">
            <v>$1500</v>
          </cell>
          <cell r="Q1679">
            <v>45609</v>
          </cell>
          <cell r="R1679" t="str">
            <v>Hyderabad</v>
          </cell>
          <cell r="S1679" t="str">
            <v>Tablet</v>
          </cell>
          <cell r="T1679" t="str">
            <v>data analytics online</v>
          </cell>
        </row>
        <row r="1680">
          <cell r="A1680" t="str">
            <v>A2678</v>
          </cell>
          <cell r="B1680" t="str">
            <v>Data Analytics Course</v>
          </cell>
          <cell r="C1680">
            <v>151</v>
          </cell>
          <cell r="D1680">
            <v>151</v>
          </cell>
          <cell r="E1680">
            <v>3487</v>
          </cell>
          <cell r="F1680">
            <v>3487</v>
          </cell>
          <cell r="G1680" t="str">
            <v>$187.0</v>
          </cell>
          <cell r="H1680" t="str">
            <v>$187.0</v>
          </cell>
          <cell r="I1680">
            <v>30</v>
          </cell>
          <cell r="J1680">
            <v>30</v>
          </cell>
          <cell r="K1680">
            <v>6</v>
          </cell>
          <cell r="L1680">
            <v>6</v>
          </cell>
          <cell r="M1680">
            <v>3.9735099337748346E-2</v>
          </cell>
          <cell r="N1680">
            <v>0.04</v>
          </cell>
          <cell r="O1680" t="str">
            <v>$1529</v>
          </cell>
          <cell r="P1680" t="str">
            <v>$1529</v>
          </cell>
          <cell r="Q1680">
            <v>45609</v>
          </cell>
          <cell r="R1680" t="str">
            <v>Hyderabad</v>
          </cell>
          <cell r="S1680" t="str">
            <v>Mobile</v>
          </cell>
          <cell r="T1680" t="str">
            <v>online data analytic</v>
          </cell>
        </row>
        <row r="1681">
          <cell r="A1681" t="str">
            <v>A2679</v>
          </cell>
          <cell r="B1681" t="str">
            <v>Data Analytics Course</v>
          </cell>
          <cell r="C1681">
            <v>87</v>
          </cell>
          <cell r="D1681">
            <v>87</v>
          </cell>
          <cell r="E1681">
            <v>4140</v>
          </cell>
          <cell r="F1681">
            <v>4140</v>
          </cell>
          <cell r="G1681" t="str">
            <v>$209.82</v>
          </cell>
          <cell r="H1681" t="str">
            <v>$209.82</v>
          </cell>
          <cell r="I1681">
            <v>17</v>
          </cell>
          <cell r="J1681">
            <v>17</v>
          </cell>
          <cell r="K1681">
            <v>7</v>
          </cell>
          <cell r="L1681">
            <v>7</v>
          </cell>
          <cell r="M1681">
            <v>8.0459770114942528E-2</v>
          </cell>
          <cell r="N1681">
            <v>0.08</v>
          </cell>
          <cell r="O1681" t="str">
            <v>$1151</v>
          </cell>
          <cell r="P1681" t="str">
            <v>$1151</v>
          </cell>
          <cell r="Q1681">
            <v>45619</v>
          </cell>
          <cell r="R1681" t="str">
            <v>Hyderabad</v>
          </cell>
          <cell r="S1681" t="str">
            <v>Tablet</v>
          </cell>
          <cell r="T1681" t="str">
            <v>online data analytic</v>
          </cell>
        </row>
        <row r="1682">
          <cell r="A1682" t="str">
            <v>A2680</v>
          </cell>
          <cell r="B1682" t="str">
            <v>Data Analytics Course</v>
          </cell>
          <cell r="C1682">
            <v>183</v>
          </cell>
          <cell r="D1682">
            <v>183</v>
          </cell>
          <cell r="E1682">
            <v>5659</v>
          </cell>
          <cell r="F1682">
            <v>5659</v>
          </cell>
          <cell r="G1682" t="str">
            <v>$191.88</v>
          </cell>
          <cell r="H1682" t="str">
            <v>$191.88</v>
          </cell>
          <cell r="I1682">
            <v>12</v>
          </cell>
          <cell r="J1682">
            <v>12</v>
          </cell>
          <cell r="K1682">
            <v>7</v>
          </cell>
          <cell r="L1682">
            <v>7</v>
          </cell>
          <cell r="M1682">
            <v>3.825136612021858E-2</v>
          </cell>
          <cell r="N1682">
            <v>3.7999999999999999E-2</v>
          </cell>
          <cell r="O1682" t="str">
            <v>$1830</v>
          </cell>
          <cell r="P1682" t="str">
            <v>$1830</v>
          </cell>
          <cell r="Q1682">
            <v>45606</v>
          </cell>
          <cell r="R1682" t="str">
            <v>Bangaluru</v>
          </cell>
          <cell r="S1682" t="str">
            <v>Mobile</v>
          </cell>
          <cell r="T1682" t="str">
            <v>analytics for data</v>
          </cell>
        </row>
        <row r="1683">
          <cell r="A1683" t="str">
            <v>A2681</v>
          </cell>
          <cell r="B1683" t="str">
            <v>Data Analytics Course</v>
          </cell>
          <cell r="C1683">
            <v>120</v>
          </cell>
          <cell r="D1683">
            <v>120</v>
          </cell>
          <cell r="E1683">
            <v>3629</v>
          </cell>
          <cell r="F1683">
            <v>3629</v>
          </cell>
          <cell r="G1683" t="str">
            <v>$197.43</v>
          </cell>
          <cell r="H1683" t="str">
            <v>$197.43</v>
          </cell>
          <cell r="I1683">
            <v>12</v>
          </cell>
          <cell r="J1683">
            <v>12</v>
          </cell>
          <cell r="K1683">
            <v>6.5292792792792795</v>
          </cell>
          <cell r="M1683">
            <v>5.4410660660660665E-2</v>
          </cell>
          <cell r="N1683">
            <v>5.2999999999999999E-2</v>
          </cell>
          <cell r="O1683" t="str">
            <v>$1522</v>
          </cell>
          <cell r="P1683" t="str">
            <v>$1522</v>
          </cell>
          <cell r="Q1683">
            <v>45619</v>
          </cell>
          <cell r="R1683" t="str">
            <v>Hyderabad</v>
          </cell>
          <cell r="S1683" t="str">
            <v>Desktop</v>
          </cell>
          <cell r="T1683" t="str">
            <v>data analytics training</v>
          </cell>
        </row>
        <row r="1684">
          <cell r="A1684" t="str">
            <v>A2682</v>
          </cell>
          <cell r="B1684" t="str">
            <v>Data Analytcis Course</v>
          </cell>
          <cell r="C1684">
            <v>187</v>
          </cell>
          <cell r="D1684">
            <v>187</v>
          </cell>
          <cell r="E1684">
            <v>5531</v>
          </cell>
          <cell r="F1684">
            <v>5531</v>
          </cell>
          <cell r="G1684" t="str">
            <v>$219.88</v>
          </cell>
          <cell r="H1684" t="str">
            <v>$219.88</v>
          </cell>
          <cell r="I1684">
            <v>10</v>
          </cell>
          <cell r="J1684">
            <v>10</v>
          </cell>
          <cell r="K1684">
            <v>5</v>
          </cell>
          <cell r="L1684">
            <v>5</v>
          </cell>
          <cell r="M1684">
            <v>2.6737967914438502E-2</v>
          </cell>
          <cell r="N1684">
            <v>0.05</v>
          </cell>
          <cell r="O1684" t="str">
            <v>$1807</v>
          </cell>
          <cell r="P1684" t="str">
            <v>$1807</v>
          </cell>
          <cell r="Q1684">
            <v>45609</v>
          </cell>
          <cell r="R1684" t="str">
            <v>Hyderabad</v>
          </cell>
          <cell r="S1684" t="str">
            <v>Tablet</v>
          </cell>
          <cell r="T1684" t="str">
            <v>analytics for data</v>
          </cell>
        </row>
        <row r="1685">
          <cell r="A1685" t="str">
            <v>A2683</v>
          </cell>
          <cell r="B1685" t="str">
            <v>Data Analytics Course</v>
          </cell>
          <cell r="C1685">
            <v>121</v>
          </cell>
          <cell r="D1685">
            <v>121</v>
          </cell>
          <cell r="E1685">
            <v>5275</v>
          </cell>
          <cell r="F1685">
            <v>5275</v>
          </cell>
          <cell r="G1685" t="str">
            <v>$234.88</v>
          </cell>
          <cell r="H1685" t="str">
            <v>$234.88</v>
          </cell>
          <cell r="I1685">
            <v>23</v>
          </cell>
          <cell r="J1685">
            <v>23</v>
          </cell>
          <cell r="K1685">
            <v>4</v>
          </cell>
          <cell r="L1685">
            <v>4</v>
          </cell>
          <cell r="M1685">
            <v>3.3057851239669422E-2</v>
          </cell>
          <cell r="N1685">
            <v>3.3000000000000002E-2</v>
          </cell>
          <cell r="O1685" t="str">
            <v>$1766</v>
          </cell>
          <cell r="P1685" t="str">
            <v>$1766</v>
          </cell>
          <cell r="Q1685">
            <v>45601</v>
          </cell>
          <cell r="R1685" t="str">
            <v>Hyderabad</v>
          </cell>
          <cell r="S1685" t="str">
            <v>Desktop</v>
          </cell>
          <cell r="T1685" t="str">
            <v>data analytics online</v>
          </cell>
        </row>
        <row r="1686">
          <cell r="A1686" t="str">
            <v>A2684</v>
          </cell>
          <cell r="B1686" t="str">
            <v>Data Analytics Course</v>
          </cell>
          <cell r="C1686">
            <v>173</v>
          </cell>
          <cell r="D1686">
            <v>173</v>
          </cell>
          <cell r="E1686">
            <v>3190</v>
          </cell>
          <cell r="F1686">
            <v>3190</v>
          </cell>
          <cell r="G1686" t="str">
            <v>$226.32</v>
          </cell>
          <cell r="H1686" t="str">
            <v>$226.32</v>
          </cell>
          <cell r="I1686">
            <v>13</v>
          </cell>
          <cell r="J1686">
            <v>13</v>
          </cell>
          <cell r="K1686">
            <v>6.533860045146727</v>
          </cell>
          <cell r="M1686">
            <v>3.7767977139576456E-2</v>
          </cell>
          <cell r="O1686" t="str">
            <v>$1884</v>
          </cell>
          <cell r="P1686" t="str">
            <v>$1884</v>
          </cell>
          <cell r="Q1686">
            <v>45623</v>
          </cell>
          <cell r="R1686" t="str">
            <v>Hyderabad</v>
          </cell>
          <cell r="S1686" t="str">
            <v>Mobile</v>
          </cell>
          <cell r="T1686" t="str">
            <v>online data analytic</v>
          </cell>
        </row>
        <row r="1687">
          <cell r="A1687" t="str">
            <v>A2685</v>
          </cell>
          <cell r="B1687" t="str">
            <v>Data Analytics Course</v>
          </cell>
          <cell r="C1687">
            <v>165</v>
          </cell>
          <cell r="D1687">
            <v>165</v>
          </cell>
          <cell r="E1687">
            <v>5406</v>
          </cell>
          <cell r="F1687">
            <v>5406</v>
          </cell>
          <cell r="G1687" t="str">
            <v>$237.32</v>
          </cell>
          <cell r="H1687" t="str">
            <v>$237.32</v>
          </cell>
          <cell r="I1687">
            <v>23</v>
          </cell>
          <cell r="J1687">
            <v>23</v>
          </cell>
          <cell r="K1687">
            <v>10</v>
          </cell>
          <cell r="L1687">
            <v>10</v>
          </cell>
          <cell r="M1687">
            <v>6.0606060606060608E-2</v>
          </cell>
          <cell r="O1687" t="str">
            <v>$1002</v>
          </cell>
          <cell r="P1687" t="str">
            <v>$1002</v>
          </cell>
          <cell r="Q1687">
            <v>45621</v>
          </cell>
          <cell r="R1687" t="str">
            <v>Chennai</v>
          </cell>
          <cell r="S1687" t="str">
            <v>Tablet</v>
          </cell>
          <cell r="T1687" t="str">
            <v>data analytics course</v>
          </cell>
        </row>
        <row r="1688">
          <cell r="A1688" t="str">
            <v>A2686</v>
          </cell>
          <cell r="B1688" t="str">
            <v>Data Analytcis Course</v>
          </cell>
          <cell r="C1688">
            <v>192</v>
          </cell>
          <cell r="D1688">
            <v>192</v>
          </cell>
          <cell r="E1688">
            <v>3755</v>
          </cell>
          <cell r="F1688">
            <v>3755</v>
          </cell>
          <cell r="G1688" t="str">
            <v>$218.14</v>
          </cell>
          <cell r="H1688" t="str">
            <v>$218.14</v>
          </cell>
          <cell r="I1688">
            <v>28</v>
          </cell>
          <cell r="J1688">
            <v>28</v>
          </cell>
          <cell r="K1688">
            <v>3</v>
          </cell>
          <cell r="L1688">
            <v>3</v>
          </cell>
          <cell r="M1688">
            <v>1.5625E-2</v>
          </cell>
          <cell r="N1688">
            <v>1.6E-2</v>
          </cell>
          <cell r="O1688" t="str">
            <v>$1121</v>
          </cell>
          <cell r="P1688" t="str">
            <v>$1121</v>
          </cell>
          <cell r="Q1688">
            <v>45626</v>
          </cell>
          <cell r="R1688" t="str">
            <v>Bangaluru</v>
          </cell>
          <cell r="S1688" t="str">
            <v>Mobile</v>
          </cell>
          <cell r="T1688" t="str">
            <v>online data analytic</v>
          </cell>
        </row>
        <row r="1689">
          <cell r="A1689" t="str">
            <v>A2687</v>
          </cell>
          <cell r="B1689" t="str">
            <v>Data Analytics Course</v>
          </cell>
          <cell r="C1689">
            <v>193</v>
          </cell>
          <cell r="D1689">
            <v>193</v>
          </cell>
          <cell r="E1689">
            <v>4497</v>
          </cell>
          <cell r="F1689">
            <v>4497</v>
          </cell>
          <cell r="G1689" t="str">
            <v>$248.41</v>
          </cell>
          <cell r="H1689" t="str">
            <v>$248.41</v>
          </cell>
          <cell r="I1689">
            <v>24</v>
          </cell>
          <cell r="J1689">
            <v>24</v>
          </cell>
          <cell r="K1689">
            <v>9</v>
          </cell>
          <cell r="L1689">
            <v>9</v>
          </cell>
          <cell r="M1689">
            <v>4.6632124352331605E-2</v>
          </cell>
          <cell r="N1689">
            <v>4.7E-2</v>
          </cell>
          <cell r="O1689" t="str">
            <v>$1025</v>
          </cell>
          <cell r="P1689" t="str">
            <v>$1025</v>
          </cell>
          <cell r="Q1689">
            <v>45602</v>
          </cell>
          <cell r="R1689" t="str">
            <v>Chennai</v>
          </cell>
          <cell r="S1689" t="str">
            <v>Desktop</v>
          </cell>
          <cell r="T1689" t="str">
            <v>learn data analytics</v>
          </cell>
        </row>
        <row r="1690">
          <cell r="A1690" t="str">
            <v>A2688</v>
          </cell>
          <cell r="B1690" t="str">
            <v>Data Analytics Course</v>
          </cell>
          <cell r="C1690">
            <v>138</v>
          </cell>
          <cell r="D1690">
            <v>138</v>
          </cell>
          <cell r="E1690">
            <v>5904</v>
          </cell>
          <cell r="F1690">
            <v>5904</v>
          </cell>
          <cell r="G1690" t="str">
            <v>$197.08</v>
          </cell>
          <cell r="H1690" t="str">
            <v>$197.08</v>
          </cell>
          <cell r="I1690">
            <v>26</v>
          </cell>
          <cell r="J1690">
            <v>26</v>
          </cell>
          <cell r="K1690">
            <v>8</v>
          </cell>
          <cell r="L1690">
            <v>8</v>
          </cell>
          <cell r="M1690">
            <v>5.7971014492753624E-2</v>
          </cell>
          <cell r="N1690">
            <v>5.8000000000000003E-2</v>
          </cell>
          <cell r="O1690" t="str">
            <v>$1698</v>
          </cell>
          <cell r="P1690" t="str">
            <v>$1698</v>
          </cell>
          <cell r="Q1690">
            <v>45615</v>
          </cell>
          <cell r="R1690" t="str">
            <v>Hyderabad</v>
          </cell>
          <cell r="S1690" t="str">
            <v>Desktop</v>
          </cell>
          <cell r="T1690" t="str">
            <v>learn data analytics</v>
          </cell>
        </row>
        <row r="1691">
          <cell r="A1691" t="str">
            <v>A2689</v>
          </cell>
          <cell r="B1691" t="str">
            <v>Data Analytics Course</v>
          </cell>
          <cell r="C1691">
            <v>104</v>
          </cell>
          <cell r="D1691">
            <v>104</v>
          </cell>
          <cell r="E1691">
            <v>4212</v>
          </cell>
          <cell r="F1691">
            <v>4212</v>
          </cell>
          <cell r="G1691" t="str">
            <v>$200.00</v>
          </cell>
          <cell r="I1691">
            <v>15</v>
          </cell>
          <cell r="J1691">
            <v>15</v>
          </cell>
          <cell r="K1691">
            <v>6</v>
          </cell>
          <cell r="L1691">
            <v>6</v>
          </cell>
          <cell r="M1691">
            <v>5.7692307692307696E-2</v>
          </cell>
          <cell r="O1691" t="str">
            <v>$1108</v>
          </cell>
          <cell r="P1691" t="str">
            <v>$1108</v>
          </cell>
          <cell r="Q1691">
            <v>45626</v>
          </cell>
          <cell r="R1691" t="str">
            <v>Hyderabad</v>
          </cell>
          <cell r="S1691" t="str">
            <v>Desktop</v>
          </cell>
          <cell r="T1691" t="str">
            <v>data analytics training</v>
          </cell>
        </row>
        <row r="1692">
          <cell r="A1692" t="str">
            <v>A2690</v>
          </cell>
          <cell r="B1692" t="str">
            <v>Data Analytics Course</v>
          </cell>
          <cell r="C1692">
            <v>162</v>
          </cell>
          <cell r="D1692">
            <v>162</v>
          </cell>
          <cell r="E1692">
            <v>5979</v>
          </cell>
          <cell r="F1692">
            <v>5979</v>
          </cell>
          <cell r="G1692" t="str">
            <v>$190.69</v>
          </cell>
          <cell r="H1692" t="str">
            <v>$190.69</v>
          </cell>
          <cell r="I1692">
            <v>30</v>
          </cell>
          <cell r="J1692">
            <v>30</v>
          </cell>
          <cell r="K1692">
            <v>6</v>
          </cell>
          <cell r="L1692">
            <v>6</v>
          </cell>
          <cell r="M1692">
            <v>3.7037037037037035E-2</v>
          </cell>
          <cell r="N1692">
            <v>4.2999999999999997E-2</v>
          </cell>
          <cell r="O1692" t="str">
            <v>$1976</v>
          </cell>
          <cell r="P1692" t="str">
            <v>$1976</v>
          </cell>
          <cell r="Q1692">
            <v>45619</v>
          </cell>
          <cell r="R1692" t="str">
            <v>Hyderabad</v>
          </cell>
          <cell r="S1692" t="str">
            <v>Tablet</v>
          </cell>
          <cell r="T1692" t="str">
            <v>learn data analytics</v>
          </cell>
        </row>
        <row r="1693">
          <cell r="A1693" t="str">
            <v>A2691</v>
          </cell>
          <cell r="B1693" t="str">
            <v>Data Analytics Course</v>
          </cell>
          <cell r="C1693">
            <v>115</v>
          </cell>
          <cell r="D1693">
            <v>115</v>
          </cell>
          <cell r="E1693">
            <v>4950</v>
          </cell>
          <cell r="F1693">
            <v>4950</v>
          </cell>
          <cell r="G1693" t="str">
            <v>$241.85</v>
          </cell>
          <cell r="H1693" t="str">
            <v>$241.85</v>
          </cell>
          <cell r="I1693">
            <v>19</v>
          </cell>
          <cell r="J1693">
            <v>19</v>
          </cell>
          <cell r="K1693">
            <v>9</v>
          </cell>
          <cell r="L1693">
            <v>9</v>
          </cell>
          <cell r="M1693">
            <v>7.8260869565217397E-2</v>
          </cell>
          <cell r="N1693">
            <v>7.8E-2</v>
          </cell>
          <cell r="O1693" t="str">
            <v>$1343</v>
          </cell>
          <cell r="P1693" t="str">
            <v>$1343</v>
          </cell>
          <cell r="Q1693">
            <v>45612</v>
          </cell>
          <cell r="R1693" t="str">
            <v>Hyderabad</v>
          </cell>
          <cell r="S1693" t="str">
            <v>Tablet</v>
          </cell>
          <cell r="T1693" t="str">
            <v>online data analytic</v>
          </cell>
        </row>
        <row r="1694">
          <cell r="A1694" t="str">
            <v>A2692</v>
          </cell>
          <cell r="B1694" t="str">
            <v>Data Analytics Course</v>
          </cell>
          <cell r="C1694">
            <v>104</v>
          </cell>
          <cell r="D1694">
            <v>104</v>
          </cell>
          <cell r="E1694">
            <v>3405</v>
          </cell>
          <cell r="F1694">
            <v>3405</v>
          </cell>
          <cell r="G1694" t="str">
            <v>$227.36</v>
          </cell>
          <cell r="H1694" t="str">
            <v>$227.36</v>
          </cell>
          <cell r="I1694">
            <v>28</v>
          </cell>
          <cell r="J1694">
            <v>28</v>
          </cell>
          <cell r="K1694">
            <v>8</v>
          </cell>
          <cell r="L1694">
            <v>8</v>
          </cell>
          <cell r="M1694">
            <v>7.6923076923076927E-2</v>
          </cell>
          <cell r="N1694">
            <v>0.05</v>
          </cell>
          <cell r="O1694" t="str">
            <v>$1970</v>
          </cell>
          <cell r="P1694" t="str">
            <v>$1970</v>
          </cell>
          <cell r="Q1694">
            <v>45623</v>
          </cell>
          <cell r="R1694" t="str">
            <v>Chennai</v>
          </cell>
          <cell r="S1694" t="str">
            <v>Mobile</v>
          </cell>
          <cell r="T1694" t="str">
            <v>data analytics course</v>
          </cell>
        </row>
        <row r="1695">
          <cell r="A1695" t="str">
            <v>A2693</v>
          </cell>
          <cell r="B1695" t="str">
            <v>Data Analytics Course</v>
          </cell>
          <cell r="C1695">
            <v>168</v>
          </cell>
          <cell r="D1695">
            <v>168</v>
          </cell>
          <cell r="E1695">
            <v>4523.2808326787117</v>
          </cell>
          <cell r="G1695" t="str">
            <v>$196.79</v>
          </cell>
          <cell r="H1695" t="str">
            <v>$196.79</v>
          </cell>
          <cell r="I1695">
            <v>22</v>
          </cell>
          <cell r="J1695">
            <v>22</v>
          </cell>
          <cell r="K1695">
            <v>8</v>
          </cell>
          <cell r="L1695">
            <v>8</v>
          </cell>
          <cell r="M1695">
            <v>4.7619047619047616E-2</v>
          </cell>
          <cell r="N1695">
            <v>5.0999999999999997E-2</v>
          </cell>
          <cell r="O1695" t="str">
            <v>$1666</v>
          </cell>
          <cell r="P1695" t="str">
            <v>$1666</v>
          </cell>
          <cell r="Q1695">
            <v>45619</v>
          </cell>
          <cell r="R1695" t="str">
            <v>Bangaluru</v>
          </cell>
          <cell r="S1695" t="str">
            <v>Tablet</v>
          </cell>
          <cell r="T1695" t="str">
            <v>learn data analytics</v>
          </cell>
        </row>
        <row r="1696">
          <cell r="A1696" t="str">
            <v>A2694</v>
          </cell>
          <cell r="B1696" t="str">
            <v>Data Analytics Course</v>
          </cell>
          <cell r="C1696">
            <v>146</v>
          </cell>
          <cell r="D1696">
            <v>146</v>
          </cell>
          <cell r="E1696">
            <v>4624</v>
          </cell>
          <cell r="F1696">
            <v>4624</v>
          </cell>
          <cell r="G1696" t="str">
            <v>$212.67</v>
          </cell>
          <cell r="H1696" t="str">
            <v>$212.67</v>
          </cell>
          <cell r="I1696">
            <v>19</v>
          </cell>
          <cell r="J1696">
            <v>19</v>
          </cell>
          <cell r="K1696">
            <v>9</v>
          </cell>
          <cell r="L1696">
            <v>9</v>
          </cell>
          <cell r="M1696">
            <v>6.1643835616438353E-2</v>
          </cell>
          <cell r="O1696" t="str">
            <v>$1513</v>
          </cell>
          <cell r="P1696" t="str">
            <v>$1513</v>
          </cell>
          <cell r="Q1696">
            <v>45605</v>
          </cell>
          <cell r="R1696" t="str">
            <v>Bangaluru</v>
          </cell>
          <cell r="S1696" t="str">
            <v>Mobile</v>
          </cell>
          <cell r="T1696" t="str">
            <v>data analytics course</v>
          </cell>
        </row>
        <row r="1697">
          <cell r="A1697" t="str">
            <v>A2695</v>
          </cell>
          <cell r="B1697" t="str">
            <v>Data Analytics Course</v>
          </cell>
          <cell r="C1697">
            <v>82</v>
          </cell>
          <cell r="D1697">
            <v>82</v>
          </cell>
          <cell r="E1697">
            <v>5241</v>
          </cell>
          <cell r="F1697">
            <v>5241</v>
          </cell>
          <cell r="G1697" t="str">
            <v>$191.23</v>
          </cell>
          <cell r="H1697" t="str">
            <v>$191.23</v>
          </cell>
          <cell r="I1697">
            <v>28</v>
          </cell>
          <cell r="J1697">
            <v>28</v>
          </cell>
          <cell r="K1697">
            <v>9</v>
          </cell>
          <cell r="L1697">
            <v>9</v>
          </cell>
          <cell r="M1697">
            <v>0.10975609756097561</v>
          </cell>
          <cell r="N1697">
            <v>0.11</v>
          </cell>
          <cell r="O1697" t="str">
            <v>$1369</v>
          </cell>
          <cell r="P1697" t="str">
            <v>$1369</v>
          </cell>
          <cell r="Q1697">
            <v>45599</v>
          </cell>
          <cell r="R1697" t="str">
            <v>Chennai</v>
          </cell>
          <cell r="S1697" t="str">
            <v>Desktop</v>
          </cell>
          <cell r="T1697" t="str">
            <v>data analytics course</v>
          </cell>
        </row>
        <row r="1698">
          <cell r="A1698" t="str">
            <v>A2696</v>
          </cell>
          <cell r="B1698" t="str">
            <v>Data Analytics Course</v>
          </cell>
          <cell r="C1698">
            <v>138.95699356913184</v>
          </cell>
          <cell r="E1698">
            <v>5947</v>
          </cell>
          <cell r="F1698">
            <v>5947</v>
          </cell>
          <cell r="G1698" t="str">
            <v>$206.33</v>
          </cell>
          <cell r="H1698" t="str">
            <v>$206.33</v>
          </cell>
          <cell r="I1698">
            <v>14</v>
          </cell>
          <cell r="J1698">
            <v>14</v>
          </cell>
          <cell r="K1698">
            <v>9</v>
          </cell>
          <cell r="L1698">
            <v>9</v>
          </cell>
          <cell r="M1698">
            <v>6.4768240653698753E-2</v>
          </cell>
          <cell r="N1698">
            <v>4.7E-2</v>
          </cell>
          <cell r="O1698" t="str">
            <v>$1188</v>
          </cell>
          <cell r="P1698" t="str">
            <v>$1188</v>
          </cell>
          <cell r="Q1698">
            <v>45620</v>
          </cell>
          <cell r="R1698" t="str">
            <v>Chennai</v>
          </cell>
          <cell r="S1698" t="str">
            <v>Tablet</v>
          </cell>
          <cell r="T1698" t="str">
            <v>analytics for data</v>
          </cell>
        </row>
        <row r="1699">
          <cell r="A1699" t="str">
            <v>A2697</v>
          </cell>
          <cell r="B1699" t="str">
            <v>Data Analytics Course</v>
          </cell>
          <cell r="C1699">
            <v>142</v>
          </cell>
          <cell r="D1699">
            <v>142</v>
          </cell>
          <cell r="E1699">
            <v>3246</v>
          </cell>
          <cell r="F1699">
            <v>3246</v>
          </cell>
          <cell r="G1699" t="str">
            <v>$249.27</v>
          </cell>
          <cell r="H1699" t="str">
            <v>$249.27</v>
          </cell>
          <cell r="I1699">
            <v>11</v>
          </cell>
          <cell r="J1699">
            <v>11</v>
          </cell>
          <cell r="K1699">
            <v>8</v>
          </cell>
          <cell r="L1699">
            <v>8</v>
          </cell>
          <cell r="M1699">
            <v>5.6338028169014086E-2</v>
          </cell>
          <cell r="O1699" t="str">
            <v>$1667</v>
          </cell>
          <cell r="P1699" t="str">
            <v>$1667</v>
          </cell>
          <cell r="Q1699">
            <v>45601</v>
          </cell>
          <cell r="R1699" t="str">
            <v>Chennai</v>
          </cell>
          <cell r="S1699" t="str">
            <v>Mobile</v>
          </cell>
          <cell r="T1699" t="str">
            <v>data analytics online</v>
          </cell>
        </row>
        <row r="1700">
          <cell r="A1700" t="str">
            <v>A2698</v>
          </cell>
          <cell r="B1700" t="str">
            <v>Data Analytics Course</v>
          </cell>
          <cell r="C1700">
            <v>198</v>
          </cell>
          <cell r="D1700">
            <v>198</v>
          </cell>
          <cell r="E1700">
            <v>5858</v>
          </cell>
          <cell r="F1700">
            <v>5858</v>
          </cell>
          <cell r="G1700" t="str">
            <v>$232.94</v>
          </cell>
          <cell r="H1700" t="str">
            <v>$232.94</v>
          </cell>
          <cell r="I1700">
            <v>17</v>
          </cell>
          <cell r="J1700">
            <v>17</v>
          </cell>
          <cell r="K1700">
            <v>8</v>
          </cell>
          <cell r="L1700">
            <v>8</v>
          </cell>
          <cell r="M1700">
            <v>4.0404040404040407E-2</v>
          </cell>
          <cell r="N1700">
            <v>0.04</v>
          </cell>
          <cell r="O1700" t="str">
            <v>$1903</v>
          </cell>
          <cell r="P1700" t="str">
            <v>$1903</v>
          </cell>
          <cell r="Q1700">
            <v>45618</v>
          </cell>
          <cell r="R1700" t="str">
            <v>Hyderabad</v>
          </cell>
          <cell r="S1700" t="str">
            <v>Desktop</v>
          </cell>
          <cell r="T1700" t="str">
            <v>analytics for data</v>
          </cell>
        </row>
        <row r="1701">
          <cell r="A1701" t="str">
            <v>A2699</v>
          </cell>
          <cell r="B1701" t="str">
            <v>Data Analytcis Course</v>
          </cell>
          <cell r="C1701">
            <v>119</v>
          </cell>
          <cell r="D1701">
            <v>119</v>
          </cell>
          <cell r="E1701">
            <v>5159</v>
          </cell>
          <cell r="F1701">
            <v>5159</v>
          </cell>
          <cell r="G1701" t="str">
            <v>$227.36</v>
          </cell>
          <cell r="H1701" t="str">
            <v>$227.36</v>
          </cell>
          <cell r="I1701">
            <v>22</v>
          </cell>
          <cell r="J1701">
            <v>22</v>
          </cell>
          <cell r="K1701">
            <v>10</v>
          </cell>
          <cell r="L1701">
            <v>10</v>
          </cell>
          <cell r="M1701">
            <v>8.4033613445378158E-2</v>
          </cell>
          <cell r="N1701">
            <v>8.4000000000000005E-2</v>
          </cell>
          <cell r="O1701" t="str">
            <v>$1448</v>
          </cell>
          <cell r="P1701" t="str">
            <v>$1448</v>
          </cell>
          <cell r="Q1701">
            <v>45612</v>
          </cell>
          <cell r="R1701" t="str">
            <v>Bangaluru</v>
          </cell>
          <cell r="S1701" t="str">
            <v>Mobile</v>
          </cell>
          <cell r="T1701" t="str">
            <v>data analytics training</v>
          </cell>
        </row>
        <row r="1702">
          <cell r="A1702" t="str">
            <v>A2700</v>
          </cell>
          <cell r="B1702" t="str">
            <v>Data Analytics Course</v>
          </cell>
          <cell r="C1702">
            <v>109</v>
          </cell>
          <cell r="D1702">
            <v>109</v>
          </cell>
          <cell r="E1702">
            <v>4002</v>
          </cell>
          <cell r="F1702">
            <v>4002</v>
          </cell>
          <cell r="G1702" t="str">
            <v>$203.96</v>
          </cell>
          <cell r="H1702" t="str">
            <v>$203.96</v>
          </cell>
          <cell r="I1702">
            <v>14</v>
          </cell>
          <cell r="J1702">
            <v>14</v>
          </cell>
          <cell r="K1702">
            <v>3</v>
          </cell>
          <cell r="L1702">
            <v>3</v>
          </cell>
          <cell r="M1702">
            <v>2.7522935779816515E-2</v>
          </cell>
          <cell r="O1702" t="str">
            <v>$1430</v>
          </cell>
          <cell r="P1702" t="str">
            <v>$1430</v>
          </cell>
          <cell r="Q1702">
            <v>45598</v>
          </cell>
          <cell r="R1702" t="str">
            <v>Chennai</v>
          </cell>
          <cell r="S1702" t="str">
            <v>Mobile</v>
          </cell>
          <cell r="T1702" t="str">
            <v>data analytics course</v>
          </cell>
        </row>
        <row r="1703">
          <cell r="A1703" t="str">
            <v>A2701</v>
          </cell>
          <cell r="B1703" t="str">
            <v>Data Analytics Course</v>
          </cell>
          <cell r="C1703">
            <v>87</v>
          </cell>
          <cell r="D1703">
            <v>87</v>
          </cell>
          <cell r="E1703">
            <v>3068</v>
          </cell>
          <cell r="F1703">
            <v>3068</v>
          </cell>
          <cell r="G1703" t="str">
            <v>$243.15</v>
          </cell>
          <cell r="H1703" t="str">
            <v>$243.15</v>
          </cell>
          <cell r="I1703">
            <v>11</v>
          </cell>
          <cell r="J1703">
            <v>11</v>
          </cell>
          <cell r="K1703">
            <v>6</v>
          </cell>
          <cell r="L1703">
            <v>6</v>
          </cell>
          <cell r="M1703">
            <v>6.8965517241379309E-2</v>
          </cell>
          <cell r="N1703">
            <v>6.9000000000000006E-2</v>
          </cell>
          <cell r="O1703" t="str">
            <v>$1356</v>
          </cell>
          <cell r="P1703" t="str">
            <v>$1356</v>
          </cell>
          <cell r="Q1703">
            <v>45619</v>
          </cell>
          <cell r="R1703" t="str">
            <v>Hyderabad</v>
          </cell>
          <cell r="S1703" t="str">
            <v>Tablet</v>
          </cell>
          <cell r="T1703" t="str">
            <v>online data analytic</v>
          </cell>
        </row>
        <row r="1704">
          <cell r="A1704" t="str">
            <v>A2702</v>
          </cell>
          <cell r="B1704" t="str">
            <v>Data Analytcis Course</v>
          </cell>
          <cell r="C1704">
            <v>110</v>
          </cell>
          <cell r="D1704">
            <v>110</v>
          </cell>
          <cell r="E1704">
            <v>4907</v>
          </cell>
          <cell r="F1704">
            <v>4907</v>
          </cell>
          <cell r="G1704" t="str">
            <v>$247.48</v>
          </cell>
          <cell r="H1704" t="str">
            <v>$247.48</v>
          </cell>
          <cell r="I1704">
            <v>12</v>
          </cell>
          <cell r="J1704">
            <v>12</v>
          </cell>
          <cell r="K1704">
            <v>10</v>
          </cell>
          <cell r="L1704">
            <v>10</v>
          </cell>
          <cell r="M1704">
            <v>9.0909090909090912E-2</v>
          </cell>
          <cell r="N1704">
            <v>9.0999999999999998E-2</v>
          </cell>
          <cell r="O1704" t="str">
            <v>$1205</v>
          </cell>
          <cell r="P1704" t="str">
            <v>$1205</v>
          </cell>
          <cell r="Q1704">
            <v>45622</v>
          </cell>
          <cell r="R1704" t="str">
            <v>Chennai</v>
          </cell>
          <cell r="S1704" t="str">
            <v>Desktop</v>
          </cell>
          <cell r="T1704" t="str">
            <v>data analytics training</v>
          </cell>
        </row>
        <row r="1705">
          <cell r="A1705" t="str">
            <v>A2703</v>
          </cell>
          <cell r="B1705" t="str">
            <v>Data Analytcis Course</v>
          </cell>
          <cell r="C1705">
            <v>92</v>
          </cell>
          <cell r="D1705">
            <v>92</v>
          </cell>
          <cell r="E1705">
            <v>5680</v>
          </cell>
          <cell r="F1705">
            <v>5680</v>
          </cell>
          <cell r="G1705" t="str">
            <v>$224.6</v>
          </cell>
          <cell r="H1705" t="str">
            <v>$224.6</v>
          </cell>
          <cell r="I1705">
            <v>15</v>
          </cell>
          <cell r="J1705">
            <v>15</v>
          </cell>
          <cell r="K1705">
            <v>7</v>
          </cell>
          <cell r="L1705">
            <v>7</v>
          </cell>
          <cell r="M1705">
            <v>7.6086956521739135E-2</v>
          </cell>
          <cell r="N1705">
            <v>7.5999999999999998E-2</v>
          </cell>
          <cell r="O1705" t="str">
            <v>$1500</v>
          </cell>
          <cell r="Q1705">
            <v>45622</v>
          </cell>
          <cell r="R1705" t="str">
            <v>Chennai</v>
          </cell>
          <cell r="S1705" t="str">
            <v>Desktop</v>
          </cell>
          <cell r="T1705" t="str">
            <v>online data analytic</v>
          </cell>
        </row>
        <row r="1706">
          <cell r="A1706" t="str">
            <v>A2704</v>
          </cell>
          <cell r="B1706" t="str">
            <v>Data Analytcis Course</v>
          </cell>
          <cell r="C1706">
            <v>85</v>
          </cell>
          <cell r="D1706">
            <v>85</v>
          </cell>
          <cell r="E1706">
            <v>3909</v>
          </cell>
          <cell r="F1706">
            <v>3909</v>
          </cell>
          <cell r="G1706" t="str">
            <v>$189.9</v>
          </cell>
          <cell r="H1706" t="str">
            <v>$189.9</v>
          </cell>
          <cell r="I1706">
            <v>12</v>
          </cell>
          <cell r="J1706">
            <v>12</v>
          </cell>
          <cell r="K1706">
            <v>3</v>
          </cell>
          <cell r="L1706">
            <v>3</v>
          </cell>
          <cell r="M1706">
            <v>3.5294117647058823E-2</v>
          </cell>
          <cell r="N1706">
            <v>3.5000000000000003E-2</v>
          </cell>
          <cell r="O1706" t="str">
            <v>$1216</v>
          </cell>
          <cell r="P1706" t="str">
            <v>$1216</v>
          </cell>
          <cell r="Q1706">
            <v>45610</v>
          </cell>
          <cell r="R1706" t="str">
            <v>Hyderabad</v>
          </cell>
          <cell r="S1706" t="str">
            <v>Tablet</v>
          </cell>
          <cell r="T1706" t="str">
            <v>online data analytic</v>
          </cell>
        </row>
        <row r="1707">
          <cell r="A1707" t="str">
            <v>A2705</v>
          </cell>
          <cell r="B1707" t="str">
            <v>Data Analytics Course</v>
          </cell>
          <cell r="C1707">
            <v>199</v>
          </cell>
          <cell r="D1707">
            <v>199</v>
          </cell>
          <cell r="E1707">
            <v>3060</v>
          </cell>
          <cell r="F1707">
            <v>3060</v>
          </cell>
          <cell r="G1707" t="str">
            <v>$237.3</v>
          </cell>
          <cell r="H1707" t="str">
            <v>$237.3</v>
          </cell>
          <cell r="I1707">
            <v>19</v>
          </cell>
          <cell r="J1707">
            <v>19</v>
          </cell>
          <cell r="K1707">
            <v>9</v>
          </cell>
          <cell r="L1707">
            <v>9</v>
          </cell>
          <cell r="M1707">
            <v>4.5226130653266333E-2</v>
          </cell>
          <cell r="N1707">
            <v>4.4999999999999998E-2</v>
          </cell>
          <cell r="O1707" t="str">
            <v>$1527</v>
          </cell>
          <cell r="P1707" t="str">
            <v>$1527</v>
          </cell>
          <cell r="Q1707">
            <v>45600</v>
          </cell>
          <cell r="R1707" t="str">
            <v>Hyderabad</v>
          </cell>
          <cell r="S1707" t="str">
            <v>Mobile</v>
          </cell>
          <cell r="T1707" t="str">
            <v>data analytics online</v>
          </cell>
        </row>
        <row r="1708">
          <cell r="A1708" t="str">
            <v>A2706</v>
          </cell>
          <cell r="B1708" t="str">
            <v>Data Analytics Course</v>
          </cell>
          <cell r="C1708">
            <v>148</v>
          </cell>
          <cell r="D1708">
            <v>148</v>
          </cell>
          <cell r="E1708">
            <v>4558</v>
          </cell>
          <cell r="F1708">
            <v>4558</v>
          </cell>
          <cell r="G1708" t="str">
            <v>$249.74</v>
          </cell>
          <cell r="H1708" t="str">
            <v>$249.74</v>
          </cell>
          <cell r="I1708">
            <v>18</v>
          </cell>
          <cell r="J1708">
            <v>18</v>
          </cell>
          <cell r="K1708">
            <v>8</v>
          </cell>
          <cell r="L1708">
            <v>8</v>
          </cell>
          <cell r="M1708">
            <v>5.4054054054054057E-2</v>
          </cell>
          <cell r="N1708">
            <v>5.3999999999999999E-2</v>
          </cell>
          <cell r="O1708" t="str">
            <v>$1554</v>
          </cell>
          <cell r="P1708" t="str">
            <v>$1554</v>
          </cell>
          <cell r="Q1708">
            <v>45597</v>
          </cell>
          <cell r="R1708" t="str">
            <v>Chennai</v>
          </cell>
          <cell r="S1708" t="str">
            <v>Desktop</v>
          </cell>
          <cell r="T1708" t="str">
            <v>data analytics course</v>
          </cell>
        </row>
        <row r="1709">
          <cell r="A1709" t="str">
            <v>A2707</v>
          </cell>
          <cell r="B1709" t="str">
            <v>Data Analytcis Course</v>
          </cell>
          <cell r="C1709">
            <v>173</v>
          </cell>
          <cell r="D1709">
            <v>173</v>
          </cell>
          <cell r="E1709">
            <v>5992</v>
          </cell>
          <cell r="F1709">
            <v>5992</v>
          </cell>
          <cell r="G1709" t="str">
            <v>$230.26</v>
          </cell>
          <cell r="H1709" t="str">
            <v>$230.26</v>
          </cell>
          <cell r="I1709">
            <v>11</v>
          </cell>
          <cell r="J1709">
            <v>11</v>
          </cell>
          <cell r="K1709">
            <v>5</v>
          </cell>
          <cell r="L1709">
            <v>5</v>
          </cell>
          <cell r="M1709">
            <v>2.8901734104046242E-2</v>
          </cell>
          <cell r="N1709">
            <v>2.9000000000000001E-2</v>
          </cell>
          <cell r="O1709" t="str">
            <v>$1683</v>
          </cell>
          <cell r="P1709" t="str">
            <v>$1683</v>
          </cell>
          <cell r="Q1709">
            <v>45604</v>
          </cell>
          <cell r="R1709" t="str">
            <v>Chennai</v>
          </cell>
          <cell r="S1709" t="str">
            <v>Mobile</v>
          </cell>
          <cell r="T1709" t="str">
            <v>data analytics training</v>
          </cell>
        </row>
        <row r="1710">
          <cell r="A1710" t="str">
            <v>A2708</v>
          </cell>
          <cell r="B1710" t="str">
            <v>Data Analytics Course</v>
          </cell>
          <cell r="C1710">
            <v>84</v>
          </cell>
          <cell r="D1710">
            <v>84</v>
          </cell>
          <cell r="E1710">
            <v>5069</v>
          </cell>
          <cell r="F1710">
            <v>5069</v>
          </cell>
          <cell r="G1710" t="str">
            <v>$192.08</v>
          </cell>
          <cell r="H1710" t="str">
            <v>$192.08</v>
          </cell>
          <cell r="I1710">
            <v>25</v>
          </cell>
          <cell r="J1710">
            <v>25</v>
          </cell>
          <cell r="K1710">
            <v>3</v>
          </cell>
          <cell r="L1710">
            <v>3</v>
          </cell>
          <cell r="M1710">
            <v>3.5714285714285712E-2</v>
          </cell>
          <cell r="N1710">
            <v>3.5999999999999997E-2</v>
          </cell>
          <cell r="O1710" t="str">
            <v>$1738</v>
          </cell>
          <cell r="P1710" t="str">
            <v>$1738</v>
          </cell>
          <cell r="Q1710">
            <v>45607</v>
          </cell>
          <cell r="R1710" t="str">
            <v>Chennai</v>
          </cell>
          <cell r="S1710" t="str">
            <v>Desktop</v>
          </cell>
          <cell r="T1710" t="str">
            <v>online data analytic</v>
          </cell>
        </row>
        <row r="1711">
          <cell r="A1711" t="str">
            <v>A2709</v>
          </cell>
          <cell r="B1711" t="str">
            <v>Data Analytics Course</v>
          </cell>
          <cell r="C1711">
            <v>82</v>
          </cell>
          <cell r="D1711">
            <v>82</v>
          </cell>
          <cell r="E1711">
            <v>4340</v>
          </cell>
          <cell r="F1711">
            <v>4340</v>
          </cell>
          <cell r="G1711" t="str">
            <v>$186.61</v>
          </cell>
          <cell r="H1711" t="str">
            <v>$186.61</v>
          </cell>
          <cell r="I1711">
            <v>17</v>
          </cell>
          <cell r="J1711">
            <v>17</v>
          </cell>
          <cell r="K1711">
            <v>3</v>
          </cell>
          <cell r="L1711">
            <v>3</v>
          </cell>
          <cell r="M1711">
            <v>3.6585365853658534E-2</v>
          </cell>
          <cell r="N1711">
            <v>3.6999999999999998E-2</v>
          </cell>
          <cell r="O1711" t="str">
            <v>$1092</v>
          </cell>
          <cell r="P1711" t="str">
            <v>$1092</v>
          </cell>
          <cell r="Q1711">
            <v>45603</v>
          </cell>
          <cell r="R1711" t="str">
            <v>Hyderabad</v>
          </cell>
          <cell r="S1711" t="str">
            <v>Desktop</v>
          </cell>
          <cell r="T1711" t="str">
            <v>data analytics training</v>
          </cell>
        </row>
        <row r="1712">
          <cell r="A1712" t="str">
            <v>A2710</v>
          </cell>
          <cell r="B1712" t="str">
            <v>Data Analytics Course</v>
          </cell>
          <cell r="C1712">
            <v>147</v>
          </cell>
          <cell r="D1712">
            <v>147</v>
          </cell>
          <cell r="E1712">
            <v>5139</v>
          </cell>
          <cell r="F1712">
            <v>5139</v>
          </cell>
          <cell r="G1712" t="str">
            <v>$245.93</v>
          </cell>
          <cell r="H1712" t="str">
            <v>$245.93</v>
          </cell>
          <cell r="I1712">
            <v>29</v>
          </cell>
          <cell r="J1712">
            <v>29</v>
          </cell>
          <cell r="K1712">
            <v>8</v>
          </cell>
          <cell r="L1712">
            <v>8</v>
          </cell>
          <cell r="M1712">
            <v>5.4421768707482991E-2</v>
          </cell>
          <cell r="N1712">
            <v>3.3000000000000002E-2</v>
          </cell>
          <cell r="O1712" t="str">
            <v>$1853</v>
          </cell>
          <cell r="P1712" t="str">
            <v>$1853</v>
          </cell>
          <cell r="Q1712">
            <v>45606</v>
          </cell>
          <cell r="R1712" t="str">
            <v>Bangaluru</v>
          </cell>
          <cell r="S1712" t="str">
            <v>Mobile</v>
          </cell>
          <cell r="T1712" t="str">
            <v>data analytics course</v>
          </cell>
        </row>
        <row r="1713">
          <cell r="A1713" t="str">
            <v>A2711</v>
          </cell>
          <cell r="B1713" t="str">
            <v>Data Analytcis Course</v>
          </cell>
          <cell r="C1713">
            <v>186</v>
          </cell>
          <cell r="D1713">
            <v>186</v>
          </cell>
          <cell r="E1713">
            <v>4679</v>
          </cell>
          <cell r="F1713">
            <v>4679</v>
          </cell>
          <cell r="G1713" t="str">
            <v>$241.7</v>
          </cell>
          <cell r="H1713" t="str">
            <v>$241.7</v>
          </cell>
          <cell r="I1713">
            <v>19</v>
          </cell>
          <cell r="J1713">
            <v>19</v>
          </cell>
          <cell r="K1713">
            <v>9</v>
          </cell>
          <cell r="L1713">
            <v>9</v>
          </cell>
          <cell r="M1713">
            <v>4.8387096774193547E-2</v>
          </cell>
          <cell r="O1713" t="str">
            <v>$1333</v>
          </cell>
          <cell r="P1713" t="str">
            <v>$1333</v>
          </cell>
          <cell r="Q1713">
            <v>45603</v>
          </cell>
          <cell r="R1713" t="str">
            <v>Chennai</v>
          </cell>
          <cell r="S1713" t="str">
            <v>Tablet</v>
          </cell>
          <cell r="T1713" t="str">
            <v>online data analytic</v>
          </cell>
        </row>
        <row r="1714">
          <cell r="A1714" t="str">
            <v>A2712</v>
          </cell>
          <cell r="B1714" t="str">
            <v>Data Analytics Course</v>
          </cell>
          <cell r="C1714">
            <v>143</v>
          </cell>
          <cell r="D1714">
            <v>143</v>
          </cell>
          <cell r="E1714">
            <v>4232</v>
          </cell>
          <cell r="F1714">
            <v>4232</v>
          </cell>
          <cell r="G1714" t="str">
            <v>$207.76</v>
          </cell>
          <cell r="H1714" t="str">
            <v>$207.76</v>
          </cell>
          <cell r="I1714">
            <v>30</v>
          </cell>
          <cell r="J1714">
            <v>30</v>
          </cell>
          <cell r="K1714">
            <v>8</v>
          </cell>
          <cell r="L1714">
            <v>8</v>
          </cell>
          <cell r="M1714">
            <v>5.5944055944055944E-2</v>
          </cell>
          <cell r="O1714" t="str">
            <v>$1644</v>
          </cell>
          <cell r="P1714" t="str">
            <v>$1644</v>
          </cell>
          <cell r="Q1714">
            <v>45614</v>
          </cell>
          <cell r="R1714" t="str">
            <v>Hyderabad</v>
          </cell>
          <cell r="S1714" t="str">
            <v>Tablet</v>
          </cell>
          <cell r="T1714" t="str">
            <v>data analytics online</v>
          </cell>
        </row>
        <row r="1715">
          <cell r="A1715" t="str">
            <v>A2713</v>
          </cell>
          <cell r="B1715" t="str">
            <v>Data Analytcis Course</v>
          </cell>
          <cell r="C1715">
            <v>133</v>
          </cell>
          <cell r="D1715">
            <v>133</v>
          </cell>
          <cell r="E1715">
            <v>5580</v>
          </cell>
          <cell r="F1715">
            <v>5580</v>
          </cell>
          <cell r="G1715" t="str">
            <v>$248.11</v>
          </cell>
          <cell r="H1715" t="str">
            <v>$248.11</v>
          </cell>
          <cell r="I1715">
            <v>17</v>
          </cell>
          <cell r="J1715">
            <v>17</v>
          </cell>
          <cell r="K1715">
            <v>5</v>
          </cell>
          <cell r="L1715">
            <v>5</v>
          </cell>
          <cell r="M1715">
            <v>3.7593984962406013E-2</v>
          </cell>
          <cell r="N1715">
            <v>3.7999999999999999E-2</v>
          </cell>
          <cell r="O1715" t="str">
            <v>$1111</v>
          </cell>
          <cell r="P1715" t="str">
            <v>$1111</v>
          </cell>
          <cell r="Q1715">
            <v>45622</v>
          </cell>
          <cell r="R1715" t="str">
            <v>Chennai</v>
          </cell>
          <cell r="S1715" t="str">
            <v>Tablet</v>
          </cell>
          <cell r="T1715" t="str">
            <v>data analytics course</v>
          </cell>
        </row>
        <row r="1716">
          <cell r="A1716" t="str">
            <v>A2714</v>
          </cell>
          <cell r="B1716" t="str">
            <v>Data Analytics Course</v>
          </cell>
          <cell r="C1716">
            <v>187</v>
          </cell>
          <cell r="D1716">
            <v>187</v>
          </cell>
          <cell r="E1716">
            <v>3972</v>
          </cell>
          <cell r="F1716">
            <v>3972</v>
          </cell>
          <cell r="G1716" t="str">
            <v>$226.62</v>
          </cell>
          <cell r="H1716" t="str">
            <v>$226.62</v>
          </cell>
          <cell r="I1716">
            <v>24</v>
          </cell>
          <cell r="J1716">
            <v>24</v>
          </cell>
          <cell r="K1716">
            <v>7</v>
          </cell>
          <cell r="L1716">
            <v>7</v>
          </cell>
          <cell r="M1716">
            <v>3.7433155080213901E-2</v>
          </cell>
          <cell r="N1716">
            <v>3.6999999999999998E-2</v>
          </cell>
          <cell r="O1716" t="str">
            <v>$1011</v>
          </cell>
          <cell r="P1716" t="str">
            <v>$1011</v>
          </cell>
          <cell r="Q1716">
            <v>45600</v>
          </cell>
          <cell r="R1716" t="str">
            <v>Chennai</v>
          </cell>
          <cell r="S1716" t="str">
            <v>Desktop</v>
          </cell>
          <cell r="T1716" t="str">
            <v>data analytics training</v>
          </cell>
        </row>
        <row r="1717">
          <cell r="A1717" t="str">
            <v>A2715</v>
          </cell>
          <cell r="B1717" t="str">
            <v>Data Analytics Course</v>
          </cell>
          <cell r="C1717">
            <v>121</v>
          </cell>
          <cell r="D1717">
            <v>121</v>
          </cell>
          <cell r="E1717">
            <v>5205</v>
          </cell>
          <cell r="F1717">
            <v>5205</v>
          </cell>
          <cell r="G1717" t="str">
            <v>$181.81</v>
          </cell>
          <cell r="H1717" t="str">
            <v>$181.81</v>
          </cell>
          <cell r="I1717">
            <v>24</v>
          </cell>
          <cell r="J1717">
            <v>24</v>
          </cell>
          <cell r="K1717">
            <v>5</v>
          </cell>
          <cell r="L1717">
            <v>5</v>
          </cell>
          <cell r="M1717">
            <v>4.1322314049586778E-2</v>
          </cell>
          <cell r="N1717">
            <v>3.6999999999999998E-2</v>
          </cell>
          <cell r="O1717" t="str">
            <v>$1555</v>
          </cell>
          <cell r="P1717" t="str">
            <v>$1555</v>
          </cell>
          <cell r="Q1717">
            <v>45604</v>
          </cell>
          <cell r="R1717" t="str">
            <v>Hyderabad</v>
          </cell>
          <cell r="S1717" t="str">
            <v>Tablet</v>
          </cell>
          <cell r="T1717" t="str">
            <v>data analytics online</v>
          </cell>
        </row>
        <row r="1718">
          <cell r="A1718" t="str">
            <v>A2716</v>
          </cell>
          <cell r="B1718" t="str">
            <v>Data Analytics Course</v>
          </cell>
          <cell r="C1718">
            <v>188</v>
          </cell>
          <cell r="D1718">
            <v>188</v>
          </cell>
          <cell r="E1718">
            <v>4521</v>
          </cell>
          <cell r="F1718">
            <v>4521</v>
          </cell>
          <cell r="G1718" t="str">
            <v>$214.58</v>
          </cell>
          <cell r="H1718" t="str">
            <v>$214.58</v>
          </cell>
          <cell r="I1718">
            <v>24</v>
          </cell>
          <cell r="J1718">
            <v>24</v>
          </cell>
          <cell r="K1718">
            <v>3</v>
          </cell>
          <cell r="L1718">
            <v>3</v>
          </cell>
          <cell r="M1718">
            <v>1.5957446808510637E-2</v>
          </cell>
          <cell r="N1718">
            <v>1.6E-2</v>
          </cell>
          <cell r="O1718" t="str">
            <v>$1855</v>
          </cell>
          <cell r="P1718" t="str">
            <v>$1855</v>
          </cell>
          <cell r="Q1718">
            <v>45615</v>
          </cell>
          <cell r="R1718" t="str">
            <v>Bangaluru</v>
          </cell>
          <cell r="S1718" t="str">
            <v>Tablet</v>
          </cell>
          <cell r="T1718" t="str">
            <v>data analytics course</v>
          </cell>
        </row>
        <row r="1719">
          <cell r="A1719" t="str">
            <v>A2717</v>
          </cell>
          <cell r="B1719" t="str">
            <v>Data Analytics Course</v>
          </cell>
          <cell r="C1719">
            <v>115</v>
          </cell>
          <cell r="D1719">
            <v>115</v>
          </cell>
          <cell r="E1719">
            <v>3924</v>
          </cell>
          <cell r="F1719">
            <v>3924</v>
          </cell>
          <cell r="G1719" t="str">
            <v>$214.52</v>
          </cell>
          <cell r="H1719" t="str">
            <v>$214.52</v>
          </cell>
          <cell r="I1719">
            <v>16</v>
          </cell>
          <cell r="J1719">
            <v>16</v>
          </cell>
          <cell r="K1719">
            <v>7</v>
          </cell>
          <cell r="L1719">
            <v>7</v>
          </cell>
          <cell r="M1719">
            <v>6.0869565217391307E-2</v>
          </cell>
          <cell r="N1719">
            <v>0.04</v>
          </cell>
          <cell r="O1719" t="str">
            <v>$1312</v>
          </cell>
          <cell r="P1719" t="str">
            <v>$1312</v>
          </cell>
          <cell r="Q1719">
            <v>45600</v>
          </cell>
          <cell r="R1719" t="str">
            <v>Chennai</v>
          </cell>
          <cell r="S1719" t="str">
            <v>Desktop</v>
          </cell>
          <cell r="T1719" t="str">
            <v>online data analytic</v>
          </cell>
        </row>
        <row r="1720">
          <cell r="A1720" t="str">
            <v>A2718</v>
          </cell>
          <cell r="B1720" t="str">
            <v>Data Analytics Course</v>
          </cell>
          <cell r="C1720">
            <v>138.95699356913184</v>
          </cell>
          <cell r="E1720">
            <v>3319</v>
          </cell>
          <cell r="F1720">
            <v>3319</v>
          </cell>
          <cell r="G1720" t="str">
            <v>$230.39</v>
          </cell>
          <cell r="H1720" t="str">
            <v>$230.39</v>
          </cell>
          <cell r="I1720">
            <v>28</v>
          </cell>
          <cell r="J1720">
            <v>28</v>
          </cell>
          <cell r="K1720">
            <v>4</v>
          </cell>
          <cell r="L1720">
            <v>4</v>
          </cell>
          <cell r="M1720">
            <v>2.8785884734977219E-2</v>
          </cell>
          <cell r="O1720" t="str">
            <v>$1533</v>
          </cell>
          <cell r="P1720" t="str">
            <v>$1533</v>
          </cell>
          <cell r="Q1720">
            <v>45615</v>
          </cell>
          <cell r="R1720" t="str">
            <v>Chennai</v>
          </cell>
          <cell r="S1720" t="str">
            <v>Tablet</v>
          </cell>
          <cell r="T1720" t="str">
            <v>analytics for data</v>
          </cell>
        </row>
        <row r="1721">
          <cell r="A1721" t="str">
            <v>A2719</v>
          </cell>
          <cell r="B1721" t="str">
            <v>Data Analytics Course</v>
          </cell>
          <cell r="C1721">
            <v>190</v>
          </cell>
          <cell r="D1721">
            <v>190</v>
          </cell>
          <cell r="E1721">
            <v>5141</v>
          </cell>
          <cell r="F1721">
            <v>5141</v>
          </cell>
          <cell r="G1721" t="str">
            <v>$225.14</v>
          </cell>
          <cell r="H1721" t="str">
            <v>$225.14</v>
          </cell>
          <cell r="I1721">
            <v>15</v>
          </cell>
          <cell r="J1721">
            <v>15</v>
          </cell>
          <cell r="K1721">
            <v>10</v>
          </cell>
          <cell r="L1721">
            <v>10</v>
          </cell>
          <cell r="M1721">
            <v>5.2631578947368418E-2</v>
          </cell>
          <cell r="N1721">
            <v>5.2999999999999999E-2</v>
          </cell>
          <cell r="O1721" t="str">
            <v>$1761</v>
          </cell>
          <cell r="P1721" t="str">
            <v>$1761</v>
          </cell>
          <cell r="Q1721">
            <v>45617</v>
          </cell>
          <cell r="R1721" t="str">
            <v>Hyderabad</v>
          </cell>
          <cell r="S1721" t="str">
            <v>Desktop</v>
          </cell>
          <cell r="T1721" t="str">
            <v>learn data analytics</v>
          </cell>
        </row>
        <row r="1722">
          <cell r="A1722" t="str">
            <v>A2720</v>
          </cell>
          <cell r="B1722" t="str">
            <v>Data Analytics Course</v>
          </cell>
          <cell r="C1722">
            <v>92</v>
          </cell>
          <cell r="D1722">
            <v>92</v>
          </cell>
          <cell r="E1722">
            <v>5952</v>
          </cell>
          <cell r="F1722">
            <v>5952</v>
          </cell>
          <cell r="G1722" t="str">
            <v>$192.35</v>
          </cell>
          <cell r="H1722" t="str">
            <v>$192.35</v>
          </cell>
          <cell r="I1722">
            <v>30</v>
          </cell>
          <cell r="J1722">
            <v>30</v>
          </cell>
          <cell r="K1722">
            <v>4</v>
          </cell>
          <cell r="L1722">
            <v>4</v>
          </cell>
          <cell r="M1722">
            <v>4.3478260869565216E-2</v>
          </cell>
          <cell r="N1722">
            <v>4.2999999999999997E-2</v>
          </cell>
          <cell r="O1722" t="str">
            <v>$1335</v>
          </cell>
          <cell r="P1722" t="str">
            <v>$1335</v>
          </cell>
          <cell r="Q1722">
            <v>45604</v>
          </cell>
          <cell r="R1722" t="str">
            <v>Bangaluru</v>
          </cell>
          <cell r="S1722" t="str">
            <v>Mobile</v>
          </cell>
          <cell r="T1722" t="str">
            <v>data analytics online</v>
          </cell>
        </row>
        <row r="1723">
          <cell r="A1723" t="str">
            <v>A2721</v>
          </cell>
          <cell r="B1723" t="str">
            <v>Data Analytics Course</v>
          </cell>
          <cell r="C1723">
            <v>107</v>
          </cell>
          <cell r="D1723">
            <v>107</v>
          </cell>
          <cell r="E1723">
            <v>4523.2808326787117</v>
          </cell>
          <cell r="G1723" t="str">
            <v>$227.88</v>
          </cell>
          <cell r="H1723" t="str">
            <v>$227.88</v>
          </cell>
          <cell r="I1723">
            <v>23</v>
          </cell>
          <cell r="J1723">
            <v>23</v>
          </cell>
          <cell r="K1723">
            <v>8</v>
          </cell>
          <cell r="L1723">
            <v>8</v>
          </cell>
          <cell r="M1723">
            <v>7.476635514018691E-2</v>
          </cell>
          <cell r="N1723">
            <v>7.4999999999999997E-2</v>
          </cell>
          <cell r="O1723" t="str">
            <v>$1844</v>
          </cell>
          <cell r="P1723" t="str">
            <v>$1844</v>
          </cell>
          <cell r="Q1723">
            <v>45604</v>
          </cell>
          <cell r="R1723" t="str">
            <v>Hyderabad</v>
          </cell>
          <cell r="S1723" t="str">
            <v>Desktop</v>
          </cell>
          <cell r="T1723" t="str">
            <v>online data analytic</v>
          </cell>
        </row>
        <row r="1724">
          <cell r="A1724" t="str">
            <v>A2722</v>
          </cell>
          <cell r="B1724" t="str">
            <v>Data Analytics Course</v>
          </cell>
          <cell r="C1724">
            <v>138.95699356913184</v>
          </cell>
          <cell r="E1724">
            <v>3794</v>
          </cell>
          <cell r="F1724">
            <v>3794</v>
          </cell>
          <cell r="G1724" t="str">
            <v>$225.38</v>
          </cell>
          <cell r="H1724" t="str">
            <v>$225.38</v>
          </cell>
          <cell r="I1724">
            <v>13</v>
          </cell>
          <cell r="J1724">
            <v>13</v>
          </cell>
          <cell r="K1724">
            <v>7</v>
          </cell>
          <cell r="L1724">
            <v>7</v>
          </cell>
          <cell r="M1724">
            <v>5.0375298286210138E-2</v>
          </cell>
          <cell r="O1724" t="str">
            <v>$1401</v>
          </cell>
          <cell r="P1724" t="str">
            <v>$1401</v>
          </cell>
          <cell r="Q1724">
            <v>45619</v>
          </cell>
          <cell r="R1724" t="str">
            <v>Hyderabad</v>
          </cell>
          <cell r="S1724" t="str">
            <v>Mobile</v>
          </cell>
          <cell r="T1724" t="str">
            <v>data analytics online</v>
          </cell>
        </row>
        <row r="1725">
          <cell r="A1725" t="str">
            <v>A2723</v>
          </cell>
          <cell r="B1725" t="str">
            <v>Data Analytics Course</v>
          </cell>
          <cell r="C1725">
            <v>186</v>
          </cell>
          <cell r="D1725">
            <v>186</v>
          </cell>
          <cell r="E1725">
            <v>4523.2808326787117</v>
          </cell>
          <cell r="G1725" t="str">
            <v>$185.55</v>
          </cell>
          <cell r="H1725" t="str">
            <v>$185.55</v>
          </cell>
          <cell r="I1725">
            <v>11</v>
          </cell>
          <cell r="J1725">
            <v>11</v>
          </cell>
          <cell r="K1725">
            <v>5</v>
          </cell>
          <cell r="L1725">
            <v>5</v>
          </cell>
          <cell r="M1725">
            <v>2.6881720430107527E-2</v>
          </cell>
          <cell r="N1725">
            <v>2.7E-2</v>
          </cell>
          <cell r="O1725" t="str">
            <v>$1903</v>
          </cell>
          <cell r="P1725" t="str">
            <v>$1903</v>
          </cell>
          <cell r="Q1725">
            <v>45612</v>
          </cell>
          <cell r="R1725" t="str">
            <v>Hyderabad</v>
          </cell>
          <cell r="S1725" t="str">
            <v>Tablet</v>
          </cell>
          <cell r="T1725" t="str">
            <v>data analytics course</v>
          </cell>
        </row>
        <row r="1726">
          <cell r="A1726" t="str">
            <v>A2724</v>
          </cell>
          <cell r="B1726" t="str">
            <v>Data Analytics Course</v>
          </cell>
          <cell r="C1726">
            <v>129</v>
          </cell>
          <cell r="D1726">
            <v>129</v>
          </cell>
          <cell r="E1726">
            <v>3454</v>
          </cell>
          <cell r="F1726">
            <v>3454</v>
          </cell>
          <cell r="G1726" t="str">
            <v>$223.14</v>
          </cell>
          <cell r="H1726" t="str">
            <v>$223.14</v>
          </cell>
          <cell r="I1726">
            <v>17</v>
          </cell>
          <cell r="J1726">
            <v>17</v>
          </cell>
          <cell r="K1726">
            <v>8</v>
          </cell>
          <cell r="L1726">
            <v>8</v>
          </cell>
          <cell r="M1726">
            <v>6.2015503875968991E-2</v>
          </cell>
          <cell r="N1726">
            <v>3.4000000000000002E-2</v>
          </cell>
          <cell r="O1726" t="str">
            <v>$1391</v>
          </cell>
          <cell r="P1726" t="str">
            <v>$1391</v>
          </cell>
          <cell r="Q1726">
            <v>45597</v>
          </cell>
          <cell r="R1726" t="str">
            <v>Hyderabad</v>
          </cell>
          <cell r="S1726" t="str">
            <v>Tablet</v>
          </cell>
          <cell r="T1726" t="str">
            <v>analytics for data</v>
          </cell>
        </row>
        <row r="1727">
          <cell r="A1727" t="str">
            <v>A2725</v>
          </cell>
          <cell r="B1727" t="str">
            <v>Data Analytcis Course</v>
          </cell>
          <cell r="C1727">
            <v>162</v>
          </cell>
          <cell r="D1727">
            <v>162</v>
          </cell>
          <cell r="E1727">
            <v>3071</v>
          </cell>
          <cell r="F1727">
            <v>3071</v>
          </cell>
          <cell r="G1727" t="str">
            <v>$231.99</v>
          </cell>
          <cell r="H1727" t="str">
            <v>$231.99</v>
          </cell>
          <cell r="I1727">
            <v>29</v>
          </cell>
          <cell r="J1727">
            <v>29</v>
          </cell>
          <cell r="K1727">
            <v>9</v>
          </cell>
          <cell r="L1727">
            <v>9</v>
          </cell>
          <cell r="M1727">
            <v>5.5555555555555552E-2</v>
          </cell>
          <cell r="O1727" t="str">
            <v>$1603</v>
          </cell>
          <cell r="P1727" t="str">
            <v>$1603</v>
          </cell>
          <cell r="Q1727">
            <v>45614</v>
          </cell>
          <cell r="R1727" t="str">
            <v>Hyderabad</v>
          </cell>
          <cell r="S1727" t="str">
            <v>Tablet</v>
          </cell>
          <cell r="T1727" t="str">
            <v>online data analytic</v>
          </cell>
        </row>
        <row r="1728">
          <cell r="A1728" t="str">
            <v>A2726</v>
          </cell>
          <cell r="B1728" t="str">
            <v>Data Analytcis Course</v>
          </cell>
          <cell r="C1728">
            <v>177</v>
          </cell>
          <cell r="D1728">
            <v>177</v>
          </cell>
          <cell r="E1728">
            <v>5954</v>
          </cell>
          <cell r="F1728">
            <v>5954</v>
          </cell>
          <cell r="G1728" t="str">
            <v>$206.76</v>
          </cell>
          <cell r="H1728" t="str">
            <v>$206.76</v>
          </cell>
          <cell r="I1728">
            <v>13</v>
          </cell>
          <cell r="J1728">
            <v>13</v>
          </cell>
          <cell r="K1728">
            <v>4</v>
          </cell>
          <cell r="L1728">
            <v>4</v>
          </cell>
          <cell r="M1728">
            <v>2.2598870056497175E-2</v>
          </cell>
          <cell r="N1728">
            <v>0.06</v>
          </cell>
          <cell r="O1728" t="str">
            <v>$1104</v>
          </cell>
          <cell r="P1728" t="str">
            <v>$1104</v>
          </cell>
          <cell r="Q1728">
            <v>45610</v>
          </cell>
          <cell r="R1728" t="str">
            <v>Chennai</v>
          </cell>
          <cell r="S1728" t="str">
            <v>Tablet</v>
          </cell>
          <cell r="T1728" t="str">
            <v>learn data analytics</v>
          </cell>
        </row>
        <row r="1729">
          <cell r="A1729" t="str">
            <v>A2727</v>
          </cell>
          <cell r="B1729" t="str">
            <v>Data Analytcis Course</v>
          </cell>
          <cell r="C1729">
            <v>93</v>
          </cell>
          <cell r="D1729">
            <v>93</v>
          </cell>
          <cell r="E1729">
            <v>3473</v>
          </cell>
          <cell r="F1729">
            <v>3473</v>
          </cell>
          <cell r="G1729" t="str">
            <v>$207.92</v>
          </cell>
          <cell r="H1729" t="str">
            <v>$207.92</v>
          </cell>
          <cell r="I1729">
            <v>30</v>
          </cell>
          <cell r="J1729">
            <v>30</v>
          </cell>
          <cell r="K1729">
            <v>9</v>
          </cell>
          <cell r="L1729">
            <v>9</v>
          </cell>
          <cell r="M1729">
            <v>9.6774193548387094E-2</v>
          </cell>
          <cell r="O1729" t="str">
            <v>$1780</v>
          </cell>
          <cell r="P1729" t="str">
            <v>$1780</v>
          </cell>
          <cell r="Q1729">
            <v>45604</v>
          </cell>
          <cell r="R1729" t="str">
            <v>Hyderabad</v>
          </cell>
          <cell r="S1729" t="str">
            <v>Desktop</v>
          </cell>
          <cell r="T1729" t="str">
            <v>data analytics course</v>
          </cell>
        </row>
        <row r="1730">
          <cell r="A1730" t="str">
            <v>A2728</v>
          </cell>
          <cell r="B1730" t="str">
            <v>Data Analytics Course</v>
          </cell>
          <cell r="C1730">
            <v>117</v>
          </cell>
          <cell r="D1730">
            <v>117</v>
          </cell>
          <cell r="E1730">
            <v>4341</v>
          </cell>
          <cell r="F1730">
            <v>4341</v>
          </cell>
          <cell r="G1730" t="str">
            <v>$212.29</v>
          </cell>
          <cell r="H1730" t="str">
            <v>$212.29</v>
          </cell>
          <cell r="I1730">
            <v>19</v>
          </cell>
          <cell r="J1730">
            <v>19</v>
          </cell>
          <cell r="K1730">
            <v>8</v>
          </cell>
          <cell r="L1730">
            <v>8</v>
          </cell>
          <cell r="M1730">
            <v>6.8376068376068383E-2</v>
          </cell>
          <cell r="N1730">
            <v>6.8000000000000005E-2</v>
          </cell>
          <cell r="O1730" t="str">
            <v>$1399</v>
          </cell>
          <cell r="P1730" t="str">
            <v>$1399</v>
          </cell>
          <cell r="Q1730">
            <v>45617</v>
          </cell>
          <cell r="R1730" t="str">
            <v>Hyderabad</v>
          </cell>
          <cell r="S1730" t="str">
            <v>Desktop</v>
          </cell>
          <cell r="T1730" t="str">
            <v>learn data analytics</v>
          </cell>
        </row>
        <row r="1731">
          <cell r="A1731" t="str">
            <v>A2729</v>
          </cell>
          <cell r="B1731" t="str">
            <v>Data Analytcis Course</v>
          </cell>
          <cell r="C1731">
            <v>120</v>
          </cell>
          <cell r="D1731">
            <v>120</v>
          </cell>
          <cell r="E1731">
            <v>3310</v>
          </cell>
          <cell r="F1731">
            <v>3310</v>
          </cell>
          <cell r="G1731" t="str">
            <v>$247.65</v>
          </cell>
          <cell r="H1731" t="str">
            <v>$247.65</v>
          </cell>
          <cell r="I1731">
            <v>15</v>
          </cell>
          <cell r="J1731">
            <v>15</v>
          </cell>
          <cell r="K1731">
            <v>3</v>
          </cell>
          <cell r="L1731">
            <v>3</v>
          </cell>
          <cell r="M1731">
            <v>2.5000000000000001E-2</v>
          </cell>
          <cell r="O1731" t="str">
            <v>$1584</v>
          </cell>
          <cell r="P1731" t="str">
            <v>$1584</v>
          </cell>
          <cell r="Q1731">
            <v>45617</v>
          </cell>
          <cell r="R1731" t="str">
            <v>Hyderabad</v>
          </cell>
          <cell r="S1731" t="str">
            <v>Mobile</v>
          </cell>
          <cell r="T1731" t="str">
            <v>online data analytic</v>
          </cell>
        </row>
        <row r="1732">
          <cell r="A1732" t="str">
            <v>A2730</v>
          </cell>
          <cell r="B1732" t="str">
            <v>Data Analytcis Course</v>
          </cell>
          <cell r="C1732">
            <v>81</v>
          </cell>
          <cell r="D1732">
            <v>81</v>
          </cell>
          <cell r="E1732">
            <v>3694</v>
          </cell>
          <cell r="F1732">
            <v>3694</v>
          </cell>
          <cell r="G1732" t="str">
            <v>$183.52</v>
          </cell>
          <cell r="H1732" t="str">
            <v>$183.52</v>
          </cell>
          <cell r="I1732">
            <v>17</v>
          </cell>
          <cell r="J1732">
            <v>17</v>
          </cell>
          <cell r="K1732">
            <v>3</v>
          </cell>
          <cell r="L1732">
            <v>3</v>
          </cell>
          <cell r="M1732">
            <v>3.7037037037037035E-2</v>
          </cell>
          <cell r="O1732" t="str">
            <v>$1156</v>
          </cell>
          <cell r="P1732" t="str">
            <v>$1156</v>
          </cell>
          <cell r="Q1732">
            <v>45618</v>
          </cell>
          <cell r="R1732" t="str">
            <v>Bangaluru</v>
          </cell>
          <cell r="S1732" t="str">
            <v>Mobile</v>
          </cell>
          <cell r="T1732" t="str">
            <v>online data analytic</v>
          </cell>
        </row>
        <row r="1733">
          <cell r="A1733" t="str">
            <v>A2731</v>
          </cell>
          <cell r="B1733" t="str">
            <v>Data Analytcis Course</v>
          </cell>
          <cell r="C1733">
            <v>91</v>
          </cell>
          <cell r="D1733">
            <v>91</v>
          </cell>
          <cell r="E1733">
            <v>3576</v>
          </cell>
          <cell r="F1733">
            <v>3576</v>
          </cell>
          <cell r="G1733" t="str">
            <v>$243.02</v>
          </cell>
          <cell r="H1733" t="str">
            <v>$243.02</v>
          </cell>
          <cell r="I1733">
            <v>28</v>
          </cell>
          <cell r="J1733">
            <v>28</v>
          </cell>
          <cell r="K1733">
            <v>8</v>
          </cell>
          <cell r="L1733">
            <v>8</v>
          </cell>
          <cell r="M1733">
            <v>8.7912087912087919E-2</v>
          </cell>
          <cell r="N1733">
            <v>8.7999999999999995E-2</v>
          </cell>
          <cell r="O1733" t="str">
            <v>$1567</v>
          </cell>
          <cell r="P1733" t="str">
            <v>$1567</v>
          </cell>
          <cell r="Q1733">
            <v>45621</v>
          </cell>
          <cell r="R1733" t="str">
            <v>Chennai</v>
          </cell>
          <cell r="S1733" t="str">
            <v>Mobile</v>
          </cell>
          <cell r="T1733" t="str">
            <v>data analytics training</v>
          </cell>
        </row>
        <row r="1734">
          <cell r="A1734" t="str">
            <v>A2732</v>
          </cell>
          <cell r="B1734" t="str">
            <v>Data Analytics Course</v>
          </cell>
          <cell r="C1734">
            <v>167</v>
          </cell>
          <cell r="D1734">
            <v>167</v>
          </cell>
          <cell r="E1734">
            <v>4856</v>
          </cell>
          <cell r="F1734">
            <v>4856</v>
          </cell>
          <cell r="G1734" t="str">
            <v>$232.1</v>
          </cell>
          <cell r="H1734" t="str">
            <v>$232.1</v>
          </cell>
          <cell r="I1734">
            <v>18</v>
          </cell>
          <cell r="J1734">
            <v>18</v>
          </cell>
          <cell r="K1734">
            <v>7</v>
          </cell>
          <cell r="L1734">
            <v>7</v>
          </cell>
          <cell r="M1734">
            <v>4.1916167664670656E-2</v>
          </cell>
          <cell r="N1734">
            <v>4.2000000000000003E-2</v>
          </cell>
          <cell r="O1734" t="str">
            <v>$1476</v>
          </cell>
          <cell r="P1734" t="str">
            <v>$1476</v>
          </cell>
          <cell r="Q1734">
            <v>45603</v>
          </cell>
          <cell r="R1734" t="str">
            <v>Hyderabad</v>
          </cell>
          <cell r="S1734" t="str">
            <v>Desktop</v>
          </cell>
          <cell r="T1734" t="str">
            <v>analytics for data</v>
          </cell>
        </row>
        <row r="1735">
          <cell r="A1735" t="str">
            <v>A2733</v>
          </cell>
          <cell r="B1735" t="str">
            <v>Data Analytics Course</v>
          </cell>
          <cell r="C1735">
            <v>175</v>
          </cell>
          <cell r="D1735">
            <v>175</v>
          </cell>
          <cell r="E1735">
            <v>5484</v>
          </cell>
          <cell r="F1735">
            <v>5484</v>
          </cell>
          <cell r="G1735" t="str">
            <v>$186.91</v>
          </cell>
          <cell r="H1735" t="str">
            <v>$186.91</v>
          </cell>
          <cell r="I1735">
            <v>14</v>
          </cell>
          <cell r="J1735">
            <v>14</v>
          </cell>
          <cell r="K1735">
            <v>3</v>
          </cell>
          <cell r="L1735">
            <v>3</v>
          </cell>
          <cell r="M1735">
            <v>1.7142857142857144E-2</v>
          </cell>
          <cell r="N1735">
            <v>3.1E-2</v>
          </cell>
          <cell r="O1735" t="str">
            <v>$1728</v>
          </cell>
          <cell r="P1735" t="str">
            <v>$1728</v>
          </cell>
          <cell r="Q1735">
            <v>45614</v>
          </cell>
          <cell r="R1735" t="str">
            <v>Hyderabad</v>
          </cell>
          <cell r="S1735" t="str">
            <v>Desktop</v>
          </cell>
          <cell r="T1735" t="str">
            <v>analytics for data</v>
          </cell>
        </row>
        <row r="1736">
          <cell r="A1736" t="str">
            <v>A2734</v>
          </cell>
          <cell r="B1736" t="str">
            <v>Data Analytcis Course</v>
          </cell>
          <cell r="C1736">
            <v>121</v>
          </cell>
          <cell r="D1736">
            <v>121</v>
          </cell>
          <cell r="E1736">
            <v>3633</v>
          </cell>
          <cell r="F1736">
            <v>3633</v>
          </cell>
          <cell r="G1736" t="str">
            <v>$190.82</v>
          </cell>
          <cell r="H1736" t="str">
            <v>$190.82</v>
          </cell>
          <cell r="I1736">
            <v>16</v>
          </cell>
          <cell r="J1736">
            <v>16</v>
          </cell>
          <cell r="K1736">
            <v>5</v>
          </cell>
          <cell r="L1736">
            <v>5</v>
          </cell>
          <cell r="M1736">
            <v>4.1322314049586778E-2</v>
          </cell>
          <cell r="N1736">
            <v>4.1000000000000002E-2</v>
          </cell>
          <cell r="O1736" t="str">
            <v>$1157</v>
          </cell>
          <cell r="P1736" t="str">
            <v>$1157</v>
          </cell>
          <cell r="Q1736">
            <v>45612</v>
          </cell>
          <cell r="R1736" t="str">
            <v>Hyderabad</v>
          </cell>
          <cell r="S1736" t="str">
            <v>Tablet</v>
          </cell>
          <cell r="T1736" t="str">
            <v>data analytics online</v>
          </cell>
        </row>
        <row r="1737">
          <cell r="A1737" t="str">
            <v>A2735</v>
          </cell>
          <cell r="B1737" t="str">
            <v>Data Analytics Course</v>
          </cell>
          <cell r="C1737">
            <v>85</v>
          </cell>
          <cell r="D1737">
            <v>85</v>
          </cell>
          <cell r="E1737">
            <v>4523.2808326787117</v>
          </cell>
          <cell r="G1737" t="str">
            <v>$190.32</v>
          </cell>
          <cell r="H1737" t="str">
            <v>$190.32</v>
          </cell>
          <cell r="I1737">
            <v>13</v>
          </cell>
          <cell r="J1737">
            <v>13</v>
          </cell>
          <cell r="K1737">
            <v>9</v>
          </cell>
          <cell r="L1737">
            <v>9</v>
          </cell>
          <cell r="M1737">
            <v>0.10588235294117647</v>
          </cell>
          <cell r="N1737">
            <v>0.106</v>
          </cell>
          <cell r="O1737" t="str">
            <v>$1301</v>
          </cell>
          <cell r="P1737" t="str">
            <v>$1301</v>
          </cell>
          <cell r="Q1737">
            <v>45603</v>
          </cell>
          <cell r="R1737" t="str">
            <v>Hyderabad</v>
          </cell>
          <cell r="S1737" t="str">
            <v>Desktop</v>
          </cell>
          <cell r="T1737" t="str">
            <v>data analytics online</v>
          </cell>
        </row>
        <row r="1738">
          <cell r="A1738" t="str">
            <v>A2736</v>
          </cell>
          <cell r="B1738" t="str">
            <v>Data Analytcis Course</v>
          </cell>
          <cell r="C1738">
            <v>176</v>
          </cell>
          <cell r="D1738">
            <v>176</v>
          </cell>
          <cell r="E1738">
            <v>4474</v>
          </cell>
          <cell r="F1738">
            <v>4474</v>
          </cell>
          <cell r="G1738" t="str">
            <v>$215.93</v>
          </cell>
          <cell r="H1738" t="str">
            <v>$215.93</v>
          </cell>
          <cell r="I1738">
            <v>28</v>
          </cell>
          <cell r="J1738">
            <v>28</v>
          </cell>
          <cell r="K1738">
            <v>9</v>
          </cell>
          <cell r="L1738">
            <v>9</v>
          </cell>
          <cell r="M1738">
            <v>5.113636363636364E-2</v>
          </cell>
          <cell r="N1738">
            <v>3.5000000000000003E-2</v>
          </cell>
          <cell r="O1738" t="str">
            <v>$1214</v>
          </cell>
          <cell r="P1738" t="str">
            <v>$1214</v>
          </cell>
          <cell r="Q1738">
            <v>45626</v>
          </cell>
          <cell r="R1738" t="str">
            <v>Chennai</v>
          </cell>
          <cell r="S1738" t="str">
            <v>Mobile</v>
          </cell>
          <cell r="T1738" t="str">
            <v>data analytics online</v>
          </cell>
        </row>
        <row r="1739">
          <cell r="A1739" t="str">
            <v>A2737</v>
          </cell>
          <cell r="B1739" t="str">
            <v>Data Analytics Course</v>
          </cell>
          <cell r="C1739">
            <v>174</v>
          </cell>
          <cell r="D1739">
            <v>174</v>
          </cell>
          <cell r="E1739">
            <v>5282</v>
          </cell>
          <cell r="F1739">
            <v>5282</v>
          </cell>
          <cell r="G1739" t="str">
            <v>$240.85</v>
          </cell>
          <cell r="H1739" t="str">
            <v>$240.85</v>
          </cell>
          <cell r="I1739">
            <v>10</v>
          </cell>
          <cell r="J1739">
            <v>10</v>
          </cell>
          <cell r="K1739">
            <v>4</v>
          </cell>
          <cell r="L1739">
            <v>4</v>
          </cell>
          <cell r="M1739">
            <v>2.2988505747126436E-2</v>
          </cell>
          <cell r="O1739" t="str">
            <v>$1481</v>
          </cell>
          <cell r="P1739" t="str">
            <v>$1481</v>
          </cell>
          <cell r="Q1739">
            <v>45622</v>
          </cell>
          <cell r="R1739" t="str">
            <v>Bangaluru</v>
          </cell>
          <cell r="S1739" t="str">
            <v>Tablet</v>
          </cell>
          <cell r="T1739" t="str">
            <v>data analytics course</v>
          </cell>
        </row>
        <row r="1740">
          <cell r="A1740" t="str">
            <v>A2738</v>
          </cell>
          <cell r="B1740" t="str">
            <v>Data Analytcis Course</v>
          </cell>
          <cell r="C1740">
            <v>180</v>
          </cell>
          <cell r="D1740">
            <v>180</v>
          </cell>
          <cell r="E1740">
            <v>3778</v>
          </cell>
          <cell r="F1740">
            <v>3778</v>
          </cell>
          <cell r="G1740" t="str">
            <v>$214.66</v>
          </cell>
          <cell r="H1740" t="str">
            <v>$214.66</v>
          </cell>
          <cell r="I1740">
            <v>28</v>
          </cell>
          <cell r="J1740">
            <v>28</v>
          </cell>
          <cell r="K1740">
            <v>4</v>
          </cell>
          <cell r="L1740">
            <v>4</v>
          </cell>
          <cell r="M1740">
            <v>2.2222222222222223E-2</v>
          </cell>
          <cell r="O1740" t="str">
            <v>$1733</v>
          </cell>
          <cell r="P1740" t="str">
            <v>$1733</v>
          </cell>
          <cell r="Q1740">
            <v>45610</v>
          </cell>
          <cell r="R1740" t="str">
            <v>Hyderabad</v>
          </cell>
          <cell r="S1740" t="str">
            <v>Desktop</v>
          </cell>
          <cell r="T1740" t="str">
            <v>data analytics course</v>
          </cell>
        </row>
        <row r="1741">
          <cell r="A1741" t="str">
            <v>A2739</v>
          </cell>
          <cell r="B1741" t="str">
            <v>Data Analytcis Course</v>
          </cell>
          <cell r="C1741">
            <v>156</v>
          </cell>
          <cell r="D1741">
            <v>156</v>
          </cell>
          <cell r="E1741">
            <v>3361</v>
          </cell>
          <cell r="F1741">
            <v>3361</v>
          </cell>
          <cell r="G1741" t="str">
            <v>$183.12</v>
          </cell>
          <cell r="H1741" t="str">
            <v>$183.12</v>
          </cell>
          <cell r="I1741">
            <v>29</v>
          </cell>
          <cell r="J1741">
            <v>29</v>
          </cell>
          <cell r="K1741">
            <v>9</v>
          </cell>
          <cell r="L1741">
            <v>9</v>
          </cell>
          <cell r="M1741">
            <v>5.7692307692307696E-2</v>
          </cell>
          <cell r="N1741">
            <v>5.8000000000000003E-2</v>
          </cell>
          <cell r="O1741" t="str">
            <v>$1241</v>
          </cell>
          <cell r="P1741" t="str">
            <v>$1241</v>
          </cell>
          <cell r="Q1741">
            <v>45606</v>
          </cell>
          <cell r="R1741" t="str">
            <v>Hyderabad</v>
          </cell>
          <cell r="S1741" t="str">
            <v>Desktop</v>
          </cell>
          <cell r="T1741" t="str">
            <v>data analytics online</v>
          </cell>
        </row>
        <row r="1742">
          <cell r="A1742" t="str">
            <v>A2740</v>
          </cell>
          <cell r="B1742" t="str">
            <v>Data Analytics Course</v>
          </cell>
          <cell r="C1742">
            <v>138.95699356913184</v>
          </cell>
          <cell r="E1742">
            <v>5877</v>
          </cell>
          <cell r="F1742">
            <v>5877</v>
          </cell>
          <cell r="G1742" t="str">
            <v>$223.87</v>
          </cell>
          <cell r="H1742" t="str">
            <v>$223.87</v>
          </cell>
          <cell r="I1742">
            <v>21</v>
          </cell>
          <cell r="J1742">
            <v>21</v>
          </cell>
          <cell r="K1742">
            <v>9</v>
          </cell>
          <cell r="L1742">
            <v>9</v>
          </cell>
          <cell r="M1742">
            <v>6.4768240653698753E-2</v>
          </cell>
          <cell r="O1742" t="str">
            <v>$1866</v>
          </cell>
          <cell r="P1742" t="str">
            <v>$1866</v>
          </cell>
          <cell r="Q1742">
            <v>45624</v>
          </cell>
          <cell r="R1742" t="str">
            <v>Chennai</v>
          </cell>
          <cell r="S1742" t="str">
            <v>Mobile</v>
          </cell>
          <cell r="T1742" t="str">
            <v>analytics for data</v>
          </cell>
        </row>
        <row r="1743">
          <cell r="A1743" t="str">
            <v>A2741</v>
          </cell>
          <cell r="B1743" t="str">
            <v>Data Analytics Course</v>
          </cell>
          <cell r="C1743">
            <v>161</v>
          </cell>
          <cell r="D1743">
            <v>161</v>
          </cell>
          <cell r="E1743">
            <v>5656</v>
          </cell>
          <cell r="F1743">
            <v>5656</v>
          </cell>
          <cell r="G1743" t="str">
            <v>$237.69</v>
          </cell>
          <cell r="H1743" t="str">
            <v>$237.69</v>
          </cell>
          <cell r="I1743">
            <v>12</v>
          </cell>
          <cell r="J1743">
            <v>12</v>
          </cell>
          <cell r="K1743">
            <v>4</v>
          </cell>
          <cell r="L1743">
            <v>4</v>
          </cell>
          <cell r="M1743">
            <v>2.4844720496894408E-2</v>
          </cell>
          <cell r="N1743">
            <v>5.6000000000000001E-2</v>
          </cell>
          <cell r="O1743" t="str">
            <v>$1262</v>
          </cell>
          <cell r="P1743" t="str">
            <v>$1262</v>
          </cell>
          <cell r="Q1743">
            <v>45625</v>
          </cell>
          <cell r="R1743" t="str">
            <v>Hyderabad</v>
          </cell>
          <cell r="S1743" t="str">
            <v>Mobile</v>
          </cell>
          <cell r="T1743" t="str">
            <v>online data analytic</v>
          </cell>
        </row>
        <row r="1744">
          <cell r="A1744" t="str">
            <v>A2742</v>
          </cell>
          <cell r="B1744" t="str">
            <v>Data Analytics Course</v>
          </cell>
          <cell r="C1744">
            <v>87</v>
          </cell>
          <cell r="D1744">
            <v>87</v>
          </cell>
          <cell r="E1744">
            <v>3061</v>
          </cell>
          <cell r="F1744">
            <v>3061</v>
          </cell>
          <cell r="G1744" t="str">
            <v>$192.29</v>
          </cell>
          <cell r="H1744" t="str">
            <v>$192.29</v>
          </cell>
          <cell r="I1744">
            <v>15</v>
          </cell>
          <cell r="J1744">
            <v>15</v>
          </cell>
          <cell r="K1744">
            <v>6</v>
          </cell>
          <cell r="L1744">
            <v>6</v>
          </cell>
          <cell r="M1744">
            <v>6.8965517241379309E-2</v>
          </cell>
          <cell r="N1744">
            <v>6.9000000000000006E-2</v>
          </cell>
          <cell r="O1744" t="str">
            <v>$1506</v>
          </cell>
          <cell r="P1744" t="str">
            <v>$1506</v>
          </cell>
          <cell r="Q1744">
            <v>45616</v>
          </cell>
          <cell r="R1744" t="str">
            <v>Hyderabad</v>
          </cell>
          <cell r="S1744" t="str">
            <v>Tablet</v>
          </cell>
          <cell r="T1744" t="str">
            <v>data analytics online</v>
          </cell>
        </row>
        <row r="1745">
          <cell r="A1745" t="str">
            <v>A2743</v>
          </cell>
          <cell r="B1745" t="str">
            <v>Data Analytics Course</v>
          </cell>
          <cell r="C1745">
            <v>126</v>
          </cell>
          <cell r="D1745">
            <v>126</v>
          </cell>
          <cell r="E1745">
            <v>4569</v>
          </cell>
          <cell r="F1745">
            <v>4569</v>
          </cell>
          <cell r="G1745" t="str">
            <v>$204.13</v>
          </cell>
          <cell r="H1745" t="str">
            <v>$204.13</v>
          </cell>
          <cell r="I1745">
            <v>10</v>
          </cell>
          <cell r="J1745">
            <v>10</v>
          </cell>
          <cell r="K1745">
            <v>4</v>
          </cell>
          <cell r="L1745">
            <v>4</v>
          </cell>
          <cell r="M1745">
            <v>3.1746031746031744E-2</v>
          </cell>
          <cell r="N1745">
            <v>3.2000000000000001E-2</v>
          </cell>
          <cell r="O1745" t="str">
            <v>$1037</v>
          </cell>
          <cell r="P1745" t="str">
            <v>$1037</v>
          </cell>
          <cell r="Q1745">
            <v>45599</v>
          </cell>
          <cell r="R1745" t="str">
            <v>Chennai</v>
          </cell>
          <cell r="S1745" t="str">
            <v>Tablet</v>
          </cell>
          <cell r="T1745" t="str">
            <v>learn data analytics</v>
          </cell>
        </row>
        <row r="1746">
          <cell r="A1746" t="str">
            <v>A2744</v>
          </cell>
          <cell r="B1746" t="str">
            <v>Data Analytics Course</v>
          </cell>
          <cell r="C1746">
            <v>151</v>
          </cell>
          <cell r="D1746">
            <v>151</v>
          </cell>
          <cell r="E1746">
            <v>5067</v>
          </cell>
          <cell r="F1746">
            <v>5067</v>
          </cell>
          <cell r="G1746" t="str">
            <v>$199.12</v>
          </cell>
          <cell r="H1746" t="str">
            <v>$199.12</v>
          </cell>
          <cell r="I1746">
            <v>13</v>
          </cell>
          <cell r="J1746">
            <v>13</v>
          </cell>
          <cell r="K1746">
            <v>5</v>
          </cell>
          <cell r="L1746">
            <v>5</v>
          </cell>
          <cell r="M1746">
            <v>3.3112582781456956E-2</v>
          </cell>
          <cell r="N1746">
            <v>5.5E-2</v>
          </cell>
          <cell r="O1746" t="str">
            <v>$1669</v>
          </cell>
          <cell r="P1746" t="str">
            <v>$1669</v>
          </cell>
          <cell r="Q1746">
            <v>45623</v>
          </cell>
          <cell r="R1746" t="str">
            <v>Chennai</v>
          </cell>
          <cell r="S1746" t="str">
            <v>Mobile</v>
          </cell>
          <cell r="T1746" t="str">
            <v>data analytics training</v>
          </cell>
        </row>
        <row r="1747">
          <cell r="A1747" t="str">
            <v>A2745</v>
          </cell>
          <cell r="B1747" t="str">
            <v>Data Analytics Course</v>
          </cell>
          <cell r="C1747">
            <v>85</v>
          </cell>
          <cell r="D1747">
            <v>85</v>
          </cell>
          <cell r="E1747">
            <v>5612</v>
          </cell>
          <cell r="F1747">
            <v>5612</v>
          </cell>
          <cell r="G1747" t="str">
            <v>$245.87</v>
          </cell>
          <cell r="H1747" t="str">
            <v>$245.87</v>
          </cell>
          <cell r="I1747">
            <v>12</v>
          </cell>
          <cell r="J1747">
            <v>12</v>
          </cell>
          <cell r="K1747">
            <v>7</v>
          </cell>
          <cell r="L1747">
            <v>7</v>
          </cell>
          <cell r="M1747">
            <v>8.2352941176470587E-2</v>
          </cell>
          <cell r="N1747">
            <v>8.2000000000000003E-2</v>
          </cell>
          <cell r="O1747" t="str">
            <v>$1124</v>
          </cell>
          <cell r="P1747" t="str">
            <v>$1124</v>
          </cell>
          <cell r="Q1747">
            <v>45612</v>
          </cell>
          <cell r="R1747" t="str">
            <v>Chennai</v>
          </cell>
          <cell r="S1747" t="str">
            <v>Mobile</v>
          </cell>
          <cell r="T1747" t="str">
            <v>learn data analytics</v>
          </cell>
        </row>
        <row r="1748">
          <cell r="A1748" t="str">
            <v>A2746</v>
          </cell>
          <cell r="B1748" t="str">
            <v>Data Analytics Course</v>
          </cell>
          <cell r="C1748">
            <v>104</v>
          </cell>
          <cell r="D1748">
            <v>104</v>
          </cell>
          <cell r="E1748">
            <v>4627</v>
          </cell>
          <cell r="F1748">
            <v>4627</v>
          </cell>
          <cell r="G1748" t="str">
            <v>$200.98</v>
          </cell>
          <cell r="H1748" t="str">
            <v>$200.98</v>
          </cell>
          <cell r="I1748">
            <v>28</v>
          </cell>
          <cell r="J1748">
            <v>28</v>
          </cell>
          <cell r="K1748">
            <v>6</v>
          </cell>
          <cell r="L1748">
            <v>6</v>
          </cell>
          <cell r="M1748">
            <v>5.7692307692307696E-2</v>
          </cell>
          <cell r="N1748">
            <v>5.8000000000000003E-2</v>
          </cell>
          <cell r="O1748" t="str">
            <v>$1815</v>
          </cell>
          <cell r="P1748" t="str">
            <v>$1815</v>
          </cell>
          <cell r="Q1748">
            <v>45612</v>
          </cell>
          <cell r="R1748" t="str">
            <v>Hyderabad</v>
          </cell>
          <cell r="S1748" t="str">
            <v>Tablet</v>
          </cell>
          <cell r="T1748" t="str">
            <v>data analytics training</v>
          </cell>
        </row>
        <row r="1749">
          <cell r="A1749" t="str">
            <v>A2747</v>
          </cell>
          <cell r="B1749" t="str">
            <v>Data Analytics Course</v>
          </cell>
          <cell r="C1749">
            <v>103</v>
          </cell>
          <cell r="D1749">
            <v>103</v>
          </cell>
          <cell r="E1749">
            <v>4264</v>
          </cell>
          <cell r="F1749">
            <v>4264</v>
          </cell>
          <cell r="G1749" t="str">
            <v>$214.56</v>
          </cell>
          <cell r="H1749" t="str">
            <v>$214.56</v>
          </cell>
          <cell r="I1749">
            <v>27</v>
          </cell>
          <cell r="J1749">
            <v>27</v>
          </cell>
          <cell r="K1749">
            <v>4</v>
          </cell>
          <cell r="L1749">
            <v>4</v>
          </cell>
          <cell r="M1749">
            <v>3.8834951456310676E-2</v>
          </cell>
          <cell r="N1749">
            <v>3.9E-2</v>
          </cell>
          <cell r="O1749" t="str">
            <v>$1804</v>
          </cell>
          <cell r="P1749" t="str">
            <v>$1804</v>
          </cell>
          <cell r="Q1749">
            <v>45607</v>
          </cell>
          <cell r="R1749" t="str">
            <v>Chennai</v>
          </cell>
          <cell r="S1749" t="str">
            <v>Desktop</v>
          </cell>
          <cell r="T1749" t="str">
            <v>learn data analytics</v>
          </cell>
        </row>
        <row r="1750">
          <cell r="A1750" t="str">
            <v>A2748</v>
          </cell>
          <cell r="B1750" t="str">
            <v>Data Analytcis Course</v>
          </cell>
          <cell r="C1750">
            <v>162</v>
          </cell>
          <cell r="D1750">
            <v>162</v>
          </cell>
          <cell r="E1750">
            <v>5815</v>
          </cell>
          <cell r="F1750">
            <v>5815</v>
          </cell>
          <cell r="G1750" t="str">
            <v>$198.49</v>
          </cell>
          <cell r="H1750" t="str">
            <v>$198.49</v>
          </cell>
          <cell r="I1750">
            <v>11</v>
          </cell>
          <cell r="J1750">
            <v>11</v>
          </cell>
          <cell r="K1750">
            <v>7</v>
          </cell>
          <cell r="L1750">
            <v>7</v>
          </cell>
          <cell r="M1750">
            <v>4.3209876543209874E-2</v>
          </cell>
          <cell r="N1750">
            <v>4.8000000000000001E-2</v>
          </cell>
          <cell r="O1750" t="str">
            <v>$1468</v>
          </cell>
          <cell r="P1750" t="str">
            <v>$1468</v>
          </cell>
          <cell r="Q1750">
            <v>45619</v>
          </cell>
          <cell r="R1750" t="str">
            <v>Hyderabad</v>
          </cell>
          <cell r="S1750" t="str">
            <v>Tablet</v>
          </cell>
          <cell r="T1750" t="str">
            <v>data analytics course</v>
          </cell>
        </row>
        <row r="1751">
          <cell r="A1751" t="str">
            <v>A2749</v>
          </cell>
          <cell r="B1751" t="str">
            <v>Data Analytics Course</v>
          </cell>
          <cell r="C1751">
            <v>161</v>
          </cell>
          <cell r="D1751">
            <v>161</v>
          </cell>
          <cell r="E1751">
            <v>3597</v>
          </cell>
          <cell r="F1751">
            <v>3597</v>
          </cell>
          <cell r="G1751" t="str">
            <v>$218.35</v>
          </cell>
          <cell r="H1751" t="str">
            <v>$218.35</v>
          </cell>
          <cell r="I1751">
            <v>29</v>
          </cell>
          <cell r="J1751">
            <v>29</v>
          </cell>
          <cell r="K1751">
            <v>6</v>
          </cell>
          <cell r="L1751">
            <v>6</v>
          </cell>
          <cell r="M1751">
            <v>3.7267080745341616E-2</v>
          </cell>
          <cell r="N1751">
            <v>3.9E-2</v>
          </cell>
          <cell r="O1751" t="str">
            <v>$1840</v>
          </cell>
          <cell r="P1751" t="str">
            <v>$1840</v>
          </cell>
          <cell r="Q1751">
            <v>45602</v>
          </cell>
          <cell r="R1751" t="str">
            <v>Hyderabad</v>
          </cell>
          <cell r="S1751" t="str">
            <v>Tablet</v>
          </cell>
          <cell r="T1751" t="str">
            <v>data analytics course</v>
          </cell>
        </row>
        <row r="1752">
          <cell r="A1752" t="str">
            <v>A2750</v>
          </cell>
          <cell r="B1752" t="str">
            <v>Data Analytics Course</v>
          </cell>
          <cell r="C1752">
            <v>83</v>
          </cell>
          <cell r="D1752">
            <v>83</v>
          </cell>
          <cell r="E1752">
            <v>5973</v>
          </cell>
          <cell r="F1752">
            <v>5973</v>
          </cell>
          <cell r="G1752" t="str">
            <v>$224.06</v>
          </cell>
          <cell r="H1752" t="str">
            <v>$224.06</v>
          </cell>
          <cell r="I1752">
            <v>25</v>
          </cell>
          <cell r="J1752">
            <v>25</v>
          </cell>
          <cell r="K1752">
            <v>9</v>
          </cell>
          <cell r="L1752">
            <v>9</v>
          </cell>
          <cell r="M1752">
            <v>0.10843373493975904</v>
          </cell>
          <cell r="N1752">
            <v>0.108</v>
          </cell>
          <cell r="O1752" t="str">
            <v>$1197</v>
          </cell>
          <cell r="P1752" t="str">
            <v>$1197</v>
          </cell>
          <cell r="Q1752">
            <v>45606</v>
          </cell>
          <cell r="R1752" t="str">
            <v>Hyderabad</v>
          </cell>
          <cell r="S1752" t="str">
            <v>Mobile</v>
          </cell>
          <cell r="T1752" t="str">
            <v>analytics for data</v>
          </cell>
        </row>
        <row r="1753">
          <cell r="A1753" t="str">
            <v>A2751</v>
          </cell>
          <cell r="B1753" t="str">
            <v>Data Analytics Course</v>
          </cell>
          <cell r="C1753">
            <v>165</v>
          </cell>
          <cell r="D1753">
            <v>165</v>
          </cell>
          <cell r="E1753">
            <v>3430</v>
          </cell>
          <cell r="F1753">
            <v>3430</v>
          </cell>
          <cell r="G1753" t="str">
            <v>$248.59</v>
          </cell>
          <cell r="H1753" t="str">
            <v>$248.59</v>
          </cell>
          <cell r="I1753">
            <v>26</v>
          </cell>
          <cell r="J1753">
            <v>26</v>
          </cell>
          <cell r="K1753">
            <v>8</v>
          </cell>
          <cell r="L1753">
            <v>8</v>
          </cell>
          <cell r="M1753">
            <v>4.8484848484848485E-2</v>
          </cell>
          <cell r="N1753">
            <v>0.04</v>
          </cell>
          <cell r="O1753" t="str">
            <v>$1056</v>
          </cell>
          <cell r="P1753" t="str">
            <v>$1056</v>
          </cell>
          <cell r="Q1753">
            <v>45602</v>
          </cell>
          <cell r="R1753" t="str">
            <v>Bangaluru</v>
          </cell>
          <cell r="S1753" t="str">
            <v>Desktop</v>
          </cell>
          <cell r="T1753" t="str">
            <v>analytics for data</v>
          </cell>
        </row>
        <row r="1754">
          <cell r="A1754" t="str">
            <v>A2752</v>
          </cell>
          <cell r="B1754" t="str">
            <v>Data Analytics Course</v>
          </cell>
          <cell r="C1754">
            <v>134</v>
          </cell>
          <cell r="D1754">
            <v>134</v>
          </cell>
          <cell r="E1754">
            <v>5085</v>
          </cell>
          <cell r="F1754">
            <v>5085</v>
          </cell>
          <cell r="G1754" t="str">
            <v>$186.1</v>
          </cell>
          <cell r="H1754" t="str">
            <v>$186.1</v>
          </cell>
          <cell r="I1754">
            <v>18</v>
          </cell>
          <cell r="J1754">
            <v>18</v>
          </cell>
          <cell r="K1754">
            <v>8</v>
          </cell>
          <cell r="L1754">
            <v>8</v>
          </cell>
          <cell r="M1754">
            <v>5.9701492537313432E-2</v>
          </cell>
          <cell r="N1754">
            <v>0.06</v>
          </cell>
          <cell r="O1754" t="str">
            <v>$1033</v>
          </cell>
          <cell r="P1754" t="str">
            <v>$1033</v>
          </cell>
          <cell r="Q1754">
            <v>45623</v>
          </cell>
          <cell r="R1754" t="str">
            <v>Chennai</v>
          </cell>
          <cell r="S1754" t="str">
            <v>Mobile</v>
          </cell>
          <cell r="T1754" t="str">
            <v>data analytics course</v>
          </cell>
        </row>
        <row r="1755">
          <cell r="A1755" t="str">
            <v>A2753</v>
          </cell>
          <cell r="B1755" t="str">
            <v>Data Analytcis Course</v>
          </cell>
          <cell r="C1755">
            <v>126</v>
          </cell>
          <cell r="D1755">
            <v>126</v>
          </cell>
          <cell r="E1755">
            <v>4906</v>
          </cell>
          <cell r="F1755">
            <v>4906</v>
          </cell>
          <cell r="G1755" t="str">
            <v>$222.92</v>
          </cell>
          <cell r="H1755" t="str">
            <v>$222.92</v>
          </cell>
          <cell r="I1755">
            <v>16</v>
          </cell>
          <cell r="J1755">
            <v>16</v>
          </cell>
          <cell r="K1755">
            <v>9</v>
          </cell>
          <cell r="L1755">
            <v>9</v>
          </cell>
          <cell r="M1755">
            <v>7.1428571428571425E-2</v>
          </cell>
          <cell r="N1755">
            <v>7.0999999999999994E-2</v>
          </cell>
          <cell r="O1755" t="str">
            <v>$1443</v>
          </cell>
          <cell r="P1755" t="str">
            <v>$1443</v>
          </cell>
          <cell r="Q1755">
            <v>45621</v>
          </cell>
          <cell r="R1755" t="str">
            <v>Chennai</v>
          </cell>
          <cell r="S1755" t="str">
            <v>Mobile</v>
          </cell>
          <cell r="T1755" t="str">
            <v>learn data analytics</v>
          </cell>
        </row>
        <row r="1756">
          <cell r="A1756" t="str">
            <v>A2754</v>
          </cell>
          <cell r="B1756" t="str">
            <v>Data Analytics Course</v>
          </cell>
          <cell r="C1756">
            <v>173</v>
          </cell>
          <cell r="D1756">
            <v>173</v>
          </cell>
          <cell r="E1756">
            <v>5082</v>
          </cell>
          <cell r="F1756">
            <v>5082</v>
          </cell>
          <cell r="G1756" t="str">
            <v>$198.75</v>
          </cell>
          <cell r="H1756" t="str">
            <v>$198.75</v>
          </cell>
          <cell r="I1756">
            <v>16</v>
          </cell>
          <cell r="J1756">
            <v>16</v>
          </cell>
          <cell r="K1756">
            <v>3</v>
          </cell>
          <cell r="L1756">
            <v>3</v>
          </cell>
          <cell r="M1756">
            <v>1.7341040462427744E-2</v>
          </cell>
          <cell r="N1756">
            <v>4.5999999999999999E-2</v>
          </cell>
          <cell r="O1756" t="str">
            <v>$1128</v>
          </cell>
          <cell r="P1756" t="str">
            <v>$1128</v>
          </cell>
          <cell r="Q1756">
            <v>45610</v>
          </cell>
          <cell r="R1756" t="str">
            <v>Bangaluru</v>
          </cell>
          <cell r="S1756" t="str">
            <v>Tablet</v>
          </cell>
          <cell r="T1756" t="str">
            <v>analytics for data</v>
          </cell>
        </row>
        <row r="1757">
          <cell r="A1757" t="str">
            <v>A2755</v>
          </cell>
          <cell r="B1757" t="str">
            <v>Data Analytics Course</v>
          </cell>
          <cell r="C1757">
            <v>174</v>
          </cell>
          <cell r="D1757">
            <v>174</v>
          </cell>
          <cell r="E1757">
            <v>4661</v>
          </cell>
          <cell r="F1757">
            <v>4661</v>
          </cell>
          <cell r="G1757" t="str">
            <v>$200.74</v>
          </cell>
          <cell r="H1757" t="str">
            <v>$200.74</v>
          </cell>
          <cell r="I1757">
            <v>20.284848484848485</v>
          </cell>
          <cell r="K1757">
            <v>5</v>
          </cell>
          <cell r="L1757">
            <v>5</v>
          </cell>
          <cell r="M1757">
            <v>2.8735632183908046E-2</v>
          </cell>
          <cell r="N1757">
            <v>2.9000000000000001E-2</v>
          </cell>
          <cell r="O1757" t="str">
            <v>$1596</v>
          </cell>
          <cell r="P1757" t="str">
            <v>$1596</v>
          </cell>
          <cell r="Q1757">
            <v>45616</v>
          </cell>
          <cell r="R1757" t="str">
            <v>Bangaluru</v>
          </cell>
          <cell r="S1757" t="str">
            <v>Desktop</v>
          </cell>
          <cell r="T1757" t="str">
            <v>data analytics course</v>
          </cell>
        </row>
        <row r="1758">
          <cell r="A1758" t="str">
            <v>A2756</v>
          </cell>
          <cell r="B1758" t="str">
            <v>Data Analytics Course</v>
          </cell>
          <cell r="C1758">
            <v>149</v>
          </cell>
          <cell r="D1758">
            <v>149</v>
          </cell>
          <cell r="E1758">
            <v>3573</v>
          </cell>
          <cell r="F1758">
            <v>3573</v>
          </cell>
          <cell r="G1758" t="str">
            <v>$247.52</v>
          </cell>
          <cell r="H1758" t="str">
            <v>$247.52</v>
          </cell>
          <cell r="I1758">
            <v>20</v>
          </cell>
          <cell r="J1758">
            <v>20</v>
          </cell>
          <cell r="K1758">
            <v>4</v>
          </cell>
          <cell r="L1758">
            <v>4</v>
          </cell>
          <cell r="M1758">
            <v>2.6845637583892617E-2</v>
          </cell>
          <cell r="N1758">
            <v>3.1E-2</v>
          </cell>
          <cell r="O1758" t="str">
            <v>$1742</v>
          </cell>
          <cell r="P1758" t="str">
            <v>$1742</v>
          </cell>
          <cell r="Q1758">
            <v>45599</v>
          </cell>
          <cell r="R1758" t="str">
            <v>Hyderabad</v>
          </cell>
          <cell r="S1758" t="str">
            <v>Mobile</v>
          </cell>
          <cell r="T1758" t="str">
            <v>analytics for data</v>
          </cell>
        </row>
        <row r="1759">
          <cell r="A1759" t="str">
            <v>A2757</v>
          </cell>
          <cell r="B1759" t="str">
            <v>Data Analytics Course</v>
          </cell>
          <cell r="C1759">
            <v>108</v>
          </cell>
          <cell r="D1759">
            <v>108</v>
          </cell>
          <cell r="E1759">
            <v>5663</v>
          </cell>
          <cell r="F1759">
            <v>5663</v>
          </cell>
          <cell r="G1759" t="str">
            <v>$213.85</v>
          </cell>
          <cell r="H1759" t="str">
            <v>$213.85</v>
          </cell>
          <cell r="I1759">
            <v>20.285194174757283</v>
          </cell>
          <cell r="K1759">
            <v>9</v>
          </cell>
          <cell r="L1759">
            <v>9</v>
          </cell>
          <cell r="M1759">
            <v>8.3333333333333329E-2</v>
          </cell>
          <cell r="N1759">
            <v>8.3000000000000004E-2</v>
          </cell>
          <cell r="O1759" t="str">
            <v>$1703</v>
          </cell>
          <cell r="P1759" t="str">
            <v>$1703</v>
          </cell>
          <cell r="Q1759">
            <v>45613</v>
          </cell>
          <cell r="R1759" t="str">
            <v>Hyderabad</v>
          </cell>
          <cell r="S1759" t="str">
            <v>Desktop</v>
          </cell>
          <cell r="T1759" t="str">
            <v>data analytics online</v>
          </cell>
        </row>
        <row r="1760">
          <cell r="A1760" t="str">
            <v>A2758</v>
          </cell>
          <cell r="B1760" t="str">
            <v>Data Analytics Course</v>
          </cell>
          <cell r="C1760">
            <v>99</v>
          </cell>
          <cell r="D1760">
            <v>99</v>
          </cell>
          <cell r="E1760">
            <v>4466</v>
          </cell>
          <cell r="F1760">
            <v>4466</v>
          </cell>
          <cell r="G1760" t="str">
            <v>$214.08</v>
          </cell>
          <cell r="H1760" t="str">
            <v>$214.08</v>
          </cell>
          <cell r="I1760">
            <v>14</v>
          </cell>
          <cell r="J1760">
            <v>14</v>
          </cell>
          <cell r="K1760">
            <v>7</v>
          </cell>
          <cell r="L1760">
            <v>7</v>
          </cell>
          <cell r="M1760">
            <v>7.0707070707070704E-2</v>
          </cell>
          <cell r="O1760" t="str">
            <v>$1515</v>
          </cell>
          <cell r="P1760" t="str">
            <v>$1515</v>
          </cell>
          <cell r="Q1760">
            <v>45611</v>
          </cell>
          <cell r="R1760" t="str">
            <v>Chennai</v>
          </cell>
          <cell r="S1760" t="str">
            <v>Desktop</v>
          </cell>
          <cell r="T1760" t="str">
            <v>analytics for data</v>
          </cell>
        </row>
        <row r="1761">
          <cell r="A1761" t="str">
            <v>A2759</v>
          </cell>
          <cell r="B1761" t="str">
            <v>Data Analytics Course</v>
          </cell>
          <cell r="C1761">
            <v>113</v>
          </cell>
          <cell r="D1761">
            <v>113</v>
          </cell>
          <cell r="E1761">
            <v>3120</v>
          </cell>
          <cell r="F1761">
            <v>3120</v>
          </cell>
          <cell r="G1761" t="str">
            <v>$249.66</v>
          </cell>
          <cell r="H1761" t="str">
            <v>$249.66</v>
          </cell>
          <cell r="I1761">
            <v>20</v>
          </cell>
          <cell r="J1761">
            <v>20</v>
          </cell>
          <cell r="K1761">
            <v>8</v>
          </cell>
          <cell r="L1761">
            <v>8</v>
          </cell>
          <cell r="M1761">
            <v>7.0796460176991149E-2</v>
          </cell>
          <cell r="N1761">
            <v>7.0999999999999994E-2</v>
          </cell>
          <cell r="O1761" t="str">
            <v>$1895</v>
          </cell>
          <cell r="P1761" t="str">
            <v>$1895</v>
          </cell>
          <cell r="Q1761">
            <v>45623</v>
          </cell>
          <cell r="R1761" t="str">
            <v>Chennai</v>
          </cell>
          <cell r="S1761" t="str">
            <v>Mobile</v>
          </cell>
          <cell r="T1761" t="str">
            <v>data analytics training</v>
          </cell>
        </row>
        <row r="1762">
          <cell r="A1762" t="str">
            <v>A2760</v>
          </cell>
          <cell r="B1762" t="str">
            <v>Data Analytics Course</v>
          </cell>
          <cell r="C1762">
            <v>84</v>
          </cell>
          <cell r="D1762">
            <v>84</v>
          </cell>
          <cell r="E1762">
            <v>3911</v>
          </cell>
          <cell r="F1762">
            <v>3911</v>
          </cell>
          <cell r="G1762" t="str">
            <v>$206.06</v>
          </cell>
          <cell r="H1762" t="str">
            <v>$206.06</v>
          </cell>
          <cell r="I1762">
            <v>13</v>
          </cell>
          <cell r="J1762">
            <v>13</v>
          </cell>
          <cell r="K1762">
            <v>7</v>
          </cell>
          <cell r="L1762">
            <v>7</v>
          </cell>
          <cell r="M1762">
            <v>8.3333333333333329E-2</v>
          </cell>
          <cell r="O1762" t="str">
            <v>$1155</v>
          </cell>
          <cell r="P1762" t="str">
            <v>$1155</v>
          </cell>
          <cell r="Q1762">
            <v>45614</v>
          </cell>
          <cell r="R1762" t="str">
            <v>Bangaluru</v>
          </cell>
          <cell r="S1762" t="str">
            <v>Tablet</v>
          </cell>
          <cell r="T1762" t="str">
            <v>learn data analytics</v>
          </cell>
        </row>
        <row r="1763">
          <cell r="A1763" t="str">
            <v>A2761</v>
          </cell>
          <cell r="B1763" t="str">
            <v>Data Analytics Course</v>
          </cell>
          <cell r="C1763">
            <v>182</v>
          </cell>
          <cell r="D1763">
            <v>182</v>
          </cell>
          <cell r="E1763">
            <v>3458</v>
          </cell>
          <cell r="F1763">
            <v>3458</v>
          </cell>
          <cell r="G1763" t="str">
            <v>$186.51</v>
          </cell>
          <cell r="H1763" t="str">
            <v>$186.51</v>
          </cell>
          <cell r="I1763">
            <v>28</v>
          </cell>
          <cell r="J1763">
            <v>28</v>
          </cell>
          <cell r="K1763">
            <v>9</v>
          </cell>
          <cell r="L1763">
            <v>9</v>
          </cell>
          <cell r="M1763">
            <v>4.9450549450549448E-2</v>
          </cell>
          <cell r="N1763">
            <v>4.9000000000000002E-2</v>
          </cell>
          <cell r="O1763" t="str">
            <v>$1982</v>
          </cell>
          <cell r="P1763" t="str">
            <v>$1982</v>
          </cell>
          <cell r="Q1763">
            <v>45597</v>
          </cell>
          <cell r="R1763" t="str">
            <v>Chennai</v>
          </cell>
          <cell r="S1763" t="str">
            <v>Desktop</v>
          </cell>
          <cell r="T1763" t="str">
            <v>learn data analytics</v>
          </cell>
        </row>
        <row r="1764">
          <cell r="A1764" t="str">
            <v>A2762</v>
          </cell>
          <cell r="B1764" t="str">
            <v>Data Analytics Course</v>
          </cell>
          <cell r="C1764">
            <v>82</v>
          </cell>
          <cell r="D1764">
            <v>82</v>
          </cell>
          <cell r="E1764">
            <v>3261</v>
          </cell>
          <cell r="F1764">
            <v>3261</v>
          </cell>
          <cell r="G1764" t="str">
            <v>$245.34</v>
          </cell>
          <cell r="H1764" t="str">
            <v>$245.34</v>
          </cell>
          <cell r="I1764">
            <v>30</v>
          </cell>
          <cell r="J1764">
            <v>30</v>
          </cell>
          <cell r="K1764">
            <v>8</v>
          </cell>
          <cell r="L1764">
            <v>8</v>
          </cell>
          <cell r="M1764">
            <v>9.7560975609756101E-2</v>
          </cell>
          <cell r="O1764" t="str">
            <v>$1922</v>
          </cell>
          <cell r="P1764" t="str">
            <v>$1922</v>
          </cell>
          <cell r="Q1764">
            <v>45605</v>
          </cell>
          <cell r="R1764" t="str">
            <v>Bangaluru</v>
          </cell>
          <cell r="S1764" t="str">
            <v>Desktop</v>
          </cell>
          <cell r="T1764" t="str">
            <v>data analytics course</v>
          </cell>
        </row>
        <row r="1765">
          <cell r="A1765" t="str">
            <v>A2763</v>
          </cell>
          <cell r="B1765" t="str">
            <v>Data Analytcis Course</v>
          </cell>
          <cell r="C1765">
            <v>103</v>
          </cell>
          <cell r="D1765">
            <v>103</v>
          </cell>
          <cell r="E1765">
            <v>3844</v>
          </cell>
          <cell r="F1765">
            <v>3844</v>
          </cell>
          <cell r="G1765" t="str">
            <v>$232.39</v>
          </cell>
          <cell r="H1765" t="str">
            <v>$232.39</v>
          </cell>
          <cell r="I1765">
            <v>13</v>
          </cell>
          <cell r="J1765">
            <v>13</v>
          </cell>
          <cell r="K1765">
            <v>7</v>
          </cell>
          <cell r="L1765">
            <v>7</v>
          </cell>
          <cell r="M1765">
            <v>6.7961165048543687E-2</v>
          </cell>
          <cell r="N1765">
            <v>6.8000000000000005E-2</v>
          </cell>
          <cell r="O1765" t="str">
            <v>$1763</v>
          </cell>
          <cell r="P1765" t="str">
            <v>$1763</v>
          </cell>
          <cell r="Q1765">
            <v>45621</v>
          </cell>
          <cell r="R1765" t="str">
            <v>Hyderabad</v>
          </cell>
          <cell r="S1765" t="str">
            <v>Mobile</v>
          </cell>
          <cell r="T1765" t="str">
            <v>learn data analytics</v>
          </cell>
        </row>
        <row r="1766">
          <cell r="A1766" t="str">
            <v>A2764</v>
          </cell>
          <cell r="B1766" t="str">
            <v>Data Analytcis Course</v>
          </cell>
          <cell r="C1766">
            <v>117</v>
          </cell>
          <cell r="D1766">
            <v>117</v>
          </cell>
          <cell r="E1766">
            <v>4298</v>
          </cell>
          <cell r="F1766">
            <v>4298</v>
          </cell>
          <cell r="G1766" t="str">
            <v>$227.92</v>
          </cell>
          <cell r="H1766" t="str">
            <v>$227.92</v>
          </cell>
          <cell r="I1766">
            <v>15</v>
          </cell>
          <cell r="J1766">
            <v>15</v>
          </cell>
          <cell r="K1766">
            <v>8</v>
          </cell>
          <cell r="L1766">
            <v>8</v>
          </cell>
          <cell r="M1766">
            <v>6.8376068376068383E-2</v>
          </cell>
          <cell r="N1766">
            <v>6.8000000000000005E-2</v>
          </cell>
          <cell r="O1766" t="str">
            <v>$1512</v>
          </cell>
          <cell r="P1766" t="str">
            <v>$1512</v>
          </cell>
          <cell r="Q1766">
            <v>45617</v>
          </cell>
          <cell r="R1766" t="str">
            <v>Chennai</v>
          </cell>
          <cell r="S1766" t="str">
            <v>Tablet</v>
          </cell>
          <cell r="T1766" t="str">
            <v>online data analytic</v>
          </cell>
        </row>
        <row r="1767">
          <cell r="A1767" t="str">
            <v>A2765</v>
          </cell>
          <cell r="B1767" t="str">
            <v>Data Analytics Course</v>
          </cell>
          <cell r="C1767">
            <v>93</v>
          </cell>
          <cell r="D1767">
            <v>93</v>
          </cell>
          <cell r="E1767">
            <v>4998</v>
          </cell>
          <cell r="F1767">
            <v>4998</v>
          </cell>
          <cell r="G1767" t="str">
            <v>$201.98</v>
          </cell>
          <cell r="H1767" t="str">
            <v>$201.98</v>
          </cell>
          <cell r="I1767">
            <v>17</v>
          </cell>
          <cell r="J1767">
            <v>17</v>
          </cell>
          <cell r="K1767">
            <v>8</v>
          </cell>
          <cell r="L1767">
            <v>8</v>
          </cell>
          <cell r="M1767">
            <v>8.6021505376344093E-2</v>
          </cell>
          <cell r="N1767">
            <v>8.5999999999999993E-2</v>
          </cell>
          <cell r="O1767" t="str">
            <v>$1216</v>
          </cell>
          <cell r="P1767" t="str">
            <v>$1216</v>
          </cell>
          <cell r="Q1767">
            <v>45608</v>
          </cell>
          <cell r="R1767" t="str">
            <v>Hyderabad</v>
          </cell>
          <cell r="S1767" t="str">
            <v>Desktop</v>
          </cell>
          <cell r="T1767" t="str">
            <v>data analytics course</v>
          </cell>
        </row>
        <row r="1768">
          <cell r="A1768" t="str">
            <v>A2766</v>
          </cell>
          <cell r="B1768" t="str">
            <v>Data Analytics Course</v>
          </cell>
          <cell r="C1768">
            <v>166</v>
          </cell>
          <cell r="D1768">
            <v>166</v>
          </cell>
          <cell r="E1768">
            <v>5110</v>
          </cell>
          <cell r="F1768">
            <v>5110</v>
          </cell>
          <cell r="G1768" t="str">
            <v>$196.99</v>
          </cell>
          <cell r="H1768" t="str">
            <v>$196.99</v>
          </cell>
          <cell r="I1768">
            <v>26</v>
          </cell>
          <cell r="J1768">
            <v>26</v>
          </cell>
          <cell r="K1768">
            <v>4</v>
          </cell>
          <cell r="L1768">
            <v>4</v>
          </cell>
          <cell r="M1768">
            <v>2.4096385542168676E-2</v>
          </cell>
          <cell r="O1768" t="str">
            <v>$1431</v>
          </cell>
          <cell r="P1768" t="str">
            <v>$1431</v>
          </cell>
          <cell r="Q1768">
            <v>45608</v>
          </cell>
          <cell r="R1768" t="str">
            <v>Hyderabad</v>
          </cell>
          <cell r="S1768" t="str">
            <v>Tablet</v>
          </cell>
          <cell r="T1768" t="str">
            <v>data analytics online</v>
          </cell>
        </row>
        <row r="1769">
          <cell r="A1769" t="str">
            <v>A2767</v>
          </cell>
          <cell r="B1769" t="str">
            <v>Data Analytics Course</v>
          </cell>
          <cell r="C1769">
            <v>121</v>
          </cell>
          <cell r="D1769">
            <v>121</v>
          </cell>
          <cell r="E1769">
            <v>5155</v>
          </cell>
          <cell r="F1769">
            <v>5155</v>
          </cell>
          <cell r="G1769" t="str">
            <v>$187.0</v>
          </cell>
          <cell r="H1769" t="str">
            <v>$187.0</v>
          </cell>
          <cell r="I1769">
            <v>23</v>
          </cell>
          <cell r="J1769">
            <v>23</v>
          </cell>
          <cell r="K1769">
            <v>6</v>
          </cell>
          <cell r="L1769">
            <v>6</v>
          </cell>
          <cell r="M1769">
            <v>4.9586776859504134E-2</v>
          </cell>
          <cell r="N1769">
            <v>0.05</v>
          </cell>
          <cell r="O1769" t="str">
            <v>$1510</v>
          </cell>
          <cell r="P1769" t="str">
            <v>$1510</v>
          </cell>
          <cell r="Q1769">
            <v>45601</v>
          </cell>
          <cell r="R1769" t="str">
            <v>Chennai</v>
          </cell>
          <cell r="S1769" t="str">
            <v>Tablet</v>
          </cell>
          <cell r="T1769" t="str">
            <v>data analytics course</v>
          </cell>
        </row>
        <row r="1770">
          <cell r="A1770" t="str">
            <v>A2768</v>
          </cell>
          <cell r="B1770" t="str">
            <v>Data Analytics Course</v>
          </cell>
          <cell r="C1770">
            <v>106</v>
          </cell>
          <cell r="D1770">
            <v>106</v>
          </cell>
          <cell r="E1770">
            <v>5010</v>
          </cell>
          <cell r="F1770">
            <v>5010</v>
          </cell>
          <cell r="G1770" t="str">
            <v>$220.66</v>
          </cell>
          <cell r="H1770" t="str">
            <v>$220.66</v>
          </cell>
          <cell r="I1770">
            <v>26</v>
          </cell>
          <cell r="J1770">
            <v>26</v>
          </cell>
          <cell r="K1770">
            <v>6</v>
          </cell>
          <cell r="L1770">
            <v>6</v>
          </cell>
          <cell r="M1770">
            <v>5.6603773584905662E-2</v>
          </cell>
          <cell r="N1770">
            <v>5.7000000000000002E-2</v>
          </cell>
          <cell r="O1770" t="str">
            <v>$1345</v>
          </cell>
          <cell r="P1770" t="str">
            <v>$1345</v>
          </cell>
          <cell r="Q1770">
            <v>45612</v>
          </cell>
          <cell r="R1770" t="str">
            <v>Bangaluru</v>
          </cell>
          <cell r="S1770" t="str">
            <v>Desktop</v>
          </cell>
          <cell r="T1770" t="str">
            <v>data analytics course</v>
          </cell>
        </row>
        <row r="1771">
          <cell r="A1771" t="str">
            <v>A2769</v>
          </cell>
          <cell r="B1771" t="str">
            <v>Data Analytcis Course</v>
          </cell>
          <cell r="C1771">
            <v>106</v>
          </cell>
          <cell r="D1771">
            <v>106</v>
          </cell>
          <cell r="E1771">
            <v>4362</v>
          </cell>
          <cell r="F1771">
            <v>4362</v>
          </cell>
          <cell r="G1771" t="str">
            <v>$227.02</v>
          </cell>
          <cell r="H1771" t="str">
            <v>$227.02</v>
          </cell>
          <cell r="I1771">
            <v>12</v>
          </cell>
          <cell r="J1771">
            <v>12</v>
          </cell>
          <cell r="K1771">
            <v>9</v>
          </cell>
          <cell r="L1771">
            <v>9</v>
          </cell>
          <cell r="M1771">
            <v>8.4905660377358486E-2</v>
          </cell>
          <cell r="N1771">
            <v>8.5000000000000006E-2</v>
          </cell>
          <cell r="O1771" t="str">
            <v>$1548</v>
          </cell>
          <cell r="P1771" t="str">
            <v>$1548</v>
          </cell>
          <cell r="Q1771">
            <v>45623</v>
          </cell>
          <cell r="R1771" t="str">
            <v>Hyderabad</v>
          </cell>
          <cell r="S1771" t="str">
            <v>Mobile</v>
          </cell>
          <cell r="T1771" t="str">
            <v>online data analytic</v>
          </cell>
        </row>
        <row r="1772">
          <cell r="A1772" t="str">
            <v>A2770</v>
          </cell>
          <cell r="B1772" t="str">
            <v>Data Analytcis Course</v>
          </cell>
          <cell r="C1772">
            <v>122</v>
          </cell>
          <cell r="D1772">
            <v>122</v>
          </cell>
          <cell r="E1772">
            <v>3662</v>
          </cell>
          <cell r="F1772">
            <v>3662</v>
          </cell>
          <cell r="G1772" t="str">
            <v>$211.05</v>
          </cell>
          <cell r="H1772" t="str">
            <v>$211.05</v>
          </cell>
          <cell r="I1772">
            <v>19</v>
          </cell>
          <cell r="J1772">
            <v>19</v>
          </cell>
          <cell r="K1772">
            <v>6</v>
          </cell>
          <cell r="L1772">
            <v>6</v>
          </cell>
          <cell r="M1772">
            <v>4.9180327868852458E-2</v>
          </cell>
          <cell r="N1772">
            <v>4.9000000000000002E-2</v>
          </cell>
          <cell r="O1772" t="str">
            <v>$1082</v>
          </cell>
          <cell r="P1772" t="str">
            <v>$1082</v>
          </cell>
          <cell r="Q1772">
            <v>45617</v>
          </cell>
          <cell r="R1772" t="str">
            <v>Bangaluru</v>
          </cell>
          <cell r="S1772" t="str">
            <v>Desktop</v>
          </cell>
          <cell r="T1772" t="str">
            <v>data analytics training</v>
          </cell>
        </row>
        <row r="1773">
          <cell r="A1773" t="str">
            <v>A2771</v>
          </cell>
          <cell r="B1773" t="str">
            <v>Data Analytics Course</v>
          </cell>
          <cell r="C1773">
            <v>193</v>
          </cell>
          <cell r="D1773">
            <v>193</v>
          </cell>
          <cell r="E1773">
            <v>5464</v>
          </cell>
          <cell r="F1773">
            <v>5464</v>
          </cell>
          <cell r="G1773" t="str">
            <v>$224.15</v>
          </cell>
          <cell r="H1773" t="str">
            <v>$224.15</v>
          </cell>
          <cell r="I1773">
            <v>12</v>
          </cell>
          <cell r="J1773">
            <v>12</v>
          </cell>
          <cell r="K1773">
            <v>3</v>
          </cell>
          <cell r="L1773">
            <v>3</v>
          </cell>
          <cell r="M1773">
            <v>1.5544041450777202E-2</v>
          </cell>
          <cell r="N1773">
            <v>5.6000000000000001E-2</v>
          </cell>
          <cell r="O1773" t="str">
            <v>$1157</v>
          </cell>
          <cell r="P1773" t="str">
            <v>$1157</v>
          </cell>
          <cell r="Q1773">
            <v>45599</v>
          </cell>
          <cell r="R1773" t="str">
            <v>Hyderabad</v>
          </cell>
          <cell r="S1773" t="str">
            <v>Tablet</v>
          </cell>
          <cell r="T1773" t="str">
            <v>online data analytic</v>
          </cell>
        </row>
        <row r="1774">
          <cell r="A1774" t="str">
            <v>A2772</v>
          </cell>
          <cell r="B1774" t="str">
            <v>Data Analytics Course</v>
          </cell>
          <cell r="C1774">
            <v>146</v>
          </cell>
          <cell r="D1774">
            <v>146</v>
          </cell>
          <cell r="E1774">
            <v>3560</v>
          </cell>
          <cell r="F1774">
            <v>3560</v>
          </cell>
          <cell r="G1774" t="str">
            <v>$214.16</v>
          </cell>
          <cell r="H1774" t="str">
            <v>$214.16</v>
          </cell>
          <cell r="I1774">
            <v>26</v>
          </cell>
          <cell r="J1774">
            <v>26</v>
          </cell>
          <cell r="K1774">
            <v>3</v>
          </cell>
          <cell r="L1774">
            <v>3</v>
          </cell>
          <cell r="M1774">
            <v>2.0547945205479451E-2</v>
          </cell>
          <cell r="N1774">
            <v>2.1000000000000001E-2</v>
          </cell>
          <cell r="O1774" t="str">
            <v>$1033</v>
          </cell>
          <cell r="P1774" t="str">
            <v>$1033</v>
          </cell>
          <cell r="Q1774">
            <v>45598</v>
          </cell>
          <cell r="R1774" t="str">
            <v>Bangaluru</v>
          </cell>
          <cell r="S1774" t="str">
            <v>Desktop</v>
          </cell>
          <cell r="T1774" t="str">
            <v>analytics for data</v>
          </cell>
        </row>
        <row r="1775">
          <cell r="A1775" t="str">
            <v>A2773</v>
          </cell>
          <cell r="B1775" t="str">
            <v>Data Analytcis Course</v>
          </cell>
          <cell r="C1775">
            <v>138.95699356913184</v>
          </cell>
          <cell r="E1775">
            <v>5014</v>
          </cell>
          <cell r="F1775">
            <v>5014</v>
          </cell>
          <cell r="G1775" t="str">
            <v>$198.84</v>
          </cell>
          <cell r="H1775" t="str">
            <v>$198.84</v>
          </cell>
          <cell r="I1775">
            <v>10</v>
          </cell>
          <cell r="J1775">
            <v>10</v>
          </cell>
          <cell r="K1775">
            <v>8</v>
          </cell>
          <cell r="L1775">
            <v>8</v>
          </cell>
          <cell r="M1775">
            <v>5.7571769469954438E-2</v>
          </cell>
          <cell r="O1775" t="str">
            <v>$1474</v>
          </cell>
          <cell r="P1775" t="str">
            <v>$1474</v>
          </cell>
          <cell r="Q1775">
            <v>45610</v>
          </cell>
          <cell r="R1775" t="str">
            <v>Bangaluru</v>
          </cell>
          <cell r="S1775" t="str">
            <v>Tablet</v>
          </cell>
          <cell r="T1775" t="str">
            <v>learn data analytics</v>
          </cell>
        </row>
        <row r="1776">
          <cell r="A1776" t="str">
            <v>A2774</v>
          </cell>
          <cell r="B1776" t="str">
            <v>Data Analytcis Course</v>
          </cell>
          <cell r="C1776">
            <v>111</v>
          </cell>
          <cell r="D1776">
            <v>111</v>
          </cell>
          <cell r="E1776">
            <v>3278</v>
          </cell>
          <cell r="F1776">
            <v>3278</v>
          </cell>
          <cell r="G1776" t="str">
            <v>$189.58</v>
          </cell>
          <cell r="H1776" t="str">
            <v>$189.58</v>
          </cell>
          <cell r="I1776">
            <v>25</v>
          </cell>
          <cell r="J1776">
            <v>25</v>
          </cell>
          <cell r="K1776">
            <v>5</v>
          </cell>
          <cell r="L1776">
            <v>5</v>
          </cell>
          <cell r="M1776">
            <v>4.5045045045045043E-2</v>
          </cell>
          <cell r="N1776">
            <v>4.4999999999999998E-2</v>
          </cell>
          <cell r="O1776" t="str">
            <v>$1882</v>
          </cell>
          <cell r="P1776" t="str">
            <v>$1882</v>
          </cell>
          <cell r="Q1776">
            <v>45605</v>
          </cell>
          <cell r="R1776" t="str">
            <v>Hyderabad</v>
          </cell>
          <cell r="S1776" t="str">
            <v>Mobile</v>
          </cell>
          <cell r="T1776" t="str">
            <v>data analytics training</v>
          </cell>
        </row>
        <row r="1777">
          <cell r="A1777" t="str">
            <v>A2775</v>
          </cell>
          <cell r="B1777" t="str">
            <v>Data Analytics Course</v>
          </cell>
          <cell r="C1777">
            <v>138.95699356913184</v>
          </cell>
          <cell r="E1777">
            <v>3149</v>
          </cell>
          <cell r="F1777">
            <v>3149</v>
          </cell>
          <cell r="G1777" t="str">
            <v>$213.67</v>
          </cell>
          <cell r="H1777" t="str">
            <v>$213.67</v>
          </cell>
          <cell r="I1777">
            <v>14</v>
          </cell>
          <cell r="J1777">
            <v>14</v>
          </cell>
          <cell r="K1777">
            <v>8</v>
          </cell>
          <cell r="L1777">
            <v>8</v>
          </cell>
          <cell r="M1777">
            <v>5.7571769469954438E-2</v>
          </cell>
          <cell r="O1777" t="str">
            <v>$1491</v>
          </cell>
          <cell r="P1777" t="str">
            <v>$1491</v>
          </cell>
          <cell r="Q1777">
            <v>45623</v>
          </cell>
          <cell r="R1777" t="str">
            <v>Hyderabad</v>
          </cell>
          <cell r="S1777" t="str">
            <v>Tablet</v>
          </cell>
          <cell r="T1777" t="str">
            <v>online data analytic</v>
          </cell>
        </row>
        <row r="1778">
          <cell r="A1778" t="str">
            <v>A2776</v>
          </cell>
          <cell r="B1778" t="str">
            <v>Data Analytcis Course</v>
          </cell>
          <cell r="C1778">
            <v>195</v>
          </cell>
          <cell r="D1778">
            <v>195</v>
          </cell>
          <cell r="E1778">
            <v>4128</v>
          </cell>
          <cell r="F1778">
            <v>4128</v>
          </cell>
          <cell r="G1778" t="str">
            <v>$246.55</v>
          </cell>
          <cell r="H1778" t="str">
            <v>$246.55</v>
          </cell>
          <cell r="I1778">
            <v>25</v>
          </cell>
          <cell r="J1778">
            <v>25</v>
          </cell>
          <cell r="K1778">
            <v>5</v>
          </cell>
          <cell r="L1778">
            <v>5</v>
          </cell>
          <cell r="M1778">
            <v>2.564102564102564E-2</v>
          </cell>
          <cell r="N1778">
            <v>2.5999999999999999E-2</v>
          </cell>
          <cell r="O1778" t="str">
            <v>$1105</v>
          </cell>
          <cell r="P1778" t="str">
            <v>$1105</v>
          </cell>
          <cell r="Q1778">
            <v>45605</v>
          </cell>
          <cell r="R1778" t="str">
            <v>Hyderabad</v>
          </cell>
          <cell r="S1778" t="str">
            <v>Mobile</v>
          </cell>
          <cell r="T1778" t="str">
            <v>data analytics training</v>
          </cell>
        </row>
        <row r="1779">
          <cell r="A1779" t="str">
            <v>A2777</v>
          </cell>
          <cell r="B1779" t="str">
            <v>Data Analytcis Course</v>
          </cell>
          <cell r="C1779">
            <v>149</v>
          </cell>
          <cell r="D1779">
            <v>149</v>
          </cell>
          <cell r="E1779">
            <v>5018</v>
          </cell>
          <cell r="F1779">
            <v>5018</v>
          </cell>
          <cell r="G1779" t="str">
            <v>$219.11</v>
          </cell>
          <cell r="H1779" t="str">
            <v>$219.11</v>
          </cell>
          <cell r="I1779">
            <v>16</v>
          </cell>
          <cell r="J1779">
            <v>16</v>
          </cell>
          <cell r="K1779">
            <v>3</v>
          </cell>
          <cell r="L1779">
            <v>3</v>
          </cell>
          <cell r="M1779">
            <v>2.0134228187919462E-2</v>
          </cell>
          <cell r="O1779" t="str">
            <v>$1795</v>
          </cell>
          <cell r="P1779" t="str">
            <v>$1795</v>
          </cell>
          <cell r="Q1779">
            <v>45622</v>
          </cell>
          <cell r="R1779" t="str">
            <v>Chennai</v>
          </cell>
          <cell r="S1779" t="str">
            <v>Desktop</v>
          </cell>
          <cell r="T1779" t="str">
            <v>data analytics training</v>
          </cell>
        </row>
        <row r="1780">
          <cell r="A1780" t="str">
            <v>A2778</v>
          </cell>
          <cell r="B1780" t="str">
            <v>Data Analytics Course</v>
          </cell>
          <cell r="C1780">
            <v>194</v>
          </cell>
          <cell r="D1780">
            <v>194</v>
          </cell>
          <cell r="E1780">
            <v>5215</v>
          </cell>
          <cell r="F1780">
            <v>5215</v>
          </cell>
          <cell r="G1780" t="str">
            <v>$225.13</v>
          </cell>
          <cell r="H1780" t="str">
            <v>$225.13</v>
          </cell>
          <cell r="I1780">
            <v>12</v>
          </cell>
          <cell r="J1780">
            <v>12</v>
          </cell>
          <cell r="K1780">
            <v>6</v>
          </cell>
          <cell r="L1780">
            <v>6</v>
          </cell>
          <cell r="M1780">
            <v>3.0927835051546393E-2</v>
          </cell>
          <cell r="N1780">
            <v>3.1E-2</v>
          </cell>
          <cell r="O1780" t="str">
            <v>$1107</v>
          </cell>
          <cell r="P1780" t="str">
            <v>$1107</v>
          </cell>
          <cell r="Q1780">
            <v>45618</v>
          </cell>
          <cell r="R1780" t="str">
            <v>Hyderabad</v>
          </cell>
          <cell r="S1780" t="str">
            <v>Tablet</v>
          </cell>
          <cell r="T1780" t="str">
            <v>data analytics online</v>
          </cell>
        </row>
        <row r="1781">
          <cell r="A1781" t="str">
            <v>A2779</v>
          </cell>
          <cell r="B1781" t="str">
            <v>Data Analytcis Course</v>
          </cell>
          <cell r="C1781">
            <v>191</v>
          </cell>
          <cell r="D1781">
            <v>191</v>
          </cell>
          <cell r="E1781">
            <v>3948</v>
          </cell>
          <cell r="F1781">
            <v>3948</v>
          </cell>
          <cell r="G1781" t="str">
            <v>$208.43</v>
          </cell>
          <cell r="H1781" t="str">
            <v>$208.43</v>
          </cell>
          <cell r="I1781">
            <v>23</v>
          </cell>
          <cell r="J1781">
            <v>23</v>
          </cell>
          <cell r="K1781">
            <v>7</v>
          </cell>
          <cell r="L1781">
            <v>7</v>
          </cell>
          <cell r="M1781">
            <v>3.6649214659685861E-2</v>
          </cell>
          <cell r="N1781">
            <v>3.6999999999999998E-2</v>
          </cell>
          <cell r="O1781" t="str">
            <v>$1450</v>
          </cell>
          <cell r="P1781" t="str">
            <v>$1450</v>
          </cell>
          <cell r="Q1781">
            <v>45620</v>
          </cell>
          <cell r="R1781" t="str">
            <v>Hyderabad</v>
          </cell>
          <cell r="S1781" t="str">
            <v>Tablet</v>
          </cell>
          <cell r="T1781" t="str">
            <v>data analytics course</v>
          </cell>
        </row>
        <row r="1782">
          <cell r="A1782" t="str">
            <v>A2780</v>
          </cell>
          <cell r="B1782" t="str">
            <v>Data Analytcis Course</v>
          </cell>
          <cell r="C1782">
            <v>196</v>
          </cell>
          <cell r="D1782">
            <v>196</v>
          </cell>
          <cell r="E1782">
            <v>4912</v>
          </cell>
          <cell r="F1782">
            <v>4912</v>
          </cell>
          <cell r="G1782" t="str">
            <v>$187.07</v>
          </cell>
          <cell r="H1782" t="str">
            <v>$187.07</v>
          </cell>
          <cell r="I1782">
            <v>26</v>
          </cell>
          <cell r="J1782">
            <v>26</v>
          </cell>
          <cell r="K1782">
            <v>7</v>
          </cell>
          <cell r="L1782">
            <v>7</v>
          </cell>
          <cell r="M1782">
            <v>3.5714285714285712E-2</v>
          </cell>
          <cell r="O1782" t="str">
            <v>$1720</v>
          </cell>
          <cell r="P1782" t="str">
            <v>$1720</v>
          </cell>
          <cell r="Q1782">
            <v>45600</v>
          </cell>
          <cell r="R1782" t="str">
            <v>Hyderabad</v>
          </cell>
          <cell r="S1782" t="str">
            <v>Desktop</v>
          </cell>
          <cell r="T1782" t="str">
            <v>data analytics course</v>
          </cell>
        </row>
        <row r="1783">
          <cell r="A1783" t="str">
            <v>A2781</v>
          </cell>
          <cell r="B1783" t="str">
            <v>Data Analytics Course</v>
          </cell>
          <cell r="C1783">
            <v>182</v>
          </cell>
          <cell r="D1783">
            <v>182</v>
          </cell>
          <cell r="E1783">
            <v>5136</v>
          </cell>
          <cell r="F1783">
            <v>5136</v>
          </cell>
          <cell r="G1783" t="str">
            <v>$249.36</v>
          </cell>
          <cell r="H1783" t="str">
            <v>$249.36</v>
          </cell>
          <cell r="I1783">
            <v>23</v>
          </cell>
          <cell r="J1783">
            <v>23</v>
          </cell>
          <cell r="K1783">
            <v>7</v>
          </cell>
          <cell r="L1783">
            <v>7</v>
          </cell>
          <cell r="M1783">
            <v>3.8461538461538464E-2</v>
          </cell>
          <cell r="N1783">
            <v>3.7999999999999999E-2</v>
          </cell>
          <cell r="O1783" t="str">
            <v>$1846</v>
          </cell>
          <cell r="P1783" t="str">
            <v>$1846</v>
          </cell>
          <cell r="Q1783">
            <v>45599</v>
          </cell>
          <cell r="R1783" t="str">
            <v>Chennai</v>
          </cell>
          <cell r="S1783" t="str">
            <v>Desktop</v>
          </cell>
          <cell r="T1783" t="str">
            <v>learn data analytics</v>
          </cell>
        </row>
        <row r="1784">
          <cell r="A1784" t="str">
            <v>A2782</v>
          </cell>
          <cell r="B1784" t="str">
            <v>Data Analytics Course</v>
          </cell>
          <cell r="C1784">
            <v>156</v>
          </cell>
          <cell r="D1784">
            <v>156</v>
          </cell>
          <cell r="E1784">
            <v>5674</v>
          </cell>
          <cell r="F1784">
            <v>5674</v>
          </cell>
          <cell r="G1784" t="str">
            <v>$193.18</v>
          </cell>
          <cell r="H1784" t="str">
            <v>$193.18</v>
          </cell>
          <cell r="I1784">
            <v>29</v>
          </cell>
          <cell r="J1784">
            <v>29</v>
          </cell>
          <cell r="K1784">
            <v>10</v>
          </cell>
          <cell r="L1784">
            <v>10</v>
          </cell>
          <cell r="M1784">
            <v>6.4102564102564097E-2</v>
          </cell>
          <cell r="O1784" t="str">
            <v>$1176</v>
          </cell>
          <cell r="P1784" t="str">
            <v>$1176</v>
          </cell>
          <cell r="Q1784">
            <v>45623</v>
          </cell>
          <cell r="R1784" t="str">
            <v>Chennai</v>
          </cell>
          <cell r="S1784" t="str">
            <v>Desktop</v>
          </cell>
          <cell r="T1784" t="str">
            <v>data analytics course</v>
          </cell>
        </row>
        <row r="1785">
          <cell r="A1785" t="str">
            <v>A2783</v>
          </cell>
          <cell r="B1785" t="str">
            <v>Data Analytics Course</v>
          </cell>
          <cell r="C1785">
            <v>187</v>
          </cell>
          <cell r="D1785">
            <v>187</v>
          </cell>
          <cell r="E1785">
            <v>4674</v>
          </cell>
          <cell r="F1785">
            <v>4674</v>
          </cell>
          <cell r="G1785" t="str">
            <v>$201.41</v>
          </cell>
          <cell r="H1785" t="str">
            <v>$201.41</v>
          </cell>
          <cell r="I1785">
            <v>18</v>
          </cell>
          <cell r="J1785">
            <v>18</v>
          </cell>
          <cell r="K1785">
            <v>9</v>
          </cell>
          <cell r="L1785">
            <v>9</v>
          </cell>
          <cell r="M1785">
            <v>4.8128342245989303E-2</v>
          </cell>
          <cell r="N1785">
            <v>4.8000000000000001E-2</v>
          </cell>
          <cell r="O1785" t="str">
            <v>$1719</v>
          </cell>
          <cell r="P1785" t="str">
            <v>$1719</v>
          </cell>
          <cell r="Q1785">
            <v>45624</v>
          </cell>
          <cell r="R1785" t="str">
            <v>Chennai</v>
          </cell>
          <cell r="S1785" t="str">
            <v>Tablet</v>
          </cell>
          <cell r="T1785" t="str">
            <v>learn data analytics</v>
          </cell>
        </row>
        <row r="1786">
          <cell r="A1786" t="str">
            <v>A2784</v>
          </cell>
          <cell r="B1786" t="str">
            <v>Data Analytcis Course</v>
          </cell>
          <cell r="C1786">
            <v>117</v>
          </cell>
          <cell r="D1786">
            <v>117</v>
          </cell>
          <cell r="E1786">
            <v>4408</v>
          </cell>
          <cell r="F1786">
            <v>4408</v>
          </cell>
          <cell r="G1786" t="str">
            <v>$184.0</v>
          </cell>
          <cell r="H1786" t="str">
            <v>$184.0</v>
          </cell>
          <cell r="I1786">
            <v>30</v>
          </cell>
          <cell r="J1786">
            <v>30</v>
          </cell>
          <cell r="K1786">
            <v>3</v>
          </cell>
          <cell r="L1786">
            <v>3</v>
          </cell>
          <cell r="M1786">
            <v>2.564102564102564E-2</v>
          </cell>
          <cell r="N1786">
            <v>2.5999999999999999E-2</v>
          </cell>
          <cell r="O1786" t="str">
            <v>$1239</v>
          </cell>
          <cell r="P1786" t="str">
            <v>$1239</v>
          </cell>
          <cell r="Q1786">
            <v>45610</v>
          </cell>
          <cell r="R1786" t="str">
            <v>Chennai</v>
          </cell>
          <cell r="S1786" t="str">
            <v>Tablet</v>
          </cell>
          <cell r="T1786" t="str">
            <v>online data analytic</v>
          </cell>
        </row>
        <row r="1787">
          <cell r="A1787" t="str">
            <v>A2785</v>
          </cell>
          <cell r="B1787" t="str">
            <v>Data Analytcis Course</v>
          </cell>
          <cell r="C1787">
            <v>135</v>
          </cell>
          <cell r="D1787">
            <v>135</v>
          </cell>
          <cell r="E1787">
            <v>5402</v>
          </cell>
          <cell r="F1787">
            <v>5402</v>
          </cell>
          <cell r="G1787" t="str">
            <v>$238.81</v>
          </cell>
          <cell r="H1787" t="str">
            <v>$238.81</v>
          </cell>
          <cell r="I1787">
            <v>19</v>
          </cell>
          <cell r="J1787">
            <v>19</v>
          </cell>
          <cell r="K1787">
            <v>8</v>
          </cell>
          <cell r="L1787">
            <v>8</v>
          </cell>
          <cell r="M1787">
            <v>5.9259259259259262E-2</v>
          </cell>
          <cell r="N1787">
            <v>5.8999999999999997E-2</v>
          </cell>
          <cell r="O1787" t="str">
            <v>$1648</v>
          </cell>
          <cell r="P1787" t="str">
            <v>$1648</v>
          </cell>
          <cell r="Q1787">
            <v>45624</v>
          </cell>
          <cell r="R1787" t="str">
            <v>Hyderabad</v>
          </cell>
          <cell r="S1787" t="str">
            <v>Mobile</v>
          </cell>
          <cell r="T1787" t="str">
            <v>learn data analytics</v>
          </cell>
        </row>
        <row r="1788">
          <cell r="A1788" t="str">
            <v>A2786</v>
          </cell>
          <cell r="B1788" t="str">
            <v>Data Analytics Course</v>
          </cell>
          <cell r="C1788">
            <v>114</v>
          </cell>
          <cell r="D1788">
            <v>114</v>
          </cell>
          <cell r="E1788">
            <v>4523.2808326787117</v>
          </cell>
          <cell r="G1788" t="str">
            <v>$223.69</v>
          </cell>
          <cell r="H1788" t="str">
            <v>$223.69</v>
          </cell>
          <cell r="I1788">
            <v>20</v>
          </cell>
          <cell r="J1788">
            <v>20</v>
          </cell>
          <cell r="K1788">
            <v>3</v>
          </cell>
          <cell r="L1788">
            <v>3</v>
          </cell>
          <cell r="M1788">
            <v>2.6315789473684209E-2</v>
          </cell>
          <cell r="N1788">
            <v>2.5999999999999999E-2</v>
          </cell>
          <cell r="O1788" t="str">
            <v>$1845</v>
          </cell>
          <cell r="P1788" t="str">
            <v>$1845</v>
          </cell>
          <cell r="Q1788">
            <v>45604</v>
          </cell>
          <cell r="R1788" t="str">
            <v>Hyderabad</v>
          </cell>
          <cell r="S1788" t="str">
            <v>Desktop</v>
          </cell>
          <cell r="T1788" t="str">
            <v>data analytics training</v>
          </cell>
        </row>
        <row r="1789">
          <cell r="A1789" t="str">
            <v>A2787</v>
          </cell>
          <cell r="B1789" t="str">
            <v>Data Analytics Course</v>
          </cell>
          <cell r="C1789">
            <v>184</v>
          </cell>
          <cell r="D1789">
            <v>184</v>
          </cell>
          <cell r="E1789">
            <v>5876</v>
          </cell>
          <cell r="F1789">
            <v>5876</v>
          </cell>
          <cell r="G1789" t="str">
            <v>$231.91</v>
          </cell>
          <cell r="H1789" t="str">
            <v>$231.91</v>
          </cell>
          <cell r="I1789">
            <v>23</v>
          </cell>
          <cell r="J1789">
            <v>23</v>
          </cell>
          <cell r="K1789">
            <v>6.529336734693878</v>
          </cell>
          <cell r="M1789">
            <v>3.5485525732031946E-2</v>
          </cell>
          <cell r="O1789" t="str">
            <v>$1018</v>
          </cell>
          <cell r="P1789" t="str">
            <v>$1018</v>
          </cell>
          <cell r="Q1789">
            <v>45607</v>
          </cell>
          <cell r="R1789" t="str">
            <v>Bangaluru</v>
          </cell>
          <cell r="S1789" t="str">
            <v>Desktop</v>
          </cell>
          <cell r="T1789" t="str">
            <v>data analytics course</v>
          </cell>
        </row>
        <row r="1790">
          <cell r="A1790" t="str">
            <v>A2788</v>
          </cell>
          <cell r="B1790" t="str">
            <v>Data Analytics Course</v>
          </cell>
          <cell r="C1790">
            <v>115</v>
          </cell>
          <cell r="D1790">
            <v>115</v>
          </cell>
          <cell r="E1790">
            <v>5996</v>
          </cell>
          <cell r="F1790">
            <v>5996</v>
          </cell>
          <cell r="G1790" t="str">
            <v>$191.99</v>
          </cell>
          <cell r="H1790" t="str">
            <v>$191.99</v>
          </cell>
          <cell r="I1790">
            <v>24</v>
          </cell>
          <cell r="J1790">
            <v>24</v>
          </cell>
          <cell r="K1790">
            <v>6.529336734693878</v>
          </cell>
          <cell r="M1790">
            <v>5.6776841171251112E-2</v>
          </cell>
          <cell r="O1790" t="str">
            <v>$1822</v>
          </cell>
          <cell r="P1790" t="str">
            <v>$1822</v>
          </cell>
          <cell r="Q1790">
            <v>45616</v>
          </cell>
          <cell r="R1790" t="str">
            <v>Hyderabad</v>
          </cell>
          <cell r="S1790" t="str">
            <v>Mobile</v>
          </cell>
          <cell r="T1790" t="str">
            <v>data analytics course</v>
          </cell>
        </row>
        <row r="1791">
          <cell r="A1791" t="str">
            <v>A2789</v>
          </cell>
          <cell r="B1791" t="str">
            <v>Data Analytics Course</v>
          </cell>
          <cell r="C1791">
            <v>149</v>
          </cell>
          <cell r="D1791">
            <v>149</v>
          </cell>
          <cell r="E1791">
            <v>3249</v>
          </cell>
          <cell r="F1791">
            <v>3249</v>
          </cell>
          <cell r="G1791" t="str">
            <v>$202.43</v>
          </cell>
          <cell r="H1791" t="str">
            <v>$202.43</v>
          </cell>
          <cell r="I1791">
            <v>11</v>
          </cell>
          <cell r="J1791">
            <v>11</v>
          </cell>
          <cell r="K1791">
            <v>6</v>
          </cell>
          <cell r="L1791">
            <v>6</v>
          </cell>
          <cell r="M1791">
            <v>4.0268456375838924E-2</v>
          </cell>
          <cell r="N1791">
            <v>0.04</v>
          </cell>
          <cell r="O1791" t="str">
            <v>$1027</v>
          </cell>
          <cell r="P1791" t="str">
            <v>$1027</v>
          </cell>
          <cell r="Q1791">
            <v>45600</v>
          </cell>
          <cell r="R1791" t="str">
            <v>Hyderabad</v>
          </cell>
          <cell r="S1791" t="str">
            <v>Desktop</v>
          </cell>
          <cell r="T1791" t="str">
            <v>analytics for data</v>
          </cell>
        </row>
        <row r="1792">
          <cell r="A1792" t="str">
            <v>A2790</v>
          </cell>
          <cell r="B1792" t="str">
            <v>Data Analytics Course</v>
          </cell>
          <cell r="C1792">
            <v>136</v>
          </cell>
          <cell r="D1792">
            <v>136</v>
          </cell>
          <cell r="E1792">
            <v>4351</v>
          </cell>
          <cell r="F1792">
            <v>4351</v>
          </cell>
          <cell r="G1792" t="str">
            <v>$233.43</v>
          </cell>
          <cell r="H1792" t="str">
            <v>$233.43</v>
          </cell>
          <cell r="I1792">
            <v>18</v>
          </cell>
          <cell r="J1792">
            <v>18</v>
          </cell>
          <cell r="K1792">
            <v>6</v>
          </cell>
          <cell r="L1792">
            <v>6</v>
          </cell>
          <cell r="M1792">
            <v>4.4117647058823532E-2</v>
          </cell>
          <cell r="N1792">
            <v>4.3999999999999997E-2</v>
          </cell>
          <cell r="O1792" t="str">
            <v>$1299</v>
          </cell>
          <cell r="P1792" t="str">
            <v>$1299</v>
          </cell>
          <cell r="Q1792">
            <v>45608</v>
          </cell>
          <cell r="R1792" t="str">
            <v>Bangaluru</v>
          </cell>
          <cell r="S1792" t="str">
            <v>Tablet</v>
          </cell>
          <cell r="T1792" t="str">
            <v>online data analytic</v>
          </cell>
        </row>
        <row r="1793">
          <cell r="A1793" t="str">
            <v>A2791</v>
          </cell>
          <cell r="B1793" t="str">
            <v>Data Analytics Course</v>
          </cell>
          <cell r="C1793">
            <v>119</v>
          </cell>
          <cell r="D1793">
            <v>119</v>
          </cell>
          <cell r="E1793">
            <v>5805</v>
          </cell>
          <cell r="F1793">
            <v>5805</v>
          </cell>
          <cell r="G1793" t="str">
            <v>$245.13</v>
          </cell>
          <cell r="H1793" t="str">
            <v>$245.13</v>
          </cell>
          <cell r="I1793">
            <v>25</v>
          </cell>
          <cell r="J1793">
            <v>25</v>
          </cell>
          <cell r="K1793">
            <v>6</v>
          </cell>
          <cell r="L1793">
            <v>6</v>
          </cell>
          <cell r="M1793">
            <v>5.0420168067226892E-2</v>
          </cell>
          <cell r="O1793" t="str">
            <v>$1122</v>
          </cell>
          <cell r="P1793" t="str">
            <v>$1122</v>
          </cell>
          <cell r="Q1793">
            <v>45609</v>
          </cell>
          <cell r="R1793" t="str">
            <v>Hyderabad</v>
          </cell>
          <cell r="S1793" t="str">
            <v>Tablet</v>
          </cell>
          <cell r="T1793" t="str">
            <v>online data analytic</v>
          </cell>
        </row>
        <row r="1794">
          <cell r="A1794" t="str">
            <v>A2792</v>
          </cell>
          <cell r="B1794" t="str">
            <v>Data Analytics Course</v>
          </cell>
          <cell r="C1794">
            <v>186</v>
          </cell>
          <cell r="D1794">
            <v>186</v>
          </cell>
          <cell r="E1794">
            <v>5685</v>
          </cell>
          <cell r="F1794">
            <v>5685</v>
          </cell>
          <cell r="G1794" t="str">
            <v>$197.15</v>
          </cell>
          <cell r="H1794" t="str">
            <v>$197.15</v>
          </cell>
          <cell r="I1794">
            <v>18</v>
          </cell>
          <cell r="J1794">
            <v>18</v>
          </cell>
          <cell r="K1794">
            <v>10</v>
          </cell>
          <cell r="L1794">
            <v>10</v>
          </cell>
          <cell r="M1794">
            <v>5.3763440860215055E-2</v>
          </cell>
          <cell r="N1794">
            <v>4.5999999999999999E-2</v>
          </cell>
          <cell r="O1794" t="str">
            <v>$1273</v>
          </cell>
          <cell r="P1794" t="str">
            <v>$1273</v>
          </cell>
          <cell r="Q1794">
            <v>45620</v>
          </cell>
          <cell r="R1794" t="str">
            <v>Hyderabad</v>
          </cell>
          <cell r="S1794" t="str">
            <v>Desktop</v>
          </cell>
          <cell r="T1794" t="str">
            <v>data analytics course</v>
          </cell>
        </row>
        <row r="1795">
          <cell r="A1795" t="str">
            <v>A2793</v>
          </cell>
          <cell r="B1795" t="str">
            <v>Data Analytics Course</v>
          </cell>
          <cell r="C1795">
            <v>91</v>
          </cell>
          <cell r="D1795">
            <v>91</v>
          </cell>
          <cell r="E1795">
            <v>3199</v>
          </cell>
          <cell r="F1795">
            <v>3199</v>
          </cell>
          <cell r="G1795" t="str">
            <v>$196.04</v>
          </cell>
          <cell r="H1795" t="str">
            <v>$196.04</v>
          </cell>
          <cell r="I1795">
            <v>27</v>
          </cell>
          <cell r="J1795">
            <v>27</v>
          </cell>
          <cell r="K1795">
            <v>4</v>
          </cell>
          <cell r="L1795">
            <v>4</v>
          </cell>
          <cell r="M1795">
            <v>4.3956043956043959E-2</v>
          </cell>
          <cell r="N1795">
            <v>4.3999999999999997E-2</v>
          </cell>
          <cell r="O1795" t="str">
            <v>$1737</v>
          </cell>
          <cell r="P1795" t="str">
            <v>$1737</v>
          </cell>
          <cell r="Q1795">
            <v>45621</v>
          </cell>
          <cell r="R1795" t="str">
            <v>Bangaluru</v>
          </cell>
          <cell r="S1795" t="str">
            <v>Tablet</v>
          </cell>
          <cell r="T1795" t="str">
            <v>data analytics training</v>
          </cell>
        </row>
        <row r="1796">
          <cell r="A1796" t="str">
            <v>A2794</v>
          </cell>
          <cell r="B1796" t="str">
            <v>Data Analytics Course</v>
          </cell>
          <cell r="C1796">
            <v>171</v>
          </cell>
          <cell r="D1796">
            <v>171</v>
          </cell>
          <cell r="E1796">
            <v>3490</v>
          </cell>
          <cell r="F1796">
            <v>3490</v>
          </cell>
          <cell r="G1796" t="str">
            <v>$180.82</v>
          </cell>
          <cell r="H1796" t="str">
            <v>$180.82</v>
          </cell>
          <cell r="I1796">
            <v>11</v>
          </cell>
          <cell r="J1796">
            <v>11</v>
          </cell>
          <cell r="K1796">
            <v>8</v>
          </cell>
          <cell r="L1796">
            <v>8</v>
          </cell>
          <cell r="M1796">
            <v>4.6783625730994149E-2</v>
          </cell>
          <cell r="N1796">
            <v>4.7E-2</v>
          </cell>
          <cell r="O1796" t="str">
            <v>$1497</v>
          </cell>
          <cell r="P1796" t="str">
            <v>$1497</v>
          </cell>
          <cell r="Q1796">
            <v>45610</v>
          </cell>
          <cell r="R1796" t="str">
            <v>Hyderabad</v>
          </cell>
          <cell r="S1796" t="str">
            <v>Mobile</v>
          </cell>
          <cell r="T1796" t="str">
            <v>data analytics course</v>
          </cell>
        </row>
        <row r="1797">
          <cell r="A1797" t="str">
            <v>A2795</v>
          </cell>
          <cell r="B1797" t="str">
            <v>Data Analytics Course</v>
          </cell>
          <cell r="C1797">
            <v>149</v>
          </cell>
          <cell r="D1797">
            <v>149</v>
          </cell>
          <cell r="E1797">
            <v>3584</v>
          </cell>
          <cell r="F1797">
            <v>3584</v>
          </cell>
          <cell r="G1797" t="str">
            <v>$199.9</v>
          </cell>
          <cell r="H1797" t="str">
            <v>$199.9</v>
          </cell>
          <cell r="I1797">
            <v>21</v>
          </cell>
          <cell r="J1797">
            <v>21</v>
          </cell>
          <cell r="K1797">
            <v>8</v>
          </cell>
          <cell r="L1797">
            <v>8</v>
          </cell>
          <cell r="M1797">
            <v>5.3691275167785234E-2</v>
          </cell>
          <cell r="N1797">
            <v>5.3999999999999999E-2</v>
          </cell>
          <cell r="O1797" t="str">
            <v>$1500</v>
          </cell>
          <cell r="Q1797">
            <v>45614</v>
          </cell>
          <cell r="R1797" t="str">
            <v>Chennai</v>
          </cell>
          <cell r="S1797" t="str">
            <v>Mobile</v>
          </cell>
          <cell r="T1797" t="str">
            <v>learn data analytics</v>
          </cell>
        </row>
        <row r="1798">
          <cell r="A1798" t="str">
            <v>A2796</v>
          </cell>
          <cell r="B1798" t="str">
            <v>Data Analytics Course</v>
          </cell>
          <cell r="C1798">
            <v>121</v>
          </cell>
          <cell r="D1798">
            <v>121</v>
          </cell>
          <cell r="E1798">
            <v>3757</v>
          </cell>
          <cell r="F1798">
            <v>3757</v>
          </cell>
          <cell r="G1798" t="str">
            <v>$241.14</v>
          </cell>
          <cell r="H1798" t="str">
            <v>$241.14</v>
          </cell>
          <cell r="I1798">
            <v>16</v>
          </cell>
          <cell r="J1798">
            <v>16</v>
          </cell>
          <cell r="K1798">
            <v>3</v>
          </cell>
          <cell r="L1798">
            <v>3</v>
          </cell>
          <cell r="M1798">
            <v>2.4793388429752067E-2</v>
          </cell>
          <cell r="N1798">
            <v>0.04</v>
          </cell>
          <cell r="O1798" t="str">
            <v>$1226</v>
          </cell>
          <cell r="P1798" t="str">
            <v>$1226</v>
          </cell>
          <cell r="Q1798">
            <v>45607</v>
          </cell>
          <cell r="R1798" t="str">
            <v>Hyderabad</v>
          </cell>
          <cell r="S1798" t="str">
            <v>Desktop</v>
          </cell>
          <cell r="T1798" t="str">
            <v>data analytics online</v>
          </cell>
        </row>
        <row r="1799">
          <cell r="A1799" t="str">
            <v>A2797</v>
          </cell>
          <cell r="B1799" t="str">
            <v>Data Analytics Course</v>
          </cell>
          <cell r="C1799">
            <v>189</v>
          </cell>
          <cell r="D1799">
            <v>189</v>
          </cell>
          <cell r="E1799">
            <v>3029</v>
          </cell>
          <cell r="F1799">
            <v>3029</v>
          </cell>
          <cell r="G1799" t="str">
            <v>$200.00</v>
          </cell>
          <cell r="I1799">
            <v>21</v>
          </cell>
          <cell r="J1799">
            <v>21</v>
          </cell>
          <cell r="K1799">
            <v>3</v>
          </cell>
          <cell r="L1799">
            <v>3</v>
          </cell>
          <cell r="M1799">
            <v>1.5873015873015872E-2</v>
          </cell>
          <cell r="N1799">
            <v>1.6E-2</v>
          </cell>
          <cell r="O1799" t="str">
            <v>$1016</v>
          </cell>
          <cell r="P1799" t="str">
            <v>$1016</v>
          </cell>
          <cell r="Q1799">
            <v>45601</v>
          </cell>
          <cell r="R1799" t="str">
            <v>Hyderabad</v>
          </cell>
          <cell r="S1799" t="str">
            <v>Desktop</v>
          </cell>
          <cell r="T1799" t="str">
            <v>data analytics training</v>
          </cell>
        </row>
        <row r="1800">
          <cell r="A1800" t="str">
            <v>A2798</v>
          </cell>
          <cell r="B1800" t="str">
            <v>Data Analytics Course</v>
          </cell>
          <cell r="C1800">
            <v>183</v>
          </cell>
          <cell r="D1800">
            <v>183</v>
          </cell>
          <cell r="E1800">
            <v>3876</v>
          </cell>
          <cell r="F1800">
            <v>3876</v>
          </cell>
          <cell r="G1800" t="str">
            <v>$237.72</v>
          </cell>
          <cell r="H1800" t="str">
            <v>$237.72</v>
          </cell>
          <cell r="I1800">
            <v>13</v>
          </cell>
          <cell r="J1800">
            <v>13</v>
          </cell>
          <cell r="K1800">
            <v>10</v>
          </cell>
          <cell r="L1800">
            <v>10</v>
          </cell>
          <cell r="M1800">
            <v>5.4644808743169397E-2</v>
          </cell>
          <cell r="N1800">
            <v>5.5E-2</v>
          </cell>
          <cell r="O1800" t="str">
            <v>$1682</v>
          </cell>
          <cell r="P1800" t="str">
            <v>$1682</v>
          </cell>
          <cell r="Q1800">
            <v>45607</v>
          </cell>
          <cell r="R1800" t="str">
            <v>Bangaluru</v>
          </cell>
          <cell r="S1800" t="str">
            <v>Mobile</v>
          </cell>
          <cell r="T1800" t="str">
            <v>data analytics online</v>
          </cell>
        </row>
        <row r="1801">
          <cell r="A1801" t="str">
            <v>A2799</v>
          </cell>
          <cell r="B1801" t="str">
            <v>Data Analytics Course</v>
          </cell>
          <cell r="C1801">
            <v>133</v>
          </cell>
          <cell r="D1801">
            <v>133</v>
          </cell>
          <cell r="E1801">
            <v>4622</v>
          </cell>
          <cell r="F1801">
            <v>4622</v>
          </cell>
          <cell r="G1801" t="str">
            <v>$243.63</v>
          </cell>
          <cell r="H1801" t="str">
            <v>$243.63</v>
          </cell>
          <cell r="I1801">
            <v>26</v>
          </cell>
          <cell r="J1801">
            <v>26</v>
          </cell>
          <cell r="K1801">
            <v>5</v>
          </cell>
          <cell r="L1801">
            <v>5</v>
          </cell>
          <cell r="M1801">
            <v>3.7593984962406013E-2</v>
          </cell>
          <cell r="N1801">
            <v>3.7999999999999999E-2</v>
          </cell>
          <cell r="O1801" t="str">
            <v>$1742</v>
          </cell>
          <cell r="P1801" t="str">
            <v>$1742</v>
          </cell>
          <cell r="Q1801">
            <v>45618</v>
          </cell>
          <cell r="R1801" t="str">
            <v>Bangaluru</v>
          </cell>
          <cell r="S1801" t="str">
            <v>Mobile</v>
          </cell>
          <cell r="T1801" t="str">
            <v>analytics for data</v>
          </cell>
        </row>
        <row r="1802">
          <cell r="A1802" t="str">
            <v>A2800</v>
          </cell>
          <cell r="B1802" t="str">
            <v>Data Analytics Course</v>
          </cell>
          <cell r="C1802">
            <v>127</v>
          </cell>
          <cell r="D1802">
            <v>127</v>
          </cell>
          <cell r="E1802">
            <v>3249</v>
          </cell>
          <cell r="F1802">
            <v>3249</v>
          </cell>
          <cell r="G1802" t="str">
            <v>$244.01</v>
          </cell>
          <cell r="H1802" t="str">
            <v>$244.01</v>
          </cell>
          <cell r="I1802">
            <v>25</v>
          </cell>
          <cell r="J1802">
            <v>25</v>
          </cell>
          <cell r="K1802">
            <v>5</v>
          </cell>
          <cell r="L1802">
            <v>5</v>
          </cell>
          <cell r="M1802">
            <v>3.937007874015748E-2</v>
          </cell>
          <cell r="N1802">
            <v>3.9E-2</v>
          </cell>
          <cell r="O1802" t="str">
            <v>$1248</v>
          </cell>
          <cell r="P1802" t="str">
            <v>$1248</v>
          </cell>
          <cell r="Q1802">
            <v>45601</v>
          </cell>
          <cell r="R1802" t="str">
            <v>Hyderabad</v>
          </cell>
          <cell r="S1802" t="str">
            <v>Mobile</v>
          </cell>
          <cell r="T1802" t="str">
            <v>analytics for data</v>
          </cell>
        </row>
        <row r="1803">
          <cell r="A1803" t="str">
            <v>A2801</v>
          </cell>
          <cell r="B1803" t="str">
            <v>Data Analytics Course</v>
          </cell>
          <cell r="C1803">
            <v>195</v>
          </cell>
          <cell r="D1803">
            <v>195</v>
          </cell>
          <cell r="E1803">
            <v>3372</v>
          </cell>
          <cell r="F1803">
            <v>3372</v>
          </cell>
          <cell r="G1803" t="str">
            <v>$225.57</v>
          </cell>
          <cell r="H1803" t="str">
            <v>$225.57</v>
          </cell>
          <cell r="I1803">
            <v>10</v>
          </cell>
          <cell r="J1803">
            <v>10</v>
          </cell>
          <cell r="K1803">
            <v>9</v>
          </cell>
          <cell r="L1803">
            <v>9</v>
          </cell>
          <cell r="M1803">
            <v>4.6153846153846156E-2</v>
          </cell>
          <cell r="N1803">
            <v>4.5999999999999999E-2</v>
          </cell>
          <cell r="O1803" t="str">
            <v>$1686</v>
          </cell>
          <cell r="P1803" t="str">
            <v>$1686</v>
          </cell>
          <cell r="Q1803">
            <v>45613</v>
          </cell>
          <cell r="R1803" t="str">
            <v>Bangaluru</v>
          </cell>
          <cell r="S1803" t="str">
            <v>Mobile</v>
          </cell>
          <cell r="T1803" t="str">
            <v>data analytics training</v>
          </cell>
        </row>
        <row r="1804">
          <cell r="A1804" t="str">
            <v>A2802</v>
          </cell>
          <cell r="B1804" t="str">
            <v>Data Analytics Course</v>
          </cell>
          <cell r="C1804">
            <v>138</v>
          </cell>
          <cell r="D1804">
            <v>138</v>
          </cell>
          <cell r="E1804">
            <v>5452</v>
          </cell>
          <cell r="F1804">
            <v>5452</v>
          </cell>
          <cell r="G1804" t="str">
            <v>$210.45</v>
          </cell>
          <cell r="H1804" t="str">
            <v>$210.45</v>
          </cell>
          <cell r="I1804">
            <v>16</v>
          </cell>
          <cell r="J1804">
            <v>16</v>
          </cell>
          <cell r="K1804">
            <v>8</v>
          </cell>
          <cell r="L1804">
            <v>8</v>
          </cell>
          <cell r="M1804">
            <v>5.7971014492753624E-2</v>
          </cell>
          <cell r="N1804">
            <v>5.1999999999999998E-2</v>
          </cell>
          <cell r="O1804" t="str">
            <v>$1964</v>
          </cell>
          <cell r="P1804" t="str">
            <v>$1964</v>
          </cell>
          <cell r="Q1804">
            <v>45598</v>
          </cell>
          <cell r="R1804" t="str">
            <v>Hyderabad</v>
          </cell>
          <cell r="S1804" t="str">
            <v>Desktop</v>
          </cell>
          <cell r="T1804" t="str">
            <v>data analytics training</v>
          </cell>
        </row>
        <row r="1805">
          <cell r="A1805" t="str">
            <v>A2803</v>
          </cell>
          <cell r="B1805" t="str">
            <v>Data Analytics Course</v>
          </cell>
          <cell r="C1805">
            <v>134</v>
          </cell>
          <cell r="D1805">
            <v>134</v>
          </cell>
          <cell r="E1805">
            <v>3011</v>
          </cell>
          <cell r="F1805">
            <v>3011</v>
          </cell>
          <cell r="G1805" t="str">
            <v>$230.59</v>
          </cell>
          <cell r="H1805" t="str">
            <v>$230.59</v>
          </cell>
          <cell r="I1805">
            <v>21</v>
          </cell>
          <cell r="J1805">
            <v>21</v>
          </cell>
          <cell r="K1805">
            <v>7</v>
          </cell>
          <cell r="L1805">
            <v>7</v>
          </cell>
          <cell r="M1805">
            <v>5.2238805970149252E-2</v>
          </cell>
          <cell r="N1805">
            <v>5.1999999999999998E-2</v>
          </cell>
          <cell r="O1805" t="str">
            <v>$1224</v>
          </cell>
          <cell r="P1805" t="str">
            <v>$1224</v>
          </cell>
          <cell r="Q1805">
            <v>45612</v>
          </cell>
          <cell r="R1805" t="str">
            <v>Hyderabad</v>
          </cell>
          <cell r="S1805" t="str">
            <v>Mobile</v>
          </cell>
          <cell r="T1805" t="str">
            <v>online data analytic</v>
          </cell>
        </row>
        <row r="1806">
          <cell r="A1806" t="str">
            <v>A2804</v>
          </cell>
          <cell r="B1806" t="str">
            <v>Data Analytics Course</v>
          </cell>
          <cell r="C1806">
            <v>110</v>
          </cell>
          <cell r="D1806">
            <v>110</v>
          </cell>
          <cell r="E1806">
            <v>3371</v>
          </cell>
          <cell r="F1806">
            <v>3371</v>
          </cell>
          <cell r="G1806" t="str">
            <v>$211.89</v>
          </cell>
          <cell r="H1806" t="str">
            <v>$211.89</v>
          </cell>
          <cell r="I1806">
            <v>12</v>
          </cell>
          <cell r="J1806">
            <v>12</v>
          </cell>
          <cell r="K1806">
            <v>6</v>
          </cell>
          <cell r="L1806">
            <v>6</v>
          </cell>
          <cell r="M1806">
            <v>5.4545454545454543E-2</v>
          </cell>
          <cell r="N1806">
            <v>5.5E-2</v>
          </cell>
          <cell r="O1806" t="str">
            <v>$1743</v>
          </cell>
          <cell r="P1806" t="str">
            <v>$1743</v>
          </cell>
          <cell r="Q1806">
            <v>45605</v>
          </cell>
          <cell r="R1806" t="str">
            <v>Bangaluru</v>
          </cell>
          <cell r="S1806" t="str">
            <v>Tablet</v>
          </cell>
          <cell r="T1806" t="str">
            <v>data analytics course</v>
          </cell>
        </row>
        <row r="1807">
          <cell r="A1807" t="str">
            <v>A2805</v>
          </cell>
          <cell r="B1807" t="str">
            <v>Data Analytics Course</v>
          </cell>
          <cell r="C1807">
            <v>186</v>
          </cell>
          <cell r="D1807">
            <v>186</v>
          </cell>
          <cell r="E1807">
            <v>5126</v>
          </cell>
          <cell r="F1807">
            <v>5126</v>
          </cell>
          <cell r="G1807" t="str">
            <v>$182.38</v>
          </cell>
          <cell r="H1807" t="str">
            <v>$182.38</v>
          </cell>
          <cell r="I1807">
            <v>25</v>
          </cell>
          <cell r="J1807">
            <v>25</v>
          </cell>
          <cell r="K1807">
            <v>7</v>
          </cell>
          <cell r="L1807">
            <v>7</v>
          </cell>
          <cell r="M1807">
            <v>3.7634408602150539E-2</v>
          </cell>
          <cell r="N1807">
            <v>3.7999999999999999E-2</v>
          </cell>
          <cell r="O1807" t="str">
            <v>$1856</v>
          </cell>
          <cell r="P1807" t="str">
            <v>$1856</v>
          </cell>
          <cell r="Q1807">
            <v>45614</v>
          </cell>
          <cell r="R1807" t="str">
            <v>Chennai</v>
          </cell>
          <cell r="S1807" t="str">
            <v>Tablet</v>
          </cell>
          <cell r="T1807" t="str">
            <v>data analytics online</v>
          </cell>
        </row>
        <row r="1808">
          <cell r="A1808" t="str">
            <v>A2806</v>
          </cell>
          <cell r="B1808" t="str">
            <v>Data Analytics Course</v>
          </cell>
          <cell r="C1808">
            <v>191</v>
          </cell>
          <cell r="D1808">
            <v>191</v>
          </cell>
          <cell r="E1808">
            <v>5257</v>
          </cell>
          <cell r="F1808">
            <v>5257</v>
          </cell>
          <cell r="G1808" t="str">
            <v>$219.4</v>
          </cell>
          <cell r="H1808" t="str">
            <v>$219.4</v>
          </cell>
          <cell r="I1808">
            <v>29</v>
          </cell>
          <cell r="J1808">
            <v>29</v>
          </cell>
          <cell r="K1808">
            <v>6</v>
          </cell>
          <cell r="L1808">
            <v>6</v>
          </cell>
          <cell r="M1808">
            <v>3.1413612565445025E-2</v>
          </cell>
          <cell r="N1808">
            <v>3.1E-2</v>
          </cell>
          <cell r="O1808" t="str">
            <v>$1730</v>
          </cell>
          <cell r="P1808" t="str">
            <v>$1730</v>
          </cell>
          <cell r="Q1808">
            <v>45600</v>
          </cell>
          <cell r="R1808" t="str">
            <v>Chennai</v>
          </cell>
          <cell r="S1808" t="str">
            <v>Mobile</v>
          </cell>
          <cell r="T1808" t="str">
            <v>data analytics online</v>
          </cell>
        </row>
        <row r="1809">
          <cell r="A1809" t="str">
            <v>A2807</v>
          </cell>
          <cell r="B1809" t="str">
            <v>Data Analytics Course</v>
          </cell>
          <cell r="C1809">
            <v>169</v>
          </cell>
          <cell r="D1809">
            <v>169</v>
          </cell>
          <cell r="E1809">
            <v>3475</v>
          </cell>
          <cell r="F1809">
            <v>3475</v>
          </cell>
          <cell r="G1809" t="str">
            <v>$247.16</v>
          </cell>
          <cell r="H1809" t="str">
            <v>$247.16</v>
          </cell>
          <cell r="I1809">
            <v>12</v>
          </cell>
          <cell r="J1809">
            <v>12</v>
          </cell>
          <cell r="K1809">
            <v>3</v>
          </cell>
          <cell r="L1809">
            <v>3</v>
          </cell>
          <cell r="M1809">
            <v>1.7751479289940829E-2</v>
          </cell>
          <cell r="N1809">
            <v>1.7999999999999999E-2</v>
          </cell>
          <cell r="O1809" t="str">
            <v>$1985</v>
          </cell>
          <cell r="P1809" t="str">
            <v>$1985</v>
          </cell>
          <cell r="Q1809">
            <v>45608</v>
          </cell>
          <cell r="R1809" t="str">
            <v>Hyderabad</v>
          </cell>
          <cell r="S1809" t="str">
            <v>Mobile</v>
          </cell>
          <cell r="T1809" t="str">
            <v>data analytics training</v>
          </cell>
        </row>
        <row r="1810">
          <cell r="A1810" t="str">
            <v>A2808</v>
          </cell>
          <cell r="B1810" t="str">
            <v>Data Analytics Course</v>
          </cell>
          <cell r="C1810">
            <v>198</v>
          </cell>
          <cell r="D1810">
            <v>198</v>
          </cell>
          <cell r="E1810">
            <v>5447</v>
          </cell>
          <cell r="F1810">
            <v>5447</v>
          </cell>
          <cell r="G1810" t="str">
            <v>$225.49</v>
          </cell>
          <cell r="H1810" t="str">
            <v>$225.49</v>
          </cell>
          <cell r="I1810">
            <v>16</v>
          </cell>
          <cell r="J1810">
            <v>16</v>
          </cell>
          <cell r="K1810">
            <v>5</v>
          </cell>
          <cell r="L1810">
            <v>5</v>
          </cell>
          <cell r="M1810">
            <v>2.5252525252525252E-2</v>
          </cell>
          <cell r="N1810">
            <v>2.5000000000000001E-2</v>
          </cell>
          <cell r="O1810" t="str">
            <v>$1249</v>
          </cell>
          <cell r="P1810" t="str">
            <v>$1249</v>
          </cell>
          <cell r="Q1810">
            <v>45625</v>
          </cell>
          <cell r="R1810" t="str">
            <v>Bangaluru</v>
          </cell>
          <cell r="S1810" t="str">
            <v>Mobile</v>
          </cell>
          <cell r="T1810" t="str">
            <v>analytics for data</v>
          </cell>
        </row>
        <row r="1811">
          <cell r="A1811" t="str">
            <v>A2809</v>
          </cell>
          <cell r="B1811" t="str">
            <v>Data Analytics Course</v>
          </cell>
          <cell r="C1811">
            <v>184</v>
          </cell>
          <cell r="D1811">
            <v>184</v>
          </cell>
          <cell r="E1811">
            <v>3272</v>
          </cell>
          <cell r="F1811">
            <v>3272</v>
          </cell>
          <cell r="G1811" t="str">
            <v>$241.8</v>
          </cell>
          <cell r="H1811" t="str">
            <v>$241.8</v>
          </cell>
          <cell r="I1811">
            <v>27</v>
          </cell>
          <cell r="J1811">
            <v>27</v>
          </cell>
          <cell r="K1811">
            <v>9</v>
          </cell>
          <cell r="L1811">
            <v>9</v>
          </cell>
          <cell r="M1811">
            <v>4.8913043478260872E-2</v>
          </cell>
          <cell r="O1811" t="str">
            <v>$1969</v>
          </cell>
          <cell r="P1811" t="str">
            <v>$1969</v>
          </cell>
          <cell r="Q1811">
            <v>45604</v>
          </cell>
          <cell r="R1811" t="str">
            <v>Hyderabad</v>
          </cell>
          <cell r="S1811" t="str">
            <v>Mobile</v>
          </cell>
          <cell r="T1811" t="str">
            <v>learn data analytics</v>
          </cell>
        </row>
        <row r="1812">
          <cell r="A1812" t="str">
            <v>A2810</v>
          </cell>
          <cell r="B1812" t="str">
            <v>Data Analytics Course</v>
          </cell>
          <cell r="C1812">
            <v>87</v>
          </cell>
          <cell r="D1812">
            <v>87</v>
          </cell>
          <cell r="E1812">
            <v>5221</v>
          </cell>
          <cell r="F1812">
            <v>5221</v>
          </cell>
          <cell r="G1812" t="str">
            <v>$217.08</v>
          </cell>
          <cell r="H1812" t="str">
            <v>$217.08</v>
          </cell>
          <cell r="I1812">
            <v>13</v>
          </cell>
          <cell r="J1812">
            <v>13</v>
          </cell>
          <cell r="K1812">
            <v>9</v>
          </cell>
          <cell r="L1812">
            <v>9</v>
          </cell>
          <cell r="M1812">
            <v>0.10344827586206896</v>
          </cell>
          <cell r="N1812">
            <v>0.10299999999999999</v>
          </cell>
          <cell r="O1812" t="str">
            <v>$1723</v>
          </cell>
          <cell r="P1812" t="str">
            <v>$1723</v>
          </cell>
          <cell r="Q1812">
            <v>45605</v>
          </cell>
          <cell r="R1812" t="str">
            <v>Bangaluru</v>
          </cell>
          <cell r="S1812" t="str">
            <v>Desktop</v>
          </cell>
          <cell r="T1812" t="str">
            <v>data analytics online</v>
          </cell>
        </row>
        <row r="1813">
          <cell r="A1813" t="str">
            <v>A2811</v>
          </cell>
          <cell r="B1813" t="str">
            <v>Data Analytics Course</v>
          </cell>
          <cell r="C1813">
            <v>180</v>
          </cell>
          <cell r="D1813">
            <v>180</v>
          </cell>
          <cell r="E1813">
            <v>3099</v>
          </cell>
          <cell r="F1813">
            <v>3099</v>
          </cell>
          <cell r="G1813" t="str">
            <v>$241.32</v>
          </cell>
          <cell r="H1813" t="str">
            <v>$241.32</v>
          </cell>
          <cell r="I1813">
            <v>23</v>
          </cell>
          <cell r="J1813">
            <v>23</v>
          </cell>
          <cell r="K1813">
            <v>5</v>
          </cell>
          <cell r="L1813">
            <v>5</v>
          </cell>
          <cell r="M1813">
            <v>2.7777777777777776E-2</v>
          </cell>
          <cell r="N1813">
            <v>2.8000000000000001E-2</v>
          </cell>
          <cell r="O1813" t="str">
            <v>$1177</v>
          </cell>
          <cell r="P1813" t="str">
            <v>$1177</v>
          </cell>
          <cell r="Q1813">
            <v>45624</v>
          </cell>
          <cell r="R1813" t="str">
            <v>Hyderabad</v>
          </cell>
          <cell r="S1813" t="str">
            <v>Mobile</v>
          </cell>
          <cell r="T1813" t="str">
            <v>analytics for data</v>
          </cell>
        </row>
        <row r="1814">
          <cell r="A1814" t="str">
            <v>A2812</v>
          </cell>
          <cell r="B1814" t="str">
            <v>Data Analytics Course</v>
          </cell>
          <cell r="C1814">
            <v>99</v>
          </cell>
          <cell r="D1814">
            <v>99</v>
          </cell>
          <cell r="E1814">
            <v>4229</v>
          </cell>
          <cell r="F1814">
            <v>4229</v>
          </cell>
          <cell r="G1814" t="str">
            <v>$183.7</v>
          </cell>
          <cell r="H1814" t="str">
            <v>$183.7</v>
          </cell>
          <cell r="I1814">
            <v>24</v>
          </cell>
          <cell r="J1814">
            <v>24</v>
          </cell>
          <cell r="K1814">
            <v>8</v>
          </cell>
          <cell r="L1814">
            <v>8</v>
          </cell>
          <cell r="M1814">
            <v>8.0808080808080815E-2</v>
          </cell>
          <cell r="N1814">
            <v>8.1000000000000003E-2</v>
          </cell>
          <cell r="O1814" t="str">
            <v>$1792</v>
          </cell>
          <cell r="P1814" t="str">
            <v>$1792</v>
          </cell>
          <cell r="Q1814">
            <v>45615</v>
          </cell>
          <cell r="R1814" t="str">
            <v>Hyderabad</v>
          </cell>
          <cell r="S1814" t="str">
            <v>Mobile</v>
          </cell>
          <cell r="T1814" t="str">
            <v>learn data analytics</v>
          </cell>
        </row>
        <row r="1815">
          <cell r="A1815" t="str">
            <v>A2813</v>
          </cell>
          <cell r="B1815" t="str">
            <v>Data Analytics Course</v>
          </cell>
          <cell r="C1815">
            <v>148</v>
          </cell>
          <cell r="D1815">
            <v>148</v>
          </cell>
          <cell r="E1815">
            <v>4038</v>
          </cell>
          <cell r="F1815">
            <v>4038</v>
          </cell>
          <cell r="G1815" t="str">
            <v>$248.37</v>
          </cell>
          <cell r="H1815" t="str">
            <v>$248.37</v>
          </cell>
          <cell r="I1815">
            <v>28</v>
          </cell>
          <cell r="J1815">
            <v>28</v>
          </cell>
          <cell r="K1815">
            <v>3</v>
          </cell>
          <cell r="L1815">
            <v>3</v>
          </cell>
          <cell r="M1815">
            <v>2.0270270270270271E-2</v>
          </cell>
          <cell r="O1815" t="str">
            <v>$1549</v>
          </cell>
          <cell r="P1815" t="str">
            <v>$1549</v>
          </cell>
          <cell r="Q1815">
            <v>45604</v>
          </cell>
          <cell r="R1815" t="str">
            <v>Hyderabad</v>
          </cell>
          <cell r="S1815" t="str">
            <v>Mobile</v>
          </cell>
          <cell r="T1815" t="str">
            <v>online data analytic</v>
          </cell>
        </row>
        <row r="1816">
          <cell r="A1816" t="str">
            <v>A2814</v>
          </cell>
          <cell r="B1816" t="str">
            <v>Data Analytics Course</v>
          </cell>
          <cell r="C1816">
            <v>146</v>
          </cell>
          <cell r="D1816">
            <v>146</v>
          </cell>
          <cell r="E1816">
            <v>3960</v>
          </cell>
          <cell r="F1816">
            <v>3960</v>
          </cell>
          <cell r="G1816" t="str">
            <v>$213.7</v>
          </cell>
          <cell r="H1816" t="str">
            <v>$213.7</v>
          </cell>
          <cell r="I1816">
            <v>29</v>
          </cell>
          <cell r="J1816">
            <v>29</v>
          </cell>
          <cell r="K1816">
            <v>6</v>
          </cell>
          <cell r="L1816">
            <v>6</v>
          </cell>
          <cell r="M1816">
            <v>4.1095890410958902E-2</v>
          </cell>
          <cell r="N1816">
            <v>4.1000000000000002E-2</v>
          </cell>
          <cell r="O1816" t="str">
            <v>$1178</v>
          </cell>
          <cell r="P1816" t="str">
            <v>$1178</v>
          </cell>
          <cell r="Q1816">
            <v>45619</v>
          </cell>
          <cell r="R1816" t="str">
            <v>Chennai</v>
          </cell>
          <cell r="S1816" t="str">
            <v>Mobile</v>
          </cell>
          <cell r="T1816" t="str">
            <v>data analytics course</v>
          </cell>
        </row>
        <row r="1817">
          <cell r="A1817" t="str">
            <v>A2815</v>
          </cell>
          <cell r="B1817" t="str">
            <v>Data Analytcis Course</v>
          </cell>
          <cell r="C1817">
            <v>149</v>
          </cell>
          <cell r="D1817">
            <v>149</v>
          </cell>
          <cell r="E1817">
            <v>3865</v>
          </cell>
          <cell r="F1817">
            <v>3865</v>
          </cell>
          <cell r="G1817" t="str">
            <v>$198.54</v>
          </cell>
          <cell r="H1817" t="str">
            <v>$198.54</v>
          </cell>
          <cell r="I1817">
            <v>14</v>
          </cell>
          <cell r="J1817">
            <v>14</v>
          </cell>
          <cell r="K1817">
            <v>4</v>
          </cell>
          <cell r="L1817">
            <v>4</v>
          </cell>
          <cell r="M1817">
            <v>2.6845637583892617E-2</v>
          </cell>
          <cell r="N1817">
            <v>3.4000000000000002E-2</v>
          </cell>
          <cell r="O1817" t="str">
            <v>$1500</v>
          </cell>
          <cell r="Q1817">
            <v>45597</v>
          </cell>
          <cell r="R1817" t="str">
            <v>Hyderabad</v>
          </cell>
          <cell r="S1817" t="str">
            <v>Tablet</v>
          </cell>
          <cell r="T1817" t="str">
            <v>data analytics training</v>
          </cell>
        </row>
        <row r="1818">
          <cell r="A1818" t="str">
            <v>A2816</v>
          </cell>
          <cell r="B1818" t="str">
            <v>Data Analytics Course</v>
          </cell>
          <cell r="C1818">
            <v>88</v>
          </cell>
          <cell r="D1818">
            <v>88</v>
          </cell>
          <cell r="E1818">
            <v>3433</v>
          </cell>
          <cell r="F1818">
            <v>3433</v>
          </cell>
          <cell r="G1818" t="str">
            <v>$241.8</v>
          </cell>
          <cell r="H1818" t="str">
            <v>$241.8</v>
          </cell>
          <cell r="I1818">
            <v>29</v>
          </cell>
          <cell r="J1818">
            <v>29</v>
          </cell>
          <cell r="K1818">
            <v>6</v>
          </cell>
          <cell r="L1818">
            <v>6</v>
          </cell>
          <cell r="M1818">
            <v>6.8181818181818177E-2</v>
          </cell>
          <cell r="N1818">
            <v>6.8000000000000005E-2</v>
          </cell>
          <cell r="O1818" t="str">
            <v>$1654</v>
          </cell>
          <cell r="P1818" t="str">
            <v>$1654</v>
          </cell>
          <cell r="Q1818">
            <v>45616</v>
          </cell>
          <cell r="R1818" t="str">
            <v>Hyderabad</v>
          </cell>
          <cell r="S1818" t="str">
            <v>Mobile</v>
          </cell>
          <cell r="T1818" t="str">
            <v>learn data analytics</v>
          </cell>
        </row>
        <row r="1819">
          <cell r="A1819" t="str">
            <v>A2817</v>
          </cell>
          <cell r="B1819" t="str">
            <v>Data Analytics Course</v>
          </cell>
          <cell r="C1819">
            <v>154</v>
          </cell>
          <cell r="D1819">
            <v>154</v>
          </cell>
          <cell r="E1819">
            <v>3009</v>
          </cell>
          <cell r="F1819">
            <v>3009</v>
          </cell>
          <cell r="G1819" t="str">
            <v>$185.32</v>
          </cell>
          <cell r="H1819" t="str">
            <v>$185.32</v>
          </cell>
          <cell r="I1819">
            <v>16</v>
          </cell>
          <cell r="J1819">
            <v>16</v>
          </cell>
          <cell r="K1819">
            <v>9</v>
          </cell>
          <cell r="L1819">
            <v>9</v>
          </cell>
          <cell r="M1819">
            <v>5.844155844155844E-2</v>
          </cell>
          <cell r="N1819">
            <v>5.0999999999999997E-2</v>
          </cell>
          <cell r="O1819" t="str">
            <v>$1433</v>
          </cell>
          <cell r="P1819" t="str">
            <v>$1433</v>
          </cell>
          <cell r="Q1819">
            <v>45610</v>
          </cell>
          <cell r="R1819" t="str">
            <v>Hyderabad</v>
          </cell>
          <cell r="S1819" t="str">
            <v>Mobile</v>
          </cell>
          <cell r="T1819" t="str">
            <v>data analytics online</v>
          </cell>
        </row>
        <row r="1820">
          <cell r="A1820" t="str">
            <v>A2818</v>
          </cell>
          <cell r="B1820" t="str">
            <v>Data Analytics Course</v>
          </cell>
          <cell r="C1820">
            <v>137</v>
          </cell>
          <cell r="D1820">
            <v>137</v>
          </cell>
          <cell r="E1820">
            <v>4817</v>
          </cell>
          <cell r="F1820">
            <v>4817</v>
          </cell>
          <cell r="G1820" t="str">
            <v>$200.00</v>
          </cell>
          <cell r="I1820">
            <v>17</v>
          </cell>
          <cell r="J1820">
            <v>17</v>
          </cell>
          <cell r="K1820">
            <v>6</v>
          </cell>
          <cell r="L1820">
            <v>6</v>
          </cell>
          <cell r="M1820">
            <v>4.3795620437956206E-2</v>
          </cell>
          <cell r="N1820">
            <v>5.6000000000000001E-2</v>
          </cell>
          <cell r="O1820" t="str">
            <v>$1720</v>
          </cell>
          <cell r="P1820" t="str">
            <v>$1720</v>
          </cell>
          <cell r="Q1820">
            <v>45604</v>
          </cell>
          <cell r="R1820" t="str">
            <v>Hyderabad</v>
          </cell>
          <cell r="S1820" t="str">
            <v>Mobile</v>
          </cell>
          <cell r="T1820" t="str">
            <v>data analytics course</v>
          </cell>
        </row>
        <row r="1821">
          <cell r="A1821" t="str">
            <v>A2819</v>
          </cell>
          <cell r="B1821" t="str">
            <v>Data Analytics Course</v>
          </cell>
          <cell r="C1821">
            <v>125</v>
          </cell>
          <cell r="D1821">
            <v>125</v>
          </cell>
          <cell r="E1821">
            <v>5217</v>
          </cell>
          <cell r="F1821">
            <v>5217</v>
          </cell>
          <cell r="G1821" t="str">
            <v>$183.16</v>
          </cell>
          <cell r="H1821" t="str">
            <v>$183.16</v>
          </cell>
          <cell r="I1821">
            <v>16</v>
          </cell>
          <cell r="J1821">
            <v>16</v>
          </cell>
          <cell r="K1821">
            <v>10</v>
          </cell>
          <cell r="L1821">
            <v>10</v>
          </cell>
          <cell r="M1821">
            <v>0.08</v>
          </cell>
          <cell r="N1821">
            <v>4.1000000000000002E-2</v>
          </cell>
          <cell r="O1821" t="str">
            <v>$1245</v>
          </cell>
          <cell r="P1821" t="str">
            <v>$1245</v>
          </cell>
          <cell r="Q1821">
            <v>45599</v>
          </cell>
          <cell r="R1821" t="str">
            <v>Hyderabad</v>
          </cell>
          <cell r="S1821" t="str">
            <v>Tablet</v>
          </cell>
          <cell r="T1821" t="str">
            <v>learn data analytics</v>
          </cell>
        </row>
        <row r="1822">
          <cell r="A1822" t="str">
            <v>A2820</v>
          </cell>
          <cell r="B1822" t="str">
            <v>Data Analytics Course</v>
          </cell>
          <cell r="C1822">
            <v>155</v>
          </cell>
          <cell r="D1822">
            <v>155</v>
          </cell>
          <cell r="E1822">
            <v>4870</v>
          </cell>
          <cell r="F1822">
            <v>4870</v>
          </cell>
          <cell r="G1822" t="str">
            <v>$191.54</v>
          </cell>
          <cell r="H1822" t="str">
            <v>$191.54</v>
          </cell>
          <cell r="I1822">
            <v>23</v>
          </cell>
          <cell r="J1822">
            <v>23</v>
          </cell>
          <cell r="K1822">
            <v>8</v>
          </cell>
          <cell r="L1822">
            <v>8</v>
          </cell>
          <cell r="M1822">
            <v>5.1612903225806452E-2</v>
          </cell>
          <cell r="N1822">
            <v>5.1999999999999998E-2</v>
          </cell>
          <cell r="O1822" t="str">
            <v>$1451</v>
          </cell>
          <cell r="P1822" t="str">
            <v>$1451</v>
          </cell>
          <cell r="Q1822">
            <v>45610</v>
          </cell>
          <cell r="R1822" t="str">
            <v>Bangaluru</v>
          </cell>
          <cell r="S1822" t="str">
            <v>Tablet</v>
          </cell>
          <cell r="T1822" t="str">
            <v>data analytics course</v>
          </cell>
        </row>
        <row r="1823">
          <cell r="A1823" t="str">
            <v>A2821</v>
          </cell>
          <cell r="B1823" t="str">
            <v>Data Analytics Course</v>
          </cell>
          <cell r="C1823">
            <v>111</v>
          </cell>
          <cell r="D1823">
            <v>111</v>
          </cell>
          <cell r="E1823">
            <v>5133</v>
          </cell>
          <cell r="F1823">
            <v>5133</v>
          </cell>
          <cell r="G1823" t="str">
            <v>$240.23</v>
          </cell>
          <cell r="H1823" t="str">
            <v>$240.23</v>
          </cell>
          <cell r="I1823">
            <v>22</v>
          </cell>
          <cell r="J1823">
            <v>22</v>
          </cell>
          <cell r="K1823">
            <v>8</v>
          </cell>
          <cell r="L1823">
            <v>8</v>
          </cell>
          <cell r="M1823">
            <v>7.2072072072072071E-2</v>
          </cell>
          <cell r="N1823">
            <v>7.1999999999999995E-2</v>
          </cell>
          <cell r="O1823" t="str">
            <v>$1555</v>
          </cell>
          <cell r="P1823" t="str">
            <v>$1555</v>
          </cell>
          <cell r="Q1823">
            <v>45618</v>
          </cell>
          <cell r="R1823" t="str">
            <v>Hyderabad</v>
          </cell>
          <cell r="S1823" t="str">
            <v>Desktop</v>
          </cell>
          <cell r="T1823" t="str">
            <v>online data analytic</v>
          </cell>
        </row>
        <row r="1824">
          <cell r="A1824" t="str">
            <v>A2822</v>
          </cell>
          <cell r="B1824" t="str">
            <v>Data Analytics Course</v>
          </cell>
          <cell r="C1824">
            <v>141</v>
          </cell>
          <cell r="D1824">
            <v>141</v>
          </cell>
          <cell r="E1824">
            <v>3181</v>
          </cell>
          <cell r="F1824">
            <v>3181</v>
          </cell>
          <cell r="G1824" t="str">
            <v>$234.44</v>
          </cell>
          <cell r="H1824" t="str">
            <v>$234.44</v>
          </cell>
          <cell r="I1824">
            <v>16</v>
          </cell>
          <cell r="J1824">
            <v>16</v>
          </cell>
          <cell r="K1824">
            <v>9</v>
          </cell>
          <cell r="L1824">
            <v>9</v>
          </cell>
          <cell r="M1824">
            <v>6.3829787234042548E-2</v>
          </cell>
          <cell r="N1824">
            <v>6.4000000000000001E-2</v>
          </cell>
          <cell r="O1824" t="str">
            <v>$1628</v>
          </cell>
          <cell r="P1824" t="str">
            <v>$1628</v>
          </cell>
          <cell r="Q1824">
            <v>45617</v>
          </cell>
          <cell r="R1824" t="str">
            <v>Chennai</v>
          </cell>
          <cell r="S1824" t="str">
            <v>Desktop</v>
          </cell>
          <cell r="T1824" t="str">
            <v>data analytics training</v>
          </cell>
        </row>
        <row r="1825">
          <cell r="A1825" t="str">
            <v>A2823</v>
          </cell>
          <cell r="B1825" t="str">
            <v>Data Analytics Course</v>
          </cell>
          <cell r="C1825">
            <v>153</v>
          </cell>
          <cell r="D1825">
            <v>153</v>
          </cell>
          <cell r="E1825">
            <v>4153</v>
          </cell>
          <cell r="F1825">
            <v>4153</v>
          </cell>
          <cell r="G1825" t="str">
            <v>$234.25</v>
          </cell>
          <cell r="H1825" t="str">
            <v>$234.25</v>
          </cell>
          <cell r="I1825">
            <v>18</v>
          </cell>
          <cell r="J1825">
            <v>18</v>
          </cell>
          <cell r="K1825">
            <v>5</v>
          </cell>
          <cell r="L1825">
            <v>5</v>
          </cell>
          <cell r="M1825">
            <v>3.2679738562091505E-2</v>
          </cell>
          <cell r="N1825">
            <v>4.8000000000000001E-2</v>
          </cell>
          <cell r="O1825" t="str">
            <v>$1368</v>
          </cell>
          <cell r="P1825" t="str">
            <v>$1368</v>
          </cell>
          <cell r="Q1825">
            <v>45620</v>
          </cell>
          <cell r="R1825" t="str">
            <v>Hyderabad</v>
          </cell>
          <cell r="S1825" t="str">
            <v>Tablet</v>
          </cell>
          <cell r="T1825" t="str">
            <v>data analytics course</v>
          </cell>
        </row>
        <row r="1826">
          <cell r="A1826" t="str">
            <v>A2824</v>
          </cell>
          <cell r="B1826" t="str">
            <v>Data Analytics Course</v>
          </cell>
          <cell r="C1826">
            <v>176</v>
          </cell>
          <cell r="D1826">
            <v>176</v>
          </cell>
          <cell r="E1826">
            <v>4523.2808326787117</v>
          </cell>
          <cell r="G1826" t="str">
            <v>$191.11</v>
          </cell>
          <cell r="H1826" t="str">
            <v>$191.11</v>
          </cell>
          <cell r="I1826">
            <v>11</v>
          </cell>
          <cell r="J1826">
            <v>11</v>
          </cell>
          <cell r="K1826">
            <v>4</v>
          </cell>
          <cell r="L1826">
            <v>4</v>
          </cell>
          <cell r="M1826">
            <v>2.2727272727272728E-2</v>
          </cell>
          <cell r="N1826">
            <v>5.8999999999999997E-2</v>
          </cell>
          <cell r="O1826" t="str">
            <v>$1107</v>
          </cell>
          <cell r="P1826" t="str">
            <v>$1107</v>
          </cell>
          <cell r="Q1826">
            <v>45624</v>
          </cell>
          <cell r="R1826" t="str">
            <v>Bangaluru</v>
          </cell>
          <cell r="S1826" t="str">
            <v>Mobile</v>
          </cell>
          <cell r="T1826" t="str">
            <v>online data analytic</v>
          </cell>
        </row>
        <row r="1827">
          <cell r="A1827" t="str">
            <v>A2825</v>
          </cell>
          <cell r="B1827" t="str">
            <v>Data Analytcis Course</v>
          </cell>
          <cell r="C1827">
            <v>147</v>
          </cell>
          <cell r="D1827">
            <v>147</v>
          </cell>
          <cell r="E1827">
            <v>4250</v>
          </cell>
          <cell r="F1827">
            <v>4250</v>
          </cell>
          <cell r="G1827" t="str">
            <v>$223.33</v>
          </cell>
          <cell r="H1827" t="str">
            <v>$223.33</v>
          </cell>
          <cell r="I1827">
            <v>17</v>
          </cell>
          <cell r="J1827">
            <v>17</v>
          </cell>
          <cell r="K1827">
            <v>3</v>
          </cell>
          <cell r="L1827">
            <v>3</v>
          </cell>
          <cell r="M1827">
            <v>2.0408163265306121E-2</v>
          </cell>
          <cell r="N1827">
            <v>0.02</v>
          </cell>
          <cell r="O1827" t="str">
            <v>$1069</v>
          </cell>
          <cell r="P1827" t="str">
            <v>$1069</v>
          </cell>
          <cell r="Q1827">
            <v>45623</v>
          </cell>
          <cell r="R1827" t="str">
            <v>Chennai</v>
          </cell>
          <cell r="S1827" t="str">
            <v>Desktop</v>
          </cell>
          <cell r="T1827" t="str">
            <v>online data analytic</v>
          </cell>
        </row>
        <row r="1828">
          <cell r="A1828" t="str">
            <v>A2826</v>
          </cell>
          <cell r="B1828" t="str">
            <v>Data Analytics Course</v>
          </cell>
          <cell r="C1828">
            <v>80</v>
          </cell>
          <cell r="D1828">
            <v>80</v>
          </cell>
          <cell r="E1828">
            <v>4523.2808326787117</v>
          </cell>
          <cell r="G1828" t="str">
            <v>$196.17</v>
          </cell>
          <cell r="H1828" t="str">
            <v>$196.17</v>
          </cell>
          <cell r="I1828">
            <v>15</v>
          </cell>
          <cell r="J1828">
            <v>15</v>
          </cell>
          <cell r="K1828">
            <v>4</v>
          </cell>
          <cell r="L1828">
            <v>4</v>
          </cell>
          <cell r="M1828">
            <v>0.05</v>
          </cell>
          <cell r="N1828">
            <v>0.05</v>
          </cell>
          <cell r="O1828" t="str">
            <v>$1252</v>
          </cell>
          <cell r="P1828" t="str">
            <v>$1252</v>
          </cell>
          <cell r="Q1828">
            <v>45604</v>
          </cell>
          <cell r="R1828" t="str">
            <v>Chennai</v>
          </cell>
          <cell r="S1828" t="str">
            <v>Desktop</v>
          </cell>
          <cell r="T1828" t="str">
            <v>learn data analytics</v>
          </cell>
        </row>
        <row r="1829">
          <cell r="A1829" t="str">
            <v>A2827</v>
          </cell>
          <cell r="B1829" t="str">
            <v>Data Analytics Course</v>
          </cell>
          <cell r="C1829">
            <v>181</v>
          </cell>
          <cell r="D1829">
            <v>181</v>
          </cell>
          <cell r="E1829">
            <v>5783</v>
          </cell>
          <cell r="F1829">
            <v>5783</v>
          </cell>
          <cell r="G1829" t="str">
            <v>$231.16</v>
          </cell>
          <cell r="H1829" t="str">
            <v>$231.16</v>
          </cell>
          <cell r="I1829">
            <v>24</v>
          </cell>
          <cell r="J1829">
            <v>24</v>
          </cell>
          <cell r="K1829">
            <v>4</v>
          </cell>
          <cell r="L1829">
            <v>4</v>
          </cell>
          <cell r="M1829">
            <v>2.2099447513812154E-2</v>
          </cell>
          <cell r="N1829">
            <v>2.1999999999999999E-2</v>
          </cell>
          <cell r="O1829" t="str">
            <v>$1963</v>
          </cell>
          <cell r="P1829" t="str">
            <v>$1963</v>
          </cell>
          <cell r="Q1829">
            <v>45625</v>
          </cell>
          <cell r="R1829" t="str">
            <v>Hyderabad</v>
          </cell>
          <cell r="S1829" t="str">
            <v>Tablet</v>
          </cell>
          <cell r="T1829" t="str">
            <v>data analytics course</v>
          </cell>
        </row>
        <row r="1830">
          <cell r="A1830" t="str">
            <v>A2828</v>
          </cell>
          <cell r="B1830" t="str">
            <v>Data Analytics Course</v>
          </cell>
          <cell r="C1830">
            <v>175</v>
          </cell>
          <cell r="D1830">
            <v>175</v>
          </cell>
          <cell r="E1830">
            <v>3792</v>
          </cell>
          <cell r="F1830">
            <v>3792</v>
          </cell>
          <cell r="G1830" t="str">
            <v>$227.98</v>
          </cell>
          <cell r="H1830" t="str">
            <v>$227.98</v>
          </cell>
          <cell r="I1830">
            <v>17</v>
          </cell>
          <cell r="J1830">
            <v>17</v>
          </cell>
          <cell r="K1830">
            <v>8</v>
          </cell>
          <cell r="L1830">
            <v>8</v>
          </cell>
          <cell r="M1830">
            <v>4.5714285714285714E-2</v>
          </cell>
          <cell r="N1830">
            <v>4.5999999999999999E-2</v>
          </cell>
          <cell r="O1830" t="str">
            <v>$1627</v>
          </cell>
          <cell r="P1830" t="str">
            <v>$1627</v>
          </cell>
          <cell r="Q1830">
            <v>45600</v>
          </cell>
          <cell r="R1830" t="str">
            <v>Bangaluru</v>
          </cell>
          <cell r="S1830" t="str">
            <v>Tablet</v>
          </cell>
          <cell r="T1830" t="str">
            <v>learn data analytics</v>
          </cell>
        </row>
        <row r="1831">
          <cell r="A1831" t="str">
            <v>A2829</v>
          </cell>
          <cell r="B1831" t="str">
            <v>Data Analytics Course</v>
          </cell>
          <cell r="C1831">
            <v>94</v>
          </cell>
          <cell r="D1831">
            <v>94</v>
          </cell>
          <cell r="E1831">
            <v>5919</v>
          </cell>
          <cell r="F1831">
            <v>5919</v>
          </cell>
          <cell r="G1831" t="str">
            <v>$220.26</v>
          </cell>
          <cell r="H1831" t="str">
            <v>$220.26</v>
          </cell>
          <cell r="I1831">
            <v>18</v>
          </cell>
          <cell r="J1831">
            <v>18</v>
          </cell>
          <cell r="K1831">
            <v>8</v>
          </cell>
          <cell r="L1831">
            <v>8</v>
          </cell>
          <cell r="M1831">
            <v>8.5106382978723402E-2</v>
          </cell>
          <cell r="N1831">
            <v>5.5E-2</v>
          </cell>
          <cell r="O1831" t="str">
            <v>$1486</v>
          </cell>
          <cell r="P1831" t="str">
            <v>$1486</v>
          </cell>
          <cell r="Q1831">
            <v>45614</v>
          </cell>
          <cell r="R1831" t="str">
            <v>Bangaluru</v>
          </cell>
          <cell r="S1831" t="str">
            <v>Desktop</v>
          </cell>
          <cell r="T1831" t="str">
            <v>data analytics training</v>
          </cell>
        </row>
        <row r="1832">
          <cell r="A1832" t="str">
            <v>A2830</v>
          </cell>
          <cell r="B1832" t="str">
            <v>Data Analytics Course</v>
          </cell>
          <cell r="C1832">
            <v>119</v>
          </cell>
          <cell r="D1832">
            <v>119</v>
          </cell>
          <cell r="E1832">
            <v>4593</v>
          </cell>
          <cell r="F1832">
            <v>4593</v>
          </cell>
          <cell r="G1832" t="str">
            <v>$248.14</v>
          </cell>
          <cell r="H1832" t="str">
            <v>$248.14</v>
          </cell>
          <cell r="I1832">
            <v>23</v>
          </cell>
          <cell r="J1832">
            <v>23</v>
          </cell>
          <cell r="K1832">
            <v>8</v>
          </cell>
          <cell r="L1832">
            <v>8</v>
          </cell>
          <cell r="M1832">
            <v>6.7226890756302518E-2</v>
          </cell>
          <cell r="N1832">
            <v>6.7000000000000004E-2</v>
          </cell>
          <cell r="O1832" t="str">
            <v>$1595</v>
          </cell>
          <cell r="P1832" t="str">
            <v>$1595</v>
          </cell>
          <cell r="Q1832">
            <v>45604</v>
          </cell>
          <cell r="R1832" t="str">
            <v>Hyderabad</v>
          </cell>
          <cell r="S1832" t="str">
            <v>Mobile</v>
          </cell>
          <cell r="T1832" t="str">
            <v>learn data analytics</v>
          </cell>
        </row>
        <row r="1833">
          <cell r="A1833" t="str">
            <v>A2831</v>
          </cell>
          <cell r="B1833" t="str">
            <v>Data Analytics Course</v>
          </cell>
          <cell r="C1833">
            <v>146</v>
          </cell>
          <cell r="D1833">
            <v>146</v>
          </cell>
          <cell r="E1833">
            <v>4308</v>
          </cell>
          <cell r="F1833">
            <v>4308</v>
          </cell>
          <cell r="G1833" t="str">
            <v>$181.7</v>
          </cell>
          <cell r="H1833" t="str">
            <v>$181.7</v>
          </cell>
          <cell r="I1833">
            <v>27</v>
          </cell>
          <cell r="J1833">
            <v>27</v>
          </cell>
          <cell r="K1833">
            <v>9</v>
          </cell>
          <cell r="L1833">
            <v>9</v>
          </cell>
          <cell r="M1833">
            <v>6.1643835616438353E-2</v>
          </cell>
          <cell r="O1833" t="str">
            <v>$1391</v>
          </cell>
          <cell r="P1833" t="str">
            <v>$1391</v>
          </cell>
          <cell r="Q1833">
            <v>45602</v>
          </cell>
          <cell r="R1833" t="str">
            <v>Hyderabad</v>
          </cell>
          <cell r="S1833" t="str">
            <v>Tablet</v>
          </cell>
          <cell r="T1833" t="str">
            <v>analytics for data</v>
          </cell>
        </row>
        <row r="1834">
          <cell r="A1834" t="str">
            <v>A2832</v>
          </cell>
          <cell r="B1834" t="str">
            <v>Data Analytics Course</v>
          </cell>
          <cell r="C1834">
            <v>122</v>
          </cell>
          <cell r="D1834">
            <v>122</v>
          </cell>
          <cell r="E1834">
            <v>4676</v>
          </cell>
          <cell r="F1834">
            <v>4676</v>
          </cell>
          <cell r="G1834" t="str">
            <v>$202.56</v>
          </cell>
          <cell r="H1834" t="str">
            <v>$202.56</v>
          </cell>
          <cell r="I1834">
            <v>25</v>
          </cell>
          <cell r="J1834">
            <v>25</v>
          </cell>
          <cell r="K1834">
            <v>8</v>
          </cell>
          <cell r="L1834">
            <v>8</v>
          </cell>
          <cell r="M1834">
            <v>6.5573770491803282E-2</v>
          </cell>
          <cell r="N1834">
            <v>5.0999999999999997E-2</v>
          </cell>
          <cell r="O1834" t="str">
            <v>$1368</v>
          </cell>
          <cell r="P1834" t="str">
            <v>$1368</v>
          </cell>
          <cell r="Q1834">
            <v>45603</v>
          </cell>
          <cell r="R1834" t="str">
            <v>Chennai</v>
          </cell>
          <cell r="S1834" t="str">
            <v>Tablet</v>
          </cell>
          <cell r="T1834" t="str">
            <v>data analytics course</v>
          </cell>
        </row>
        <row r="1835">
          <cell r="A1835" t="str">
            <v>A2833</v>
          </cell>
          <cell r="B1835" t="str">
            <v>Data Analytics Course</v>
          </cell>
          <cell r="C1835">
            <v>114</v>
          </cell>
          <cell r="D1835">
            <v>114</v>
          </cell>
          <cell r="E1835">
            <v>5832</v>
          </cell>
          <cell r="F1835">
            <v>5832</v>
          </cell>
          <cell r="G1835" t="str">
            <v>$200.00</v>
          </cell>
          <cell r="I1835">
            <v>28</v>
          </cell>
          <cell r="J1835">
            <v>28</v>
          </cell>
          <cell r="K1835">
            <v>4</v>
          </cell>
          <cell r="L1835">
            <v>4</v>
          </cell>
          <cell r="M1835">
            <v>3.5087719298245612E-2</v>
          </cell>
          <cell r="N1835">
            <v>3.5000000000000003E-2</v>
          </cell>
          <cell r="O1835" t="str">
            <v>$1566</v>
          </cell>
          <cell r="P1835" t="str">
            <v>$1566</v>
          </cell>
          <cell r="Q1835">
            <v>45614</v>
          </cell>
          <cell r="R1835" t="str">
            <v>Chennai</v>
          </cell>
          <cell r="S1835" t="str">
            <v>Mobile</v>
          </cell>
          <cell r="T1835" t="str">
            <v>data analytics course</v>
          </cell>
        </row>
        <row r="1836">
          <cell r="A1836" t="str">
            <v>A2834</v>
          </cell>
          <cell r="B1836" t="str">
            <v>Data Analytics Course</v>
          </cell>
          <cell r="C1836">
            <v>130</v>
          </cell>
          <cell r="D1836">
            <v>130</v>
          </cell>
          <cell r="E1836">
            <v>3637</v>
          </cell>
          <cell r="F1836">
            <v>3637</v>
          </cell>
          <cell r="G1836" t="str">
            <v>$200.00</v>
          </cell>
          <cell r="I1836">
            <v>25</v>
          </cell>
          <cell r="J1836">
            <v>25</v>
          </cell>
          <cell r="K1836">
            <v>7</v>
          </cell>
          <cell r="L1836">
            <v>7</v>
          </cell>
          <cell r="M1836">
            <v>5.3846153846153849E-2</v>
          </cell>
          <cell r="O1836" t="str">
            <v>$1361</v>
          </cell>
          <cell r="P1836" t="str">
            <v>$1361</v>
          </cell>
          <cell r="Q1836">
            <v>45611</v>
          </cell>
          <cell r="R1836" t="str">
            <v>Bangaluru</v>
          </cell>
          <cell r="S1836" t="str">
            <v>Tablet</v>
          </cell>
          <cell r="T1836" t="str">
            <v>analytics for data</v>
          </cell>
        </row>
        <row r="1837">
          <cell r="A1837" t="str">
            <v>A2835</v>
          </cell>
          <cell r="B1837" t="str">
            <v>Data Analytics Course</v>
          </cell>
          <cell r="C1837">
            <v>154</v>
          </cell>
          <cell r="D1837">
            <v>154</v>
          </cell>
          <cell r="E1837">
            <v>5533</v>
          </cell>
          <cell r="F1837">
            <v>5533</v>
          </cell>
          <cell r="G1837" t="str">
            <v>$207.61</v>
          </cell>
          <cell r="H1837" t="str">
            <v>$207.61</v>
          </cell>
          <cell r="I1837">
            <v>14</v>
          </cell>
          <cell r="J1837">
            <v>14</v>
          </cell>
          <cell r="K1837">
            <v>8</v>
          </cell>
          <cell r="L1837">
            <v>8</v>
          </cell>
          <cell r="M1837">
            <v>5.1948051948051951E-2</v>
          </cell>
          <cell r="N1837">
            <v>3.5000000000000003E-2</v>
          </cell>
          <cell r="O1837" t="str">
            <v>$1165</v>
          </cell>
          <cell r="P1837" t="str">
            <v>$1165</v>
          </cell>
          <cell r="Q1837">
            <v>45602</v>
          </cell>
          <cell r="R1837" t="str">
            <v>Chennai</v>
          </cell>
          <cell r="S1837" t="str">
            <v>Desktop</v>
          </cell>
          <cell r="T1837" t="str">
            <v>analytics for data</v>
          </cell>
        </row>
        <row r="1838">
          <cell r="A1838" t="str">
            <v>A2836</v>
          </cell>
          <cell r="B1838" t="str">
            <v>Data Analytcis Course</v>
          </cell>
          <cell r="C1838">
            <v>132</v>
          </cell>
          <cell r="D1838">
            <v>132</v>
          </cell>
          <cell r="E1838">
            <v>4320</v>
          </cell>
          <cell r="F1838">
            <v>4320</v>
          </cell>
          <cell r="G1838" t="str">
            <v>$229.38</v>
          </cell>
          <cell r="H1838" t="str">
            <v>$229.38</v>
          </cell>
          <cell r="I1838">
            <v>15</v>
          </cell>
          <cell r="J1838">
            <v>15</v>
          </cell>
          <cell r="K1838">
            <v>5</v>
          </cell>
          <cell r="L1838">
            <v>5</v>
          </cell>
          <cell r="M1838">
            <v>3.787878787878788E-2</v>
          </cell>
          <cell r="N1838">
            <v>3.7999999999999999E-2</v>
          </cell>
          <cell r="O1838" t="str">
            <v>$1557</v>
          </cell>
          <cell r="P1838" t="str">
            <v>$1557</v>
          </cell>
          <cell r="Q1838">
            <v>45610</v>
          </cell>
          <cell r="R1838" t="str">
            <v>Bangaluru</v>
          </cell>
          <cell r="S1838" t="str">
            <v>Desktop</v>
          </cell>
          <cell r="T1838" t="str">
            <v>analytics for data</v>
          </cell>
        </row>
        <row r="1839">
          <cell r="A1839" t="str">
            <v>A2837</v>
          </cell>
          <cell r="B1839" t="str">
            <v>Data Analytcis Course</v>
          </cell>
          <cell r="C1839">
            <v>170</v>
          </cell>
          <cell r="D1839">
            <v>170</v>
          </cell>
          <cell r="E1839">
            <v>3526</v>
          </cell>
          <cell r="F1839">
            <v>3526</v>
          </cell>
          <cell r="G1839" t="str">
            <v>$224.34</v>
          </cell>
          <cell r="H1839" t="str">
            <v>$224.34</v>
          </cell>
          <cell r="I1839">
            <v>29</v>
          </cell>
          <cell r="J1839">
            <v>29</v>
          </cell>
          <cell r="K1839">
            <v>4</v>
          </cell>
          <cell r="L1839">
            <v>4</v>
          </cell>
          <cell r="M1839">
            <v>2.3529411764705882E-2</v>
          </cell>
          <cell r="N1839">
            <v>2.4E-2</v>
          </cell>
          <cell r="O1839" t="str">
            <v>$1969</v>
          </cell>
          <cell r="P1839" t="str">
            <v>$1969</v>
          </cell>
          <cell r="Q1839">
            <v>45597</v>
          </cell>
          <cell r="R1839" t="str">
            <v>Chennai</v>
          </cell>
          <cell r="S1839" t="str">
            <v>Desktop</v>
          </cell>
          <cell r="T1839" t="str">
            <v>analytics for data</v>
          </cell>
        </row>
        <row r="1840">
          <cell r="A1840" t="str">
            <v>A2838</v>
          </cell>
          <cell r="B1840" t="str">
            <v>Data Analytcis Course</v>
          </cell>
          <cell r="C1840">
            <v>85</v>
          </cell>
          <cell r="D1840">
            <v>85</v>
          </cell>
          <cell r="E1840">
            <v>5962</v>
          </cell>
          <cell r="F1840">
            <v>5962</v>
          </cell>
          <cell r="G1840" t="str">
            <v>$201.12</v>
          </cell>
          <cell r="H1840" t="str">
            <v>$201.12</v>
          </cell>
          <cell r="I1840">
            <v>20</v>
          </cell>
          <cell r="J1840">
            <v>20</v>
          </cell>
          <cell r="K1840">
            <v>10</v>
          </cell>
          <cell r="L1840">
            <v>10</v>
          </cell>
          <cell r="M1840">
            <v>0.11764705882352941</v>
          </cell>
          <cell r="O1840" t="str">
            <v>$1728</v>
          </cell>
          <cell r="P1840" t="str">
            <v>$1728</v>
          </cell>
          <cell r="Q1840">
            <v>45621</v>
          </cell>
          <cell r="R1840" t="str">
            <v>Bangaluru</v>
          </cell>
          <cell r="S1840" t="str">
            <v>Mobile</v>
          </cell>
          <cell r="T1840" t="str">
            <v>data analytics course</v>
          </cell>
        </row>
        <row r="1841">
          <cell r="A1841" t="str">
            <v>A2839</v>
          </cell>
          <cell r="B1841" t="str">
            <v>Data Analytics Course</v>
          </cell>
          <cell r="C1841">
            <v>85</v>
          </cell>
          <cell r="D1841">
            <v>85</v>
          </cell>
          <cell r="E1841">
            <v>3208</v>
          </cell>
          <cell r="F1841">
            <v>3208</v>
          </cell>
          <cell r="G1841" t="str">
            <v>$220.53</v>
          </cell>
          <cell r="H1841" t="str">
            <v>$220.53</v>
          </cell>
          <cell r="I1841">
            <v>25</v>
          </cell>
          <cell r="J1841">
            <v>25</v>
          </cell>
          <cell r="K1841">
            <v>5</v>
          </cell>
          <cell r="L1841">
            <v>5</v>
          </cell>
          <cell r="M1841">
            <v>5.8823529411764705E-2</v>
          </cell>
          <cell r="N1841">
            <v>5.8999999999999997E-2</v>
          </cell>
          <cell r="O1841" t="str">
            <v>$1426</v>
          </cell>
          <cell r="P1841" t="str">
            <v>$1426</v>
          </cell>
          <cell r="Q1841">
            <v>45598</v>
          </cell>
          <cell r="R1841" t="str">
            <v>Hyderabad</v>
          </cell>
          <cell r="S1841" t="str">
            <v>Desktop</v>
          </cell>
          <cell r="T1841" t="str">
            <v>analytics for data</v>
          </cell>
        </row>
        <row r="1842">
          <cell r="A1842" t="str">
            <v>A2840</v>
          </cell>
          <cell r="B1842" t="str">
            <v>Data Analytics Course</v>
          </cell>
          <cell r="C1842">
            <v>127</v>
          </cell>
          <cell r="D1842">
            <v>127</v>
          </cell>
          <cell r="E1842">
            <v>4477</v>
          </cell>
          <cell r="F1842">
            <v>4477</v>
          </cell>
          <cell r="G1842" t="str">
            <v>$199.34</v>
          </cell>
          <cell r="H1842" t="str">
            <v>$199.34</v>
          </cell>
          <cell r="I1842">
            <v>20</v>
          </cell>
          <cell r="J1842">
            <v>20</v>
          </cell>
          <cell r="K1842">
            <v>3</v>
          </cell>
          <cell r="L1842">
            <v>3</v>
          </cell>
          <cell r="M1842">
            <v>2.3622047244094488E-2</v>
          </cell>
          <cell r="N1842">
            <v>2.4E-2</v>
          </cell>
          <cell r="O1842" t="str">
            <v>$1239</v>
          </cell>
          <cell r="P1842" t="str">
            <v>$1239</v>
          </cell>
          <cell r="Q1842">
            <v>45597</v>
          </cell>
          <cell r="R1842" t="str">
            <v>Hyderabad</v>
          </cell>
          <cell r="S1842" t="str">
            <v>Desktop</v>
          </cell>
          <cell r="T1842" t="str">
            <v>data analytics course</v>
          </cell>
        </row>
        <row r="1843">
          <cell r="A1843" t="str">
            <v>A2841</v>
          </cell>
          <cell r="B1843" t="str">
            <v>Data Analytics Course</v>
          </cell>
          <cell r="C1843">
            <v>148</v>
          </cell>
          <cell r="D1843">
            <v>148</v>
          </cell>
          <cell r="E1843">
            <v>3207</v>
          </cell>
          <cell r="F1843">
            <v>3207</v>
          </cell>
          <cell r="G1843" t="str">
            <v>$207.16</v>
          </cell>
          <cell r="H1843" t="str">
            <v>$207.16</v>
          </cell>
          <cell r="I1843">
            <v>22</v>
          </cell>
          <cell r="J1843">
            <v>22</v>
          </cell>
          <cell r="K1843">
            <v>9</v>
          </cell>
          <cell r="L1843">
            <v>9</v>
          </cell>
          <cell r="M1843">
            <v>6.0810810810810814E-2</v>
          </cell>
          <cell r="N1843">
            <v>6.0999999999999999E-2</v>
          </cell>
          <cell r="O1843" t="str">
            <v>$1416</v>
          </cell>
          <cell r="P1843" t="str">
            <v>$1416</v>
          </cell>
          <cell r="Q1843">
            <v>45624</v>
          </cell>
          <cell r="R1843" t="str">
            <v>Hyderabad</v>
          </cell>
          <cell r="S1843" t="str">
            <v>Desktop</v>
          </cell>
          <cell r="T1843" t="str">
            <v>online data analytic</v>
          </cell>
        </row>
        <row r="1844">
          <cell r="A1844" t="str">
            <v>A2842</v>
          </cell>
          <cell r="B1844" t="str">
            <v>Data Analytics Course</v>
          </cell>
          <cell r="C1844">
            <v>181</v>
          </cell>
          <cell r="D1844">
            <v>181</v>
          </cell>
          <cell r="E1844">
            <v>4269</v>
          </cell>
          <cell r="F1844">
            <v>4269</v>
          </cell>
          <cell r="G1844" t="str">
            <v>$227.56</v>
          </cell>
          <cell r="H1844" t="str">
            <v>$227.56</v>
          </cell>
          <cell r="I1844">
            <v>24</v>
          </cell>
          <cell r="J1844">
            <v>24</v>
          </cell>
          <cell r="K1844">
            <v>4</v>
          </cell>
          <cell r="L1844">
            <v>4</v>
          </cell>
          <cell r="M1844">
            <v>2.2099447513812154E-2</v>
          </cell>
          <cell r="O1844" t="str">
            <v>$1251</v>
          </cell>
          <cell r="P1844" t="str">
            <v>$1251</v>
          </cell>
          <cell r="Q1844">
            <v>45612</v>
          </cell>
          <cell r="R1844" t="str">
            <v>Bangaluru</v>
          </cell>
          <cell r="S1844" t="str">
            <v>Mobile</v>
          </cell>
          <cell r="T1844" t="str">
            <v>data analytics course</v>
          </cell>
        </row>
        <row r="1845">
          <cell r="A1845" t="str">
            <v>A2843</v>
          </cell>
          <cell r="B1845" t="str">
            <v>Data Analytics Course</v>
          </cell>
          <cell r="C1845">
            <v>102</v>
          </cell>
          <cell r="D1845">
            <v>102</v>
          </cell>
          <cell r="E1845">
            <v>4512</v>
          </cell>
          <cell r="F1845">
            <v>4512</v>
          </cell>
          <cell r="G1845" t="str">
            <v>$183.01</v>
          </cell>
          <cell r="H1845" t="str">
            <v>$183.01</v>
          </cell>
          <cell r="I1845">
            <v>20.293640054127199</v>
          </cell>
          <cell r="K1845">
            <v>5</v>
          </cell>
          <cell r="L1845">
            <v>5</v>
          </cell>
          <cell r="M1845">
            <v>4.9019607843137254E-2</v>
          </cell>
          <cell r="N1845">
            <v>4.9000000000000002E-2</v>
          </cell>
          <cell r="O1845" t="str">
            <v>$1544</v>
          </cell>
          <cell r="P1845" t="str">
            <v>$1544</v>
          </cell>
          <cell r="Q1845">
            <v>45620</v>
          </cell>
          <cell r="R1845" t="str">
            <v>Bangaluru</v>
          </cell>
          <cell r="S1845" t="str">
            <v>Tablet</v>
          </cell>
          <cell r="T1845" t="str">
            <v>analytics for data</v>
          </cell>
        </row>
        <row r="1846">
          <cell r="A1846" t="str">
            <v>A2844</v>
          </cell>
          <cell r="B1846" t="str">
            <v>Data Analytcis Course</v>
          </cell>
          <cell r="C1846">
            <v>136</v>
          </cell>
          <cell r="D1846">
            <v>136</v>
          </cell>
          <cell r="E1846">
            <v>5249</v>
          </cell>
          <cell r="F1846">
            <v>5249</v>
          </cell>
          <cell r="G1846" t="str">
            <v>$199.26</v>
          </cell>
          <cell r="H1846" t="str">
            <v>$199.26</v>
          </cell>
          <cell r="I1846">
            <v>25</v>
          </cell>
          <cell r="J1846">
            <v>25</v>
          </cell>
          <cell r="K1846">
            <v>9</v>
          </cell>
          <cell r="L1846">
            <v>9</v>
          </cell>
          <cell r="M1846">
            <v>6.6176470588235295E-2</v>
          </cell>
          <cell r="N1846">
            <v>5.8999999999999997E-2</v>
          </cell>
          <cell r="O1846" t="str">
            <v>$1142</v>
          </cell>
          <cell r="P1846" t="str">
            <v>$1142</v>
          </cell>
          <cell r="Q1846">
            <v>45605</v>
          </cell>
          <cell r="R1846" t="str">
            <v>Bangaluru</v>
          </cell>
          <cell r="S1846" t="str">
            <v>Desktop</v>
          </cell>
          <cell r="T1846" t="str">
            <v>analytics for data</v>
          </cell>
        </row>
        <row r="1847">
          <cell r="A1847" t="str">
            <v>A2845</v>
          </cell>
          <cell r="B1847" t="str">
            <v>Data Analytics Course</v>
          </cell>
          <cell r="C1847">
            <v>148</v>
          </cell>
          <cell r="D1847">
            <v>148</v>
          </cell>
          <cell r="E1847">
            <v>4881</v>
          </cell>
          <cell r="F1847">
            <v>4881</v>
          </cell>
          <cell r="G1847" t="str">
            <v>$213.23</v>
          </cell>
          <cell r="H1847" t="str">
            <v>$213.23</v>
          </cell>
          <cell r="I1847">
            <v>14</v>
          </cell>
          <cell r="J1847">
            <v>14</v>
          </cell>
          <cell r="K1847">
            <v>4</v>
          </cell>
          <cell r="L1847">
            <v>4</v>
          </cell>
          <cell r="M1847">
            <v>2.7027027027027029E-2</v>
          </cell>
          <cell r="N1847">
            <v>4.5999999999999999E-2</v>
          </cell>
          <cell r="O1847" t="str">
            <v>$1474</v>
          </cell>
          <cell r="P1847" t="str">
            <v>$1474</v>
          </cell>
          <cell r="Q1847">
            <v>45614</v>
          </cell>
          <cell r="R1847" t="str">
            <v>Chennai</v>
          </cell>
          <cell r="S1847" t="str">
            <v>Tablet</v>
          </cell>
          <cell r="T1847" t="str">
            <v>data analytics training</v>
          </cell>
        </row>
        <row r="1848">
          <cell r="A1848" t="str">
            <v>A2846</v>
          </cell>
          <cell r="B1848" t="str">
            <v>Data Analytcis Course</v>
          </cell>
          <cell r="C1848">
            <v>170</v>
          </cell>
          <cell r="D1848">
            <v>170</v>
          </cell>
          <cell r="E1848">
            <v>5385</v>
          </cell>
          <cell r="F1848">
            <v>5385</v>
          </cell>
          <cell r="G1848" t="str">
            <v>$198.13</v>
          </cell>
          <cell r="H1848" t="str">
            <v>$198.13</v>
          </cell>
          <cell r="I1848">
            <v>21</v>
          </cell>
          <cell r="J1848">
            <v>21</v>
          </cell>
          <cell r="K1848">
            <v>7</v>
          </cell>
          <cell r="L1848">
            <v>7</v>
          </cell>
          <cell r="M1848">
            <v>4.1176470588235294E-2</v>
          </cell>
          <cell r="N1848">
            <v>4.4999999999999998E-2</v>
          </cell>
          <cell r="O1848" t="str">
            <v>$1174</v>
          </cell>
          <cell r="P1848" t="str">
            <v>$1174</v>
          </cell>
          <cell r="Q1848">
            <v>45626</v>
          </cell>
          <cell r="R1848" t="str">
            <v>Hyderabad</v>
          </cell>
          <cell r="S1848" t="str">
            <v>Desktop</v>
          </cell>
          <cell r="T1848" t="str">
            <v>online data analytic</v>
          </cell>
        </row>
        <row r="1849">
          <cell r="A1849" t="str">
            <v>A2847</v>
          </cell>
          <cell r="B1849" t="str">
            <v>Data Analytics Course</v>
          </cell>
          <cell r="C1849">
            <v>152</v>
          </cell>
          <cell r="D1849">
            <v>152</v>
          </cell>
          <cell r="E1849">
            <v>4506</v>
          </cell>
          <cell r="F1849">
            <v>4506</v>
          </cell>
          <cell r="G1849" t="str">
            <v>$200.00</v>
          </cell>
          <cell r="I1849">
            <v>17</v>
          </cell>
          <cell r="J1849">
            <v>17</v>
          </cell>
          <cell r="K1849">
            <v>7</v>
          </cell>
          <cell r="L1849">
            <v>7</v>
          </cell>
          <cell r="M1849">
            <v>4.6052631578947366E-2</v>
          </cell>
          <cell r="N1849">
            <v>3.3000000000000002E-2</v>
          </cell>
          <cell r="O1849" t="str">
            <v>$1678</v>
          </cell>
          <cell r="P1849" t="str">
            <v>$1678</v>
          </cell>
          <cell r="Q1849">
            <v>45608</v>
          </cell>
          <cell r="R1849" t="str">
            <v>Hyderabad</v>
          </cell>
          <cell r="S1849" t="str">
            <v>Mobile</v>
          </cell>
          <cell r="T1849" t="str">
            <v>learn data analytics</v>
          </cell>
        </row>
        <row r="1850">
          <cell r="A1850" t="str">
            <v>A2848</v>
          </cell>
          <cell r="B1850" t="str">
            <v>Data Analytics Course</v>
          </cell>
          <cell r="C1850">
            <v>128</v>
          </cell>
          <cell r="D1850">
            <v>128</v>
          </cell>
          <cell r="E1850">
            <v>4149</v>
          </cell>
          <cell r="F1850">
            <v>4149</v>
          </cell>
          <cell r="G1850" t="str">
            <v>$238.94</v>
          </cell>
          <cell r="H1850" t="str">
            <v>$238.94</v>
          </cell>
          <cell r="I1850">
            <v>10</v>
          </cell>
          <cell r="J1850">
            <v>10</v>
          </cell>
          <cell r="K1850">
            <v>10</v>
          </cell>
          <cell r="L1850">
            <v>10</v>
          </cell>
          <cell r="M1850">
            <v>7.8125E-2</v>
          </cell>
          <cell r="O1850" t="str">
            <v>$1306</v>
          </cell>
          <cell r="P1850" t="str">
            <v>$1306</v>
          </cell>
          <cell r="Q1850">
            <v>45609</v>
          </cell>
          <cell r="R1850" t="str">
            <v>Hyderabad</v>
          </cell>
          <cell r="S1850" t="str">
            <v>Mobile</v>
          </cell>
          <cell r="T1850" t="str">
            <v>data analytics course</v>
          </cell>
        </row>
        <row r="1851">
          <cell r="A1851" t="str">
            <v>A2849</v>
          </cell>
          <cell r="B1851" t="str">
            <v>Data Analytcis Course</v>
          </cell>
          <cell r="C1851">
            <v>168</v>
          </cell>
          <cell r="D1851">
            <v>168</v>
          </cell>
          <cell r="E1851">
            <v>4517</v>
          </cell>
          <cell r="F1851">
            <v>4517</v>
          </cell>
          <cell r="G1851" t="str">
            <v>$228.0</v>
          </cell>
          <cell r="H1851" t="str">
            <v>$228.0</v>
          </cell>
          <cell r="I1851">
            <v>27</v>
          </cell>
          <cell r="J1851">
            <v>27</v>
          </cell>
          <cell r="K1851">
            <v>6</v>
          </cell>
          <cell r="L1851">
            <v>6</v>
          </cell>
          <cell r="M1851">
            <v>3.5714285714285712E-2</v>
          </cell>
          <cell r="N1851">
            <v>3.5999999999999997E-2</v>
          </cell>
          <cell r="O1851" t="str">
            <v>$1679</v>
          </cell>
          <cell r="P1851" t="str">
            <v>$1679</v>
          </cell>
          <cell r="Q1851">
            <v>45616</v>
          </cell>
          <cell r="R1851" t="str">
            <v>Bangaluru</v>
          </cell>
          <cell r="S1851" t="str">
            <v>Mobile</v>
          </cell>
          <cell r="T1851" t="str">
            <v>online data analytic</v>
          </cell>
        </row>
        <row r="1852">
          <cell r="A1852" t="str">
            <v>A2850</v>
          </cell>
          <cell r="B1852" t="str">
            <v>Data Analytics Course</v>
          </cell>
          <cell r="C1852">
            <v>95</v>
          </cell>
          <cell r="D1852">
            <v>95</v>
          </cell>
          <cell r="E1852">
            <v>4075</v>
          </cell>
          <cell r="F1852">
            <v>4075</v>
          </cell>
          <cell r="G1852" t="str">
            <v>$225.18</v>
          </cell>
          <cell r="H1852" t="str">
            <v>$225.18</v>
          </cell>
          <cell r="I1852">
            <v>26</v>
          </cell>
          <cell r="J1852">
            <v>26</v>
          </cell>
          <cell r="K1852">
            <v>7</v>
          </cell>
          <cell r="L1852">
            <v>7</v>
          </cell>
          <cell r="M1852">
            <v>7.3684210526315783E-2</v>
          </cell>
          <cell r="N1852">
            <v>7.3999999999999996E-2</v>
          </cell>
          <cell r="O1852" t="str">
            <v>$1763</v>
          </cell>
          <cell r="P1852" t="str">
            <v>$1763</v>
          </cell>
          <cell r="Q1852">
            <v>45615</v>
          </cell>
          <cell r="R1852" t="str">
            <v>Hyderabad</v>
          </cell>
          <cell r="S1852" t="str">
            <v>Tablet</v>
          </cell>
          <cell r="T1852" t="str">
            <v>data analytics online</v>
          </cell>
        </row>
        <row r="1853">
          <cell r="A1853" t="str">
            <v>A2851</v>
          </cell>
          <cell r="B1853" t="str">
            <v>Data Analytics Course</v>
          </cell>
          <cell r="C1853">
            <v>120</v>
          </cell>
          <cell r="D1853">
            <v>120</v>
          </cell>
          <cell r="E1853">
            <v>3903</v>
          </cell>
          <cell r="F1853">
            <v>3903</v>
          </cell>
          <cell r="G1853" t="str">
            <v>$197.56</v>
          </cell>
          <cell r="H1853" t="str">
            <v>$197.56</v>
          </cell>
          <cell r="I1853">
            <v>20.296448087431695</v>
          </cell>
          <cell r="K1853">
            <v>7</v>
          </cell>
          <cell r="L1853">
            <v>7</v>
          </cell>
          <cell r="M1853">
            <v>5.8333333333333334E-2</v>
          </cell>
          <cell r="O1853" t="str">
            <v>$1255</v>
          </cell>
          <cell r="P1853" t="str">
            <v>$1255</v>
          </cell>
          <cell r="Q1853">
            <v>45614</v>
          </cell>
          <cell r="R1853" t="str">
            <v>Chennai</v>
          </cell>
          <cell r="S1853" t="str">
            <v>Tablet</v>
          </cell>
          <cell r="T1853" t="str">
            <v>analytics for data</v>
          </cell>
        </row>
        <row r="1854">
          <cell r="A1854" t="str">
            <v>A2852</v>
          </cell>
          <cell r="B1854" t="str">
            <v>Data Analytics Course</v>
          </cell>
          <cell r="C1854">
            <v>157</v>
          </cell>
          <cell r="D1854">
            <v>157</v>
          </cell>
          <cell r="E1854">
            <v>4477</v>
          </cell>
          <cell r="F1854">
            <v>4477</v>
          </cell>
          <cell r="G1854" t="str">
            <v>$191.69</v>
          </cell>
          <cell r="H1854" t="str">
            <v>$191.69</v>
          </cell>
          <cell r="I1854">
            <v>20</v>
          </cell>
          <cell r="J1854">
            <v>20</v>
          </cell>
          <cell r="K1854">
            <v>10</v>
          </cell>
          <cell r="L1854">
            <v>10</v>
          </cell>
          <cell r="M1854">
            <v>6.3694267515923567E-2</v>
          </cell>
          <cell r="N1854">
            <v>6.4000000000000001E-2</v>
          </cell>
          <cell r="O1854" t="str">
            <v>$1598</v>
          </cell>
          <cell r="P1854" t="str">
            <v>$1598</v>
          </cell>
          <cell r="Q1854">
            <v>45600</v>
          </cell>
          <cell r="R1854" t="str">
            <v>Bangaluru</v>
          </cell>
          <cell r="S1854" t="str">
            <v>Mobile</v>
          </cell>
          <cell r="T1854" t="str">
            <v>online data analytic</v>
          </cell>
        </row>
        <row r="1855">
          <cell r="A1855" t="str">
            <v>A2853</v>
          </cell>
          <cell r="B1855" t="str">
            <v>Data Analytics Course</v>
          </cell>
          <cell r="C1855">
            <v>147</v>
          </cell>
          <cell r="D1855">
            <v>147</v>
          </cell>
          <cell r="E1855">
            <v>5580</v>
          </cell>
          <cell r="F1855">
            <v>5580</v>
          </cell>
          <cell r="G1855" t="str">
            <v>$230.15</v>
          </cell>
          <cell r="H1855" t="str">
            <v>$230.15</v>
          </cell>
          <cell r="I1855">
            <v>15</v>
          </cell>
          <cell r="J1855">
            <v>15</v>
          </cell>
          <cell r="K1855">
            <v>3</v>
          </cell>
          <cell r="L1855">
            <v>3</v>
          </cell>
          <cell r="M1855">
            <v>2.0408163265306121E-2</v>
          </cell>
          <cell r="N1855">
            <v>5.8000000000000003E-2</v>
          </cell>
          <cell r="O1855" t="str">
            <v>$1299</v>
          </cell>
          <cell r="P1855" t="str">
            <v>$1299</v>
          </cell>
          <cell r="Q1855">
            <v>45602</v>
          </cell>
          <cell r="R1855" t="str">
            <v>Bangaluru</v>
          </cell>
          <cell r="S1855" t="str">
            <v>Desktop</v>
          </cell>
          <cell r="T1855" t="str">
            <v>learn data analytics</v>
          </cell>
        </row>
        <row r="1856">
          <cell r="A1856" t="str">
            <v>A2854</v>
          </cell>
          <cell r="B1856" t="str">
            <v>Data Analytics Course</v>
          </cell>
          <cell r="C1856">
            <v>161</v>
          </cell>
          <cell r="D1856">
            <v>161</v>
          </cell>
          <cell r="E1856">
            <v>3253</v>
          </cell>
          <cell r="F1856">
            <v>3253</v>
          </cell>
          <cell r="G1856" t="str">
            <v>$181.02</v>
          </cell>
          <cell r="H1856" t="str">
            <v>$181.02</v>
          </cell>
          <cell r="I1856">
            <v>15</v>
          </cell>
          <cell r="J1856">
            <v>15</v>
          </cell>
          <cell r="K1856">
            <v>10</v>
          </cell>
          <cell r="L1856">
            <v>10</v>
          </cell>
          <cell r="M1856">
            <v>6.2111801242236024E-2</v>
          </cell>
          <cell r="N1856">
            <v>6.2E-2</v>
          </cell>
          <cell r="O1856" t="str">
            <v>$1340</v>
          </cell>
          <cell r="P1856" t="str">
            <v>$1340</v>
          </cell>
          <cell r="Q1856">
            <v>45603</v>
          </cell>
          <cell r="R1856" t="str">
            <v>Hyderabad</v>
          </cell>
          <cell r="S1856" t="str">
            <v>Desktop</v>
          </cell>
          <cell r="T1856" t="str">
            <v>data analytics training</v>
          </cell>
        </row>
        <row r="1857">
          <cell r="A1857" t="str">
            <v>A2855</v>
          </cell>
          <cell r="B1857" t="str">
            <v>Data Analytics Course</v>
          </cell>
          <cell r="C1857">
            <v>187</v>
          </cell>
          <cell r="D1857">
            <v>187</v>
          </cell>
          <cell r="E1857">
            <v>3869</v>
          </cell>
          <cell r="F1857">
            <v>3869</v>
          </cell>
          <cell r="G1857" t="str">
            <v>$185.15</v>
          </cell>
          <cell r="H1857" t="str">
            <v>$185.15</v>
          </cell>
          <cell r="I1857">
            <v>26</v>
          </cell>
          <cell r="J1857">
            <v>26</v>
          </cell>
          <cell r="K1857">
            <v>6</v>
          </cell>
          <cell r="L1857">
            <v>6</v>
          </cell>
          <cell r="M1857">
            <v>3.2085561497326207E-2</v>
          </cell>
          <cell r="N1857">
            <v>3.2000000000000001E-2</v>
          </cell>
          <cell r="O1857" t="str">
            <v>$1881</v>
          </cell>
          <cell r="P1857" t="str">
            <v>$1881</v>
          </cell>
          <cell r="Q1857">
            <v>45600</v>
          </cell>
          <cell r="R1857" t="str">
            <v>Chennai</v>
          </cell>
          <cell r="S1857" t="str">
            <v>Mobile</v>
          </cell>
          <cell r="T1857" t="str">
            <v>data analytics training</v>
          </cell>
        </row>
        <row r="1858">
          <cell r="A1858" t="str">
            <v>A2856</v>
          </cell>
          <cell r="B1858" t="str">
            <v>Data Analytics Course</v>
          </cell>
          <cell r="C1858">
            <v>177</v>
          </cell>
          <cell r="D1858">
            <v>177</v>
          </cell>
          <cell r="E1858">
            <v>5043</v>
          </cell>
          <cell r="F1858">
            <v>5043</v>
          </cell>
          <cell r="G1858" t="str">
            <v>$213.52</v>
          </cell>
          <cell r="H1858" t="str">
            <v>$213.52</v>
          </cell>
          <cell r="I1858">
            <v>18</v>
          </cell>
          <cell r="J1858">
            <v>18</v>
          </cell>
          <cell r="K1858">
            <v>4</v>
          </cell>
          <cell r="L1858">
            <v>4</v>
          </cell>
          <cell r="M1858">
            <v>2.2598870056497175E-2</v>
          </cell>
          <cell r="N1858">
            <v>2.3E-2</v>
          </cell>
          <cell r="O1858" t="str">
            <v>$1117</v>
          </cell>
          <cell r="P1858" t="str">
            <v>$1117</v>
          </cell>
          <cell r="Q1858">
            <v>45624</v>
          </cell>
          <cell r="R1858" t="str">
            <v>Bangaluru</v>
          </cell>
          <cell r="S1858" t="str">
            <v>Tablet</v>
          </cell>
          <cell r="T1858" t="str">
            <v>data analytics course</v>
          </cell>
        </row>
        <row r="1859">
          <cell r="A1859" t="str">
            <v>A2857</v>
          </cell>
          <cell r="B1859" t="str">
            <v>Data Analytcis Course</v>
          </cell>
          <cell r="C1859">
            <v>165</v>
          </cell>
          <cell r="D1859">
            <v>165</v>
          </cell>
          <cell r="E1859">
            <v>4537</v>
          </cell>
          <cell r="F1859">
            <v>4537</v>
          </cell>
          <cell r="G1859" t="str">
            <v>$191.77</v>
          </cell>
          <cell r="H1859" t="str">
            <v>$191.77</v>
          </cell>
          <cell r="I1859">
            <v>15</v>
          </cell>
          <cell r="J1859">
            <v>15</v>
          </cell>
          <cell r="K1859">
            <v>4</v>
          </cell>
          <cell r="L1859">
            <v>4</v>
          </cell>
          <cell r="M1859">
            <v>2.4242424242424242E-2</v>
          </cell>
          <cell r="N1859">
            <v>2.4E-2</v>
          </cell>
          <cell r="O1859" t="str">
            <v>$1783</v>
          </cell>
          <cell r="P1859" t="str">
            <v>$1783</v>
          </cell>
          <cell r="Q1859">
            <v>45600</v>
          </cell>
          <cell r="R1859" t="str">
            <v>Chennai</v>
          </cell>
          <cell r="S1859" t="str">
            <v>Tablet</v>
          </cell>
          <cell r="T1859" t="str">
            <v>analytics for data</v>
          </cell>
        </row>
        <row r="1860">
          <cell r="A1860" t="str">
            <v>A2858</v>
          </cell>
          <cell r="B1860" t="str">
            <v>Data Analytcis Course</v>
          </cell>
          <cell r="C1860">
            <v>146</v>
          </cell>
          <cell r="D1860">
            <v>146</v>
          </cell>
          <cell r="E1860">
            <v>3766</v>
          </cell>
          <cell r="F1860">
            <v>3766</v>
          </cell>
          <cell r="G1860" t="str">
            <v>$200.00</v>
          </cell>
          <cell r="I1860">
            <v>23</v>
          </cell>
          <cell r="J1860">
            <v>23</v>
          </cell>
          <cell r="K1860">
            <v>6</v>
          </cell>
          <cell r="L1860">
            <v>6</v>
          </cell>
          <cell r="M1860">
            <v>4.1095890410958902E-2</v>
          </cell>
          <cell r="O1860" t="str">
            <v>$1760</v>
          </cell>
          <cell r="P1860" t="str">
            <v>$1760</v>
          </cell>
          <cell r="Q1860">
            <v>45601</v>
          </cell>
          <cell r="R1860" t="str">
            <v>Hyderabad</v>
          </cell>
          <cell r="S1860" t="str">
            <v>Desktop</v>
          </cell>
          <cell r="T1860" t="str">
            <v>analytics for data</v>
          </cell>
        </row>
        <row r="1861">
          <cell r="A1861" t="str">
            <v>A2859</v>
          </cell>
          <cell r="B1861" t="str">
            <v>Data Analytcis Course</v>
          </cell>
          <cell r="C1861">
            <v>126</v>
          </cell>
          <cell r="D1861">
            <v>126</v>
          </cell>
          <cell r="E1861">
            <v>3702</v>
          </cell>
          <cell r="F1861">
            <v>3702</v>
          </cell>
          <cell r="G1861" t="str">
            <v>$222.41</v>
          </cell>
          <cell r="H1861" t="str">
            <v>$222.41</v>
          </cell>
          <cell r="I1861">
            <v>27</v>
          </cell>
          <cell r="J1861">
            <v>27</v>
          </cell>
          <cell r="K1861">
            <v>5</v>
          </cell>
          <cell r="L1861">
            <v>5</v>
          </cell>
          <cell r="M1861">
            <v>3.968253968253968E-2</v>
          </cell>
          <cell r="N1861">
            <v>0.04</v>
          </cell>
          <cell r="O1861" t="str">
            <v>$1489</v>
          </cell>
          <cell r="P1861" t="str">
            <v>$1489</v>
          </cell>
          <cell r="Q1861">
            <v>45626</v>
          </cell>
          <cell r="R1861" t="str">
            <v>Hyderabad</v>
          </cell>
          <cell r="S1861" t="str">
            <v>Desktop</v>
          </cell>
          <cell r="T1861" t="str">
            <v>analytics for data</v>
          </cell>
        </row>
        <row r="1862">
          <cell r="A1862" t="str">
            <v>A2860</v>
          </cell>
          <cell r="B1862" t="str">
            <v>Data Analytcis Course</v>
          </cell>
          <cell r="C1862">
            <v>110</v>
          </cell>
          <cell r="D1862">
            <v>110</v>
          </cell>
          <cell r="E1862">
            <v>4840</v>
          </cell>
          <cell r="F1862">
            <v>4840</v>
          </cell>
          <cell r="G1862" t="str">
            <v>$184.63</v>
          </cell>
          <cell r="H1862" t="str">
            <v>$184.63</v>
          </cell>
          <cell r="I1862">
            <v>17</v>
          </cell>
          <cell r="J1862">
            <v>17</v>
          </cell>
          <cell r="K1862">
            <v>8</v>
          </cell>
          <cell r="L1862">
            <v>8</v>
          </cell>
          <cell r="M1862">
            <v>7.2727272727272724E-2</v>
          </cell>
          <cell r="N1862">
            <v>7.2999999999999995E-2</v>
          </cell>
          <cell r="O1862" t="str">
            <v>$1013</v>
          </cell>
          <cell r="P1862" t="str">
            <v>$1013</v>
          </cell>
          <cell r="Q1862">
            <v>45618</v>
          </cell>
          <cell r="R1862" t="str">
            <v>Hyderabad</v>
          </cell>
          <cell r="S1862" t="str">
            <v>Mobile</v>
          </cell>
          <cell r="T1862" t="str">
            <v>data analytics online</v>
          </cell>
        </row>
        <row r="1863">
          <cell r="A1863" t="str">
            <v>A2861</v>
          </cell>
          <cell r="B1863" t="str">
            <v>Data Analytics Course</v>
          </cell>
          <cell r="C1863">
            <v>97</v>
          </cell>
          <cell r="D1863">
            <v>97</v>
          </cell>
          <cell r="E1863">
            <v>4425</v>
          </cell>
          <cell r="F1863">
            <v>4425</v>
          </cell>
          <cell r="G1863" t="str">
            <v>$206.41</v>
          </cell>
          <cell r="H1863" t="str">
            <v>$206.41</v>
          </cell>
          <cell r="I1863">
            <v>10</v>
          </cell>
          <cell r="J1863">
            <v>10</v>
          </cell>
          <cell r="K1863">
            <v>5</v>
          </cell>
          <cell r="L1863">
            <v>5</v>
          </cell>
          <cell r="M1863">
            <v>5.1546391752577317E-2</v>
          </cell>
          <cell r="O1863" t="str">
            <v>$1219</v>
          </cell>
          <cell r="P1863" t="str">
            <v>$1219</v>
          </cell>
          <cell r="Q1863">
            <v>45612</v>
          </cell>
          <cell r="R1863" t="str">
            <v>Hyderabad</v>
          </cell>
          <cell r="S1863" t="str">
            <v>Desktop</v>
          </cell>
          <cell r="T1863" t="str">
            <v>data analytics course</v>
          </cell>
        </row>
        <row r="1864">
          <cell r="A1864" t="str">
            <v>A2862</v>
          </cell>
          <cell r="B1864" t="str">
            <v>Data Analytics Course</v>
          </cell>
          <cell r="C1864">
            <v>104</v>
          </cell>
          <cell r="D1864">
            <v>104</v>
          </cell>
          <cell r="E1864">
            <v>4213</v>
          </cell>
          <cell r="F1864">
            <v>4213</v>
          </cell>
          <cell r="G1864" t="str">
            <v>$202.54</v>
          </cell>
          <cell r="H1864" t="str">
            <v>$202.54</v>
          </cell>
          <cell r="I1864">
            <v>21</v>
          </cell>
          <cell r="J1864">
            <v>21</v>
          </cell>
          <cell r="K1864">
            <v>8</v>
          </cell>
          <cell r="L1864">
            <v>8</v>
          </cell>
          <cell r="M1864">
            <v>7.6923076923076927E-2</v>
          </cell>
          <cell r="N1864">
            <v>7.6999999999999999E-2</v>
          </cell>
          <cell r="O1864" t="str">
            <v>$1065</v>
          </cell>
          <cell r="P1864" t="str">
            <v>$1065</v>
          </cell>
          <cell r="Q1864">
            <v>45622</v>
          </cell>
          <cell r="R1864" t="str">
            <v>Hyderabad</v>
          </cell>
          <cell r="S1864" t="str">
            <v>Tablet</v>
          </cell>
          <cell r="T1864" t="str">
            <v>data analytics course</v>
          </cell>
        </row>
        <row r="1865">
          <cell r="A1865" t="str">
            <v>A2863</v>
          </cell>
          <cell r="B1865" t="str">
            <v>Data Analytics Course</v>
          </cell>
          <cell r="C1865">
            <v>176</v>
          </cell>
          <cell r="D1865">
            <v>176</v>
          </cell>
          <cell r="E1865">
            <v>5010</v>
          </cell>
          <cell r="F1865">
            <v>5010</v>
          </cell>
          <cell r="G1865" t="str">
            <v>$205.47</v>
          </cell>
          <cell r="H1865" t="str">
            <v>$205.47</v>
          </cell>
          <cell r="I1865">
            <v>18</v>
          </cell>
          <cell r="J1865">
            <v>18</v>
          </cell>
          <cell r="K1865">
            <v>10</v>
          </cell>
          <cell r="L1865">
            <v>10</v>
          </cell>
          <cell r="M1865">
            <v>5.6818181818181816E-2</v>
          </cell>
          <cell r="N1865">
            <v>5.7000000000000002E-2</v>
          </cell>
          <cell r="O1865" t="str">
            <v>$1709</v>
          </cell>
          <cell r="P1865" t="str">
            <v>$1709</v>
          </cell>
          <cell r="Q1865">
            <v>45620</v>
          </cell>
          <cell r="R1865" t="str">
            <v>Bangaluru</v>
          </cell>
          <cell r="S1865" t="str">
            <v>Tablet</v>
          </cell>
          <cell r="T1865" t="str">
            <v>data analytics course</v>
          </cell>
        </row>
        <row r="1866">
          <cell r="A1866" t="str">
            <v>A2864</v>
          </cell>
          <cell r="B1866" t="str">
            <v>Data Analytics Course</v>
          </cell>
          <cell r="C1866">
            <v>91</v>
          </cell>
          <cell r="D1866">
            <v>91</v>
          </cell>
          <cell r="E1866">
            <v>4045</v>
          </cell>
          <cell r="F1866">
            <v>4045</v>
          </cell>
          <cell r="G1866" t="str">
            <v>$225.82</v>
          </cell>
          <cell r="H1866" t="str">
            <v>$225.82</v>
          </cell>
          <cell r="I1866">
            <v>12</v>
          </cell>
          <cell r="J1866">
            <v>12</v>
          </cell>
          <cell r="K1866">
            <v>7</v>
          </cell>
          <cell r="L1866">
            <v>7</v>
          </cell>
          <cell r="M1866">
            <v>7.6923076923076927E-2</v>
          </cell>
          <cell r="O1866" t="str">
            <v>$1828</v>
          </cell>
          <cell r="P1866" t="str">
            <v>$1828</v>
          </cell>
          <cell r="Q1866">
            <v>45609</v>
          </cell>
          <cell r="R1866" t="str">
            <v>Bangaluru</v>
          </cell>
          <cell r="S1866" t="str">
            <v>Tablet</v>
          </cell>
          <cell r="T1866" t="str">
            <v>online data analytic</v>
          </cell>
        </row>
        <row r="1867">
          <cell r="A1867" t="str">
            <v>A2865</v>
          </cell>
          <cell r="B1867" t="str">
            <v>Data Analytics Course</v>
          </cell>
          <cell r="C1867">
            <v>167</v>
          </cell>
          <cell r="D1867">
            <v>167</v>
          </cell>
          <cell r="E1867">
            <v>5145</v>
          </cell>
          <cell r="F1867">
            <v>5145</v>
          </cell>
          <cell r="G1867" t="str">
            <v>$183.22</v>
          </cell>
          <cell r="H1867" t="str">
            <v>$183.22</v>
          </cell>
          <cell r="I1867">
            <v>19</v>
          </cell>
          <cell r="J1867">
            <v>19</v>
          </cell>
          <cell r="K1867">
            <v>9</v>
          </cell>
          <cell r="L1867">
            <v>9</v>
          </cell>
          <cell r="M1867">
            <v>5.3892215568862277E-2</v>
          </cell>
          <cell r="N1867">
            <v>5.3999999999999999E-2</v>
          </cell>
          <cell r="O1867" t="str">
            <v>$1021</v>
          </cell>
          <cell r="P1867" t="str">
            <v>$1021</v>
          </cell>
          <cell r="Q1867">
            <v>45618</v>
          </cell>
          <cell r="R1867" t="str">
            <v>Hyderabad</v>
          </cell>
          <cell r="S1867" t="str">
            <v>Desktop</v>
          </cell>
          <cell r="T1867" t="str">
            <v>online data analytic</v>
          </cell>
        </row>
        <row r="1868">
          <cell r="A1868" t="str">
            <v>A2866</v>
          </cell>
          <cell r="B1868" t="str">
            <v>Data Analytics Course</v>
          </cell>
          <cell r="C1868">
            <v>132</v>
          </cell>
          <cell r="D1868">
            <v>132</v>
          </cell>
          <cell r="E1868">
            <v>3725</v>
          </cell>
          <cell r="F1868">
            <v>3725</v>
          </cell>
          <cell r="G1868" t="str">
            <v>$196.98</v>
          </cell>
          <cell r="H1868" t="str">
            <v>$196.98</v>
          </cell>
          <cell r="I1868">
            <v>16</v>
          </cell>
          <cell r="J1868">
            <v>16</v>
          </cell>
          <cell r="K1868">
            <v>6</v>
          </cell>
          <cell r="L1868">
            <v>6</v>
          </cell>
          <cell r="M1868">
            <v>4.5454545454545456E-2</v>
          </cell>
          <cell r="N1868">
            <v>4.4999999999999998E-2</v>
          </cell>
          <cell r="O1868" t="str">
            <v>$1094</v>
          </cell>
          <cell r="P1868" t="str">
            <v>$1094</v>
          </cell>
          <cell r="Q1868">
            <v>45597</v>
          </cell>
          <cell r="R1868" t="str">
            <v>Chennai</v>
          </cell>
          <cell r="S1868" t="str">
            <v>Desktop</v>
          </cell>
          <cell r="T1868" t="str">
            <v>analytics for data</v>
          </cell>
        </row>
        <row r="1869">
          <cell r="A1869" t="str">
            <v>A2867</v>
          </cell>
          <cell r="B1869" t="str">
            <v>Data Analytics Course</v>
          </cell>
          <cell r="C1869">
            <v>93</v>
          </cell>
          <cell r="D1869">
            <v>93</v>
          </cell>
          <cell r="E1869">
            <v>4962</v>
          </cell>
          <cell r="F1869">
            <v>4962</v>
          </cell>
          <cell r="G1869" t="str">
            <v>$181.34</v>
          </cell>
          <cell r="H1869" t="str">
            <v>$181.34</v>
          </cell>
          <cell r="I1869">
            <v>22</v>
          </cell>
          <cell r="J1869">
            <v>22</v>
          </cell>
          <cell r="K1869">
            <v>4</v>
          </cell>
          <cell r="L1869">
            <v>4</v>
          </cell>
          <cell r="M1869">
            <v>4.3010752688172046E-2</v>
          </cell>
          <cell r="N1869">
            <v>4.2999999999999997E-2</v>
          </cell>
          <cell r="O1869" t="str">
            <v>$1100</v>
          </cell>
          <cell r="P1869" t="str">
            <v>$1100</v>
          </cell>
          <cell r="Q1869">
            <v>45626</v>
          </cell>
          <cell r="R1869" t="str">
            <v>Hyderabad</v>
          </cell>
          <cell r="S1869" t="str">
            <v>Desktop</v>
          </cell>
          <cell r="T1869" t="str">
            <v>analytics for data</v>
          </cell>
        </row>
        <row r="1870">
          <cell r="A1870" t="str">
            <v>A2868</v>
          </cell>
          <cell r="B1870" t="str">
            <v>Data Analytcis Course</v>
          </cell>
          <cell r="C1870">
            <v>149</v>
          </cell>
          <cell r="D1870">
            <v>149</v>
          </cell>
          <cell r="E1870">
            <v>3055</v>
          </cell>
          <cell r="F1870">
            <v>3055</v>
          </cell>
          <cell r="G1870" t="str">
            <v>$228.17</v>
          </cell>
          <cell r="H1870" t="str">
            <v>$228.17</v>
          </cell>
          <cell r="I1870">
            <v>18</v>
          </cell>
          <cell r="J1870">
            <v>18</v>
          </cell>
          <cell r="K1870">
            <v>7</v>
          </cell>
          <cell r="L1870">
            <v>7</v>
          </cell>
          <cell r="M1870">
            <v>4.6979865771812082E-2</v>
          </cell>
          <cell r="N1870">
            <v>0.05</v>
          </cell>
          <cell r="O1870" t="str">
            <v>$1382</v>
          </cell>
          <cell r="P1870" t="str">
            <v>$1382</v>
          </cell>
          <cell r="Q1870">
            <v>45613</v>
          </cell>
          <cell r="R1870" t="str">
            <v>Chennai</v>
          </cell>
          <cell r="S1870" t="str">
            <v>Desktop</v>
          </cell>
          <cell r="T1870" t="str">
            <v>learn data analytics</v>
          </cell>
        </row>
        <row r="1871">
          <cell r="A1871" t="str">
            <v>A2869</v>
          </cell>
          <cell r="B1871" t="str">
            <v>Data Analytics Course</v>
          </cell>
          <cell r="C1871">
            <v>184</v>
          </cell>
          <cell r="D1871">
            <v>184</v>
          </cell>
          <cell r="E1871">
            <v>4425</v>
          </cell>
          <cell r="F1871">
            <v>4425</v>
          </cell>
          <cell r="G1871" t="str">
            <v>$221.83</v>
          </cell>
          <cell r="H1871" t="str">
            <v>$221.83</v>
          </cell>
          <cell r="I1871">
            <v>30</v>
          </cell>
          <cell r="J1871">
            <v>30</v>
          </cell>
          <cell r="K1871">
            <v>6</v>
          </cell>
          <cell r="L1871">
            <v>6</v>
          </cell>
          <cell r="M1871">
            <v>3.2608695652173912E-2</v>
          </cell>
          <cell r="N1871">
            <v>3.3000000000000002E-2</v>
          </cell>
          <cell r="O1871" t="str">
            <v>$1956</v>
          </cell>
          <cell r="P1871" t="str">
            <v>$1956</v>
          </cell>
          <cell r="Q1871">
            <v>45609</v>
          </cell>
          <cell r="R1871" t="str">
            <v>Hyderabad</v>
          </cell>
          <cell r="S1871" t="str">
            <v>Tablet</v>
          </cell>
          <cell r="T1871" t="str">
            <v>data analytics online</v>
          </cell>
        </row>
        <row r="1872">
          <cell r="A1872" t="str">
            <v>A2870</v>
          </cell>
          <cell r="B1872" t="str">
            <v>Data Analytics Course</v>
          </cell>
          <cell r="C1872">
            <v>192</v>
          </cell>
          <cell r="D1872">
            <v>192</v>
          </cell>
          <cell r="E1872">
            <v>3755</v>
          </cell>
          <cell r="F1872">
            <v>3755</v>
          </cell>
          <cell r="G1872" t="str">
            <v>$200.00</v>
          </cell>
          <cell r="I1872">
            <v>16</v>
          </cell>
          <cell r="J1872">
            <v>16</v>
          </cell>
          <cell r="K1872">
            <v>4</v>
          </cell>
          <cell r="L1872">
            <v>4</v>
          </cell>
          <cell r="M1872">
            <v>2.0833333333333332E-2</v>
          </cell>
          <cell r="N1872">
            <v>2.1000000000000001E-2</v>
          </cell>
          <cell r="O1872" t="str">
            <v>$1805</v>
          </cell>
          <cell r="P1872" t="str">
            <v>$1805</v>
          </cell>
          <cell r="Q1872">
            <v>45602</v>
          </cell>
          <cell r="R1872" t="str">
            <v>Bangaluru</v>
          </cell>
          <cell r="S1872" t="str">
            <v>Desktop</v>
          </cell>
          <cell r="T1872" t="str">
            <v>learn data analytics</v>
          </cell>
        </row>
        <row r="1873">
          <cell r="A1873" t="str">
            <v>A2871</v>
          </cell>
          <cell r="B1873" t="str">
            <v>Data Analytics Course</v>
          </cell>
          <cell r="C1873">
            <v>115</v>
          </cell>
          <cell r="D1873">
            <v>115</v>
          </cell>
          <cell r="E1873">
            <v>4832</v>
          </cell>
          <cell r="F1873">
            <v>4832</v>
          </cell>
          <cell r="G1873" t="str">
            <v>$237.18</v>
          </cell>
          <cell r="H1873" t="str">
            <v>$237.18</v>
          </cell>
          <cell r="I1873">
            <v>24</v>
          </cell>
          <cell r="J1873">
            <v>24</v>
          </cell>
          <cell r="K1873">
            <v>5</v>
          </cell>
          <cell r="L1873">
            <v>5</v>
          </cell>
          <cell r="M1873">
            <v>4.3478260869565216E-2</v>
          </cell>
          <cell r="N1873">
            <v>4.2999999999999997E-2</v>
          </cell>
          <cell r="O1873" t="str">
            <v>$1737</v>
          </cell>
          <cell r="P1873" t="str">
            <v>$1737</v>
          </cell>
          <cell r="Q1873">
            <v>45619</v>
          </cell>
          <cell r="R1873" t="str">
            <v>Chennai</v>
          </cell>
          <cell r="S1873" t="str">
            <v>Tablet</v>
          </cell>
          <cell r="T1873" t="str">
            <v>data analytics online</v>
          </cell>
        </row>
        <row r="1874">
          <cell r="A1874" t="str">
            <v>A2872</v>
          </cell>
          <cell r="B1874" t="str">
            <v>Data Analytics Course</v>
          </cell>
          <cell r="C1874">
            <v>81</v>
          </cell>
          <cell r="D1874">
            <v>81</v>
          </cell>
          <cell r="E1874">
            <v>3224</v>
          </cell>
          <cell r="F1874">
            <v>3224</v>
          </cell>
          <cell r="G1874" t="str">
            <v>$239.58</v>
          </cell>
          <cell r="H1874" t="str">
            <v>$239.58</v>
          </cell>
          <cell r="I1874">
            <v>18</v>
          </cell>
          <cell r="J1874">
            <v>18</v>
          </cell>
          <cell r="K1874">
            <v>10</v>
          </cell>
          <cell r="L1874">
            <v>10</v>
          </cell>
          <cell r="M1874">
            <v>0.12345679012345678</v>
          </cell>
          <cell r="N1874">
            <v>0.123</v>
          </cell>
          <cell r="O1874" t="str">
            <v>$1229</v>
          </cell>
          <cell r="P1874" t="str">
            <v>$1229</v>
          </cell>
          <cell r="Q1874">
            <v>45623</v>
          </cell>
          <cell r="R1874" t="str">
            <v>Hyderabad</v>
          </cell>
          <cell r="S1874" t="str">
            <v>Tablet</v>
          </cell>
          <cell r="T1874" t="str">
            <v>online data analytic</v>
          </cell>
        </row>
        <row r="1875">
          <cell r="A1875" t="str">
            <v>A2873</v>
          </cell>
          <cell r="B1875" t="str">
            <v>Data Analytics Course</v>
          </cell>
          <cell r="C1875">
            <v>119</v>
          </cell>
          <cell r="D1875">
            <v>119</v>
          </cell>
          <cell r="E1875">
            <v>5809</v>
          </cell>
          <cell r="F1875">
            <v>5809</v>
          </cell>
          <cell r="G1875" t="str">
            <v>$224.5</v>
          </cell>
          <cell r="H1875" t="str">
            <v>$224.5</v>
          </cell>
          <cell r="I1875">
            <v>11</v>
          </cell>
          <cell r="J1875">
            <v>11</v>
          </cell>
          <cell r="K1875">
            <v>7</v>
          </cell>
          <cell r="L1875">
            <v>7</v>
          </cell>
          <cell r="M1875">
            <v>5.8823529411764705E-2</v>
          </cell>
          <cell r="N1875">
            <v>5.8999999999999997E-2</v>
          </cell>
          <cell r="O1875" t="str">
            <v>$1736</v>
          </cell>
          <cell r="P1875" t="str">
            <v>$1736</v>
          </cell>
          <cell r="Q1875">
            <v>45615</v>
          </cell>
          <cell r="R1875" t="str">
            <v>Hyderabad</v>
          </cell>
          <cell r="S1875" t="str">
            <v>Mobile</v>
          </cell>
          <cell r="T1875" t="str">
            <v>analytics for data</v>
          </cell>
        </row>
        <row r="1876">
          <cell r="A1876" t="str">
            <v>A2874</v>
          </cell>
          <cell r="B1876" t="str">
            <v>Data Analytics Course</v>
          </cell>
          <cell r="C1876">
            <v>169</v>
          </cell>
          <cell r="D1876">
            <v>169</v>
          </cell>
          <cell r="E1876">
            <v>4027</v>
          </cell>
          <cell r="F1876">
            <v>4027</v>
          </cell>
          <cell r="G1876" t="str">
            <v>$193.86</v>
          </cell>
          <cell r="H1876" t="str">
            <v>$193.86</v>
          </cell>
          <cell r="I1876">
            <v>22</v>
          </cell>
          <cell r="J1876">
            <v>22</v>
          </cell>
          <cell r="K1876">
            <v>4</v>
          </cell>
          <cell r="L1876">
            <v>4</v>
          </cell>
          <cell r="M1876">
            <v>2.3668639053254437E-2</v>
          </cell>
          <cell r="N1876">
            <v>3.3000000000000002E-2</v>
          </cell>
          <cell r="O1876" t="str">
            <v>$1387</v>
          </cell>
          <cell r="P1876" t="str">
            <v>$1387</v>
          </cell>
          <cell r="Q1876">
            <v>45608</v>
          </cell>
          <cell r="R1876" t="str">
            <v>Bangaluru</v>
          </cell>
          <cell r="S1876" t="str">
            <v>Desktop</v>
          </cell>
          <cell r="T1876" t="str">
            <v>data analytics online</v>
          </cell>
        </row>
        <row r="1877">
          <cell r="A1877" t="str">
            <v>A2875</v>
          </cell>
          <cell r="B1877" t="str">
            <v>Data Analytics Course</v>
          </cell>
          <cell r="C1877">
            <v>103</v>
          </cell>
          <cell r="D1877">
            <v>103</v>
          </cell>
          <cell r="E1877">
            <v>5900</v>
          </cell>
          <cell r="F1877">
            <v>5900</v>
          </cell>
          <cell r="G1877" t="str">
            <v>$231.39</v>
          </cell>
          <cell r="H1877" t="str">
            <v>$231.39</v>
          </cell>
          <cell r="I1877">
            <v>24</v>
          </cell>
          <cell r="J1877">
            <v>24</v>
          </cell>
          <cell r="K1877">
            <v>10</v>
          </cell>
          <cell r="L1877">
            <v>10</v>
          </cell>
          <cell r="M1877">
            <v>9.7087378640776698E-2</v>
          </cell>
          <cell r="N1877">
            <v>9.7000000000000003E-2</v>
          </cell>
          <cell r="O1877" t="str">
            <v>$1963</v>
          </cell>
          <cell r="P1877" t="str">
            <v>$1963</v>
          </cell>
          <cell r="Q1877">
            <v>45598</v>
          </cell>
          <cell r="R1877" t="str">
            <v>Hyderabad</v>
          </cell>
          <cell r="S1877" t="str">
            <v>Mobile</v>
          </cell>
          <cell r="T1877" t="str">
            <v>data analytics training</v>
          </cell>
        </row>
        <row r="1878">
          <cell r="A1878" t="str">
            <v>A2876</v>
          </cell>
          <cell r="B1878" t="str">
            <v>Data Analytcis Course</v>
          </cell>
          <cell r="C1878">
            <v>90</v>
          </cell>
          <cell r="D1878">
            <v>90</v>
          </cell>
          <cell r="E1878">
            <v>3518</v>
          </cell>
          <cell r="F1878">
            <v>3518</v>
          </cell>
          <cell r="G1878" t="str">
            <v>$216.8</v>
          </cell>
          <cell r="H1878" t="str">
            <v>$216.8</v>
          </cell>
          <cell r="I1878">
            <v>21</v>
          </cell>
          <cell r="J1878">
            <v>21</v>
          </cell>
          <cell r="K1878">
            <v>4</v>
          </cell>
          <cell r="L1878">
            <v>4</v>
          </cell>
          <cell r="M1878">
            <v>4.4444444444444446E-2</v>
          </cell>
          <cell r="N1878">
            <v>4.3999999999999997E-2</v>
          </cell>
          <cell r="O1878" t="str">
            <v>$1781</v>
          </cell>
          <cell r="P1878" t="str">
            <v>$1781</v>
          </cell>
          <cell r="Q1878">
            <v>45619</v>
          </cell>
          <cell r="R1878" t="str">
            <v>Hyderabad</v>
          </cell>
          <cell r="S1878" t="str">
            <v>Mobile</v>
          </cell>
          <cell r="T1878" t="str">
            <v>learn data analytics</v>
          </cell>
        </row>
        <row r="1879">
          <cell r="A1879" t="str">
            <v>A2877</v>
          </cell>
          <cell r="B1879" t="str">
            <v>Data Analytics Course</v>
          </cell>
          <cell r="C1879">
            <v>184</v>
          </cell>
          <cell r="D1879">
            <v>184</v>
          </cell>
          <cell r="E1879">
            <v>4238</v>
          </cell>
          <cell r="F1879">
            <v>4238</v>
          </cell>
          <cell r="G1879" t="str">
            <v>$228.49</v>
          </cell>
          <cell r="H1879" t="str">
            <v>$228.49</v>
          </cell>
          <cell r="I1879">
            <v>26</v>
          </cell>
          <cell r="J1879">
            <v>26</v>
          </cell>
          <cell r="K1879">
            <v>10</v>
          </cell>
          <cell r="L1879">
            <v>10</v>
          </cell>
          <cell r="M1879">
            <v>5.434782608695652E-2</v>
          </cell>
          <cell r="O1879" t="str">
            <v>$1003</v>
          </cell>
          <cell r="P1879" t="str">
            <v>$1003</v>
          </cell>
          <cell r="Q1879">
            <v>45605</v>
          </cell>
          <cell r="R1879" t="str">
            <v>Bangaluru</v>
          </cell>
          <cell r="S1879" t="str">
            <v>Tablet</v>
          </cell>
          <cell r="T1879" t="str">
            <v>learn data analytics</v>
          </cell>
        </row>
        <row r="1880">
          <cell r="A1880" t="str">
            <v>A2878</v>
          </cell>
          <cell r="B1880" t="str">
            <v>Data Analytcis Course</v>
          </cell>
          <cell r="C1880">
            <v>143</v>
          </cell>
          <cell r="D1880">
            <v>143</v>
          </cell>
          <cell r="E1880">
            <v>5160</v>
          </cell>
          <cell r="F1880">
            <v>5160</v>
          </cell>
          <cell r="G1880" t="str">
            <v>$248.04</v>
          </cell>
          <cell r="H1880" t="str">
            <v>$248.04</v>
          </cell>
          <cell r="I1880">
            <v>21</v>
          </cell>
          <cell r="J1880">
            <v>21</v>
          </cell>
          <cell r="K1880">
            <v>10</v>
          </cell>
          <cell r="L1880">
            <v>10</v>
          </cell>
          <cell r="M1880">
            <v>6.9930069930069935E-2</v>
          </cell>
          <cell r="N1880">
            <v>3.7999999999999999E-2</v>
          </cell>
          <cell r="O1880" t="str">
            <v>$1780</v>
          </cell>
          <cell r="P1880" t="str">
            <v>$1780</v>
          </cell>
          <cell r="Q1880">
            <v>45621</v>
          </cell>
          <cell r="R1880" t="str">
            <v>Bangaluru</v>
          </cell>
          <cell r="S1880" t="str">
            <v>Mobile</v>
          </cell>
          <cell r="T1880" t="str">
            <v>data analytics online</v>
          </cell>
        </row>
        <row r="1881">
          <cell r="A1881" t="str">
            <v>A2879</v>
          </cell>
          <cell r="B1881" t="str">
            <v>Data Analytcis Course</v>
          </cell>
          <cell r="C1881">
            <v>123</v>
          </cell>
          <cell r="D1881">
            <v>123</v>
          </cell>
          <cell r="E1881">
            <v>4753</v>
          </cell>
          <cell r="F1881">
            <v>4753</v>
          </cell>
          <cell r="G1881" t="str">
            <v>$203.59</v>
          </cell>
          <cell r="H1881" t="str">
            <v>$203.59</v>
          </cell>
          <cell r="I1881">
            <v>29</v>
          </cell>
          <cell r="J1881">
            <v>29</v>
          </cell>
          <cell r="K1881">
            <v>10</v>
          </cell>
          <cell r="L1881">
            <v>10</v>
          </cell>
          <cell r="M1881">
            <v>8.1300813008130079E-2</v>
          </cell>
          <cell r="N1881">
            <v>8.1000000000000003E-2</v>
          </cell>
          <cell r="O1881" t="str">
            <v>$1959</v>
          </cell>
          <cell r="P1881" t="str">
            <v>$1959</v>
          </cell>
          <cell r="Q1881">
            <v>45611</v>
          </cell>
          <cell r="R1881" t="str">
            <v>Chennai</v>
          </cell>
          <cell r="S1881" t="str">
            <v>Mobile</v>
          </cell>
          <cell r="T1881" t="str">
            <v>data analytics training</v>
          </cell>
        </row>
        <row r="1882">
          <cell r="A1882" t="str">
            <v>A2880</v>
          </cell>
          <cell r="B1882" t="str">
            <v>Data Analytics Course</v>
          </cell>
          <cell r="C1882">
            <v>155</v>
          </cell>
          <cell r="D1882">
            <v>155</v>
          </cell>
          <cell r="E1882">
            <v>4969</v>
          </cell>
          <cell r="F1882">
            <v>4969</v>
          </cell>
          <cell r="G1882" t="str">
            <v>$190.87</v>
          </cell>
          <cell r="H1882" t="str">
            <v>$190.87</v>
          </cell>
          <cell r="I1882">
            <v>25</v>
          </cell>
          <cell r="J1882">
            <v>25</v>
          </cell>
          <cell r="K1882">
            <v>5</v>
          </cell>
          <cell r="L1882">
            <v>5</v>
          </cell>
          <cell r="M1882">
            <v>3.2258064516129031E-2</v>
          </cell>
          <cell r="N1882">
            <v>3.2000000000000001E-2</v>
          </cell>
          <cell r="O1882" t="str">
            <v>$1807</v>
          </cell>
          <cell r="P1882" t="str">
            <v>$1807</v>
          </cell>
          <cell r="Q1882">
            <v>45624</v>
          </cell>
          <cell r="R1882" t="str">
            <v>Bangaluru</v>
          </cell>
          <cell r="S1882" t="str">
            <v>Tablet</v>
          </cell>
          <cell r="T1882" t="str">
            <v>data analytics training</v>
          </cell>
        </row>
        <row r="1883">
          <cell r="A1883" t="str">
            <v>A2881</v>
          </cell>
          <cell r="B1883" t="str">
            <v>Data Analytics Course</v>
          </cell>
          <cell r="C1883">
            <v>140</v>
          </cell>
          <cell r="D1883">
            <v>140</v>
          </cell>
          <cell r="E1883">
            <v>4415</v>
          </cell>
          <cell r="F1883">
            <v>4415</v>
          </cell>
          <cell r="G1883" t="str">
            <v>$240.95</v>
          </cell>
          <cell r="H1883" t="str">
            <v>$240.95</v>
          </cell>
          <cell r="I1883">
            <v>13</v>
          </cell>
          <cell r="J1883">
            <v>13</v>
          </cell>
          <cell r="K1883">
            <v>8</v>
          </cell>
          <cell r="L1883">
            <v>8</v>
          </cell>
          <cell r="M1883">
            <v>5.7142857142857141E-2</v>
          </cell>
          <cell r="N1883">
            <v>5.7000000000000002E-2</v>
          </cell>
          <cell r="O1883" t="str">
            <v>$1579</v>
          </cell>
          <cell r="P1883" t="str">
            <v>$1579</v>
          </cell>
          <cell r="Q1883">
            <v>45608</v>
          </cell>
          <cell r="R1883" t="str">
            <v>Hyderabad</v>
          </cell>
          <cell r="S1883" t="str">
            <v>Mobile</v>
          </cell>
          <cell r="T1883" t="str">
            <v>data analytics training</v>
          </cell>
        </row>
        <row r="1884">
          <cell r="A1884" t="str">
            <v>A2882</v>
          </cell>
          <cell r="B1884" t="str">
            <v>Data Analytics Course</v>
          </cell>
          <cell r="C1884">
            <v>110</v>
          </cell>
          <cell r="D1884">
            <v>110</v>
          </cell>
          <cell r="E1884">
            <v>3931</v>
          </cell>
          <cell r="F1884">
            <v>3931</v>
          </cell>
          <cell r="G1884" t="str">
            <v>$193.32</v>
          </cell>
          <cell r="H1884" t="str">
            <v>$193.32</v>
          </cell>
          <cell r="I1884">
            <v>20.320512820512821</v>
          </cell>
          <cell r="K1884">
            <v>4</v>
          </cell>
          <cell r="L1884">
            <v>4</v>
          </cell>
          <cell r="M1884">
            <v>3.6363636363636362E-2</v>
          </cell>
          <cell r="O1884" t="str">
            <v>$1088</v>
          </cell>
          <cell r="P1884" t="str">
            <v>$1088</v>
          </cell>
          <cell r="Q1884">
            <v>45610</v>
          </cell>
          <cell r="R1884" t="str">
            <v>Chennai</v>
          </cell>
          <cell r="S1884" t="str">
            <v>Mobile</v>
          </cell>
          <cell r="T1884" t="str">
            <v>data analytics training</v>
          </cell>
        </row>
        <row r="1885">
          <cell r="A1885" t="str">
            <v>A2883</v>
          </cell>
          <cell r="B1885" t="str">
            <v>Data Analytcis Course</v>
          </cell>
          <cell r="C1885">
            <v>103</v>
          </cell>
          <cell r="D1885">
            <v>103</v>
          </cell>
          <cell r="E1885">
            <v>4409</v>
          </cell>
          <cell r="F1885">
            <v>4409</v>
          </cell>
          <cell r="G1885" t="str">
            <v>$246.87</v>
          </cell>
          <cell r="H1885" t="str">
            <v>$246.87</v>
          </cell>
          <cell r="I1885">
            <v>18</v>
          </cell>
          <cell r="J1885">
            <v>18</v>
          </cell>
          <cell r="K1885">
            <v>8</v>
          </cell>
          <cell r="L1885">
            <v>8</v>
          </cell>
          <cell r="M1885">
            <v>7.7669902912621352E-2</v>
          </cell>
          <cell r="N1885">
            <v>7.8E-2</v>
          </cell>
          <cell r="O1885" t="str">
            <v>$1136</v>
          </cell>
          <cell r="P1885" t="str">
            <v>$1136</v>
          </cell>
          <cell r="Q1885">
            <v>45620</v>
          </cell>
          <cell r="R1885" t="str">
            <v>Chennai</v>
          </cell>
          <cell r="S1885" t="str">
            <v>Desktop</v>
          </cell>
          <cell r="T1885" t="str">
            <v>online data analytic</v>
          </cell>
        </row>
        <row r="1886">
          <cell r="A1886" t="str">
            <v>A2884</v>
          </cell>
          <cell r="B1886" t="str">
            <v>Data Analytcis Course</v>
          </cell>
          <cell r="C1886">
            <v>127</v>
          </cell>
          <cell r="D1886">
            <v>127</v>
          </cell>
          <cell r="E1886">
            <v>5064</v>
          </cell>
          <cell r="F1886">
            <v>5064</v>
          </cell>
          <cell r="G1886" t="str">
            <v>$195.07</v>
          </cell>
          <cell r="H1886" t="str">
            <v>$195.07</v>
          </cell>
          <cell r="I1886">
            <v>22</v>
          </cell>
          <cell r="J1886">
            <v>22</v>
          </cell>
          <cell r="K1886">
            <v>10</v>
          </cell>
          <cell r="L1886">
            <v>10</v>
          </cell>
          <cell r="M1886">
            <v>7.874015748031496E-2</v>
          </cell>
          <cell r="N1886">
            <v>7.9000000000000001E-2</v>
          </cell>
          <cell r="O1886" t="str">
            <v>$1521</v>
          </cell>
          <cell r="P1886" t="str">
            <v>$1521</v>
          </cell>
          <cell r="Q1886">
            <v>45612</v>
          </cell>
          <cell r="R1886" t="str">
            <v>Chennai</v>
          </cell>
          <cell r="S1886" t="str">
            <v>Mobile</v>
          </cell>
          <cell r="T1886" t="str">
            <v>learn data analytics</v>
          </cell>
        </row>
        <row r="1887">
          <cell r="A1887" t="str">
            <v>A2885</v>
          </cell>
          <cell r="B1887" t="str">
            <v>Data Analytics Course</v>
          </cell>
          <cell r="C1887">
            <v>151</v>
          </cell>
          <cell r="D1887">
            <v>151</v>
          </cell>
          <cell r="E1887">
            <v>3905</v>
          </cell>
          <cell r="F1887">
            <v>3905</v>
          </cell>
          <cell r="G1887" t="str">
            <v>$191.4</v>
          </cell>
          <cell r="H1887" t="str">
            <v>$191.4</v>
          </cell>
          <cell r="I1887">
            <v>20</v>
          </cell>
          <cell r="J1887">
            <v>20</v>
          </cell>
          <cell r="K1887">
            <v>10</v>
          </cell>
          <cell r="L1887">
            <v>10</v>
          </cell>
          <cell r="M1887">
            <v>6.6225165562913912E-2</v>
          </cell>
          <cell r="N1887">
            <v>4.8000000000000001E-2</v>
          </cell>
          <cell r="O1887" t="str">
            <v>$1342</v>
          </cell>
          <cell r="P1887" t="str">
            <v>$1342</v>
          </cell>
          <cell r="Q1887">
            <v>45626</v>
          </cell>
          <cell r="R1887" t="str">
            <v>Chennai</v>
          </cell>
          <cell r="S1887" t="str">
            <v>Desktop</v>
          </cell>
          <cell r="T1887" t="str">
            <v>data analytics course</v>
          </cell>
        </row>
        <row r="1888">
          <cell r="A1888" t="str">
            <v>A2886</v>
          </cell>
          <cell r="B1888" t="str">
            <v>Data Analytics Course</v>
          </cell>
          <cell r="C1888">
            <v>191</v>
          </cell>
          <cell r="D1888">
            <v>191</v>
          </cell>
          <cell r="E1888">
            <v>4710</v>
          </cell>
          <cell r="F1888">
            <v>4710</v>
          </cell>
          <cell r="G1888" t="str">
            <v>$214.24</v>
          </cell>
          <cell r="H1888" t="str">
            <v>$214.24</v>
          </cell>
          <cell r="I1888">
            <v>15</v>
          </cell>
          <cell r="J1888">
            <v>15</v>
          </cell>
          <cell r="K1888">
            <v>6</v>
          </cell>
          <cell r="L1888">
            <v>6</v>
          </cell>
          <cell r="M1888">
            <v>3.1413612565445025E-2</v>
          </cell>
          <cell r="N1888">
            <v>4.2000000000000003E-2</v>
          </cell>
          <cell r="O1888" t="str">
            <v>$1080</v>
          </cell>
          <cell r="P1888" t="str">
            <v>$1080</v>
          </cell>
          <cell r="Q1888">
            <v>45601</v>
          </cell>
          <cell r="R1888" t="str">
            <v>Hyderabad</v>
          </cell>
          <cell r="S1888" t="str">
            <v>Desktop</v>
          </cell>
          <cell r="T1888" t="str">
            <v>data analytics course</v>
          </cell>
        </row>
        <row r="1889">
          <cell r="A1889" t="str">
            <v>A2887</v>
          </cell>
          <cell r="B1889" t="str">
            <v>Data Analytcis Course</v>
          </cell>
          <cell r="C1889">
            <v>177</v>
          </cell>
          <cell r="D1889">
            <v>177</v>
          </cell>
          <cell r="E1889">
            <v>3869</v>
          </cell>
          <cell r="F1889">
            <v>3869</v>
          </cell>
          <cell r="G1889" t="str">
            <v>$198.88</v>
          </cell>
          <cell r="H1889" t="str">
            <v>$198.88</v>
          </cell>
          <cell r="I1889">
            <v>23</v>
          </cell>
          <cell r="J1889">
            <v>23</v>
          </cell>
          <cell r="K1889">
            <v>4</v>
          </cell>
          <cell r="L1889">
            <v>4</v>
          </cell>
          <cell r="M1889">
            <v>2.2598870056497175E-2</v>
          </cell>
          <cell r="O1889" t="str">
            <v>$1909</v>
          </cell>
          <cell r="P1889" t="str">
            <v>$1909</v>
          </cell>
          <cell r="Q1889">
            <v>45600</v>
          </cell>
          <cell r="R1889" t="str">
            <v>Hyderabad</v>
          </cell>
          <cell r="S1889" t="str">
            <v>Desktop</v>
          </cell>
          <cell r="T1889" t="str">
            <v>data analytics course</v>
          </cell>
        </row>
        <row r="1890">
          <cell r="A1890" t="str">
            <v>A2888</v>
          </cell>
          <cell r="B1890" t="str">
            <v>Data Analytcis Course</v>
          </cell>
          <cell r="C1890">
            <v>122</v>
          </cell>
          <cell r="D1890">
            <v>122</v>
          </cell>
          <cell r="E1890">
            <v>3760</v>
          </cell>
          <cell r="F1890">
            <v>3760</v>
          </cell>
          <cell r="G1890" t="str">
            <v>$233.47</v>
          </cell>
          <cell r="H1890" t="str">
            <v>$233.47</v>
          </cell>
          <cell r="I1890">
            <v>22</v>
          </cell>
          <cell r="J1890">
            <v>22</v>
          </cell>
          <cell r="K1890">
            <v>7</v>
          </cell>
          <cell r="L1890">
            <v>7</v>
          </cell>
          <cell r="M1890">
            <v>5.737704918032787E-2</v>
          </cell>
          <cell r="N1890">
            <v>5.7000000000000002E-2</v>
          </cell>
          <cell r="O1890" t="str">
            <v>$1785</v>
          </cell>
          <cell r="P1890" t="str">
            <v>$1785</v>
          </cell>
          <cell r="Q1890">
            <v>45612</v>
          </cell>
          <cell r="R1890" t="str">
            <v>Hyderabad</v>
          </cell>
          <cell r="S1890" t="str">
            <v>Desktop</v>
          </cell>
          <cell r="T1890" t="str">
            <v>analytics for data</v>
          </cell>
        </row>
        <row r="1891">
          <cell r="A1891" t="str">
            <v>A2889</v>
          </cell>
          <cell r="B1891" t="str">
            <v>Data Analytics Course</v>
          </cell>
          <cell r="C1891">
            <v>99</v>
          </cell>
          <cell r="D1891">
            <v>99</v>
          </cell>
          <cell r="E1891">
            <v>3979</v>
          </cell>
          <cell r="F1891">
            <v>3979</v>
          </cell>
          <cell r="G1891" t="str">
            <v>$188.54</v>
          </cell>
          <cell r="H1891" t="str">
            <v>$188.54</v>
          </cell>
          <cell r="I1891">
            <v>16</v>
          </cell>
          <cell r="J1891">
            <v>16</v>
          </cell>
          <cell r="K1891">
            <v>4</v>
          </cell>
          <cell r="L1891">
            <v>4</v>
          </cell>
          <cell r="M1891">
            <v>4.0404040404040407E-2</v>
          </cell>
          <cell r="N1891">
            <v>0.04</v>
          </cell>
          <cell r="O1891" t="str">
            <v>$1244</v>
          </cell>
          <cell r="P1891" t="str">
            <v>$1244</v>
          </cell>
          <cell r="Q1891">
            <v>45616</v>
          </cell>
          <cell r="R1891" t="str">
            <v>Hyderabad</v>
          </cell>
          <cell r="S1891" t="str">
            <v>Tablet</v>
          </cell>
          <cell r="T1891" t="str">
            <v>data analytics training</v>
          </cell>
        </row>
        <row r="1892">
          <cell r="A1892" t="str">
            <v>A2890</v>
          </cell>
          <cell r="B1892" t="str">
            <v>Data Analytics Course</v>
          </cell>
          <cell r="C1892">
            <v>138.95699356913184</v>
          </cell>
          <cell r="E1892">
            <v>3027</v>
          </cell>
          <cell r="F1892">
            <v>3027</v>
          </cell>
          <cell r="G1892" t="str">
            <v>$205.67</v>
          </cell>
          <cell r="H1892" t="str">
            <v>$205.67</v>
          </cell>
          <cell r="I1892">
            <v>20.329496402877698</v>
          </cell>
          <cell r="K1892">
            <v>7</v>
          </cell>
          <cell r="L1892">
            <v>7</v>
          </cell>
          <cell r="M1892">
            <v>5.0375298286210138E-2</v>
          </cell>
          <cell r="O1892" t="str">
            <v>$1593</v>
          </cell>
          <cell r="P1892" t="str">
            <v>$1593</v>
          </cell>
          <cell r="Q1892">
            <v>45603</v>
          </cell>
          <cell r="R1892" t="str">
            <v>Bangaluru</v>
          </cell>
          <cell r="S1892" t="str">
            <v>Tablet</v>
          </cell>
          <cell r="T1892" t="str">
            <v>learn data analytics</v>
          </cell>
        </row>
        <row r="1893">
          <cell r="A1893" t="str">
            <v>A2891</v>
          </cell>
          <cell r="B1893" t="str">
            <v>Data Analytics Course</v>
          </cell>
          <cell r="C1893">
            <v>114</v>
          </cell>
          <cell r="D1893">
            <v>114</v>
          </cell>
          <cell r="E1893">
            <v>4540</v>
          </cell>
          <cell r="F1893">
            <v>4540</v>
          </cell>
          <cell r="G1893" t="str">
            <v>$185.04</v>
          </cell>
          <cell r="H1893" t="str">
            <v>$185.04</v>
          </cell>
          <cell r="I1893">
            <v>10</v>
          </cell>
          <cell r="J1893">
            <v>10</v>
          </cell>
          <cell r="K1893">
            <v>4</v>
          </cell>
          <cell r="L1893">
            <v>4</v>
          </cell>
          <cell r="M1893">
            <v>3.5087719298245612E-2</v>
          </cell>
          <cell r="N1893">
            <v>3.5000000000000003E-2</v>
          </cell>
          <cell r="O1893" t="str">
            <v>$1561</v>
          </cell>
          <cell r="P1893" t="str">
            <v>$1561</v>
          </cell>
          <cell r="Q1893">
            <v>45624</v>
          </cell>
          <cell r="R1893" t="str">
            <v>Hyderabad</v>
          </cell>
          <cell r="S1893" t="str">
            <v>Mobile</v>
          </cell>
          <cell r="T1893" t="str">
            <v>data analytics course</v>
          </cell>
        </row>
        <row r="1894">
          <cell r="A1894" t="str">
            <v>A2892</v>
          </cell>
          <cell r="B1894" t="str">
            <v>Data Analytics Course</v>
          </cell>
          <cell r="C1894">
            <v>92</v>
          </cell>
          <cell r="D1894">
            <v>92</v>
          </cell>
          <cell r="E1894">
            <v>4466</v>
          </cell>
          <cell r="F1894">
            <v>4466</v>
          </cell>
          <cell r="G1894" t="str">
            <v>$244.46</v>
          </cell>
          <cell r="H1894" t="str">
            <v>$244.46</v>
          </cell>
          <cell r="I1894">
            <v>18</v>
          </cell>
          <cell r="J1894">
            <v>18</v>
          </cell>
          <cell r="K1894">
            <v>6</v>
          </cell>
          <cell r="L1894">
            <v>6</v>
          </cell>
          <cell r="M1894">
            <v>6.5217391304347824E-2</v>
          </cell>
          <cell r="N1894">
            <v>3.9E-2</v>
          </cell>
          <cell r="O1894" t="str">
            <v>$1912</v>
          </cell>
          <cell r="P1894" t="str">
            <v>$1912</v>
          </cell>
          <cell r="Q1894">
            <v>45603</v>
          </cell>
          <cell r="R1894" t="str">
            <v>Hyderabad</v>
          </cell>
          <cell r="S1894" t="str">
            <v>Desktop</v>
          </cell>
          <cell r="T1894" t="str">
            <v>learn data analytics</v>
          </cell>
        </row>
        <row r="1895">
          <cell r="A1895" t="str">
            <v>A2893</v>
          </cell>
          <cell r="B1895" t="str">
            <v>Data Analytics Course</v>
          </cell>
          <cell r="C1895">
            <v>138.95699356913184</v>
          </cell>
          <cell r="E1895">
            <v>4865</v>
          </cell>
          <cell r="F1895">
            <v>4865</v>
          </cell>
          <cell r="G1895" t="str">
            <v>$206.18</v>
          </cell>
          <cell r="H1895" t="str">
            <v>$206.18</v>
          </cell>
          <cell r="I1895">
            <v>25</v>
          </cell>
          <cell r="J1895">
            <v>25</v>
          </cell>
          <cell r="K1895">
            <v>9</v>
          </cell>
          <cell r="L1895">
            <v>9</v>
          </cell>
          <cell r="M1895">
            <v>6.4768240653698753E-2</v>
          </cell>
          <cell r="O1895" t="str">
            <v>$1836</v>
          </cell>
          <cell r="P1895" t="str">
            <v>$1836</v>
          </cell>
          <cell r="Q1895">
            <v>45604</v>
          </cell>
          <cell r="R1895" t="str">
            <v>Chennai</v>
          </cell>
          <cell r="S1895" t="str">
            <v>Desktop</v>
          </cell>
          <cell r="T1895" t="str">
            <v>data analytics online</v>
          </cell>
        </row>
        <row r="1896">
          <cell r="A1896" t="str">
            <v>A2894</v>
          </cell>
          <cell r="B1896" t="str">
            <v>Data Analytics Course</v>
          </cell>
          <cell r="C1896">
            <v>157</v>
          </cell>
          <cell r="D1896">
            <v>157</v>
          </cell>
          <cell r="E1896">
            <v>5890</v>
          </cell>
          <cell r="F1896">
            <v>5890</v>
          </cell>
          <cell r="G1896" t="str">
            <v>$221.53</v>
          </cell>
          <cell r="H1896" t="str">
            <v>$221.53</v>
          </cell>
          <cell r="I1896">
            <v>27</v>
          </cell>
          <cell r="J1896">
            <v>27</v>
          </cell>
          <cell r="K1896">
            <v>6.5213549337260677</v>
          </cell>
          <cell r="M1896">
            <v>4.1537292571503619E-2</v>
          </cell>
          <cell r="O1896" t="str">
            <v>$1122</v>
          </cell>
          <cell r="P1896" t="str">
            <v>$1122</v>
          </cell>
          <cell r="Q1896">
            <v>45607</v>
          </cell>
          <cell r="R1896" t="str">
            <v>Hyderabad</v>
          </cell>
          <cell r="S1896" t="str">
            <v>Mobile</v>
          </cell>
          <cell r="T1896" t="str">
            <v>data analytics training</v>
          </cell>
        </row>
        <row r="1897">
          <cell r="A1897" t="str">
            <v>A2895</v>
          </cell>
          <cell r="B1897" t="str">
            <v>Data Analytics Course</v>
          </cell>
          <cell r="C1897">
            <v>91</v>
          </cell>
          <cell r="D1897">
            <v>91</v>
          </cell>
          <cell r="E1897">
            <v>4010</v>
          </cell>
          <cell r="F1897">
            <v>4010</v>
          </cell>
          <cell r="G1897" t="str">
            <v>$229.84</v>
          </cell>
          <cell r="H1897" t="str">
            <v>$229.84</v>
          </cell>
          <cell r="I1897">
            <v>11</v>
          </cell>
          <cell r="J1897">
            <v>11</v>
          </cell>
          <cell r="K1897">
            <v>6</v>
          </cell>
          <cell r="L1897">
            <v>6</v>
          </cell>
          <cell r="M1897">
            <v>6.5934065934065936E-2</v>
          </cell>
          <cell r="O1897" t="str">
            <v>$1634</v>
          </cell>
          <cell r="P1897" t="str">
            <v>$1634</v>
          </cell>
          <cell r="Q1897">
            <v>45598</v>
          </cell>
          <cell r="R1897" t="str">
            <v>Hyderabad</v>
          </cell>
          <cell r="S1897" t="str">
            <v>Mobile</v>
          </cell>
          <cell r="T1897" t="str">
            <v>analytics for data</v>
          </cell>
        </row>
        <row r="1898">
          <cell r="A1898" t="str">
            <v>A2896</v>
          </cell>
          <cell r="B1898" t="str">
            <v>Data Analytics Course</v>
          </cell>
          <cell r="C1898">
            <v>91</v>
          </cell>
          <cell r="D1898">
            <v>91</v>
          </cell>
          <cell r="E1898">
            <v>4641</v>
          </cell>
          <cell r="F1898">
            <v>4641</v>
          </cell>
          <cell r="G1898" t="str">
            <v>$182.84</v>
          </cell>
          <cell r="H1898" t="str">
            <v>$182.84</v>
          </cell>
          <cell r="I1898">
            <v>12</v>
          </cell>
          <cell r="J1898">
            <v>12</v>
          </cell>
          <cell r="K1898">
            <v>9</v>
          </cell>
          <cell r="L1898">
            <v>9</v>
          </cell>
          <cell r="M1898">
            <v>9.8901098901098897E-2</v>
          </cell>
          <cell r="N1898">
            <v>4.5999999999999999E-2</v>
          </cell>
          <cell r="O1898" t="str">
            <v>$1235</v>
          </cell>
          <cell r="P1898" t="str">
            <v>$1235</v>
          </cell>
          <cell r="Q1898">
            <v>45621</v>
          </cell>
          <cell r="R1898" t="str">
            <v>Hyderabad</v>
          </cell>
          <cell r="S1898" t="str">
            <v>Mobile</v>
          </cell>
          <cell r="T1898" t="str">
            <v>data analytics online</v>
          </cell>
        </row>
        <row r="1899">
          <cell r="A1899" t="str">
            <v>A2897</v>
          </cell>
          <cell r="B1899" t="str">
            <v>Data Analytics Course</v>
          </cell>
          <cell r="C1899">
            <v>99</v>
          </cell>
          <cell r="D1899">
            <v>99</v>
          </cell>
          <cell r="E1899">
            <v>5669</v>
          </cell>
          <cell r="F1899">
            <v>5669</v>
          </cell>
          <cell r="G1899" t="str">
            <v>$202.47</v>
          </cell>
          <cell r="H1899" t="str">
            <v>$202.47</v>
          </cell>
          <cell r="I1899">
            <v>24</v>
          </cell>
          <cell r="J1899">
            <v>24</v>
          </cell>
          <cell r="K1899">
            <v>7</v>
          </cell>
          <cell r="L1899">
            <v>7</v>
          </cell>
          <cell r="M1899">
            <v>7.0707070707070704E-2</v>
          </cell>
          <cell r="N1899">
            <v>7.0999999999999994E-2</v>
          </cell>
          <cell r="O1899" t="str">
            <v>$1862</v>
          </cell>
          <cell r="P1899" t="str">
            <v>$1862</v>
          </cell>
          <cell r="Q1899">
            <v>45607</v>
          </cell>
          <cell r="R1899" t="str">
            <v>Hyderabad</v>
          </cell>
          <cell r="S1899" t="str">
            <v>Desktop</v>
          </cell>
          <cell r="T1899" t="str">
            <v>online data analytic</v>
          </cell>
        </row>
        <row r="1900">
          <cell r="A1900" t="str">
            <v>A2898</v>
          </cell>
          <cell r="B1900" t="str">
            <v>Data Analytcis Course</v>
          </cell>
          <cell r="C1900">
            <v>160</v>
          </cell>
          <cell r="D1900">
            <v>160</v>
          </cell>
          <cell r="E1900">
            <v>3000</v>
          </cell>
          <cell r="F1900">
            <v>3000</v>
          </cell>
          <cell r="G1900" t="str">
            <v>$201.69</v>
          </cell>
          <cell r="H1900" t="str">
            <v>$201.69</v>
          </cell>
          <cell r="I1900">
            <v>28</v>
          </cell>
          <cell r="J1900">
            <v>28</v>
          </cell>
          <cell r="K1900">
            <v>9</v>
          </cell>
          <cell r="L1900">
            <v>9</v>
          </cell>
          <cell r="M1900">
            <v>5.6250000000000001E-2</v>
          </cell>
          <cell r="N1900">
            <v>5.6000000000000001E-2</v>
          </cell>
          <cell r="O1900" t="str">
            <v>$1103</v>
          </cell>
          <cell r="P1900" t="str">
            <v>$1103</v>
          </cell>
          <cell r="Q1900">
            <v>45612</v>
          </cell>
          <cell r="R1900" t="str">
            <v>Hyderabad</v>
          </cell>
          <cell r="S1900" t="str">
            <v>Desktop</v>
          </cell>
          <cell r="T1900" t="str">
            <v>data analytics online</v>
          </cell>
        </row>
        <row r="1901">
          <cell r="A1901" t="str">
            <v>A2899</v>
          </cell>
          <cell r="B1901" t="str">
            <v>Data Analytics Course</v>
          </cell>
          <cell r="C1901">
            <v>138.95699356913184</v>
          </cell>
          <cell r="E1901">
            <v>3979</v>
          </cell>
          <cell r="F1901">
            <v>3979</v>
          </cell>
          <cell r="G1901" t="str">
            <v>$241.3</v>
          </cell>
          <cell r="H1901" t="str">
            <v>$241.3</v>
          </cell>
          <cell r="I1901">
            <v>25</v>
          </cell>
          <cell r="J1901">
            <v>25</v>
          </cell>
          <cell r="K1901">
            <v>10</v>
          </cell>
          <cell r="L1901">
            <v>10</v>
          </cell>
          <cell r="M1901">
            <v>7.1964711837443046E-2</v>
          </cell>
          <cell r="O1901" t="str">
            <v>$1488</v>
          </cell>
          <cell r="P1901" t="str">
            <v>$1488</v>
          </cell>
          <cell r="Q1901">
            <v>45606</v>
          </cell>
          <cell r="R1901" t="str">
            <v>Hyderabad</v>
          </cell>
          <cell r="S1901" t="str">
            <v>Desktop</v>
          </cell>
          <cell r="T1901" t="str">
            <v>data analytics course</v>
          </cell>
        </row>
        <row r="1902">
          <cell r="A1902" t="str">
            <v>A2900</v>
          </cell>
          <cell r="B1902" t="str">
            <v>Data Analytcis Course</v>
          </cell>
          <cell r="C1902">
            <v>185</v>
          </cell>
          <cell r="D1902">
            <v>185</v>
          </cell>
          <cell r="E1902">
            <v>4523.2808326787117</v>
          </cell>
          <cell r="G1902" t="str">
            <v>$192.6</v>
          </cell>
          <cell r="H1902" t="str">
            <v>$192.6</v>
          </cell>
          <cell r="I1902">
            <v>23</v>
          </cell>
          <cell r="J1902">
            <v>23</v>
          </cell>
          <cell r="K1902">
            <v>5</v>
          </cell>
          <cell r="L1902">
            <v>5</v>
          </cell>
          <cell r="M1902">
            <v>2.7027027027027029E-2</v>
          </cell>
          <cell r="N1902">
            <v>2.7E-2</v>
          </cell>
          <cell r="O1902" t="str">
            <v>$1180</v>
          </cell>
          <cell r="P1902" t="str">
            <v>$1180</v>
          </cell>
          <cell r="Q1902">
            <v>45597</v>
          </cell>
          <cell r="R1902" t="str">
            <v>Hyderabad</v>
          </cell>
          <cell r="S1902" t="str">
            <v>Desktop</v>
          </cell>
          <cell r="T1902" t="str">
            <v>learn data analytics</v>
          </cell>
        </row>
        <row r="1903">
          <cell r="A1903" t="str">
            <v>A2901</v>
          </cell>
          <cell r="B1903" t="str">
            <v>Data Analytics Course</v>
          </cell>
          <cell r="C1903">
            <v>137</v>
          </cell>
          <cell r="D1903">
            <v>137</v>
          </cell>
          <cell r="E1903">
            <v>5049</v>
          </cell>
          <cell r="F1903">
            <v>5049</v>
          </cell>
          <cell r="G1903" t="str">
            <v>$180.58</v>
          </cell>
          <cell r="H1903" t="str">
            <v>$180.58</v>
          </cell>
          <cell r="I1903">
            <v>26</v>
          </cell>
          <cell r="J1903">
            <v>26</v>
          </cell>
          <cell r="K1903">
            <v>3</v>
          </cell>
          <cell r="L1903">
            <v>3</v>
          </cell>
          <cell r="M1903">
            <v>2.1897810218978103E-2</v>
          </cell>
          <cell r="N1903">
            <v>2.1999999999999999E-2</v>
          </cell>
          <cell r="O1903" t="str">
            <v>$1808</v>
          </cell>
          <cell r="P1903" t="str">
            <v>$1808</v>
          </cell>
          <cell r="Q1903">
            <v>45614</v>
          </cell>
          <cell r="R1903" t="str">
            <v>Hyderabad</v>
          </cell>
          <cell r="S1903" t="str">
            <v>Desktop</v>
          </cell>
          <cell r="T1903" t="str">
            <v>data analytics training</v>
          </cell>
        </row>
        <row r="1904">
          <cell r="A1904" t="str">
            <v>A2902</v>
          </cell>
          <cell r="B1904" t="str">
            <v>Data Analytics Course</v>
          </cell>
          <cell r="C1904">
            <v>159</v>
          </cell>
          <cell r="D1904">
            <v>159</v>
          </cell>
          <cell r="E1904">
            <v>3662</v>
          </cell>
          <cell r="F1904">
            <v>3662</v>
          </cell>
          <cell r="G1904" t="str">
            <v>$203.93</v>
          </cell>
          <cell r="H1904" t="str">
            <v>$203.93</v>
          </cell>
          <cell r="I1904">
            <v>20</v>
          </cell>
          <cell r="J1904">
            <v>20</v>
          </cell>
          <cell r="K1904">
            <v>4</v>
          </cell>
          <cell r="L1904">
            <v>4</v>
          </cell>
          <cell r="M1904">
            <v>2.5157232704402517E-2</v>
          </cell>
          <cell r="N1904">
            <v>2.5000000000000001E-2</v>
          </cell>
          <cell r="O1904" t="str">
            <v>$1776</v>
          </cell>
          <cell r="P1904" t="str">
            <v>$1776</v>
          </cell>
          <cell r="Q1904">
            <v>45606</v>
          </cell>
          <cell r="R1904" t="str">
            <v>Hyderabad</v>
          </cell>
          <cell r="S1904" t="str">
            <v>Tablet</v>
          </cell>
          <cell r="T1904" t="str">
            <v>data analytics course</v>
          </cell>
        </row>
        <row r="1905">
          <cell r="A1905" t="str">
            <v>A2903</v>
          </cell>
          <cell r="B1905" t="str">
            <v>Data Analytics Course</v>
          </cell>
          <cell r="C1905">
            <v>155</v>
          </cell>
          <cell r="D1905">
            <v>155</v>
          </cell>
          <cell r="E1905">
            <v>5822</v>
          </cell>
          <cell r="F1905">
            <v>5822</v>
          </cell>
          <cell r="G1905" t="str">
            <v>$227.47</v>
          </cell>
          <cell r="H1905" t="str">
            <v>$227.47</v>
          </cell>
          <cell r="I1905">
            <v>10</v>
          </cell>
          <cell r="J1905">
            <v>10</v>
          </cell>
          <cell r="K1905">
            <v>4</v>
          </cell>
          <cell r="L1905">
            <v>4</v>
          </cell>
          <cell r="M1905">
            <v>2.5806451612903226E-2</v>
          </cell>
          <cell r="O1905" t="str">
            <v>$1373</v>
          </cell>
          <cell r="P1905" t="str">
            <v>$1373</v>
          </cell>
          <cell r="Q1905">
            <v>45624</v>
          </cell>
          <cell r="R1905" t="str">
            <v>Bangaluru</v>
          </cell>
          <cell r="S1905" t="str">
            <v>Mobile</v>
          </cell>
          <cell r="T1905" t="str">
            <v>data analytics online</v>
          </cell>
        </row>
        <row r="1906">
          <cell r="A1906" t="str">
            <v>A2904</v>
          </cell>
          <cell r="B1906" t="str">
            <v>Data Analytics Course</v>
          </cell>
          <cell r="C1906">
            <v>103</v>
          </cell>
          <cell r="D1906">
            <v>103</v>
          </cell>
          <cell r="E1906">
            <v>3762</v>
          </cell>
          <cell r="F1906">
            <v>3762</v>
          </cell>
          <cell r="G1906" t="str">
            <v>$187.11</v>
          </cell>
          <cell r="H1906" t="str">
            <v>$187.11</v>
          </cell>
          <cell r="I1906">
            <v>12</v>
          </cell>
          <cell r="J1906">
            <v>12</v>
          </cell>
          <cell r="K1906">
            <v>9</v>
          </cell>
          <cell r="L1906">
            <v>9</v>
          </cell>
          <cell r="M1906">
            <v>8.7378640776699032E-2</v>
          </cell>
          <cell r="O1906" t="str">
            <v>$1096</v>
          </cell>
          <cell r="P1906" t="str">
            <v>$1096</v>
          </cell>
          <cell r="Q1906">
            <v>45620</v>
          </cell>
          <cell r="R1906" t="str">
            <v>Hyderabad</v>
          </cell>
          <cell r="S1906" t="str">
            <v>Mobile</v>
          </cell>
          <cell r="T1906" t="str">
            <v>learn data analytics</v>
          </cell>
        </row>
        <row r="1907">
          <cell r="A1907" t="str">
            <v>A2905</v>
          </cell>
          <cell r="B1907" t="str">
            <v>Data Analytics Course</v>
          </cell>
          <cell r="C1907">
            <v>134</v>
          </cell>
          <cell r="D1907">
            <v>134</v>
          </cell>
          <cell r="E1907">
            <v>3647</v>
          </cell>
          <cell r="F1907">
            <v>3647</v>
          </cell>
          <cell r="G1907" t="str">
            <v>$209.89</v>
          </cell>
          <cell r="H1907" t="str">
            <v>$209.89</v>
          </cell>
          <cell r="I1907">
            <v>21</v>
          </cell>
          <cell r="J1907">
            <v>21</v>
          </cell>
          <cell r="K1907">
            <v>7</v>
          </cell>
          <cell r="L1907">
            <v>7</v>
          </cell>
          <cell r="M1907">
            <v>5.2238805970149252E-2</v>
          </cell>
          <cell r="N1907">
            <v>3.2000000000000001E-2</v>
          </cell>
          <cell r="O1907" t="str">
            <v>$1744</v>
          </cell>
          <cell r="P1907" t="str">
            <v>$1744</v>
          </cell>
          <cell r="Q1907">
            <v>45599</v>
          </cell>
          <cell r="R1907" t="str">
            <v>Hyderabad</v>
          </cell>
          <cell r="S1907" t="str">
            <v>Desktop</v>
          </cell>
          <cell r="T1907" t="str">
            <v>learn data analytics</v>
          </cell>
        </row>
        <row r="1908">
          <cell r="A1908" t="str">
            <v>A2906</v>
          </cell>
          <cell r="B1908" t="str">
            <v>Data Analytics Course</v>
          </cell>
          <cell r="C1908">
            <v>128</v>
          </cell>
          <cell r="D1908">
            <v>128</v>
          </cell>
          <cell r="E1908">
            <v>3448</v>
          </cell>
          <cell r="F1908">
            <v>3448</v>
          </cell>
          <cell r="G1908" t="str">
            <v>$235.69</v>
          </cell>
          <cell r="H1908" t="str">
            <v>$235.69</v>
          </cell>
          <cell r="I1908">
            <v>27</v>
          </cell>
          <cell r="J1908">
            <v>27</v>
          </cell>
          <cell r="K1908">
            <v>8</v>
          </cell>
          <cell r="L1908">
            <v>8</v>
          </cell>
          <cell r="M1908">
            <v>6.25E-2</v>
          </cell>
          <cell r="N1908">
            <v>6.2E-2</v>
          </cell>
          <cell r="O1908" t="str">
            <v>$1373</v>
          </cell>
          <cell r="P1908" t="str">
            <v>$1373</v>
          </cell>
          <cell r="Q1908">
            <v>45613</v>
          </cell>
          <cell r="R1908" t="str">
            <v>Chennai</v>
          </cell>
          <cell r="S1908" t="str">
            <v>Desktop</v>
          </cell>
          <cell r="T1908" t="str">
            <v>data analytics course</v>
          </cell>
        </row>
        <row r="1909">
          <cell r="A1909" t="str">
            <v>A2907</v>
          </cell>
          <cell r="B1909" t="str">
            <v>Data Analytics Course</v>
          </cell>
          <cell r="C1909">
            <v>156</v>
          </cell>
          <cell r="D1909">
            <v>156</v>
          </cell>
          <cell r="E1909">
            <v>3776</v>
          </cell>
          <cell r="F1909">
            <v>3776</v>
          </cell>
          <cell r="G1909" t="str">
            <v>$213.3</v>
          </cell>
          <cell r="H1909" t="str">
            <v>$213.3</v>
          </cell>
          <cell r="I1909">
            <v>30</v>
          </cell>
          <cell r="J1909">
            <v>30</v>
          </cell>
          <cell r="K1909">
            <v>4</v>
          </cell>
          <cell r="L1909">
            <v>4</v>
          </cell>
          <cell r="M1909">
            <v>2.564102564102564E-2</v>
          </cell>
          <cell r="N1909">
            <v>2.5999999999999999E-2</v>
          </cell>
          <cell r="O1909" t="str">
            <v>$1013</v>
          </cell>
          <cell r="P1909" t="str">
            <v>$1013</v>
          </cell>
          <cell r="Q1909">
            <v>45615</v>
          </cell>
          <cell r="R1909" t="str">
            <v>Bangaluru</v>
          </cell>
          <cell r="S1909" t="str">
            <v>Tablet</v>
          </cell>
          <cell r="T1909" t="str">
            <v>online data analytic</v>
          </cell>
        </row>
        <row r="1910">
          <cell r="A1910" t="str">
            <v>A2908</v>
          </cell>
          <cell r="B1910" t="str">
            <v>Data Analytics Course</v>
          </cell>
          <cell r="C1910">
            <v>154</v>
          </cell>
          <cell r="D1910">
            <v>154</v>
          </cell>
          <cell r="E1910">
            <v>5763</v>
          </cell>
          <cell r="F1910">
            <v>5763</v>
          </cell>
          <cell r="G1910" t="str">
            <v>$240.35</v>
          </cell>
          <cell r="H1910" t="str">
            <v>$240.35</v>
          </cell>
          <cell r="I1910">
            <v>20</v>
          </cell>
          <cell r="J1910">
            <v>20</v>
          </cell>
          <cell r="K1910">
            <v>10</v>
          </cell>
          <cell r="L1910">
            <v>10</v>
          </cell>
          <cell r="M1910">
            <v>6.4935064935064929E-2</v>
          </cell>
          <cell r="O1910" t="str">
            <v>$1816</v>
          </cell>
          <cell r="P1910" t="str">
            <v>$1816</v>
          </cell>
          <cell r="Q1910">
            <v>45621</v>
          </cell>
          <cell r="R1910" t="str">
            <v>Hyderabad</v>
          </cell>
          <cell r="S1910" t="str">
            <v>Mobile</v>
          </cell>
          <cell r="T1910" t="str">
            <v>data analytics online</v>
          </cell>
        </row>
        <row r="1911">
          <cell r="A1911" t="str">
            <v>A2909</v>
          </cell>
          <cell r="B1911" t="str">
            <v>Data Analytics Course</v>
          </cell>
          <cell r="C1911">
            <v>176</v>
          </cell>
          <cell r="D1911">
            <v>176</v>
          </cell>
          <cell r="E1911">
            <v>3835</v>
          </cell>
          <cell r="F1911">
            <v>3835</v>
          </cell>
          <cell r="G1911" t="str">
            <v>$210.11</v>
          </cell>
          <cell r="H1911" t="str">
            <v>$210.11</v>
          </cell>
          <cell r="I1911">
            <v>10</v>
          </cell>
          <cell r="J1911">
            <v>10</v>
          </cell>
          <cell r="K1911">
            <v>3</v>
          </cell>
          <cell r="L1911">
            <v>3</v>
          </cell>
          <cell r="M1911">
            <v>1.7045454545454544E-2</v>
          </cell>
          <cell r="O1911" t="str">
            <v>$1025</v>
          </cell>
          <cell r="P1911" t="str">
            <v>$1025</v>
          </cell>
          <cell r="Q1911">
            <v>45601</v>
          </cell>
          <cell r="R1911" t="str">
            <v>Hyderabad</v>
          </cell>
          <cell r="S1911" t="str">
            <v>Tablet</v>
          </cell>
          <cell r="T1911" t="str">
            <v>data analytics course</v>
          </cell>
        </row>
        <row r="1912">
          <cell r="A1912" t="str">
            <v>A2910</v>
          </cell>
          <cell r="B1912" t="str">
            <v>Data Analytics Course</v>
          </cell>
          <cell r="C1912">
            <v>138.95699356913184</v>
          </cell>
          <cell r="E1912">
            <v>4079</v>
          </cell>
          <cell r="F1912">
            <v>4079</v>
          </cell>
          <cell r="G1912" t="str">
            <v>$243.8</v>
          </cell>
          <cell r="H1912" t="str">
            <v>$243.8</v>
          </cell>
          <cell r="I1912">
            <v>23</v>
          </cell>
          <cell r="J1912">
            <v>23</v>
          </cell>
          <cell r="K1912">
            <v>6</v>
          </cell>
          <cell r="L1912">
            <v>6</v>
          </cell>
          <cell r="M1912">
            <v>4.317882710246583E-2</v>
          </cell>
          <cell r="N1912">
            <v>4.7E-2</v>
          </cell>
          <cell r="O1912" t="str">
            <v>$1909</v>
          </cell>
          <cell r="P1912" t="str">
            <v>$1909</v>
          </cell>
          <cell r="Q1912">
            <v>45625</v>
          </cell>
          <cell r="R1912" t="str">
            <v>Bangaluru</v>
          </cell>
          <cell r="S1912" t="str">
            <v>Tablet</v>
          </cell>
          <cell r="T1912" t="str">
            <v>learn data analytics</v>
          </cell>
        </row>
        <row r="1913">
          <cell r="A1913" t="str">
            <v>A2911</v>
          </cell>
          <cell r="B1913" t="str">
            <v>Data Analytics Course</v>
          </cell>
          <cell r="C1913">
            <v>182</v>
          </cell>
          <cell r="D1913">
            <v>182</v>
          </cell>
          <cell r="E1913">
            <v>4444</v>
          </cell>
          <cell r="F1913">
            <v>4444</v>
          </cell>
          <cell r="G1913" t="str">
            <v>$188.86</v>
          </cell>
          <cell r="H1913" t="str">
            <v>$188.86</v>
          </cell>
          <cell r="I1913">
            <v>19</v>
          </cell>
          <cell r="J1913">
            <v>19</v>
          </cell>
          <cell r="K1913">
            <v>9</v>
          </cell>
          <cell r="L1913">
            <v>9</v>
          </cell>
          <cell r="M1913">
            <v>4.9450549450549448E-2</v>
          </cell>
          <cell r="N1913">
            <v>4.4999999999999998E-2</v>
          </cell>
          <cell r="O1913" t="str">
            <v>$1555</v>
          </cell>
          <cell r="P1913" t="str">
            <v>$1555</v>
          </cell>
          <cell r="Q1913">
            <v>45621</v>
          </cell>
          <cell r="R1913" t="str">
            <v>Hyderabad</v>
          </cell>
          <cell r="S1913" t="str">
            <v>Desktop</v>
          </cell>
          <cell r="T1913" t="str">
            <v>data analytics course</v>
          </cell>
        </row>
        <row r="1914">
          <cell r="A1914" t="str">
            <v>A2912</v>
          </cell>
          <cell r="B1914" t="str">
            <v>Data Analytcis Course</v>
          </cell>
          <cell r="C1914">
            <v>84</v>
          </cell>
          <cell r="D1914">
            <v>84</v>
          </cell>
          <cell r="E1914">
            <v>3859</v>
          </cell>
          <cell r="F1914">
            <v>3859</v>
          </cell>
          <cell r="G1914" t="str">
            <v>$182.85</v>
          </cell>
          <cell r="H1914" t="str">
            <v>$182.85</v>
          </cell>
          <cell r="I1914">
            <v>17</v>
          </cell>
          <cell r="J1914">
            <v>17</v>
          </cell>
          <cell r="K1914">
            <v>8</v>
          </cell>
          <cell r="L1914">
            <v>8</v>
          </cell>
          <cell r="M1914">
            <v>9.5238095238095233E-2</v>
          </cell>
          <cell r="N1914">
            <v>9.5000000000000001E-2</v>
          </cell>
          <cell r="O1914" t="str">
            <v>$1145</v>
          </cell>
          <cell r="P1914" t="str">
            <v>$1145</v>
          </cell>
          <cell r="Q1914">
            <v>45605</v>
          </cell>
          <cell r="R1914" t="str">
            <v>Bangaluru</v>
          </cell>
          <cell r="S1914" t="str">
            <v>Mobile</v>
          </cell>
          <cell r="T1914" t="str">
            <v>data analytics training</v>
          </cell>
        </row>
        <row r="1915">
          <cell r="A1915" t="str">
            <v>A2913</v>
          </cell>
          <cell r="B1915" t="str">
            <v>Data Analytics Course</v>
          </cell>
          <cell r="C1915">
            <v>192</v>
          </cell>
          <cell r="D1915">
            <v>192</v>
          </cell>
          <cell r="E1915">
            <v>3752</v>
          </cell>
          <cell r="F1915">
            <v>3752</v>
          </cell>
          <cell r="G1915" t="str">
            <v>$240.61</v>
          </cell>
          <cell r="H1915" t="str">
            <v>$240.61</v>
          </cell>
          <cell r="I1915">
            <v>23</v>
          </cell>
          <cell r="J1915">
            <v>23</v>
          </cell>
          <cell r="K1915">
            <v>8</v>
          </cell>
          <cell r="L1915">
            <v>8</v>
          </cell>
          <cell r="M1915">
            <v>4.1666666666666664E-2</v>
          </cell>
          <cell r="N1915">
            <v>4.2000000000000003E-2</v>
          </cell>
          <cell r="O1915" t="str">
            <v>$1504</v>
          </cell>
          <cell r="P1915" t="str">
            <v>$1504</v>
          </cell>
          <cell r="Q1915">
            <v>45609</v>
          </cell>
          <cell r="R1915" t="str">
            <v>Hyderabad</v>
          </cell>
          <cell r="S1915" t="str">
            <v>Desktop</v>
          </cell>
          <cell r="T1915" t="str">
            <v>data analytics course</v>
          </cell>
        </row>
        <row r="1916">
          <cell r="A1916" t="str">
            <v>A2914</v>
          </cell>
          <cell r="B1916" t="str">
            <v>Data Analytcis Course</v>
          </cell>
          <cell r="C1916">
            <v>133</v>
          </cell>
          <cell r="D1916">
            <v>133</v>
          </cell>
          <cell r="E1916">
            <v>5487</v>
          </cell>
          <cell r="F1916">
            <v>5487</v>
          </cell>
          <cell r="G1916" t="str">
            <v>$243.45</v>
          </cell>
          <cell r="H1916" t="str">
            <v>$243.45</v>
          </cell>
          <cell r="I1916">
            <v>22</v>
          </cell>
          <cell r="J1916">
            <v>22</v>
          </cell>
          <cell r="K1916">
            <v>7</v>
          </cell>
          <cell r="L1916">
            <v>7</v>
          </cell>
          <cell r="M1916">
            <v>5.2631578947368418E-2</v>
          </cell>
          <cell r="N1916">
            <v>5.2999999999999999E-2</v>
          </cell>
          <cell r="O1916" t="str">
            <v>$1059</v>
          </cell>
          <cell r="P1916" t="str">
            <v>$1059</v>
          </cell>
          <cell r="Q1916">
            <v>45614</v>
          </cell>
          <cell r="R1916" t="str">
            <v>Chennai</v>
          </cell>
          <cell r="S1916" t="str">
            <v>Desktop</v>
          </cell>
          <cell r="T1916" t="str">
            <v>data analytics online</v>
          </cell>
        </row>
        <row r="1917">
          <cell r="A1917" t="str">
            <v>A2915</v>
          </cell>
          <cell r="B1917" t="str">
            <v>Data Analytics Course</v>
          </cell>
          <cell r="C1917">
            <v>81</v>
          </cell>
          <cell r="D1917">
            <v>81</v>
          </cell>
          <cell r="E1917">
            <v>4864</v>
          </cell>
          <cell r="F1917">
            <v>4864</v>
          </cell>
          <cell r="G1917" t="str">
            <v>$238.27</v>
          </cell>
          <cell r="H1917" t="str">
            <v>$238.27</v>
          </cell>
          <cell r="I1917">
            <v>15</v>
          </cell>
          <cell r="J1917">
            <v>15</v>
          </cell>
          <cell r="K1917">
            <v>7</v>
          </cell>
          <cell r="L1917">
            <v>7</v>
          </cell>
          <cell r="M1917">
            <v>8.6419753086419748E-2</v>
          </cell>
          <cell r="N1917">
            <v>8.5999999999999993E-2</v>
          </cell>
          <cell r="O1917" t="str">
            <v>$1278</v>
          </cell>
          <cell r="P1917" t="str">
            <v>$1278</v>
          </cell>
          <cell r="Q1917">
            <v>45597</v>
          </cell>
          <cell r="R1917" t="str">
            <v>Hyderabad</v>
          </cell>
          <cell r="S1917" t="str">
            <v>Desktop</v>
          </cell>
          <cell r="T1917" t="str">
            <v>analytics for data</v>
          </cell>
        </row>
        <row r="1918">
          <cell r="A1918" t="str">
            <v>A2916</v>
          </cell>
          <cell r="B1918" t="str">
            <v>Data Analytics Course</v>
          </cell>
          <cell r="C1918">
            <v>196</v>
          </cell>
          <cell r="D1918">
            <v>196</v>
          </cell>
          <cell r="E1918">
            <v>3834</v>
          </cell>
          <cell r="F1918">
            <v>3834</v>
          </cell>
          <cell r="G1918" t="str">
            <v>$216.22</v>
          </cell>
          <cell r="H1918" t="str">
            <v>$216.22</v>
          </cell>
          <cell r="I1918">
            <v>10</v>
          </cell>
          <cell r="J1918">
            <v>10</v>
          </cell>
          <cell r="K1918">
            <v>3</v>
          </cell>
          <cell r="L1918">
            <v>3</v>
          </cell>
          <cell r="M1918">
            <v>1.5306122448979591E-2</v>
          </cell>
          <cell r="O1918" t="str">
            <v>$1727</v>
          </cell>
          <cell r="P1918" t="str">
            <v>$1727</v>
          </cell>
          <cell r="Q1918">
            <v>45599</v>
          </cell>
          <cell r="R1918" t="str">
            <v>Bangaluru</v>
          </cell>
          <cell r="S1918" t="str">
            <v>Mobile</v>
          </cell>
          <cell r="T1918" t="str">
            <v>data analytics online</v>
          </cell>
        </row>
        <row r="1919">
          <cell r="A1919" t="str">
            <v>A2917</v>
          </cell>
          <cell r="B1919" t="str">
            <v>Data Analytics Course</v>
          </cell>
          <cell r="C1919">
            <v>103</v>
          </cell>
          <cell r="D1919">
            <v>103</v>
          </cell>
          <cell r="E1919">
            <v>5859</v>
          </cell>
          <cell r="F1919">
            <v>5859</v>
          </cell>
          <cell r="G1919" t="str">
            <v>$210.86</v>
          </cell>
          <cell r="H1919" t="str">
            <v>$210.86</v>
          </cell>
          <cell r="I1919">
            <v>15</v>
          </cell>
          <cell r="J1919">
            <v>15</v>
          </cell>
          <cell r="K1919">
            <v>7</v>
          </cell>
          <cell r="L1919">
            <v>7</v>
          </cell>
          <cell r="M1919">
            <v>6.7961165048543687E-2</v>
          </cell>
          <cell r="N1919">
            <v>6.8000000000000005E-2</v>
          </cell>
          <cell r="O1919" t="str">
            <v>$1079</v>
          </cell>
          <cell r="P1919" t="str">
            <v>$1079</v>
          </cell>
          <cell r="Q1919">
            <v>45611</v>
          </cell>
          <cell r="R1919" t="str">
            <v>Bangaluru</v>
          </cell>
          <cell r="S1919" t="str">
            <v>Mobile</v>
          </cell>
          <cell r="T1919" t="str">
            <v>online data analytic</v>
          </cell>
        </row>
        <row r="1920">
          <cell r="A1920" t="str">
            <v>A2918</v>
          </cell>
          <cell r="B1920" t="str">
            <v>Data Analytics Course</v>
          </cell>
          <cell r="C1920">
            <v>107</v>
          </cell>
          <cell r="D1920">
            <v>107</v>
          </cell>
          <cell r="E1920">
            <v>4428</v>
          </cell>
          <cell r="F1920">
            <v>4428</v>
          </cell>
          <cell r="G1920" t="str">
            <v>$187.08</v>
          </cell>
          <cell r="H1920" t="str">
            <v>$187.08</v>
          </cell>
          <cell r="I1920">
            <v>28</v>
          </cell>
          <cell r="J1920">
            <v>28</v>
          </cell>
          <cell r="K1920">
            <v>8</v>
          </cell>
          <cell r="L1920">
            <v>8</v>
          </cell>
          <cell r="M1920">
            <v>7.476635514018691E-2</v>
          </cell>
          <cell r="N1920">
            <v>7.4999999999999997E-2</v>
          </cell>
          <cell r="O1920" t="str">
            <v>$1764</v>
          </cell>
          <cell r="P1920" t="str">
            <v>$1764</v>
          </cell>
          <cell r="Q1920">
            <v>45622</v>
          </cell>
          <cell r="R1920" t="str">
            <v>Chennai</v>
          </cell>
          <cell r="S1920" t="str">
            <v>Tablet</v>
          </cell>
          <cell r="T1920" t="str">
            <v>data analytics course</v>
          </cell>
        </row>
        <row r="1921">
          <cell r="A1921" t="str">
            <v>A2919</v>
          </cell>
          <cell r="B1921" t="str">
            <v>Data Analytics Course</v>
          </cell>
          <cell r="C1921">
            <v>199</v>
          </cell>
          <cell r="D1921">
            <v>199</v>
          </cell>
          <cell r="E1921">
            <v>5649</v>
          </cell>
          <cell r="F1921">
            <v>5649</v>
          </cell>
          <cell r="G1921" t="str">
            <v>$223.62</v>
          </cell>
          <cell r="H1921" t="str">
            <v>$223.62</v>
          </cell>
          <cell r="I1921">
            <v>11</v>
          </cell>
          <cell r="J1921">
            <v>11</v>
          </cell>
          <cell r="K1921">
            <v>4</v>
          </cell>
          <cell r="L1921">
            <v>4</v>
          </cell>
          <cell r="M1921">
            <v>2.0100502512562814E-2</v>
          </cell>
          <cell r="N1921">
            <v>0.02</v>
          </cell>
          <cell r="O1921" t="str">
            <v>$1075</v>
          </cell>
          <cell r="P1921" t="str">
            <v>$1075</v>
          </cell>
          <cell r="Q1921">
            <v>45618</v>
          </cell>
          <cell r="R1921" t="str">
            <v>Hyderabad</v>
          </cell>
          <cell r="S1921" t="str">
            <v>Desktop</v>
          </cell>
          <cell r="T1921" t="str">
            <v>data analytics course</v>
          </cell>
        </row>
        <row r="1922">
          <cell r="A1922" t="str">
            <v>A2920</v>
          </cell>
          <cell r="B1922" t="str">
            <v>Data Analytcis Course</v>
          </cell>
          <cell r="C1922">
            <v>133</v>
          </cell>
          <cell r="D1922">
            <v>133</v>
          </cell>
          <cell r="E1922">
            <v>4116</v>
          </cell>
          <cell r="F1922">
            <v>4116</v>
          </cell>
          <cell r="G1922" t="str">
            <v>$248.26</v>
          </cell>
          <cell r="H1922" t="str">
            <v>$248.26</v>
          </cell>
          <cell r="I1922">
            <v>14</v>
          </cell>
          <cell r="J1922">
            <v>14</v>
          </cell>
          <cell r="K1922">
            <v>3</v>
          </cell>
          <cell r="L1922">
            <v>3</v>
          </cell>
          <cell r="M1922">
            <v>2.2556390977443608E-2</v>
          </cell>
          <cell r="N1922">
            <v>3.3000000000000002E-2</v>
          </cell>
          <cell r="O1922" t="str">
            <v>$1160</v>
          </cell>
          <cell r="P1922" t="str">
            <v>$1160</v>
          </cell>
          <cell r="Q1922">
            <v>45616</v>
          </cell>
          <cell r="R1922" t="str">
            <v>Chennai</v>
          </cell>
          <cell r="S1922" t="str">
            <v>Mobile</v>
          </cell>
          <cell r="T1922" t="str">
            <v>data analytics course</v>
          </cell>
        </row>
        <row r="1923">
          <cell r="A1923" t="str">
            <v>A2921</v>
          </cell>
          <cell r="B1923" t="str">
            <v>Data Analytics Course</v>
          </cell>
          <cell r="C1923">
            <v>192</v>
          </cell>
          <cell r="D1923">
            <v>192</v>
          </cell>
          <cell r="E1923">
            <v>5026</v>
          </cell>
          <cell r="F1923">
            <v>5026</v>
          </cell>
          <cell r="G1923" t="str">
            <v>$209.89</v>
          </cell>
          <cell r="H1923" t="str">
            <v>$209.89</v>
          </cell>
          <cell r="I1923">
            <v>25</v>
          </cell>
          <cell r="J1923">
            <v>25</v>
          </cell>
          <cell r="K1923">
            <v>9</v>
          </cell>
          <cell r="L1923">
            <v>9</v>
          </cell>
          <cell r="M1923">
            <v>4.6875E-2</v>
          </cell>
          <cell r="O1923" t="str">
            <v>$1981</v>
          </cell>
          <cell r="P1923" t="str">
            <v>$1981</v>
          </cell>
          <cell r="Q1923">
            <v>45626</v>
          </cell>
          <cell r="R1923" t="str">
            <v>Chennai</v>
          </cell>
          <cell r="S1923" t="str">
            <v>Tablet</v>
          </cell>
          <cell r="T1923" t="str">
            <v>data analytics course</v>
          </cell>
        </row>
        <row r="1924">
          <cell r="A1924" t="str">
            <v>A2922</v>
          </cell>
          <cell r="B1924" t="str">
            <v>Data Analytics Course</v>
          </cell>
          <cell r="C1924">
            <v>189</v>
          </cell>
          <cell r="D1924">
            <v>189</v>
          </cell>
          <cell r="E1924">
            <v>4969</v>
          </cell>
          <cell r="F1924">
            <v>4969</v>
          </cell>
          <cell r="G1924" t="str">
            <v>$245.1</v>
          </cell>
          <cell r="H1924" t="str">
            <v>$245.1</v>
          </cell>
          <cell r="I1924">
            <v>11</v>
          </cell>
          <cell r="J1924">
            <v>11</v>
          </cell>
          <cell r="K1924">
            <v>9</v>
          </cell>
          <cell r="L1924">
            <v>9</v>
          </cell>
          <cell r="M1924">
            <v>4.7619047619047616E-2</v>
          </cell>
          <cell r="O1924" t="str">
            <v>$1993</v>
          </cell>
          <cell r="P1924" t="str">
            <v>$1993</v>
          </cell>
          <cell r="Q1924">
            <v>45601</v>
          </cell>
          <cell r="R1924" t="str">
            <v>Hyderabad</v>
          </cell>
          <cell r="S1924" t="str">
            <v>Tablet</v>
          </cell>
          <cell r="T1924" t="str">
            <v>online data analytic</v>
          </cell>
        </row>
        <row r="1925">
          <cell r="A1925" t="str">
            <v>A2923</v>
          </cell>
          <cell r="B1925" t="str">
            <v>Data Analytcis Course</v>
          </cell>
          <cell r="C1925">
            <v>197</v>
          </cell>
          <cell r="D1925">
            <v>197</v>
          </cell>
          <cell r="E1925">
            <v>4441</v>
          </cell>
          <cell r="F1925">
            <v>4441</v>
          </cell>
          <cell r="G1925" t="str">
            <v>$220.84</v>
          </cell>
          <cell r="H1925" t="str">
            <v>$220.84</v>
          </cell>
          <cell r="I1925">
            <v>26</v>
          </cell>
          <cell r="J1925">
            <v>26</v>
          </cell>
          <cell r="K1925">
            <v>6</v>
          </cell>
          <cell r="L1925">
            <v>6</v>
          </cell>
          <cell r="M1925">
            <v>3.0456852791878174E-2</v>
          </cell>
          <cell r="N1925">
            <v>0.03</v>
          </cell>
          <cell r="O1925" t="str">
            <v>$1500</v>
          </cell>
          <cell r="Q1925">
            <v>45612</v>
          </cell>
          <cell r="R1925" t="str">
            <v>Chennai</v>
          </cell>
          <cell r="S1925" t="str">
            <v>Desktop</v>
          </cell>
          <cell r="T1925" t="str">
            <v>online data analytic</v>
          </cell>
        </row>
        <row r="1926">
          <cell r="A1926" t="str">
            <v>A2924</v>
          </cell>
          <cell r="B1926" t="str">
            <v>Data Analytcis Course</v>
          </cell>
          <cell r="C1926">
            <v>142</v>
          </cell>
          <cell r="D1926">
            <v>142</v>
          </cell>
          <cell r="E1926">
            <v>4854</v>
          </cell>
          <cell r="F1926">
            <v>4854</v>
          </cell>
          <cell r="G1926" t="str">
            <v>$220.73</v>
          </cell>
          <cell r="H1926" t="str">
            <v>$220.73</v>
          </cell>
          <cell r="I1926">
            <v>25</v>
          </cell>
          <cell r="J1926">
            <v>25</v>
          </cell>
          <cell r="K1926">
            <v>9</v>
          </cell>
          <cell r="L1926">
            <v>9</v>
          </cell>
          <cell r="M1926">
            <v>6.3380281690140844E-2</v>
          </cell>
          <cell r="N1926">
            <v>6.3E-2</v>
          </cell>
          <cell r="O1926" t="str">
            <v>$1891</v>
          </cell>
          <cell r="P1926" t="str">
            <v>$1891</v>
          </cell>
          <cell r="Q1926">
            <v>45597</v>
          </cell>
          <cell r="R1926" t="str">
            <v>Chennai</v>
          </cell>
          <cell r="S1926" t="str">
            <v>Desktop</v>
          </cell>
          <cell r="T1926" t="str">
            <v>data analytics online</v>
          </cell>
        </row>
        <row r="1927">
          <cell r="A1927" t="str">
            <v>A2925</v>
          </cell>
          <cell r="B1927" t="str">
            <v>Data Analytics Course</v>
          </cell>
          <cell r="C1927">
            <v>138.95699356913184</v>
          </cell>
          <cell r="E1927">
            <v>4010</v>
          </cell>
          <cell r="F1927">
            <v>4010</v>
          </cell>
          <cell r="G1927" t="str">
            <v>$238.31</v>
          </cell>
          <cell r="H1927" t="str">
            <v>$238.31</v>
          </cell>
          <cell r="I1927">
            <v>12</v>
          </cell>
          <cell r="J1927">
            <v>12</v>
          </cell>
          <cell r="K1927">
            <v>3</v>
          </cell>
          <cell r="L1927">
            <v>3</v>
          </cell>
          <cell r="M1927">
            <v>2.1589413551232915E-2</v>
          </cell>
          <cell r="O1927" t="str">
            <v>$1895</v>
          </cell>
          <cell r="P1927" t="str">
            <v>$1895</v>
          </cell>
          <cell r="Q1927">
            <v>45601</v>
          </cell>
          <cell r="R1927" t="str">
            <v>Hyderabad</v>
          </cell>
          <cell r="S1927" t="str">
            <v>Tablet</v>
          </cell>
          <cell r="T1927" t="str">
            <v>analytics for data</v>
          </cell>
        </row>
        <row r="1928">
          <cell r="A1928" t="str">
            <v>A2926</v>
          </cell>
          <cell r="B1928" t="str">
            <v>Data Analytics Course</v>
          </cell>
          <cell r="C1928">
            <v>134</v>
          </cell>
          <cell r="D1928">
            <v>134</v>
          </cell>
          <cell r="E1928">
            <v>4790</v>
          </cell>
          <cell r="F1928">
            <v>4790</v>
          </cell>
          <cell r="G1928" t="str">
            <v>$182.49</v>
          </cell>
          <cell r="H1928" t="str">
            <v>$182.49</v>
          </cell>
          <cell r="I1928">
            <v>19</v>
          </cell>
          <cell r="J1928">
            <v>19</v>
          </cell>
          <cell r="K1928">
            <v>5</v>
          </cell>
          <cell r="L1928">
            <v>5</v>
          </cell>
          <cell r="M1928">
            <v>3.7313432835820892E-2</v>
          </cell>
          <cell r="N1928">
            <v>0.06</v>
          </cell>
          <cell r="O1928" t="str">
            <v>$1082</v>
          </cell>
          <cell r="P1928" t="str">
            <v>$1082</v>
          </cell>
          <cell r="Q1928">
            <v>45621</v>
          </cell>
          <cell r="R1928" t="str">
            <v>Hyderabad</v>
          </cell>
          <cell r="S1928" t="str">
            <v>Desktop</v>
          </cell>
          <cell r="T1928" t="str">
            <v>analytics for data</v>
          </cell>
        </row>
        <row r="1929">
          <cell r="A1929" t="str">
            <v>A2927</v>
          </cell>
          <cell r="B1929" t="str">
            <v>Data Analytics Course</v>
          </cell>
          <cell r="C1929">
            <v>198</v>
          </cell>
          <cell r="D1929">
            <v>198</v>
          </cell>
          <cell r="E1929">
            <v>4953</v>
          </cell>
          <cell r="F1929">
            <v>4953</v>
          </cell>
          <cell r="G1929" t="str">
            <v>$201.7</v>
          </cell>
          <cell r="H1929" t="str">
            <v>$201.7</v>
          </cell>
          <cell r="I1929">
            <v>22</v>
          </cell>
          <cell r="J1929">
            <v>22</v>
          </cell>
          <cell r="K1929">
            <v>8</v>
          </cell>
          <cell r="L1929">
            <v>8</v>
          </cell>
          <cell r="M1929">
            <v>4.0404040404040407E-2</v>
          </cell>
          <cell r="O1929" t="str">
            <v>$1716</v>
          </cell>
          <cell r="P1929" t="str">
            <v>$1716</v>
          </cell>
          <cell r="Q1929">
            <v>45625</v>
          </cell>
          <cell r="R1929" t="str">
            <v>Chennai</v>
          </cell>
          <cell r="S1929" t="str">
            <v>Mobile</v>
          </cell>
          <cell r="T1929" t="str">
            <v>data analytics training</v>
          </cell>
        </row>
        <row r="1930">
          <cell r="A1930" t="str">
            <v>A2928</v>
          </cell>
          <cell r="B1930" t="str">
            <v>Data Analytics Course</v>
          </cell>
          <cell r="C1930">
            <v>142</v>
          </cell>
          <cell r="D1930">
            <v>142</v>
          </cell>
          <cell r="E1930">
            <v>4818</v>
          </cell>
          <cell r="F1930">
            <v>4818</v>
          </cell>
          <cell r="G1930" t="str">
            <v>$233.74</v>
          </cell>
          <cell r="H1930" t="str">
            <v>$233.74</v>
          </cell>
          <cell r="I1930">
            <v>24</v>
          </cell>
          <cell r="J1930">
            <v>24</v>
          </cell>
          <cell r="K1930">
            <v>5</v>
          </cell>
          <cell r="L1930">
            <v>5</v>
          </cell>
          <cell r="M1930">
            <v>3.5211267605633804E-2</v>
          </cell>
          <cell r="N1930">
            <v>4.2999999999999997E-2</v>
          </cell>
          <cell r="O1930" t="str">
            <v>$1575</v>
          </cell>
          <cell r="P1930" t="str">
            <v>$1575</v>
          </cell>
          <cell r="Q1930">
            <v>45599</v>
          </cell>
          <cell r="R1930" t="str">
            <v>Hyderabad</v>
          </cell>
          <cell r="S1930" t="str">
            <v>Desktop</v>
          </cell>
          <cell r="T1930" t="str">
            <v>analytics for data</v>
          </cell>
        </row>
        <row r="1931">
          <cell r="A1931" t="str">
            <v>A2929</v>
          </cell>
          <cell r="B1931" t="str">
            <v>Data Analytics Course</v>
          </cell>
          <cell r="C1931">
            <v>91</v>
          </cell>
          <cell r="D1931">
            <v>91</v>
          </cell>
          <cell r="E1931">
            <v>4394</v>
          </cell>
          <cell r="F1931">
            <v>4394</v>
          </cell>
          <cell r="G1931" t="str">
            <v>$200.00</v>
          </cell>
          <cell r="I1931">
            <v>21</v>
          </cell>
          <cell r="J1931">
            <v>21</v>
          </cell>
          <cell r="K1931">
            <v>6.5209302325581397</v>
          </cell>
          <cell r="M1931">
            <v>7.1658573984155385E-2</v>
          </cell>
          <cell r="O1931" t="str">
            <v>$1926</v>
          </cell>
          <cell r="P1931" t="str">
            <v>$1926</v>
          </cell>
          <cell r="Q1931">
            <v>45611</v>
          </cell>
          <cell r="R1931" t="str">
            <v>Hyderabad</v>
          </cell>
          <cell r="S1931" t="str">
            <v>Tablet</v>
          </cell>
          <cell r="T1931" t="str">
            <v>online data analytic</v>
          </cell>
        </row>
        <row r="1932">
          <cell r="A1932" t="str">
            <v>A2930</v>
          </cell>
          <cell r="B1932" t="str">
            <v>Data Analytics Course</v>
          </cell>
          <cell r="C1932">
            <v>81</v>
          </cell>
          <cell r="D1932">
            <v>81</v>
          </cell>
          <cell r="E1932">
            <v>3855</v>
          </cell>
          <cell r="F1932">
            <v>3855</v>
          </cell>
          <cell r="G1932" t="str">
            <v>$185.69</v>
          </cell>
          <cell r="H1932" t="str">
            <v>$185.69</v>
          </cell>
          <cell r="I1932">
            <v>21</v>
          </cell>
          <cell r="J1932">
            <v>21</v>
          </cell>
          <cell r="K1932">
            <v>9</v>
          </cell>
          <cell r="L1932">
            <v>9</v>
          </cell>
          <cell r="M1932">
            <v>0.1111111111111111</v>
          </cell>
          <cell r="N1932">
            <v>5.0999999999999997E-2</v>
          </cell>
          <cell r="O1932" t="str">
            <v>$1310</v>
          </cell>
          <cell r="P1932" t="str">
            <v>$1310</v>
          </cell>
          <cell r="Q1932">
            <v>45610</v>
          </cell>
          <cell r="R1932" t="str">
            <v>Hyderabad</v>
          </cell>
          <cell r="S1932" t="str">
            <v>Desktop</v>
          </cell>
          <cell r="T1932" t="str">
            <v>learn data analytics</v>
          </cell>
        </row>
        <row r="1933">
          <cell r="A1933" t="str">
            <v>A2931</v>
          </cell>
          <cell r="B1933" t="str">
            <v>Data Analytcis Course</v>
          </cell>
          <cell r="C1933">
            <v>160</v>
          </cell>
          <cell r="D1933">
            <v>160</v>
          </cell>
          <cell r="E1933">
            <v>3781</v>
          </cell>
          <cell r="F1933">
            <v>3781</v>
          </cell>
          <cell r="G1933" t="str">
            <v>$241.99</v>
          </cell>
          <cell r="H1933" t="str">
            <v>$241.99</v>
          </cell>
          <cell r="I1933">
            <v>23</v>
          </cell>
          <cell r="J1933">
            <v>23</v>
          </cell>
          <cell r="K1933">
            <v>3</v>
          </cell>
          <cell r="L1933">
            <v>3</v>
          </cell>
          <cell r="M1933">
            <v>1.8749999999999999E-2</v>
          </cell>
          <cell r="N1933">
            <v>1.9E-2</v>
          </cell>
          <cell r="O1933" t="str">
            <v>$1772</v>
          </cell>
          <cell r="P1933" t="str">
            <v>$1772</v>
          </cell>
          <cell r="Q1933">
            <v>45601</v>
          </cell>
          <cell r="R1933" t="str">
            <v>Hyderabad</v>
          </cell>
          <cell r="S1933" t="str">
            <v>Tablet</v>
          </cell>
          <cell r="T1933" t="str">
            <v>data analytics online</v>
          </cell>
        </row>
        <row r="1934">
          <cell r="A1934" t="str">
            <v>A2932</v>
          </cell>
          <cell r="B1934" t="str">
            <v>Data Analytics Course</v>
          </cell>
          <cell r="C1934">
            <v>106</v>
          </cell>
          <cell r="D1934">
            <v>106</v>
          </cell>
          <cell r="E1934">
            <v>3309</v>
          </cell>
          <cell r="F1934">
            <v>3309</v>
          </cell>
          <cell r="G1934" t="str">
            <v>$217.2</v>
          </cell>
          <cell r="H1934" t="str">
            <v>$217.2</v>
          </cell>
          <cell r="I1934">
            <v>25</v>
          </cell>
          <cell r="J1934">
            <v>25</v>
          </cell>
          <cell r="K1934">
            <v>4</v>
          </cell>
          <cell r="L1934">
            <v>4</v>
          </cell>
          <cell r="M1934">
            <v>3.7735849056603772E-2</v>
          </cell>
          <cell r="N1934">
            <v>5.7000000000000002E-2</v>
          </cell>
          <cell r="O1934" t="str">
            <v>$1507</v>
          </cell>
          <cell r="P1934" t="str">
            <v>$1507</v>
          </cell>
          <cell r="Q1934">
            <v>45599</v>
          </cell>
          <cell r="R1934" t="str">
            <v>Hyderabad</v>
          </cell>
          <cell r="S1934" t="str">
            <v>Tablet</v>
          </cell>
          <cell r="T1934" t="str">
            <v>data analytics course</v>
          </cell>
        </row>
        <row r="1935">
          <cell r="A1935" t="str">
            <v>A2933</v>
          </cell>
          <cell r="B1935" t="str">
            <v>Data Analytics Course</v>
          </cell>
          <cell r="C1935">
            <v>148</v>
          </cell>
          <cell r="D1935">
            <v>148</v>
          </cell>
          <cell r="E1935">
            <v>4930</v>
          </cell>
          <cell r="F1935">
            <v>4930</v>
          </cell>
          <cell r="G1935" t="str">
            <v>$211.01</v>
          </cell>
          <cell r="H1935" t="str">
            <v>$211.01</v>
          </cell>
          <cell r="I1935">
            <v>24</v>
          </cell>
          <cell r="J1935">
            <v>24</v>
          </cell>
          <cell r="K1935">
            <v>6</v>
          </cell>
          <cell r="L1935">
            <v>6</v>
          </cell>
          <cell r="M1935">
            <v>4.0540540540540543E-2</v>
          </cell>
          <cell r="N1935">
            <v>5.8000000000000003E-2</v>
          </cell>
          <cell r="O1935" t="str">
            <v>$1378</v>
          </cell>
          <cell r="P1935" t="str">
            <v>$1378</v>
          </cell>
          <cell r="Q1935">
            <v>45615</v>
          </cell>
          <cell r="R1935" t="str">
            <v>Bangaluru</v>
          </cell>
          <cell r="S1935" t="str">
            <v>Mobile</v>
          </cell>
          <cell r="T1935" t="str">
            <v>data analytics training</v>
          </cell>
        </row>
        <row r="1936">
          <cell r="A1936" t="str">
            <v>A2934</v>
          </cell>
          <cell r="B1936" t="str">
            <v>Data Analytics Course</v>
          </cell>
          <cell r="C1936">
            <v>83</v>
          </cell>
          <cell r="D1936">
            <v>83</v>
          </cell>
          <cell r="E1936">
            <v>4830</v>
          </cell>
          <cell r="F1936">
            <v>4830</v>
          </cell>
          <cell r="G1936" t="str">
            <v>$184.98</v>
          </cell>
          <cell r="H1936" t="str">
            <v>$184.98</v>
          </cell>
          <cell r="I1936">
            <v>12</v>
          </cell>
          <cell r="J1936">
            <v>12</v>
          </cell>
          <cell r="K1936">
            <v>10</v>
          </cell>
          <cell r="L1936">
            <v>10</v>
          </cell>
          <cell r="M1936">
            <v>0.12048192771084337</v>
          </cell>
          <cell r="N1936">
            <v>0.12</v>
          </cell>
          <cell r="O1936" t="str">
            <v>$1041</v>
          </cell>
          <cell r="P1936" t="str">
            <v>$1041</v>
          </cell>
          <cell r="Q1936">
            <v>45597</v>
          </cell>
          <cell r="R1936" t="str">
            <v>Hyderabad</v>
          </cell>
          <cell r="S1936" t="str">
            <v>Desktop</v>
          </cell>
          <cell r="T1936" t="str">
            <v>learn data analytics</v>
          </cell>
        </row>
        <row r="1937">
          <cell r="A1937" t="str">
            <v>A2935</v>
          </cell>
          <cell r="B1937" t="str">
            <v>Data Analytics Course</v>
          </cell>
          <cell r="C1937">
            <v>89</v>
          </cell>
          <cell r="D1937">
            <v>89</v>
          </cell>
          <cell r="E1937">
            <v>5422</v>
          </cell>
          <cell r="F1937">
            <v>5422</v>
          </cell>
          <cell r="G1937" t="str">
            <v>$199.91</v>
          </cell>
          <cell r="H1937" t="str">
            <v>$199.91</v>
          </cell>
          <cell r="I1937">
            <v>12</v>
          </cell>
          <cell r="J1937">
            <v>12</v>
          </cell>
          <cell r="K1937">
            <v>6</v>
          </cell>
          <cell r="L1937">
            <v>6</v>
          </cell>
          <cell r="M1937">
            <v>6.741573033707865E-2</v>
          </cell>
          <cell r="N1937">
            <v>6.7000000000000004E-2</v>
          </cell>
          <cell r="O1937" t="str">
            <v>$1903</v>
          </cell>
          <cell r="P1937" t="str">
            <v>$1903</v>
          </cell>
          <cell r="Q1937">
            <v>45605</v>
          </cell>
          <cell r="R1937" t="str">
            <v>Hyderabad</v>
          </cell>
          <cell r="S1937" t="str">
            <v>Desktop</v>
          </cell>
          <cell r="T1937" t="str">
            <v>data analytics training</v>
          </cell>
        </row>
        <row r="1938">
          <cell r="A1938" t="str">
            <v>A2936</v>
          </cell>
          <cell r="B1938" t="str">
            <v>Data Analytcis Course</v>
          </cell>
          <cell r="C1938">
            <v>123</v>
          </cell>
          <cell r="D1938">
            <v>123</v>
          </cell>
          <cell r="E1938">
            <v>4658</v>
          </cell>
          <cell r="F1938">
            <v>4658</v>
          </cell>
          <cell r="G1938" t="str">
            <v>$211.76</v>
          </cell>
          <cell r="H1938" t="str">
            <v>$211.76</v>
          </cell>
          <cell r="I1938">
            <v>30</v>
          </cell>
          <cell r="J1938">
            <v>30</v>
          </cell>
          <cell r="K1938">
            <v>3</v>
          </cell>
          <cell r="L1938">
            <v>3</v>
          </cell>
          <cell r="M1938">
            <v>2.4390243902439025E-2</v>
          </cell>
          <cell r="N1938">
            <v>2.4E-2</v>
          </cell>
          <cell r="O1938" t="str">
            <v>$1201</v>
          </cell>
          <cell r="P1938" t="str">
            <v>$1201</v>
          </cell>
          <cell r="Q1938">
            <v>45611</v>
          </cell>
          <cell r="R1938" t="str">
            <v>Hyderabad</v>
          </cell>
          <cell r="S1938" t="str">
            <v>Desktop</v>
          </cell>
          <cell r="T1938" t="str">
            <v>online data analytic</v>
          </cell>
        </row>
        <row r="1939">
          <cell r="A1939" t="str">
            <v>A2937</v>
          </cell>
          <cell r="B1939" t="str">
            <v>Data Analytics Course</v>
          </cell>
          <cell r="C1939">
            <v>103</v>
          </cell>
          <cell r="D1939">
            <v>103</v>
          </cell>
          <cell r="E1939">
            <v>3249</v>
          </cell>
          <cell r="F1939">
            <v>3249</v>
          </cell>
          <cell r="G1939" t="str">
            <v>$232.85</v>
          </cell>
          <cell r="H1939" t="str">
            <v>$232.85</v>
          </cell>
          <cell r="I1939">
            <v>13</v>
          </cell>
          <cell r="J1939">
            <v>13</v>
          </cell>
          <cell r="K1939">
            <v>4</v>
          </cell>
          <cell r="L1939">
            <v>4</v>
          </cell>
          <cell r="M1939">
            <v>3.8834951456310676E-2</v>
          </cell>
          <cell r="N1939">
            <v>3.9E-2</v>
          </cell>
          <cell r="O1939" t="str">
            <v>$1397</v>
          </cell>
          <cell r="P1939" t="str">
            <v>$1397</v>
          </cell>
          <cell r="Q1939">
            <v>45600</v>
          </cell>
          <cell r="R1939" t="str">
            <v>Hyderabad</v>
          </cell>
          <cell r="S1939" t="str">
            <v>Desktop</v>
          </cell>
          <cell r="T1939" t="str">
            <v>data analytics course</v>
          </cell>
        </row>
        <row r="1940">
          <cell r="A1940" t="str">
            <v>A2938</v>
          </cell>
          <cell r="B1940" t="str">
            <v>Data Analytics Course</v>
          </cell>
          <cell r="C1940">
            <v>130</v>
          </cell>
          <cell r="D1940">
            <v>130</v>
          </cell>
          <cell r="E1940">
            <v>4393</v>
          </cell>
          <cell r="F1940">
            <v>4393</v>
          </cell>
          <cell r="G1940" t="str">
            <v>$198.66</v>
          </cell>
          <cell r="H1940" t="str">
            <v>$198.66</v>
          </cell>
          <cell r="I1940">
            <v>19</v>
          </cell>
          <cell r="J1940">
            <v>19</v>
          </cell>
          <cell r="K1940">
            <v>7</v>
          </cell>
          <cell r="L1940">
            <v>7</v>
          </cell>
          <cell r="M1940">
            <v>5.3846153846153849E-2</v>
          </cell>
          <cell r="N1940">
            <v>5.3999999999999999E-2</v>
          </cell>
          <cell r="O1940" t="str">
            <v>$1236</v>
          </cell>
          <cell r="P1940" t="str">
            <v>$1236</v>
          </cell>
          <cell r="Q1940">
            <v>45607</v>
          </cell>
          <cell r="R1940" t="str">
            <v>Chennai</v>
          </cell>
          <cell r="S1940" t="str">
            <v>Desktop</v>
          </cell>
          <cell r="T1940" t="str">
            <v>data analytics online</v>
          </cell>
        </row>
        <row r="1941">
          <cell r="A1941" t="str">
            <v>A2939</v>
          </cell>
          <cell r="B1941" t="str">
            <v>Data Analytics Course</v>
          </cell>
          <cell r="C1941">
            <v>193</v>
          </cell>
          <cell r="D1941">
            <v>193</v>
          </cell>
          <cell r="E1941">
            <v>4953</v>
          </cell>
          <cell r="F1941">
            <v>4953</v>
          </cell>
          <cell r="G1941" t="str">
            <v>$243.75</v>
          </cell>
          <cell r="H1941" t="str">
            <v>$243.75</v>
          </cell>
          <cell r="I1941">
            <v>14</v>
          </cell>
          <cell r="J1941">
            <v>14</v>
          </cell>
          <cell r="K1941">
            <v>3</v>
          </cell>
          <cell r="L1941">
            <v>3</v>
          </cell>
          <cell r="M1941">
            <v>1.5544041450777202E-2</v>
          </cell>
          <cell r="N1941">
            <v>1.6E-2</v>
          </cell>
          <cell r="O1941" t="str">
            <v>$1118</v>
          </cell>
          <cell r="P1941" t="str">
            <v>$1118</v>
          </cell>
          <cell r="Q1941">
            <v>45600</v>
          </cell>
          <cell r="R1941" t="str">
            <v>Chennai</v>
          </cell>
          <cell r="S1941" t="str">
            <v>Mobile</v>
          </cell>
          <cell r="T1941" t="str">
            <v>analytics for data</v>
          </cell>
        </row>
        <row r="1942">
          <cell r="A1942" t="str">
            <v>A2940</v>
          </cell>
          <cell r="B1942" t="str">
            <v>Data Analytics Course</v>
          </cell>
          <cell r="C1942">
            <v>185</v>
          </cell>
          <cell r="D1942">
            <v>185</v>
          </cell>
          <cell r="E1942">
            <v>5208</v>
          </cell>
          <cell r="F1942">
            <v>5208</v>
          </cell>
          <cell r="G1942" t="str">
            <v>$227.26</v>
          </cell>
          <cell r="H1942" t="str">
            <v>$227.26</v>
          </cell>
          <cell r="I1942">
            <v>16</v>
          </cell>
          <cell r="J1942">
            <v>16</v>
          </cell>
          <cell r="K1942">
            <v>4</v>
          </cell>
          <cell r="L1942">
            <v>4</v>
          </cell>
          <cell r="M1942">
            <v>2.1621621621621623E-2</v>
          </cell>
          <cell r="N1942">
            <v>2.1999999999999999E-2</v>
          </cell>
          <cell r="O1942" t="str">
            <v>$1953</v>
          </cell>
          <cell r="P1942" t="str">
            <v>$1953</v>
          </cell>
          <cell r="Q1942">
            <v>45604</v>
          </cell>
          <cell r="R1942" t="str">
            <v>Chennai</v>
          </cell>
          <cell r="S1942" t="str">
            <v>Mobile</v>
          </cell>
          <cell r="T1942" t="str">
            <v>data analytics training</v>
          </cell>
        </row>
        <row r="1943">
          <cell r="A1943" t="str">
            <v>A2941</v>
          </cell>
          <cell r="B1943" t="str">
            <v>Data Analytics Course</v>
          </cell>
          <cell r="C1943">
            <v>163</v>
          </cell>
          <cell r="D1943">
            <v>163</v>
          </cell>
          <cell r="E1943">
            <v>4114</v>
          </cell>
          <cell r="F1943">
            <v>4114</v>
          </cell>
          <cell r="G1943" t="str">
            <v>$224.8</v>
          </cell>
          <cell r="H1943" t="str">
            <v>$224.8</v>
          </cell>
          <cell r="I1943">
            <v>18</v>
          </cell>
          <cell r="J1943">
            <v>18</v>
          </cell>
          <cell r="K1943">
            <v>8</v>
          </cell>
          <cell r="L1943">
            <v>8</v>
          </cell>
          <cell r="M1943">
            <v>4.9079754601226995E-2</v>
          </cell>
          <cell r="N1943">
            <v>4.5999999999999999E-2</v>
          </cell>
          <cell r="O1943" t="str">
            <v>$1493</v>
          </cell>
          <cell r="P1943" t="str">
            <v>$1493</v>
          </cell>
          <cell r="Q1943">
            <v>45620</v>
          </cell>
          <cell r="R1943" t="str">
            <v>Hyderabad</v>
          </cell>
          <cell r="S1943" t="str">
            <v>Desktop</v>
          </cell>
          <cell r="T1943" t="str">
            <v>online data analytic</v>
          </cell>
        </row>
        <row r="1944">
          <cell r="A1944" t="str">
            <v>A2942</v>
          </cell>
          <cell r="B1944" t="str">
            <v>Data Analytcis Course</v>
          </cell>
          <cell r="C1944">
            <v>197</v>
          </cell>
          <cell r="D1944">
            <v>197</v>
          </cell>
          <cell r="E1944">
            <v>3508</v>
          </cell>
          <cell r="F1944">
            <v>3508</v>
          </cell>
          <cell r="G1944" t="str">
            <v>$181.04</v>
          </cell>
          <cell r="H1944" t="str">
            <v>$181.04</v>
          </cell>
          <cell r="I1944">
            <v>20</v>
          </cell>
          <cell r="J1944">
            <v>20</v>
          </cell>
          <cell r="K1944">
            <v>4</v>
          </cell>
          <cell r="L1944">
            <v>4</v>
          </cell>
          <cell r="M1944">
            <v>2.030456852791878E-2</v>
          </cell>
          <cell r="N1944">
            <v>0.02</v>
          </cell>
          <cell r="O1944" t="str">
            <v>$1824</v>
          </cell>
          <cell r="P1944" t="str">
            <v>$1824</v>
          </cell>
          <cell r="Q1944">
            <v>45612</v>
          </cell>
          <cell r="R1944" t="str">
            <v>Hyderabad</v>
          </cell>
          <cell r="S1944" t="str">
            <v>Mobile</v>
          </cell>
          <cell r="T1944" t="str">
            <v>data analytics training</v>
          </cell>
        </row>
        <row r="1945">
          <cell r="A1945" t="str">
            <v>A2943</v>
          </cell>
          <cell r="B1945" t="str">
            <v>Data Analytics Course</v>
          </cell>
          <cell r="C1945">
            <v>89</v>
          </cell>
          <cell r="D1945">
            <v>89</v>
          </cell>
          <cell r="E1945">
            <v>5733</v>
          </cell>
          <cell r="F1945">
            <v>5733</v>
          </cell>
          <cell r="G1945" t="str">
            <v>$215.33</v>
          </cell>
          <cell r="H1945" t="str">
            <v>$215.33</v>
          </cell>
          <cell r="I1945">
            <v>22</v>
          </cell>
          <cell r="J1945">
            <v>22</v>
          </cell>
          <cell r="K1945">
            <v>9</v>
          </cell>
          <cell r="L1945">
            <v>9</v>
          </cell>
          <cell r="M1945">
            <v>0.10112359550561797</v>
          </cell>
          <cell r="N1945">
            <v>0.10100000000000001</v>
          </cell>
          <cell r="O1945" t="str">
            <v>$1323</v>
          </cell>
          <cell r="P1945" t="str">
            <v>$1323</v>
          </cell>
          <cell r="Q1945">
            <v>45611</v>
          </cell>
          <cell r="R1945" t="str">
            <v>Hyderabad</v>
          </cell>
          <cell r="S1945" t="str">
            <v>Tablet</v>
          </cell>
          <cell r="T1945" t="str">
            <v>data analytics online</v>
          </cell>
        </row>
        <row r="1946">
          <cell r="A1946" t="str">
            <v>A2944</v>
          </cell>
          <cell r="B1946" t="str">
            <v>Data Analytics Course</v>
          </cell>
          <cell r="C1946">
            <v>99</v>
          </cell>
          <cell r="D1946">
            <v>99</v>
          </cell>
          <cell r="E1946">
            <v>3948</v>
          </cell>
          <cell r="F1946">
            <v>3948</v>
          </cell>
          <cell r="G1946" t="str">
            <v>$198.65</v>
          </cell>
          <cell r="H1946" t="str">
            <v>$198.65</v>
          </cell>
          <cell r="I1946">
            <v>22</v>
          </cell>
          <cell r="J1946">
            <v>22</v>
          </cell>
          <cell r="K1946">
            <v>4</v>
          </cell>
          <cell r="L1946">
            <v>4</v>
          </cell>
          <cell r="M1946">
            <v>4.0404040404040407E-2</v>
          </cell>
          <cell r="N1946">
            <v>0.04</v>
          </cell>
          <cell r="O1946" t="str">
            <v>$1444</v>
          </cell>
          <cell r="P1946" t="str">
            <v>$1444</v>
          </cell>
          <cell r="Q1946">
            <v>45615</v>
          </cell>
          <cell r="R1946" t="str">
            <v>Chennai</v>
          </cell>
          <cell r="S1946" t="str">
            <v>Mobile</v>
          </cell>
          <cell r="T1946" t="str">
            <v>data analytics training</v>
          </cell>
        </row>
        <row r="1947">
          <cell r="A1947" t="str">
            <v>A2945</v>
          </cell>
          <cell r="B1947" t="str">
            <v>Data Analytics Course</v>
          </cell>
          <cell r="C1947">
            <v>110</v>
          </cell>
          <cell r="D1947">
            <v>110</v>
          </cell>
          <cell r="E1947">
            <v>4488</v>
          </cell>
          <cell r="F1947">
            <v>4488</v>
          </cell>
          <cell r="G1947" t="str">
            <v>$210.69</v>
          </cell>
          <cell r="H1947" t="str">
            <v>$210.69</v>
          </cell>
          <cell r="I1947">
            <v>27</v>
          </cell>
          <cell r="J1947">
            <v>27</v>
          </cell>
          <cell r="K1947">
            <v>10</v>
          </cell>
          <cell r="L1947">
            <v>10</v>
          </cell>
          <cell r="M1947">
            <v>9.0909090909090912E-2</v>
          </cell>
          <cell r="O1947" t="str">
            <v>$1872</v>
          </cell>
          <cell r="P1947" t="str">
            <v>$1872</v>
          </cell>
          <cell r="Q1947">
            <v>45608</v>
          </cell>
          <cell r="R1947" t="str">
            <v>Chennai</v>
          </cell>
          <cell r="S1947" t="str">
            <v>Mobile</v>
          </cell>
          <cell r="T1947" t="str">
            <v>data analytics training</v>
          </cell>
        </row>
        <row r="1948">
          <cell r="A1948" t="str">
            <v>A2946</v>
          </cell>
          <cell r="B1948" t="str">
            <v>Data Analytics Course</v>
          </cell>
          <cell r="C1948">
            <v>124</v>
          </cell>
          <cell r="D1948">
            <v>124</v>
          </cell>
          <cell r="E1948">
            <v>4747</v>
          </cell>
          <cell r="F1948">
            <v>4747</v>
          </cell>
          <cell r="G1948" t="str">
            <v>$234.97</v>
          </cell>
          <cell r="H1948" t="str">
            <v>$234.97</v>
          </cell>
          <cell r="I1948">
            <v>24</v>
          </cell>
          <cell r="J1948">
            <v>24</v>
          </cell>
          <cell r="K1948">
            <v>10</v>
          </cell>
          <cell r="L1948">
            <v>10</v>
          </cell>
          <cell r="M1948">
            <v>8.0645161290322578E-2</v>
          </cell>
          <cell r="N1948">
            <v>8.1000000000000003E-2</v>
          </cell>
          <cell r="O1948" t="str">
            <v>$1500</v>
          </cell>
          <cell r="Q1948">
            <v>45613</v>
          </cell>
          <cell r="R1948" t="str">
            <v>Hyderabad</v>
          </cell>
          <cell r="S1948" t="str">
            <v>Desktop</v>
          </cell>
          <cell r="T1948" t="str">
            <v>online data analytic</v>
          </cell>
        </row>
        <row r="1949">
          <cell r="A1949" t="str">
            <v>A2947</v>
          </cell>
          <cell r="B1949" t="str">
            <v>Data Analytics Course</v>
          </cell>
          <cell r="C1949">
            <v>120</v>
          </cell>
          <cell r="D1949">
            <v>120</v>
          </cell>
          <cell r="E1949">
            <v>5363</v>
          </cell>
          <cell r="F1949">
            <v>5363</v>
          </cell>
          <cell r="G1949" t="str">
            <v>$221.17</v>
          </cell>
          <cell r="H1949" t="str">
            <v>$221.17</v>
          </cell>
          <cell r="I1949">
            <v>17</v>
          </cell>
          <cell r="J1949">
            <v>17</v>
          </cell>
          <cell r="K1949">
            <v>4</v>
          </cell>
          <cell r="L1949">
            <v>4</v>
          </cell>
          <cell r="M1949">
            <v>3.3333333333333333E-2</v>
          </cell>
          <cell r="N1949">
            <v>3.3000000000000002E-2</v>
          </cell>
          <cell r="O1949" t="str">
            <v>$1345</v>
          </cell>
          <cell r="P1949" t="str">
            <v>$1345</v>
          </cell>
          <cell r="Q1949">
            <v>45604</v>
          </cell>
          <cell r="R1949" t="str">
            <v>Chennai</v>
          </cell>
          <cell r="S1949" t="str">
            <v>Tablet</v>
          </cell>
          <cell r="T1949" t="str">
            <v>analytics for data</v>
          </cell>
        </row>
        <row r="1950">
          <cell r="A1950" t="str">
            <v>A2948</v>
          </cell>
          <cell r="B1950" t="str">
            <v>Data Analytics Course</v>
          </cell>
          <cell r="C1950">
            <v>97</v>
          </cell>
          <cell r="D1950">
            <v>97</v>
          </cell>
          <cell r="E1950">
            <v>4523.2808326787117</v>
          </cell>
          <cell r="G1950" t="str">
            <v>$184.76</v>
          </cell>
          <cell r="H1950" t="str">
            <v>$184.76</v>
          </cell>
          <cell r="I1950">
            <v>25</v>
          </cell>
          <cell r="J1950">
            <v>25</v>
          </cell>
          <cell r="K1950">
            <v>10</v>
          </cell>
          <cell r="L1950">
            <v>10</v>
          </cell>
          <cell r="M1950">
            <v>0.10309278350515463</v>
          </cell>
          <cell r="N1950">
            <v>0.10299999999999999</v>
          </cell>
          <cell r="O1950" t="str">
            <v>$1500</v>
          </cell>
          <cell r="Q1950">
            <v>45610</v>
          </cell>
          <cell r="R1950" t="str">
            <v>Hyderabad</v>
          </cell>
          <cell r="S1950" t="str">
            <v>Tablet</v>
          </cell>
          <cell r="T1950" t="str">
            <v>data analytics online</v>
          </cell>
        </row>
        <row r="1951">
          <cell r="A1951" t="str">
            <v>A2949</v>
          </cell>
          <cell r="B1951" t="str">
            <v>Data Analytics Course</v>
          </cell>
          <cell r="C1951">
            <v>108</v>
          </cell>
          <cell r="D1951">
            <v>108</v>
          </cell>
          <cell r="E1951">
            <v>5611</v>
          </cell>
          <cell r="F1951">
            <v>5611</v>
          </cell>
          <cell r="G1951" t="str">
            <v>$224.38</v>
          </cell>
          <cell r="H1951" t="str">
            <v>$224.38</v>
          </cell>
          <cell r="I1951">
            <v>29</v>
          </cell>
          <cell r="J1951">
            <v>29</v>
          </cell>
          <cell r="K1951">
            <v>8</v>
          </cell>
          <cell r="L1951">
            <v>8</v>
          </cell>
          <cell r="M1951">
            <v>7.407407407407407E-2</v>
          </cell>
          <cell r="N1951">
            <v>7.3999999999999996E-2</v>
          </cell>
          <cell r="O1951" t="str">
            <v>$1886</v>
          </cell>
          <cell r="P1951" t="str">
            <v>$1886</v>
          </cell>
          <cell r="Q1951">
            <v>45607</v>
          </cell>
          <cell r="R1951" t="str">
            <v>Bangaluru</v>
          </cell>
          <cell r="S1951" t="str">
            <v>Mobile</v>
          </cell>
          <cell r="T1951" t="str">
            <v>analytics for data</v>
          </cell>
        </row>
        <row r="1952">
          <cell r="A1952" t="str">
            <v>A2950</v>
          </cell>
          <cell r="B1952" t="str">
            <v>Data Analytics Course</v>
          </cell>
          <cell r="C1952">
            <v>143</v>
          </cell>
          <cell r="D1952">
            <v>143</v>
          </cell>
          <cell r="E1952">
            <v>4788</v>
          </cell>
          <cell r="F1952">
            <v>4788</v>
          </cell>
          <cell r="G1952" t="str">
            <v>$213.2</v>
          </cell>
          <cell r="H1952" t="str">
            <v>$213.2</v>
          </cell>
          <cell r="I1952">
            <v>24</v>
          </cell>
          <cell r="J1952">
            <v>24</v>
          </cell>
          <cell r="K1952">
            <v>7</v>
          </cell>
          <cell r="L1952">
            <v>7</v>
          </cell>
          <cell r="M1952">
            <v>4.8951048951048952E-2</v>
          </cell>
          <cell r="N1952">
            <v>4.9000000000000002E-2</v>
          </cell>
          <cell r="O1952" t="str">
            <v>$1359</v>
          </cell>
          <cell r="P1952" t="str">
            <v>$1359</v>
          </cell>
          <cell r="Q1952">
            <v>45597</v>
          </cell>
          <cell r="R1952" t="str">
            <v>Bangaluru</v>
          </cell>
          <cell r="S1952" t="str">
            <v>Desktop</v>
          </cell>
          <cell r="T1952" t="str">
            <v>analytics for data</v>
          </cell>
        </row>
        <row r="1953">
          <cell r="A1953" t="str">
            <v>A2951</v>
          </cell>
          <cell r="B1953" t="str">
            <v>Data Analytics Course</v>
          </cell>
          <cell r="C1953">
            <v>129</v>
          </cell>
          <cell r="D1953">
            <v>129</v>
          </cell>
          <cell r="E1953">
            <v>5899</v>
          </cell>
          <cell r="F1953">
            <v>5899</v>
          </cell>
          <cell r="G1953" t="str">
            <v>$216.85</v>
          </cell>
          <cell r="H1953" t="str">
            <v>$216.85</v>
          </cell>
          <cell r="I1953">
            <v>15</v>
          </cell>
          <cell r="J1953">
            <v>15</v>
          </cell>
          <cell r="K1953">
            <v>9</v>
          </cell>
          <cell r="L1953">
            <v>9</v>
          </cell>
          <cell r="M1953">
            <v>6.9767441860465115E-2</v>
          </cell>
          <cell r="O1953" t="str">
            <v>$1574</v>
          </cell>
          <cell r="P1953" t="str">
            <v>$1574</v>
          </cell>
          <cell r="Q1953">
            <v>45626</v>
          </cell>
          <cell r="R1953" t="str">
            <v>Bangaluru</v>
          </cell>
          <cell r="S1953" t="str">
            <v>Desktop</v>
          </cell>
          <cell r="T1953" t="str">
            <v>data analytics course</v>
          </cell>
        </row>
        <row r="1954">
          <cell r="A1954" t="str">
            <v>A2952</v>
          </cell>
          <cell r="B1954" t="str">
            <v>Data Analytics Course</v>
          </cell>
          <cell r="C1954">
            <v>165</v>
          </cell>
          <cell r="D1954">
            <v>165</v>
          </cell>
          <cell r="E1954">
            <v>4121</v>
          </cell>
          <cell r="F1954">
            <v>4121</v>
          </cell>
          <cell r="G1954" t="str">
            <v>$224.59</v>
          </cell>
          <cell r="H1954" t="str">
            <v>$224.59</v>
          </cell>
          <cell r="I1954">
            <v>30</v>
          </cell>
          <cell r="J1954">
            <v>30</v>
          </cell>
          <cell r="K1954">
            <v>7</v>
          </cell>
          <cell r="L1954">
            <v>7</v>
          </cell>
          <cell r="M1954">
            <v>4.2424242424242427E-2</v>
          </cell>
          <cell r="N1954">
            <v>4.2000000000000003E-2</v>
          </cell>
          <cell r="O1954" t="str">
            <v>$1569</v>
          </cell>
          <cell r="P1954" t="str">
            <v>$1569</v>
          </cell>
          <cell r="Q1954">
            <v>45599</v>
          </cell>
          <cell r="R1954" t="str">
            <v>Chennai</v>
          </cell>
          <cell r="S1954" t="str">
            <v>Mobile</v>
          </cell>
          <cell r="T1954" t="str">
            <v>data analytics course</v>
          </cell>
        </row>
        <row r="1955">
          <cell r="A1955" t="str">
            <v>A2953</v>
          </cell>
          <cell r="B1955" t="str">
            <v>Data Analytics Course</v>
          </cell>
          <cell r="C1955">
            <v>155</v>
          </cell>
          <cell r="D1955">
            <v>155</v>
          </cell>
          <cell r="E1955">
            <v>5030</v>
          </cell>
          <cell r="F1955">
            <v>5030</v>
          </cell>
          <cell r="G1955" t="str">
            <v>$234.41</v>
          </cell>
          <cell r="H1955" t="str">
            <v>$234.41</v>
          </cell>
          <cell r="I1955">
            <v>13</v>
          </cell>
          <cell r="J1955">
            <v>13</v>
          </cell>
          <cell r="K1955">
            <v>5</v>
          </cell>
          <cell r="L1955">
            <v>5</v>
          </cell>
          <cell r="M1955">
            <v>3.2258064516129031E-2</v>
          </cell>
          <cell r="N1955">
            <v>3.2000000000000001E-2</v>
          </cell>
          <cell r="O1955" t="str">
            <v>$1113</v>
          </cell>
          <cell r="P1955" t="str">
            <v>$1113</v>
          </cell>
          <cell r="Q1955">
            <v>45604</v>
          </cell>
          <cell r="R1955" t="str">
            <v>Chennai</v>
          </cell>
          <cell r="S1955" t="str">
            <v>Mobile</v>
          </cell>
          <cell r="T1955" t="str">
            <v>online data analytic</v>
          </cell>
        </row>
        <row r="1956">
          <cell r="A1956" t="str">
            <v>A2954</v>
          </cell>
          <cell r="B1956" t="str">
            <v>Data Analytics Course</v>
          </cell>
          <cell r="C1956">
            <v>156</v>
          </cell>
          <cell r="D1956">
            <v>156</v>
          </cell>
          <cell r="E1956">
            <v>3533</v>
          </cell>
          <cell r="F1956">
            <v>3533</v>
          </cell>
          <cell r="G1956" t="str">
            <v>$211.7</v>
          </cell>
          <cell r="H1956" t="str">
            <v>$211.7</v>
          </cell>
          <cell r="I1956">
            <v>22</v>
          </cell>
          <cell r="J1956">
            <v>22</v>
          </cell>
          <cell r="K1956">
            <v>9</v>
          </cell>
          <cell r="L1956">
            <v>9</v>
          </cell>
          <cell r="M1956">
            <v>5.7692307692307696E-2</v>
          </cell>
          <cell r="N1956">
            <v>5.8000000000000003E-2</v>
          </cell>
          <cell r="O1956" t="str">
            <v>$1399</v>
          </cell>
          <cell r="P1956" t="str">
            <v>$1399</v>
          </cell>
          <cell r="Q1956">
            <v>45606</v>
          </cell>
          <cell r="R1956" t="str">
            <v>Hyderabad</v>
          </cell>
          <cell r="S1956" t="str">
            <v>Mobile</v>
          </cell>
          <cell r="T1956" t="str">
            <v>data analytics course</v>
          </cell>
        </row>
        <row r="1957">
          <cell r="A1957" t="str">
            <v>A2955</v>
          </cell>
          <cell r="B1957" t="str">
            <v>Data Analytics Course</v>
          </cell>
          <cell r="C1957">
            <v>94</v>
          </cell>
          <cell r="D1957">
            <v>94</v>
          </cell>
          <cell r="E1957">
            <v>5751</v>
          </cell>
          <cell r="F1957">
            <v>5751</v>
          </cell>
          <cell r="G1957" t="str">
            <v>$205.37</v>
          </cell>
          <cell r="H1957" t="str">
            <v>$205.37</v>
          </cell>
          <cell r="I1957">
            <v>10</v>
          </cell>
          <cell r="J1957">
            <v>10</v>
          </cell>
          <cell r="K1957">
            <v>9</v>
          </cell>
          <cell r="L1957">
            <v>9</v>
          </cell>
          <cell r="M1957">
            <v>9.5744680851063829E-2</v>
          </cell>
          <cell r="N1957">
            <v>9.6000000000000002E-2</v>
          </cell>
          <cell r="O1957" t="str">
            <v>$1155</v>
          </cell>
          <cell r="P1957" t="str">
            <v>$1155</v>
          </cell>
          <cell r="Q1957">
            <v>45615</v>
          </cell>
          <cell r="R1957" t="str">
            <v>Hyderabad</v>
          </cell>
          <cell r="S1957" t="str">
            <v>Tablet</v>
          </cell>
          <cell r="T1957" t="str">
            <v>data analytics course</v>
          </cell>
        </row>
        <row r="1958">
          <cell r="A1958" t="str">
            <v>A2956</v>
          </cell>
          <cell r="B1958" t="str">
            <v>Data Analytics Course</v>
          </cell>
          <cell r="C1958">
            <v>170</v>
          </cell>
          <cell r="D1958">
            <v>170</v>
          </cell>
          <cell r="E1958">
            <v>5484</v>
          </cell>
          <cell r="F1958">
            <v>5484</v>
          </cell>
          <cell r="G1958" t="str">
            <v>$210.28</v>
          </cell>
          <cell r="H1958" t="str">
            <v>$210.28</v>
          </cell>
          <cell r="I1958">
            <v>20</v>
          </cell>
          <cell r="J1958">
            <v>20</v>
          </cell>
          <cell r="K1958">
            <v>9</v>
          </cell>
          <cell r="L1958">
            <v>9</v>
          </cell>
          <cell r="M1958">
            <v>5.2941176470588235E-2</v>
          </cell>
          <cell r="N1958">
            <v>5.2999999999999999E-2</v>
          </cell>
          <cell r="O1958" t="str">
            <v>$1319</v>
          </cell>
          <cell r="P1958" t="str">
            <v>$1319</v>
          </cell>
          <cell r="Q1958">
            <v>45619</v>
          </cell>
          <cell r="R1958" t="str">
            <v>Hyderabad</v>
          </cell>
          <cell r="S1958" t="str">
            <v>Tablet</v>
          </cell>
          <cell r="T1958" t="str">
            <v>data analytics training</v>
          </cell>
        </row>
        <row r="1959">
          <cell r="A1959" t="str">
            <v>A2957</v>
          </cell>
          <cell r="B1959" t="str">
            <v>Data Analytics Course</v>
          </cell>
          <cell r="C1959">
            <v>90</v>
          </cell>
          <cell r="D1959">
            <v>90</v>
          </cell>
          <cell r="E1959">
            <v>5457</v>
          </cell>
          <cell r="F1959">
            <v>5457</v>
          </cell>
          <cell r="G1959" t="str">
            <v>$233.5</v>
          </cell>
          <cell r="H1959" t="str">
            <v>$233.5</v>
          </cell>
          <cell r="I1959">
            <v>17</v>
          </cell>
          <cell r="J1959">
            <v>17</v>
          </cell>
          <cell r="K1959">
            <v>9</v>
          </cell>
          <cell r="L1959">
            <v>9</v>
          </cell>
          <cell r="M1959">
            <v>0.1</v>
          </cell>
          <cell r="N1959">
            <v>0.1</v>
          </cell>
          <cell r="O1959" t="str">
            <v>$1159</v>
          </cell>
          <cell r="P1959" t="str">
            <v>$1159</v>
          </cell>
          <cell r="Q1959">
            <v>45615</v>
          </cell>
          <cell r="R1959" t="str">
            <v>Chennai</v>
          </cell>
          <cell r="S1959" t="str">
            <v>Desktop</v>
          </cell>
          <cell r="T1959" t="str">
            <v>data analytics course</v>
          </cell>
        </row>
        <row r="1960">
          <cell r="A1960" t="str">
            <v>A2958</v>
          </cell>
          <cell r="B1960" t="str">
            <v>Data Analytcis Course</v>
          </cell>
          <cell r="C1960">
            <v>138.95699356913184</v>
          </cell>
          <cell r="E1960">
            <v>3314</v>
          </cell>
          <cell r="F1960">
            <v>3314</v>
          </cell>
          <cell r="G1960" t="str">
            <v>$200.00</v>
          </cell>
          <cell r="I1960">
            <v>26</v>
          </cell>
          <cell r="J1960">
            <v>26</v>
          </cell>
          <cell r="K1960">
            <v>10</v>
          </cell>
          <cell r="L1960">
            <v>10</v>
          </cell>
          <cell r="M1960">
            <v>7.1964711837443046E-2</v>
          </cell>
          <cell r="O1960" t="str">
            <v>$1731</v>
          </cell>
          <cell r="P1960" t="str">
            <v>$1731</v>
          </cell>
          <cell r="Q1960">
            <v>45623</v>
          </cell>
          <cell r="R1960" t="str">
            <v>Chennai</v>
          </cell>
          <cell r="S1960" t="str">
            <v>Desktop</v>
          </cell>
          <cell r="T1960" t="str">
            <v>analytics for data</v>
          </cell>
        </row>
        <row r="1961">
          <cell r="A1961" t="str">
            <v>A2959</v>
          </cell>
          <cell r="B1961" t="str">
            <v>Data Analytcis Course</v>
          </cell>
          <cell r="C1961">
            <v>80</v>
          </cell>
          <cell r="D1961">
            <v>80</v>
          </cell>
          <cell r="E1961">
            <v>5808</v>
          </cell>
          <cell r="F1961">
            <v>5808</v>
          </cell>
          <cell r="G1961" t="str">
            <v>$240.44</v>
          </cell>
          <cell r="H1961" t="str">
            <v>$240.44</v>
          </cell>
          <cell r="I1961">
            <v>12</v>
          </cell>
          <cell r="J1961">
            <v>12</v>
          </cell>
          <cell r="K1961">
            <v>4</v>
          </cell>
          <cell r="L1961">
            <v>4</v>
          </cell>
          <cell r="M1961">
            <v>0.05</v>
          </cell>
          <cell r="N1961">
            <v>3.5999999999999997E-2</v>
          </cell>
          <cell r="O1961" t="str">
            <v>$1542</v>
          </cell>
          <cell r="P1961" t="str">
            <v>$1542</v>
          </cell>
          <cell r="Q1961">
            <v>45612</v>
          </cell>
          <cell r="R1961" t="str">
            <v>Chennai</v>
          </cell>
          <cell r="S1961" t="str">
            <v>Desktop</v>
          </cell>
          <cell r="T1961" t="str">
            <v>data analytics online</v>
          </cell>
        </row>
        <row r="1962">
          <cell r="A1962" t="str">
            <v>A2960</v>
          </cell>
          <cell r="B1962" t="str">
            <v>Data Analytics Course</v>
          </cell>
          <cell r="C1962">
            <v>166</v>
          </cell>
          <cell r="D1962">
            <v>166</v>
          </cell>
          <cell r="E1962">
            <v>5567</v>
          </cell>
          <cell r="F1962">
            <v>5567</v>
          </cell>
          <cell r="G1962" t="str">
            <v>$199.13</v>
          </cell>
          <cell r="H1962" t="str">
            <v>$199.13</v>
          </cell>
          <cell r="I1962">
            <v>29</v>
          </cell>
          <cell r="J1962">
            <v>29</v>
          </cell>
          <cell r="K1962">
            <v>5</v>
          </cell>
          <cell r="L1962">
            <v>5</v>
          </cell>
          <cell r="M1962">
            <v>3.0120481927710843E-2</v>
          </cell>
          <cell r="N1962">
            <v>0.03</v>
          </cell>
          <cell r="O1962" t="str">
            <v>$1474</v>
          </cell>
          <cell r="P1962" t="str">
            <v>$1474</v>
          </cell>
          <cell r="Q1962">
            <v>45604</v>
          </cell>
          <cell r="R1962" t="str">
            <v>Hyderabad</v>
          </cell>
          <cell r="S1962" t="str">
            <v>Mobile</v>
          </cell>
          <cell r="T1962" t="str">
            <v>learn data analytics</v>
          </cell>
        </row>
        <row r="1963">
          <cell r="A1963" t="str">
            <v>A2961</v>
          </cell>
          <cell r="B1963" t="str">
            <v>Data Analytics Course</v>
          </cell>
          <cell r="C1963">
            <v>149</v>
          </cell>
          <cell r="D1963">
            <v>149</v>
          </cell>
          <cell r="E1963">
            <v>5936</v>
          </cell>
          <cell r="F1963">
            <v>5936</v>
          </cell>
          <cell r="G1963" t="str">
            <v>$246.58</v>
          </cell>
          <cell r="H1963" t="str">
            <v>$246.58</v>
          </cell>
          <cell r="I1963">
            <v>14</v>
          </cell>
          <cell r="J1963">
            <v>14</v>
          </cell>
          <cell r="K1963">
            <v>6</v>
          </cell>
          <cell r="L1963">
            <v>6</v>
          </cell>
          <cell r="M1963">
            <v>4.0268456375838924E-2</v>
          </cell>
          <cell r="O1963" t="str">
            <v>$1396</v>
          </cell>
          <cell r="P1963" t="str">
            <v>$1396</v>
          </cell>
          <cell r="Q1963">
            <v>45597</v>
          </cell>
          <cell r="R1963" t="str">
            <v>Hyderabad</v>
          </cell>
          <cell r="S1963" t="str">
            <v>Desktop</v>
          </cell>
          <cell r="T1963" t="str">
            <v>learn data analytics</v>
          </cell>
        </row>
        <row r="1964">
          <cell r="A1964" t="str">
            <v>A2962</v>
          </cell>
          <cell r="B1964" t="str">
            <v>Data Analytics Course</v>
          </cell>
          <cell r="C1964">
            <v>151</v>
          </cell>
          <cell r="D1964">
            <v>151</v>
          </cell>
          <cell r="E1964">
            <v>4966</v>
          </cell>
          <cell r="F1964">
            <v>4966</v>
          </cell>
          <cell r="G1964" t="str">
            <v>$223.67</v>
          </cell>
          <cell r="H1964" t="str">
            <v>$223.67</v>
          </cell>
          <cell r="I1964">
            <v>15</v>
          </cell>
          <cell r="J1964">
            <v>15</v>
          </cell>
          <cell r="K1964">
            <v>3</v>
          </cell>
          <cell r="L1964">
            <v>3</v>
          </cell>
          <cell r="M1964">
            <v>1.9867549668874173E-2</v>
          </cell>
          <cell r="O1964" t="str">
            <v>$1411</v>
          </cell>
          <cell r="P1964" t="str">
            <v>$1411</v>
          </cell>
          <cell r="Q1964">
            <v>45605</v>
          </cell>
          <cell r="R1964" t="str">
            <v>Bangaluru</v>
          </cell>
          <cell r="S1964" t="str">
            <v>Tablet</v>
          </cell>
          <cell r="T1964" t="str">
            <v>analytics for data</v>
          </cell>
        </row>
        <row r="1965">
          <cell r="A1965" t="str">
            <v>A2963</v>
          </cell>
          <cell r="B1965" t="str">
            <v>Data Analytcis Course</v>
          </cell>
          <cell r="C1965">
            <v>186</v>
          </cell>
          <cell r="D1965">
            <v>186</v>
          </cell>
          <cell r="E1965">
            <v>4790</v>
          </cell>
          <cell r="F1965">
            <v>4790</v>
          </cell>
          <cell r="G1965" t="str">
            <v>$233.42</v>
          </cell>
          <cell r="H1965" t="str">
            <v>$233.42</v>
          </cell>
          <cell r="I1965">
            <v>10</v>
          </cell>
          <cell r="J1965">
            <v>10</v>
          </cell>
          <cell r="K1965">
            <v>3</v>
          </cell>
          <cell r="L1965">
            <v>3</v>
          </cell>
          <cell r="M1965">
            <v>1.6129032258064516E-2</v>
          </cell>
          <cell r="O1965" t="str">
            <v>$1201</v>
          </cell>
          <cell r="P1965" t="str">
            <v>$1201</v>
          </cell>
          <cell r="Q1965">
            <v>45621</v>
          </cell>
          <cell r="R1965" t="str">
            <v>Hyderabad</v>
          </cell>
          <cell r="S1965" t="str">
            <v>Desktop</v>
          </cell>
          <cell r="T1965" t="str">
            <v>data analytics training</v>
          </cell>
        </row>
        <row r="1966">
          <cell r="A1966" t="str">
            <v>A2964</v>
          </cell>
          <cell r="B1966" t="str">
            <v>Data Analytics Course</v>
          </cell>
          <cell r="C1966">
            <v>143</v>
          </cell>
          <cell r="D1966">
            <v>143</v>
          </cell>
          <cell r="E1966">
            <v>4932</v>
          </cell>
          <cell r="F1966">
            <v>4932</v>
          </cell>
          <cell r="G1966" t="str">
            <v>$206.35</v>
          </cell>
          <cell r="H1966" t="str">
            <v>$206.35</v>
          </cell>
          <cell r="I1966">
            <v>20</v>
          </cell>
          <cell r="J1966">
            <v>20</v>
          </cell>
          <cell r="K1966">
            <v>9</v>
          </cell>
          <cell r="L1966">
            <v>9</v>
          </cell>
          <cell r="M1966">
            <v>6.2937062937062943E-2</v>
          </cell>
          <cell r="N1966">
            <v>6.3E-2</v>
          </cell>
          <cell r="O1966" t="str">
            <v>$1132</v>
          </cell>
          <cell r="P1966" t="str">
            <v>$1132</v>
          </cell>
          <cell r="Q1966">
            <v>45618</v>
          </cell>
          <cell r="R1966" t="str">
            <v>Hyderabad</v>
          </cell>
          <cell r="S1966" t="str">
            <v>Desktop</v>
          </cell>
          <cell r="T1966" t="str">
            <v>data analytics course</v>
          </cell>
        </row>
        <row r="1967">
          <cell r="A1967" t="str">
            <v>A2965</v>
          </cell>
          <cell r="B1967" t="str">
            <v>Data Analytics Course</v>
          </cell>
          <cell r="C1967">
            <v>180</v>
          </cell>
          <cell r="D1967">
            <v>180</v>
          </cell>
          <cell r="E1967">
            <v>3991</v>
          </cell>
          <cell r="F1967">
            <v>3991</v>
          </cell>
          <cell r="G1967" t="str">
            <v>$200.43</v>
          </cell>
          <cell r="H1967" t="str">
            <v>$200.43</v>
          </cell>
          <cell r="I1967">
            <v>10</v>
          </cell>
          <cell r="J1967">
            <v>10</v>
          </cell>
          <cell r="K1967">
            <v>10</v>
          </cell>
          <cell r="L1967">
            <v>10</v>
          </cell>
          <cell r="M1967">
            <v>5.5555555555555552E-2</v>
          </cell>
          <cell r="N1967">
            <v>5.6000000000000001E-2</v>
          </cell>
          <cell r="O1967" t="str">
            <v>$1427</v>
          </cell>
          <cell r="P1967" t="str">
            <v>$1427</v>
          </cell>
          <cell r="Q1967">
            <v>45617</v>
          </cell>
          <cell r="R1967" t="str">
            <v>Chennai</v>
          </cell>
          <cell r="S1967" t="str">
            <v>Tablet</v>
          </cell>
          <cell r="T1967" t="str">
            <v>online data analytic</v>
          </cell>
        </row>
        <row r="1968">
          <cell r="A1968" t="str">
            <v>A2966</v>
          </cell>
          <cell r="B1968" t="str">
            <v>Data Analytics Course</v>
          </cell>
          <cell r="C1968">
            <v>141</v>
          </cell>
          <cell r="D1968">
            <v>141</v>
          </cell>
          <cell r="E1968">
            <v>3306</v>
          </cell>
          <cell r="F1968">
            <v>3306</v>
          </cell>
          <cell r="G1968" t="str">
            <v>$188.29</v>
          </cell>
          <cell r="H1968" t="str">
            <v>$188.29</v>
          </cell>
          <cell r="I1968">
            <v>30</v>
          </cell>
          <cell r="J1968">
            <v>30</v>
          </cell>
          <cell r="K1968">
            <v>9</v>
          </cell>
          <cell r="L1968">
            <v>9</v>
          </cell>
          <cell r="M1968">
            <v>6.3829787234042548E-2</v>
          </cell>
          <cell r="N1968">
            <v>4.1000000000000002E-2</v>
          </cell>
          <cell r="O1968" t="str">
            <v>$1561</v>
          </cell>
          <cell r="P1968" t="str">
            <v>$1561</v>
          </cell>
          <cell r="Q1968">
            <v>45614</v>
          </cell>
          <cell r="R1968" t="str">
            <v>Hyderabad</v>
          </cell>
          <cell r="S1968" t="str">
            <v>Tablet</v>
          </cell>
          <cell r="T1968" t="str">
            <v>analytics for data</v>
          </cell>
        </row>
        <row r="1969">
          <cell r="A1969" t="str">
            <v>A2967</v>
          </cell>
          <cell r="B1969" t="str">
            <v>Data Analytics Course</v>
          </cell>
          <cell r="C1969">
            <v>80</v>
          </cell>
          <cell r="D1969">
            <v>80</v>
          </cell>
          <cell r="E1969">
            <v>3432</v>
          </cell>
          <cell r="F1969">
            <v>3432</v>
          </cell>
          <cell r="G1969" t="str">
            <v>$226.03</v>
          </cell>
          <cell r="H1969" t="str">
            <v>$226.03</v>
          </cell>
          <cell r="I1969">
            <v>20.416801292407108</v>
          </cell>
          <cell r="K1969">
            <v>9</v>
          </cell>
          <cell r="L1969">
            <v>9</v>
          </cell>
          <cell r="M1969">
            <v>0.1125</v>
          </cell>
          <cell r="N1969">
            <v>0.113</v>
          </cell>
          <cell r="O1969" t="str">
            <v>$1254</v>
          </cell>
          <cell r="P1969" t="str">
            <v>$1254</v>
          </cell>
          <cell r="Q1969">
            <v>45603</v>
          </cell>
          <cell r="R1969" t="str">
            <v>Bangaluru</v>
          </cell>
          <cell r="S1969" t="str">
            <v>Desktop</v>
          </cell>
          <cell r="T1969" t="str">
            <v>learn data analytics</v>
          </cell>
        </row>
        <row r="1970">
          <cell r="A1970" t="str">
            <v>A2968</v>
          </cell>
          <cell r="B1970" t="str">
            <v>Data Analytics Course</v>
          </cell>
          <cell r="C1970">
            <v>152</v>
          </cell>
          <cell r="D1970">
            <v>152</v>
          </cell>
          <cell r="E1970">
            <v>4683</v>
          </cell>
          <cell r="F1970">
            <v>4683</v>
          </cell>
          <cell r="G1970" t="str">
            <v>$223.33</v>
          </cell>
          <cell r="H1970" t="str">
            <v>$223.33</v>
          </cell>
          <cell r="I1970">
            <v>12</v>
          </cell>
          <cell r="J1970">
            <v>12</v>
          </cell>
          <cell r="K1970">
            <v>7</v>
          </cell>
          <cell r="L1970">
            <v>7</v>
          </cell>
          <cell r="M1970">
            <v>4.6052631578947366E-2</v>
          </cell>
          <cell r="N1970">
            <v>4.5999999999999999E-2</v>
          </cell>
          <cell r="O1970" t="str">
            <v>$1697</v>
          </cell>
          <cell r="P1970" t="str">
            <v>$1697</v>
          </cell>
          <cell r="Q1970">
            <v>45614</v>
          </cell>
          <cell r="R1970" t="str">
            <v>Bangaluru</v>
          </cell>
          <cell r="S1970" t="str">
            <v>Tablet</v>
          </cell>
          <cell r="T1970" t="str">
            <v>data analytics course</v>
          </cell>
        </row>
        <row r="1971">
          <cell r="A1971" t="str">
            <v>A2969</v>
          </cell>
          <cell r="B1971" t="str">
            <v>Data Analytics Course</v>
          </cell>
          <cell r="C1971">
            <v>189</v>
          </cell>
          <cell r="D1971">
            <v>189</v>
          </cell>
          <cell r="E1971">
            <v>3635</v>
          </cell>
          <cell r="F1971">
            <v>3635</v>
          </cell>
          <cell r="G1971" t="str">
            <v>$229.08</v>
          </cell>
          <cell r="H1971" t="str">
            <v>$229.08</v>
          </cell>
          <cell r="I1971">
            <v>17</v>
          </cell>
          <cell r="J1971">
            <v>17</v>
          </cell>
          <cell r="K1971">
            <v>9</v>
          </cell>
          <cell r="L1971">
            <v>9</v>
          </cell>
          <cell r="M1971">
            <v>4.7619047619047616E-2</v>
          </cell>
          <cell r="N1971">
            <v>4.8000000000000001E-2</v>
          </cell>
          <cell r="O1971" t="str">
            <v>$1225</v>
          </cell>
          <cell r="P1971" t="str">
            <v>$1225</v>
          </cell>
          <cell r="Q1971">
            <v>45609</v>
          </cell>
          <cell r="R1971" t="str">
            <v>Hyderabad</v>
          </cell>
          <cell r="S1971" t="str">
            <v>Tablet</v>
          </cell>
          <cell r="T1971" t="str">
            <v>online data analytic</v>
          </cell>
        </row>
        <row r="1972">
          <cell r="A1972" t="str">
            <v>A2970</v>
          </cell>
          <cell r="B1972" t="str">
            <v>Data Analytcis Course</v>
          </cell>
          <cell r="C1972">
            <v>121</v>
          </cell>
          <cell r="D1972">
            <v>121</v>
          </cell>
          <cell r="E1972">
            <v>4638</v>
          </cell>
          <cell r="F1972">
            <v>4638</v>
          </cell>
          <cell r="G1972" t="str">
            <v>$198.88</v>
          </cell>
          <cell r="H1972" t="str">
            <v>$198.88</v>
          </cell>
          <cell r="I1972">
            <v>14</v>
          </cell>
          <cell r="J1972">
            <v>14</v>
          </cell>
          <cell r="K1972">
            <v>6</v>
          </cell>
          <cell r="L1972">
            <v>6</v>
          </cell>
          <cell r="M1972">
            <v>4.9586776859504134E-2</v>
          </cell>
          <cell r="O1972" t="str">
            <v>$1964</v>
          </cell>
          <cell r="P1972" t="str">
            <v>$1964</v>
          </cell>
          <cell r="Q1972">
            <v>45604</v>
          </cell>
          <cell r="R1972" t="str">
            <v>Hyderabad</v>
          </cell>
          <cell r="S1972" t="str">
            <v>Desktop</v>
          </cell>
          <cell r="T1972" t="str">
            <v>learn data analytics</v>
          </cell>
        </row>
        <row r="1973">
          <cell r="A1973" t="str">
            <v>A2971</v>
          </cell>
          <cell r="B1973" t="str">
            <v>Data Analytics Course</v>
          </cell>
          <cell r="C1973">
            <v>140</v>
          </cell>
          <cell r="D1973">
            <v>140</v>
          </cell>
          <cell r="E1973">
            <v>5095</v>
          </cell>
          <cell r="F1973">
            <v>5095</v>
          </cell>
          <cell r="G1973" t="str">
            <v>$223.77</v>
          </cell>
          <cell r="H1973" t="str">
            <v>$223.77</v>
          </cell>
          <cell r="I1973">
            <v>28</v>
          </cell>
          <cell r="J1973">
            <v>28</v>
          </cell>
          <cell r="K1973">
            <v>7</v>
          </cell>
          <cell r="L1973">
            <v>7</v>
          </cell>
          <cell r="M1973">
            <v>0.05</v>
          </cell>
          <cell r="N1973">
            <v>0.05</v>
          </cell>
          <cell r="O1973" t="str">
            <v>$1233</v>
          </cell>
          <cell r="P1973" t="str">
            <v>$1233</v>
          </cell>
          <cell r="Q1973">
            <v>45610</v>
          </cell>
          <cell r="R1973" t="str">
            <v>Hyderabad</v>
          </cell>
          <cell r="S1973" t="str">
            <v>Tablet</v>
          </cell>
          <cell r="T1973" t="str">
            <v>learn data analytics</v>
          </cell>
        </row>
        <row r="1974">
          <cell r="A1974" t="str">
            <v>A2972</v>
          </cell>
          <cell r="B1974" t="str">
            <v>Data Analytics Course</v>
          </cell>
          <cell r="C1974">
            <v>183</v>
          </cell>
          <cell r="D1974">
            <v>183</v>
          </cell>
          <cell r="E1974">
            <v>5749</v>
          </cell>
          <cell r="F1974">
            <v>5749</v>
          </cell>
          <cell r="G1974" t="str">
            <v>$213.66</v>
          </cell>
          <cell r="H1974" t="str">
            <v>$213.66</v>
          </cell>
          <cell r="I1974">
            <v>23</v>
          </cell>
          <cell r="J1974">
            <v>23</v>
          </cell>
          <cell r="K1974">
            <v>7</v>
          </cell>
          <cell r="L1974">
            <v>7</v>
          </cell>
          <cell r="M1974">
            <v>3.825136612021858E-2</v>
          </cell>
          <cell r="O1974" t="str">
            <v>$1187</v>
          </cell>
          <cell r="P1974" t="str">
            <v>$1187</v>
          </cell>
          <cell r="Q1974">
            <v>45618</v>
          </cell>
          <cell r="R1974" t="str">
            <v>Chennai</v>
          </cell>
          <cell r="S1974" t="str">
            <v>Mobile</v>
          </cell>
          <cell r="T1974" t="str">
            <v>online data analytic</v>
          </cell>
        </row>
        <row r="1975">
          <cell r="A1975" t="str">
            <v>A2973</v>
          </cell>
          <cell r="B1975" t="str">
            <v>Data Analytics Course</v>
          </cell>
          <cell r="C1975">
            <v>156</v>
          </cell>
          <cell r="D1975">
            <v>156</v>
          </cell>
          <cell r="E1975">
            <v>3964</v>
          </cell>
          <cell r="F1975">
            <v>3964</v>
          </cell>
          <cell r="G1975" t="str">
            <v>$184.42</v>
          </cell>
          <cell r="H1975" t="str">
            <v>$184.42</v>
          </cell>
          <cell r="I1975">
            <v>22</v>
          </cell>
          <cell r="J1975">
            <v>22</v>
          </cell>
          <cell r="K1975">
            <v>6</v>
          </cell>
          <cell r="L1975">
            <v>6</v>
          </cell>
          <cell r="M1975">
            <v>3.8461538461538464E-2</v>
          </cell>
          <cell r="N1975">
            <v>3.7999999999999999E-2</v>
          </cell>
          <cell r="O1975" t="str">
            <v>$1893</v>
          </cell>
          <cell r="P1975" t="str">
            <v>$1893</v>
          </cell>
          <cell r="Q1975">
            <v>45626</v>
          </cell>
          <cell r="R1975" t="str">
            <v>Hyderabad</v>
          </cell>
          <cell r="S1975" t="str">
            <v>Tablet</v>
          </cell>
          <cell r="T1975" t="str">
            <v>online data analytic</v>
          </cell>
        </row>
        <row r="1976">
          <cell r="A1976" t="str">
            <v>A2974</v>
          </cell>
          <cell r="B1976" t="str">
            <v>Data Analytics Course</v>
          </cell>
          <cell r="C1976">
            <v>136</v>
          </cell>
          <cell r="D1976">
            <v>136</v>
          </cell>
          <cell r="E1976">
            <v>5645</v>
          </cell>
          <cell r="F1976">
            <v>5645</v>
          </cell>
          <cell r="G1976" t="str">
            <v>$195.55</v>
          </cell>
          <cell r="H1976" t="str">
            <v>$195.55</v>
          </cell>
          <cell r="I1976">
            <v>26</v>
          </cell>
          <cell r="J1976">
            <v>26</v>
          </cell>
          <cell r="K1976">
            <v>4</v>
          </cell>
          <cell r="L1976">
            <v>4</v>
          </cell>
          <cell r="M1976">
            <v>2.9411764705882353E-2</v>
          </cell>
          <cell r="N1976">
            <v>2.9000000000000001E-2</v>
          </cell>
          <cell r="O1976" t="str">
            <v>$1773</v>
          </cell>
          <cell r="P1976" t="str">
            <v>$1773</v>
          </cell>
          <cell r="Q1976">
            <v>45597</v>
          </cell>
          <cell r="R1976" t="str">
            <v>Hyderabad</v>
          </cell>
          <cell r="S1976" t="str">
            <v>Tablet</v>
          </cell>
          <cell r="T1976" t="str">
            <v>learn data analytics</v>
          </cell>
        </row>
        <row r="1977">
          <cell r="A1977" t="str">
            <v>A2975</v>
          </cell>
          <cell r="B1977" t="str">
            <v>Data Analytics Course</v>
          </cell>
          <cell r="C1977">
            <v>107</v>
          </cell>
          <cell r="D1977">
            <v>107</v>
          </cell>
          <cell r="E1977">
            <v>5272</v>
          </cell>
          <cell r="F1977">
            <v>5272</v>
          </cell>
          <cell r="G1977" t="str">
            <v>$223.18</v>
          </cell>
          <cell r="H1977" t="str">
            <v>$223.18</v>
          </cell>
          <cell r="I1977">
            <v>16</v>
          </cell>
          <cell r="J1977">
            <v>16</v>
          </cell>
          <cell r="K1977">
            <v>8</v>
          </cell>
          <cell r="L1977">
            <v>8</v>
          </cell>
          <cell r="M1977">
            <v>7.476635514018691E-2</v>
          </cell>
          <cell r="N1977">
            <v>7.4999999999999997E-2</v>
          </cell>
          <cell r="O1977" t="str">
            <v>$1110</v>
          </cell>
          <cell r="P1977" t="str">
            <v>$1110</v>
          </cell>
          <cell r="Q1977">
            <v>45624</v>
          </cell>
          <cell r="R1977" t="str">
            <v>Bangaluru</v>
          </cell>
          <cell r="S1977" t="str">
            <v>Desktop</v>
          </cell>
          <cell r="T1977" t="str">
            <v>learn data analytics</v>
          </cell>
        </row>
        <row r="1978">
          <cell r="A1978" t="str">
            <v>A2976</v>
          </cell>
          <cell r="B1978" t="str">
            <v>Data Analytics Course</v>
          </cell>
          <cell r="C1978">
            <v>86</v>
          </cell>
          <cell r="D1978">
            <v>86</v>
          </cell>
          <cell r="E1978">
            <v>4824</v>
          </cell>
          <cell r="F1978">
            <v>4824</v>
          </cell>
          <cell r="G1978" t="str">
            <v>$231.61</v>
          </cell>
          <cell r="H1978" t="str">
            <v>$231.61</v>
          </cell>
          <cell r="I1978">
            <v>20</v>
          </cell>
          <cell r="J1978">
            <v>20</v>
          </cell>
          <cell r="K1978">
            <v>7</v>
          </cell>
          <cell r="L1978">
            <v>7</v>
          </cell>
          <cell r="M1978">
            <v>8.1395348837209308E-2</v>
          </cell>
          <cell r="O1978" t="str">
            <v>$1390</v>
          </cell>
          <cell r="P1978" t="str">
            <v>$1390</v>
          </cell>
          <cell r="Q1978">
            <v>45606</v>
          </cell>
          <cell r="R1978" t="str">
            <v>Hyderabad</v>
          </cell>
          <cell r="S1978" t="str">
            <v>Tablet</v>
          </cell>
          <cell r="T1978" t="str">
            <v>data analytics online</v>
          </cell>
        </row>
        <row r="1979">
          <cell r="A1979" t="str">
            <v>A2977</v>
          </cell>
          <cell r="B1979" t="str">
            <v>Data Analytics Course</v>
          </cell>
          <cell r="C1979">
            <v>165</v>
          </cell>
          <cell r="D1979">
            <v>165</v>
          </cell>
          <cell r="E1979">
            <v>5455</v>
          </cell>
          <cell r="F1979">
            <v>5455</v>
          </cell>
          <cell r="G1979" t="str">
            <v>$191.75</v>
          </cell>
          <cell r="H1979" t="str">
            <v>$191.75</v>
          </cell>
          <cell r="I1979">
            <v>30</v>
          </cell>
          <cell r="J1979">
            <v>30</v>
          </cell>
          <cell r="K1979">
            <v>5</v>
          </cell>
          <cell r="L1979">
            <v>5</v>
          </cell>
          <cell r="M1979">
            <v>3.0303030303030304E-2</v>
          </cell>
          <cell r="N1979">
            <v>0.03</v>
          </cell>
          <cell r="O1979" t="str">
            <v>$1145</v>
          </cell>
          <cell r="P1979" t="str">
            <v>$1145</v>
          </cell>
          <cell r="Q1979">
            <v>45598</v>
          </cell>
          <cell r="R1979" t="str">
            <v>Hyderabad</v>
          </cell>
          <cell r="S1979" t="str">
            <v>Desktop</v>
          </cell>
          <cell r="T1979" t="str">
            <v>data analytics training</v>
          </cell>
        </row>
        <row r="1980">
          <cell r="A1980" t="str">
            <v>A2978</v>
          </cell>
          <cell r="B1980" t="str">
            <v>Data Analytics Course</v>
          </cell>
          <cell r="C1980">
            <v>145</v>
          </cell>
          <cell r="D1980">
            <v>145</v>
          </cell>
          <cell r="E1980">
            <v>3779</v>
          </cell>
          <cell r="F1980">
            <v>3779</v>
          </cell>
          <cell r="G1980" t="str">
            <v>$182.65</v>
          </cell>
          <cell r="H1980" t="str">
            <v>$182.65</v>
          </cell>
          <cell r="I1980">
            <v>27</v>
          </cell>
          <cell r="J1980">
            <v>27</v>
          </cell>
          <cell r="K1980">
            <v>4</v>
          </cell>
          <cell r="L1980">
            <v>4</v>
          </cell>
          <cell r="M1980">
            <v>2.7586206896551724E-2</v>
          </cell>
          <cell r="O1980" t="str">
            <v>$1364</v>
          </cell>
          <cell r="P1980" t="str">
            <v>$1364</v>
          </cell>
          <cell r="Q1980">
            <v>45620</v>
          </cell>
          <cell r="R1980" t="str">
            <v>Hyderabad</v>
          </cell>
          <cell r="S1980" t="str">
            <v>Tablet</v>
          </cell>
          <cell r="T1980" t="str">
            <v>analytics for data</v>
          </cell>
        </row>
        <row r="1981">
          <cell r="A1981" t="str">
            <v>A2979</v>
          </cell>
          <cell r="B1981" t="str">
            <v>Data Analytics Course</v>
          </cell>
          <cell r="C1981">
            <v>99</v>
          </cell>
          <cell r="D1981">
            <v>99</v>
          </cell>
          <cell r="E1981">
            <v>5981</v>
          </cell>
          <cell r="F1981">
            <v>5981</v>
          </cell>
          <cell r="G1981" t="str">
            <v>$243.89</v>
          </cell>
          <cell r="H1981" t="str">
            <v>$243.89</v>
          </cell>
          <cell r="I1981">
            <v>16</v>
          </cell>
          <cell r="J1981">
            <v>16</v>
          </cell>
          <cell r="K1981">
            <v>9</v>
          </cell>
          <cell r="L1981">
            <v>9</v>
          </cell>
          <cell r="M1981">
            <v>9.0909090909090912E-2</v>
          </cell>
          <cell r="N1981">
            <v>9.0999999999999998E-2</v>
          </cell>
          <cell r="O1981" t="str">
            <v>$1876</v>
          </cell>
          <cell r="P1981" t="str">
            <v>$1876</v>
          </cell>
          <cell r="Q1981">
            <v>45607</v>
          </cell>
          <cell r="R1981" t="str">
            <v>Bangaluru</v>
          </cell>
          <cell r="S1981" t="str">
            <v>Desktop</v>
          </cell>
          <cell r="T1981" t="str">
            <v>data analytics online</v>
          </cell>
        </row>
        <row r="1982">
          <cell r="A1982" t="str">
            <v>A2980</v>
          </cell>
          <cell r="B1982" t="str">
            <v>Data Analytcis Course</v>
          </cell>
          <cell r="C1982">
            <v>138.95699356913184</v>
          </cell>
          <cell r="E1982">
            <v>5954</v>
          </cell>
          <cell r="F1982">
            <v>5954</v>
          </cell>
          <cell r="G1982" t="str">
            <v>$216.02</v>
          </cell>
          <cell r="H1982" t="str">
            <v>$216.02</v>
          </cell>
          <cell r="I1982">
            <v>27</v>
          </cell>
          <cell r="J1982">
            <v>27</v>
          </cell>
          <cell r="K1982">
            <v>10</v>
          </cell>
          <cell r="L1982">
            <v>10</v>
          </cell>
          <cell r="M1982">
            <v>7.1964711837443046E-2</v>
          </cell>
          <cell r="O1982" t="str">
            <v>$1880</v>
          </cell>
          <cell r="P1982" t="str">
            <v>$1880</v>
          </cell>
          <cell r="Q1982">
            <v>45624</v>
          </cell>
          <cell r="R1982" t="str">
            <v>Chennai</v>
          </cell>
          <cell r="S1982" t="str">
            <v>Desktop</v>
          </cell>
          <cell r="T1982" t="str">
            <v>data analytics training</v>
          </cell>
        </row>
        <row r="1983">
          <cell r="A1983" t="str">
            <v>A2981</v>
          </cell>
          <cell r="B1983" t="str">
            <v>Data Analytics Course</v>
          </cell>
          <cell r="C1983">
            <v>139</v>
          </cell>
          <cell r="D1983">
            <v>139</v>
          </cell>
          <cell r="E1983">
            <v>5055</v>
          </cell>
          <cell r="F1983">
            <v>5055</v>
          </cell>
          <cell r="G1983" t="str">
            <v>$200.00</v>
          </cell>
          <cell r="I1983">
            <v>19</v>
          </cell>
          <cell r="J1983">
            <v>19</v>
          </cell>
          <cell r="K1983">
            <v>8</v>
          </cell>
          <cell r="L1983">
            <v>8</v>
          </cell>
          <cell r="M1983">
            <v>5.7553956834532377E-2</v>
          </cell>
          <cell r="N1983">
            <v>5.8000000000000003E-2</v>
          </cell>
          <cell r="O1983" t="str">
            <v>$1696</v>
          </cell>
          <cell r="P1983" t="str">
            <v>$1696</v>
          </cell>
          <cell r="Q1983">
            <v>45625</v>
          </cell>
          <cell r="R1983" t="str">
            <v>Hyderabad</v>
          </cell>
          <cell r="S1983" t="str">
            <v>Tablet</v>
          </cell>
          <cell r="T1983" t="str">
            <v>online data analytic</v>
          </cell>
        </row>
        <row r="1984">
          <cell r="A1984" t="str">
            <v>A2982</v>
          </cell>
          <cell r="B1984" t="str">
            <v>Data Analytics Course</v>
          </cell>
          <cell r="C1984">
            <v>153</v>
          </cell>
          <cell r="D1984">
            <v>153</v>
          </cell>
          <cell r="E1984">
            <v>4524</v>
          </cell>
          <cell r="F1984">
            <v>4524</v>
          </cell>
          <cell r="G1984" t="str">
            <v>$224.15</v>
          </cell>
          <cell r="H1984" t="str">
            <v>$224.15</v>
          </cell>
          <cell r="I1984">
            <v>20</v>
          </cell>
          <cell r="J1984">
            <v>20</v>
          </cell>
          <cell r="K1984">
            <v>4</v>
          </cell>
          <cell r="L1984">
            <v>4</v>
          </cell>
          <cell r="M1984">
            <v>2.6143790849673203E-2</v>
          </cell>
          <cell r="N1984">
            <v>2.5999999999999999E-2</v>
          </cell>
          <cell r="O1984" t="str">
            <v>$1083</v>
          </cell>
          <cell r="P1984" t="str">
            <v>$1083</v>
          </cell>
          <cell r="Q1984">
            <v>45601</v>
          </cell>
          <cell r="R1984" t="str">
            <v>Bangaluru</v>
          </cell>
          <cell r="S1984" t="str">
            <v>Tablet</v>
          </cell>
          <cell r="T1984" t="str">
            <v>learn data analytics</v>
          </cell>
        </row>
        <row r="1985">
          <cell r="A1985" t="str">
            <v>A2983</v>
          </cell>
          <cell r="B1985" t="str">
            <v>Data Analytics Course</v>
          </cell>
          <cell r="C1985">
            <v>184</v>
          </cell>
          <cell r="D1985">
            <v>184</v>
          </cell>
          <cell r="E1985">
            <v>5903</v>
          </cell>
          <cell r="F1985">
            <v>5903</v>
          </cell>
          <cell r="G1985" t="str">
            <v>$182.5</v>
          </cell>
          <cell r="H1985" t="str">
            <v>$182.5</v>
          </cell>
          <cell r="I1985">
            <v>15</v>
          </cell>
          <cell r="J1985">
            <v>15</v>
          </cell>
          <cell r="K1985">
            <v>10</v>
          </cell>
          <cell r="L1985">
            <v>10</v>
          </cell>
          <cell r="M1985">
            <v>5.434782608695652E-2</v>
          </cell>
          <cell r="N1985">
            <v>0.05</v>
          </cell>
          <cell r="O1985" t="str">
            <v>$1230</v>
          </cell>
          <cell r="P1985" t="str">
            <v>$1230</v>
          </cell>
          <cell r="Q1985">
            <v>45621</v>
          </cell>
          <cell r="R1985" t="str">
            <v>Hyderabad</v>
          </cell>
          <cell r="S1985" t="str">
            <v>Mobile</v>
          </cell>
          <cell r="T1985" t="str">
            <v>learn data analytics</v>
          </cell>
        </row>
        <row r="1986">
          <cell r="A1986" t="str">
            <v>A2984</v>
          </cell>
          <cell r="B1986" t="str">
            <v>Data Analytics Course</v>
          </cell>
          <cell r="C1986">
            <v>119</v>
          </cell>
          <cell r="D1986">
            <v>119</v>
          </cell>
          <cell r="E1986">
            <v>5050</v>
          </cell>
          <cell r="F1986">
            <v>5050</v>
          </cell>
          <cell r="G1986" t="str">
            <v>$180.57</v>
          </cell>
          <cell r="H1986" t="str">
            <v>$180.57</v>
          </cell>
          <cell r="I1986">
            <v>12</v>
          </cell>
          <cell r="J1986">
            <v>12</v>
          </cell>
          <cell r="K1986">
            <v>8</v>
          </cell>
          <cell r="L1986">
            <v>8</v>
          </cell>
          <cell r="M1986">
            <v>6.7226890756302518E-2</v>
          </cell>
          <cell r="N1986">
            <v>6.7000000000000004E-2</v>
          </cell>
          <cell r="O1986" t="str">
            <v>$1243</v>
          </cell>
          <cell r="P1986" t="str">
            <v>$1243</v>
          </cell>
          <cell r="Q1986">
            <v>45600</v>
          </cell>
          <cell r="R1986" t="str">
            <v>Hyderabad</v>
          </cell>
          <cell r="S1986" t="str">
            <v>Mobile</v>
          </cell>
          <cell r="T1986" t="str">
            <v>analytics for data</v>
          </cell>
        </row>
        <row r="1987">
          <cell r="A1987" t="str">
            <v>A2985</v>
          </cell>
          <cell r="B1987" t="str">
            <v>Data Analytics Course</v>
          </cell>
          <cell r="C1987">
            <v>109</v>
          </cell>
          <cell r="D1987">
            <v>109</v>
          </cell>
          <cell r="E1987">
            <v>4816</v>
          </cell>
          <cell r="F1987">
            <v>4816</v>
          </cell>
          <cell r="G1987" t="str">
            <v>$182.9</v>
          </cell>
          <cell r="H1987" t="str">
            <v>$182.9</v>
          </cell>
          <cell r="I1987">
            <v>27</v>
          </cell>
          <cell r="J1987">
            <v>27</v>
          </cell>
          <cell r="K1987">
            <v>8</v>
          </cell>
          <cell r="L1987">
            <v>8</v>
          </cell>
          <cell r="M1987">
            <v>7.3394495412844041E-2</v>
          </cell>
          <cell r="O1987" t="str">
            <v>$1123</v>
          </cell>
          <cell r="P1987" t="str">
            <v>$1123</v>
          </cell>
          <cell r="Q1987">
            <v>45617</v>
          </cell>
          <cell r="R1987" t="str">
            <v>Bangaluru</v>
          </cell>
          <cell r="S1987" t="str">
            <v>Desktop</v>
          </cell>
          <cell r="T1987" t="str">
            <v>data analytics training</v>
          </cell>
        </row>
        <row r="1988">
          <cell r="A1988" t="str">
            <v>A2986</v>
          </cell>
          <cell r="B1988" t="str">
            <v>Data Analytics Course</v>
          </cell>
          <cell r="C1988">
            <v>168</v>
          </cell>
          <cell r="D1988">
            <v>168</v>
          </cell>
          <cell r="E1988">
            <v>4070</v>
          </cell>
          <cell r="F1988">
            <v>4070</v>
          </cell>
          <cell r="G1988" t="str">
            <v>$222.99</v>
          </cell>
          <cell r="H1988" t="str">
            <v>$222.99</v>
          </cell>
          <cell r="I1988">
            <v>29</v>
          </cell>
          <cell r="J1988">
            <v>29</v>
          </cell>
          <cell r="K1988">
            <v>7</v>
          </cell>
          <cell r="L1988">
            <v>7</v>
          </cell>
          <cell r="M1988">
            <v>4.1666666666666664E-2</v>
          </cell>
          <cell r="N1988">
            <v>4.5999999999999999E-2</v>
          </cell>
          <cell r="O1988" t="str">
            <v>$1733</v>
          </cell>
          <cell r="P1988" t="str">
            <v>$1733</v>
          </cell>
          <cell r="Q1988">
            <v>45608</v>
          </cell>
          <cell r="R1988" t="str">
            <v>Chennai</v>
          </cell>
          <cell r="S1988" t="str">
            <v>Mobile</v>
          </cell>
          <cell r="T1988" t="str">
            <v>data analytics training</v>
          </cell>
        </row>
        <row r="1989">
          <cell r="A1989" t="str">
            <v>A2987</v>
          </cell>
          <cell r="B1989" t="str">
            <v>Data Analytcis Course</v>
          </cell>
          <cell r="C1989">
            <v>138.95699356913184</v>
          </cell>
          <cell r="E1989">
            <v>5827</v>
          </cell>
          <cell r="F1989">
            <v>5827</v>
          </cell>
          <cell r="G1989" t="str">
            <v>$190.93</v>
          </cell>
          <cell r="H1989" t="str">
            <v>$190.93</v>
          </cell>
          <cell r="I1989">
            <v>14</v>
          </cell>
          <cell r="J1989">
            <v>14</v>
          </cell>
          <cell r="K1989">
            <v>3</v>
          </cell>
          <cell r="L1989">
            <v>3</v>
          </cell>
          <cell r="M1989">
            <v>2.1589413551232915E-2</v>
          </cell>
          <cell r="O1989" t="str">
            <v>$1731</v>
          </cell>
          <cell r="P1989" t="str">
            <v>$1731</v>
          </cell>
          <cell r="Q1989">
            <v>45626</v>
          </cell>
          <cell r="R1989" t="str">
            <v>Hyderabad</v>
          </cell>
          <cell r="S1989" t="str">
            <v>Desktop</v>
          </cell>
          <cell r="T1989" t="str">
            <v>data analytics course</v>
          </cell>
        </row>
        <row r="1990">
          <cell r="A1990" t="str">
            <v>A2988</v>
          </cell>
          <cell r="B1990" t="str">
            <v>Data Analytics Course</v>
          </cell>
          <cell r="C1990">
            <v>82</v>
          </cell>
          <cell r="D1990">
            <v>82</v>
          </cell>
          <cell r="E1990">
            <v>4922</v>
          </cell>
          <cell r="F1990">
            <v>4922</v>
          </cell>
          <cell r="G1990" t="str">
            <v>$234.82</v>
          </cell>
          <cell r="H1990" t="str">
            <v>$234.82</v>
          </cell>
          <cell r="I1990">
            <v>27</v>
          </cell>
          <cell r="J1990">
            <v>27</v>
          </cell>
          <cell r="K1990">
            <v>10</v>
          </cell>
          <cell r="L1990">
            <v>10</v>
          </cell>
          <cell r="M1990">
            <v>0.12195121951219512</v>
          </cell>
          <cell r="N1990">
            <v>3.3000000000000002E-2</v>
          </cell>
          <cell r="O1990" t="str">
            <v>$1556</v>
          </cell>
          <cell r="P1990" t="str">
            <v>$1556</v>
          </cell>
          <cell r="Q1990">
            <v>45613</v>
          </cell>
          <cell r="R1990" t="str">
            <v>Hyderabad</v>
          </cell>
          <cell r="S1990" t="str">
            <v>Desktop</v>
          </cell>
          <cell r="T1990" t="str">
            <v>data analytics training</v>
          </cell>
        </row>
        <row r="1991">
          <cell r="A1991" t="str">
            <v>A2989</v>
          </cell>
          <cell r="B1991" t="str">
            <v>Data Analytics Course</v>
          </cell>
          <cell r="C1991">
            <v>112</v>
          </cell>
          <cell r="D1991">
            <v>112</v>
          </cell>
          <cell r="E1991">
            <v>4277</v>
          </cell>
          <cell r="F1991">
            <v>4277</v>
          </cell>
          <cell r="G1991" t="str">
            <v>$249.65</v>
          </cell>
          <cell r="H1991" t="str">
            <v>$249.65</v>
          </cell>
          <cell r="I1991">
            <v>27</v>
          </cell>
          <cell r="J1991">
            <v>27</v>
          </cell>
          <cell r="K1991">
            <v>3</v>
          </cell>
          <cell r="L1991">
            <v>3</v>
          </cell>
          <cell r="M1991">
            <v>2.6785714285714284E-2</v>
          </cell>
          <cell r="O1991" t="str">
            <v>$1953</v>
          </cell>
          <cell r="P1991" t="str">
            <v>$1953</v>
          </cell>
          <cell r="Q1991">
            <v>45622</v>
          </cell>
          <cell r="R1991" t="str">
            <v>Hyderabad</v>
          </cell>
          <cell r="S1991" t="str">
            <v>Tablet</v>
          </cell>
          <cell r="T1991" t="str">
            <v>data analytics online</v>
          </cell>
        </row>
        <row r="1992">
          <cell r="A1992" t="str">
            <v>A2990</v>
          </cell>
          <cell r="B1992" t="str">
            <v>Data Analytics Course</v>
          </cell>
          <cell r="C1992">
            <v>99</v>
          </cell>
          <cell r="D1992">
            <v>99</v>
          </cell>
          <cell r="E1992">
            <v>3418</v>
          </cell>
          <cell r="F1992">
            <v>3418</v>
          </cell>
          <cell r="G1992" t="str">
            <v>$195.91</v>
          </cell>
          <cell r="H1992" t="str">
            <v>$195.91</v>
          </cell>
          <cell r="I1992">
            <v>19</v>
          </cell>
          <cell r="J1992">
            <v>19</v>
          </cell>
          <cell r="K1992">
            <v>10</v>
          </cell>
          <cell r="L1992">
            <v>10</v>
          </cell>
          <cell r="M1992">
            <v>0.10101010101010101</v>
          </cell>
          <cell r="N1992">
            <v>0.10100000000000001</v>
          </cell>
          <cell r="O1992" t="str">
            <v>$1242</v>
          </cell>
          <cell r="P1992" t="str">
            <v>$1242</v>
          </cell>
          <cell r="Q1992">
            <v>45600</v>
          </cell>
          <cell r="R1992" t="str">
            <v>Chennai</v>
          </cell>
          <cell r="S1992" t="str">
            <v>Desktop</v>
          </cell>
          <cell r="T1992" t="str">
            <v>data analytics training</v>
          </cell>
        </row>
        <row r="1993">
          <cell r="A1993" t="str">
            <v>A2991</v>
          </cell>
          <cell r="B1993" t="str">
            <v>Data Analytics Course</v>
          </cell>
          <cell r="C1993">
            <v>89</v>
          </cell>
          <cell r="D1993">
            <v>89</v>
          </cell>
          <cell r="E1993">
            <v>3363</v>
          </cell>
          <cell r="F1993">
            <v>3363</v>
          </cell>
          <cell r="G1993" t="str">
            <v>$220.07</v>
          </cell>
          <cell r="H1993" t="str">
            <v>$220.07</v>
          </cell>
          <cell r="I1993">
            <v>26</v>
          </cell>
          <cell r="J1993">
            <v>26</v>
          </cell>
          <cell r="K1993">
            <v>6.4863013698630141</v>
          </cell>
          <cell r="M1993">
            <v>7.2879790672618142E-2</v>
          </cell>
          <cell r="O1993" t="str">
            <v>$1939</v>
          </cell>
          <cell r="P1993" t="str">
            <v>$1939</v>
          </cell>
          <cell r="Q1993">
            <v>45605</v>
          </cell>
          <cell r="R1993" t="str">
            <v>Chennai</v>
          </cell>
          <cell r="S1993" t="str">
            <v>Desktop</v>
          </cell>
          <cell r="T1993" t="str">
            <v>data analytics course</v>
          </cell>
        </row>
        <row r="1994">
          <cell r="A1994" t="str">
            <v>A2992</v>
          </cell>
          <cell r="B1994" t="str">
            <v>Data Analytcis Course</v>
          </cell>
          <cell r="C1994">
            <v>154</v>
          </cell>
          <cell r="D1994">
            <v>154</v>
          </cell>
          <cell r="E1994">
            <v>4828</v>
          </cell>
          <cell r="F1994">
            <v>4828</v>
          </cell>
          <cell r="G1994" t="str">
            <v>$233.39</v>
          </cell>
          <cell r="H1994" t="str">
            <v>$233.39</v>
          </cell>
          <cell r="I1994">
            <v>24</v>
          </cell>
          <cell r="J1994">
            <v>24</v>
          </cell>
          <cell r="K1994">
            <v>6</v>
          </cell>
          <cell r="L1994">
            <v>6</v>
          </cell>
          <cell r="M1994">
            <v>3.896103896103896E-2</v>
          </cell>
          <cell r="O1994" t="str">
            <v>$1661</v>
          </cell>
          <cell r="P1994" t="str">
            <v>$1661</v>
          </cell>
          <cell r="Q1994">
            <v>45598</v>
          </cell>
          <cell r="R1994" t="str">
            <v>Bangaluru</v>
          </cell>
          <cell r="S1994" t="str">
            <v>Tablet</v>
          </cell>
          <cell r="T1994" t="str">
            <v>learn data analytics</v>
          </cell>
        </row>
        <row r="1995">
          <cell r="A1995" t="str">
            <v>A2993</v>
          </cell>
          <cell r="B1995" t="str">
            <v>Data Analytcis Course</v>
          </cell>
          <cell r="C1995">
            <v>155</v>
          </cell>
          <cell r="D1995">
            <v>155</v>
          </cell>
          <cell r="E1995">
            <v>4135</v>
          </cell>
          <cell r="F1995">
            <v>4135</v>
          </cell>
          <cell r="G1995" t="str">
            <v>$226.66</v>
          </cell>
          <cell r="H1995" t="str">
            <v>$226.66</v>
          </cell>
          <cell r="I1995">
            <v>26</v>
          </cell>
          <cell r="J1995">
            <v>26</v>
          </cell>
          <cell r="K1995">
            <v>7</v>
          </cell>
          <cell r="L1995">
            <v>7</v>
          </cell>
          <cell r="M1995">
            <v>4.5161290322580643E-2</v>
          </cell>
          <cell r="N1995">
            <v>5.7000000000000002E-2</v>
          </cell>
          <cell r="O1995" t="str">
            <v>$1442</v>
          </cell>
          <cell r="P1995" t="str">
            <v>$1442</v>
          </cell>
          <cell r="Q1995">
            <v>45618</v>
          </cell>
          <cell r="R1995" t="str">
            <v>Hyderabad</v>
          </cell>
          <cell r="S1995" t="str">
            <v>Tablet</v>
          </cell>
          <cell r="T1995" t="str">
            <v>analytics for data</v>
          </cell>
        </row>
        <row r="1996">
          <cell r="A1996" t="str">
            <v>A2994</v>
          </cell>
          <cell r="B1996" t="str">
            <v>Data Analytcis Course</v>
          </cell>
          <cell r="C1996">
            <v>188</v>
          </cell>
          <cell r="D1996">
            <v>188</v>
          </cell>
          <cell r="E1996">
            <v>5254</v>
          </cell>
          <cell r="F1996">
            <v>5254</v>
          </cell>
          <cell r="G1996" t="str">
            <v>$190.43</v>
          </cell>
          <cell r="H1996" t="str">
            <v>$190.43</v>
          </cell>
          <cell r="I1996">
            <v>27</v>
          </cell>
          <cell r="J1996">
            <v>27</v>
          </cell>
          <cell r="K1996">
            <v>7</v>
          </cell>
          <cell r="L1996">
            <v>7</v>
          </cell>
          <cell r="M1996">
            <v>3.7234042553191488E-2</v>
          </cell>
          <cell r="N1996">
            <v>3.6999999999999998E-2</v>
          </cell>
          <cell r="O1996" t="str">
            <v>$1821</v>
          </cell>
          <cell r="P1996" t="str">
            <v>$1821</v>
          </cell>
          <cell r="Q1996">
            <v>45612</v>
          </cell>
          <cell r="R1996" t="str">
            <v>Hyderabad</v>
          </cell>
          <cell r="S1996" t="str">
            <v>Desktop</v>
          </cell>
          <cell r="T1996" t="str">
            <v>online data analytic</v>
          </cell>
        </row>
        <row r="1997">
          <cell r="A1997" t="str">
            <v>A2995</v>
          </cell>
          <cell r="B1997" t="str">
            <v>Data Analytics Course</v>
          </cell>
          <cell r="C1997">
            <v>83</v>
          </cell>
          <cell r="D1997">
            <v>83</v>
          </cell>
          <cell r="E1997">
            <v>4439</v>
          </cell>
          <cell r="F1997">
            <v>4439</v>
          </cell>
          <cell r="G1997" t="str">
            <v>$232.13</v>
          </cell>
          <cell r="H1997" t="str">
            <v>$232.13</v>
          </cell>
          <cell r="I1997">
            <v>28</v>
          </cell>
          <cell r="J1997">
            <v>28</v>
          </cell>
          <cell r="K1997">
            <v>7</v>
          </cell>
          <cell r="L1997">
            <v>7</v>
          </cell>
          <cell r="M1997">
            <v>8.4337349397590355E-2</v>
          </cell>
          <cell r="N1997">
            <v>8.4000000000000005E-2</v>
          </cell>
          <cell r="O1997" t="str">
            <v>$1570</v>
          </cell>
          <cell r="P1997" t="str">
            <v>$1570</v>
          </cell>
          <cell r="Q1997">
            <v>45615</v>
          </cell>
          <cell r="R1997" t="str">
            <v>Hyderabad</v>
          </cell>
          <cell r="S1997" t="str">
            <v>Mobile</v>
          </cell>
          <cell r="T1997" t="str">
            <v>data analytics training</v>
          </cell>
        </row>
        <row r="1998">
          <cell r="A1998" t="str">
            <v>A2996</v>
          </cell>
          <cell r="B1998" t="str">
            <v>Data Analytcis Course</v>
          </cell>
          <cell r="C1998">
            <v>127</v>
          </cell>
          <cell r="D1998">
            <v>127</v>
          </cell>
          <cell r="E1998">
            <v>3053</v>
          </cell>
          <cell r="F1998">
            <v>3053</v>
          </cell>
          <cell r="G1998" t="str">
            <v>$183.57</v>
          </cell>
          <cell r="H1998" t="str">
            <v>$183.57</v>
          </cell>
          <cell r="I1998">
            <v>10</v>
          </cell>
          <cell r="J1998">
            <v>10</v>
          </cell>
          <cell r="K1998">
            <v>8</v>
          </cell>
          <cell r="L1998">
            <v>8</v>
          </cell>
          <cell r="M1998">
            <v>6.2992125984251968E-2</v>
          </cell>
          <cell r="N1998">
            <v>6.3E-2</v>
          </cell>
          <cell r="O1998" t="str">
            <v>$1669</v>
          </cell>
          <cell r="P1998" t="str">
            <v>$1669</v>
          </cell>
          <cell r="Q1998">
            <v>45609</v>
          </cell>
          <cell r="R1998" t="str">
            <v>Hyderabad</v>
          </cell>
          <cell r="S1998" t="str">
            <v>Tablet</v>
          </cell>
          <cell r="T1998" t="str">
            <v>data analytics course</v>
          </cell>
        </row>
        <row r="1999">
          <cell r="A1999" t="str">
            <v>A2997</v>
          </cell>
          <cell r="B1999" t="str">
            <v>Data Analytcis Course</v>
          </cell>
          <cell r="C1999">
            <v>141</v>
          </cell>
          <cell r="D1999">
            <v>141</v>
          </cell>
          <cell r="E1999">
            <v>5550</v>
          </cell>
          <cell r="F1999">
            <v>5550</v>
          </cell>
          <cell r="G1999" t="str">
            <v>$213.82</v>
          </cell>
          <cell r="H1999" t="str">
            <v>$213.82</v>
          </cell>
          <cell r="I1999">
            <v>20.35593220338983</v>
          </cell>
          <cell r="K1999">
            <v>10</v>
          </cell>
          <cell r="L1999">
            <v>10</v>
          </cell>
          <cell r="M1999">
            <v>7.0921985815602842E-2</v>
          </cell>
          <cell r="O1999" t="str">
            <v>$1545</v>
          </cell>
          <cell r="P1999" t="str">
            <v>$1545</v>
          </cell>
          <cell r="Q1999">
            <v>45611</v>
          </cell>
          <cell r="R1999" t="str">
            <v>Chennai</v>
          </cell>
          <cell r="S1999" t="str">
            <v>Tablet</v>
          </cell>
          <cell r="T1999" t="str">
            <v>data analytics online</v>
          </cell>
        </row>
        <row r="2000">
          <cell r="A2000" t="str">
            <v>A2998</v>
          </cell>
          <cell r="B2000" t="str">
            <v>Data Analytics Course</v>
          </cell>
          <cell r="C2000">
            <v>149</v>
          </cell>
          <cell r="D2000">
            <v>149</v>
          </cell>
          <cell r="E2000">
            <v>4678</v>
          </cell>
          <cell r="F2000">
            <v>4678</v>
          </cell>
          <cell r="G2000" t="str">
            <v>$241.41</v>
          </cell>
          <cell r="H2000" t="str">
            <v>$241.41</v>
          </cell>
          <cell r="I2000">
            <v>11</v>
          </cell>
          <cell r="J2000">
            <v>11</v>
          </cell>
          <cell r="K2000">
            <v>6</v>
          </cell>
          <cell r="L2000">
            <v>6</v>
          </cell>
          <cell r="M2000">
            <v>4.0268456375838924E-2</v>
          </cell>
          <cell r="O2000" t="str">
            <v>$1106</v>
          </cell>
          <cell r="P2000" t="str">
            <v>$1106</v>
          </cell>
          <cell r="Q2000">
            <v>45600</v>
          </cell>
          <cell r="R2000" t="str">
            <v>Bangaluru</v>
          </cell>
          <cell r="S2000" t="str">
            <v>Desktop</v>
          </cell>
          <cell r="T2000" t="str">
            <v>analytics for data</v>
          </cell>
        </row>
        <row r="2001">
          <cell r="A2001" t="str">
            <v>A2999</v>
          </cell>
          <cell r="B2001" t="str">
            <v>Data Analytics Course</v>
          </cell>
          <cell r="C2001">
            <v>152</v>
          </cell>
          <cell r="D2001">
            <v>152</v>
          </cell>
          <cell r="E2001">
            <v>3036</v>
          </cell>
          <cell r="F2001">
            <v>3036</v>
          </cell>
          <cell r="G2001" t="str">
            <v>$210.78</v>
          </cell>
          <cell r="H2001" t="str">
            <v>$210.78</v>
          </cell>
          <cell r="I2001">
            <v>12</v>
          </cell>
          <cell r="J2001">
            <v>12</v>
          </cell>
          <cell r="K2001">
            <v>6</v>
          </cell>
          <cell r="L2001">
            <v>6</v>
          </cell>
          <cell r="M2001">
            <v>3.9473684210526314E-2</v>
          </cell>
          <cell r="O2001" t="str">
            <v>$1074</v>
          </cell>
          <cell r="P2001" t="str">
            <v>$1074</v>
          </cell>
          <cell r="Q2001">
            <v>45606</v>
          </cell>
          <cell r="R2001" t="str">
            <v>Hyderabad</v>
          </cell>
          <cell r="S2001" t="str">
            <v>Tablet</v>
          </cell>
          <cell r="T2001" t="str">
            <v>data analytics online</v>
          </cell>
        </row>
        <row r="2002">
          <cell r="A2002" t="str">
            <v>A3000</v>
          </cell>
          <cell r="B2002" t="str">
            <v>Data Analytics Course</v>
          </cell>
          <cell r="C2002">
            <v>123</v>
          </cell>
          <cell r="D2002">
            <v>123</v>
          </cell>
          <cell r="E2002">
            <v>5050</v>
          </cell>
          <cell r="F2002">
            <v>5050</v>
          </cell>
          <cell r="G2002" t="str">
            <v>$247.93</v>
          </cell>
          <cell r="H2002" t="str">
            <v>$247.93</v>
          </cell>
          <cell r="I2002">
            <v>11</v>
          </cell>
          <cell r="J2002">
            <v>11</v>
          </cell>
          <cell r="K2002">
            <v>8</v>
          </cell>
          <cell r="L2002">
            <v>8</v>
          </cell>
          <cell r="M2002">
            <v>6.5040650406504072E-2</v>
          </cell>
          <cell r="N2002">
            <v>6.5000000000000002E-2</v>
          </cell>
          <cell r="O2002" t="str">
            <v>$1755</v>
          </cell>
          <cell r="P2002" t="str">
            <v>$1755</v>
          </cell>
          <cell r="Q2002">
            <v>45625</v>
          </cell>
          <cell r="R2002" t="str">
            <v>Bangaluru</v>
          </cell>
          <cell r="S2002" t="str">
            <v>Tablet</v>
          </cell>
          <cell r="T2002" t="str">
            <v>analytics for data</v>
          </cell>
        </row>
        <row r="2003">
          <cell r="A2003" t="str">
            <v>A3001</v>
          </cell>
          <cell r="B2003" t="str">
            <v>Data Analytics Course</v>
          </cell>
          <cell r="C2003">
            <v>137</v>
          </cell>
          <cell r="D2003">
            <v>137</v>
          </cell>
          <cell r="E2003">
            <v>5057</v>
          </cell>
          <cell r="F2003">
            <v>5057</v>
          </cell>
          <cell r="G2003" t="str">
            <v>$194.11</v>
          </cell>
          <cell r="H2003" t="str">
            <v>$194.11</v>
          </cell>
          <cell r="I2003">
            <v>11</v>
          </cell>
          <cell r="J2003">
            <v>11</v>
          </cell>
          <cell r="K2003">
            <v>6</v>
          </cell>
          <cell r="L2003">
            <v>6</v>
          </cell>
          <cell r="M2003">
            <v>4.3795620437956206E-2</v>
          </cell>
          <cell r="N2003">
            <v>4.3999999999999997E-2</v>
          </cell>
          <cell r="O2003" t="str">
            <v>$1206</v>
          </cell>
          <cell r="P2003" t="str">
            <v>$1206</v>
          </cell>
          <cell r="Q2003">
            <v>45605</v>
          </cell>
          <cell r="R2003" t="str">
            <v>Chennai</v>
          </cell>
          <cell r="S2003" t="str">
            <v>Desktop</v>
          </cell>
          <cell r="T2003" t="str">
            <v>data analytics course</v>
          </cell>
        </row>
        <row r="2004">
          <cell r="A2004" t="str">
            <v>A3002</v>
          </cell>
          <cell r="B2004" t="str">
            <v>Data Analytics Course</v>
          </cell>
          <cell r="C2004">
            <v>93</v>
          </cell>
          <cell r="D2004">
            <v>93</v>
          </cell>
          <cell r="E2004">
            <v>5346</v>
          </cell>
          <cell r="F2004">
            <v>5346</v>
          </cell>
          <cell r="G2004" t="str">
            <v>$197.78</v>
          </cell>
          <cell r="H2004" t="str">
            <v>$197.78</v>
          </cell>
          <cell r="I2004">
            <v>15</v>
          </cell>
          <cell r="J2004">
            <v>15</v>
          </cell>
          <cell r="K2004">
            <v>8</v>
          </cell>
          <cell r="L2004">
            <v>8</v>
          </cell>
          <cell r="M2004">
            <v>8.6021505376344093E-2</v>
          </cell>
          <cell r="N2004">
            <v>8.5999999999999993E-2</v>
          </cell>
          <cell r="O2004" t="str">
            <v>$1036</v>
          </cell>
          <cell r="P2004" t="str">
            <v>$1036</v>
          </cell>
          <cell r="Q2004">
            <v>45611</v>
          </cell>
          <cell r="R2004" t="str">
            <v>Chennai</v>
          </cell>
          <cell r="S2004" t="str">
            <v>Tablet</v>
          </cell>
          <cell r="T2004" t="str">
            <v>data analytics online</v>
          </cell>
        </row>
        <row r="2005">
          <cell r="A2005" t="str">
            <v>A3003</v>
          </cell>
          <cell r="B2005" t="str">
            <v>Data Analytics Course</v>
          </cell>
          <cell r="C2005">
            <v>150</v>
          </cell>
          <cell r="D2005">
            <v>150</v>
          </cell>
          <cell r="E2005">
            <v>5580</v>
          </cell>
          <cell r="F2005">
            <v>5580</v>
          </cell>
          <cell r="G2005" t="str">
            <v>$204.73</v>
          </cell>
          <cell r="H2005" t="str">
            <v>$204.73</v>
          </cell>
          <cell r="I2005">
            <v>24</v>
          </cell>
          <cell r="J2005">
            <v>24</v>
          </cell>
          <cell r="K2005">
            <v>10</v>
          </cell>
          <cell r="L2005">
            <v>10</v>
          </cell>
          <cell r="M2005">
            <v>6.6666666666666666E-2</v>
          </cell>
          <cell r="N2005">
            <v>6.7000000000000004E-2</v>
          </cell>
          <cell r="O2005" t="str">
            <v>$1500</v>
          </cell>
          <cell r="Q2005">
            <v>45613</v>
          </cell>
          <cell r="R2005" t="str">
            <v>Hyderabad</v>
          </cell>
          <cell r="S2005" t="str">
            <v>Tablet</v>
          </cell>
          <cell r="T2005" t="str">
            <v>data analytics course</v>
          </cell>
        </row>
        <row r="2006">
          <cell r="A2006" t="str">
            <v>A3004</v>
          </cell>
          <cell r="B2006" t="str">
            <v>Data Analytics Course</v>
          </cell>
          <cell r="C2006">
            <v>122</v>
          </cell>
          <cell r="D2006">
            <v>122</v>
          </cell>
          <cell r="E2006">
            <v>3351</v>
          </cell>
          <cell r="F2006">
            <v>3351</v>
          </cell>
          <cell r="G2006" t="str">
            <v>$196.49</v>
          </cell>
          <cell r="H2006" t="str">
            <v>$196.49</v>
          </cell>
          <cell r="I2006">
            <v>13</v>
          </cell>
          <cell r="J2006">
            <v>13</v>
          </cell>
          <cell r="K2006">
            <v>3</v>
          </cell>
          <cell r="L2006">
            <v>3</v>
          </cell>
          <cell r="M2006">
            <v>2.4590163934426229E-2</v>
          </cell>
          <cell r="N2006">
            <v>2.5000000000000001E-2</v>
          </cell>
          <cell r="O2006" t="str">
            <v>$1362</v>
          </cell>
          <cell r="P2006" t="str">
            <v>$1362</v>
          </cell>
          <cell r="Q2006">
            <v>45626</v>
          </cell>
          <cell r="R2006" t="str">
            <v>Hyderabad</v>
          </cell>
          <cell r="S2006" t="str">
            <v>Desktop</v>
          </cell>
          <cell r="T2006" t="str">
            <v>data analytics course</v>
          </cell>
        </row>
        <row r="2007">
          <cell r="A2007" t="str">
            <v>A3005</v>
          </cell>
          <cell r="B2007" t="str">
            <v>Data Analytics Course</v>
          </cell>
          <cell r="C2007">
            <v>168</v>
          </cell>
          <cell r="D2007">
            <v>168</v>
          </cell>
          <cell r="E2007">
            <v>3128</v>
          </cell>
          <cell r="F2007">
            <v>3128</v>
          </cell>
          <cell r="G2007" t="str">
            <v>$184.27</v>
          </cell>
          <cell r="H2007" t="str">
            <v>$184.27</v>
          </cell>
          <cell r="I2007">
            <v>30</v>
          </cell>
          <cell r="J2007">
            <v>30</v>
          </cell>
          <cell r="K2007">
            <v>7</v>
          </cell>
          <cell r="L2007">
            <v>7</v>
          </cell>
          <cell r="M2007">
            <v>4.1666666666666664E-2</v>
          </cell>
          <cell r="O2007" t="str">
            <v>$1957</v>
          </cell>
          <cell r="P2007" t="str">
            <v>$1957</v>
          </cell>
          <cell r="Q2007">
            <v>45597</v>
          </cell>
          <cell r="R2007" t="str">
            <v>Hyderabad</v>
          </cell>
          <cell r="S2007" t="str">
            <v>Tablet</v>
          </cell>
          <cell r="T2007" t="str">
            <v>data analytics course</v>
          </cell>
        </row>
        <row r="2008">
          <cell r="A2008" t="str">
            <v>A3006</v>
          </cell>
          <cell r="B2008" t="str">
            <v>Data Analytcis Course</v>
          </cell>
          <cell r="C2008">
            <v>113</v>
          </cell>
          <cell r="D2008">
            <v>113</v>
          </cell>
          <cell r="E2008">
            <v>4523.2808326787117</v>
          </cell>
          <cell r="G2008" t="str">
            <v>$200.00</v>
          </cell>
          <cell r="I2008">
            <v>26</v>
          </cell>
          <cell r="J2008">
            <v>26</v>
          </cell>
          <cell r="K2008">
            <v>8</v>
          </cell>
          <cell r="L2008">
            <v>8</v>
          </cell>
          <cell r="M2008">
            <v>7.0796460176991149E-2</v>
          </cell>
          <cell r="N2008">
            <v>7.0999999999999994E-2</v>
          </cell>
          <cell r="O2008" t="str">
            <v>$1285</v>
          </cell>
          <cell r="P2008" t="str">
            <v>$1285</v>
          </cell>
          <cell r="Q2008">
            <v>45608</v>
          </cell>
          <cell r="R2008" t="str">
            <v>Bangaluru</v>
          </cell>
          <cell r="S2008" t="str">
            <v>Mobile</v>
          </cell>
          <cell r="T2008" t="str">
            <v>data analytics course</v>
          </cell>
        </row>
        <row r="2009">
          <cell r="A2009" t="str">
            <v>A3007</v>
          </cell>
          <cell r="B2009" t="str">
            <v>Data Analytics Course</v>
          </cell>
          <cell r="C2009">
            <v>124</v>
          </cell>
          <cell r="D2009">
            <v>124</v>
          </cell>
          <cell r="E2009">
            <v>5402</v>
          </cell>
          <cell r="F2009">
            <v>5402</v>
          </cell>
          <cell r="G2009" t="str">
            <v>$222.16</v>
          </cell>
          <cell r="H2009" t="str">
            <v>$222.16</v>
          </cell>
          <cell r="I2009">
            <v>21</v>
          </cell>
          <cell r="J2009">
            <v>21</v>
          </cell>
          <cell r="K2009">
            <v>7</v>
          </cell>
          <cell r="L2009">
            <v>7</v>
          </cell>
          <cell r="M2009">
            <v>5.6451612903225805E-2</v>
          </cell>
          <cell r="N2009">
            <v>5.8999999999999997E-2</v>
          </cell>
          <cell r="O2009" t="str">
            <v>$1091</v>
          </cell>
          <cell r="P2009" t="str">
            <v>$1091</v>
          </cell>
          <cell r="Q2009">
            <v>45623</v>
          </cell>
          <cell r="R2009" t="str">
            <v>Hyderabad</v>
          </cell>
          <cell r="S2009" t="str">
            <v>Desktop</v>
          </cell>
          <cell r="T2009" t="str">
            <v>data analytics training</v>
          </cell>
        </row>
        <row r="2010">
          <cell r="A2010" t="str">
            <v>A3008</v>
          </cell>
          <cell r="B2010" t="str">
            <v>Data Analytics Course</v>
          </cell>
          <cell r="C2010">
            <v>95</v>
          </cell>
          <cell r="D2010">
            <v>95</v>
          </cell>
          <cell r="E2010">
            <v>4653</v>
          </cell>
          <cell r="F2010">
            <v>4653</v>
          </cell>
          <cell r="G2010" t="str">
            <v>$193.63</v>
          </cell>
          <cell r="H2010" t="str">
            <v>$193.63</v>
          </cell>
          <cell r="I2010">
            <v>17</v>
          </cell>
          <cell r="J2010">
            <v>17</v>
          </cell>
          <cell r="K2010">
            <v>4</v>
          </cell>
          <cell r="L2010">
            <v>4</v>
          </cell>
          <cell r="M2010">
            <v>4.2105263157894736E-2</v>
          </cell>
          <cell r="N2010">
            <v>4.2000000000000003E-2</v>
          </cell>
          <cell r="O2010" t="str">
            <v>$1688</v>
          </cell>
          <cell r="P2010" t="str">
            <v>$1688</v>
          </cell>
          <cell r="Q2010">
            <v>45623</v>
          </cell>
          <cell r="R2010" t="str">
            <v>Chennai</v>
          </cell>
          <cell r="S2010" t="str">
            <v>Desktop</v>
          </cell>
          <cell r="T2010" t="str">
            <v>data analytics course</v>
          </cell>
        </row>
        <row r="2011">
          <cell r="A2011" t="str">
            <v>A3009</v>
          </cell>
          <cell r="B2011" t="str">
            <v>Data Analytics Course</v>
          </cell>
          <cell r="C2011">
            <v>185</v>
          </cell>
          <cell r="D2011">
            <v>185</v>
          </cell>
          <cell r="E2011">
            <v>4599</v>
          </cell>
          <cell r="F2011">
            <v>4599</v>
          </cell>
          <cell r="G2011" t="str">
            <v>$248.28</v>
          </cell>
          <cell r="H2011" t="str">
            <v>$248.28</v>
          </cell>
          <cell r="I2011">
            <v>15</v>
          </cell>
          <cell r="J2011">
            <v>15</v>
          </cell>
          <cell r="K2011">
            <v>5</v>
          </cell>
          <cell r="L2011">
            <v>5</v>
          </cell>
          <cell r="M2011">
            <v>2.7027027027027029E-2</v>
          </cell>
          <cell r="N2011">
            <v>2.7E-2</v>
          </cell>
          <cell r="O2011" t="str">
            <v>$1673</v>
          </cell>
          <cell r="P2011" t="str">
            <v>$1673</v>
          </cell>
          <cell r="Q2011">
            <v>45602</v>
          </cell>
          <cell r="R2011" t="str">
            <v>Bangaluru</v>
          </cell>
          <cell r="S2011" t="str">
            <v>Desktop</v>
          </cell>
          <cell r="T2011" t="str">
            <v>data analytics online</v>
          </cell>
        </row>
        <row r="2012">
          <cell r="A2012" t="str">
            <v>A3010</v>
          </cell>
          <cell r="B2012" t="str">
            <v>Data Analytics Course</v>
          </cell>
          <cell r="C2012">
            <v>144</v>
          </cell>
          <cell r="D2012">
            <v>144</v>
          </cell>
          <cell r="E2012">
            <v>3120</v>
          </cell>
          <cell r="F2012">
            <v>3120</v>
          </cell>
          <cell r="G2012" t="str">
            <v>$221.66</v>
          </cell>
          <cell r="H2012" t="str">
            <v>$221.66</v>
          </cell>
          <cell r="I2012">
            <v>24</v>
          </cell>
          <cell r="J2012">
            <v>24</v>
          </cell>
          <cell r="K2012">
            <v>6.4752650176678443</v>
          </cell>
          <cell r="M2012">
            <v>4.4967118178248916E-2</v>
          </cell>
          <cell r="O2012" t="str">
            <v>$1061</v>
          </cell>
          <cell r="P2012" t="str">
            <v>$1061</v>
          </cell>
          <cell r="Q2012">
            <v>45609</v>
          </cell>
          <cell r="R2012" t="str">
            <v>Hyderabad</v>
          </cell>
          <cell r="S2012" t="str">
            <v>Mobile</v>
          </cell>
          <cell r="T2012" t="str">
            <v>data analytics training</v>
          </cell>
        </row>
        <row r="2013">
          <cell r="A2013" t="str">
            <v>A3011</v>
          </cell>
          <cell r="B2013" t="str">
            <v>Data Analytcis Course</v>
          </cell>
          <cell r="C2013">
            <v>175</v>
          </cell>
          <cell r="D2013">
            <v>175</v>
          </cell>
          <cell r="E2013">
            <v>3521</v>
          </cell>
          <cell r="F2013">
            <v>3521</v>
          </cell>
          <cell r="G2013" t="str">
            <v>$210.11</v>
          </cell>
          <cell r="H2013" t="str">
            <v>$210.11</v>
          </cell>
          <cell r="I2013">
            <v>14</v>
          </cell>
          <cell r="J2013">
            <v>14</v>
          </cell>
          <cell r="K2013">
            <v>9</v>
          </cell>
          <cell r="L2013">
            <v>9</v>
          </cell>
          <cell r="M2013">
            <v>5.1428571428571428E-2</v>
          </cell>
          <cell r="N2013">
            <v>5.0999999999999997E-2</v>
          </cell>
          <cell r="O2013" t="str">
            <v>$1140</v>
          </cell>
          <cell r="P2013" t="str">
            <v>$1140</v>
          </cell>
          <cell r="Q2013">
            <v>45624</v>
          </cell>
          <cell r="R2013" t="str">
            <v>Bangaluru</v>
          </cell>
          <cell r="S2013" t="str">
            <v>Mobile</v>
          </cell>
          <cell r="T2013" t="str">
            <v>analytics for data</v>
          </cell>
        </row>
        <row r="2014">
          <cell r="A2014" t="str">
            <v>A3012</v>
          </cell>
          <cell r="B2014" t="str">
            <v>Data Analytics Course</v>
          </cell>
          <cell r="C2014">
            <v>88</v>
          </cell>
          <cell r="D2014">
            <v>88</v>
          </cell>
          <cell r="E2014">
            <v>5823</v>
          </cell>
          <cell r="F2014">
            <v>5823</v>
          </cell>
          <cell r="G2014" t="str">
            <v>$246.67</v>
          </cell>
          <cell r="H2014" t="str">
            <v>$246.67</v>
          </cell>
          <cell r="I2014">
            <v>12</v>
          </cell>
          <cell r="J2014">
            <v>12</v>
          </cell>
          <cell r="K2014">
            <v>9</v>
          </cell>
          <cell r="L2014">
            <v>9</v>
          </cell>
          <cell r="M2014">
            <v>0.10227272727272728</v>
          </cell>
          <cell r="N2014">
            <v>0.10199999999999999</v>
          </cell>
          <cell r="O2014" t="str">
            <v>$1514</v>
          </cell>
          <cell r="P2014" t="str">
            <v>$1514</v>
          </cell>
          <cell r="Q2014">
            <v>45597</v>
          </cell>
          <cell r="R2014" t="str">
            <v>Bangaluru</v>
          </cell>
          <cell r="S2014" t="str">
            <v>Mobile</v>
          </cell>
          <cell r="T2014" t="str">
            <v>data analytics course</v>
          </cell>
        </row>
        <row r="2015">
          <cell r="A2015" t="str">
            <v>A3013</v>
          </cell>
          <cell r="B2015" t="str">
            <v>Data Analytcis Course</v>
          </cell>
          <cell r="C2015">
            <v>90</v>
          </cell>
          <cell r="D2015">
            <v>90</v>
          </cell>
          <cell r="E2015">
            <v>5569</v>
          </cell>
          <cell r="F2015">
            <v>5569</v>
          </cell>
          <cell r="G2015" t="str">
            <v>$196.6</v>
          </cell>
          <cell r="H2015" t="str">
            <v>$196.6</v>
          </cell>
          <cell r="I2015">
            <v>27</v>
          </cell>
          <cell r="J2015">
            <v>27</v>
          </cell>
          <cell r="K2015">
            <v>4</v>
          </cell>
          <cell r="L2015">
            <v>4</v>
          </cell>
          <cell r="M2015">
            <v>4.4444444444444446E-2</v>
          </cell>
          <cell r="N2015">
            <v>5.2999999999999999E-2</v>
          </cell>
          <cell r="O2015" t="str">
            <v>$1516</v>
          </cell>
          <cell r="P2015" t="str">
            <v>$1516</v>
          </cell>
          <cell r="Q2015">
            <v>45616</v>
          </cell>
          <cell r="R2015" t="str">
            <v>Chennai</v>
          </cell>
          <cell r="S2015" t="str">
            <v>Desktop</v>
          </cell>
          <cell r="T2015" t="str">
            <v>data analytics online</v>
          </cell>
        </row>
        <row r="2016">
          <cell r="A2016" t="str">
            <v>A3014</v>
          </cell>
          <cell r="B2016" t="str">
            <v>Data Analytics Course</v>
          </cell>
          <cell r="C2016">
            <v>94</v>
          </cell>
          <cell r="D2016">
            <v>94</v>
          </cell>
          <cell r="E2016">
            <v>4255</v>
          </cell>
          <cell r="F2016">
            <v>4255</v>
          </cell>
          <cell r="G2016" t="str">
            <v>$221.06</v>
          </cell>
          <cell r="H2016" t="str">
            <v>$221.06</v>
          </cell>
          <cell r="I2016">
            <v>13</v>
          </cell>
          <cell r="J2016">
            <v>13</v>
          </cell>
          <cell r="K2016">
            <v>5</v>
          </cell>
          <cell r="L2016">
            <v>5</v>
          </cell>
          <cell r="M2016">
            <v>5.3191489361702128E-2</v>
          </cell>
          <cell r="N2016">
            <v>5.2999999999999999E-2</v>
          </cell>
          <cell r="O2016" t="str">
            <v>$1623</v>
          </cell>
          <cell r="P2016" t="str">
            <v>$1623</v>
          </cell>
          <cell r="Q2016">
            <v>45616</v>
          </cell>
          <cell r="R2016" t="str">
            <v>Hyderabad</v>
          </cell>
          <cell r="S2016" t="str">
            <v>Desktop</v>
          </cell>
          <cell r="T2016" t="str">
            <v>learn data analytics</v>
          </cell>
        </row>
        <row r="2017">
          <cell r="A2017" t="str">
            <v>A3015</v>
          </cell>
          <cell r="B2017" t="str">
            <v>Data Analytics Course</v>
          </cell>
          <cell r="C2017">
            <v>191</v>
          </cell>
          <cell r="D2017">
            <v>191</v>
          </cell>
          <cell r="E2017">
            <v>4910</v>
          </cell>
          <cell r="F2017">
            <v>4910</v>
          </cell>
          <cell r="G2017" t="str">
            <v>$232.7</v>
          </cell>
          <cell r="H2017" t="str">
            <v>$232.7</v>
          </cell>
          <cell r="I2017">
            <v>14</v>
          </cell>
          <cell r="J2017">
            <v>14</v>
          </cell>
          <cell r="K2017">
            <v>10</v>
          </cell>
          <cell r="L2017">
            <v>10</v>
          </cell>
          <cell r="M2017">
            <v>5.2356020942408377E-2</v>
          </cell>
          <cell r="N2017">
            <v>5.1999999999999998E-2</v>
          </cell>
          <cell r="O2017" t="str">
            <v>$1080</v>
          </cell>
          <cell r="P2017" t="str">
            <v>$1080</v>
          </cell>
          <cell r="Q2017">
            <v>45599</v>
          </cell>
          <cell r="R2017" t="str">
            <v>Hyderabad</v>
          </cell>
          <cell r="S2017" t="str">
            <v>Tablet</v>
          </cell>
          <cell r="T2017" t="str">
            <v>analytics for data</v>
          </cell>
        </row>
        <row r="2018">
          <cell r="A2018" t="str">
            <v>A3016</v>
          </cell>
          <cell r="B2018" t="str">
            <v>Data Analytics Course</v>
          </cell>
          <cell r="C2018">
            <v>167</v>
          </cell>
          <cell r="D2018">
            <v>167</v>
          </cell>
          <cell r="E2018">
            <v>5675</v>
          </cell>
          <cell r="F2018">
            <v>5675</v>
          </cell>
          <cell r="G2018" t="str">
            <v>$222.56</v>
          </cell>
          <cell r="H2018" t="str">
            <v>$222.56</v>
          </cell>
          <cell r="I2018">
            <v>15</v>
          </cell>
          <cell r="J2018">
            <v>15</v>
          </cell>
          <cell r="K2018">
            <v>4</v>
          </cell>
          <cell r="L2018">
            <v>4</v>
          </cell>
          <cell r="M2018">
            <v>2.3952095808383235E-2</v>
          </cell>
          <cell r="N2018">
            <v>2.4E-2</v>
          </cell>
          <cell r="O2018" t="str">
            <v>$1862</v>
          </cell>
          <cell r="P2018" t="str">
            <v>$1862</v>
          </cell>
          <cell r="Q2018">
            <v>45613</v>
          </cell>
          <cell r="R2018" t="str">
            <v>Bangaluru</v>
          </cell>
          <cell r="S2018" t="str">
            <v>Tablet</v>
          </cell>
          <cell r="T2018" t="str">
            <v>analytics for data</v>
          </cell>
        </row>
        <row r="2019">
          <cell r="A2019" t="str">
            <v>A3017</v>
          </cell>
          <cell r="B2019" t="str">
            <v>Data Analytcis Course</v>
          </cell>
          <cell r="C2019">
            <v>136</v>
          </cell>
          <cell r="D2019">
            <v>136</v>
          </cell>
          <cell r="E2019">
            <v>3777</v>
          </cell>
          <cell r="F2019">
            <v>3777</v>
          </cell>
          <cell r="G2019" t="str">
            <v>$186.5</v>
          </cell>
          <cell r="H2019" t="str">
            <v>$186.5</v>
          </cell>
          <cell r="I2019">
            <v>11</v>
          </cell>
          <cell r="J2019">
            <v>11</v>
          </cell>
          <cell r="K2019">
            <v>4</v>
          </cell>
          <cell r="L2019">
            <v>4</v>
          </cell>
          <cell r="M2019">
            <v>2.9411764705882353E-2</v>
          </cell>
          <cell r="N2019">
            <v>2.9000000000000001E-2</v>
          </cell>
          <cell r="O2019" t="str">
            <v>$1027</v>
          </cell>
          <cell r="P2019" t="str">
            <v>$1027</v>
          </cell>
          <cell r="Q2019">
            <v>45601</v>
          </cell>
          <cell r="R2019" t="str">
            <v>Hyderabad</v>
          </cell>
          <cell r="S2019" t="str">
            <v>Mobile</v>
          </cell>
          <cell r="T2019" t="str">
            <v>learn data analytics</v>
          </cell>
        </row>
        <row r="2020">
          <cell r="A2020" t="str">
            <v>A3018</v>
          </cell>
          <cell r="B2020" t="str">
            <v>Data Analytics Course</v>
          </cell>
          <cell r="C2020">
            <v>110</v>
          </cell>
          <cell r="D2020">
            <v>110</v>
          </cell>
          <cell r="E2020">
            <v>5790</v>
          </cell>
          <cell r="F2020">
            <v>5790</v>
          </cell>
          <cell r="G2020" t="str">
            <v>$200.00</v>
          </cell>
          <cell r="I2020">
            <v>23</v>
          </cell>
          <cell r="J2020">
            <v>23</v>
          </cell>
          <cell r="K2020">
            <v>9</v>
          </cell>
          <cell r="L2020">
            <v>9</v>
          </cell>
          <cell r="M2020">
            <v>8.1818181818181818E-2</v>
          </cell>
          <cell r="O2020" t="str">
            <v>$1463</v>
          </cell>
          <cell r="P2020" t="str">
            <v>$1463</v>
          </cell>
          <cell r="Q2020">
            <v>45604</v>
          </cell>
          <cell r="R2020" t="str">
            <v>Hyderabad</v>
          </cell>
          <cell r="S2020" t="str">
            <v>Tablet</v>
          </cell>
          <cell r="T2020" t="str">
            <v>data analytics online</v>
          </cell>
        </row>
        <row r="2021">
          <cell r="A2021" t="str">
            <v>A3019</v>
          </cell>
          <cell r="B2021" t="str">
            <v>Data Analytics Course</v>
          </cell>
          <cell r="C2021">
            <v>171</v>
          </cell>
          <cell r="D2021">
            <v>171</v>
          </cell>
          <cell r="E2021">
            <v>3055</v>
          </cell>
          <cell r="F2021">
            <v>3055</v>
          </cell>
          <cell r="G2021" t="str">
            <v>$200.00</v>
          </cell>
          <cell r="I2021">
            <v>26</v>
          </cell>
          <cell r="J2021">
            <v>26</v>
          </cell>
          <cell r="K2021">
            <v>5</v>
          </cell>
          <cell r="L2021">
            <v>5</v>
          </cell>
          <cell r="M2021">
            <v>2.9239766081871343E-2</v>
          </cell>
          <cell r="N2021">
            <v>2.9000000000000001E-2</v>
          </cell>
          <cell r="O2021" t="str">
            <v>$1701</v>
          </cell>
          <cell r="P2021" t="str">
            <v>$1701</v>
          </cell>
          <cell r="Q2021">
            <v>45614</v>
          </cell>
          <cell r="R2021" t="str">
            <v>Hyderabad</v>
          </cell>
          <cell r="S2021" t="str">
            <v>Mobile</v>
          </cell>
          <cell r="T2021" t="str">
            <v>data analytics training</v>
          </cell>
        </row>
        <row r="2022">
          <cell r="A2022" t="str">
            <v>A3020</v>
          </cell>
          <cell r="B2022" t="str">
            <v>Data Analytcis Course</v>
          </cell>
          <cell r="C2022">
            <v>134</v>
          </cell>
          <cell r="D2022">
            <v>134</v>
          </cell>
          <cell r="E2022">
            <v>5620</v>
          </cell>
          <cell r="F2022">
            <v>5620</v>
          </cell>
          <cell r="G2022" t="str">
            <v>$231.4</v>
          </cell>
          <cell r="H2022" t="str">
            <v>$231.4</v>
          </cell>
          <cell r="I2022">
            <v>28</v>
          </cell>
          <cell r="J2022">
            <v>28</v>
          </cell>
          <cell r="K2022">
            <v>7</v>
          </cell>
          <cell r="L2022">
            <v>7</v>
          </cell>
          <cell r="M2022">
            <v>5.2238805970149252E-2</v>
          </cell>
          <cell r="N2022">
            <v>5.1999999999999998E-2</v>
          </cell>
          <cell r="O2022" t="str">
            <v>$1499</v>
          </cell>
          <cell r="P2022" t="str">
            <v>$1499</v>
          </cell>
          <cell r="Q2022">
            <v>45625</v>
          </cell>
          <cell r="R2022" t="str">
            <v>Hyderabad</v>
          </cell>
          <cell r="S2022" t="str">
            <v>Desktop</v>
          </cell>
          <cell r="T2022" t="str">
            <v>data analytics training</v>
          </cell>
        </row>
        <row r="2023">
          <cell r="A2023" t="str">
            <v>A3021</v>
          </cell>
          <cell r="B2023" t="str">
            <v>Data Analytcis Course</v>
          </cell>
          <cell r="C2023">
            <v>170</v>
          </cell>
          <cell r="D2023">
            <v>170</v>
          </cell>
          <cell r="E2023">
            <v>4594</v>
          </cell>
          <cell r="F2023">
            <v>4594</v>
          </cell>
          <cell r="G2023" t="str">
            <v>$193.2</v>
          </cell>
          <cell r="H2023" t="str">
            <v>$193.2</v>
          </cell>
          <cell r="I2023">
            <v>27</v>
          </cell>
          <cell r="J2023">
            <v>27</v>
          </cell>
          <cell r="K2023">
            <v>9</v>
          </cell>
          <cell r="L2023">
            <v>9</v>
          </cell>
          <cell r="M2023">
            <v>5.2941176470588235E-2</v>
          </cell>
          <cell r="N2023">
            <v>5.2999999999999999E-2</v>
          </cell>
          <cell r="O2023" t="str">
            <v>$1319</v>
          </cell>
          <cell r="P2023" t="str">
            <v>$1319</v>
          </cell>
          <cell r="Q2023">
            <v>45623</v>
          </cell>
          <cell r="R2023" t="str">
            <v>Hyderabad</v>
          </cell>
          <cell r="S2023" t="str">
            <v>Mobile</v>
          </cell>
          <cell r="T2023" t="str">
            <v>analytics for data</v>
          </cell>
        </row>
        <row r="2024">
          <cell r="A2024" t="str">
            <v>A3022</v>
          </cell>
          <cell r="B2024" t="str">
            <v>Data Analytcis Course</v>
          </cell>
          <cell r="C2024">
            <v>151</v>
          </cell>
          <cell r="D2024">
            <v>151</v>
          </cell>
          <cell r="E2024">
            <v>4907</v>
          </cell>
          <cell r="F2024">
            <v>4907</v>
          </cell>
          <cell r="G2024" t="str">
            <v>$248.32</v>
          </cell>
          <cell r="H2024" t="str">
            <v>$248.32</v>
          </cell>
          <cell r="I2024">
            <v>10</v>
          </cell>
          <cell r="J2024">
            <v>10</v>
          </cell>
          <cell r="K2024">
            <v>4</v>
          </cell>
          <cell r="L2024">
            <v>4</v>
          </cell>
          <cell r="M2024">
            <v>2.6490066225165563E-2</v>
          </cell>
          <cell r="N2024">
            <v>2.5999999999999999E-2</v>
          </cell>
          <cell r="O2024" t="str">
            <v>$1948</v>
          </cell>
          <cell r="P2024" t="str">
            <v>$1948</v>
          </cell>
          <cell r="Q2024">
            <v>45619</v>
          </cell>
          <cell r="R2024" t="str">
            <v>Hyderabad</v>
          </cell>
          <cell r="S2024" t="str">
            <v>Desktop</v>
          </cell>
          <cell r="T2024" t="str">
            <v>data analytics course</v>
          </cell>
        </row>
        <row r="2025">
          <cell r="A2025" t="str">
            <v>A3023</v>
          </cell>
          <cell r="B2025" t="str">
            <v>Data Analytics Course</v>
          </cell>
          <cell r="C2025">
            <v>124</v>
          </cell>
          <cell r="D2025">
            <v>124</v>
          </cell>
          <cell r="E2025">
            <v>5437</v>
          </cell>
          <cell r="F2025">
            <v>5437</v>
          </cell>
          <cell r="G2025" t="str">
            <v>$180.54</v>
          </cell>
          <cell r="H2025" t="str">
            <v>$180.54</v>
          </cell>
          <cell r="I2025">
            <v>29</v>
          </cell>
          <cell r="J2025">
            <v>29</v>
          </cell>
          <cell r="K2025">
            <v>7</v>
          </cell>
          <cell r="L2025">
            <v>7</v>
          </cell>
          <cell r="M2025">
            <v>5.6451612903225805E-2</v>
          </cell>
          <cell r="O2025" t="str">
            <v>$1564</v>
          </cell>
          <cell r="P2025" t="str">
            <v>$1564</v>
          </cell>
          <cell r="Q2025">
            <v>45605</v>
          </cell>
          <cell r="R2025" t="str">
            <v>Chennai</v>
          </cell>
          <cell r="S2025" t="str">
            <v>Desktop</v>
          </cell>
          <cell r="T2025" t="str">
            <v>analytics for data</v>
          </cell>
        </row>
        <row r="2026">
          <cell r="A2026" t="str">
            <v>A3024</v>
          </cell>
          <cell r="B2026" t="str">
            <v>Data Analytcis Course</v>
          </cell>
          <cell r="C2026">
            <v>88</v>
          </cell>
          <cell r="D2026">
            <v>88</v>
          </cell>
          <cell r="E2026">
            <v>4794</v>
          </cell>
          <cell r="F2026">
            <v>4794</v>
          </cell>
          <cell r="G2026" t="str">
            <v>$242.28</v>
          </cell>
          <cell r="H2026" t="str">
            <v>$242.28</v>
          </cell>
          <cell r="I2026">
            <v>11</v>
          </cell>
          <cell r="J2026">
            <v>11</v>
          </cell>
          <cell r="K2026">
            <v>3</v>
          </cell>
          <cell r="L2026">
            <v>3</v>
          </cell>
          <cell r="M2026">
            <v>3.4090909090909088E-2</v>
          </cell>
          <cell r="N2026">
            <v>3.4000000000000002E-2</v>
          </cell>
          <cell r="O2026" t="str">
            <v>$1210</v>
          </cell>
          <cell r="P2026" t="str">
            <v>$1210</v>
          </cell>
          <cell r="Q2026">
            <v>45603</v>
          </cell>
          <cell r="R2026" t="str">
            <v>Bangaluru</v>
          </cell>
          <cell r="S2026" t="str">
            <v>Mobile</v>
          </cell>
          <cell r="T2026" t="str">
            <v>data analytics training</v>
          </cell>
        </row>
        <row r="2027">
          <cell r="A2027" t="str">
            <v>A3025</v>
          </cell>
          <cell r="B2027" t="str">
            <v>Data Analytics Course</v>
          </cell>
          <cell r="C2027">
            <v>118</v>
          </cell>
          <cell r="D2027">
            <v>118</v>
          </cell>
          <cell r="E2027">
            <v>5326</v>
          </cell>
          <cell r="F2027">
            <v>5326</v>
          </cell>
          <cell r="G2027" t="str">
            <v>$199.76</v>
          </cell>
          <cell r="H2027" t="str">
            <v>$199.76</v>
          </cell>
          <cell r="I2027">
            <v>19</v>
          </cell>
          <cell r="J2027">
            <v>19</v>
          </cell>
          <cell r="K2027">
            <v>8</v>
          </cell>
          <cell r="L2027">
            <v>8</v>
          </cell>
          <cell r="M2027">
            <v>6.7796610169491525E-2</v>
          </cell>
          <cell r="N2027">
            <v>6.8000000000000005E-2</v>
          </cell>
          <cell r="O2027" t="str">
            <v>$1195</v>
          </cell>
          <cell r="P2027" t="str">
            <v>$1195</v>
          </cell>
          <cell r="Q2027">
            <v>45620</v>
          </cell>
          <cell r="R2027" t="str">
            <v>Bangaluru</v>
          </cell>
          <cell r="S2027" t="str">
            <v>Tablet</v>
          </cell>
          <cell r="T2027" t="str">
            <v>analytics for data</v>
          </cell>
        </row>
        <row r="2028">
          <cell r="A2028" t="str">
            <v>A3026</v>
          </cell>
          <cell r="B2028" t="str">
            <v>Data Analytics Course</v>
          </cell>
          <cell r="C2028">
            <v>160</v>
          </cell>
          <cell r="D2028">
            <v>160</v>
          </cell>
          <cell r="E2028">
            <v>5642</v>
          </cell>
          <cell r="F2028">
            <v>5642</v>
          </cell>
          <cell r="G2028" t="str">
            <v>$200.82</v>
          </cell>
          <cell r="H2028" t="str">
            <v>$200.82</v>
          </cell>
          <cell r="I2028">
            <v>25</v>
          </cell>
          <cell r="J2028">
            <v>25</v>
          </cell>
          <cell r="K2028">
            <v>6.4754990925589837</v>
          </cell>
          <cell r="M2028">
            <v>4.047186932849365E-2</v>
          </cell>
          <cell r="O2028" t="str">
            <v>$1500</v>
          </cell>
          <cell r="Q2028">
            <v>45625</v>
          </cell>
          <cell r="R2028" t="str">
            <v>Hyderabad</v>
          </cell>
          <cell r="S2028" t="str">
            <v>Mobile</v>
          </cell>
          <cell r="T2028" t="str">
            <v>learn data analytics</v>
          </cell>
        </row>
        <row r="2029">
          <cell r="A2029" t="str">
            <v>A3027</v>
          </cell>
          <cell r="B2029" t="str">
            <v>Data Analytics Course</v>
          </cell>
          <cell r="C2029">
            <v>112</v>
          </cell>
          <cell r="D2029">
            <v>112</v>
          </cell>
          <cell r="E2029">
            <v>4594</v>
          </cell>
          <cell r="F2029">
            <v>4594</v>
          </cell>
          <cell r="G2029" t="str">
            <v>$236.12</v>
          </cell>
          <cell r="H2029" t="str">
            <v>$236.12</v>
          </cell>
          <cell r="I2029">
            <v>29</v>
          </cell>
          <cell r="J2029">
            <v>29</v>
          </cell>
          <cell r="K2029">
            <v>8</v>
          </cell>
          <cell r="L2029">
            <v>8</v>
          </cell>
          <cell r="M2029">
            <v>7.1428571428571425E-2</v>
          </cell>
          <cell r="N2029">
            <v>7.0999999999999994E-2</v>
          </cell>
          <cell r="O2029" t="str">
            <v>$1569</v>
          </cell>
          <cell r="P2029" t="str">
            <v>$1569</v>
          </cell>
          <cell r="Q2029">
            <v>45619</v>
          </cell>
          <cell r="R2029" t="str">
            <v>Bangaluru</v>
          </cell>
          <cell r="S2029" t="str">
            <v>Mobile</v>
          </cell>
          <cell r="T2029" t="str">
            <v>data analytics training</v>
          </cell>
        </row>
        <row r="2030">
          <cell r="A2030" t="str">
            <v>A3028</v>
          </cell>
          <cell r="B2030" t="str">
            <v>Data Analytics Course</v>
          </cell>
          <cell r="C2030">
            <v>186</v>
          </cell>
          <cell r="D2030">
            <v>186</v>
          </cell>
          <cell r="E2030">
            <v>4352</v>
          </cell>
          <cell r="F2030">
            <v>4352</v>
          </cell>
          <cell r="G2030" t="str">
            <v>$223.95</v>
          </cell>
          <cell r="H2030" t="str">
            <v>$223.95</v>
          </cell>
          <cell r="I2030">
            <v>29</v>
          </cell>
          <cell r="J2030">
            <v>29</v>
          </cell>
          <cell r="K2030">
            <v>3</v>
          </cell>
          <cell r="L2030">
            <v>3</v>
          </cell>
          <cell r="M2030">
            <v>1.6129032258064516E-2</v>
          </cell>
          <cell r="N2030">
            <v>1.6E-2</v>
          </cell>
          <cell r="O2030" t="str">
            <v>$1290</v>
          </cell>
          <cell r="P2030" t="str">
            <v>$1290</v>
          </cell>
          <cell r="Q2030">
            <v>45602</v>
          </cell>
          <cell r="R2030" t="str">
            <v>Chennai</v>
          </cell>
          <cell r="S2030" t="str">
            <v>Mobile</v>
          </cell>
          <cell r="T2030" t="str">
            <v>data analytics training</v>
          </cell>
        </row>
        <row r="2031">
          <cell r="A2031" t="str">
            <v>A3029</v>
          </cell>
          <cell r="B2031" t="str">
            <v>Data Analytics Course</v>
          </cell>
          <cell r="C2031">
            <v>139</v>
          </cell>
          <cell r="D2031">
            <v>139</v>
          </cell>
          <cell r="E2031">
            <v>4220</v>
          </cell>
          <cell r="F2031">
            <v>4220</v>
          </cell>
          <cell r="G2031" t="str">
            <v>$206.02</v>
          </cell>
          <cell r="H2031" t="str">
            <v>$206.02</v>
          </cell>
          <cell r="I2031">
            <v>21</v>
          </cell>
          <cell r="J2031">
            <v>21</v>
          </cell>
          <cell r="K2031">
            <v>5</v>
          </cell>
          <cell r="L2031">
            <v>5</v>
          </cell>
          <cell r="M2031">
            <v>3.5971223021582732E-2</v>
          </cell>
          <cell r="N2031">
            <v>3.5999999999999997E-2</v>
          </cell>
          <cell r="O2031" t="str">
            <v>$1671</v>
          </cell>
          <cell r="P2031" t="str">
            <v>$1671</v>
          </cell>
          <cell r="Q2031">
            <v>45617</v>
          </cell>
          <cell r="R2031" t="str">
            <v>Hyderabad</v>
          </cell>
          <cell r="S2031" t="str">
            <v>Desktop</v>
          </cell>
          <cell r="T2031" t="str">
            <v>learn data analytics</v>
          </cell>
        </row>
        <row r="2032">
          <cell r="A2032" t="str">
            <v>A3030</v>
          </cell>
          <cell r="B2032" t="str">
            <v>Data Analytcis Course</v>
          </cell>
          <cell r="C2032">
            <v>164</v>
          </cell>
          <cell r="D2032">
            <v>164</v>
          </cell>
          <cell r="E2032">
            <v>4909</v>
          </cell>
          <cell r="F2032">
            <v>4909</v>
          </cell>
          <cell r="G2032" t="str">
            <v>$245.06</v>
          </cell>
          <cell r="H2032" t="str">
            <v>$245.06</v>
          </cell>
          <cell r="I2032">
            <v>13</v>
          </cell>
          <cell r="J2032">
            <v>13</v>
          </cell>
          <cell r="K2032">
            <v>3</v>
          </cell>
          <cell r="L2032">
            <v>3</v>
          </cell>
          <cell r="M2032">
            <v>1.8292682926829267E-2</v>
          </cell>
          <cell r="N2032">
            <v>4.4999999999999998E-2</v>
          </cell>
          <cell r="O2032" t="str">
            <v>$1601</v>
          </cell>
          <cell r="P2032" t="str">
            <v>$1601</v>
          </cell>
          <cell r="Q2032">
            <v>45600</v>
          </cell>
          <cell r="R2032" t="str">
            <v>Hyderabad</v>
          </cell>
          <cell r="S2032" t="str">
            <v>Mobile</v>
          </cell>
          <cell r="T2032" t="str">
            <v>learn data analytics</v>
          </cell>
        </row>
        <row r="2033">
          <cell r="A2033" t="str">
            <v>A3031</v>
          </cell>
          <cell r="B2033" t="str">
            <v>Data Analytics Course</v>
          </cell>
          <cell r="C2033">
            <v>89</v>
          </cell>
          <cell r="D2033">
            <v>89</v>
          </cell>
          <cell r="E2033">
            <v>3148</v>
          </cell>
          <cell r="F2033">
            <v>3148</v>
          </cell>
          <cell r="G2033" t="str">
            <v>$219.25</v>
          </cell>
          <cell r="H2033" t="str">
            <v>$219.25</v>
          </cell>
          <cell r="I2033">
            <v>13</v>
          </cell>
          <cell r="J2033">
            <v>13</v>
          </cell>
          <cell r="K2033">
            <v>4</v>
          </cell>
          <cell r="L2033">
            <v>4</v>
          </cell>
          <cell r="M2033">
            <v>4.49438202247191E-2</v>
          </cell>
          <cell r="N2033">
            <v>4.4999999999999998E-2</v>
          </cell>
          <cell r="O2033" t="str">
            <v>$1533</v>
          </cell>
          <cell r="P2033" t="str">
            <v>$1533</v>
          </cell>
          <cell r="Q2033">
            <v>45602</v>
          </cell>
          <cell r="R2033" t="str">
            <v>Bangaluru</v>
          </cell>
          <cell r="S2033" t="str">
            <v>Desktop</v>
          </cell>
          <cell r="T2033" t="str">
            <v>data analytics online</v>
          </cell>
        </row>
        <row r="2034">
          <cell r="A2034" t="str">
            <v>A3032</v>
          </cell>
          <cell r="B2034" t="str">
            <v>Data Analytics Course</v>
          </cell>
          <cell r="C2034">
            <v>107</v>
          </cell>
          <cell r="D2034">
            <v>107</v>
          </cell>
          <cell r="E2034">
            <v>3105</v>
          </cell>
          <cell r="F2034">
            <v>3105</v>
          </cell>
          <cell r="G2034" t="str">
            <v>$195.46</v>
          </cell>
          <cell r="H2034" t="str">
            <v>$195.46</v>
          </cell>
          <cell r="I2034">
            <v>20</v>
          </cell>
          <cell r="J2034">
            <v>20</v>
          </cell>
          <cell r="K2034">
            <v>10</v>
          </cell>
          <cell r="L2034">
            <v>10</v>
          </cell>
          <cell r="M2034">
            <v>9.3457943925233641E-2</v>
          </cell>
          <cell r="N2034">
            <v>3.6999999999999998E-2</v>
          </cell>
          <cell r="O2034" t="str">
            <v>$1455</v>
          </cell>
          <cell r="P2034" t="str">
            <v>$1455</v>
          </cell>
          <cell r="Q2034">
            <v>45615</v>
          </cell>
          <cell r="R2034" t="str">
            <v>Bangaluru</v>
          </cell>
          <cell r="S2034" t="str">
            <v>Mobile</v>
          </cell>
          <cell r="T2034" t="str">
            <v>data analytics online</v>
          </cell>
        </row>
        <row r="2035">
          <cell r="A2035" t="str">
            <v>A3033</v>
          </cell>
          <cell r="B2035" t="str">
            <v>Data Analytics Course</v>
          </cell>
          <cell r="C2035">
            <v>179</v>
          </cell>
          <cell r="D2035">
            <v>179</v>
          </cell>
          <cell r="E2035">
            <v>5062</v>
          </cell>
          <cell r="F2035">
            <v>5062</v>
          </cell>
          <cell r="G2035" t="str">
            <v>$214.66</v>
          </cell>
          <cell r="H2035" t="str">
            <v>$214.66</v>
          </cell>
          <cell r="I2035">
            <v>18</v>
          </cell>
          <cell r="J2035">
            <v>18</v>
          </cell>
          <cell r="K2035">
            <v>4</v>
          </cell>
          <cell r="L2035">
            <v>4</v>
          </cell>
          <cell r="M2035">
            <v>2.23463687150838E-2</v>
          </cell>
          <cell r="N2035">
            <v>0.05</v>
          </cell>
          <cell r="O2035" t="str">
            <v>$1815</v>
          </cell>
          <cell r="P2035" t="str">
            <v>$1815</v>
          </cell>
          <cell r="Q2035">
            <v>45620</v>
          </cell>
          <cell r="R2035" t="str">
            <v>Bangaluru</v>
          </cell>
          <cell r="S2035" t="str">
            <v>Mobile</v>
          </cell>
          <cell r="T2035" t="str">
            <v>data analytics course</v>
          </cell>
        </row>
        <row r="2036">
          <cell r="A2036" t="str">
            <v>A3034</v>
          </cell>
          <cell r="B2036" t="str">
            <v>Data Analytics Course</v>
          </cell>
          <cell r="C2036">
            <v>136</v>
          </cell>
          <cell r="D2036">
            <v>136</v>
          </cell>
          <cell r="E2036">
            <v>4096</v>
          </cell>
          <cell r="F2036">
            <v>4096</v>
          </cell>
          <cell r="G2036" t="str">
            <v>$228.79</v>
          </cell>
          <cell r="H2036" t="str">
            <v>$228.79</v>
          </cell>
          <cell r="I2036">
            <v>19</v>
          </cell>
          <cell r="J2036">
            <v>19</v>
          </cell>
          <cell r="K2036">
            <v>10</v>
          </cell>
          <cell r="L2036">
            <v>10</v>
          </cell>
          <cell r="M2036">
            <v>7.3529411764705885E-2</v>
          </cell>
          <cell r="N2036">
            <v>3.9E-2</v>
          </cell>
          <cell r="O2036" t="str">
            <v>$1054</v>
          </cell>
          <cell r="P2036" t="str">
            <v>$1054</v>
          </cell>
          <cell r="Q2036">
            <v>45622</v>
          </cell>
          <cell r="R2036" t="str">
            <v>Hyderabad</v>
          </cell>
          <cell r="S2036" t="str">
            <v>Desktop</v>
          </cell>
          <cell r="T2036" t="str">
            <v>data analytics training</v>
          </cell>
        </row>
        <row r="2037">
          <cell r="A2037" t="str">
            <v>A3035</v>
          </cell>
          <cell r="B2037" t="str">
            <v>Data Analytics Course</v>
          </cell>
          <cell r="C2037">
            <v>140</v>
          </cell>
          <cell r="D2037">
            <v>140</v>
          </cell>
          <cell r="E2037">
            <v>4283</v>
          </cell>
          <cell r="F2037">
            <v>4283</v>
          </cell>
          <cell r="G2037" t="str">
            <v>$205.02</v>
          </cell>
          <cell r="H2037" t="str">
            <v>$205.02</v>
          </cell>
          <cell r="I2037">
            <v>22</v>
          </cell>
          <cell r="J2037">
            <v>22</v>
          </cell>
          <cell r="K2037">
            <v>7</v>
          </cell>
          <cell r="L2037">
            <v>7</v>
          </cell>
          <cell r="M2037">
            <v>0.05</v>
          </cell>
          <cell r="O2037" t="str">
            <v>$1674</v>
          </cell>
          <cell r="P2037" t="str">
            <v>$1674</v>
          </cell>
          <cell r="Q2037">
            <v>45607</v>
          </cell>
          <cell r="R2037" t="str">
            <v>Chennai</v>
          </cell>
          <cell r="S2037" t="str">
            <v>Mobile</v>
          </cell>
          <cell r="T2037" t="str">
            <v>data analytics course</v>
          </cell>
        </row>
        <row r="2038">
          <cell r="A2038" t="str">
            <v>A3036</v>
          </cell>
          <cell r="B2038" t="str">
            <v>Data Analytics Course</v>
          </cell>
          <cell r="C2038">
            <v>137</v>
          </cell>
          <cell r="D2038">
            <v>137</v>
          </cell>
          <cell r="E2038">
            <v>4189</v>
          </cell>
          <cell r="F2038">
            <v>4189</v>
          </cell>
          <cell r="G2038" t="str">
            <v>$208.84</v>
          </cell>
          <cell r="H2038" t="str">
            <v>$208.84</v>
          </cell>
          <cell r="I2038">
            <v>17</v>
          </cell>
          <cell r="J2038">
            <v>17</v>
          </cell>
          <cell r="K2038">
            <v>6.4833948339483394</v>
          </cell>
          <cell r="M2038">
            <v>4.7324049882834597E-2</v>
          </cell>
          <cell r="O2038" t="str">
            <v>$1211</v>
          </cell>
          <cell r="P2038" t="str">
            <v>$1211</v>
          </cell>
          <cell r="Q2038">
            <v>45605</v>
          </cell>
          <cell r="R2038" t="str">
            <v>Hyderabad</v>
          </cell>
          <cell r="S2038" t="str">
            <v>Mobile</v>
          </cell>
          <cell r="T2038" t="str">
            <v>online data analytic</v>
          </cell>
        </row>
        <row r="2039">
          <cell r="A2039" t="str">
            <v>A3037</v>
          </cell>
          <cell r="B2039" t="str">
            <v>Data Analytcis Course</v>
          </cell>
          <cell r="C2039">
            <v>199</v>
          </cell>
          <cell r="D2039">
            <v>199</v>
          </cell>
          <cell r="E2039">
            <v>4818</v>
          </cell>
          <cell r="F2039">
            <v>4818</v>
          </cell>
          <cell r="G2039" t="str">
            <v>$230.19</v>
          </cell>
          <cell r="H2039" t="str">
            <v>$230.19</v>
          </cell>
          <cell r="I2039">
            <v>11</v>
          </cell>
          <cell r="J2039">
            <v>11</v>
          </cell>
          <cell r="K2039">
            <v>7</v>
          </cell>
          <cell r="L2039">
            <v>7</v>
          </cell>
          <cell r="M2039">
            <v>3.5175879396984924E-2</v>
          </cell>
          <cell r="N2039">
            <v>3.7999999999999999E-2</v>
          </cell>
          <cell r="O2039" t="str">
            <v>$1714</v>
          </cell>
          <cell r="P2039" t="str">
            <v>$1714</v>
          </cell>
          <cell r="Q2039">
            <v>45604</v>
          </cell>
          <cell r="R2039" t="str">
            <v>Hyderabad</v>
          </cell>
          <cell r="S2039" t="str">
            <v>Desktop</v>
          </cell>
          <cell r="T2039" t="str">
            <v>online data analytic</v>
          </cell>
        </row>
        <row r="2040">
          <cell r="A2040" t="str">
            <v>A3038</v>
          </cell>
          <cell r="B2040" t="str">
            <v>Data Analytcis Course</v>
          </cell>
          <cell r="C2040">
            <v>95</v>
          </cell>
          <cell r="D2040">
            <v>95</v>
          </cell>
          <cell r="E2040">
            <v>5256</v>
          </cell>
          <cell r="F2040">
            <v>5256</v>
          </cell>
          <cell r="G2040" t="str">
            <v>$235.84</v>
          </cell>
          <cell r="H2040" t="str">
            <v>$235.84</v>
          </cell>
          <cell r="I2040">
            <v>12</v>
          </cell>
          <cell r="J2040">
            <v>12</v>
          </cell>
          <cell r="K2040">
            <v>8</v>
          </cell>
          <cell r="L2040">
            <v>8</v>
          </cell>
          <cell r="M2040">
            <v>8.4210526315789472E-2</v>
          </cell>
          <cell r="N2040">
            <v>5.1999999999999998E-2</v>
          </cell>
          <cell r="O2040" t="str">
            <v>$1324</v>
          </cell>
          <cell r="P2040" t="str">
            <v>$1324</v>
          </cell>
          <cell r="Q2040">
            <v>45620</v>
          </cell>
          <cell r="R2040" t="str">
            <v>Bangaluru</v>
          </cell>
          <cell r="S2040" t="str">
            <v>Mobile</v>
          </cell>
          <cell r="T2040" t="str">
            <v>data analytics training</v>
          </cell>
        </row>
        <row r="2041">
          <cell r="A2041" t="str">
            <v>A3039</v>
          </cell>
          <cell r="B2041" t="str">
            <v>Data Analytics Course</v>
          </cell>
          <cell r="C2041">
            <v>182</v>
          </cell>
          <cell r="D2041">
            <v>182</v>
          </cell>
          <cell r="E2041">
            <v>3980</v>
          </cell>
          <cell r="F2041">
            <v>3980</v>
          </cell>
          <cell r="G2041" t="str">
            <v>$191.75</v>
          </cell>
          <cell r="H2041" t="str">
            <v>$191.75</v>
          </cell>
          <cell r="I2041">
            <v>16</v>
          </cell>
          <cell r="J2041">
            <v>16</v>
          </cell>
          <cell r="K2041">
            <v>5</v>
          </cell>
          <cell r="L2041">
            <v>5</v>
          </cell>
          <cell r="M2041">
            <v>2.7472527472527472E-2</v>
          </cell>
          <cell r="N2041">
            <v>2.7E-2</v>
          </cell>
          <cell r="O2041" t="str">
            <v>$1050</v>
          </cell>
          <cell r="P2041" t="str">
            <v>$1050</v>
          </cell>
          <cell r="Q2041">
            <v>45604</v>
          </cell>
          <cell r="R2041" t="str">
            <v>Chennai</v>
          </cell>
          <cell r="S2041" t="str">
            <v>Tablet</v>
          </cell>
          <cell r="T2041" t="str">
            <v>online data analytic</v>
          </cell>
        </row>
        <row r="2042">
          <cell r="A2042" t="str">
            <v>A3040</v>
          </cell>
          <cell r="B2042" t="str">
            <v>Data Analytcis Course</v>
          </cell>
          <cell r="C2042">
            <v>132</v>
          </cell>
          <cell r="D2042">
            <v>132</v>
          </cell>
          <cell r="E2042">
            <v>4359</v>
          </cell>
          <cell r="F2042">
            <v>4359</v>
          </cell>
          <cell r="G2042" t="str">
            <v>$237.12</v>
          </cell>
          <cell r="H2042" t="str">
            <v>$237.12</v>
          </cell>
          <cell r="I2042">
            <v>29</v>
          </cell>
          <cell r="J2042">
            <v>29</v>
          </cell>
          <cell r="K2042">
            <v>3</v>
          </cell>
          <cell r="L2042">
            <v>3</v>
          </cell>
          <cell r="M2042">
            <v>2.2727272727272728E-2</v>
          </cell>
          <cell r="O2042" t="str">
            <v>$1872</v>
          </cell>
          <cell r="P2042" t="str">
            <v>$1872</v>
          </cell>
          <cell r="Q2042">
            <v>45597</v>
          </cell>
          <cell r="R2042" t="str">
            <v>Hyderabad</v>
          </cell>
          <cell r="S2042" t="str">
            <v>Mobile</v>
          </cell>
          <cell r="T2042" t="str">
            <v>online data analytic</v>
          </cell>
        </row>
        <row r="2043">
          <cell r="A2043" t="str">
            <v>A3041</v>
          </cell>
          <cell r="B2043" t="str">
            <v>Data Analytics Course</v>
          </cell>
          <cell r="C2043">
            <v>139</v>
          </cell>
          <cell r="D2043">
            <v>139</v>
          </cell>
          <cell r="E2043">
            <v>5326</v>
          </cell>
          <cell r="F2043">
            <v>5326</v>
          </cell>
          <cell r="G2043" t="str">
            <v>$241.7</v>
          </cell>
          <cell r="H2043" t="str">
            <v>$241.7</v>
          </cell>
          <cell r="I2043">
            <v>29</v>
          </cell>
          <cell r="J2043">
            <v>29</v>
          </cell>
          <cell r="K2043">
            <v>5</v>
          </cell>
          <cell r="L2043">
            <v>5</v>
          </cell>
          <cell r="M2043">
            <v>3.5971223021582732E-2</v>
          </cell>
          <cell r="N2043">
            <v>3.5999999999999997E-2</v>
          </cell>
          <cell r="O2043" t="str">
            <v>$1423</v>
          </cell>
          <cell r="P2043" t="str">
            <v>$1423</v>
          </cell>
          <cell r="Q2043">
            <v>45604</v>
          </cell>
          <cell r="R2043" t="str">
            <v>Hyderabad</v>
          </cell>
          <cell r="S2043" t="str">
            <v>Mobile</v>
          </cell>
          <cell r="T2043" t="str">
            <v>analytics for data</v>
          </cell>
        </row>
        <row r="2044">
          <cell r="A2044" t="str">
            <v>A3042</v>
          </cell>
          <cell r="B2044" t="str">
            <v>Data Analytics Course</v>
          </cell>
          <cell r="C2044">
            <v>134</v>
          </cell>
          <cell r="D2044">
            <v>134</v>
          </cell>
          <cell r="E2044">
            <v>5614</v>
          </cell>
          <cell r="F2044">
            <v>5614</v>
          </cell>
          <cell r="G2044" t="str">
            <v>$220.52</v>
          </cell>
          <cell r="H2044" t="str">
            <v>$220.52</v>
          </cell>
          <cell r="I2044">
            <v>14</v>
          </cell>
          <cell r="J2044">
            <v>14</v>
          </cell>
          <cell r="K2044">
            <v>6</v>
          </cell>
          <cell r="L2044">
            <v>6</v>
          </cell>
          <cell r="M2044">
            <v>4.4776119402985072E-2</v>
          </cell>
          <cell r="N2044">
            <v>3.5999999999999997E-2</v>
          </cell>
          <cell r="O2044" t="str">
            <v>$1500</v>
          </cell>
          <cell r="Q2044">
            <v>45611</v>
          </cell>
          <cell r="R2044" t="str">
            <v>Bangaluru</v>
          </cell>
          <cell r="S2044" t="str">
            <v>Desktop</v>
          </cell>
          <cell r="T2044" t="str">
            <v>data analytics online</v>
          </cell>
        </row>
        <row r="2045">
          <cell r="A2045" t="str">
            <v>A3043</v>
          </cell>
          <cell r="B2045" t="str">
            <v>Data Analytics Course</v>
          </cell>
          <cell r="C2045">
            <v>166</v>
          </cell>
          <cell r="D2045">
            <v>166</v>
          </cell>
          <cell r="E2045">
            <v>3746</v>
          </cell>
          <cell r="F2045">
            <v>3746</v>
          </cell>
          <cell r="G2045" t="str">
            <v>$213.81</v>
          </cell>
          <cell r="H2045" t="str">
            <v>$213.81</v>
          </cell>
          <cell r="I2045">
            <v>16</v>
          </cell>
          <cell r="J2045">
            <v>16</v>
          </cell>
          <cell r="K2045">
            <v>5</v>
          </cell>
          <cell r="L2045">
            <v>5</v>
          </cell>
          <cell r="M2045">
            <v>3.0120481927710843E-2</v>
          </cell>
          <cell r="N2045">
            <v>0.03</v>
          </cell>
          <cell r="O2045" t="str">
            <v>$1750</v>
          </cell>
          <cell r="P2045" t="str">
            <v>$1750</v>
          </cell>
          <cell r="Q2045">
            <v>45604</v>
          </cell>
          <cell r="R2045" t="str">
            <v>Hyderabad</v>
          </cell>
          <cell r="S2045" t="str">
            <v>Mobile</v>
          </cell>
          <cell r="T2045" t="str">
            <v>data analytics online</v>
          </cell>
        </row>
        <row r="2046">
          <cell r="A2046" t="str">
            <v>A3044</v>
          </cell>
          <cell r="B2046" t="str">
            <v>Data Analytics Course</v>
          </cell>
          <cell r="C2046">
            <v>121</v>
          </cell>
          <cell r="D2046">
            <v>121</v>
          </cell>
          <cell r="E2046">
            <v>5608</v>
          </cell>
          <cell r="F2046">
            <v>5608</v>
          </cell>
          <cell r="G2046" t="str">
            <v>$219.92</v>
          </cell>
          <cell r="H2046" t="str">
            <v>$219.92</v>
          </cell>
          <cell r="I2046">
            <v>19</v>
          </cell>
          <cell r="J2046">
            <v>19</v>
          </cell>
          <cell r="K2046">
            <v>4</v>
          </cell>
          <cell r="L2046">
            <v>4</v>
          </cell>
          <cell r="M2046">
            <v>3.3057851239669422E-2</v>
          </cell>
          <cell r="N2046">
            <v>4.9000000000000002E-2</v>
          </cell>
          <cell r="O2046" t="str">
            <v>$1209</v>
          </cell>
          <cell r="P2046" t="str">
            <v>$1209</v>
          </cell>
          <cell r="Q2046">
            <v>45610</v>
          </cell>
          <cell r="R2046" t="str">
            <v>Bangaluru</v>
          </cell>
          <cell r="S2046" t="str">
            <v>Tablet</v>
          </cell>
          <cell r="T2046" t="str">
            <v>data analytics training</v>
          </cell>
        </row>
        <row r="2047">
          <cell r="A2047" t="str">
            <v>A3045</v>
          </cell>
          <cell r="B2047" t="str">
            <v>Data Analytcis Course</v>
          </cell>
          <cell r="C2047">
            <v>173</v>
          </cell>
          <cell r="D2047">
            <v>173</v>
          </cell>
          <cell r="E2047">
            <v>4582</v>
          </cell>
          <cell r="F2047">
            <v>4582</v>
          </cell>
          <cell r="G2047" t="str">
            <v>$204.99</v>
          </cell>
          <cell r="H2047" t="str">
            <v>$204.99</v>
          </cell>
          <cell r="I2047">
            <v>17</v>
          </cell>
          <cell r="J2047">
            <v>17</v>
          </cell>
          <cell r="K2047">
            <v>5</v>
          </cell>
          <cell r="L2047">
            <v>5</v>
          </cell>
          <cell r="M2047">
            <v>2.8901734104046242E-2</v>
          </cell>
          <cell r="N2047">
            <v>2.9000000000000001E-2</v>
          </cell>
          <cell r="O2047" t="str">
            <v>$1703</v>
          </cell>
          <cell r="P2047" t="str">
            <v>$1703</v>
          </cell>
          <cell r="Q2047">
            <v>45617</v>
          </cell>
          <cell r="R2047" t="str">
            <v>Bangaluru</v>
          </cell>
          <cell r="S2047" t="str">
            <v>Desktop</v>
          </cell>
          <cell r="T2047" t="str">
            <v>data analytics training</v>
          </cell>
        </row>
        <row r="2048">
          <cell r="A2048" t="str">
            <v>A3046</v>
          </cell>
          <cell r="B2048" t="str">
            <v>Data Analytics Course</v>
          </cell>
          <cell r="C2048">
            <v>132</v>
          </cell>
          <cell r="D2048">
            <v>132</v>
          </cell>
          <cell r="E2048">
            <v>4438</v>
          </cell>
          <cell r="F2048">
            <v>4438</v>
          </cell>
          <cell r="G2048" t="str">
            <v>$232.68</v>
          </cell>
          <cell r="H2048" t="str">
            <v>$232.68</v>
          </cell>
          <cell r="I2048">
            <v>24</v>
          </cell>
          <cell r="J2048">
            <v>24</v>
          </cell>
          <cell r="K2048">
            <v>7</v>
          </cell>
          <cell r="L2048">
            <v>7</v>
          </cell>
          <cell r="M2048">
            <v>5.3030303030303032E-2</v>
          </cell>
          <cell r="O2048" t="str">
            <v>$1959</v>
          </cell>
          <cell r="P2048" t="str">
            <v>$1959</v>
          </cell>
          <cell r="Q2048">
            <v>45605</v>
          </cell>
          <cell r="R2048" t="str">
            <v>Hyderabad</v>
          </cell>
          <cell r="S2048" t="str">
            <v>Desktop</v>
          </cell>
          <cell r="T2048" t="str">
            <v>analytics for data</v>
          </cell>
        </row>
        <row r="2049">
          <cell r="A2049" t="str">
            <v>A3047</v>
          </cell>
          <cell r="B2049" t="str">
            <v>Data Analytics Course</v>
          </cell>
          <cell r="C2049">
            <v>136</v>
          </cell>
          <cell r="D2049">
            <v>136</v>
          </cell>
          <cell r="E2049">
            <v>5011</v>
          </cell>
          <cell r="F2049">
            <v>5011</v>
          </cell>
          <cell r="G2049" t="str">
            <v>$236.62</v>
          </cell>
          <cell r="H2049" t="str">
            <v>$236.62</v>
          </cell>
          <cell r="I2049">
            <v>25</v>
          </cell>
          <cell r="J2049">
            <v>25</v>
          </cell>
          <cell r="K2049">
            <v>5</v>
          </cell>
          <cell r="L2049">
            <v>5</v>
          </cell>
          <cell r="M2049">
            <v>3.6764705882352942E-2</v>
          </cell>
          <cell r="N2049">
            <v>3.6999999999999998E-2</v>
          </cell>
          <cell r="O2049" t="str">
            <v>$1582</v>
          </cell>
          <cell r="P2049" t="str">
            <v>$1582</v>
          </cell>
          <cell r="Q2049">
            <v>45599</v>
          </cell>
          <cell r="R2049" t="str">
            <v>Bangaluru</v>
          </cell>
          <cell r="S2049" t="str">
            <v>Mobile</v>
          </cell>
          <cell r="T2049" t="str">
            <v>data analytics course</v>
          </cell>
        </row>
        <row r="2050">
          <cell r="A2050" t="str">
            <v>A3048</v>
          </cell>
          <cell r="B2050" t="str">
            <v>Data Analytics Course</v>
          </cell>
          <cell r="C2050">
            <v>174</v>
          </cell>
          <cell r="D2050">
            <v>174</v>
          </cell>
          <cell r="E2050">
            <v>5864</v>
          </cell>
          <cell r="F2050">
            <v>5864</v>
          </cell>
          <cell r="G2050" t="str">
            <v>$190.45</v>
          </cell>
          <cell r="H2050" t="str">
            <v>$190.45</v>
          </cell>
          <cell r="I2050">
            <v>26</v>
          </cell>
          <cell r="J2050">
            <v>26</v>
          </cell>
          <cell r="K2050">
            <v>5</v>
          </cell>
          <cell r="L2050">
            <v>5</v>
          </cell>
          <cell r="M2050">
            <v>2.8735632183908046E-2</v>
          </cell>
          <cell r="N2050">
            <v>4.4999999999999998E-2</v>
          </cell>
          <cell r="O2050" t="str">
            <v>$1508</v>
          </cell>
          <cell r="P2050" t="str">
            <v>$1508</v>
          </cell>
          <cell r="Q2050">
            <v>45623</v>
          </cell>
          <cell r="R2050" t="str">
            <v>Bangaluru</v>
          </cell>
          <cell r="S2050" t="str">
            <v>Mobile</v>
          </cell>
          <cell r="T2050" t="str">
            <v>data analytics training</v>
          </cell>
        </row>
        <row r="2051">
          <cell r="A2051" t="str">
            <v>A3049</v>
          </cell>
          <cell r="B2051" t="str">
            <v>Data Analytics Course</v>
          </cell>
          <cell r="C2051">
            <v>168</v>
          </cell>
          <cell r="D2051">
            <v>168</v>
          </cell>
          <cell r="E2051">
            <v>5114</v>
          </cell>
          <cell r="F2051">
            <v>5114</v>
          </cell>
          <cell r="G2051" t="str">
            <v>$186.75</v>
          </cell>
          <cell r="H2051" t="str">
            <v>$186.75</v>
          </cell>
          <cell r="I2051">
            <v>10</v>
          </cell>
          <cell r="J2051">
            <v>10</v>
          </cell>
          <cell r="K2051">
            <v>3</v>
          </cell>
          <cell r="L2051">
            <v>3</v>
          </cell>
          <cell r="M2051">
            <v>1.7857142857142856E-2</v>
          </cell>
          <cell r="N2051">
            <v>1.7999999999999999E-2</v>
          </cell>
          <cell r="O2051" t="str">
            <v>$1530</v>
          </cell>
          <cell r="P2051" t="str">
            <v>$1530</v>
          </cell>
          <cell r="Q2051">
            <v>45614</v>
          </cell>
          <cell r="R2051" t="str">
            <v>Hyderabad</v>
          </cell>
          <cell r="S2051" t="str">
            <v>Desktop</v>
          </cell>
          <cell r="T2051" t="str">
            <v>online data analytic</v>
          </cell>
        </row>
        <row r="2052">
          <cell r="A2052" t="str">
            <v>A3050</v>
          </cell>
          <cell r="B2052" t="str">
            <v>Data Analytics Course</v>
          </cell>
          <cell r="C2052">
            <v>117</v>
          </cell>
          <cell r="D2052">
            <v>117</v>
          </cell>
          <cell r="E2052">
            <v>5658</v>
          </cell>
          <cell r="F2052">
            <v>5658</v>
          </cell>
          <cell r="G2052" t="str">
            <v>$191.48</v>
          </cell>
          <cell r="H2052" t="str">
            <v>$191.48</v>
          </cell>
          <cell r="I2052">
            <v>13</v>
          </cell>
          <cell r="J2052">
            <v>13</v>
          </cell>
          <cell r="K2052">
            <v>3</v>
          </cell>
          <cell r="L2052">
            <v>3</v>
          </cell>
          <cell r="M2052">
            <v>2.564102564102564E-2</v>
          </cell>
          <cell r="N2052">
            <v>3.2000000000000001E-2</v>
          </cell>
          <cell r="O2052" t="str">
            <v>$1779</v>
          </cell>
          <cell r="P2052" t="str">
            <v>$1779</v>
          </cell>
          <cell r="Q2052">
            <v>45621</v>
          </cell>
          <cell r="R2052" t="str">
            <v>Hyderabad</v>
          </cell>
          <cell r="S2052" t="str">
            <v>Mobile</v>
          </cell>
          <cell r="T2052" t="str">
            <v>learn data analytics</v>
          </cell>
        </row>
        <row r="2053">
          <cell r="A2053" t="str">
            <v>A3051</v>
          </cell>
          <cell r="B2053" t="str">
            <v>Data Analytics Course</v>
          </cell>
          <cell r="C2053">
            <v>187</v>
          </cell>
          <cell r="D2053">
            <v>187</v>
          </cell>
          <cell r="E2053">
            <v>4876</v>
          </cell>
          <cell r="F2053">
            <v>4876</v>
          </cell>
          <cell r="G2053" t="str">
            <v>$192.2</v>
          </cell>
          <cell r="H2053" t="str">
            <v>$192.2</v>
          </cell>
          <cell r="I2053">
            <v>16</v>
          </cell>
          <cell r="J2053">
            <v>16</v>
          </cell>
          <cell r="K2053">
            <v>5</v>
          </cell>
          <cell r="L2053">
            <v>5</v>
          </cell>
          <cell r="M2053">
            <v>2.6737967914438502E-2</v>
          </cell>
          <cell r="N2053">
            <v>2.7E-2</v>
          </cell>
          <cell r="O2053" t="str">
            <v>$1396</v>
          </cell>
          <cell r="P2053" t="str">
            <v>$1396</v>
          </cell>
          <cell r="Q2053">
            <v>45605</v>
          </cell>
          <cell r="R2053" t="str">
            <v>Hyderabad</v>
          </cell>
          <cell r="S2053" t="str">
            <v>Tablet</v>
          </cell>
          <cell r="T2053" t="str">
            <v>analytics for data</v>
          </cell>
        </row>
        <row r="2054">
          <cell r="A2054" t="str">
            <v>A3052</v>
          </cell>
          <cell r="B2054" t="str">
            <v>Data Analytics Course</v>
          </cell>
          <cell r="C2054">
            <v>138.95699356913184</v>
          </cell>
          <cell r="E2054">
            <v>5139</v>
          </cell>
          <cell r="F2054">
            <v>5139</v>
          </cell>
          <cell r="G2054" t="str">
            <v>$212.2</v>
          </cell>
          <cell r="H2054" t="str">
            <v>$212.2</v>
          </cell>
          <cell r="I2054">
            <v>20</v>
          </cell>
          <cell r="J2054">
            <v>20</v>
          </cell>
          <cell r="K2054">
            <v>10</v>
          </cell>
          <cell r="L2054">
            <v>10</v>
          </cell>
          <cell r="M2054">
            <v>7.1964711837443046E-2</v>
          </cell>
          <cell r="O2054" t="str">
            <v>$1613</v>
          </cell>
          <cell r="P2054" t="str">
            <v>$1613</v>
          </cell>
          <cell r="Q2054">
            <v>45614</v>
          </cell>
          <cell r="R2054" t="str">
            <v>Bangaluru</v>
          </cell>
          <cell r="S2054" t="str">
            <v>Tablet</v>
          </cell>
          <cell r="T2054" t="str">
            <v>online data analytic</v>
          </cell>
        </row>
        <row r="2055">
          <cell r="A2055" t="str">
            <v>A3053</v>
          </cell>
          <cell r="B2055" t="str">
            <v>Data Analytics Course</v>
          </cell>
          <cell r="C2055">
            <v>138.95699356913184</v>
          </cell>
          <cell r="E2055">
            <v>5470</v>
          </cell>
          <cell r="F2055">
            <v>5470</v>
          </cell>
          <cell r="G2055" t="str">
            <v>$210.97</v>
          </cell>
          <cell r="H2055" t="str">
            <v>$210.97</v>
          </cell>
          <cell r="I2055">
            <v>20.519626168224299</v>
          </cell>
          <cell r="K2055">
            <v>7</v>
          </cell>
          <cell r="L2055">
            <v>7</v>
          </cell>
          <cell r="M2055">
            <v>5.0375298286210138E-2</v>
          </cell>
          <cell r="O2055" t="str">
            <v>$1928</v>
          </cell>
          <cell r="P2055" t="str">
            <v>$1928</v>
          </cell>
          <cell r="Q2055">
            <v>45617</v>
          </cell>
          <cell r="R2055" t="str">
            <v>Bangaluru</v>
          </cell>
          <cell r="S2055" t="str">
            <v>Desktop</v>
          </cell>
          <cell r="T2055" t="str">
            <v>data analytics online</v>
          </cell>
        </row>
        <row r="2056">
          <cell r="A2056" t="str">
            <v>A3054</v>
          </cell>
          <cell r="B2056" t="str">
            <v>Data Analytics Course</v>
          </cell>
          <cell r="C2056">
            <v>112</v>
          </cell>
          <cell r="D2056">
            <v>112</v>
          </cell>
          <cell r="E2056">
            <v>5143</v>
          </cell>
          <cell r="F2056">
            <v>5143</v>
          </cell>
          <cell r="G2056" t="str">
            <v>$242.96</v>
          </cell>
          <cell r="H2056" t="str">
            <v>$242.96</v>
          </cell>
          <cell r="I2056">
            <v>18</v>
          </cell>
          <cell r="J2056">
            <v>18</v>
          </cell>
          <cell r="K2056">
            <v>3</v>
          </cell>
          <cell r="L2056">
            <v>3</v>
          </cell>
          <cell r="M2056">
            <v>2.6785714285714284E-2</v>
          </cell>
          <cell r="N2056">
            <v>2.7E-2</v>
          </cell>
          <cell r="O2056" t="str">
            <v>$1029</v>
          </cell>
          <cell r="P2056" t="str">
            <v>$1029</v>
          </cell>
          <cell r="Q2056">
            <v>45603</v>
          </cell>
          <cell r="R2056" t="str">
            <v>Hyderabad</v>
          </cell>
          <cell r="S2056" t="str">
            <v>Mobile</v>
          </cell>
          <cell r="T2056" t="str">
            <v>data analytics training</v>
          </cell>
        </row>
        <row r="2057">
          <cell r="A2057" t="str">
            <v>A3055</v>
          </cell>
          <cell r="B2057" t="str">
            <v>Data Analytcis Course</v>
          </cell>
          <cell r="C2057">
            <v>124</v>
          </cell>
          <cell r="D2057">
            <v>124</v>
          </cell>
          <cell r="E2057">
            <v>4523.2808326787117</v>
          </cell>
          <cell r="G2057" t="str">
            <v>$209.92</v>
          </cell>
          <cell r="H2057" t="str">
            <v>$209.92</v>
          </cell>
          <cell r="I2057">
            <v>15</v>
          </cell>
          <cell r="J2057">
            <v>15</v>
          </cell>
          <cell r="K2057">
            <v>4</v>
          </cell>
          <cell r="L2057">
            <v>4</v>
          </cell>
          <cell r="M2057">
            <v>3.2258064516129031E-2</v>
          </cell>
          <cell r="N2057">
            <v>3.2000000000000001E-2</v>
          </cell>
          <cell r="O2057" t="str">
            <v>$1500</v>
          </cell>
          <cell r="Q2057">
            <v>45621</v>
          </cell>
          <cell r="R2057" t="str">
            <v>Chennai</v>
          </cell>
          <cell r="S2057" t="str">
            <v>Desktop</v>
          </cell>
          <cell r="T2057" t="str">
            <v>data analytics online</v>
          </cell>
        </row>
        <row r="2058">
          <cell r="A2058" t="str">
            <v>A3056</v>
          </cell>
          <cell r="B2058" t="str">
            <v>Data Analytics Course</v>
          </cell>
          <cell r="C2058">
            <v>132</v>
          </cell>
          <cell r="D2058">
            <v>132</v>
          </cell>
          <cell r="E2058">
            <v>4769</v>
          </cell>
          <cell r="F2058">
            <v>4769</v>
          </cell>
          <cell r="G2058" t="str">
            <v>$236.41</v>
          </cell>
          <cell r="H2058" t="str">
            <v>$236.41</v>
          </cell>
          <cell r="I2058">
            <v>15</v>
          </cell>
          <cell r="J2058">
            <v>15</v>
          </cell>
          <cell r="K2058">
            <v>4</v>
          </cell>
          <cell r="L2058">
            <v>4</v>
          </cell>
          <cell r="M2058">
            <v>3.0303030303030304E-2</v>
          </cell>
          <cell r="N2058">
            <v>0.03</v>
          </cell>
          <cell r="O2058" t="str">
            <v>$1500</v>
          </cell>
          <cell r="Q2058">
            <v>45622</v>
          </cell>
          <cell r="R2058" t="str">
            <v>Bangaluru</v>
          </cell>
          <cell r="S2058" t="str">
            <v>Tablet</v>
          </cell>
          <cell r="T2058" t="str">
            <v>analytics for data</v>
          </cell>
        </row>
        <row r="2059">
          <cell r="A2059" t="str">
            <v>A3057</v>
          </cell>
          <cell r="B2059" t="str">
            <v>Data Analytcis Course</v>
          </cell>
          <cell r="C2059">
            <v>167</v>
          </cell>
          <cell r="D2059">
            <v>167</v>
          </cell>
          <cell r="E2059">
            <v>3366</v>
          </cell>
          <cell r="F2059">
            <v>3366</v>
          </cell>
          <cell r="G2059" t="str">
            <v>$213.02</v>
          </cell>
          <cell r="H2059" t="str">
            <v>$213.02</v>
          </cell>
          <cell r="I2059">
            <v>28</v>
          </cell>
          <cell r="J2059">
            <v>28</v>
          </cell>
          <cell r="K2059">
            <v>4</v>
          </cell>
          <cell r="L2059">
            <v>4</v>
          </cell>
          <cell r="M2059">
            <v>2.3952095808383235E-2</v>
          </cell>
          <cell r="N2059">
            <v>5.8999999999999997E-2</v>
          </cell>
          <cell r="O2059" t="str">
            <v>$1159</v>
          </cell>
          <cell r="P2059" t="str">
            <v>$1159</v>
          </cell>
          <cell r="Q2059">
            <v>45610</v>
          </cell>
          <cell r="R2059" t="str">
            <v>Bangaluru</v>
          </cell>
          <cell r="S2059" t="str">
            <v>Mobile</v>
          </cell>
          <cell r="T2059" t="str">
            <v>data analytics course</v>
          </cell>
        </row>
        <row r="2060">
          <cell r="A2060" t="str">
            <v>A3058</v>
          </cell>
          <cell r="B2060" t="str">
            <v>Data Analytics Course</v>
          </cell>
          <cell r="C2060">
            <v>165</v>
          </cell>
          <cell r="D2060">
            <v>165</v>
          </cell>
          <cell r="E2060">
            <v>5228</v>
          </cell>
          <cell r="F2060">
            <v>5228</v>
          </cell>
          <cell r="G2060" t="str">
            <v>$199.73</v>
          </cell>
          <cell r="H2060" t="str">
            <v>$199.73</v>
          </cell>
          <cell r="I2060">
            <v>27</v>
          </cell>
          <cell r="J2060">
            <v>27</v>
          </cell>
          <cell r="K2060">
            <v>3</v>
          </cell>
          <cell r="L2060">
            <v>3</v>
          </cell>
          <cell r="M2060">
            <v>1.8181818181818181E-2</v>
          </cell>
          <cell r="N2060">
            <v>0.04</v>
          </cell>
          <cell r="O2060" t="str">
            <v>$1829</v>
          </cell>
          <cell r="P2060" t="str">
            <v>$1829</v>
          </cell>
          <cell r="Q2060">
            <v>45601</v>
          </cell>
          <cell r="R2060" t="str">
            <v>Hyderabad</v>
          </cell>
          <cell r="S2060" t="str">
            <v>Mobile</v>
          </cell>
          <cell r="T2060" t="str">
            <v>analytics for data</v>
          </cell>
        </row>
        <row r="2061">
          <cell r="A2061" t="str">
            <v>A3059</v>
          </cell>
          <cell r="B2061" t="str">
            <v>Data Analytics Course</v>
          </cell>
          <cell r="C2061">
            <v>108</v>
          </cell>
          <cell r="D2061">
            <v>108</v>
          </cell>
          <cell r="E2061">
            <v>4266</v>
          </cell>
          <cell r="F2061">
            <v>4266</v>
          </cell>
          <cell r="G2061" t="str">
            <v>$220.02</v>
          </cell>
          <cell r="H2061" t="str">
            <v>$220.02</v>
          </cell>
          <cell r="I2061">
            <v>24</v>
          </cell>
          <cell r="J2061">
            <v>24</v>
          </cell>
          <cell r="K2061">
            <v>5</v>
          </cell>
          <cell r="L2061">
            <v>5</v>
          </cell>
          <cell r="M2061">
            <v>4.6296296296296294E-2</v>
          </cell>
          <cell r="O2061" t="str">
            <v>$1282</v>
          </cell>
          <cell r="P2061" t="str">
            <v>$1282</v>
          </cell>
          <cell r="Q2061">
            <v>45619</v>
          </cell>
          <cell r="R2061" t="str">
            <v>Hyderabad</v>
          </cell>
          <cell r="S2061" t="str">
            <v>Mobile</v>
          </cell>
          <cell r="T2061" t="str">
            <v>data analytics training</v>
          </cell>
        </row>
        <row r="2062">
          <cell r="A2062" t="str">
            <v>A3060</v>
          </cell>
          <cell r="B2062" t="str">
            <v>Data Analytcis Course</v>
          </cell>
          <cell r="C2062">
            <v>182</v>
          </cell>
          <cell r="D2062">
            <v>182</v>
          </cell>
          <cell r="E2062">
            <v>5102</v>
          </cell>
          <cell r="F2062">
            <v>5102</v>
          </cell>
          <cell r="G2062" t="str">
            <v>$226.22</v>
          </cell>
          <cell r="H2062" t="str">
            <v>$226.22</v>
          </cell>
          <cell r="I2062">
            <v>16</v>
          </cell>
          <cell r="J2062">
            <v>16</v>
          </cell>
          <cell r="K2062">
            <v>10</v>
          </cell>
          <cell r="L2062">
            <v>10</v>
          </cell>
          <cell r="M2062">
            <v>5.4945054945054944E-2</v>
          </cell>
          <cell r="N2062">
            <v>0.06</v>
          </cell>
          <cell r="O2062" t="str">
            <v>$1600</v>
          </cell>
          <cell r="P2062" t="str">
            <v>$1600</v>
          </cell>
          <cell r="Q2062">
            <v>45603</v>
          </cell>
          <cell r="R2062" t="str">
            <v>Chennai</v>
          </cell>
          <cell r="S2062" t="str">
            <v>Mobile</v>
          </cell>
          <cell r="T2062" t="str">
            <v>data analytics course</v>
          </cell>
        </row>
        <row r="2063">
          <cell r="A2063" t="str">
            <v>A3061</v>
          </cell>
          <cell r="B2063" t="str">
            <v>Data Analytics Course</v>
          </cell>
          <cell r="C2063">
            <v>91</v>
          </cell>
          <cell r="D2063">
            <v>91</v>
          </cell>
          <cell r="E2063">
            <v>3787</v>
          </cell>
          <cell r="F2063">
            <v>3787</v>
          </cell>
          <cell r="G2063" t="str">
            <v>$226.17</v>
          </cell>
          <cell r="H2063" t="str">
            <v>$226.17</v>
          </cell>
          <cell r="I2063">
            <v>26</v>
          </cell>
          <cell r="J2063">
            <v>26</v>
          </cell>
          <cell r="K2063">
            <v>8</v>
          </cell>
          <cell r="L2063">
            <v>8</v>
          </cell>
          <cell r="M2063">
            <v>8.7912087912087919E-2</v>
          </cell>
          <cell r="N2063">
            <v>8.7999999999999995E-2</v>
          </cell>
          <cell r="O2063" t="str">
            <v>$1493</v>
          </cell>
          <cell r="P2063" t="str">
            <v>$1493</v>
          </cell>
          <cell r="Q2063">
            <v>45606</v>
          </cell>
          <cell r="R2063" t="str">
            <v>Bangaluru</v>
          </cell>
          <cell r="S2063" t="str">
            <v>Tablet</v>
          </cell>
          <cell r="T2063" t="str">
            <v>data analytics course</v>
          </cell>
        </row>
        <row r="2064">
          <cell r="A2064" t="str">
            <v>A3062</v>
          </cell>
          <cell r="B2064" t="str">
            <v>Data Analytics Course</v>
          </cell>
          <cell r="C2064">
            <v>194</v>
          </cell>
          <cell r="D2064">
            <v>194</v>
          </cell>
          <cell r="E2064">
            <v>4598</v>
          </cell>
          <cell r="F2064">
            <v>4598</v>
          </cell>
          <cell r="G2064" t="str">
            <v>$233.86</v>
          </cell>
          <cell r="H2064" t="str">
            <v>$233.86</v>
          </cell>
          <cell r="I2064">
            <v>25</v>
          </cell>
          <cell r="J2064">
            <v>25</v>
          </cell>
          <cell r="K2064">
            <v>4</v>
          </cell>
          <cell r="L2064">
            <v>4</v>
          </cell>
          <cell r="M2064">
            <v>2.0618556701030927E-2</v>
          </cell>
          <cell r="O2064" t="str">
            <v>$1565</v>
          </cell>
          <cell r="P2064" t="str">
            <v>$1565</v>
          </cell>
          <cell r="Q2064">
            <v>45601</v>
          </cell>
          <cell r="R2064" t="str">
            <v>Bangaluru</v>
          </cell>
          <cell r="S2064" t="str">
            <v>Tablet</v>
          </cell>
          <cell r="T2064" t="str">
            <v>data analytics online</v>
          </cell>
        </row>
        <row r="2065">
          <cell r="A2065" t="str">
            <v>A3063</v>
          </cell>
          <cell r="B2065" t="str">
            <v>Data Analytics Course</v>
          </cell>
          <cell r="C2065">
            <v>189</v>
          </cell>
          <cell r="D2065">
            <v>189</v>
          </cell>
          <cell r="E2065">
            <v>5404</v>
          </cell>
          <cell r="F2065">
            <v>5404</v>
          </cell>
          <cell r="G2065" t="str">
            <v>$218.41</v>
          </cell>
          <cell r="H2065" t="str">
            <v>$218.41</v>
          </cell>
          <cell r="I2065">
            <v>17</v>
          </cell>
          <cell r="J2065">
            <v>17</v>
          </cell>
          <cell r="K2065">
            <v>10</v>
          </cell>
          <cell r="L2065">
            <v>10</v>
          </cell>
          <cell r="M2065">
            <v>5.2910052910052907E-2</v>
          </cell>
          <cell r="N2065">
            <v>5.2999999999999999E-2</v>
          </cell>
          <cell r="O2065" t="str">
            <v>$1418</v>
          </cell>
          <cell r="P2065" t="str">
            <v>$1418</v>
          </cell>
          <cell r="Q2065">
            <v>45620</v>
          </cell>
          <cell r="R2065" t="str">
            <v>Hyderabad</v>
          </cell>
          <cell r="S2065" t="str">
            <v>Mobile</v>
          </cell>
          <cell r="T2065" t="str">
            <v>learn data analytics</v>
          </cell>
        </row>
        <row r="2066">
          <cell r="A2066" t="str">
            <v>A3064</v>
          </cell>
          <cell r="B2066" t="str">
            <v>Data Analytics Course</v>
          </cell>
          <cell r="C2066">
            <v>85</v>
          </cell>
          <cell r="D2066">
            <v>85</v>
          </cell>
          <cell r="E2066">
            <v>4432</v>
          </cell>
          <cell r="F2066">
            <v>4432</v>
          </cell>
          <cell r="G2066" t="str">
            <v>$214.79</v>
          </cell>
          <cell r="H2066" t="str">
            <v>$214.79</v>
          </cell>
          <cell r="I2066">
            <v>22</v>
          </cell>
          <cell r="J2066">
            <v>22</v>
          </cell>
          <cell r="K2066">
            <v>7</v>
          </cell>
          <cell r="L2066">
            <v>7</v>
          </cell>
          <cell r="M2066">
            <v>8.2352941176470587E-2</v>
          </cell>
          <cell r="N2066">
            <v>8.2000000000000003E-2</v>
          </cell>
          <cell r="O2066" t="str">
            <v>$1262</v>
          </cell>
          <cell r="P2066" t="str">
            <v>$1262</v>
          </cell>
          <cell r="Q2066">
            <v>45619</v>
          </cell>
          <cell r="R2066" t="str">
            <v>Chennai</v>
          </cell>
          <cell r="S2066" t="str">
            <v>Tablet</v>
          </cell>
          <cell r="T2066" t="str">
            <v>data analytics online</v>
          </cell>
        </row>
        <row r="2067">
          <cell r="A2067" t="str">
            <v>A3065</v>
          </cell>
          <cell r="B2067" t="str">
            <v>Data Analytics Course</v>
          </cell>
          <cell r="C2067">
            <v>162</v>
          </cell>
          <cell r="D2067">
            <v>162</v>
          </cell>
          <cell r="E2067">
            <v>4016</v>
          </cell>
          <cell r="F2067">
            <v>4016</v>
          </cell>
          <cell r="G2067" t="str">
            <v>$224.48</v>
          </cell>
          <cell r="H2067" t="str">
            <v>$224.48</v>
          </cell>
          <cell r="I2067">
            <v>28</v>
          </cell>
          <cell r="J2067">
            <v>28</v>
          </cell>
          <cell r="K2067">
            <v>10</v>
          </cell>
          <cell r="L2067">
            <v>10</v>
          </cell>
          <cell r="M2067">
            <v>6.1728395061728392E-2</v>
          </cell>
          <cell r="N2067">
            <v>4.1000000000000002E-2</v>
          </cell>
          <cell r="O2067" t="str">
            <v>$1060</v>
          </cell>
          <cell r="P2067" t="str">
            <v>$1060</v>
          </cell>
          <cell r="Q2067">
            <v>45615</v>
          </cell>
          <cell r="R2067" t="str">
            <v>Bangaluru</v>
          </cell>
          <cell r="S2067" t="str">
            <v>Mobile</v>
          </cell>
          <cell r="T2067" t="str">
            <v>data analytics training</v>
          </cell>
        </row>
        <row r="2068">
          <cell r="A2068" t="str">
            <v>A3066</v>
          </cell>
          <cell r="B2068" t="str">
            <v>Data Analytcis Course</v>
          </cell>
          <cell r="C2068">
            <v>138.95699356913184</v>
          </cell>
          <cell r="E2068">
            <v>5379</v>
          </cell>
          <cell r="F2068">
            <v>5379</v>
          </cell>
          <cell r="G2068" t="str">
            <v>$248.46</v>
          </cell>
          <cell r="H2068" t="str">
            <v>$248.46</v>
          </cell>
          <cell r="I2068">
            <v>28</v>
          </cell>
          <cell r="J2068">
            <v>28</v>
          </cell>
          <cell r="K2068">
            <v>5</v>
          </cell>
          <cell r="L2068">
            <v>5</v>
          </cell>
          <cell r="M2068">
            <v>3.5982355918721523E-2</v>
          </cell>
          <cell r="O2068" t="str">
            <v>$1881</v>
          </cell>
          <cell r="P2068" t="str">
            <v>$1881</v>
          </cell>
          <cell r="Q2068">
            <v>45623</v>
          </cell>
          <cell r="R2068" t="str">
            <v>Bangaluru</v>
          </cell>
          <cell r="S2068" t="str">
            <v>Desktop</v>
          </cell>
          <cell r="T2068" t="str">
            <v>online data analytic</v>
          </cell>
        </row>
        <row r="2069">
          <cell r="A2069" t="str">
            <v>A3067</v>
          </cell>
          <cell r="B2069" t="str">
            <v>Data Analytcis Course</v>
          </cell>
          <cell r="C2069">
            <v>88</v>
          </cell>
          <cell r="D2069">
            <v>88</v>
          </cell>
          <cell r="E2069">
            <v>5093</v>
          </cell>
          <cell r="F2069">
            <v>5093</v>
          </cell>
          <cell r="G2069" t="str">
            <v>$222.28</v>
          </cell>
          <cell r="H2069" t="str">
            <v>$222.28</v>
          </cell>
          <cell r="I2069">
            <v>13</v>
          </cell>
          <cell r="J2069">
            <v>13</v>
          </cell>
          <cell r="K2069">
            <v>9</v>
          </cell>
          <cell r="L2069">
            <v>9</v>
          </cell>
          <cell r="M2069">
            <v>0.10227272727272728</v>
          </cell>
          <cell r="N2069">
            <v>0.05</v>
          </cell>
          <cell r="O2069" t="str">
            <v>$1185</v>
          </cell>
          <cell r="P2069" t="str">
            <v>$1185</v>
          </cell>
          <cell r="Q2069">
            <v>45605</v>
          </cell>
          <cell r="R2069" t="str">
            <v>Hyderabad</v>
          </cell>
          <cell r="S2069" t="str">
            <v>Desktop</v>
          </cell>
          <cell r="T2069" t="str">
            <v>online data analytic</v>
          </cell>
        </row>
        <row r="2070">
          <cell r="A2070" t="str">
            <v>A3068</v>
          </cell>
          <cell r="B2070" t="str">
            <v>Data Analytics Course</v>
          </cell>
          <cell r="C2070">
            <v>121</v>
          </cell>
          <cell r="D2070">
            <v>121</v>
          </cell>
          <cell r="E2070">
            <v>5092</v>
          </cell>
          <cell r="F2070">
            <v>5092</v>
          </cell>
          <cell r="G2070" t="str">
            <v>$219.15</v>
          </cell>
          <cell r="H2070" t="str">
            <v>$219.15</v>
          </cell>
          <cell r="I2070">
            <v>21</v>
          </cell>
          <cell r="J2070">
            <v>21</v>
          </cell>
          <cell r="K2070">
            <v>6</v>
          </cell>
          <cell r="L2070">
            <v>6</v>
          </cell>
          <cell r="M2070">
            <v>4.9586776859504134E-2</v>
          </cell>
          <cell r="N2070">
            <v>0.05</v>
          </cell>
          <cell r="O2070" t="str">
            <v>$1864</v>
          </cell>
          <cell r="P2070" t="str">
            <v>$1864</v>
          </cell>
          <cell r="Q2070">
            <v>45600</v>
          </cell>
          <cell r="R2070" t="str">
            <v>Hyderabad</v>
          </cell>
          <cell r="S2070" t="str">
            <v>Desktop</v>
          </cell>
          <cell r="T2070" t="str">
            <v>analytics for data</v>
          </cell>
        </row>
        <row r="2071">
          <cell r="A2071" t="str">
            <v>A3069</v>
          </cell>
          <cell r="B2071" t="str">
            <v>Data Analytics Course</v>
          </cell>
          <cell r="C2071">
            <v>81</v>
          </cell>
          <cell r="D2071">
            <v>81</v>
          </cell>
          <cell r="E2071">
            <v>3015</v>
          </cell>
          <cell r="F2071">
            <v>3015</v>
          </cell>
          <cell r="G2071" t="str">
            <v>$218.69</v>
          </cell>
          <cell r="H2071" t="str">
            <v>$218.69</v>
          </cell>
          <cell r="I2071">
            <v>10</v>
          </cell>
          <cell r="J2071">
            <v>10</v>
          </cell>
          <cell r="K2071">
            <v>7</v>
          </cell>
          <cell r="L2071">
            <v>7</v>
          </cell>
          <cell r="M2071">
            <v>8.6419753086419748E-2</v>
          </cell>
          <cell r="N2071">
            <v>8.5999999999999993E-2</v>
          </cell>
          <cell r="O2071" t="str">
            <v>$1550</v>
          </cell>
          <cell r="P2071" t="str">
            <v>$1550</v>
          </cell>
          <cell r="Q2071">
            <v>45623</v>
          </cell>
          <cell r="R2071" t="str">
            <v>Hyderabad</v>
          </cell>
          <cell r="S2071" t="str">
            <v>Desktop</v>
          </cell>
          <cell r="T2071" t="str">
            <v>learn data analytics</v>
          </cell>
        </row>
        <row r="2072">
          <cell r="A2072" t="str">
            <v>A3070</v>
          </cell>
          <cell r="B2072" t="str">
            <v>Data Analytcis Course</v>
          </cell>
          <cell r="C2072">
            <v>125</v>
          </cell>
          <cell r="D2072">
            <v>125</v>
          </cell>
          <cell r="E2072">
            <v>3745</v>
          </cell>
          <cell r="F2072">
            <v>3745</v>
          </cell>
          <cell r="G2072" t="str">
            <v>$206.93</v>
          </cell>
          <cell r="H2072" t="str">
            <v>$206.93</v>
          </cell>
          <cell r="I2072">
            <v>24</v>
          </cell>
          <cell r="J2072">
            <v>24</v>
          </cell>
          <cell r="K2072">
            <v>3</v>
          </cell>
          <cell r="L2072">
            <v>3</v>
          </cell>
          <cell r="M2072">
            <v>2.4E-2</v>
          </cell>
          <cell r="N2072">
            <v>2.4E-2</v>
          </cell>
          <cell r="O2072" t="str">
            <v>$1619</v>
          </cell>
          <cell r="P2072" t="str">
            <v>$1619</v>
          </cell>
          <cell r="Q2072">
            <v>45604</v>
          </cell>
          <cell r="R2072" t="str">
            <v>Chennai</v>
          </cell>
          <cell r="S2072" t="str">
            <v>Tablet</v>
          </cell>
          <cell r="T2072" t="str">
            <v>data analytics course</v>
          </cell>
        </row>
        <row r="2073">
          <cell r="A2073" t="str">
            <v>A3071</v>
          </cell>
          <cell r="B2073" t="str">
            <v>Data Analytics Course</v>
          </cell>
          <cell r="C2073">
            <v>188</v>
          </cell>
          <cell r="D2073">
            <v>188</v>
          </cell>
          <cell r="E2073">
            <v>5046</v>
          </cell>
          <cell r="F2073">
            <v>5046</v>
          </cell>
          <cell r="G2073" t="str">
            <v>$202.52</v>
          </cell>
          <cell r="H2073" t="str">
            <v>$202.52</v>
          </cell>
          <cell r="I2073">
            <v>18</v>
          </cell>
          <cell r="J2073">
            <v>18</v>
          </cell>
          <cell r="K2073">
            <v>10</v>
          </cell>
          <cell r="L2073">
            <v>10</v>
          </cell>
          <cell r="M2073">
            <v>5.3191489361702128E-2</v>
          </cell>
          <cell r="N2073">
            <v>0.06</v>
          </cell>
          <cell r="O2073" t="str">
            <v>$1625</v>
          </cell>
          <cell r="P2073" t="str">
            <v>$1625</v>
          </cell>
          <cell r="Q2073">
            <v>45601</v>
          </cell>
          <cell r="R2073" t="str">
            <v>Hyderabad</v>
          </cell>
          <cell r="S2073" t="str">
            <v>Tablet</v>
          </cell>
          <cell r="T2073" t="str">
            <v>online data analytic</v>
          </cell>
        </row>
        <row r="2074">
          <cell r="A2074" t="str">
            <v>A3072</v>
          </cell>
          <cell r="B2074" t="str">
            <v>Data Analytics Course</v>
          </cell>
          <cell r="C2074">
            <v>99</v>
          </cell>
          <cell r="D2074">
            <v>99</v>
          </cell>
          <cell r="E2074">
            <v>4032</v>
          </cell>
          <cell r="F2074">
            <v>4032</v>
          </cell>
          <cell r="G2074" t="str">
            <v>$186.45</v>
          </cell>
          <cell r="H2074" t="str">
            <v>$186.45</v>
          </cell>
          <cell r="I2074">
            <v>19</v>
          </cell>
          <cell r="J2074">
            <v>19</v>
          </cell>
          <cell r="K2074">
            <v>5</v>
          </cell>
          <cell r="L2074">
            <v>5</v>
          </cell>
          <cell r="M2074">
            <v>5.0505050505050504E-2</v>
          </cell>
          <cell r="O2074" t="str">
            <v>$1074</v>
          </cell>
          <cell r="P2074" t="str">
            <v>$1074</v>
          </cell>
          <cell r="Q2074">
            <v>45599</v>
          </cell>
          <cell r="R2074" t="str">
            <v>Hyderabad</v>
          </cell>
          <cell r="S2074" t="str">
            <v>Desktop</v>
          </cell>
          <cell r="T2074" t="str">
            <v>data analytics course</v>
          </cell>
        </row>
        <row r="2075">
          <cell r="A2075" t="str">
            <v>A3073</v>
          </cell>
          <cell r="B2075" t="str">
            <v>Data Analytcis Course</v>
          </cell>
          <cell r="C2075">
            <v>170</v>
          </cell>
          <cell r="D2075">
            <v>170</v>
          </cell>
          <cell r="E2075">
            <v>3879</v>
          </cell>
          <cell r="F2075">
            <v>3879</v>
          </cell>
          <cell r="G2075" t="str">
            <v>$245.0</v>
          </cell>
          <cell r="H2075" t="str">
            <v>$245.0</v>
          </cell>
          <cell r="I2075">
            <v>29</v>
          </cell>
          <cell r="J2075">
            <v>29</v>
          </cell>
          <cell r="K2075">
            <v>6.5296442687747032</v>
          </cell>
          <cell r="M2075">
            <v>3.8409672169262957E-2</v>
          </cell>
          <cell r="O2075" t="str">
            <v>$1202</v>
          </cell>
          <cell r="P2075" t="str">
            <v>$1202</v>
          </cell>
          <cell r="Q2075">
            <v>45622</v>
          </cell>
          <cell r="R2075" t="str">
            <v>Bangaluru</v>
          </cell>
          <cell r="S2075" t="str">
            <v>Tablet</v>
          </cell>
          <cell r="T2075" t="str">
            <v>data analytics course</v>
          </cell>
        </row>
        <row r="2076">
          <cell r="A2076" t="str">
            <v>A3074</v>
          </cell>
          <cell r="B2076" t="str">
            <v>Data Analytics Course</v>
          </cell>
          <cell r="C2076">
            <v>105</v>
          </cell>
          <cell r="D2076">
            <v>105</v>
          </cell>
          <cell r="E2076">
            <v>4968</v>
          </cell>
          <cell r="F2076">
            <v>4968</v>
          </cell>
          <cell r="G2076" t="str">
            <v>$188.38</v>
          </cell>
          <cell r="H2076" t="str">
            <v>$188.38</v>
          </cell>
          <cell r="I2076">
            <v>14</v>
          </cell>
          <cell r="J2076">
            <v>14</v>
          </cell>
          <cell r="K2076">
            <v>5</v>
          </cell>
          <cell r="L2076">
            <v>5</v>
          </cell>
          <cell r="M2076">
            <v>4.7619047619047616E-2</v>
          </cell>
          <cell r="O2076" t="str">
            <v>$1135</v>
          </cell>
          <cell r="P2076" t="str">
            <v>$1135</v>
          </cell>
          <cell r="Q2076">
            <v>45617</v>
          </cell>
          <cell r="R2076" t="str">
            <v>Bangaluru</v>
          </cell>
          <cell r="S2076" t="str">
            <v>Tablet</v>
          </cell>
          <cell r="T2076" t="str">
            <v>learn data analytics</v>
          </cell>
        </row>
        <row r="2077">
          <cell r="A2077" t="str">
            <v>A3075</v>
          </cell>
          <cell r="B2077" t="str">
            <v>Data Analytics Course</v>
          </cell>
          <cell r="C2077">
            <v>173</v>
          </cell>
          <cell r="D2077">
            <v>173</v>
          </cell>
          <cell r="E2077">
            <v>5872</v>
          </cell>
          <cell r="F2077">
            <v>5872</v>
          </cell>
          <cell r="G2077" t="str">
            <v>$190.3</v>
          </cell>
          <cell r="H2077" t="str">
            <v>$190.3</v>
          </cell>
          <cell r="I2077">
            <v>24</v>
          </cell>
          <cell r="J2077">
            <v>24</v>
          </cell>
          <cell r="K2077">
            <v>5</v>
          </cell>
          <cell r="L2077">
            <v>5</v>
          </cell>
          <cell r="M2077">
            <v>2.8901734104046242E-2</v>
          </cell>
          <cell r="N2077">
            <v>2.9000000000000001E-2</v>
          </cell>
          <cell r="O2077" t="str">
            <v>$1953</v>
          </cell>
          <cell r="P2077" t="str">
            <v>$1953</v>
          </cell>
          <cell r="Q2077">
            <v>45622</v>
          </cell>
          <cell r="R2077" t="str">
            <v>Hyderabad</v>
          </cell>
          <cell r="S2077" t="str">
            <v>Tablet</v>
          </cell>
          <cell r="T2077" t="str">
            <v>data analytics online</v>
          </cell>
        </row>
        <row r="2078">
          <cell r="A2078" t="str">
            <v>A3076</v>
          </cell>
          <cell r="B2078" t="str">
            <v>Data Analytics Course</v>
          </cell>
          <cell r="C2078">
            <v>186</v>
          </cell>
          <cell r="D2078">
            <v>186</v>
          </cell>
          <cell r="E2078">
            <v>3058</v>
          </cell>
          <cell r="F2078">
            <v>3058</v>
          </cell>
          <cell r="G2078" t="str">
            <v>$230.71</v>
          </cell>
          <cell r="H2078" t="str">
            <v>$230.71</v>
          </cell>
          <cell r="I2078">
            <v>27</v>
          </cell>
          <cell r="J2078">
            <v>27</v>
          </cell>
          <cell r="K2078">
            <v>7</v>
          </cell>
          <cell r="L2078">
            <v>7</v>
          </cell>
          <cell r="M2078">
            <v>3.7634408602150539E-2</v>
          </cell>
          <cell r="N2078">
            <v>3.7999999999999999E-2</v>
          </cell>
          <cell r="O2078" t="str">
            <v>$1500</v>
          </cell>
          <cell r="Q2078">
            <v>45619</v>
          </cell>
          <cell r="R2078" t="str">
            <v>Hyderabad</v>
          </cell>
          <cell r="S2078" t="str">
            <v>Mobile</v>
          </cell>
          <cell r="T2078" t="str">
            <v>analytics for data</v>
          </cell>
        </row>
        <row r="2079">
          <cell r="A2079" t="str">
            <v>A3077</v>
          </cell>
          <cell r="B2079" t="str">
            <v>Data Analytics Course</v>
          </cell>
          <cell r="C2079">
            <v>143</v>
          </cell>
          <cell r="D2079">
            <v>143</v>
          </cell>
          <cell r="E2079">
            <v>3109</v>
          </cell>
          <cell r="F2079">
            <v>3109</v>
          </cell>
          <cell r="G2079" t="str">
            <v>$246.92</v>
          </cell>
          <cell r="H2079" t="str">
            <v>$246.92</v>
          </cell>
          <cell r="I2079">
            <v>22</v>
          </cell>
          <cell r="J2079">
            <v>22</v>
          </cell>
          <cell r="K2079">
            <v>5</v>
          </cell>
          <cell r="L2079">
            <v>5</v>
          </cell>
          <cell r="M2079">
            <v>3.4965034965034968E-2</v>
          </cell>
          <cell r="N2079">
            <v>3.5000000000000003E-2</v>
          </cell>
          <cell r="O2079" t="str">
            <v>$1589</v>
          </cell>
          <cell r="P2079" t="str">
            <v>$1589</v>
          </cell>
          <cell r="Q2079">
            <v>45609</v>
          </cell>
          <cell r="R2079" t="str">
            <v>Hyderabad</v>
          </cell>
          <cell r="S2079" t="str">
            <v>Tablet</v>
          </cell>
          <cell r="T2079" t="str">
            <v>learn data analytics</v>
          </cell>
        </row>
        <row r="2080">
          <cell r="A2080" t="str">
            <v>A3078</v>
          </cell>
          <cell r="B2080" t="str">
            <v>Data Analytics Course</v>
          </cell>
          <cell r="C2080">
            <v>124</v>
          </cell>
          <cell r="D2080">
            <v>124</v>
          </cell>
          <cell r="E2080">
            <v>5415</v>
          </cell>
          <cell r="F2080">
            <v>5415</v>
          </cell>
          <cell r="G2080" t="str">
            <v>$217.55</v>
          </cell>
          <cell r="H2080" t="str">
            <v>$217.55</v>
          </cell>
          <cell r="I2080">
            <v>20.485322896281801</v>
          </cell>
          <cell r="K2080">
            <v>4</v>
          </cell>
          <cell r="L2080">
            <v>4</v>
          </cell>
          <cell r="M2080">
            <v>3.2258064516129031E-2</v>
          </cell>
          <cell r="N2080">
            <v>3.2000000000000001E-2</v>
          </cell>
          <cell r="O2080" t="str">
            <v>$1258</v>
          </cell>
          <cell r="P2080" t="str">
            <v>$1258</v>
          </cell>
          <cell r="Q2080">
            <v>45623</v>
          </cell>
          <cell r="R2080" t="str">
            <v>Chennai</v>
          </cell>
          <cell r="S2080" t="str">
            <v>Desktop</v>
          </cell>
          <cell r="T2080" t="str">
            <v>data analytics online</v>
          </cell>
        </row>
        <row r="2081">
          <cell r="A2081" t="str">
            <v>A3079</v>
          </cell>
          <cell r="B2081" t="str">
            <v>Data Analytics Course</v>
          </cell>
          <cell r="C2081">
            <v>154</v>
          </cell>
          <cell r="D2081">
            <v>154</v>
          </cell>
          <cell r="E2081">
            <v>5633</v>
          </cell>
          <cell r="F2081">
            <v>5633</v>
          </cell>
          <cell r="G2081" t="str">
            <v>$245.95</v>
          </cell>
          <cell r="H2081" t="str">
            <v>$245.95</v>
          </cell>
          <cell r="I2081">
            <v>29</v>
          </cell>
          <cell r="J2081">
            <v>29</v>
          </cell>
          <cell r="K2081">
            <v>7</v>
          </cell>
          <cell r="L2081">
            <v>7</v>
          </cell>
          <cell r="M2081">
            <v>4.5454545454545456E-2</v>
          </cell>
          <cell r="N2081">
            <v>3.5000000000000003E-2</v>
          </cell>
          <cell r="O2081" t="str">
            <v>$1604</v>
          </cell>
          <cell r="P2081" t="str">
            <v>$1604</v>
          </cell>
          <cell r="Q2081">
            <v>45599</v>
          </cell>
          <cell r="R2081" t="str">
            <v>Chennai</v>
          </cell>
          <cell r="S2081" t="str">
            <v>Tablet</v>
          </cell>
          <cell r="T2081" t="str">
            <v>learn data analytics</v>
          </cell>
        </row>
        <row r="2082">
          <cell r="A2082" t="str">
            <v>A3080</v>
          </cell>
          <cell r="B2082" t="str">
            <v>Data Analytics Course</v>
          </cell>
          <cell r="C2082">
            <v>85</v>
          </cell>
          <cell r="D2082">
            <v>85</v>
          </cell>
          <cell r="E2082">
            <v>5402</v>
          </cell>
          <cell r="F2082">
            <v>5402</v>
          </cell>
          <cell r="G2082" t="str">
            <v>$191.95</v>
          </cell>
          <cell r="H2082" t="str">
            <v>$191.95</v>
          </cell>
          <cell r="I2082">
            <v>18</v>
          </cell>
          <cell r="J2082">
            <v>18</v>
          </cell>
          <cell r="K2082">
            <v>7</v>
          </cell>
          <cell r="L2082">
            <v>7</v>
          </cell>
          <cell r="M2082">
            <v>8.2352941176470587E-2</v>
          </cell>
          <cell r="N2082">
            <v>8.2000000000000003E-2</v>
          </cell>
          <cell r="O2082" t="str">
            <v>$1002</v>
          </cell>
          <cell r="P2082" t="str">
            <v>$1002</v>
          </cell>
          <cell r="Q2082">
            <v>45622</v>
          </cell>
          <cell r="R2082" t="str">
            <v>Bangaluru</v>
          </cell>
          <cell r="S2082" t="str">
            <v>Desktop</v>
          </cell>
          <cell r="T2082" t="str">
            <v>data analytics training</v>
          </cell>
        </row>
        <row r="2083">
          <cell r="A2083" t="str">
            <v>A3081</v>
          </cell>
          <cell r="B2083" t="str">
            <v>Data Analytics Course</v>
          </cell>
          <cell r="C2083">
            <v>167</v>
          </cell>
          <cell r="D2083">
            <v>167</v>
          </cell>
          <cell r="E2083">
            <v>4059</v>
          </cell>
          <cell r="F2083">
            <v>4059</v>
          </cell>
          <cell r="G2083" t="str">
            <v>$209.18</v>
          </cell>
          <cell r="H2083" t="str">
            <v>$209.18</v>
          </cell>
          <cell r="I2083">
            <v>17</v>
          </cell>
          <cell r="J2083">
            <v>17</v>
          </cell>
          <cell r="K2083">
            <v>4</v>
          </cell>
          <cell r="L2083">
            <v>4</v>
          </cell>
          <cell r="M2083">
            <v>2.3952095808383235E-2</v>
          </cell>
          <cell r="N2083">
            <v>2.4E-2</v>
          </cell>
          <cell r="O2083" t="str">
            <v>$1742</v>
          </cell>
          <cell r="P2083" t="str">
            <v>$1742</v>
          </cell>
          <cell r="Q2083">
            <v>45612</v>
          </cell>
          <cell r="R2083" t="str">
            <v>Bangaluru</v>
          </cell>
          <cell r="S2083" t="str">
            <v>Tablet</v>
          </cell>
          <cell r="T2083" t="str">
            <v>learn data analytics</v>
          </cell>
        </row>
        <row r="2084">
          <cell r="A2084" t="str">
            <v>A3082</v>
          </cell>
          <cell r="B2084" t="str">
            <v>Data Analytics Course</v>
          </cell>
          <cell r="C2084">
            <v>139</v>
          </cell>
          <cell r="D2084">
            <v>139</v>
          </cell>
          <cell r="E2084">
            <v>3172</v>
          </cell>
          <cell r="F2084">
            <v>3172</v>
          </cell>
          <cell r="G2084" t="str">
            <v>$227.83</v>
          </cell>
          <cell r="H2084" t="str">
            <v>$227.83</v>
          </cell>
          <cell r="I2084">
            <v>20</v>
          </cell>
          <cell r="J2084">
            <v>20</v>
          </cell>
          <cell r="K2084">
            <v>10</v>
          </cell>
          <cell r="L2084">
            <v>10</v>
          </cell>
          <cell r="M2084">
            <v>7.1942446043165464E-2</v>
          </cell>
          <cell r="N2084">
            <v>7.1999999999999995E-2</v>
          </cell>
          <cell r="O2084" t="str">
            <v>$1130</v>
          </cell>
          <cell r="P2084" t="str">
            <v>$1130</v>
          </cell>
          <cell r="Q2084">
            <v>45624</v>
          </cell>
          <cell r="R2084" t="str">
            <v>Chennai</v>
          </cell>
          <cell r="S2084" t="str">
            <v>Tablet</v>
          </cell>
          <cell r="T2084" t="str">
            <v>analytics for data</v>
          </cell>
        </row>
        <row r="2085">
          <cell r="A2085" t="str">
            <v>A3083</v>
          </cell>
          <cell r="B2085" t="str">
            <v>Data Analytics Course</v>
          </cell>
          <cell r="C2085">
            <v>193</v>
          </cell>
          <cell r="D2085">
            <v>193</v>
          </cell>
          <cell r="E2085">
            <v>5716</v>
          </cell>
          <cell r="F2085">
            <v>5716</v>
          </cell>
          <cell r="G2085" t="str">
            <v>$224.53</v>
          </cell>
          <cell r="H2085" t="str">
            <v>$224.53</v>
          </cell>
          <cell r="I2085">
            <v>19</v>
          </cell>
          <cell r="J2085">
            <v>19</v>
          </cell>
          <cell r="K2085">
            <v>9</v>
          </cell>
          <cell r="L2085">
            <v>9</v>
          </cell>
          <cell r="M2085">
            <v>4.6632124352331605E-2</v>
          </cell>
          <cell r="N2085">
            <v>4.7E-2</v>
          </cell>
          <cell r="O2085" t="str">
            <v>$1167</v>
          </cell>
          <cell r="P2085" t="str">
            <v>$1167</v>
          </cell>
          <cell r="Q2085">
            <v>45609</v>
          </cell>
          <cell r="R2085" t="str">
            <v>Hyderabad</v>
          </cell>
          <cell r="S2085" t="str">
            <v>Desktop</v>
          </cell>
          <cell r="T2085" t="str">
            <v>online data analytic</v>
          </cell>
        </row>
        <row r="2086">
          <cell r="A2086" t="str">
            <v>A3084</v>
          </cell>
          <cell r="B2086" t="str">
            <v>Data Analytics Course</v>
          </cell>
          <cell r="C2086">
            <v>127</v>
          </cell>
          <cell r="D2086">
            <v>127</v>
          </cell>
          <cell r="E2086">
            <v>4816</v>
          </cell>
          <cell r="F2086">
            <v>4816</v>
          </cell>
          <cell r="G2086" t="str">
            <v>$245.25</v>
          </cell>
          <cell r="H2086" t="str">
            <v>$245.25</v>
          </cell>
          <cell r="I2086">
            <v>23</v>
          </cell>
          <cell r="J2086">
            <v>23</v>
          </cell>
          <cell r="K2086">
            <v>3</v>
          </cell>
          <cell r="L2086">
            <v>3</v>
          </cell>
          <cell r="M2086">
            <v>2.3622047244094488E-2</v>
          </cell>
          <cell r="N2086">
            <v>4.9000000000000002E-2</v>
          </cell>
          <cell r="O2086" t="str">
            <v>$1985</v>
          </cell>
          <cell r="P2086" t="str">
            <v>$1985</v>
          </cell>
          <cell r="Q2086">
            <v>45603</v>
          </cell>
          <cell r="R2086" t="str">
            <v>Bangaluru</v>
          </cell>
          <cell r="S2086" t="str">
            <v>Tablet</v>
          </cell>
          <cell r="T2086" t="str">
            <v>learn data analytics</v>
          </cell>
        </row>
        <row r="2087">
          <cell r="A2087" t="str">
            <v>A3085</v>
          </cell>
          <cell r="B2087" t="str">
            <v>Data Analytics Course</v>
          </cell>
          <cell r="C2087">
            <v>80</v>
          </cell>
          <cell r="D2087">
            <v>80</v>
          </cell>
          <cell r="E2087">
            <v>3742</v>
          </cell>
          <cell r="F2087">
            <v>3742</v>
          </cell>
          <cell r="G2087" t="str">
            <v>$247.16</v>
          </cell>
          <cell r="H2087" t="str">
            <v>$247.16</v>
          </cell>
          <cell r="I2087">
            <v>20.479207920792078</v>
          </cell>
          <cell r="K2087">
            <v>10</v>
          </cell>
          <cell r="L2087">
            <v>10</v>
          </cell>
          <cell r="M2087">
            <v>0.125</v>
          </cell>
          <cell r="N2087">
            <v>5.5E-2</v>
          </cell>
          <cell r="O2087" t="str">
            <v>$1686</v>
          </cell>
          <cell r="P2087" t="str">
            <v>$1686</v>
          </cell>
          <cell r="Q2087">
            <v>45604</v>
          </cell>
          <cell r="R2087" t="str">
            <v>Hyderabad</v>
          </cell>
          <cell r="S2087" t="str">
            <v>Tablet</v>
          </cell>
          <cell r="T2087" t="str">
            <v>analytics for data</v>
          </cell>
        </row>
        <row r="2088">
          <cell r="A2088" t="str">
            <v>A3086</v>
          </cell>
          <cell r="B2088" t="str">
            <v>Data Analytics Course</v>
          </cell>
          <cell r="C2088">
            <v>174</v>
          </cell>
          <cell r="D2088">
            <v>174</v>
          </cell>
          <cell r="E2088">
            <v>4469</v>
          </cell>
          <cell r="F2088">
            <v>4469</v>
          </cell>
          <cell r="G2088" t="str">
            <v>$215.98</v>
          </cell>
          <cell r="H2088" t="str">
            <v>$215.98</v>
          </cell>
          <cell r="I2088">
            <v>14</v>
          </cell>
          <cell r="J2088">
            <v>14</v>
          </cell>
          <cell r="K2088">
            <v>8</v>
          </cell>
          <cell r="L2088">
            <v>8</v>
          </cell>
          <cell r="M2088">
            <v>4.5977011494252873E-2</v>
          </cell>
          <cell r="N2088">
            <v>4.5999999999999999E-2</v>
          </cell>
          <cell r="O2088" t="str">
            <v>$1619</v>
          </cell>
          <cell r="P2088" t="str">
            <v>$1619</v>
          </cell>
          <cell r="Q2088">
            <v>45603</v>
          </cell>
          <cell r="R2088" t="str">
            <v>Hyderabad</v>
          </cell>
          <cell r="S2088" t="str">
            <v>Desktop</v>
          </cell>
          <cell r="T2088" t="str">
            <v>online data analytic</v>
          </cell>
        </row>
        <row r="2089">
          <cell r="A2089" t="str">
            <v>A3087</v>
          </cell>
          <cell r="B2089" t="str">
            <v>Data Analytics Course</v>
          </cell>
          <cell r="C2089">
            <v>127</v>
          </cell>
          <cell r="D2089">
            <v>127</v>
          </cell>
          <cell r="E2089">
            <v>3454</v>
          </cell>
          <cell r="F2089">
            <v>3454</v>
          </cell>
          <cell r="G2089" t="str">
            <v>$209.19</v>
          </cell>
          <cell r="H2089" t="str">
            <v>$209.19</v>
          </cell>
          <cell r="I2089">
            <v>19</v>
          </cell>
          <cell r="J2089">
            <v>19</v>
          </cell>
          <cell r="K2089">
            <v>10</v>
          </cell>
          <cell r="L2089">
            <v>10</v>
          </cell>
          <cell r="M2089">
            <v>7.874015748031496E-2</v>
          </cell>
          <cell r="N2089">
            <v>5.8000000000000003E-2</v>
          </cell>
          <cell r="O2089" t="str">
            <v>$1937</v>
          </cell>
          <cell r="P2089" t="str">
            <v>$1937</v>
          </cell>
          <cell r="Q2089">
            <v>45601</v>
          </cell>
          <cell r="R2089" t="str">
            <v>Hyderabad</v>
          </cell>
          <cell r="S2089" t="str">
            <v>Desktop</v>
          </cell>
          <cell r="T2089" t="str">
            <v>data analytics training</v>
          </cell>
        </row>
        <row r="2090">
          <cell r="A2090" t="str">
            <v>A3088</v>
          </cell>
          <cell r="B2090" t="str">
            <v>Data Analytcis Course</v>
          </cell>
          <cell r="C2090">
            <v>151</v>
          </cell>
          <cell r="D2090">
            <v>151</v>
          </cell>
          <cell r="E2090">
            <v>3702</v>
          </cell>
          <cell r="F2090">
            <v>3702</v>
          </cell>
          <cell r="G2090" t="str">
            <v>$245.02</v>
          </cell>
          <cell r="H2090" t="str">
            <v>$245.02</v>
          </cell>
          <cell r="I2090">
            <v>22</v>
          </cell>
          <cell r="J2090">
            <v>22</v>
          </cell>
          <cell r="K2090">
            <v>9</v>
          </cell>
          <cell r="L2090">
            <v>9</v>
          </cell>
          <cell r="M2090">
            <v>5.9602649006622516E-2</v>
          </cell>
          <cell r="N2090">
            <v>0.06</v>
          </cell>
          <cell r="O2090" t="str">
            <v>$1983</v>
          </cell>
          <cell r="P2090" t="str">
            <v>$1983</v>
          </cell>
          <cell r="Q2090">
            <v>45600</v>
          </cell>
          <cell r="R2090" t="str">
            <v>Chennai</v>
          </cell>
          <cell r="S2090" t="str">
            <v>Tablet</v>
          </cell>
          <cell r="T2090" t="str">
            <v>learn data analytics</v>
          </cell>
        </row>
        <row r="2091">
          <cell r="A2091" t="str">
            <v>A3089</v>
          </cell>
          <cell r="B2091" t="str">
            <v>Data Analytics Course</v>
          </cell>
          <cell r="C2091">
            <v>113</v>
          </cell>
          <cell r="D2091">
            <v>113</v>
          </cell>
          <cell r="E2091">
            <v>4258</v>
          </cell>
          <cell r="F2091">
            <v>4258</v>
          </cell>
          <cell r="G2091" t="str">
            <v>$232.25</v>
          </cell>
          <cell r="H2091" t="str">
            <v>$232.25</v>
          </cell>
          <cell r="I2091">
            <v>16</v>
          </cell>
          <cell r="J2091">
            <v>16</v>
          </cell>
          <cell r="K2091">
            <v>10</v>
          </cell>
          <cell r="L2091">
            <v>10</v>
          </cell>
          <cell r="M2091">
            <v>8.8495575221238937E-2</v>
          </cell>
          <cell r="N2091">
            <v>8.7999999999999995E-2</v>
          </cell>
          <cell r="O2091" t="str">
            <v>$1374</v>
          </cell>
          <cell r="P2091" t="str">
            <v>$1374</v>
          </cell>
          <cell r="Q2091">
            <v>45620</v>
          </cell>
          <cell r="R2091" t="str">
            <v>Hyderabad</v>
          </cell>
          <cell r="S2091" t="str">
            <v>Mobile</v>
          </cell>
          <cell r="T2091" t="str">
            <v>online data analytic</v>
          </cell>
        </row>
        <row r="2092">
          <cell r="A2092" t="str">
            <v>A3090</v>
          </cell>
          <cell r="B2092" t="str">
            <v>Data Analytics Course</v>
          </cell>
          <cell r="C2092">
            <v>159</v>
          </cell>
          <cell r="D2092">
            <v>159</v>
          </cell>
          <cell r="E2092">
            <v>4047</v>
          </cell>
          <cell r="F2092">
            <v>4047</v>
          </cell>
          <cell r="G2092" t="str">
            <v>$205.62</v>
          </cell>
          <cell r="H2092" t="str">
            <v>$205.62</v>
          </cell>
          <cell r="I2092">
            <v>24</v>
          </cell>
          <cell r="J2092">
            <v>24</v>
          </cell>
          <cell r="K2092">
            <v>3</v>
          </cell>
          <cell r="L2092">
            <v>3</v>
          </cell>
          <cell r="M2092">
            <v>1.8867924528301886E-2</v>
          </cell>
          <cell r="N2092">
            <v>0.05</v>
          </cell>
          <cell r="O2092" t="str">
            <v>$1177</v>
          </cell>
          <cell r="P2092" t="str">
            <v>$1177</v>
          </cell>
          <cell r="Q2092">
            <v>45605</v>
          </cell>
          <cell r="R2092" t="str">
            <v>Bangaluru</v>
          </cell>
          <cell r="S2092" t="str">
            <v>Tablet</v>
          </cell>
          <cell r="T2092" t="str">
            <v>analytics for data</v>
          </cell>
        </row>
        <row r="2093">
          <cell r="A2093" t="str">
            <v>A3091</v>
          </cell>
          <cell r="B2093" t="str">
            <v>Data Analytics Course</v>
          </cell>
          <cell r="C2093">
            <v>197</v>
          </cell>
          <cell r="D2093">
            <v>197</v>
          </cell>
          <cell r="E2093">
            <v>3319</v>
          </cell>
          <cell r="F2093">
            <v>3319</v>
          </cell>
          <cell r="G2093" t="str">
            <v>$215.83</v>
          </cell>
          <cell r="H2093" t="str">
            <v>$215.83</v>
          </cell>
          <cell r="I2093">
            <v>26</v>
          </cell>
          <cell r="J2093">
            <v>26</v>
          </cell>
          <cell r="K2093">
            <v>10</v>
          </cell>
          <cell r="L2093">
            <v>10</v>
          </cell>
          <cell r="M2093">
            <v>5.0761421319796954E-2</v>
          </cell>
          <cell r="N2093">
            <v>5.0999999999999997E-2</v>
          </cell>
          <cell r="O2093" t="str">
            <v>$1342</v>
          </cell>
          <cell r="P2093" t="str">
            <v>$1342</v>
          </cell>
          <cell r="Q2093">
            <v>45614</v>
          </cell>
          <cell r="R2093" t="str">
            <v>Chennai</v>
          </cell>
          <cell r="S2093" t="str">
            <v>Desktop</v>
          </cell>
          <cell r="T2093" t="str">
            <v>analytics for data</v>
          </cell>
        </row>
        <row r="2094">
          <cell r="A2094" t="str">
            <v>A3092</v>
          </cell>
          <cell r="B2094" t="str">
            <v>Data Analytcis Course</v>
          </cell>
          <cell r="C2094">
            <v>106</v>
          </cell>
          <cell r="D2094">
            <v>106</v>
          </cell>
          <cell r="E2094">
            <v>5661</v>
          </cell>
          <cell r="F2094">
            <v>5661</v>
          </cell>
          <cell r="G2094" t="str">
            <v>$181.96</v>
          </cell>
          <cell r="H2094" t="str">
            <v>$181.96</v>
          </cell>
          <cell r="I2094">
            <v>17</v>
          </cell>
          <cell r="J2094">
            <v>17</v>
          </cell>
          <cell r="K2094">
            <v>3</v>
          </cell>
          <cell r="L2094">
            <v>3</v>
          </cell>
          <cell r="M2094">
            <v>2.8301886792452831E-2</v>
          </cell>
          <cell r="N2094">
            <v>2.8000000000000001E-2</v>
          </cell>
          <cell r="O2094" t="str">
            <v>$1250</v>
          </cell>
          <cell r="P2094" t="str">
            <v>$1250</v>
          </cell>
          <cell r="Q2094">
            <v>45607</v>
          </cell>
          <cell r="R2094" t="str">
            <v>Bangaluru</v>
          </cell>
          <cell r="S2094" t="str">
            <v>Desktop</v>
          </cell>
          <cell r="T2094" t="str">
            <v>data analytics online</v>
          </cell>
        </row>
        <row r="2095">
          <cell r="A2095" t="str">
            <v>A3093</v>
          </cell>
          <cell r="B2095" t="str">
            <v>Data Analytics Course</v>
          </cell>
          <cell r="C2095">
            <v>143</v>
          </cell>
          <cell r="D2095">
            <v>143</v>
          </cell>
          <cell r="E2095">
            <v>4914</v>
          </cell>
          <cell r="F2095">
            <v>4914</v>
          </cell>
          <cell r="G2095" t="str">
            <v>$222.69</v>
          </cell>
          <cell r="H2095" t="str">
            <v>$222.69</v>
          </cell>
          <cell r="I2095">
            <v>12</v>
          </cell>
          <cell r="J2095">
            <v>12</v>
          </cell>
          <cell r="K2095">
            <v>7</v>
          </cell>
          <cell r="L2095">
            <v>7</v>
          </cell>
          <cell r="M2095">
            <v>4.8951048951048952E-2</v>
          </cell>
          <cell r="N2095">
            <v>0.05</v>
          </cell>
          <cell r="O2095" t="str">
            <v>$1280</v>
          </cell>
          <cell r="P2095" t="str">
            <v>$1280</v>
          </cell>
          <cell r="Q2095">
            <v>45608</v>
          </cell>
          <cell r="R2095" t="str">
            <v>Bangaluru</v>
          </cell>
          <cell r="S2095" t="str">
            <v>Desktop</v>
          </cell>
          <cell r="T2095" t="str">
            <v>analytics for data</v>
          </cell>
        </row>
        <row r="2096">
          <cell r="A2096" t="str">
            <v>A3094</v>
          </cell>
          <cell r="B2096" t="str">
            <v>Data Analytics Course</v>
          </cell>
          <cell r="C2096">
            <v>111</v>
          </cell>
          <cell r="D2096">
            <v>111</v>
          </cell>
          <cell r="E2096">
            <v>5382</v>
          </cell>
          <cell r="F2096">
            <v>5382</v>
          </cell>
          <cell r="G2096" t="str">
            <v>$219.59</v>
          </cell>
          <cell r="H2096" t="str">
            <v>$219.59</v>
          </cell>
          <cell r="I2096">
            <v>29</v>
          </cell>
          <cell r="J2096">
            <v>29</v>
          </cell>
          <cell r="K2096">
            <v>5</v>
          </cell>
          <cell r="L2096">
            <v>5</v>
          </cell>
          <cell r="M2096">
            <v>4.5045045045045043E-2</v>
          </cell>
          <cell r="N2096">
            <v>3.2000000000000001E-2</v>
          </cell>
          <cell r="O2096" t="str">
            <v>$1464</v>
          </cell>
          <cell r="P2096" t="str">
            <v>$1464</v>
          </cell>
          <cell r="Q2096">
            <v>45621</v>
          </cell>
          <cell r="R2096" t="str">
            <v>Bangaluru</v>
          </cell>
          <cell r="S2096" t="str">
            <v>Desktop</v>
          </cell>
          <cell r="T2096" t="str">
            <v>analytics for data</v>
          </cell>
        </row>
        <row r="2097">
          <cell r="A2097" t="str">
            <v>A3095</v>
          </cell>
          <cell r="B2097" t="str">
            <v>Data Analytcis Course</v>
          </cell>
          <cell r="C2097">
            <v>98</v>
          </cell>
          <cell r="D2097">
            <v>98</v>
          </cell>
          <cell r="E2097">
            <v>5898</v>
          </cell>
          <cell r="F2097">
            <v>5898</v>
          </cell>
          <cell r="G2097" t="str">
            <v>$186.46</v>
          </cell>
          <cell r="H2097" t="str">
            <v>$186.46</v>
          </cell>
          <cell r="I2097">
            <v>20</v>
          </cell>
          <cell r="J2097">
            <v>20</v>
          </cell>
          <cell r="K2097">
            <v>6</v>
          </cell>
          <cell r="L2097">
            <v>6</v>
          </cell>
          <cell r="M2097">
            <v>6.1224489795918366E-2</v>
          </cell>
          <cell r="N2097">
            <v>3.7999999999999999E-2</v>
          </cell>
          <cell r="O2097" t="str">
            <v>$1500</v>
          </cell>
          <cell r="Q2097">
            <v>45605</v>
          </cell>
          <cell r="R2097" t="str">
            <v>Bangaluru</v>
          </cell>
          <cell r="S2097" t="str">
            <v>Mobile</v>
          </cell>
          <cell r="T2097" t="str">
            <v>data analytics online</v>
          </cell>
        </row>
        <row r="2098">
          <cell r="A2098" t="str">
            <v>A3096</v>
          </cell>
          <cell r="B2098" t="str">
            <v>Data Analytics Course</v>
          </cell>
          <cell r="C2098">
            <v>98</v>
          </cell>
          <cell r="D2098">
            <v>98</v>
          </cell>
          <cell r="E2098">
            <v>3967</v>
          </cell>
          <cell r="F2098">
            <v>3967</v>
          </cell>
          <cell r="G2098" t="str">
            <v>$214.51</v>
          </cell>
          <cell r="H2098" t="str">
            <v>$214.51</v>
          </cell>
          <cell r="I2098">
            <v>12</v>
          </cell>
          <cell r="J2098">
            <v>12</v>
          </cell>
          <cell r="K2098">
            <v>5</v>
          </cell>
          <cell r="L2098">
            <v>5</v>
          </cell>
          <cell r="M2098">
            <v>5.1020408163265307E-2</v>
          </cell>
          <cell r="N2098">
            <v>5.0999999999999997E-2</v>
          </cell>
          <cell r="O2098" t="str">
            <v>$1180</v>
          </cell>
          <cell r="P2098" t="str">
            <v>$1180</v>
          </cell>
          <cell r="Q2098">
            <v>45604</v>
          </cell>
          <cell r="R2098" t="str">
            <v>Hyderabad</v>
          </cell>
          <cell r="S2098" t="str">
            <v>Desktop</v>
          </cell>
          <cell r="T2098" t="str">
            <v>analytics for data</v>
          </cell>
        </row>
        <row r="2099">
          <cell r="A2099" t="str">
            <v>A3097</v>
          </cell>
          <cell r="B2099" t="str">
            <v>Data Analytics Course</v>
          </cell>
          <cell r="C2099">
            <v>109</v>
          </cell>
          <cell r="D2099">
            <v>109</v>
          </cell>
          <cell r="E2099">
            <v>3089</v>
          </cell>
          <cell r="F2099">
            <v>3089</v>
          </cell>
          <cell r="G2099" t="str">
            <v>$190.0</v>
          </cell>
          <cell r="H2099" t="str">
            <v>$190.0</v>
          </cell>
          <cell r="I2099">
            <v>20.508097165991902</v>
          </cell>
          <cell r="K2099">
            <v>7</v>
          </cell>
          <cell r="L2099">
            <v>7</v>
          </cell>
          <cell r="M2099">
            <v>6.4220183486238536E-2</v>
          </cell>
          <cell r="N2099">
            <v>3.7999999999999999E-2</v>
          </cell>
          <cell r="O2099" t="str">
            <v>$1779</v>
          </cell>
          <cell r="P2099" t="str">
            <v>$1779</v>
          </cell>
          <cell r="Q2099">
            <v>45597</v>
          </cell>
          <cell r="R2099" t="str">
            <v>Bangaluru</v>
          </cell>
          <cell r="S2099" t="str">
            <v>Tablet</v>
          </cell>
          <cell r="T2099" t="str">
            <v>data analytics online</v>
          </cell>
        </row>
        <row r="2100">
          <cell r="A2100" t="str">
            <v>A3098</v>
          </cell>
          <cell r="B2100" t="str">
            <v>Data Analytcis Course</v>
          </cell>
          <cell r="C2100">
            <v>168</v>
          </cell>
          <cell r="D2100">
            <v>168</v>
          </cell>
          <cell r="E2100">
            <v>3219</v>
          </cell>
          <cell r="F2100">
            <v>3219</v>
          </cell>
          <cell r="G2100" t="str">
            <v>$193.16</v>
          </cell>
          <cell r="H2100" t="str">
            <v>$193.16</v>
          </cell>
          <cell r="I2100">
            <v>12</v>
          </cell>
          <cell r="J2100">
            <v>12</v>
          </cell>
          <cell r="K2100">
            <v>7</v>
          </cell>
          <cell r="L2100">
            <v>7</v>
          </cell>
          <cell r="M2100">
            <v>4.1666666666666664E-2</v>
          </cell>
          <cell r="N2100">
            <v>3.6999999999999998E-2</v>
          </cell>
          <cell r="O2100" t="str">
            <v>$1395</v>
          </cell>
          <cell r="P2100" t="str">
            <v>$1395</v>
          </cell>
          <cell r="Q2100">
            <v>45619</v>
          </cell>
          <cell r="R2100" t="str">
            <v>Hyderabad</v>
          </cell>
          <cell r="S2100" t="str">
            <v>Mobile</v>
          </cell>
          <cell r="T2100" t="str">
            <v>online data analytic</v>
          </cell>
        </row>
        <row r="2101">
          <cell r="A2101" t="str">
            <v>A3099</v>
          </cell>
          <cell r="B2101" t="str">
            <v>Data Analytcis Course</v>
          </cell>
          <cell r="C2101">
            <v>127</v>
          </cell>
          <cell r="D2101">
            <v>127</v>
          </cell>
          <cell r="E2101">
            <v>4039</v>
          </cell>
          <cell r="F2101">
            <v>4039</v>
          </cell>
          <cell r="G2101" t="str">
            <v>$247.92</v>
          </cell>
          <cell r="H2101" t="str">
            <v>$247.92</v>
          </cell>
          <cell r="I2101">
            <v>20</v>
          </cell>
          <cell r="J2101">
            <v>20</v>
          </cell>
          <cell r="K2101">
            <v>8</v>
          </cell>
          <cell r="L2101">
            <v>8</v>
          </cell>
          <cell r="M2101">
            <v>6.2992125984251968E-2</v>
          </cell>
          <cell r="N2101">
            <v>6.3E-2</v>
          </cell>
          <cell r="O2101" t="str">
            <v>$1500</v>
          </cell>
          <cell r="Q2101">
            <v>45623</v>
          </cell>
          <cell r="R2101" t="str">
            <v>Hyderabad</v>
          </cell>
          <cell r="S2101" t="str">
            <v>Mobile</v>
          </cell>
          <cell r="T2101" t="str">
            <v>learn data analytics</v>
          </cell>
        </row>
        <row r="2102">
          <cell r="A2102" t="str">
            <v>A3100</v>
          </cell>
          <cell r="B2102" t="str">
            <v>Data Analytics Course</v>
          </cell>
          <cell r="C2102">
            <v>136</v>
          </cell>
          <cell r="D2102">
            <v>136</v>
          </cell>
          <cell r="E2102">
            <v>4051</v>
          </cell>
          <cell r="F2102">
            <v>4051</v>
          </cell>
          <cell r="G2102" t="str">
            <v>$194.29</v>
          </cell>
          <cell r="H2102" t="str">
            <v>$194.29</v>
          </cell>
          <cell r="I2102">
            <v>25</v>
          </cell>
          <cell r="J2102">
            <v>25</v>
          </cell>
          <cell r="K2102">
            <v>5</v>
          </cell>
          <cell r="L2102">
            <v>5</v>
          </cell>
          <cell r="M2102">
            <v>3.6764705882352942E-2</v>
          </cell>
          <cell r="O2102" t="str">
            <v>$1500</v>
          </cell>
          <cell r="Q2102">
            <v>45624</v>
          </cell>
          <cell r="R2102" t="str">
            <v>Hyderabad</v>
          </cell>
          <cell r="S2102" t="str">
            <v>Tablet</v>
          </cell>
          <cell r="T2102" t="str">
            <v>learn data analytics</v>
          </cell>
        </row>
        <row r="2103">
          <cell r="A2103" t="str">
            <v>A3101</v>
          </cell>
          <cell r="B2103" t="str">
            <v>Data Analytics Course</v>
          </cell>
          <cell r="C2103">
            <v>173</v>
          </cell>
          <cell r="D2103">
            <v>173</v>
          </cell>
          <cell r="E2103">
            <v>5270</v>
          </cell>
          <cell r="F2103">
            <v>5270</v>
          </cell>
          <cell r="G2103" t="str">
            <v>$233.33</v>
          </cell>
          <cell r="H2103" t="str">
            <v>$233.33</v>
          </cell>
          <cell r="I2103">
            <v>11</v>
          </cell>
          <cell r="J2103">
            <v>11</v>
          </cell>
          <cell r="K2103">
            <v>7</v>
          </cell>
          <cell r="L2103">
            <v>7</v>
          </cell>
          <cell r="M2103">
            <v>4.046242774566474E-2</v>
          </cell>
          <cell r="N2103">
            <v>0.04</v>
          </cell>
          <cell r="O2103" t="str">
            <v>$1783</v>
          </cell>
          <cell r="P2103" t="str">
            <v>$1783</v>
          </cell>
          <cell r="Q2103">
            <v>45612</v>
          </cell>
          <cell r="R2103" t="str">
            <v>Hyderabad</v>
          </cell>
          <cell r="S2103" t="str">
            <v>Desktop</v>
          </cell>
          <cell r="T2103" t="str">
            <v>analytics for data</v>
          </cell>
        </row>
        <row r="2104">
          <cell r="A2104" t="str">
            <v>A3102</v>
          </cell>
          <cell r="B2104" t="str">
            <v>Data Analytics Course</v>
          </cell>
          <cell r="C2104">
            <v>184</v>
          </cell>
          <cell r="D2104">
            <v>184</v>
          </cell>
          <cell r="E2104">
            <v>3239</v>
          </cell>
          <cell r="F2104">
            <v>3239</v>
          </cell>
          <cell r="G2104" t="str">
            <v>$221.33</v>
          </cell>
          <cell r="H2104" t="str">
            <v>$221.33</v>
          </cell>
          <cell r="I2104">
            <v>25</v>
          </cell>
          <cell r="J2104">
            <v>25</v>
          </cell>
          <cell r="K2104">
            <v>10</v>
          </cell>
          <cell r="L2104">
            <v>10</v>
          </cell>
          <cell r="M2104">
            <v>5.434782608695652E-2</v>
          </cell>
          <cell r="N2104">
            <v>5.3999999999999999E-2</v>
          </cell>
          <cell r="O2104" t="str">
            <v>$1557</v>
          </cell>
          <cell r="P2104" t="str">
            <v>$1557</v>
          </cell>
          <cell r="Q2104">
            <v>45600</v>
          </cell>
          <cell r="R2104" t="str">
            <v>Chennai</v>
          </cell>
          <cell r="S2104" t="str">
            <v>Desktop</v>
          </cell>
          <cell r="T2104" t="str">
            <v>online data analytic</v>
          </cell>
        </row>
        <row r="2105">
          <cell r="A2105" t="str">
            <v>A3103</v>
          </cell>
          <cell r="B2105" t="str">
            <v>Data Analytics Course</v>
          </cell>
          <cell r="C2105">
            <v>174</v>
          </cell>
          <cell r="D2105">
            <v>174</v>
          </cell>
          <cell r="E2105">
            <v>4054</v>
          </cell>
          <cell r="F2105">
            <v>4054</v>
          </cell>
          <cell r="G2105" t="str">
            <v>$201.25</v>
          </cell>
          <cell r="H2105" t="str">
            <v>$201.25</v>
          </cell>
          <cell r="I2105">
            <v>15</v>
          </cell>
          <cell r="J2105">
            <v>15</v>
          </cell>
          <cell r="K2105">
            <v>7</v>
          </cell>
          <cell r="L2105">
            <v>7</v>
          </cell>
          <cell r="M2105">
            <v>4.0229885057471264E-2</v>
          </cell>
          <cell r="O2105" t="str">
            <v>$1514</v>
          </cell>
          <cell r="P2105" t="str">
            <v>$1514</v>
          </cell>
          <cell r="Q2105">
            <v>45619</v>
          </cell>
          <cell r="R2105" t="str">
            <v>Hyderabad</v>
          </cell>
          <cell r="S2105" t="str">
            <v>Mobile</v>
          </cell>
          <cell r="T2105" t="str">
            <v>learn data analytics</v>
          </cell>
        </row>
        <row r="2106">
          <cell r="A2106" t="str">
            <v>A3104</v>
          </cell>
          <cell r="B2106" t="str">
            <v>Data Analytcis Course</v>
          </cell>
          <cell r="C2106">
            <v>196</v>
          </cell>
          <cell r="D2106">
            <v>196</v>
          </cell>
          <cell r="E2106">
            <v>5448</v>
          </cell>
          <cell r="F2106">
            <v>5448</v>
          </cell>
          <cell r="G2106" t="str">
            <v>$232.55</v>
          </cell>
          <cell r="H2106" t="str">
            <v>$232.55</v>
          </cell>
          <cell r="I2106">
            <v>30</v>
          </cell>
          <cell r="J2106">
            <v>30</v>
          </cell>
          <cell r="K2106">
            <v>8</v>
          </cell>
          <cell r="L2106">
            <v>8</v>
          </cell>
          <cell r="M2106">
            <v>4.0816326530612242E-2</v>
          </cell>
          <cell r="N2106">
            <v>4.1000000000000002E-2</v>
          </cell>
          <cell r="O2106" t="str">
            <v>$1694</v>
          </cell>
          <cell r="P2106" t="str">
            <v>$1694</v>
          </cell>
          <cell r="Q2106">
            <v>45610</v>
          </cell>
          <cell r="R2106" t="str">
            <v>Hyderabad</v>
          </cell>
          <cell r="S2106" t="str">
            <v>Desktop</v>
          </cell>
          <cell r="T2106" t="str">
            <v>learn data analytics</v>
          </cell>
        </row>
        <row r="2107">
          <cell r="A2107" t="str">
            <v>A3105</v>
          </cell>
          <cell r="B2107" t="str">
            <v>Data Analytics Course</v>
          </cell>
          <cell r="C2107">
            <v>193</v>
          </cell>
          <cell r="D2107">
            <v>193</v>
          </cell>
          <cell r="E2107">
            <v>4523.2808326787117</v>
          </cell>
          <cell r="G2107" t="str">
            <v>$238.8</v>
          </cell>
          <cell r="H2107" t="str">
            <v>$238.8</v>
          </cell>
          <cell r="I2107">
            <v>20</v>
          </cell>
          <cell r="J2107">
            <v>20</v>
          </cell>
          <cell r="K2107">
            <v>5</v>
          </cell>
          <cell r="L2107">
            <v>5</v>
          </cell>
          <cell r="M2107">
            <v>2.5906735751295335E-2</v>
          </cell>
          <cell r="N2107">
            <v>0.04</v>
          </cell>
          <cell r="O2107" t="str">
            <v>$1327</v>
          </cell>
          <cell r="P2107" t="str">
            <v>$1327</v>
          </cell>
          <cell r="Q2107">
            <v>45598</v>
          </cell>
          <cell r="R2107" t="str">
            <v>Hyderabad</v>
          </cell>
          <cell r="S2107" t="str">
            <v>Mobile</v>
          </cell>
          <cell r="T2107" t="str">
            <v>data analytics training</v>
          </cell>
        </row>
        <row r="2108">
          <cell r="A2108" t="str">
            <v>A3106</v>
          </cell>
          <cell r="B2108" t="str">
            <v>Data Analytcis Course</v>
          </cell>
          <cell r="C2108">
            <v>97</v>
          </cell>
          <cell r="D2108">
            <v>97</v>
          </cell>
          <cell r="E2108">
            <v>3937</v>
          </cell>
          <cell r="F2108">
            <v>3937</v>
          </cell>
          <cell r="G2108" t="str">
            <v>$197.37</v>
          </cell>
          <cell r="H2108" t="str">
            <v>$197.37</v>
          </cell>
          <cell r="I2108">
            <v>14</v>
          </cell>
          <cell r="J2108">
            <v>14</v>
          </cell>
          <cell r="K2108">
            <v>10</v>
          </cell>
          <cell r="L2108">
            <v>10</v>
          </cell>
          <cell r="M2108">
            <v>0.10309278350515463</v>
          </cell>
          <cell r="N2108">
            <v>0.10299999999999999</v>
          </cell>
          <cell r="O2108" t="str">
            <v>$1160</v>
          </cell>
          <cell r="P2108" t="str">
            <v>$1160</v>
          </cell>
          <cell r="Q2108">
            <v>45618</v>
          </cell>
          <cell r="R2108" t="str">
            <v>Bangaluru</v>
          </cell>
          <cell r="S2108" t="str">
            <v>Tablet</v>
          </cell>
          <cell r="T2108" t="str">
            <v>learn data analytics</v>
          </cell>
        </row>
        <row r="2109">
          <cell r="A2109" t="str">
            <v>A3107</v>
          </cell>
          <cell r="B2109" t="str">
            <v>Data Analytics Course</v>
          </cell>
          <cell r="C2109">
            <v>128</v>
          </cell>
          <cell r="D2109">
            <v>128</v>
          </cell>
          <cell r="E2109">
            <v>4175</v>
          </cell>
          <cell r="F2109">
            <v>4175</v>
          </cell>
          <cell r="G2109" t="str">
            <v>$200.11</v>
          </cell>
          <cell r="H2109" t="str">
            <v>$200.11</v>
          </cell>
          <cell r="I2109">
            <v>12</v>
          </cell>
          <cell r="J2109">
            <v>12</v>
          </cell>
          <cell r="K2109">
            <v>10</v>
          </cell>
          <cell r="L2109">
            <v>10</v>
          </cell>
          <cell r="M2109">
            <v>7.8125E-2</v>
          </cell>
          <cell r="N2109">
            <v>5.8999999999999997E-2</v>
          </cell>
          <cell r="O2109" t="str">
            <v>$1599</v>
          </cell>
          <cell r="P2109" t="str">
            <v>$1599</v>
          </cell>
          <cell r="Q2109">
            <v>45616</v>
          </cell>
          <cell r="R2109" t="str">
            <v>Hyderabad</v>
          </cell>
          <cell r="S2109" t="str">
            <v>Desktop</v>
          </cell>
          <cell r="T2109" t="str">
            <v>data analytics online</v>
          </cell>
        </row>
        <row r="2110">
          <cell r="A2110" t="str">
            <v>A3108</v>
          </cell>
          <cell r="B2110" t="str">
            <v>Data Analytics Course</v>
          </cell>
          <cell r="C2110">
            <v>143</v>
          </cell>
          <cell r="D2110">
            <v>143</v>
          </cell>
          <cell r="E2110">
            <v>5780</v>
          </cell>
          <cell r="F2110">
            <v>5780</v>
          </cell>
          <cell r="G2110" t="str">
            <v>$237.51</v>
          </cell>
          <cell r="H2110" t="str">
            <v>$237.51</v>
          </cell>
          <cell r="I2110">
            <v>24</v>
          </cell>
          <cell r="J2110">
            <v>24</v>
          </cell>
          <cell r="K2110">
            <v>4</v>
          </cell>
          <cell r="L2110">
            <v>4</v>
          </cell>
          <cell r="M2110">
            <v>2.7972027972027972E-2</v>
          </cell>
          <cell r="N2110">
            <v>5.3999999999999999E-2</v>
          </cell>
          <cell r="O2110" t="str">
            <v>$1440</v>
          </cell>
          <cell r="P2110" t="str">
            <v>$1440</v>
          </cell>
          <cell r="Q2110">
            <v>45611</v>
          </cell>
          <cell r="R2110" t="str">
            <v>Chennai</v>
          </cell>
          <cell r="S2110" t="str">
            <v>Mobile</v>
          </cell>
          <cell r="T2110" t="str">
            <v>data analytics online</v>
          </cell>
        </row>
        <row r="2111">
          <cell r="A2111" t="str">
            <v>A3109</v>
          </cell>
          <cell r="B2111" t="str">
            <v>Data Analytcis Course</v>
          </cell>
          <cell r="C2111">
            <v>138.95699356913184</v>
          </cell>
          <cell r="E2111">
            <v>3809</v>
          </cell>
          <cell r="F2111">
            <v>3809</v>
          </cell>
          <cell r="G2111" t="str">
            <v>$202.28</v>
          </cell>
          <cell r="H2111" t="str">
            <v>$202.28</v>
          </cell>
          <cell r="I2111">
            <v>17</v>
          </cell>
          <cell r="J2111">
            <v>17</v>
          </cell>
          <cell r="K2111">
            <v>9</v>
          </cell>
          <cell r="L2111">
            <v>9</v>
          </cell>
          <cell r="M2111">
            <v>6.4768240653698753E-2</v>
          </cell>
          <cell r="N2111">
            <v>5.8999999999999997E-2</v>
          </cell>
          <cell r="O2111" t="str">
            <v>$1031</v>
          </cell>
          <cell r="P2111" t="str">
            <v>$1031</v>
          </cell>
          <cell r="Q2111">
            <v>45613</v>
          </cell>
          <cell r="R2111" t="str">
            <v>Hyderabad</v>
          </cell>
          <cell r="S2111" t="str">
            <v>Desktop</v>
          </cell>
          <cell r="T2111" t="str">
            <v>data analytics course</v>
          </cell>
        </row>
        <row r="2112">
          <cell r="A2112" t="str">
            <v>A3110</v>
          </cell>
          <cell r="B2112" t="str">
            <v>Data Analytics Course</v>
          </cell>
          <cell r="C2112">
            <v>83</v>
          </cell>
          <cell r="D2112">
            <v>83</v>
          </cell>
          <cell r="E2112">
            <v>3684</v>
          </cell>
          <cell r="F2112">
            <v>3684</v>
          </cell>
          <cell r="G2112" t="str">
            <v>$203.47</v>
          </cell>
          <cell r="H2112" t="str">
            <v>$203.47</v>
          </cell>
          <cell r="I2112">
            <v>20.551867219917014</v>
          </cell>
          <cell r="K2112">
            <v>6.5</v>
          </cell>
          <cell r="M2112">
            <v>7.8313253012048195E-2</v>
          </cell>
          <cell r="O2112" t="str">
            <v>$1805</v>
          </cell>
          <cell r="P2112" t="str">
            <v>$1805</v>
          </cell>
          <cell r="Q2112">
            <v>45613</v>
          </cell>
          <cell r="R2112" t="str">
            <v>Hyderabad</v>
          </cell>
          <cell r="S2112" t="str">
            <v>Tablet</v>
          </cell>
          <cell r="T2112" t="str">
            <v>data analytics course</v>
          </cell>
        </row>
        <row r="2113">
          <cell r="A2113" t="str">
            <v>A3111</v>
          </cell>
          <cell r="B2113" t="str">
            <v>Data Analytics Course</v>
          </cell>
          <cell r="C2113">
            <v>189</v>
          </cell>
          <cell r="D2113">
            <v>189</v>
          </cell>
          <cell r="E2113">
            <v>3226</v>
          </cell>
          <cell r="F2113">
            <v>3226</v>
          </cell>
          <cell r="G2113" t="str">
            <v>$236.68</v>
          </cell>
          <cell r="H2113" t="str">
            <v>$236.68</v>
          </cell>
          <cell r="I2113">
            <v>14</v>
          </cell>
          <cell r="J2113">
            <v>14</v>
          </cell>
          <cell r="K2113">
            <v>6</v>
          </cell>
          <cell r="L2113">
            <v>6</v>
          </cell>
          <cell r="M2113">
            <v>3.1746031746031744E-2</v>
          </cell>
          <cell r="N2113">
            <v>3.2000000000000001E-2</v>
          </cell>
          <cell r="O2113" t="str">
            <v>$1364</v>
          </cell>
          <cell r="P2113" t="str">
            <v>$1364</v>
          </cell>
          <cell r="Q2113">
            <v>45602</v>
          </cell>
          <cell r="R2113" t="str">
            <v>Hyderabad</v>
          </cell>
          <cell r="S2113" t="str">
            <v>Tablet</v>
          </cell>
          <cell r="T2113" t="str">
            <v>analytics for data</v>
          </cell>
        </row>
        <row r="2114">
          <cell r="A2114" t="str">
            <v>A3112</v>
          </cell>
          <cell r="B2114" t="str">
            <v>Data Analytics Course</v>
          </cell>
          <cell r="C2114">
            <v>165</v>
          </cell>
          <cell r="D2114">
            <v>165</v>
          </cell>
          <cell r="E2114">
            <v>4978</v>
          </cell>
          <cell r="F2114">
            <v>4978</v>
          </cell>
          <cell r="G2114" t="str">
            <v>$180.25</v>
          </cell>
          <cell r="H2114" t="str">
            <v>$180.25</v>
          </cell>
          <cell r="I2114">
            <v>12</v>
          </cell>
          <cell r="J2114">
            <v>12</v>
          </cell>
          <cell r="K2114">
            <v>4</v>
          </cell>
          <cell r="L2114">
            <v>4</v>
          </cell>
          <cell r="M2114">
            <v>2.4242424242424242E-2</v>
          </cell>
          <cell r="N2114">
            <v>5.8000000000000003E-2</v>
          </cell>
          <cell r="O2114" t="str">
            <v>$1123</v>
          </cell>
          <cell r="P2114" t="str">
            <v>$1123</v>
          </cell>
          <cell r="Q2114">
            <v>45610</v>
          </cell>
          <cell r="R2114" t="str">
            <v>Hyderabad</v>
          </cell>
          <cell r="S2114" t="str">
            <v>Tablet</v>
          </cell>
          <cell r="T2114" t="str">
            <v>online data analytic</v>
          </cell>
        </row>
        <row r="2115">
          <cell r="A2115" t="str">
            <v>A3113</v>
          </cell>
          <cell r="B2115" t="str">
            <v>Data Analytcis Course</v>
          </cell>
          <cell r="C2115">
            <v>172</v>
          </cell>
          <cell r="D2115">
            <v>172</v>
          </cell>
          <cell r="E2115">
            <v>5041</v>
          </cell>
          <cell r="F2115">
            <v>5041</v>
          </cell>
          <cell r="G2115" t="str">
            <v>$189.31</v>
          </cell>
          <cell r="H2115" t="str">
            <v>$189.31</v>
          </cell>
          <cell r="I2115">
            <v>22</v>
          </cell>
          <cell r="J2115">
            <v>22</v>
          </cell>
          <cell r="K2115">
            <v>10</v>
          </cell>
          <cell r="L2115">
            <v>10</v>
          </cell>
          <cell r="M2115">
            <v>5.8139534883720929E-2</v>
          </cell>
          <cell r="O2115" t="str">
            <v>$1645</v>
          </cell>
          <cell r="P2115" t="str">
            <v>$1645</v>
          </cell>
          <cell r="Q2115">
            <v>45603</v>
          </cell>
          <cell r="R2115" t="str">
            <v>Chennai</v>
          </cell>
          <cell r="S2115" t="str">
            <v>Mobile</v>
          </cell>
          <cell r="T2115" t="str">
            <v>data analytics training</v>
          </cell>
        </row>
        <row r="2116">
          <cell r="A2116" t="str">
            <v>A3114</v>
          </cell>
          <cell r="B2116" t="str">
            <v>Data Analytics Course</v>
          </cell>
          <cell r="C2116">
            <v>183</v>
          </cell>
          <cell r="D2116">
            <v>183</v>
          </cell>
          <cell r="E2116">
            <v>4124</v>
          </cell>
          <cell r="F2116">
            <v>4124</v>
          </cell>
          <cell r="G2116" t="str">
            <v>$186.66</v>
          </cell>
          <cell r="H2116" t="str">
            <v>$186.66</v>
          </cell>
          <cell r="I2116">
            <v>24</v>
          </cell>
          <cell r="J2116">
            <v>24</v>
          </cell>
          <cell r="K2116">
            <v>6</v>
          </cell>
          <cell r="L2116">
            <v>6</v>
          </cell>
          <cell r="M2116">
            <v>3.2786885245901641E-2</v>
          </cell>
          <cell r="N2116">
            <v>3.3000000000000002E-2</v>
          </cell>
          <cell r="O2116" t="str">
            <v>$1183</v>
          </cell>
          <cell r="P2116" t="str">
            <v>$1183</v>
          </cell>
          <cell r="Q2116">
            <v>45624</v>
          </cell>
          <cell r="R2116" t="str">
            <v>Hyderabad</v>
          </cell>
          <cell r="S2116" t="str">
            <v>Tablet</v>
          </cell>
          <cell r="T2116" t="str">
            <v>data analytics course</v>
          </cell>
        </row>
        <row r="2117">
          <cell r="A2117" t="str">
            <v>A3115</v>
          </cell>
          <cell r="B2117" t="str">
            <v>Data Analytics Course</v>
          </cell>
          <cell r="C2117">
            <v>196</v>
          </cell>
          <cell r="D2117">
            <v>196</v>
          </cell>
          <cell r="E2117">
            <v>3143</v>
          </cell>
          <cell r="F2117">
            <v>3143</v>
          </cell>
          <cell r="G2117" t="str">
            <v>$238.22</v>
          </cell>
          <cell r="H2117" t="str">
            <v>$238.22</v>
          </cell>
          <cell r="I2117">
            <v>28</v>
          </cell>
          <cell r="J2117">
            <v>28</v>
          </cell>
          <cell r="K2117">
            <v>7</v>
          </cell>
          <cell r="L2117">
            <v>7</v>
          </cell>
          <cell r="M2117">
            <v>3.5714285714285712E-2</v>
          </cell>
          <cell r="N2117">
            <v>3.5999999999999997E-2</v>
          </cell>
          <cell r="O2117" t="str">
            <v>$1234</v>
          </cell>
          <cell r="P2117" t="str">
            <v>$1234</v>
          </cell>
          <cell r="Q2117">
            <v>45604</v>
          </cell>
          <cell r="R2117" t="str">
            <v>Bangaluru</v>
          </cell>
          <cell r="S2117" t="str">
            <v>Mobile</v>
          </cell>
          <cell r="T2117" t="str">
            <v>data analytics online</v>
          </cell>
        </row>
        <row r="2118">
          <cell r="A2118" t="str">
            <v>A3116</v>
          </cell>
          <cell r="B2118" t="str">
            <v>Data Analytics Course</v>
          </cell>
          <cell r="C2118">
            <v>98</v>
          </cell>
          <cell r="D2118">
            <v>98</v>
          </cell>
          <cell r="E2118">
            <v>4505</v>
          </cell>
          <cell r="F2118">
            <v>4505</v>
          </cell>
          <cell r="G2118" t="str">
            <v>$209.36</v>
          </cell>
          <cell r="H2118" t="str">
            <v>$209.36</v>
          </cell>
          <cell r="I2118">
            <v>27</v>
          </cell>
          <cell r="J2118">
            <v>27</v>
          </cell>
          <cell r="K2118">
            <v>5</v>
          </cell>
          <cell r="L2118">
            <v>5</v>
          </cell>
          <cell r="M2118">
            <v>5.1020408163265307E-2</v>
          </cell>
          <cell r="O2118" t="str">
            <v>$1186</v>
          </cell>
          <cell r="P2118" t="str">
            <v>$1186</v>
          </cell>
          <cell r="Q2118">
            <v>45625</v>
          </cell>
          <cell r="R2118" t="str">
            <v>Hyderabad</v>
          </cell>
          <cell r="S2118" t="str">
            <v>Tablet</v>
          </cell>
          <cell r="T2118" t="str">
            <v>learn data analytics</v>
          </cell>
        </row>
        <row r="2119">
          <cell r="A2119" t="str">
            <v>A3117</v>
          </cell>
          <cell r="B2119" t="str">
            <v>Data Analytics Course</v>
          </cell>
          <cell r="C2119">
            <v>158</v>
          </cell>
          <cell r="D2119">
            <v>158</v>
          </cell>
          <cell r="E2119">
            <v>3736</v>
          </cell>
          <cell r="F2119">
            <v>3736</v>
          </cell>
          <cell r="G2119" t="str">
            <v>$226.99</v>
          </cell>
          <cell r="H2119" t="str">
            <v>$226.99</v>
          </cell>
          <cell r="I2119">
            <v>11</v>
          </cell>
          <cell r="J2119">
            <v>11</v>
          </cell>
          <cell r="K2119">
            <v>8</v>
          </cell>
          <cell r="L2119">
            <v>8</v>
          </cell>
          <cell r="M2119">
            <v>5.0632911392405063E-2</v>
          </cell>
          <cell r="O2119" t="str">
            <v>$1606</v>
          </cell>
          <cell r="P2119" t="str">
            <v>$1606</v>
          </cell>
          <cell r="Q2119">
            <v>45625</v>
          </cell>
          <cell r="R2119" t="str">
            <v>Hyderabad</v>
          </cell>
          <cell r="S2119" t="str">
            <v>Tablet</v>
          </cell>
          <cell r="T2119" t="str">
            <v>data analytics training</v>
          </cell>
        </row>
        <row r="2120">
          <cell r="A2120" t="str">
            <v>A3118</v>
          </cell>
          <cell r="B2120" t="str">
            <v>Data Analytcis Course</v>
          </cell>
          <cell r="C2120">
            <v>104</v>
          </cell>
          <cell r="D2120">
            <v>104</v>
          </cell>
          <cell r="E2120">
            <v>5949</v>
          </cell>
          <cell r="F2120">
            <v>5949</v>
          </cell>
          <cell r="G2120" t="str">
            <v>$216.6</v>
          </cell>
          <cell r="H2120" t="str">
            <v>$216.6</v>
          </cell>
          <cell r="I2120">
            <v>28</v>
          </cell>
          <cell r="J2120">
            <v>28</v>
          </cell>
          <cell r="K2120">
            <v>4</v>
          </cell>
          <cell r="L2120">
            <v>4</v>
          </cell>
          <cell r="M2120">
            <v>3.8461538461538464E-2</v>
          </cell>
          <cell r="N2120">
            <v>3.7999999999999999E-2</v>
          </cell>
          <cell r="O2120" t="str">
            <v>$1102</v>
          </cell>
          <cell r="P2120" t="str">
            <v>$1102</v>
          </cell>
          <cell r="Q2120">
            <v>45606</v>
          </cell>
          <cell r="R2120" t="str">
            <v>Hyderabad</v>
          </cell>
          <cell r="S2120" t="str">
            <v>Mobile</v>
          </cell>
          <cell r="T2120" t="str">
            <v>analytics for data</v>
          </cell>
        </row>
        <row r="2121">
          <cell r="A2121" t="str">
            <v>A3119</v>
          </cell>
          <cell r="B2121" t="str">
            <v>Data Analytics Course</v>
          </cell>
          <cell r="C2121">
            <v>84</v>
          </cell>
          <cell r="D2121">
            <v>84</v>
          </cell>
          <cell r="E2121">
            <v>4625</v>
          </cell>
          <cell r="F2121">
            <v>4625</v>
          </cell>
          <cell r="G2121" t="str">
            <v>$226.02</v>
          </cell>
          <cell r="H2121" t="str">
            <v>$226.02</v>
          </cell>
          <cell r="I2121">
            <v>13</v>
          </cell>
          <cell r="J2121">
            <v>13</v>
          </cell>
          <cell r="K2121">
            <v>5</v>
          </cell>
          <cell r="L2121">
            <v>5</v>
          </cell>
          <cell r="M2121">
            <v>5.9523809523809521E-2</v>
          </cell>
          <cell r="O2121" t="str">
            <v>$1969</v>
          </cell>
          <cell r="P2121" t="str">
            <v>$1969</v>
          </cell>
          <cell r="Q2121">
            <v>45610</v>
          </cell>
          <cell r="R2121" t="str">
            <v>Bangaluru</v>
          </cell>
          <cell r="S2121" t="str">
            <v>Desktop</v>
          </cell>
          <cell r="T2121" t="str">
            <v>online data analytic</v>
          </cell>
        </row>
        <row r="2122">
          <cell r="A2122" t="str">
            <v>A3120</v>
          </cell>
          <cell r="B2122" t="str">
            <v>Data Analytics Course</v>
          </cell>
          <cell r="C2122">
            <v>128</v>
          </cell>
          <cell r="D2122">
            <v>128</v>
          </cell>
          <cell r="E2122">
            <v>5022</v>
          </cell>
          <cell r="F2122">
            <v>5022</v>
          </cell>
          <cell r="G2122" t="str">
            <v>$188.96</v>
          </cell>
          <cell r="H2122" t="str">
            <v>$188.96</v>
          </cell>
          <cell r="I2122">
            <v>26</v>
          </cell>
          <cell r="J2122">
            <v>26</v>
          </cell>
          <cell r="K2122">
            <v>6</v>
          </cell>
          <cell r="L2122">
            <v>6</v>
          </cell>
          <cell r="M2122">
            <v>4.6875E-2</v>
          </cell>
          <cell r="N2122">
            <v>4.7E-2</v>
          </cell>
          <cell r="O2122" t="str">
            <v>$1108</v>
          </cell>
          <cell r="P2122" t="str">
            <v>$1108</v>
          </cell>
          <cell r="Q2122">
            <v>45598</v>
          </cell>
          <cell r="R2122" t="str">
            <v>Hyderabad</v>
          </cell>
          <cell r="S2122" t="str">
            <v>Mobile</v>
          </cell>
          <cell r="T2122" t="str">
            <v>data analytics training</v>
          </cell>
        </row>
        <row r="2123">
          <cell r="A2123" t="str">
            <v>A3121</v>
          </cell>
          <cell r="B2123" t="str">
            <v>Data Analytics Course</v>
          </cell>
          <cell r="C2123">
            <v>99</v>
          </cell>
          <cell r="D2123">
            <v>99</v>
          </cell>
          <cell r="E2123">
            <v>5483</v>
          </cell>
          <cell r="F2123">
            <v>5483</v>
          </cell>
          <cell r="G2123" t="str">
            <v>$180.04</v>
          </cell>
          <cell r="H2123" t="str">
            <v>$180.04</v>
          </cell>
          <cell r="I2123">
            <v>20.552966101694917</v>
          </cell>
          <cell r="K2123">
            <v>5</v>
          </cell>
          <cell r="L2123">
            <v>5</v>
          </cell>
          <cell r="M2123">
            <v>5.0505050505050504E-2</v>
          </cell>
          <cell r="N2123">
            <v>0.05</v>
          </cell>
          <cell r="O2123" t="str">
            <v>$1687</v>
          </cell>
          <cell r="P2123" t="str">
            <v>$1687</v>
          </cell>
          <cell r="Q2123">
            <v>45600</v>
          </cell>
          <cell r="R2123" t="str">
            <v>Hyderabad</v>
          </cell>
          <cell r="S2123" t="str">
            <v>Desktop</v>
          </cell>
          <cell r="T2123" t="str">
            <v>analytics for data</v>
          </cell>
        </row>
        <row r="2124">
          <cell r="A2124" t="str">
            <v>A3122</v>
          </cell>
          <cell r="B2124" t="str">
            <v>Data Analytcis Course</v>
          </cell>
          <cell r="C2124">
            <v>107</v>
          </cell>
          <cell r="D2124">
            <v>107</v>
          </cell>
          <cell r="E2124">
            <v>5491</v>
          </cell>
          <cell r="F2124">
            <v>5491</v>
          </cell>
          <cell r="G2124" t="str">
            <v>$217.98</v>
          </cell>
          <cell r="H2124" t="str">
            <v>$217.98</v>
          </cell>
          <cell r="I2124">
            <v>17</v>
          </cell>
          <cell r="J2124">
            <v>17</v>
          </cell>
          <cell r="K2124">
            <v>10</v>
          </cell>
          <cell r="L2124">
            <v>10</v>
          </cell>
          <cell r="M2124">
            <v>9.3457943925233641E-2</v>
          </cell>
          <cell r="N2124">
            <v>9.2999999999999999E-2</v>
          </cell>
          <cell r="O2124" t="str">
            <v>$1480</v>
          </cell>
          <cell r="P2124" t="str">
            <v>$1480</v>
          </cell>
          <cell r="Q2124">
            <v>45607</v>
          </cell>
          <cell r="R2124" t="str">
            <v>Hyderabad</v>
          </cell>
          <cell r="S2124" t="str">
            <v>Mobile</v>
          </cell>
          <cell r="T2124" t="str">
            <v>online data analytic</v>
          </cell>
        </row>
        <row r="2125">
          <cell r="A2125" t="str">
            <v>A3123</v>
          </cell>
          <cell r="B2125" t="str">
            <v>Data Analytics Course</v>
          </cell>
          <cell r="C2125">
            <v>86</v>
          </cell>
          <cell r="D2125">
            <v>86</v>
          </cell>
          <cell r="E2125">
            <v>4078</v>
          </cell>
          <cell r="F2125">
            <v>4078</v>
          </cell>
          <cell r="G2125" t="str">
            <v>$208.92</v>
          </cell>
          <cell r="H2125" t="str">
            <v>$208.92</v>
          </cell>
          <cell r="I2125">
            <v>26</v>
          </cell>
          <cell r="J2125">
            <v>26</v>
          </cell>
          <cell r="K2125">
            <v>3</v>
          </cell>
          <cell r="L2125">
            <v>3</v>
          </cell>
          <cell r="M2125">
            <v>3.4883720930232558E-2</v>
          </cell>
          <cell r="N2125">
            <v>3.5000000000000003E-2</v>
          </cell>
          <cell r="O2125" t="str">
            <v>$1698</v>
          </cell>
          <cell r="P2125" t="str">
            <v>$1698</v>
          </cell>
          <cell r="Q2125">
            <v>45602</v>
          </cell>
          <cell r="R2125" t="str">
            <v>Chennai</v>
          </cell>
          <cell r="S2125" t="str">
            <v>Mobile</v>
          </cell>
          <cell r="T2125" t="str">
            <v>data analytics course</v>
          </cell>
        </row>
        <row r="2126">
          <cell r="A2126" t="str">
            <v>A3124</v>
          </cell>
          <cell r="B2126" t="str">
            <v>Data Analytcis Course</v>
          </cell>
          <cell r="C2126">
            <v>138.95699356913184</v>
          </cell>
          <cell r="E2126">
            <v>3052</v>
          </cell>
          <cell r="F2126">
            <v>3052</v>
          </cell>
          <cell r="G2126" t="str">
            <v>$245.45</v>
          </cell>
          <cell r="H2126" t="str">
            <v>$245.45</v>
          </cell>
          <cell r="I2126">
            <v>24</v>
          </cell>
          <cell r="J2126">
            <v>24</v>
          </cell>
          <cell r="K2126">
            <v>6</v>
          </cell>
          <cell r="L2126">
            <v>6</v>
          </cell>
          <cell r="M2126">
            <v>4.317882710246583E-2</v>
          </cell>
          <cell r="O2126" t="str">
            <v>$1769</v>
          </cell>
          <cell r="P2126" t="str">
            <v>$1769</v>
          </cell>
          <cell r="Q2126">
            <v>45624</v>
          </cell>
          <cell r="R2126" t="str">
            <v>Hyderabad</v>
          </cell>
          <cell r="S2126" t="str">
            <v>Desktop</v>
          </cell>
          <cell r="T2126" t="str">
            <v>data analytics online</v>
          </cell>
        </row>
        <row r="2127">
          <cell r="A2127" t="str">
            <v>A3125</v>
          </cell>
          <cell r="B2127" t="str">
            <v>Data Analytics Course</v>
          </cell>
          <cell r="C2127">
            <v>88</v>
          </cell>
          <cell r="D2127">
            <v>88</v>
          </cell>
          <cell r="E2127">
            <v>3708</v>
          </cell>
          <cell r="F2127">
            <v>3708</v>
          </cell>
          <cell r="G2127" t="str">
            <v>$225.76</v>
          </cell>
          <cell r="H2127" t="str">
            <v>$225.76</v>
          </cell>
          <cell r="I2127">
            <v>10</v>
          </cell>
          <cell r="J2127">
            <v>10</v>
          </cell>
          <cell r="K2127">
            <v>5</v>
          </cell>
          <cell r="L2127">
            <v>5</v>
          </cell>
          <cell r="M2127">
            <v>5.6818181818181816E-2</v>
          </cell>
          <cell r="N2127">
            <v>3.5999999999999997E-2</v>
          </cell>
          <cell r="O2127" t="str">
            <v>$1667</v>
          </cell>
          <cell r="P2127" t="str">
            <v>$1667</v>
          </cell>
          <cell r="Q2127">
            <v>45608</v>
          </cell>
          <cell r="R2127" t="str">
            <v>Hyderabad</v>
          </cell>
          <cell r="S2127" t="str">
            <v>Tablet</v>
          </cell>
          <cell r="T2127" t="str">
            <v>data analytics training</v>
          </cell>
        </row>
        <row r="2128">
          <cell r="A2128" t="str">
            <v>A3126</v>
          </cell>
          <cell r="B2128" t="str">
            <v>Data Analytics Course</v>
          </cell>
          <cell r="C2128">
            <v>141</v>
          </cell>
          <cell r="D2128">
            <v>141</v>
          </cell>
          <cell r="E2128">
            <v>5314</v>
          </cell>
          <cell r="F2128">
            <v>5314</v>
          </cell>
          <cell r="G2128" t="str">
            <v>$184.34</v>
          </cell>
          <cell r="H2128" t="str">
            <v>$184.34</v>
          </cell>
          <cell r="I2128">
            <v>29</v>
          </cell>
          <cell r="J2128">
            <v>29</v>
          </cell>
          <cell r="K2128">
            <v>10</v>
          </cell>
          <cell r="L2128">
            <v>10</v>
          </cell>
          <cell r="M2128">
            <v>7.0921985815602842E-2</v>
          </cell>
          <cell r="N2128">
            <v>7.0999999999999994E-2</v>
          </cell>
          <cell r="O2128" t="str">
            <v>$1271</v>
          </cell>
          <cell r="P2128" t="str">
            <v>$1271</v>
          </cell>
          <cell r="Q2128">
            <v>45615</v>
          </cell>
          <cell r="R2128" t="str">
            <v>Hyderabad</v>
          </cell>
          <cell r="S2128" t="str">
            <v>Mobile</v>
          </cell>
          <cell r="T2128" t="str">
            <v>online data analytic</v>
          </cell>
        </row>
        <row r="2129">
          <cell r="A2129" t="str">
            <v>A3127</v>
          </cell>
          <cell r="B2129" t="str">
            <v>Data Analytics Course</v>
          </cell>
          <cell r="C2129">
            <v>193</v>
          </cell>
          <cell r="D2129">
            <v>193</v>
          </cell>
          <cell r="E2129">
            <v>3566</v>
          </cell>
          <cell r="F2129">
            <v>3566</v>
          </cell>
          <cell r="G2129" t="str">
            <v>$212.73</v>
          </cell>
          <cell r="H2129" t="str">
            <v>$212.73</v>
          </cell>
          <cell r="I2129">
            <v>19</v>
          </cell>
          <cell r="J2129">
            <v>19</v>
          </cell>
          <cell r="K2129">
            <v>7</v>
          </cell>
          <cell r="L2129">
            <v>7</v>
          </cell>
          <cell r="M2129">
            <v>3.6269430051813469E-2</v>
          </cell>
          <cell r="N2129">
            <v>3.5999999999999997E-2</v>
          </cell>
          <cell r="O2129" t="str">
            <v>$1311</v>
          </cell>
          <cell r="P2129" t="str">
            <v>$1311</v>
          </cell>
          <cell r="Q2129">
            <v>45600</v>
          </cell>
          <cell r="R2129" t="str">
            <v>Hyderabad</v>
          </cell>
          <cell r="S2129" t="str">
            <v>Desktop</v>
          </cell>
          <cell r="T2129" t="str">
            <v>data analytics online</v>
          </cell>
        </row>
        <row r="2130">
          <cell r="A2130" t="str">
            <v>A3128</v>
          </cell>
          <cell r="B2130" t="str">
            <v>Data Analytics Course</v>
          </cell>
          <cell r="C2130">
            <v>185</v>
          </cell>
          <cell r="D2130">
            <v>185</v>
          </cell>
          <cell r="E2130">
            <v>4839</v>
          </cell>
          <cell r="F2130">
            <v>4839</v>
          </cell>
          <cell r="G2130" t="str">
            <v>$193.99</v>
          </cell>
          <cell r="H2130" t="str">
            <v>$193.99</v>
          </cell>
          <cell r="I2130">
            <v>26</v>
          </cell>
          <cell r="J2130">
            <v>26</v>
          </cell>
          <cell r="K2130">
            <v>6</v>
          </cell>
          <cell r="L2130">
            <v>6</v>
          </cell>
          <cell r="M2130">
            <v>3.2432432432432434E-2</v>
          </cell>
          <cell r="N2130">
            <v>3.2000000000000001E-2</v>
          </cell>
          <cell r="O2130" t="str">
            <v>$1492</v>
          </cell>
          <cell r="P2130" t="str">
            <v>$1492</v>
          </cell>
          <cell r="Q2130">
            <v>45600</v>
          </cell>
          <cell r="R2130" t="str">
            <v>Hyderabad</v>
          </cell>
          <cell r="S2130" t="str">
            <v>Desktop</v>
          </cell>
          <cell r="T2130" t="str">
            <v>data analytics training</v>
          </cell>
        </row>
        <row r="2131">
          <cell r="A2131" t="str">
            <v>A3129</v>
          </cell>
          <cell r="B2131" t="str">
            <v>Data Analytcis Course</v>
          </cell>
          <cell r="C2131">
            <v>117</v>
          </cell>
          <cell r="D2131">
            <v>117</v>
          </cell>
          <cell r="E2131">
            <v>5145</v>
          </cell>
          <cell r="F2131">
            <v>5145</v>
          </cell>
          <cell r="G2131" t="str">
            <v>$244.44</v>
          </cell>
          <cell r="H2131" t="str">
            <v>$244.44</v>
          </cell>
          <cell r="I2131">
            <v>12</v>
          </cell>
          <cell r="J2131">
            <v>12</v>
          </cell>
          <cell r="K2131">
            <v>8</v>
          </cell>
          <cell r="L2131">
            <v>8</v>
          </cell>
          <cell r="M2131">
            <v>6.8376068376068383E-2</v>
          </cell>
          <cell r="N2131">
            <v>6.8000000000000005E-2</v>
          </cell>
          <cell r="O2131" t="str">
            <v>$1500</v>
          </cell>
          <cell r="Q2131">
            <v>45606</v>
          </cell>
          <cell r="R2131" t="str">
            <v>Bangaluru</v>
          </cell>
          <cell r="S2131" t="str">
            <v>Mobile</v>
          </cell>
          <cell r="T2131" t="str">
            <v>data analytics online</v>
          </cell>
        </row>
        <row r="2132">
          <cell r="A2132" t="str">
            <v>A3130</v>
          </cell>
          <cell r="B2132" t="str">
            <v>Data Analytics Course</v>
          </cell>
          <cell r="C2132">
            <v>147</v>
          </cell>
          <cell r="D2132">
            <v>147</v>
          </cell>
          <cell r="E2132">
            <v>4371</v>
          </cell>
          <cell r="F2132">
            <v>4371</v>
          </cell>
          <cell r="G2132" t="str">
            <v>$243.04</v>
          </cell>
          <cell r="H2132" t="str">
            <v>$243.04</v>
          </cell>
          <cell r="I2132">
            <v>26</v>
          </cell>
          <cell r="J2132">
            <v>26</v>
          </cell>
          <cell r="K2132">
            <v>9</v>
          </cell>
          <cell r="L2132">
            <v>9</v>
          </cell>
          <cell r="M2132">
            <v>6.1224489795918366E-2</v>
          </cell>
          <cell r="N2132">
            <v>6.0999999999999999E-2</v>
          </cell>
          <cell r="O2132" t="str">
            <v>$1776</v>
          </cell>
          <cell r="P2132" t="str">
            <v>$1776</v>
          </cell>
          <cell r="Q2132">
            <v>45614</v>
          </cell>
          <cell r="R2132" t="str">
            <v>Hyderabad</v>
          </cell>
          <cell r="S2132" t="str">
            <v>Desktop</v>
          </cell>
          <cell r="T2132" t="str">
            <v>online data analytic</v>
          </cell>
        </row>
        <row r="2133">
          <cell r="A2133" t="str">
            <v>A3131</v>
          </cell>
          <cell r="B2133" t="str">
            <v>Data Analytics Course</v>
          </cell>
          <cell r="C2133">
            <v>197</v>
          </cell>
          <cell r="D2133">
            <v>197</v>
          </cell>
          <cell r="E2133">
            <v>5697</v>
          </cell>
          <cell r="F2133">
            <v>5697</v>
          </cell>
          <cell r="G2133" t="str">
            <v>$243.72</v>
          </cell>
          <cell r="H2133" t="str">
            <v>$243.72</v>
          </cell>
          <cell r="I2133">
            <v>13</v>
          </cell>
          <cell r="J2133">
            <v>13</v>
          </cell>
          <cell r="K2133">
            <v>3</v>
          </cell>
          <cell r="L2133">
            <v>3</v>
          </cell>
          <cell r="M2133">
            <v>1.5228426395939087E-2</v>
          </cell>
          <cell r="O2133" t="str">
            <v>$1154</v>
          </cell>
          <cell r="P2133" t="str">
            <v>$1154</v>
          </cell>
          <cell r="Q2133">
            <v>45602</v>
          </cell>
          <cell r="R2133" t="str">
            <v>Bangaluru</v>
          </cell>
          <cell r="S2133" t="str">
            <v>Mobile</v>
          </cell>
          <cell r="T2133" t="str">
            <v>learn data analytics</v>
          </cell>
        </row>
        <row r="2134">
          <cell r="A2134" t="str">
            <v>A3132</v>
          </cell>
          <cell r="B2134" t="str">
            <v>Data Analytics Course</v>
          </cell>
          <cell r="C2134">
            <v>81</v>
          </cell>
          <cell r="D2134">
            <v>81</v>
          </cell>
          <cell r="E2134">
            <v>3096</v>
          </cell>
          <cell r="F2134">
            <v>3096</v>
          </cell>
          <cell r="G2134" t="str">
            <v>$228.47</v>
          </cell>
          <cell r="H2134" t="str">
            <v>$228.47</v>
          </cell>
          <cell r="I2134">
            <v>22</v>
          </cell>
          <cell r="J2134">
            <v>22</v>
          </cell>
          <cell r="K2134">
            <v>3</v>
          </cell>
          <cell r="L2134">
            <v>3</v>
          </cell>
          <cell r="M2134">
            <v>3.7037037037037035E-2</v>
          </cell>
          <cell r="N2134">
            <v>3.6999999999999998E-2</v>
          </cell>
          <cell r="O2134" t="str">
            <v>$1386</v>
          </cell>
          <cell r="P2134" t="str">
            <v>$1386</v>
          </cell>
          <cell r="Q2134">
            <v>45618</v>
          </cell>
          <cell r="R2134" t="str">
            <v>Hyderabad</v>
          </cell>
          <cell r="S2134" t="str">
            <v>Tablet</v>
          </cell>
          <cell r="T2134" t="str">
            <v>analytics for data</v>
          </cell>
        </row>
        <row r="2135">
          <cell r="A2135" t="str">
            <v>A3133</v>
          </cell>
          <cell r="B2135" t="str">
            <v>Data Analytcis Course</v>
          </cell>
          <cell r="C2135">
            <v>198</v>
          </cell>
          <cell r="D2135">
            <v>198</v>
          </cell>
          <cell r="E2135">
            <v>4163</v>
          </cell>
          <cell r="F2135">
            <v>4163</v>
          </cell>
          <cell r="G2135" t="str">
            <v>$218.64</v>
          </cell>
          <cell r="H2135" t="str">
            <v>$218.64</v>
          </cell>
          <cell r="I2135">
            <v>11</v>
          </cell>
          <cell r="J2135">
            <v>11</v>
          </cell>
          <cell r="K2135">
            <v>6</v>
          </cell>
          <cell r="L2135">
            <v>6</v>
          </cell>
          <cell r="M2135">
            <v>3.0303030303030304E-2</v>
          </cell>
          <cell r="N2135">
            <v>0.03</v>
          </cell>
          <cell r="O2135" t="str">
            <v>$1904</v>
          </cell>
          <cell r="P2135" t="str">
            <v>$1904</v>
          </cell>
          <cell r="Q2135">
            <v>45626</v>
          </cell>
          <cell r="R2135" t="str">
            <v>Hyderabad</v>
          </cell>
          <cell r="S2135" t="str">
            <v>Tablet</v>
          </cell>
          <cell r="T2135" t="str">
            <v>learn data analytics</v>
          </cell>
        </row>
        <row r="2136">
          <cell r="A2136" t="str">
            <v>A3134</v>
          </cell>
          <cell r="B2136" t="str">
            <v>Data Analytics Course</v>
          </cell>
          <cell r="C2136">
            <v>155</v>
          </cell>
          <cell r="D2136">
            <v>155</v>
          </cell>
          <cell r="E2136">
            <v>5150</v>
          </cell>
          <cell r="F2136">
            <v>5150</v>
          </cell>
          <cell r="G2136" t="str">
            <v>$224.6</v>
          </cell>
          <cell r="H2136" t="str">
            <v>$224.6</v>
          </cell>
          <cell r="I2136">
            <v>24</v>
          </cell>
          <cell r="J2136">
            <v>24</v>
          </cell>
          <cell r="K2136">
            <v>7</v>
          </cell>
          <cell r="L2136">
            <v>7</v>
          </cell>
          <cell r="M2136">
            <v>4.5161290322580643E-2</v>
          </cell>
          <cell r="N2136">
            <v>3.9E-2</v>
          </cell>
          <cell r="O2136" t="str">
            <v>$1146</v>
          </cell>
          <cell r="P2136" t="str">
            <v>$1146</v>
          </cell>
          <cell r="Q2136">
            <v>45600</v>
          </cell>
          <cell r="R2136" t="str">
            <v>Hyderabad</v>
          </cell>
          <cell r="S2136" t="str">
            <v>Tablet</v>
          </cell>
          <cell r="T2136" t="str">
            <v>data analytics course</v>
          </cell>
        </row>
        <row r="2137">
          <cell r="A2137" t="str">
            <v>A3135</v>
          </cell>
          <cell r="B2137" t="str">
            <v>Data Analytics Course</v>
          </cell>
          <cell r="C2137">
            <v>181</v>
          </cell>
          <cell r="D2137">
            <v>181</v>
          </cell>
          <cell r="E2137">
            <v>3948</v>
          </cell>
          <cell r="F2137">
            <v>3948</v>
          </cell>
          <cell r="G2137" t="str">
            <v>$223.51</v>
          </cell>
          <cell r="H2137" t="str">
            <v>$223.51</v>
          </cell>
          <cell r="I2137">
            <v>17</v>
          </cell>
          <cell r="J2137">
            <v>17</v>
          </cell>
          <cell r="K2137">
            <v>4</v>
          </cell>
          <cell r="L2137">
            <v>4</v>
          </cell>
          <cell r="M2137">
            <v>2.2099447513812154E-2</v>
          </cell>
          <cell r="N2137">
            <v>5.7000000000000002E-2</v>
          </cell>
          <cell r="O2137" t="str">
            <v>$1075</v>
          </cell>
          <cell r="P2137" t="str">
            <v>$1075</v>
          </cell>
          <cell r="Q2137">
            <v>45606</v>
          </cell>
          <cell r="R2137" t="str">
            <v>Hyderabad</v>
          </cell>
          <cell r="S2137" t="str">
            <v>Mobile</v>
          </cell>
          <cell r="T2137" t="str">
            <v>analytics for data</v>
          </cell>
        </row>
        <row r="2138">
          <cell r="A2138" t="str">
            <v>A3136</v>
          </cell>
          <cell r="B2138" t="str">
            <v>Data Analytcis Course</v>
          </cell>
          <cell r="C2138">
            <v>108</v>
          </cell>
          <cell r="D2138">
            <v>108</v>
          </cell>
          <cell r="E2138">
            <v>3126</v>
          </cell>
          <cell r="F2138">
            <v>3126</v>
          </cell>
          <cell r="G2138" t="str">
            <v>$248.94</v>
          </cell>
          <cell r="H2138" t="str">
            <v>$248.94</v>
          </cell>
          <cell r="I2138">
            <v>12</v>
          </cell>
          <cell r="J2138">
            <v>12</v>
          </cell>
          <cell r="K2138">
            <v>3</v>
          </cell>
          <cell r="L2138">
            <v>3</v>
          </cell>
          <cell r="M2138">
            <v>2.7777777777777776E-2</v>
          </cell>
          <cell r="N2138">
            <v>2.8000000000000001E-2</v>
          </cell>
          <cell r="O2138" t="str">
            <v>$1942</v>
          </cell>
          <cell r="P2138" t="str">
            <v>$1942</v>
          </cell>
          <cell r="Q2138">
            <v>45612</v>
          </cell>
          <cell r="R2138" t="str">
            <v>Hyderabad</v>
          </cell>
          <cell r="S2138" t="str">
            <v>Tablet</v>
          </cell>
          <cell r="T2138" t="str">
            <v>analytics for data</v>
          </cell>
        </row>
        <row r="2139">
          <cell r="A2139" t="str">
            <v>A3137</v>
          </cell>
          <cell r="B2139" t="str">
            <v>Data Analytics Course</v>
          </cell>
          <cell r="C2139">
            <v>114</v>
          </cell>
          <cell r="D2139">
            <v>114</v>
          </cell>
          <cell r="E2139">
            <v>5551</v>
          </cell>
          <cell r="F2139">
            <v>5551</v>
          </cell>
          <cell r="G2139" t="str">
            <v>$195.44</v>
          </cell>
          <cell r="H2139" t="str">
            <v>$195.44</v>
          </cell>
          <cell r="I2139">
            <v>30</v>
          </cell>
          <cell r="J2139">
            <v>30</v>
          </cell>
          <cell r="K2139">
            <v>5</v>
          </cell>
          <cell r="L2139">
            <v>5</v>
          </cell>
          <cell r="M2139">
            <v>4.3859649122807015E-2</v>
          </cell>
          <cell r="N2139">
            <v>4.3999999999999997E-2</v>
          </cell>
          <cell r="O2139" t="str">
            <v>$1255</v>
          </cell>
          <cell r="P2139" t="str">
            <v>$1255</v>
          </cell>
          <cell r="Q2139">
            <v>45611</v>
          </cell>
          <cell r="R2139" t="str">
            <v>Chennai</v>
          </cell>
          <cell r="S2139" t="str">
            <v>Tablet</v>
          </cell>
          <cell r="T2139" t="str">
            <v>analytics for data</v>
          </cell>
        </row>
        <row r="2140">
          <cell r="A2140" t="str">
            <v>A3138</v>
          </cell>
          <cell r="B2140" t="str">
            <v>Data Analytcis Course</v>
          </cell>
          <cell r="C2140">
            <v>146</v>
          </cell>
          <cell r="D2140">
            <v>146</v>
          </cell>
          <cell r="E2140">
            <v>5712</v>
          </cell>
          <cell r="F2140">
            <v>5712</v>
          </cell>
          <cell r="G2140" t="str">
            <v>$221.73</v>
          </cell>
          <cell r="H2140" t="str">
            <v>$221.73</v>
          </cell>
          <cell r="I2140">
            <v>26</v>
          </cell>
          <cell r="J2140">
            <v>26</v>
          </cell>
          <cell r="K2140">
            <v>5</v>
          </cell>
          <cell r="L2140">
            <v>5</v>
          </cell>
          <cell r="M2140">
            <v>3.4246575342465752E-2</v>
          </cell>
          <cell r="O2140" t="str">
            <v>$1201</v>
          </cell>
          <cell r="P2140" t="str">
            <v>$1201</v>
          </cell>
          <cell r="Q2140">
            <v>45608</v>
          </cell>
          <cell r="R2140" t="str">
            <v>Chennai</v>
          </cell>
          <cell r="S2140" t="str">
            <v>Mobile</v>
          </cell>
          <cell r="T2140" t="str">
            <v>analytics for data</v>
          </cell>
        </row>
        <row r="2141">
          <cell r="A2141" t="str">
            <v>A3139</v>
          </cell>
          <cell r="B2141" t="str">
            <v>Data Analytics Course</v>
          </cell>
          <cell r="C2141">
            <v>89</v>
          </cell>
          <cell r="D2141">
            <v>89</v>
          </cell>
          <cell r="E2141">
            <v>4175</v>
          </cell>
          <cell r="F2141">
            <v>4175</v>
          </cell>
          <cell r="G2141" t="str">
            <v>$194.22</v>
          </cell>
          <cell r="H2141" t="str">
            <v>$194.22</v>
          </cell>
          <cell r="I2141">
            <v>11</v>
          </cell>
          <cell r="J2141">
            <v>11</v>
          </cell>
          <cell r="K2141">
            <v>3</v>
          </cell>
          <cell r="L2141">
            <v>3</v>
          </cell>
          <cell r="M2141">
            <v>3.3707865168539325E-2</v>
          </cell>
          <cell r="N2141">
            <v>5.5E-2</v>
          </cell>
          <cell r="O2141" t="str">
            <v>$1370</v>
          </cell>
          <cell r="P2141" t="str">
            <v>$1370</v>
          </cell>
          <cell r="Q2141">
            <v>45618</v>
          </cell>
          <cell r="R2141" t="str">
            <v>Chennai</v>
          </cell>
          <cell r="S2141" t="str">
            <v>Desktop</v>
          </cell>
          <cell r="T2141" t="str">
            <v>data analytics training</v>
          </cell>
        </row>
        <row r="2142">
          <cell r="A2142" t="str">
            <v>A3140</v>
          </cell>
          <cell r="B2142" t="str">
            <v>Data Analytics Course</v>
          </cell>
          <cell r="C2142">
            <v>82</v>
          </cell>
          <cell r="D2142">
            <v>82</v>
          </cell>
          <cell r="E2142">
            <v>4523.2808326787117</v>
          </cell>
          <cell r="G2142" t="str">
            <v>$200.00</v>
          </cell>
          <cell r="I2142">
            <v>30</v>
          </cell>
          <cell r="J2142">
            <v>30</v>
          </cell>
          <cell r="K2142">
            <v>8</v>
          </cell>
          <cell r="L2142">
            <v>8</v>
          </cell>
          <cell r="M2142">
            <v>9.7560975609756101E-2</v>
          </cell>
          <cell r="N2142">
            <v>9.8000000000000004E-2</v>
          </cell>
          <cell r="O2142" t="str">
            <v>$1511</v>
          </cell>
          <cell r="P2142" t="str">
            <v>$1511</v>
          </cell>
          <cell r="Q2142">
            <v>45613</v>
          </cell>
          <cell r="R2142" t="str">
            <v>Chennai</v>
          </cell>
          <cell r="S2142" t="str">
            <v>Desktop</v>
          </cell>
          <cell r="T2142" t="str">
            <v>learn data analytics</v>
          </cell>
        </row>
        <row r="2143">
          <cell r="A2143" t="str">
            <v>A3141</v>
          </cell>
          <cell r="B2143" t="str">
            <v>Data Analytics Course</v>
          </cell>
          <cell r="C2143">
            <v>98</v>
          </cell>
          <cell r="D2143">
            <v>98</v>
          </cell>
          <cell r="E2143">
            <v>5728</v>
          </cell>
          <cell r="F2143">
            <v>5728</v>
          </cell>
          <cell r="G2143" t="str">
            <v>$230.52</v>
          </cell>
          <cell r="H2143" t="str">
            <v>$230.52</v>
          </cell>
          <cell r="I2143">
            <v>14</v>
          </cell>
          <cell r="J2143">
            <v>14</v>
          </cell>
          <cell r="K2143">
            <v>10</v>
          </cell>
          <cell r="L2143">
            <v>10</v>
          </cell>
          <cell r="M2143">
            <v>0.10204081632653061</v>
          </cell>
          <cell r="O2143" t="str">
            <v>$1322</v>
          </cell>
          <cell r="P2143" t="str">
            <v>$1322</v>
          </cell>
          <cell r="Q2143">
            <v>45603</v>
          </cell>
          <cell r="R2143" t="str">
            <v>Hyderabad</v>
          </cell>
          <cell r="S2143" t="str">
            <v>Mobile</v>
          </cell>
          <cell r="T2143" t="str">
            <v>data analytics training</v>
          </cell>
        </row>
        <row r="2144">
          <cell r="A2144" t="str">
            <v>A3142</v>
          </cell>
          <cell r="B2144" t="str">
            <v>Data Analytics Course</v>
          </cell>
          <cell r="C2144">
            <v>87</v>
          </cell>
          <cell r="D2144">
            <v>87</v>
          </cell>
          <cell r="E2144">
            <v>3161</v>
          </cell>
          <cell r="F2144">
            <v>3161</v>
          </cell>
          <cell r="G2144" t="str">
            <v>$244.49</v>
          </cell>
          <cell r="H2144" t="str">
            <v>$244.49</v>
          </cell>
          <cell r="I2144">
            <v>24</v>
          </cell>
          <cell r="J2144">
            <v>24</v>
          </cell>
          <cell r="K2144">
            <v>8</v>
          </cell>
          <cell r="L2144">
            <v>8</v>
          </cell>
          <cell r="M2144">
            <v>9.1954022988505746E-2</v>
          </cell>
          <cell r="N2144">
            <v>9.1999999999999998E-2</v>
          </cell>
          <cell r="O2144" t="str">
            <v>$1161</v>
          </cell>
          <cell r="P2144" t="str">
            <v>$1161</v>
          </cell>
          <cell r="Q2144">
            <v>45602</v>
          </cell>
          <cell r="R2144" t="str">
            <v>Hyderabad</v>
          </cell>
          <cell r="S2144" t="str">
            <v>Tablet</v>
          </cell>
          <cell r="T2144" t="str">
            <v>data analytics online</v>
          </cell>
        </row>
        <row r="2145">
          <cell r="A2145" t="str">
            <v>A3143</v>
          </cell>
          <cell r="B2145" t="str">
            <v>Data Analytics Course</v>
          </cell>
          <cell r="C2145">
            <v>146</v>
          </cell>
          <cell r="D2145">
            <v>146</v>
          </cell>
          <cell r="E2145">
            <v>4773</v>
          </cell>
          <cell r="F2145">
            <v>4773</v>
          </cell>
          <cell r="G2145" t="str">
            <v>$248.27</v>
          </cell>
          <cell r="H2145" t="str">
            <v>$248.27</v>
          </cell>
          <cell r="I2145">
            <v>30</v>
          </cell>
          <cell r="J2145">
            <v>30</v>
          </cell>
          <cell r="K2145">
            <v>6</v>
          </cell>
          <cell r="L2145">
            <v>6</v>
          </cell>
          <cell r="M2145">
            <v>4.1095890410958902E-2</v>
          </cell>
          <cell r="N2145">
            <v>4.1000000000000002E-2</v>
          </cell>
          <cell r="O2145" t="str">
            <v>$1304</v>
          </cell>
          <cell r="P2145" t="str">
            <v>$1304</v>
          </cell>
          <cell r="Q2145">
            <v>45597</v>
          </cell>
          <cell r="R2145" t="str">
            <v>Bangaluru</v>
          </cell>
          <cell r="S2145" t="str">
            <v>Tablet</v>
          </cell>
          <cell r="T2145" t="str">
            <v>online data analytic</v>
          </cell>
        </row>
        <row r="2146">
          <cell r="A2146" t="str">
            <v>A3144</v>
          </cell>
          <cell r="B2146" t="str">
            <v>Data Analytics Course</v>
          </cell>
          <cell r="C2146">
            <v>138.95699356913184</v>
          </cell>
          <cell r="E2146">
            <v>3385</v>
          </cell>
          <cell r="F2146">
            <v>3385</v>
          </cell>
          <cell r="G2146" t="str">
            <v>$208.31</v>
          </cell>
          <cell r="H2146" t="str">
            <v>$208.31</v>
          </cell>
          <cell r="I2146">
            <v>25</v>
          </cell>
          <cell r="J2146">
            <v>25</v>
          </cell>
          <cell r="K2146">
            <v>10</v>
          </cell>
          <cell r="L2146">
            <v>10</v>
          </cell>
          <cell r="M2146">
            <v>7.1964711837443046E-2</v>
          </cell>
          <cell r="O2146" t="str">
            <v>$1972</v>
          </cell>
          <cell r="P2146" t="str">
            <v>$1972</v>
          </cell>
          <cell r="Q2146">
            <v>45612</v>
          </cell>
          <cell r="R2146" t="str">
            <v>Hyderabad</v>
          </cell>
          <cell r="S2146" t="str">
            <v>Mobile</v>
          </cell>
          <cell r="T2146" t="str">
            <v>analytics for data</v>
          </cell>
        </row>
        <row r="2147">
          <cell r="A2147" t="str">
            <v>A3145</v>
          </cell>
          <cell r="B2147" t="str">
            <v>Data Analytcis Course</v>
          </cell>
          <cell r="C2147">
            <v>122</v>
          </cell>
          <cell r="D2147">
            <v>122</v>
          </cell>
          <cell r="E2147">
            <v>5600</v>
          </cell>
          <cell r="F2147">
            <v>5600</v>
          </cell>
          <cell r="G2147" t="str">
            <v>$223.06</v>
          </cell>
          <cell r="H2147" t="str">
            <v>$223.06</v>
          </cell>
          <cell r="I2147">
            <v>12</v>
          </cell>
          <cell r="J2147">
            <v>12</v>
          </cell>
          <cell r="K2147">
            <v>3</v>
          </cell>
          <cell r="L2147">
            <v>3</v>
          </cell>
          <cell r="M2147">
            <v>2.4590163934426229E-2</v>
          </cell>
          <cell r="N2147">
            <v>2.5000000000000001E-2</v>
          </cell>
          <cell r="O2147" t="str">
            <v>$1061</v>
          </cell>
          <cell r="P2147" t="str">
            <v>$1061</v>
          </cell>
          <cell r="Q2147">
            <v>45614</v>
          </cell>
          <cell r="R2147" t="str">
            <v>Hyderabad</v>
          </cell>
          <cell r="S2147" t="str">
            <v>Tablet</v>
          </cell>
          <cell r="T2147" t="str">
            <v>learn data analytics</v>
          </cell>
        </row>
        <row r="2148">
          <cell r="A2148" t="str">
            <v>A3146</v>
          </cell>
          <cell r="B2148" t="str">
            <v>Data Analytics Course</v>
          </cell>
          <cell r="C2148">
            <v>153</v>
          </cell>
          <cell r="D2148">
            <v>153</v>
          </cell>
          <cell r="E2148">
            <v>4218</v>
          </cell>
          <cell r="F2148">
            <v>4218</v>
          </cell>
          <cell r="G2148" t="str">
            <v>$228.36</v>
          </cell>
          <cell r="H2148" t="str">
            <v>$228.36</v>
          </cell>
          <cell r="I2148">
            <v>16</v>
          </cell>
          <cell r="J2148">
            <v>16</v>
          </cell>
          <cell r="K2148">
            <v>7</v>
          </cell>
          <cell r="L2148">
            <v>7</v>
          </cell>
          <cell r="M2148">
            <v>4.5751633986928102E-2</v>
          </cell>
          <cell r="N2148">
            <v>4.5999999999999999E-2</v>
          </cell>
          <cell r="O2148" t="str">
            <v>$1178</v>
          </cell>
          <cell r="P2148" t="str">
            <v>$1178</v>
          </cell>
          <cell r="Q2148">
            <v>45599</v>
          </cell>
          <cell r="R2148" t="str">
            <v>Hyderabad</v>
          </cell>
          <cell r="S2148" t="str">
            <v>Mobile</v>
          </cell>
          <cell r="T2148" t="str">
            <v>data analytics online</v>
          </cell>
        </row>
        <row r="2149">
          <cell r="A2149" t="str">
            <v>A3147</v>
          </cell>
          <cell r="B2149" t="str">
            <v>Data Analytics Course</v>
          </cell>
          <cell r="C2149">
            <v>108</v>
          </cell>
          <cell r="D2149">
            <v>108</v>
          </cell>
          <cell r="E2149">
            <v>3358</v>
          </cell>
          <cell r="F2149">
            <v>3358</v>
          </cell>
          <cell r="G2149" t="str">
            <v>$184.1</v>
          </cell>
          <cell r="H2149" t="str">
            <v>$184.1</v>
          </cell>
          <cell r="I2149">
            <v>28</v>
          </cell>
          <cell r="J2149">
            <v>28</v>
          </cell>
          <cell r="K2149">
            <v>4</v>
          </cell>
          <cell r="L2149">
            <v>4</v>
          </cell>
          <cell r="M2149">
            <v>3.7037037037037035E-2</v>
          </cell>
          <cell r="N2149">
            <v>3.6999999999999998E-2</v>
          </cell>
          <cell r="O2149" t="str">
            <v>$1888</v>
          </cell>
          <cell r="P2149" t="str">
            <v>$1888</v>
          </cell>
          <cell r="Q2149">
            <v>45612</v>
          </cell>
          <cell r="R2149" t="str">
            <v>Chennai</v>
          </cell>
          <cell r="S2149" t="str">
            <v>Desktop</v>
          </cell>
          <cell r="T2149" t="str">
            <v>analytics for data</v>
          </cell>
        </row>
        <row r="2150">
          <cell r="A2150" t="str">
            <v>A3148</v>
          </cell>
          <cell r="B2150" t="str">
            <v>Data Analytcis Course</v>
          </cell>
          <cell r="C2150">
            <v>147</v>
          </cell>
          <cell r="D2150">
            <v>147</v>
          </cell>
          <cell r="E2150">
            <v>3021</v>
          </cell>
          <cell r="F2150">
            <v>3021</v>
          </cell>
          <cell r="G2150" t="str">
            <v>$200.17</v>
          </cell>
          <cell r="H2150" t="str">
            <v>$200.17</v>
          </cell>
          <cell r="I2150">
            <v>20</v>
          </cell>
          <cell r="J2150">
            <v>20</v>
          </cell>
          <cell r="K2150">
            <v>4</v>
          </cell>
          <cell r="L2150">
            <v>4</v>
          </cell>
          <cell r="M2150">
            <v>2.7210884353741496E-2</v>
          </cell>
          <cell r="N2150">
            <v>2.7E-2</v>
          </cell>
          <cell r="O2150" t="str">
            <v>$1718</v>
          </cell>
          <cell r="P2150" t="str">
            <v>$1718</v>
          </cell>
          <cell r="Q2150">
            <v>45614</v>
          </cell>
          <cell r="R2150" t="str">
            <v>Chennai</v>
          </cell>
          <cell r="S2150" t="str">
            <v>Mobile</v>
          </cell>
          <cell r="T2150" t="str">
            <v>analytics for data</v>
          </cell>
        </row>
        <row r="2151">
          <cell r="A2151" t="str">
            <v>A3149</v>
          </cell>
          <cell r="B2151" t="str">
            <v>Data Analytcis Course</v>
          </cell>
          <cell r="C2151">
            <v>121</v>
          </cell>
          <cell r="D2151">
            <v>121</v>
          </cell>
          <cell r="E2151">
            <v>4477</v>
          </cell>
          <cell r="F2151">
            <v>4477</v>
          </cell>
          <cell r="G2151" t="str">
            <v>$224.77</v>
          </cell>
          <cell r="H2151" t="str">
            <v>$224.77</v>
          </cell>
          <cell r="I2151">
            <v>28</v>
          </cell>
          <cell r="J2151">
            <v>28</v>
          </cell>
          <cell r="K2151">
            <v>10</v>
          </cell>
          <cell r="L2151">
            <v>10</v>
          </cell>
          <cell r="M2151">
            <v>8.2644628099173556E-2</v>
          </cell>
          <cell r="N2151">
            <v>8.3000000000000004E-2</v>
          </cell>
          <cell r="O2151" t="str">
            <v>$1604</v>
          </cell>
          <cell r="P2151" t="str">
            <v>$1604</v>
          </cell>
          <cell r="Q2151">
            <v>45613</v>
          </cell>
          <cell r="R2151" t="str">
            <v>Chennai</v>
          </cell>
          <cell r="S2151" t="str">
            <v>Tablet</v>
          </cell>
          <cell r="T2151" t="str">
            <v>data analytics online</v>
          </cell>
        </row>
        <row r="2152">
          <cell r="A2152" t="str">
            <v>A3150</v>
          </cell>
          <cell r="B2152" t="str">
            <v>Data Analytics Course</v>
          </cell>
          <cell r="C2152">
            <v>112</v>
          </cell>
          <cell r="D2152">
            <v>112</v>
          </cell>
          <cell r="E2152">
            <v>4073</v>
          </cell>
          <cell r="F2152">
            <v>4073</v>
          </cell>
          <cell r="G2152" t="str">
            <v>$180.24</v>
          </cell>
          <cell r="H2152" t="str">
            <v>$180.24</v>
          </cell>
          <cell r="I2152">
            <v>30</v>
          </cell>
          <cell r="J2152">
            <v>30</v>
          </cell>
          <cell r="K2152">
            <v>4</v>
          </cell>
          <cell r="L2152">
            <v>4</v>
          </cell>
          <cell r="M2152">
            <v>3.5714285714285712E-2</v>
          </cell>
          <cell r="O2152" t="str">
            <v>$1628</v>
          </cell>
          <cell r="P2152" t="str">
            <v>$1628</v>
          </cell>
          <cell r="Q2152">
            <v>45608</v>
          </cell>
          <cell r="R2152" t="str">
            <v>Bangaluru</v>
          </cell>
          <cell r="S2152" t="str">
            <v>Tablet</v>
          </cell>
          <cell r="T2152" t="str">
            <v>data analytics training</v>
          </cell>
        </row>
        <row r="2153">
          <cell r="A2153" t="str">
            <v>A3151</v>
          </cell>
          <cell r="B2153" t="str">
            <v>Data Analytics Course</v>
          </cell>
          <cell r="C2153">
            <v>127</v>
          </cell>
          <cell r="D2153">
            <v>127</v>
          </cell>
          <cell r="E2153">
            <v>5172</v>
          </cell>
          <cell r="F2153">
            <v>5172</v>
          </cell>
          <cell r="G2153" t="str">
            <v>$204.19</v>
          </cell>
          <cell r="H2153" t="str">
            <v>$204.19</v>
          </cell>
          <cell r="I2153">
            <v>10</v>
          </cell>
          <cell r="J2153">
            <v>10</v>
          </cell>
          <cell r="K2153">
            <v>4</v>
          </cell>
          <cell r="L2153">
            <v>4</v>
          </cell>
          <cell r="M2153">
            <v>3.1496062992125984E-2</v>
          </cell>
          <cell r="N2153">
            <v>3.1E-2</v>
          </cell>
          <cell r="O2153" t="str">
            <v>$1183</v>
          </cell>
          <cell r="P2153" t="str">
            <v>$1183</v>
          </cell>
          <cell r="Q2153">
            <v>45616</v>
          </cell>
          <cell r="R2153" t="str">
            <v>Hyderabad</v>
          </cell>
          <cell r="S2153" t="str">
            <v>Mobile</v>
          </cell>
          <cell r="T2153" t="str">
            <v>data analytics online</v>
          </cell>
        </row>
        <row r="2154">
          <cell r="A2154" t="str">
            <v>A3152</v>
          </cell>
          <cell r="B2154" t="str">
            <v>Data Analytcis Course</v>
          </cell>
          <cell r="C2154">
            <v>192</v>
          </cell>
          <cell r="D2154">
            <v>192</v>
          </cell>
          <cell r="E2154">
            <v>5896</v>
          </cell>
          <cell r="F2154">
            <v>5896</v>
          </cell>
          <cell r="G2154" t="str">
            <v>$201.18</v>
          </cell>
          <cell r="H2154" t="str">
            <v>$201.18</v>
          </cell>
          <cell r="I2154">
            <v>30</v>
          </cell>
          <cell r="J2154">
            <v>30</v>
          </cell>
          <cell r="K2154">
            <v>9</v>
          </cell>
          <cell r="L2154">
            <v>9</v>
          </cell>
          <cell r="M2154">
            <v>4.6875E-2</v>
          </cell>
          <cell r="N2154">
            <v>0.05</v>
          </cell>
          <cell r="O2154" t="str">
            <v>$1589</v>
          </cell>
          <cell r="P2154" t="str">
            <v>$1589</v>
          </cell>
          <cell r="Q2154">
            <v>45626</v>
          </cell>
          <cell r="R2154" t="str">
            <v>Hyderabad</v>
          </cell>
          <cell r="S2154" t="str">
            <v>Desktop</v>
          </cell>
          <cell r="T2154" t="str">
            <v>data analytics course</v>
          </cell>
        </row>
        <row r="2155">
          <cell r="A2155" t="str">
            <v>A3153</v>
          </cell>
          <cell r="B2155" t="str">
            <v>Data Analytcis Course</v>
          </cell>
          <cell r="C2155">
            <v>174</v>
          </cell>
          <cell r="D2155">
            <v>174</v>
          </cell>
          <cell r="E2155">
            <v>3427</v>
          </cell>
          <cell r="F2155">
            <v>3427</v>
          </cell>
          <cell r="G2155" t="str">
            <v>$223.77</v>
          </cell>
          <cell r="H2155" t="str">
            <v>$223.77</v>
          </cell>
          <cell r="I2155">
            <v>20</v>
          </cell>
          <cell r="J2155">
            <v>20</v>
          </cell>
          <cell r="K2155">
            <v>7</v>
          </cell>
          <cell r="L2155">
            <v>7</v>
          </cell>
          <cell r="M2155">
            <v>4.0229885057471264E-2</v>
          </cell>
          <cell r="N2155">
            <v>3.5999999999999997E-2</v>
          </cell>
          <cell r="O2155" t="str">
            <v>$1293</v>
          </cell>
          <cell r="P2155" t="str">
            <v>$1293</v>
          </cell>
          <cell r="Q2155">
            <v>45611</v>
          </cell>
          <cell r="R2155" t="str">
            <v>Hyderabad</v>
          </cell>
          <cell r="S2155" t="str">
            <v>Desktop</v>
          </cell>
          <cell r="T2155" t="str">
            <v>analytics for data</v>
          </cell>
        </row>
        <row r="2156">
          <cell r="A2156" t="str">
            <v>A3154</v>
          </cell>
          <cell r="B2156" t="str">
            <v>Data Analytics Course</v>
          </cell>
          <cell r="C2156">
            <v>166</v>
          </cell>
          <cell r="D2156">
            <v>166</v>
          </cell>
          <cell r="E2156">
            <v>4176</v>
          </cell>
          <cell r="F2156">
            <v>4176</v>
          </cell>
          <cell r="G2156" t="str">
            <v>$243.1</v>
          </cell>
          <cell r="H2156" t="str">
            <v>$243.1</v>
          </cell>
          <cell r="I2156">
            <v>16</v>
          </cell>
          <cell r="J2156">
            <v>16</v>
          </cell>
          <cell r="K2156">
            <v>9</v>
          </cell>
          <cell r="L2156">
            <v>9</v>
          </cell>
          <cell r="M2156">
            <v>5.4216867469879519E-2</v>
          </cell>
          <cell r="N2156">
            <v>4.1000000000000002E-2</v>
          </cell>
          <cell r="O2156" t="str">
            <v>$1147</v>
          </cell>
          <cell r="P2156" t="str">
            <v>$1147</v>
          </cell>
          <cell r="Q2156">
            <v>45620</v>
          </cell>
          <cell r="R2156" t="str">
            <v>Bangaluru</v>
          </cell>
          <cell r="S2156" t="str">
            <v>Desktop</v>
          </cell>
          <cell r="T2156" t="str">
            <v>learn data analytics</v>
          </cell>
        </row>
        <row r="2157">
          <cell r="A2157" t="str">
            <v>A3155</v>
          </cell>
          <cell r="B2157" t="str">
            <v>Data Analytics Course</v>
          </cell>
          <cell r="C2157">
            <v>98</v>
          </cell>
          <cell r="D2157">
            <v>98</v>
          </cell>
          <cell r="E2157">
            <v>5835</v>
          </cell>
          <cell r="F2157">
            <v>5835</v>
          </cell>
          <cell r="G2157" t="str">
            <v>$232.82</v>
          </cell>
          <cell r="H2157" t="str">
            <v>$232.82</v>
          </cell>
          <cell r="I2157">
            <v>19</v>
          </cell>
          <cell r="J2157">
            <v>19</v>
          </cell>
          <cell r="K2157">
            <v>6</v>
          </cell>
          <cell r="L2157">
            <v>6</v>
          </cell>
          <cell r="M2157">
            <v>6.1224489795918366E-2</v>
          </cell>
          <cell r="O2157" t="str">
            <v>$1989</v>
          </cell>
          <cell r="P2157" t="str">
            <v>$1989</v>
          </cell>
          <cell r="Q2157">
            <v>45598</v>
          </cell>
          <cell r="R2157" t="str">
            <v>Bangaluru</v>
          </cell>
          <cell r="S2157" t="str">
            <v>Mobile</v>
          </cell>
          <cell r="T2157" t="str">
            <v>data analytics online</v>
          </cell>
        </row>
        <row r="2158">
          <cell r="A2158" t="str">
            <v>A3156</v>
          </cell>
          <cell r="B2158" t="str">
            <v>Data Analytics Course</v>
          </cell>
          <cell r="C2158">
            <v>191</v>
          </cell>
          <cell r="D2158">
            <v>191</v>
          </cell>
          <cell r="E2158">
            <v>5438</v>
          </cell>
          <cell r="F2158">
            <v>5438</v>
          </cell>
          <cell r="G2158" t="str">
            <v>$244.1</v>
          </cell>
          <cell r="H2158" t="str">
            <v>$244.1</v>
          </cell>
          <cell r="I2158">
            <v>19</v>
          </cell>
          <cell r="J2158">
            <v>19</v>
          </cell>
          <cell r="K2158">
            <v>5</v>
          </cell>
          <cell r="L2158">
            <v>5</v>
          </cell>
          <cell r="M2158">
            <v>2.6178010471204188E-2</v>
          </cell>
          <cell r="O2158" t="str">
            <v>$1203</v>
          </cell>
          <cell r="P2158" t="str">
            <v>$1203</v>
          </cell>
          <cell r="Q2158">
            <v>45604</v>
          </cell>
          <cell r="R2158" t="str">
            <v>Chennai</v>
          </cell>
          <cell r="S2158" t="str">
            <v>Tablet</v>
          </cell>
          <cell r="T2158" t="str">
            <v>learn data analytics</v>
          </cell>
        </row>
        <row r="2159">
          <cell r="A2159" t="str">
            <v>A3157</v>
          </cell>
          <cell r="B2159" t="str">
            <v>Data Analytcis Course</v>
          </cell>
          <cell r="C2159">
            <v>89</v>
          </cell>
          <cell r="D2159">
            <v>89</v>
          </cell>
          <cell r="E2159">
            <v>4936</v>
          </cell>
          <cell r="F2159">
            <v>4936</v>
          </cell>
          <cell r="G2159" t="str">
            <v>$199.91</v>
          </cell>
          <cell r="H2159" t="str">
            <v>$199.91</v>
          </cell>
          <cell r="I2159">
            <v>16</v>
          </cell>
          <cell r="J2159">
            <v>16</v>
          </cell>
          <cell r="K2159">
            <v>4</v>
          </cell>
          <cell r="L2159">
            <v>4</v>
          </cell>
          <cell r="M2159">
            <v>4.49438202247191E-2</v>
          </cell>
          <cell r="N2159">
            <v>5.8999999999999997E-2</v>
          </cell>
          <cell r="O2159" t="str">
            <v>$1543</v>
          </cell>
          <cell r="P2159" t="str">
            <v>$1543</v>
          </cell>
          <cell r="Q2159">
            <v>45610</v>
          </cell>
          <cell r="R2159" t="str">
            <v>Hyderabad</v>
          </cell>
          <cell r="S2159" t="str">
            <v>Desktop</v>
          </cell>
          <cell r="T2159" t="str">
            <v>data analytics course</v>
          </cell>
        </row>
        <row r="2160">
          <cell r="A2160" t="str">
            <v>A3158</v>
          </cell>
          <cell r="B2160" t="str">
            <v>Data Analytics Course</v>
          </cell>
          <cell r="C2160">
            <v>180</v>
          </cell>
          <cell r="D2160">
            <v>180</v>
          </cell>
          <cell r="E2160">
            <v>3526</v>
          </cell>
          <cell r="F2160">
            <v>3526</v>
          </cell>
          <cell r="G2160" t="str">
            <v>$200.00</v>
          </cell>
          <cell r="I2160">
            <v>15</v>
          </cell>
          <cell r="J2160">
            <v>15</v>
          </cell>
          <cell r="K2160">
            <v>7</v>
          </cell>
          <cell r="L2160">
            <v>7</v>
          </cell>
          <cell r="M2160">
            <v>3.888888888888889E-2</v>
          </cell>
          <cell r="N2160">
            <v>3.9E-2</v>
          </cell>
          <cell r="O2160" t="str">
            <v>$1336</v>
          </cell>
          <cell r="P2160" t="str">
            <v>$1336</v>
          </cell>
          <cell r="Q2160">
            <v>45612</v>
          </cell>
          <cell r="R2160" t="str">
            <v>Bangaluru</v>
          </cell>
          <cell r="S2160" t="str">
            <v>Mobile</v>
          </cell>
          <cell r="T2160" t="str">
            <v>online data analytic</v>
          </cell>
        </row>
        <row r="2161">
          <cell r="A2161" t="str">
            <v>A3159</v>
          </cell>
          <cell r="B2161" t="str">
            <v>Data Analytics Course</v>
          </cell>
          <cell r="C2161">
            <v>91</v>
          </cell>
          <cell r="D2161">
            <v>91</v>
          </cell>
          <cell r="E2161">
            <v>5509</v>
          </cell>
          <cell r="F2161">
            <v>5509</v>
          </cell>
          <cell r="G2161" t="str">
            <v>$186.22</v>
          </cell>
          <cell r="H2161" t="str">
            <v>$186.22</v>
          </cell>
          <cell r="I2161">
            <v>29</v>
          </cell>
          <cell r="J2161">
            <v>29</v>
          </cell>
          <cell r="K2161">
            <v>5</v>
          </cell>
          <cell r="L2161">
            <v>5</v>
          </cell>
          <cell r="M2161">
            <v>5.4945054945054944E-2</v>
          </cell>
          <cell r="N2161">
            <v>5.5E-2</v>
          </cell>
          <cell r="O2161" t="str">
            <v>$1928</v>
          </cell>
          <cell r="P2161" t="str">
            <v>$1928</v>
          </cell>
          <cell r="Q2161">
            <v>45598</v>
          </cell>
          <cell r="R2161" t="str">
            <v>Hyderabad</v>
          </cell>
          <cell r="S2161" t="str">
            <v>Mobile</v>
          </cell>
          <cell r="T2161" t="str">
            <v>learn data analytics</v>
          </cell>
        </row>
        <row r="2162">
          <cell r="A2162" t="str">
            <v>A3160</v>
          </cell>
          <cell r="B2162" t="str">
            <v>Data Analytcis Course</v>
          </cell>
          <cell r="C2162">
            <v>114</v>
          </cell>
          <cell r="D2162">
            <v>114</v>
          </cell>
          <cell r="E2162">
            <v>5748</v>
          </cell>
          <cell r="F2162">
            <v>5748</v>
          </cell>
          <cell r="G2162" t="str">
            <v>$184.76</v>
          </cell>
          <cell r="H2162" t="str">
            <v>$184.76</v>
          </cell>
          <cell r="I2162">
            <v>16</v>
          </cell>
          <cell r="J2162">
            <v>16</v>
          </cell>
          <cell r="K2162">
            <v>8</v>
          </cell>
          <cell r="L2162">
            <v>8</v>
          </cell>
          <cell r="M2162">
            <v>7.0175438596491224E-2</v>
          </cell>
          <cell r="N2162">
            <v>7.0000000000000007E-2</v>
          </cell>
          <cell r="O2162" t="str">
            <v>$1490</v>
          </cell>
          <cell r="P2162" t="str">
            <v>$1490</v>
          </cell>
          <cell r="Q2162">
            <v>45617</v>
          </cell>
          <cell r="R2162" t="str">
            <v>Hyderabad</v>
          </cell>
          <cell r="S2162" t="str">
            <v>Desktop</v>
          </cell>
          <cell r="T2162" t="str">
            <v>data analytics online</v>
          </cell>
        </row>
        <row r="2163">
          <cell r="A2163" t="str">
            <v>A3161</v>
          </cell>
          <cell r="B2163" t="str">
            <v>Data Analytics Course</v>
          </cell>
          <cell r="C2163">
            <v>80</v>
          </cell>
          <cell r="D2163">
            <v>80</v>
          </cell>
          <cell r="E2163">
            <v>5155</v>
          </cell>
          <cell r="F2163">
            <v>5155</v>
          </cell>
          <cell r="G2163" t="str">
            <v>$217.3</v>
          </cell>
          <cell r="H2163" t="str">
            <v>$217.3</v>
          </cell>
          <cell r="I2163">
            <v>28</v>
          </cell>
          <cell r="J2163">
            <v>28</v>
          </cell>
          <cell r="K2163">
            <v>5</v>
          </cell>
          <cell r="L2163">
            <v>5</v>
          </cell>
          <cell r="M2163">
            <v>6.25E-2</v>
          </cell>
          <cell r="O2163" t="str">
            <v>$1316</v>
          </cell>
          <cell r="P2163" t="str">
            <v>$1316</v>
          </cell>
          <cell r="Q2163">
            <v>45608</v>
          </cell>
          <cell r="R2163" t="str">
            <v>Hyderabad</v>
          </cell>
          <cell r="S2163" t="str">
            <v>Tablet</v>
          </cell>
          <cell r="T2163" t="str">
            <v>data analytics course</v>
          </cell>
        </row>
        <row r="2164">
          <cell r="A2164" t="str">
            <v>A3162</v>
          </cell>
          <cell r="B2164" t="str">
            <v>Data Analytics Course</v>
          </cell>
          <cell r="C2164">
            <v>127</v>
          </cell>
          <cell r="D2164">
            <v>127</v>
          </cell>
          <cell r="E2164">
            <v>4537</v>
          </cell>
          <cell r="F2164">
            <v>4537</v>
          </cell>
          <cell r="G2164" t="str">
            <v>$247.11</v>
          </cell>
          <cell r="H2164" t="str">
            <v>$247.11</v>
          </cell>
          <cell r="I2164">
            <v>17</v>
          </cell>
          <cell r="J2164">
            <v>17</v>
          </cell>
          <cell r="K2164">
            <v>7</v>
          </cell>
          <cell r="L2164">
            <v>7</v>
          </cell>
          <cell r="M2164">
            <v>5.5118110236220472E-2</v>
          </cell>
          <cell r="N2164">
            <v>4.2999999999999997E-2</v>
          </cell>
          <cell r="O2164" t="str">
            <v>$1451</v>
          </cell>
          <cell r="P2164" t="str">
            <v>$1451</v>
          </cell>
          <cell r="Q2164">
            <v>45614</v>
          </cell>
          <cell r="R2164" t="str">
            <v>Hyderabad</v>
          </cell>
          <cell r="S2164" t="str">
            <v>Tablet</v>
          </cell>
          <cell r="T2164" t="str">
            <v>analytics for data</v>
          </cell>
        </row>
        <row r="2165">
          <cell r="A2165" t="str">
            <v>A3163</v>
          </cell>
          <cell r="B2165" t="str">
            <v>Data Analytics Course</v>
          </cell>
          <cell r="C2165">
            <v>84</v>
          </cell>
          <cell r="D2165">
            <v>84</v>
          </cell>
          <cell r="E2165">
            <v>5468</v>
          </cell>
          <cell r="F2165">
            <v>5468</v>
          </cell>
          <cell r="G2165" t="str">
            <v>$227.36</v>
          </cell>
          <cell r="H2165" t="str">
            <v>$227.36</v>
          </cell>
          <cell r="I2165">
            <v>13</v>
          </cell>
          <cell r="J2165">
            <v>13</v>
          </cell>
          <cell r="K2165">
            <v>4</v>
          </cell>
          <cell r="L2165">
            <v>4</v>
          </cell>
          <cell r="M2165">
            <v>4.7619047619047616E-2</v>
          </cell>
          <cell r="N2165">
            <v>4.8000000000000001E-2</v>
          </cell>
          <cell r="O2165" t="str">
            <v>$1228</v>
          </cell>
          <cell r="P2165" t="str">
            <v>$1228</v>
          </cell>
          <cell r="Q2165">
            <v>45622</v>
          </cell>
          <cell r="R2165" t="str">
            <v>Bangaluru</v>
          </cell>
          <cell r="S2165" t="str">
            <v>Tablet</v>
          </cell>
          <cell r="T2165" t="str">
            <v>data analytics course</v>
          </cell>
        </row>
        <row r="2166">
          <cell r="A2166" t="str">
            <v>A3164</v>
          </cell>
          <cell r="B2166" t="str">
            <v>Data Analytics Course</v>
          </cell>
          <cell r="C2166">
            <v>182</v>
          </cell>
          <cell r="D2166">
            <v>182</v>
          </cell>
          <cell r="E2166">
            <v>4390</v>
          </cell>
          <cell r="F2166">
            <v>4390</v>
          </cell>
          <cell r="G2166" t="str">
            <v>$239.33</v>
          </cell>
          <cell r="H2166" t="str">
            <v>$239.33</v>
          </cell>
          <cell r="I2166">
            <v>11</v>
          </cell>
          <cell r="J2166">
            <v>11</v>
          </cell>
          <cell r="K2166">
            <v>7</v>
          </cell>
          <cell r="L2166">
            <v>7</v>
          </cell>
          <cell r="M2166">
            <v>3.8461538461538464E-2</v>
          </cell>
          <cell r="N2166">
            <v>5.1999999999999998E-2</v>
          </cell>
          <cell r="O2166" t="str">
            <v>$1799</v>
          </cell>
          <cell r="P2166" t="str">
            <v>$1799</v>
          </cell>
          <cell r="Q2166">
            <v>45623</v>
          </cell>
          <cell r="R2166" t="str">
            <v>Chennai</v>
          </cell>
          <cell r="S2166" t="str">
            <v>Tablet</v>
          </cell>
          <cell r="T2166" t="str">
            <v>data analytics training</v>
          </cell>
        </row>
        <row r="2167">
          <cell r="A2167" t="str">
            <v>A3165</v>
          </cell>
          <cell r="B2167" t="str">
            <v>Data Analytics Course</v>
          </cell>
          <cell r="C2167">
            <v>105</v>
          </cell>
          <cell r="D2167">
            <v>105</v>
          </cell>
          <cell r="E2167">
            <v>5883</v>
          </cell>
          <cell r="F2167">
            <v>5883</v>
          </cell>
          <cell r="G2167" t="str">
            <v>$180.07</v>
          </cell>
          <cell r="H2167" t="str">
            <v>$180.07</v>
          </cell>
          <cell r="I2167">
            <v>20</v>
          </cell>
          <cell r="J2167">
            <v>20</v>
          </cell>
          <cell r="K2167">
            <v>4</v>
          </cell>
          <cell r="L2167">
            <v>4</v>
          </cell>
          <cell r="M2167">
            <v>3.8095238095238099E-2</v>
          </cell>
          <cell r="N2167">
            <v>3.7999999999999999E-2</v>
          </cell>
          <cell r="O2167" t="str">
            <v>$1586</v>
          </cell>
          <cell r="P2167" t="str">
            <v>$1586</v>
          </cell>
          <cell r="Q2167">
            <v>45601</v>
          </cell>
          <cell r="R2167" t="str">
            <v>Bangaluru</v>
          </cell>
          <cell r="S2167" t="str">
            <v>Mobile</v>
          </cell>
          <cell r="T2167" t="str">
            <v>data analytics course</v>
          </cell>
        </row>
        <row r="2168">
          <cell r="A2168" t="str">
            <v>A3166</v>
          </cell>
          <cell r="B2168" t="str">
            <v>Data Analytics Course</v>
          </cell>
          <cell r="C2168">
            <v>162</v>
          </cell>
          <cell r="D2168">
            <v>162</v>
          </cell>
          <cell r="E2168">
            <v>3120</v>
          </cell>
          <cell r="F2168">
            <v>3120</v>
          </cell>
          <cell r="G2168" t="str">
            <v>$245.58</v>
          </cell>
          <cell r="H2168" t="str">
            <v>$245.58</v>
          </cell>
          <cell r="I2168">
            <v>30</v>
          </cell>
          <cell r="J2168">
            <v>30</v>
          </cell>
          <cell r="K2168">
            <v>6</v>
          </cell>
          <cell r="L2168">
            <v>6</v>
          </cell>
          <cell r="M2168">
            <v>3.7037037037037035E-2</v>
          </cell>
          <cell r="N2168">
            <v>3.6999999999999998E-2</v>
          </cell>
          <cell r="O2168" t="str">
            <v>$1952</v>
          </cell>
          <cell r="P2168" t="str">
            <v>$1952</v>
          </cell>
          <cell r="Q2168">
            <v>45602</v>
          </cell>
          <cell r="R2168" t="str">
            <v>Chennai</v>
          </cell>
          <cell r="S2168" t="str">
            <v>Mobile</v>
          </cell>
          <cell r="T2168" t="str">
            <v>data analytics training</v>
          </cell>
        </row>
        <row r="2169">
          <cell r="A2169" t="str">
            <v>A3167</v>
          </cell>
          <cell r="B2169" t="str">
            <v>Data Analytics Course</v>
          </cell>
          <cell r="C2169">
            <v>118</v>
          </cell>
          <cell r="D2169">
            <v>118</v>
          </cell>
          <cell r="E2169">
            <v>4377</v>
          </cell>
          <cell r="F2169">
            <v>4377</v>
          </cell>
          <cell r="G2169" t="str">
            <v>$219.81</v>
          </cell>
          <cell r="H2169" t="str">
            <v>$219.81</v>
          </cell>
          <cell r="I2169">
            <v>21</v>
          </cell>
          <cell r="J2169">
            <v>21</v>
          </cell>
          <cell r="K2169">
            <v>4</v>
          </cell>
          <cell r="L2169">
            <v>4</v>
          </cell>
          <cell r="M2169">
            <v>3.3898305084745763E-2</v>
          </cell>
          <cell r="N2169">
            <v>3.4000000000000002E-2</v>
          </cell>
          <cell r="O2169" t="str">
            <v>$1290</v>
          </cell>
          <cell r="P2169" t="str">
            <v>$1290</v>
          </cell>
          <cell r="Q2169">
            <v>45610</v>
          </cell>
          <cell r="R2169" t="str">
            <v>Hyderabad</v>
          </cell>
          <cell r="S2169" t="str">
            <v>Desktop</v>
          </cell>
          <cell r="T2169" t="str">
            <v>analytics for data</v>
          </cell>
        </row>
        <row r="2170">
          <cell r="A2170" t="str">
            <v>A3168</v>
          </cell>
          <cell r="B2170" t="str">
            <v>Data Analytcis Course</v>
          </cell>
          <cell r="C2170">
            <v>131</v>
          </cell>
          <cell r="D2170">
            <v>131</v>
          </cell>
          <cell r="E2170">
            <v>5719</v>
          </cell>
          <cell r="F2170">
            <v>5719</v>
          </cell>
          <cell r="G2170" t="str">
            <v>$183.69</v>
          </cell>
          <cell r="H2170" t="str">
            <v>$183.69</v>
          </cell>
          <cell r="I2170">
            <v>12</v>
          </cell>
          <cell r="J2170">
            <v>12</v>
          </cell>
          <cell r="K2170">
            <v>7</v>
          </cell>
          <cell r="L2170">
            <v>7</v>
          </cell>
          <cell r="M2170">
            <v>5.3435114503816793E-2</v>
          </cell>
          <cell r="N2170">
            <v>5.2999999999999999E-2</v>
          </cell>
          <cell r="O2170" t="str">
            <v>$1555</v>
          </cell>
          <cell r="P2170" t="str">
            <v>$1555</v>
          </cell>
          <cell r="Q2170">
            <v>45619</v>
          </cell>
          <cell r="R2170" t="str">
            <v>Hyderabad</v>
          </cell>
          <cell r="S2170" t="str">
            <v>Mobile</v>
          </cell>
          <cell r="T2170" t="str">
            <v>data analytics training</v>
          </cell>
        </row>
        <row r="2171">
          <cell r="A2171" t="str">
            <v>A3169</v>
          </cell>
          <cell r="B2171" t="str">
            <v>Data Analytics Course</v>
          </cell>
          <cell r="C2171">
            <v>116</v>
          </cell>
          <cell r="D2171">
            <v>116</v>
          </cell>
          <cell r="E2171">
            <v>4250</v>
          </cell>
          <cell r="F2171">
            <v>4250</v>
          </cell>
          <cell r="G2171" t="str">
            <v>$186.34</v>
          </cell>
          <cell r="H2171" t="str">
            <v>$186.34</v>
          </cell>
          <cell r="I2171">
            <v>12</v>
          </cell>
          <cell r="J2171">
            <v>12</v>
          </cell>
          <cell r="K2171">
            <v>3</v>
          </cell>
          <cell r="L2171">
            <v>3</v>
          </cell>
          <cell r="M2171">
            <v>2.5862068965517241E-2</v>
          </cell>
          <cell r="N2171">
            <v>2.5999999999999999E-2</v>
          </cell>
          <cell r="O2171" t="str">
            <v>$1043</v>
          </cell>
          <cell r="P2171" t="str">
            <v>$1043</v>
          </cell>
          <cell r="Q2171">
            <v>45626</v>
          </cell>
          <cell r="R2171" t="str">
            <v>Hyderabad</v>
          </cell>
          <cell r="S2171" t="str">
            <v>Desktop</v>
          </cell>
          <cell r="T2171" t="str">
            <v>analytics for data</v>
          </cell>
        </row>
        <row r="2172">
          <cell r="A2172" t="str">
            <v>A3170</v>
          </cell>
          <cell r="B2172" t="str">
            <v>Data Analytics Course</v>
          </cell>
          <cell r="C2172">
            <v>80</v>
          </cell>
          <cell r="D2172">
            <v>80</v>
          </cell>
          <cell r="E2172">
            <v>5648</v>
          </cell>
          <cell r="F2172">
            <v>5648</v>
          </cell>
          <cell r="G2172" t="str">
            <v>$239.26</v>
          </cell>
          <cell r="H2172" t="str">
            <v>$239.26</v>
          </cell>
          <cell r="I2172">
            <v>10</v>
          </cell>
          <cell r="J2172">
            <v>10</v>
          </cell>
          <cell r="K2172">
            <v>6</v>
          </cell>
          <cell r="L2172">
            <v>6</v>
          </cell>
          <cell r="M2172">
            <v>7.4999999999999997E-2</v>
          </cell>
          <cell r="N2172">
            <v>7.4999999999999997E-2</v>
          </cell>
          <cell r="O2172" t="str">
            <v>$1005</v>
          </cell>
          <cell r="P2172" t="str">
            <v>$1005</v>
          </cell>
          <cell r="Q2172">
            <v>45616</v>
          </cell>
          <cell r="R2172" t="str">
            <v>Bangaluru</v>
          </cell>
          <cell r="S2172" t="str">
            <v>Mobile</v>
          </cell>
          <cell r="T2172" t="str">
            <v>data analytics course</v>
          </cell>
        </row>
        <row r="2173">
          <cell r="A2173" t="str">
            <v>A3171</v>
          </cell>
          <cell r="B2173" t="str">
            <v>Data Analytics Course</v>
          </cell>
          <cell r="C2173">
            <v>81</v>
          </cell>
          <cell r="D2173">
            <v>81</v>
          </cell>
          <cell r="E2173">
            <v>3394</v>
          </cell>
          <cell r="F2173">
            <v>3394</v>
          </cell>
          <cell r="G2173" t="str">
            <v>$187.24</v>
          </cell>
          <cell r="H2173" t="str">
            <v>$187.24</v>
          </cell>
          <cell r="I2173">
            <v>12</v>
          </cell>
          <cell r="J2173">
            <v>12</v>
          </cell>
          <cell r="K2173">
            <v>6</v>
          </cell>
          <cell r="L2173">
            <v>6</v>
          </cell>
          <cell r="M2173">
            <v>7.407407407407407E-2</v>
          </cell>
          <cell r="N2173">
            <v>7.3999999999999996E-2</v>
          </cell>
          <cell r="O2173" t="str">
            <v>$1227</v>
          </cell>
          <cell r="P2173" t="str">
            <v>$1227</v>
          </cell>
          <cell r="Q2173">
            <v>45608</v>
          </cell>
          <cell r="R2173" t="str">
            <v>Hyderabad</v>
          </cell>
          <cell r="S2173" t="str">
            <v>Tablet</v>
          </cell>
          <cell r="T2173" t="str">
            <v>data analytics course</v>
          </cell>
        </row>
        <row r="2174">
          <cell r="A2174" t="str">
            <v>A3172</v>
          </cell>
          <cell r="B2174" t="str">
            <v>Data Analytics Course</v>
          </cell>
          <cell r="C2174">
            <v>189</v>
          </cell>
          <cell r="D2174">
            <v>189</v>
          </cell>
          <cell r="E2174">
            <v>5117</v>
          </cell>
          <cell r="F2174">
            <v>5117</v>
          </cell>
          <cell r="G2174" t="str">
            <v>$197.9</v>
          </cell>
          <cell r="H2174" t="str">
            <v>$197.9</v>
          </cell>
          <cell r="I2174">
            <v>20</v>
          </cell>
          <cell r="J2174">
            <v>20</v>
          </cell>
          <cell r="K2174">
            <v>8</v>
          </cell>
          <cell r="L2174">
            <v>8</v>
          </cell>
          <cell r="M2174">
            <v>4.2328042328042326E-2</v>
          </cell>
          <cell r="N2174">
            <v>4.2000000000000003E-2</v>
          </cell>
          <cell r="O2174" t="str">
            <v>$1710</v>
          </cell>
          <cell r="P2174" t="str">
            <v>$1710</v>
          </cell>
          <cell r="Q2174">
            <v>45624</v>
          </cell>
          <cell r="R2174" t="str">
            <v>Hyderabad</v>
          </cell>
          <cell r="S2174" t="str">
            <v>Mobile</v>
          </cell>
          <cell r="T2174" t="str">
            <v>analytics for data</v>
          </cell>
        </row>
        <row r="2175">
          <cell r="A2175" t="str">
            <v>A3173</v>
          </cell>
          <cell r="B2175" t="str">
            <v>Data Analytics Course</v>
          </cell>
          <cell r="C2175">
            <v>128</v>
          </cell>
          <cell r="D2175">
            <v>128</v>
          </cell>
          <cell r="E2175">
            <v>3861</v>
          </cell>
          <cell r="F2175">
            <v>3861</v>
          </cell>
          <cell r="G2175" t="str">
            <v>$232.11</v>
          </cell>
          <cell r="H2175" t="str">
            <v>$232.11</v>
          </cell>
          <cell r="I2175">
            <v>30</v>
          </cell>
          <cell r="J2175">
            <v>30</v>
          </cell>
          <cell r="K2175">
            <v>10</v>
          </cell>
          <cell r="L2175">
            <v>10</v>
          </cell>
          <cell r="M2175">
            <v>7.8125E-2</v>
          </cell>
          <cell r="O2175" t="str">
            <v>$1636</v>
          </cell>
          <cell r="P2175" t="str">
            <v>$1636</v>
          </cell>
          <cell r="Q2175">
            <v>45614</v>
          </cell>
          <cell r="R2175" t="str">
            <v>Hyderabad</v>
          </cell>
          <cell r="S2175" t="str">
            <v>Tablet</v>
          </cell>
          <cell r="T2175" t="str">
            <v>data analytics course</v>
          </cell>
        </row>
        <row r="2176">
          <cell r="A2176" t="str">
            <v>A3174</v>
          </cell>
          <cell r="B2176" t="str">
            <v>Data Analytcis Course</v>
          </cell>
          <cell r="C2176">
            <v>182</v>
          </cell>
          <cell r="D2176">
            <v>182</v>
          </cell>
          <cell r="E2176">
            <v>3303</v>
          </cell>
          <cell r="F2176">
            <v>3303</v>
          </cell>
          <cell r="G2176" t="str">
            <v>$238.4</v>
          </cell>
          <cell r="H2176" t="str">
            <v>$238.4</v>
          </cell>
          <cell r="I2176">
            <v>17</v>
          </cell>
          <cell r="J2176">
            <v>17</v>
          </cell>
          <cell r="K2176">
            <v>4</v>
          </cell>
          <cell r="L2176">
            <v>4</v>
          </cell>
          <cell r="M2176">
            <v>2.197802197802198E-2</v>
          </cell>
          <cell r="N2176">
            <v>2.1999999999999999E-2</v>
          </cell>
          <cell r="O2176" t="str">
            <v>$1695</v>
          </cell>
          <cell r="P2176" t="str">
            <v>$1695</v>
          </cell>
          <cell r="Q2176">
            <v>45601</v>
          </cell>
          <cell r="R2176" t="str">
            <v>Hyderabad</v>
          </cell>
          <cell r="S2176" t="str">
            <v>Desktop</v>
          </cell>
          <cell r="T2176" t="str">
            <v>data analytics online</v>
          </cell>
        </row>
        <row r="2177">
          <cell r="A2177" t="str">
            <v>A3175</v>
          </cell>
          <cell r="B2177" t="str">
            <v>Data Analytics Course</v>
          </cell>
          <cell r="C2177">
            <v>124</v>
          </cell>
          <cell r="D2177">
            <v>124</v>
          </cell>
          <cell r="E2177">
            <v>4192</v>
          </cell>
          <cell r="F2177">
            <v>4192</v>
          </cell>
          <cell r="G2177" t="str">
            <v>$184.42</v>
          </cell>
          <cell r="H2177" t="str">
            <v>$184.42</v>
          </cell>
          <cell r="I2177">
            <v>12</v>
          </cell>
          <cell r="J2177">
            <v>12</v>
          </cell>
          <cell r="K2177">
            <v>6</v>
          </cell>
          <cell r="L2177">
            <v>6</v>
          </cell>
          <cell r="M2177">
            <v>4.8387096774193547E-2</v>
          </cell>
          <cell r="N2177">
            <v>4.8000000000000001E-2</v>
          </cell>
          <cell r="O2177" t="str">
            <v>$1500</v>
          </cell>
          <cell r="Q2177">
            <v>45601</v>
          </cell>
          <cell r="R2177" t="str">
            <v>Bangaluru</v>
          </cell>
          <cell r="S2177" t="str">
            <v>Tablet</v>
          </cell>
          <cell r="T2177" t="str">
            <v>data analytics course</v>
          </cell>
        </row>
        <row r="2178">
          <cell r="A2178" t="str">
            <v>A3176</v>
          </cell>
          <cell r="B2178" t="str">
            <v>Data Analytics Course</v>
          </cell>
          <cell r="C2178">
            <v>137</v>
          </cell>
          <cell r="D2178">
            <v>137</v>
          </cell>
          <cell r="E2178">
            <v>3720</v>
          </cell>
          <cell r="F2178">
            <v>3720</v>
          </cell>
          <cell r="G2178" t="str">
            <v>$237.22</v>
          </cell>
          <cell r="H2178" t="str">
            <v>$237.22</v>
          </cell>
          <cell r="I2178">
            <v>24</v>
          </cell>
          <cell r="J2178">
            <v>24</v>
          </cell>
          <cell r="K2178">
            <v>5</v>
          </cell>
          <cell r="L2178">
            <v>5</v>
          </cell>
          <cell r="M2178">
            <v>3.6496350364963501E-2</v>
          </cell>
          <cell r="N2178">
            <v>3.5999999999999997E-2</v>
          </cell>
          <cell r="O2178" t="str">
            <v>$1811</v>
          </cell>
          <cell r="P2178" t="str">
            <v>$1811</v>
          </cell>
          <cell r="Q2178">
            <v>45606</v>
          </cell>
          <cell r="R2178" t="str">
            <v>Hyderabad</v>
          </cell>
          <cell r="S2178" t="str">
            <v>Mobile</v>
          </cell>
          <cell r="T2178" t="str">
            <v>online data analytic</v>
          </cell>
        </row>
        <row r="2179">
          <cell r="A2179" t="str">
            <v>A3177</v>
          </cell>
          <cell r="B2179" t="str">
            <v>Data Analytics Course</v>
          </cell>
          <cell r="C2179">
            <v>106</v>
          </cell>
          <cell r="D2179">
            <v>106</v>
          </cell>
          <cell r="E2179">
            <v>5789</v>
          </cell>
          <cell r="F2179">
            <v>5789</v>
          </cell>
          <cell r="G2179" t="str">
            <v>$183.62</v>
          </cell>
          <cell r="H2179" t="str">
            <v>$183.62</v>
          </cell>
          <cell r="I2179">
            <v>19</v>
          </cell>
          <cell r="J2179">
            <v>19</v>
          </cell>
          <cell r="K2179">
            <v>3</v>
          </cell>
          <cell r="L2179">
            <v>3</v>
          </cell>
          <cell r="M2179">
            <v>2.8301886792452831E-2</v>
          </cell>
          <cell r="N2179">
            <v>2.8000000000000001E-2</v>
          </cell>
          <cell r="O2179" t="str">
            <v>$1838</v>
          </cell>
          <cell r="P2179" t="str">
            <v>$1838</v>
          </cell>
          <cell r="Q2179">
            <v>45612</v>
          </cell>
          <cell r="R2179" t="str">
            <v>Hyderabad</v>
          </cell>
          <cell r="S2179" t="str">
            <v>Desktop</v>
          </cell>
          <cell r="T2179" t="str">
            <v>data analytics online</v>
          </cell>
        </row>
        <row r="2180">
          <cell r="A2180" t="str">
            <v>A3178</v>
          </cell>
          <cell r="B2180" t="str">
            <v>Data Analytcis Course</v>
          </cell>
          <cell r="C2180">
            <v>102</v>
          </cell>
          <cell r="D2180">
            <v>102</v>
          </cell>
          <cell r="E2180">
            <v>5113</v>
          </cell>
          <cell r="F2180">
            <v>5113</v>
          </cell>
          <cell r="G2180" t="str">
            <v>$206.65</v>
          </cell>
          <cell r="H2180" t="str">
            <v>$206.65</v>
          </cell>
          <cell r="I2180">
            <v>27</v>
          </cell>
          <cell r="J2180">
            <v>27</v>
          </cell>
          <cell r="K2180">
            <v>6</v>
          </cell>
          <cell r="L2180">
            <v>6</v>
          </cell>
          <cell r="M2180">
            <v>5.8823529411764705E-2</v>
          </cell>
          <cell r="N2180">
            <v>5.8999999999999997E-2</v>
          </cell>
          <cell r="O2180" t="str">
            <v>$1466</v>
          </cell>
          <cell r="P2180" t="str">
            <v>$1466</v>
          </cell>
          <cell r="Q2180">
            <v>45615</v>
          </cell>
          <cell r="R2180" t="str">
            <v>Hyderabad</v>
          </cell>
          <cell r="S2180" t="str">
            <v>Mobile</v>
          </cell>
          <cell r="T2180" t="str">
            <v>data analytics course</v>
          </cell>
        </row>
        <row r="2181">
          <cell r="A2181" t="str">
            <v>A3179</v>
          </cell>
          <cell r="B2181" t="str">
            <v>Data Analytics Course</v>
          </cell>
          <cell r="C2181">
            <v>155</v>
          </cell>
          <cell r="D2181">
            <v>155</v>
          </cell>
          <cell r="E2181">
            <v>3234</v>
          </cell>
          <cell r="F2181">
            <v>3234</v>
          </cell>
          <cell r="G2181" t="str">
            <v>$204.47</v>
          </cell>
          <cell r="H2181" t="str">
            <v>$204.47</v>
          </cell>
          <cell r="I2181">
            <v>12</v>
          </cell>
          <cell r="J2181">
            <v>12</v>
          </cell>
          <cell r="K2181">
            <v>4</v>
          </cell>
          <cell r="L2181">
            <v>4</v>
          </cell>
          <cell r="M2181">
            <v>2.5806451612903226E-2</v>
          </cell>
          <cell r="N2181">
            <v>2.5999999999999999E-2</v>
          </cell>
          <cell r="O2181" t="str">
            <v>$1401</v>
          </cell>
          <cell r="P2181" t="str">
            <v>$1401</v>
          </cell>
          <cell r="Q2181">
            <v>45612</v>
          </cell>
          <cell r="R2181" t="str">
            <v>Hyderabad</v>
          </cell>
          <cell r="S2181" t="str">
            <v>Desktop</v>
          </cell>
          <cell r="T2181" t="str">
            <v>learn data analytics</v>
          </cell>
        </row>
        <row r="2182">
          <cell r="A2182" t="str">
            <v>A3180</v>
          </cell>
          <cell r="B2182" t="str">
            <v>Data Analytics Course</v>
          </cell>
          <cell r="C2182">
            <v>85</v>
          </cell>
          <cell r="D2182">
            <v>85</v>
          </cell>
          <cell r="E2182">
            <v>3088</v>
          </cell>
          <cell r="F2182">
            <v>3088</v>
          </cell>
          <cell r="G2182" t="str">
            <v>$234.24</v>
          </cell>
          <cell r="H2182" t="str">
            <v>$234.24</v>
          </cell>
          <cell r="I2182">
            <v>24</v>
          </cell>
          <cell r="J2182">
            <v>24</v>
          </cell>
          <cell r="K2182">
            <v>4</v>
          </cell>
          <cell r="L2182">
            <v>4</v>
          </cell>
          <cell r="M2182">
            <v>4.7058823529411764E-2</v>
          </cell>
          <cell r="N2182">
            <v>4.7E-2</v>
          </cell>
          <cell r="O2182" t="str">
            <v>$1210</v>
          </cell>
          <cell r="P2182" t="str">
            <v>$1210</v>
          </cell>
          <cell r="Q2182">
            <v>45603</v>
          </cell>
          <cell r="R2182" t="str">
            <v>Chennai</v>
          </cell>
          <cell r="S2182" t="str">
            <v>Tablet</v>
          </cell>
          <cell r="T2182" t="str">
            <v>analytics for data</v>
          </cell>
        </row>
        <row r="2183">
          <cell r="A2183" t="str">
            <v>A3181</v>
          </cell>
          <cell r="B2183" t="str">
            <v>Data Analytics Course</v>
          </cell>
          <cell r="C2183">
            <v>126</v>
          </cell>
          <cell r="D2183">
            <v>126</v>
          </cell>
          <cell r="E2183">
            <v>5114</v>
          </cell>
          <cell r="F2183">
            <v>5114</v>
          </cell>
          <cell r="G2183" t="str">
            <v>$233.27</v>
          </cell>
          <cell r="H2183" t="str">
            <v>$233.27</v>
          </cell>
          <cell r="I2183">
            <v>30</v>
          </cell>
          <cell r="J2183">
            <v>30</v>
          </cell>
          <cell r="K2183">
            <v>5</v>
          </cell>
          <cell r="L2183">
            <v>5</v>
          </cell>
          <cell r="M2183">
            <v>3.968253968253968E-2</v>
          </cell>
          <cell r="O2183" t="str">
            <v>$1197</v>
          </cell>
          <cell r="P2183" t="str">
            <v>$1197</v>
          </cell>
          <cell r="Q2183">
            <v>45611</v>
          </cell>
          <cell r="R2183" t="str">
            <v>Chennai</v>
          </cell>
          <cell r="S2183" t="str">
            <v>Tablet</v>
          </cell>
          <cell r="T2183" t="str">
            <v>data analytics online</v>
          </cell>
        </row>
        <row r="2184">
          <cell r="A2184" t="str">
            <v>A3182</v>
          </cell>
          <cell r="B2184" t="str">
            <v>Data Analytics Course</v>
          </cell>
          <cell r="C2184">
            <v>96</v>
          </cell>
          <cell r="D2184">
            <v>96</v>
          </cell>
          <cell r="E2184">
            <v>5070</v>
          </cell>
          <cell r="F2184">
            <v>5070</v>
          </cell>
          <cell r="G2184" t="str">
            <v>$210.63</v>
          </cell>
          <cell r="H2184" t="str">
            <v>$210.63</v>
          </cell>
          <cell r="I2184">
            <v>27</v>
          </cell>
          <cell r="J2184">
            <v>27</v>
          </cell>
          <cell r="K2184">
            <v>10</v>
          </cell>
          <cell r="L2184">
            <v>10</v>
          </cell>
          <cell r="M2184">
            <v>0.10416666666666667</v>
          </cell>
          <cell r="N2184">
            <v>0.104</v>
          </cell>
          <cell r="O2184" t="str">
            <v>$1653</v>
          </cell>
          <cell r="P2184" t="str">
            <v>$1653</v>
          </cell>
          <cell r="Q2184">
            <v>45614</v>
          </cell>
          <cell r="R2184" t="str">
            <v>Chennai</v>
          </cell>
          <cell r="S2184" t="str">
            <v>Tablet</v>
          </cell>
          <cell r="T2184" t="str">
            <v>online data analytic</v>
          </cell>
        </row>
        <row r="2185">
          <cell r="A2185" t="str">
            <v>A3183</v>
          </cell>
          <cell r="B2185" t="str">
            <v>Data Analytics Course</v>
          </cell>
          <cell r="C2185">
            <v>128</v>
          </cell>
          <cell r="D2185">
            <v>128</v>
          </cell>
          <cell r="E2185">
            <v>4445</v>
          </cell>
          <cell r="F2185">
            <v>4445</v>
          </cell>
          <cell r="G2185" t="str">
            <v>$200.52</v>
          </cell>
          <cell r="H2185" t="str">
            <v>$200.52</v>
          </cell>
          <cell r="I2185">
            <v>14</v>
          </cell>
          <cell r="J2185">
            <v>14</v>
          </cell>
          <cell r="K2185">
            <v>4</v>
          </cell>
          <cell r="L2185">
            <v>4</v>
          </cell>
          <cell r="M2185">
            <v>3.125E-2</v>
          </cell>
          <cell r="N2185">
            <v>3.1E-2</v>
          </cell>
          <cell r="O2185" t="str">
            <v>$1861</v>
          </cell>
          <cell r="P2185" t="str">
            <v>$1861</v>
          </cell>
          <cell r="Q2185">
            <v>45601</v>
          </cell>
          <cell r="R2185" t="str">
            <v>Bangaluru</v>
          </cell>
          <cell r="S2185" t="str">
            <v>Tablet</v>
          </cell>
          <cell r="T2185" t="str">
            <v>learn data analytics</v>
          </cell>
        </row>
        <row r="2186">
          <cell r="A2186" t="str">
            <v>A3184</v>
          </cell>
          <cell r="B2186" t="str">
            <v>Data Analytics Course</v>
          </cell>
          <cell r="C2186">
            <v>151</v>
          </cell>
          <cell r="D2186">
            <v>151</v>
          </cell>
          <cell r="E2186">
            <v>3656</v>
          </cell>
          <cell r="F2186">
            <v>3656</v>
          </cell>
          <cell r="G2186" t="str">
            <v>$199.96</v>
          </cell>
          <cell r="H2186" t="str">
            <v>$199.96</v>
          </cell>
          <cell r="I2186">
            <v>26</v>
          </cell>
          <cell r="J2186">
            <v>26</v>
          </cell>
          <cell r="K2186">
            <v>7</v>
          </cell>
          <cell r="L2186">
            <v>7</v>
          </cell>
          <cell r="M2186">
            <v>4.6357615894039736E-2</v>
          </cell>
          <cell r="N2186">
            <v>5.0999999999999997E-2</v>
          </cell>
          <cell r="O2186" t="str">
            <v>$1566</v>
          </cell>
          <cell r="P2186" t="str">
            <v>$1566</v>
          </cell>
          <cell r="Q2186">
            <v>45613</v>
          </cell>
          <cell r="R2186" t="str">
            <v>Hyderabad</v>
          </cell>
          <cell r="S2186" t="str">
            <v>Desktop</v>
          </cell>
          <cell r="T2186" t="str">
            <v>online data analytic</v>
          </cell>
        </row>
        <row r="2187">
          <cell r="A2187" t="str">
            <v>A3185</v>
          </cell>
          <cell r="B2187" t="str">
            <v>Data Analytics Course</v>
          </cell>
          <cell r="C2187">
            <v>95</v>
          </cell>
          <cell r="D2187">
            <v>95</v>
          </cell>
          <cell r="E2187">
            <v>3583</v>
          </cell>
          <cell r="F2187">
            <v>3583</v>
          </cell>
          <cell r="G2187" t="str">
            <v>$223.37</v>
          </cell>
          <cell r="H2187" t="str">
            <v>$223.37</v>
          </cell>
          <cell r="I2187">
            <v>22</v>
          </cell>
          <cell r="J2187">
            <v>22</v>
          </cell>
          <cell r="K2187">
            <v>9</v>
          </cell>
          <cell r="L2187">
            <v>9</v>
          </cell>
          <cell r="M2187">
            <v>9.4736842105263161E-2</v>
          </cell>
          <cell r="N2187">
            <v>3.3000000000000002E-2</v>
          </cell>
          <cell r="O2187" t="str">
            <v>$1821</v>
          </cell>
          <cell r="P2187" t="str">
            <v>$1821</v>
          </cell>
          <cell r="Q2187">
            <v>45625</v>
          </cell>
          <cell r="R2187" t="str">
            <v>Chennai</v>
          </cell>
          <cell r="S2187" t="str">
            <v>Desktop</v>
          </cell>
          <cell r="T2187" t="str">
            <v>online data analytic</v>
          </cell>
        </row>
        <row r="2188">
          <cell r="A2188" t="str">
            <v>A3186</v>
          </cell>
          <cell r="B2188" t="str">
            <v>Data Analytcis Course</v>
          </cell>
          <cell r="C2188">
            <v>193</v>
          </cell>
          <cell r="D2188">
            <v>193</v>
          </cell>
          <cell r="E2188">
            <v>4790</v>
          </cell>
          <cell r="F2188">
            <v>4790</v>
          </cell>
          <cell r="G2188" t="str">
            <v>$247.69</v>
          </cell>
          <cell r="H2188" t="str">
            <v>$247.69</v>
          </cell>
          <cell r="I2188">
            <v>23</v>
          </cell>
          <cell r="J2188">
            <v>23</v>
          </cell>
          <cell r="K2188">
            <v>5</v>
          </cell>
          <cell r="L2188">
            <v>5</v>
          </cell>
          <cell r="M2188">
            <v>2.5906735751295335E-2</v>
          </cell>
          <cell r="N2188">
            <v>2.5999999999999999E-2</v>
          </cell>
          <cell r="O2188" t="str">
            <v>$1687</v>
          </cell>
          <cell r="P2188" t="str">
            <v>$1687</v>
          </cell>
          <cell r="Q2188">
            <v>45620</v>
          </cell>
          <cell r="R2188" t="str">
            <v>Hyderabad</v>
          </cell>
          <cell r="S2188" t="str">
            <v>Mobile</v>
          </cell>
          <cell r="T2188" t="str">
            <v>data analytics online</v>
          </cell>
        </row>
        <row r="2189">
          <cell r="A2189" t="str">
            <v>A3187</v>
          </cell>
          <cell r="B2189" t="str">
            <v>Data Analytcis Course</v>
          </cell>
          <cell r="C2189">
            <v>90</v>
          </cell>
          <cell r="D2189">
            <v>90</v>
          </cell>
          <cell r="E2189">
            <v>3235</v>
          </cell>
          <cell r="F2189">
            <v>3235</v>
          </cell>
          <cell r="G2189" t="str">
            <v>$211.4</v>
          </cell>
          <cell r="H2189" t="str">
            <v>$211.4</v>
          </cell>
          <cell r="I2189">
            <v>29</v>
          </cell>
          <cell r="J2189">
            <v>29</v>
          </cell>
          <cell r="K2189">
            <v>10</v>
          </cell>
          <cell r="L2189">
            <v>10</v>
          </cell>
          <cell r="M2189">
            <v>0.1111111111111111</v>
          </cell>
          <cell r="N2189">
            <v>0.111</v>
          </cell>
          <cell r="O2189" t="str">
            <v>$1290</v>
          </cell>
          <cell r="P2189" t="str">
            <v>$1290</v>
          </cell>
          <cell r="Q2189">
            <v>45615</v>
          </cell>
          <cell r="R2189" t="str">
            <v>Hyderabad</v>
          </cell>
          <cell r="S2189" t="str">
            <v>Tablet</v>
          </cell>
          <cell r="T2189" t="str">
            <v>analytics for data</v>
          </cell>
        </row>
        <row r="2190">
          <cell r="A2190" t="str">
            <v>A3188</v>
          </cell>
          <cell r="B2190" t="str">
            <v>Data Analytics Course</v>
          </cell>
          <cell r="C2190">
            <v>175</v>
          </cell>
          <cell r="D2190">
            <v>175</v>
          </cell>
          <cell r="E2190">
            <v>3832</v>
          </cell>
          <cell r="F2190">
            <v>3832</v>
          </cell>
          <cell r="G2190" t="str">
            <v>$245.61</v>
          </cell>
          <cell r="H2190" t="str">
            <v>$245.61</v>
          </cell>
          <cell r="I2190">
            <v>27</v>
          </cell>
          <cell r="J2190">
            <v>27</v>
          </cell>
          <cell r="K2190">
            <v>5</v>
          </cell>
          <cell r="L2190">
            <v>5</v>
          </cell>
          <cell r="M2190">
            <v>2.8571428571428571E-2</v>
          </cell>
          <cell r="N2190">
            <v>2.9000000000000001E-2</v>
          </cell>
          <cell r="O2190" t="str">
            <v>$1388</v>
          </cell>
          <cell r="P2190" t="str">
            <v>$1388</v>
          </cell>
          <cell r="Q2190">
            <v>45622</v>
          </cell>
          <cell r="R2190" t="str">
            <v>Chennai</v>
          </cell>
          <cell r="S2190" t="str">
            <v>Desktop</v>
          </cell>
          <cell r="T2190" t="str">
            <v>data analytics online</v>
          </cell>
        </row>
        <row r="2191">
          <cell r="A2191" t="str">
            <v>A3189</v>
          </cell>
          <cell r="B2191" t="str">
            <v>Data Analytics Course</v>
          </cell>
          <cell r="C2191">
            <v>153</v>
          </cell>
          <cell r="D2191">
            <v>153</v>
          </cell>
          <cell r="E2191">
            <v>4261</v>
          </cell>
          <cell r="F2191">
            <v>4261</v>
          </cell>
          <cell r="G2191" t="str">
            <v>$230.25</v>
          </cell>
          <cell r="H2191" t="str">
            <v>$230.25</v>
          </cell>
          <cell r="I2191">
            <v>27</v>
          </cell>
          <cell r="J2191">
            <v>27</v>
          </cell>
          <cell r="K2191">
            <v>7</v>
          </cell>
          <cell r="L2191">
            <v>7</v>
          </cell>
          <cell r="M2191">
            <v>4.5751633986928102E-2</v>
          </cell>
          <cell r="N2191">
            <v>4.5999999999999999E-2</v>
          </cell>
          <cell r="O2191" t="str">
            <v>$1027</v>
          </cell>
          <cell r="P2191" t="str">
            <v>$1027</v>
          </cell>
          <cell r="Q2191">
            <v>45601</v>
          </cell>
          <cell r="R2191" t="str">
            <v>Bangaluru</v>
          </cell>
          <cell r="S2191" t="str">
            <v>Desktop</v>
          </cell>
          <cell r="T2191" t="str">
            <v>analytics for data</v>
          </cell>
        </row>
        <row r="2192">
          <cell r="A2192" t="str">
            <v>A3190</v>
          </cell>
          <cell r="B2192" t="str">
            <v>Data Analytcis Course</v>
          </cell>
          <cell r="C2192">
            <v>103</v>
          </cell>
          <cell r="D2192">
            <v>103</v>
          </cell>
          <cell r="E2192">
            <v>4796</v>
          </cell>
          <cell r="F2192">
            <v>4796</v>
          </cell>
          <cell r="G2192" t="str">
            <v>$180.64</v>
          </cell>
          <cell r="H2192" t="str">
            <v>$180.64</v>
          </cell>
          <cell r="I2192">
            <v>26</v>
          </cell>
          <cell r="J2192">
            <v>26</v>
          </cell>
          <cell r="K2192">
            <v>7</v>
          </cell>
          <cell r="L2192">
            <v>7</v>
          </cell>
          <cell r="M2192">
            <v>6.7961165048543687E-2</v>
          </cell>
          <cell r="O2192" t="str">
            <v>$1102</v>
          </cell>
          <cell r="P2192" t="str">
            <v>$1102</v>
          </cell>
          <cell r="Q2192">
            <v>45599</v>
          </cell>
          <cell r="R2192" t="str">
            <v>Chennai</v>
          </cell>
          <cell r="S2192" t="str">
            <v>Mobile</v>
          </cell>
          <cell r="T2192" t="str">
            <v>data analytics training</v>
          </cell>
        </row>
        <row r="2193">
          <cell r="A2193" t="str">
            <v>A3191</v>
          </cell>
          <cell r="B2193" t="str">
            <v>Data Analytics Course</v>
          </cell>
          <cell r="C2193">
            <v>102</v>
          </cell>
          <cell r="D2193">
            <v>102</v>
          </cell>
          <cell r="E2193">
            <v>5229</v>
          </cell>
          <cell r="F2193">
            <v>5229</v>
          </cell>
          <cell r="G2193" t="str">
            <v>$208.55</v>
          </cell>
          <cell r="H2193" t="str">
            <v>$208.55</v>
          </cell>
          <cell r="I2193">
            <v>30</v>
          </cell>
          <cell r="J2193">
            <v>30</v>
          </cell>
          <cell r="K2193">
            <v>5</v>
          </cell>
          <cell r="L2193">
            <v>5</v>
          </cell>
          <cell r="M2193">
            <v>4.9019607843137254E-2</v>
          </cell>
          <cell r="N2193">
            <v>4.9000000000000002E-2</v>
          </cell>
          <cell r="O2193" t="str">
            <v>$1065</v>
          </cell>
          <cell r="P2193" t="str">
            <v>$1065</v>
          </cell>
          <cell r="Q2193">
            <v>45611</v>
          </cell>
          <cell r="R2193" t="str">
            <v>Chennai</v>
          </cell>
          <cell r="S2193" t="str">
            <v>Mobile</v>
          </cell>
          <cell r="T2193" t="str">
            <v>analytics for data</v>
          </cell>
        </row>
        <row r="2194">
          <cell r="A2194" t="str">
            <v>A3192</v>
          </cell>
          <cell r="B2194" t="str">
            <v>Data Analytcis Course</v>
          </cell>
          <cell r="C2194">
            <v>199</v>
          </cell>
          <cell r="D2194">
            <v>199</v>
          </cell>
          <cell r="E2194">
            <v>3754</v>
          </cell>
          <cell r="F2194">
            <v>3754</v>
          </cell>
          <cell r="G2194" t="str">
            <v>$220.16</v>
          </cell>
          <cell r="H2194" t="str">
            <v>$220.16</v>
          </cell>
          <cell r="I2194">
            <v>26</v>
          </cell>
          <cell r="J2194">
            <v>26</v>
          </cell>
          <cell r="K2194">
            <v>6.5938303341902316</v>
          </cell>
          <cell r="M2194">
            <v>3.3134825799950911E-2</v>
          </cell>
          <cell r="N2194">
            <v>4.4999999999999998E-2</v>
          </cell>
          <cell r="O2194" t="str">
            <v>$1262</v>
          </cell>
          <cell r="P2194" t="str">
            <v>$1262</v>
          </cell>
          <cell r="Q2194">
            <v>45616</v>
          </cell>
          <cell r="R2194" t="str">
            <v>Hyderabad</v>
          </cell>
          <cell r="S2194" t="str">
            <v>Tablet</v>
          </cell>
          <cell r="T2194" t="str">
            <v>data analytics course</v>
          </cell>
        </row>
        <row r="2195">
          <cell r="A2195" t="str">
            <v>A3193</v>
          </cell>
          <cell r="B2195" t="str">
            <v>Data Analytics Course</v>
          </cell>
          <cell r="C2195">
            <v>96</v>
          </cell>
          <cell r="D2195">
            <v>96</v>
          </cell>
          <cell r="E2195">
            <v>4851</v>
          </cell>
          <cell r="F2195">
            <v>4851</v>
          </cell>
          <cell r="G2195" t="str">
            <v>$229.12</v>
          </cell>
          <cell r="H2195" t="str">
            <v>$229.12</v>
          </cell>
          <cell r="I2195">
            <v>27</v>
          </cell>
          <cell r="J2195">
            <v>27</v>
          </cell>
          <cell r="K2195">
            <v>6</v>
          </cell>
          <cell r="L2195">
            <v>6</v>
          </cell>
          <cell r="M2195">
            <v>6.25E-2</v>
          </cell>
          <cell r="O2195" t="str">
            <v>$1271</v>
          </cell>
          <cell r="P2195" t="str">
            <v>$1271</v>
          </cell>
          <cell r="Q2195">
            <v>45599</v>
          </cell>
          <cell r="R2195" t="str">
            <v>Hyderabad</v>
          </cell>
          <cell r="S2195" t="str">
            <v>Tablet</v>
          </cell>
          <cell r="T2195" t="str">
            <v>data analytics training</v>
          </cell>
        </row>
        <row r="2196">
          <cell r="A2196" t="str">
            <v>A3194</v>
          </cell>
          <cell r="B2196" t="str">
            <v>Data Analytcis Course</v>
          </cell>
          <cell r="C2196">
            <v>107</v>
          </cell>
          <cell r="D2196">
            <v>107</v>
          </cell>
          <cell r="E2196">
            <v>4816</v>
          </cell>
          <cell r="F2196">
            <v>4816</v>
          </cell>
          <cell r="G2196" t="str">
            <v>$243.41</v>
          </cell>
          <cell r="H2196" t="str">
            <v>$243.41</v>
          </cell>
          <cell r="I2196">
            <v>20</v>
          </cell>
          <cell r="J2196">
            <v>20</v>
          </cell>
          <cell r="K2196">
            <v>5</v>
          </cell>
          <cell r="L2196">
            <v>5</v>
          </cell>
          <cell r="M2196">
            <v>4.6728971962616821E-2</v>
          </cell>
          <cell r="O2196" t="str">
            <v>$1500</v>
          </cell>
          <cell r="Q2196">
            <v>45621</v>
          </cell>
          <cell r="R2196" t="str">
            <v>Hyderabad</v>
          </cell>
          <cell r="S2196" t="str">
            <v>Tablet</v>
          </cell>
          <cell r="T2196" t="str">
            <v>data analytics course</v>
          </cell>
        </row>
        <row r="2197">
          <cell r="A2197" t="str">
            <v>A3195</v>
          </cell>
          <cell r="B2197" t="str">
            <v>Data Analytics Course</v>
          </cell>
          <cell r="C2197">
            <v>170</v>
          </cell>
          <cell r="D2197">
            <v>170</v>
          </cell>
          <cell r="E2197">
            <v>5404</v>
          </cell>
          <cell r="F2197">
            <v>5404</v>
          </cell>
          <cell r="G2197" t="str">
            <v>$218.24</v>
          </cell>
          <cell r="H2197" t="str">
            <v>$218.24</v>
          </cell>
          <cell r="I2197">
            <v>24</v>
          </cell>
          <cell r="J2197">
            <v>24</v>
          </cell>
          <cell r="K2197">
            <v>5</v>
          </cell>
          <cell r="L2197">
            <v>5</v>
          </cell>
          <cell r="M2197">
            <v>2.9411764705882353E-2</v>
          </cell>
          <cell r="O2197" t="str">
            <v>$1818</v>
          </cell>
          <cell r="P2197" t="str">
            <v>$1818</v>
          </cell>
          <cell r="Q2197">
            <v>45625</v>
          </cell>
          <cell r="R2197" t="str">
            <v>Bangaluru</v>
          </cell>
          <cell r="S2197" t="str">
            <v>Desktop</v>
          </cell>
          <cell r="T2197" t="str">
            <v>data analytics online</v>
          </cell>
        </row>
        <row r="2198">
          <cell r="A2198" t="str">
            <v>A3196</v>
          </cell>
          <cell r="B2198" t="str">
            <v>Data Analytics Course</v>
          </cell>
          <cell r="C2198">
            <v>145</v>
          </cell>
          <cell r="D2198">
            <v>145</v>
          </cell>
          <cell r="E2198">
            <v>3068</v>
          </cell>
          <cell r="F2198">
            <v>3068</v>
          </cell>
          <cell r="G2198" t="str">
            <v>$237.7</v>
          </cell>
          <cell r="H2198" t="str">
            <v>$237.7</v>
          </cell>
          <cell r="I2198">
            <v>24</v>
          </cell>
          <cell r="J2198">
            <v>24</v>
          </cell>
          <cell r="K2198">
            <v>7</v>
          </cell>
          <cell r="L2198">
            <v>7</v>
          </cell>
          <cell r="M2198">
            <v>4.8275862068965517E-2</v>
          </cell>
          <cell r="O2198" t="str">
            <v>$1494</v>
          </cell>
          <cell r="P2198" t="str">
            <v>$1494</v>
          </cell>
          <cell r="Q2198">
            <v>45615</v>
          </cell>
          <cell r="R2198" t="str">
            <v>Chennai</v>
          </cell>
          <cell r="S2198" t="str">
            <v>Mobile</v>
          </cell>
          <cell r="T2198" t="str">
            <v>data analytics course</v>
          </cell>
        </row>
        <row r="2199">
          <cell r="A2199" t="str">
            <v>A3197</v>
          </cell>
          <cell r="B2199" t="str">
            <v>Data Analytics Course</v>
          </cell>
          <cell r="C2199">
            <v>148</v>
          </cell>
          <cell r="D2199">
            <v>148</v>
          </cell>
          <cell r="E2199">
            <v>5877</v>
          </cell>
          <cell r="F2199">
            <v>5877</v>
          </cell>
          <cell r="G2199" t="str">
            <v>$213.84</v>
          </cell>
          <cell r="H2199" t="str">
            <v>$213.84</v>
          </cell>
          <cell r="I2199">
            <v>25</v>
          </cell>
          <cell r="J2199">
            <v>25</v>
          </cell>
          <cell r="K2199">
            <v>8</v>
          </cell>
          <cell r="L2199">
            <v>8</v>
          </cell>
          <cell r="M2199">
            <v>5.4054054054054057E-2</v>
          </cell>
          <cell r="O2199" t="str">
            <v>$1371</v>
          </cell>
          <cell r="P2199" t="str">
            <v>$1371</v>
          </cell>
          <cell r="Q2199">
            <v>45614</v>
          </cell>
          <cell r="R2199" t="str">
            <v>Bangaluru</v>
          </cell>
          <cell r="S2199" t="str">
            <v>Desktop</v>
          </cell>
          <cell r="T2199" t="str">
            <v>learn data analytics</v>
          </cell>
        </row>
        <row r="2200">
          <cell r="A2200" t="str">
            <v>A3198</v>
          </cell>
          <cell r="B2200" t="str">
            <v>Data Analytcis Course</v>
          </cell>
          <cell r="C2200">
            <v>141</v>
          </cell>
          <cell r="D2200">
            <v>141</v>
          </cell>
          <cell r="E2200">
            <v>4188</v>
          </cell>
          <cell r="F2200">
            <v>4188</v>
          </cell>
          <cell r="G2200" t="str">
            <v>$228.12</v>
          </cell>
          <cell r="H2200" t="str">
            <v>$228.12</v>
          </cell>
          <cell r="I2200">
            <v>16</v>
          </cell>
          <cell r="J2200">
            <v>16</v>
          </cell>
          <cell r="K2200">
            <v>9</v>
          </cell>
          <cell r="L2200">
            <v>9</v>
          </cell>
          <cell r="M2200">
            <v>6.3829787234042548E-2</v>
          </cell>
          <cell r="O2200" t="str">
            <v>$1204</v>
          </cell>
          <cell r="P2200" t="str">
            <v>$1204</v>
          </cell>
          <cell r="Q2200">
            <v>45626</v>
          </cell>
          <cell r="R2200" t="str">
            <v>Hyderabad</v>
          </cell>
          <cell r="S2200" t="str">
            <v>Desktop</v>
          </cell>
          <cell r="T2200" t="str">
            <v>data analytics online</v>
          </cell>
        </row>
        <row r="2201">
          <cell r="A2201" t="str">
            <v>A3199</v>
          </cell>
          <cell r="B2201" t="str">
            <v>Data Analytics Course</v>
          </cell>
          <cell r="C2201">
            <v>89</v>
          </cell>
          <cell r="D2201">
            <v>89</v>
          </cell>
          <cell r="E2201">
            <v>5676</v>
          </cell>
          <cell r="F2201">
            <v>5676</v>
          </cell>
          <cell r="G2201" t="str">
            <v>$183.58</v>
          </cell>
          <cell r="H2201" t="str">
            <v>$183.58</v>
          </cell>
          <cell r="I2201">
            <v>14</v>
          </cell>
          <cell r="J2201">
            <v>14</v>
          </cell>
          <cell r="K2201">
            <v>6.5926892950391647</v>
          </cell>
          <cell r="M2201">
            <v>7.4075160618417582E-2</v>
          </cell>
          <cell r="O2201" t="str">
            <v>$1254</v>
          </cell>
          <cell r="P2201" t="str">
            <v>$1254</v>
          </cell>
          <cell r="Q2201">
            <v>45612</v>
          </cell>
          <cell r="R2201" t="str">
            <v>Bangaluru</v>
          </cell>
          <cell r="S2201" t="str">
            <v>Mobile</v>
          </cell>
          <cell r="T2201" t="str">
            <v>data analytics online</v>
          </cell>
        </row>
        <row r="2202">
          <cell r="A2202" t="str">
            <v>A3200</v>
          </cell>
          <cell r="B2202" t="str">
            <v>Data Analytics Course</v>
          </cell>
          <cell r="C2202">
            <v>140</v>
          </cell>
          <cell r="D2202">
            <v>140</v>
          </cell>
          <cell r="E2202">
            <v>4677</v>
          </cell>
          <cell r="F2202">
            <v>4677</v>
          </cell>
          <cell r="G2202" t="str">
            <v>$223.74</v>
          </cell>
          <cell r="H2202" t="str">
            <v>$223.74</v>
          </cell>
          <cell r="I2202">
            <v>20</v>
          </cell>
          <cell r="J2202">
            <v>20</v>
          </cell>
          <cell r="K2202">
            <v>9</v>
          </cell>
          <cell r="L2202">
            <v>9</v>
          </cell>
          <cell r="M2202">
            <v>6.4285714285714279E-2</v>
          </cell>
          <cell r="N2202">
            <v>6.4000000000000001E-2</v>
          </cell>
          <cell r="O2202" t="str">
            <v>$1610</v>
          </cell>
          <cell r="P2202" t="str">
            <v>$1610</v>
          </cell>
          <cell r="Q2202">
            <v>45600</v>
          </cell>
          <cell r="R2202" t="str">
            <v>Hyderabad</v>
          </cell>
          <cell r="S2202" t="str">
            <v>Mobile</v>
          </cell>
          <cell r="T2202" t="str">
            <v>learn data analytics</v>
          </cell>
        </row>
        <row r="2203">
          <cell r="A2203" t="str">
            <v>A3201</v>
          </cell>
          <cell r="B2203" t="str">
            <v>Data Analytics Course</v>
          </cell>
          <cell r="C2203">
            <v>135</v>
          </cell>
          <cell r="D2203">
            <v>135</v>
          </cell>
          <cell r="E2203">
            <v>3793</v>
          </cell>
          <cell r="F2203">
            <v>3793</v>
          </cell>
          <cell r="G2203" t="str">
            <v>$190.88</v>
          </cell>
          <cell r="H2203" t="str">
            <v>$190.88</v>
          </cell>
          <cell r="I2203">
            <v>24</v>
          </cell>
          <cell r="J2203">
            <v>24</v>
          </cell>
          <cell r="K2203">
            <v>9</v>
          </cell>
          <cell r="L2203">
            <v>9</v>
          </cell>
          <cell r="M2203">
            <v>6.6666666666666666E-2</v>
          </cell>
          <cell r="N2203">
            <v>5.2999999999999999E-2</v>
          </cell>
          <cell r="O2203" t="str">
            <v>$1500</v>
          </cell>
          <cell r="Q2203">
            <v>45615</v>
          </cell>
          <cell r="R2203" t="str">
            <v>Chennai</v>
          </cell>
          <cell r="S2203" t="str">
            <v>Desktop</v>
          </cell>
          <cell r="T2203" t="str">
            <v>data analytics online</v>
          </cell>
        </row>
        <row r="2204">
          <cell r="A2204" t="str">
            <v>A3202</v>
          </cell>
          <cell r="B2204" t="str">
            <v>Data Analytics Course</v>
          </cell>
          <cell r="C2204">
            <v>105</v>
          </cell>
          <cell r="D2204">
            <v>105</v>
          </cell>
          <cell r="E2204">
            <v>3548</v>
          </cell>
          <cell r="F2204">
            <v>3548</v>
          </cell>
          <cell r="G2204" t="str">
            <v>$216.8</v>
          </cell>
          <cell r="H2204" t="str">
            <v>$216.8</v>
          </cell>
          <cell r="I2204">
            <v>30</v>
          </cell>
          <cell r="J2204">
            <v>30</v>
          </cell>
          <cell r="K2204">
            <v>7</v>
          </cell>
          <cell r="L2204">
            <v>7</v>
          </cell>
          <cell r="M2204">
            <v>6.6666666666666666E-2</v>
          </cell>
          <cell r="N2204">
            <v>5.3999999999999999E-2</v>
          </cell>
          <cell r="O2204" t="str">
            <v>$1663</v>
          </cell>
          <cell r="P2204" t="str">
            <v>$1663</v>
          </cell>
          <cell r="Q2204">
            <v>45610</v>
          </cell>
          <cell r="R2204" t="str">
            <v>Chennai</v>
          </cell>
          <cell r="S2204" t="str">
            <v>Tablet</v>
          </cell>
          <cell r="T2204" t="str">
            <v>learn data analytics</v>
          </cell>
        </row>
        <row r="2205">
          <cell r="A2205" t="str">
            <v>A3203</v>
          </cell>
          <cell r="B2205" t="str">
            <v>Data Analytics Course</v>
          </cell>
          <cell r="C2205">
            <v>119</v>
          </cell>
          <cell r="D2205">
            <v>119</v>
          </cell>
          <cell r="E2205">
            <v>5944</v>
          </cell>
          <cell r="F2205">
            <v>5944</v>
          </cell>
          <cell r="G2205" t="str">
            <v>$225.75</v>
          </cell>
          <cell r="H2205" t="str">
            <v>$225.75</v>
          </cell>
          <cell r="I2205">
            <v>24</v>
          </cell>
          <cell r="J2205">
            <v>24</v>
          </cell>
          <cell r="K2205">
            <v>6.5789473684210522</v>
          </cell>
          <cell r="M2205">
            <v>5.5285272003538256E-2</v>
          </cell>
          <cell r="O2205" t="str">
            <v>$1516</v>
          </cell>
          <cell r="P2205" t="str">
            <v>$1516</v>
          </cell>
          <cell r="Q2205">
            <v>45609</v>
          </cell>
          <cell r="R2205" t="str">
            <v>Hyderabad</v>
          </cell>
          <cell r="S2205" t="str">
            <v>Tablet</v>
          </cell>
          <cell r="T2205" t="str">
            <v>analytics for data</v>
          </cell>
        </row>
        <row r="2206">
          <cell r="A2206" t="str">
            <v>A3204</v>
          </cell>
          <cell r="B2206" t="str">
            <v>Data Analytics Course</v>
          </cell>
          <cell r="C2206">
            <v>128</v>
          </cell>
          <cell r="D2206">
            <v>128</v>
          </cell>
          <cell r="E2206">
            <v>4662</v>
          </cell>
          <cell r="F2206">
            <v>4662</v>
          </cell>
          <cell r="G2206" t="str">
            <v>$187.28</v>
          </cell>
          <cell r="H2206" t="str">
            <v>$187.28</v>
          </cell>
          <cell r="I2206">
            <v>23</v>
          </cell>
          <cell r="J2206">
            <v>23</v>
          </cell>
          <cell r="K2206">
            <v>9</v>
          </cell>
          <cell r="L2206">
            <v>9</v>
          </cell>
          <cell r="M2206">
            <v>7.03125E-2</v>
          </cell>
          <cell r="O2206" t="str">
            <v>$1710</v>
          </cell>
          <cell r="P2206" t="str">
            <v>$1710</v>
          </cell>
          <cell r="Q2206">
            <v>45609</v>
          </cell>
          <cell r="R2206" t="str">
            <v>Hyderabad</v>
          </cell>
          <cell r="S2206" t="str">
            <v>Desktop</v>
          </cell>
          <cell r="T2206" t="str">
            <v>data analytics training</v>
          </cell>
        </row>
        <row r="2207">
          <cell r="A2207" t="str">
            <v>A3205</v>
          </cell>
          <cell r="B2207" t="str">
            <v>Data Analytcis Course</v>
          </cell>
          <cell r="C2207">
            <v>120</v>
          </cell>
          <cell r="D2207">
            <v>120</v>
          </cell>
          <cell r="E2207">
            <v>4453</v>
          </cell>
          <cell r="F2207">
            <v>4453</v>
          </cell>
          <cell r="G2207" t="str">
            <v>$240.34</v>
          </cell>
          <cell r="H2207" t="str">
            <v>$240.34</v>
          </cell>
          <cell r="I2207">
            <v>23</v>
          </cell>
          <cell r="J2207">
            <v>23</v>
          </cell>
          <cell r="K2207">
            <v>8</v>
          </cell>
          <cell r="L2207">
            <v>8</v>
          </cell>
          <cell r="M2207">
            <v>6.6666666666666666E-2</v>
          </cell>
          <cell r="N2207">
            <v>6.7000000000000004E-2</v>
          </cell>
          <cell r="O2207" t="str">
            <v>$1452</v>
          </cell>
          <cell r="P2207" t="str">
            <v>$1452</v>
          </cell>
          <cell r="Q2207">
            <v>45622</v>
          </cell>
          <cell r="R2207" t="str">
            <v>Bangaluru</v>
          </cell>
          <cell r="S2207" t="str">
            <v>Tablet</v>
          </cell>
          <cell r="T2207" t="str">
            <v>online data analytic</v>
          </cell>
        </row>
        <row r="2208">
          <cell r="A2208" t="str">
            <v>A3206</v>
          </cell>
          <cell r="B2208" t="str">
            <v>Data Analytics Course</v>
          </cell>
          <cell r="C2208">
            <v>163</v>
          </cell>
          <cell r="D2208">
            <v>163</v>
          </cell>
          <cell r="E2208">
            <v>5052</v>
          </cell>
          <cell r="F2208">
            <v>5052</v>
          </cell>
          <cell r="G2208" t="str">
            <v>$234.73</v>
          </cell>
          <cell r="H2208" t="str">
            <v>$234.73</v>
          </cell>
          <cell r="I2208">
            <v>24</v>
          </cell>
          <cell r="J2208">
            <v>24</v>
          </cell>
          <cell r="K2208">
            <v>6</v>
          </cell>
          <cell r="L2208">
            <v>6</v>
          </cell>
          <cell r="M2208">
            <v>3.6809815950920248E-2</v>
          </cell>
          <cell r="O2208" t="str">
            <v>$1848</v>
          </cell>
          <cell r="P2208" t="str">
            <v>$1848</v>
          </cell>
          <cell r="Q2208">
            <v>45613</v>
          </cell>
          <cell r="R2208" t="str">
            <v>Bangaluru</v>
          </cell>
          <cell r="S2208" t="str">
            <v>Mobile</v>
          </cell>
          <cell r="T2208" t="str">
            <v>online data analytic</v>
          </cell>
        </row>
        <row r="2209">
          <cell r="A2209" t="str">
            <v>A3207</v>
          </cell>
          <cell r="B2209" t="str">
            <v>Data Analytics Course</v>
          </cell>
          <cell r="C2209">
            <v>94</v>
          </cell>
          <cell r="D2209">
            <v>94</v>
          </cell>
          <cell r="E2209">
            <v>4457</v>
          </cell>
          <cell r="F2209">
            <v>4457</v>
          </cell>
          <cell r="G2209" t="str">
            <v>$246.18</v>
          </cell>
          <cell r="H2209" t="str">
            <v>$246.18</v>
          </cell>
          <cell r="I2209">
            <v>14</v>
          </cell>
          <cell r="J2209">
            <v>14</v>
          </cell>
          <cell r="K2209">
            <v>6</v>
          </cell>
          <cell r="L2209">
            <v>6</v>
          </cell>
          <cell r="M2209">
            <v>6.3829787234042548E-2</v>
          </cell>
          <cell r="N2209">
            <v>5.2999999999999999E-2</v>
          </cell>
          <cell r="O2209" t="str">
            <v>$1492</v>
          </cell>
          <cell r="P2209" t="str">
            <v>$1492</v>
          </cell>
          <cell r="Q2209">
            <v>45611</v>
          </cell>
          <cell r="R2209" t="str">
            <v>Hyderabad</v>
          </cell>
          <cell r="S2209" t="str">
            <v>Tablet</v>
          </cell>
          <cell r="T2209" t="str">
            <v>data analytics online</v>
          </cell>
        </row>
        <row r="2210">
          <cell r="A2210" t="str">
            <v>A3208</v>
          </cell>
          <cell r="B2210" t="str">
            <v>Data Analytics Course</v>
          </cell>
          <cell r="C2210">
            <v>138.95699356913184</v>
          </cell>
          <cell r="E2210">
            <v>5528</v>
          </cell>
          <cell r="F2210">
            <v>5528</v>
          </cell>
          <cell r="G2210" t="str">
            <v>$185.93</v>
          </cell>
          <cell r="H2210" t="str">
            <v>$185.93</v>
          </cell>
          <cell r="I2210">
            <v>21</v>
          </cell>
          <cell r="J2210">
            <v>21</v>
          </cell>
          <cell r="K2210">
            <v>5</v>
          </cell>
          <cell r="L2210">
            <v>5</v>
          </cell>
          <cell r="M2210">
            <v>3.5982355918721523E-2</v>
          </cell>
          <cell r="N2210">
            <v>4.4999999999999998E-2</v>
          </cell>
          <cell r="O2210" t="str">
            <v>$1719</v>
          </cell>
          <cell r="P2210" t="str">
            <v>$1719</v>
          </cell>
          <cell r="Q2210">
            <v>45611</v>
          </cell>
          <cell r="R2210" t="str">
            <v>Bangaluru</v>
          </cell>
          <cell r="S2210" t="str">
            <v>Mobile</v>
          </cell>
          <cell r="T2210" t="str">
            <v>data analytics training</v>
          </cell>
        </row>
        <row r="2211">
          <cell r="A2211" t="str">
            <v>A3209</v>
          </cell>
          <cell r="B2211" t="str">
            <v>Data Analytcis Course</v>
          </cell>
          <cell r="C2211">
            <v>146</v>
          </cell>
          <cell r="D2211">
            <v>146</v>
          </cell>
          <cell r="E2211">
            <v>4474</v>
          </cell>
          <cell r="F2211">
            <v>4474</v>
          </cell>
          <cell r="G2211" t="str">
            <v>$190.94</v>
          </cell>
          <cell r="H2211" t="str">
            <v>$190.94</v>
          </cell>
          <cell r="I2211">
            <v>18</v>
          </cell>
          <cell r="J2211">
            <v>18</v>
          </cell>
          <cell r="K2211">
            <v>10</v>
          </cell>
          <cell r="L2211">
            <v>10</v>
          </cell>
          <cell r="M2211">
            <v>6.8493150684931503E-2</v>
          </cell>
          <cell r="O2211" t="str">
            <v>$1872</v>
          </cell>
          <cell r="P2211" t="str">
            <v>$1872</v>
          </cell>
          <cell r="Q2211">
            <v>45603</v>
          </cell>
          <cell r="R2211" t="str">
            <v>Chennai</v>
          </cell>
          <cell r="S2211" t="str">
            <v>Tablet</v>
          </cell>
          <cell r="T2211" t="str">
            <v>data analytics online</v>
          </cell>
        </row>
        <row r="2212">
          <cell r="A2212" t="str">
            <v>A3210</v>
          </cell>
          <cell r="B2212" t="str">
            <v>Data Analytcis Course</v>
          </cell>
          <cell r="C2212">
            <v>193</v>
          </cell>
          <cell r="D2212">
            <v>193</v>
          </cell>
          <cell r="E2212">
            <v>5129</v>
          </cell>
          <cell r="F2212">
            <v>5129</v>
          </cell>
          <cell r="G2212" t="str">
            <v>$243.78</v>
          </cell>
          <cell r="H2212" t="str">
            <v>$243.78</v>
          </cell>
          <cell r="I2212">
            <v>13</v>
          </cell>
          <cell r="J2212">
            <v>13</v>
          </cell>
          <cell r="K2212">
            <v>10</v>
          </cell>
          <cell r="L2212">
            <v>10</v>
          </cell>
          <cell r="M2212">
            <v>5.181347150259067E-2</v>
          </cell>
          <cell r="N2212">
            <v>5.1999999999999998E-2</v>
          </cell>
          <cell r="O2212" t="str">
            <v>$1583</v>
          </cell>
          <cell r="P2212" t="str">
            <v>$1583</v>
          </cell>
          <cell r="Q2212">
            <v>45602</v>
          </cell>
          <cell r="R2212" t="str">
            <v>Bangaluru</v>
          </cell>
          <cell r="S2212" t="str">
            <v>Tablet</v>
          </cell>
          <cell r="T2212" t="str">
            <v>data analytics course</v>
          </cell>
        </row>
        <row r="2213">
          <cell r="A2213" t="str">
            <v>A3211</v>
          </cell>
          <cell r="B2213" t="str">
            <v>Data Analytics Course</v>
          </cell>
          <cell r="C2213">
            <v>96</v>
          </cell>
          <cell r="D2213">
            <v>96</v>
          </cell>
          <cell r="E2213">
            <v>5210</v>
          </cell>
          <cell r="F2213">
            <v>5210</v>
          </cell>
          <cell r="G2213" t="str">
            <v>$223.05</v>
          </cell>
          <cell r="H2213" t="str">
            <v>$223.05</v>
          </cell>
          <cell r="I2213">
            <v>10</v>
          </cell>
          <cell r="J2213">
            <v>10</v>
          </cell>
          <cell r="K2213">
            <v>8</v>
          </cell>
          <cell r="L2213">
            <v>8</v>
          </cell>
          <cell r="M2213">
            <v>8.3333333333333329E-2</v>
          </cell>
          <cell r="N2213">
            <v>8.3000000000000004E-2</v>
          </cell>
          <cell r="O2213" t="str">
            <v>$1483</v>
          </cell>
          <cell r="P2213" t="str">
            <v>$1483</v>
          </cell>
          <cell r="Q2213">
            <v>45625</v>
          </cell>
          <cell r="R2213" t="str">
            <v>Hyderabad</v>
          </cell>
          <cell r="S2213" t="str">
            <v>Tablet</v>
          </cell>
          <cell r="T2213" t="str">
            <v>online data analytic</v>
          </cell>
        </row>
        <row r="2214">
          <cell r="A2214" t="str">
            <v>A3212</v>
          </cell>
          <cell r="B2214" t="str">
            <v>Data Analytcis Course</v>
          </cell>
          <cell r="C2214">
            <v>150</v>
          </cell>
          <cell r="D2214">
            <v>150</v>
          </cell>
          <cell r="E2214">
            <v>3456</v>
          </cell>
          <cell r="F2214">
            <v>3456</v>
          </cell>
          <cell r="G2214" t="str">
            <v>$242.22</v>
          </cell>
          <cell r="H2214" t="str">
            <v>$242.22</v>
          </cell>
          <cell r="I2214">
            <v>16</v>
          </cell>
          <cell r="J2214">
            <v>16</v>
          </cell>
          <cell r="K2214">
            <v>7</v>
          </cell>
          <cell r="L2214">
            <v>7</v>
          </cell>
          <cell r="M2214">
            <v>4.6666666666666669E-2</v>
          </cell>
          <cell r="N2214">
            <v>4.7E-2</v>
          </cell>
          <cell r="O2214" t="str">
            <v>$1215</v>
          </cell>
          <cell r="P2214" t="str">
            <v>$1215</v>
          </cell>
          <cell r="Q2214">
            <v>45598</v>
          </cell>
          <cell r="R2214" t="str">
            <v>Chennai</v>
          </cell>
          <cell r="S2214" t="str">
            <v>Desktop</v>
          </cell>
          <cell r="T2214" t="str">
            <v>data analytics training</v>
          </cell>
        </row>
        <row r="2215">
          <cell r="A2215" t="str">
            <v>A3213</v>
          </cell>
          <cell r="B2215" t="str">
            <v>Data Analytics Course</v>
          </cell>
          <cell r="C2215">
            <v>130</v>
          </cell>
          <cell r="D2215">
            <v>130</v>
          </cell>
          <cell r="E2215">
            <v>4109</v>
          </cell>
          <cell r="F2215">
            <v>4109</v>
          </cell>
          <cell r="G2215" t="str">
            <v>$207.1</v>
          </cell>
          <cell r="H2215" t="str">
            <v>$207.1</v>
          </cell>
          <cell r="I2215">
            <v>19</v>
          </cell>
          <cell r="J2215">
            <v>19</v>
          </cell>
          <cell r="K2215">
            <v>6</v>
          </cell>
          <cell r="L2215">
            <v>6</v>
          </cell>
          <cell r="M2215">
            <v>4.6153846153846156E-2</v>
          </cell>
          <cell r="N2215">
            <v>4.5999999999999999E-2</v>
          </cell>
          <cell r="O2215" t="str">
            <v>$1521</v>
          </cell>
          <cell r="P2215" t="str">
            <v>$1521</v>
          </cell>
          <cell r="Q2215">
            <v>45612</v>
          </cell>
          <cell r="R2215" t="str">
            <v>Chennai</v>
          </cell>
          <cell r="S2215" t="str">
            <v>Mobile</v>
          </cell>
          <cell r="T2215" t="str">
            <v>learn data analytics</v>
          </cell>
        </row>
        <row r="2216">
          <cell r="A2216" t="str">
            <v>A3214</v>
          </cell>
          <cell r="B2216" t="str">
            <v>Data Analytics Course</v>
          </cell>
          <cell r="C2216">
            <v>99</v>
          </cell>
          <cell r="D2216">
            <v>99</v>
          </cell>
          <cell r="E2216">
            <v>3522</v>
          </cell>
          <cell r="F2216">
            <v>3522</v>
          </cell>
          <cell r="G2216" t="str">
            <v>$210.01</v>
          </cell>
          <cell r="H2216" t="str">
            <v>$210.01</v>
          </cell>
          <cell r="I2216">
            <v>28</v>
          </cell>
          <cell r="J2216">
            <v>28</v>
          </cell>
          <cell r="K2216">
            <v>9</v>
          </cell>
          <cell r="L2216">
            <v>9</v>
          </cell>
          <cell r="M2216">
            <v>9.0909090909090912E-2</v>
          </cell>
          <cell r="N2216">
            <v>3.4000000000000002E-2</v>
          </cell>
          <cell r="O2216" t="str">
            <v>$1932</v>
          </cell>
          <cell r="P2216" t="str">
            <v>$1932</v>
          </cell>
          <cell r="Q2216">
            <v>45619</v>
          </cell>
          <cell r="R2216" t="str">
            <v>Chennai</v>
          </cell>
          <cell r="S2216" t="str">
            <v>Mobile</v>
          </cell>
          <cell r="T2216" t="str">
            <v>analytics for data</v>
          </cell>
        </row>
        <row r="2217">
          <cell r="A2217" t="str">
            <v>A3215</v>
          </cell>
          <cell r="B2217" t="str">
            <v>Data Analytcis Course</v>
          </cell>
          <cell r="C2217">
            <v>143</v>
          </cell>
          <cell r="D2217">
            <v>143</v>
          </cell>
          <cell r="E2217">
            <v>3600</v>
          </cell>
          <cell r="F2217">
            <v>3600</v>
          </cell>
          <cell r="G2217" t="str">
            <v>$238.14</v>
          </cell>
          <cell r="H2217" t="str">
            <v>$238.14</v>
          </cell>
          <cell r="I2217">
            <v>26</v>
          </cell>
          <cell r="J2217">
            <v>26</v>
          </cell>
          <cell r="K2217">
            <v>7</v>
          </cell>
          <cell r="L2217">
            <v>7</v>
          </cell>
          <cell r="M2217">
            <v>4.8951048951048952E-2</v>
          </cell>
          <cell r="N2217">
            <v>4.9000000000000002E-2</v>
          </cell>
          <cell r="O2217" t="str">
            <v>$1891</v>
          </cell>
          <cell r="P2217" t="str">
            <v>$1891</v>
          </cell>
          <cell r="Q2217">
            <v>45605</v>
          </cell>
          <cell r="R2217" t="str">
            <v>Bangaluru</v>
          </cell>
          <cell r="S2217" t="str">
            <v>Tablet</v>
          </cell>
          <cell r="T2217" t="str">
            <v>analytics for data</v>
          </cell>
        </row>
        <row r="2218">
          <cell r="A2218" t="str">
            <v>A3216</v>
          </cell>
          <cell r="B2218" t="str">
            <v>Data Analytcis Course</v>
          </cell>
          <cell r="C2218">
            <v>116</v>
          </cell>
          <cell r="D2218">
            <v>116</v>
          </cell>
          <cell r="E2218">
            <v>3026</v>
          </cell>
          <cell r="F2218">
            <v>3026</v>
          </cell>
          <cell r="G2218" t="str">
            <v>$209.03</v>
          </cell>
          <cell r="H2218" t="str">
            <v>$209.03</v>
          </cell>
          <cell r="I2218">
            <v>24</v>
          </cell>
          <cell r="J2218">
            <v>24</v>
          </cell>
          <cell r="K2218">
            <v>9</v>
          </cell>
          <cell r="L2218">
            <v>9</v>
          </cell>
          <cell r="M2218">
            <v>7.7586206896551727E-2</v>
          </cell>
          <cell r="O2218" t="str">
            <v>$1819</v>
          </cell>
          <cell r="P2218" t="str">
            <v>$1819</v>
          </cell>
          <cell r="Q2218">
            <v>45606</v>
          </cell>
          <cell r="R2218" t="str">
            <v>Hyderabad</v>
          </cell>
          <cell r="S2218" t="str">
            <v>Desktop</v>
          </cell>
          <cell r="T2218" t="str">
            <v>data analytics online</v>
          </cell>
        </row>
        <row r="2219">
          <cell r="A2219" t="str">
            <v>A3217</v>
          </cell>
          <cell r="B2219" t="str">
            <v>Data Analytcis Course</v>
          </cell>
          <cell r="C2219">
            <v>120</v>
          </cell>
          <cell r="D2219">
            <v>120</v>
          </cell>
          <cell r="E2219">
            <v>4523.2808326787117</v>
          </cell>
          <cell r="G2219" t="str">
            <v>$214.76</v>
          </cell>
          <cell r="H2219" t="str">
            <v>$214.76</v>
          </cell>
          <cell r="I2219">
            <v>29</v>
          </cell>
          <cell r="J2219">
            <v>29</v>
          </cell>
          <cell r="K2219">
            <v>5</v>
          </cell>
          <cell r="L2219">
            <v>5</v>
          </cell>
          <cell r="M2219">
            <v>4.1666666666666664E-2</v>
          </cell>
          <cell r="N2219">
            <v>4.2000000000000003E-2</v>
          </cell>
          <cell r="O2219" t="str">
            <v>$1926</v>
          </cell>
          <cell r="P2219" t="str">
            <v>$1926</v>
          </cell>
          <cell r="Q2219">
            <v>45626</v>
          </cell>
          <cell r="R2219" t="str">
            <v>Chennai</v>
          </cell>
          <cell r="S2219" t="str">
            <v>Mobile</v>
          </cell>
          <cell r="T2219" t="str">
            <v>data analytics training</v>
          </cell>
        </row>
        <row r="2220">
          <cell r="A2220" t="str">
            <v>A3218</v>
          </cell>
          <cell r="B2220" t="str">
            <v>Data Analytcis Course</v>
          </cell>
          <cell r="C2220">
            <v>115</v>
          </cell>
          <cell r="D2220">
            <v>115</v>
          </cell>
          <cell r="E2220">
            <v>4857</v>
          </cell>
          <cell r="F2220">
            <v>4857</v>
          </cell>
          <cell r="G2220" t="str">
            <v>$195.05</v>
          </cell>
          <cell r="H2220" t="str">
            <v>$195.05</v>
          </cell>
          <cell r="I2220">
            <v>29</v>
          </cell>
          <cell r="J2220">
            <v>29</v>
          </cell>
          <cell r="K2220">
            <v>9</v>
          </cell>
          <cell r="L2220">
            <v>9</v>
          </cell>
          <cell r="M2220">
            <v>7.8260869565217397E-2</v>
          </cell>
          <cell r="N2220">
            <v>7.8E-2</v>
          </cell>
          <cell r="O2220" t="str">
            <v>$1644</v>
          </cell>
          <cell r="P2220" t="str">
            <v>$1644</v>
          </cell>
          <cell r="Q2220">
            <v>45613</v>
          </cell>
          <cell r="R2220" t="str">
            <v>Bangaluru</v>
          </cell>
          <cell r="S2220" t="str">
            <v>Desktop</v>
          </cell>
          <cell r="T2220" t="str">
            <v>data analytics training</v>
          </cell>
        </row>
        <row r="2221">
          <cell r="A2221" t="str">
            <v>A3219</v>
          </cell>
          <cell r="B2221" t="str">
            <v>Data Analytics Course</v>
          </cell>
          <cell r="C2221">
            <v>175</v>
          </cell>
          <cell r="D2221">
            <v>175</v>
          </cell>
          <cell r="E2221">
            <v>5915</v>
          </cell>
          <cell r="F2221">
            <v>5915</v>
          </cell>
          <cell r="G2221" t="str">
            <v>$223.39</v>
          </cell>
          <cell r="H2221" t="str">
            <v>$223.39</v>
          </cell>
          <cell r="I2221">
            <v>23</v>
          </cell>
          <cell r="J2221">
            <v>23</v>
          </cell>
          <cell r="K2221">
            <v>8</v>
          </cell>
          <cell r="L2221">
            <v>8</v>
          </cell>
          <cell r="M2221">
            <v>4.5714285714285714E-2</v>
          </cell>
          <cell r="N2221">
            <v>4.2000000000000003E-2</v>
          </cell>
          <cell r="O2221" t="str">
            <v>$1595</v>
          </cell>
          <cell r="P2221" t="str">
            <v>$1595</v>
          </cell>
          <cell r="Q2221">
            <v>45604</v>
          </cell>
          <cell r="R2221" t="str">
            <v>Bangaluru</v>
          </cell>
          <cell r="S2221" t="str">
            <v>Tablet</v>
          </cell>
          <cell r="T2221" t="str">
            <v>learn data analytics</v>
          </cell>
        </row>
        <row r="2222">
          <cell r="A2222" t="str">
            <v>A3220</v>
          </cell>
          <cell r="B2222" t="str">
            <v>Data Analytics Course</v>
          </cell>
          <cell r="C2222">
            <v>100</v>
          </cell>
          <cell r="D2222">
            <v>100</v>
          </cell>
          <cell r="E2222">
            <v>3948</v>
          </cell>
          <cell r="F2222">
            <v>3948</v>
          </cell>
          <cell r="G2222" t="str">
            <v>$230.56</v>
          </cell>
          <cell r="H2222" t="str">
            <v>$230.56</v>
          </cell>
          <cell r="I2222">
            <v>30</v>
          </cell>
          <cell r="J2222">
            <v>30</v>
          </cell>
          <cell r="K2222">
            <v>6</v>
          </cell>
          <cell r="L2222">
            <v>6</v>
          </cell>
          <cell r="M2222">
            <v>0.06</v>
          </cell>
          <cell r="O2222" t="str">
            <v>$1234</v>
          </cell>
          <cell r="P2222" t="str">
            <v>$1234</v>
          </cell>
          <cell r="Q2222">
            <v>45608</v>
          </cell>
          <cell r="R2222" t="str">
            <v>Hyderabad</v>
          </cell>
          <cell r="S2222" t="str">
            <v>Tablet</v>
          </cell>
          <cell r="T2222" t="str">
            <v>analytics for data</v>
          </cell>
        </row>
        <row r="2223">
          <cell r="A2223" t="str">
            <v>A3221</v>
          </cell>
          <cell r="B2223" t="str">
            <v>Data Analytics Course</v>
          </cell>
          <cell r="C2223">
            <v>114</v>
          </cell>
          <cell r="D2223">
            <v>114</v>
          </cell>
          <cell r="E2223">
            <v>5446</v>
          </cell>
          <cell r="F2223">
            <v>5446</v>
          </cell>
          <cell r="G2223" t="str">
            <v>$207.62</v>
          </cell>
          <cell r="H2223" t="str">
            <v>$207.62</v>
          </cell>
          <cell r="I2223">
            <v>11</v>
          </cell>
          <cell r="J2223">
            <v>11</v>
          </cell>
          <cell r="K2223">
            <v>8</v>
          </cell>
          <cell r="L2223">
            <v>8</v>
          </cell>
          <cell r="M2223">
            <v>7.0175438596491224E-2</v>
          </cell>
          <cell r="O2223" t="str">
            <v>$1355</v>
          </cell>
          <cell r="P2223" t="str">
            <v>$1355</v>
          </cell>
          <cell r="Q2223">
            <v>45608</v>
          </cell>
          <cell r="R2223" t="str">
            <v>Hyderabad</v>
          </cell>
          <cell r="S2223" t="str">
            <v>Mobile</v>
          </cell>
          <cell r="T2223" t="str">
            <v>data analytics online</v>
          </cell>
        </row>
        <row r="2224">
          <cell r="A2224" t="str">
            <v>A3222</v>
          </cell>
          <cell r="B2224" t="str">
            <v>Data Analytics Course</v>
          </cell>
          <cell r="C2224">
            <v>109</v>
          </cell>
          <cell r="D2224">
            <v>109</v>
          </cell>
          <cell r="E2224">
            <v>5388</v>
          </cell>
          <cell r="F2224">
            <v>5388</v>
          </cell>
          <cell r="G2224" t="str">
            <v>$205.68</v>
          </cell>
          <cell r="H2224" t="str">
            <v>$205.68</v>
          </cell>
          <cell r="I2224">
            <v>22</v>
          </cell>
          <cell r="J2224">
            <v>22</v>
          </cell>
          <cell r="K2224">
            <v>6</v>
          </cell>
          <cell r="L2224">
            <v>6</v>
          </cell>
          <cell r="M2224">
            <v>5.5045871559633031E-2</v>
          </cell>
          <cell r="N2224">
            <v>5.5E-2</v>
          </cell>
          <cell r="O2224" t="str">
            <v>$1339</v>
          </cell>
          <cell r="P2224" t="str">
            <v>$1339</v>
          </cell>
          <cell r="Q2224">
            <v>45615</v>
          </cell>
          <cell r="R2224" t="str">
            <v>Bangaluru</v>
          </cell>
          <cell r="S2224" t="str">
            <v>Desktop</v>
          </cell>
          <cell r="T2224" t="str">
            <v>data analytics training</v>
          </cell>
        </row>
        <row r="2225">
          <cell r="A2225" t="str">
            <v>A3223</v>
          </cell>
          <cell r="B2225" t="str">
            <v>Data Analytics Course</v>
          </cell>
          <cell r="C2225">
            <v>154</v>
          </cell>
          <cell r="D2225">
            <v>154</v>
          </cell>
          <cell r="E2225">
            <v>5138</v>
          </cell>
          <cell r="F2225">
            <v>5138</v>
          </cell>
          <cell r="G2225" t="str">
            <v>$194.15</v>
          </cell>
          <cell r="H2225" t="str">
            <v>$194.15</v>
          </cell>
          <cell r="I2225">
            <v>17</v>
          </cell>
          <cell r="J2225">
            <v>17</v>
          </cell>
          <cell r="K2225">
            <v>7</v>
          </cell>
          <cell r="L2225">
            <v>7</v>
          </cell>
          <cell r="M2225">
            <v>4.5454545454545456E-2</v>
          </cell>
          <cell r="N2225">
            <v>4.4999999999999998E-2</v>
          </cell>
          <cell r="O2225" t="str">
            <v>$1295</v>
          </cell>
          <cell r="P2225" t="str">
            <v>$1295</v>
          </cell>
          <cell r="Q2225">
            <v>45613</v>
          </cell>
          <cell r="R2225" t="str">
            <v>Hyderabad</v>
          </cell>
          <cell r="S2225" t="str">
            <v>Mobile</v>
          </cell>
          <cell r="T2225" t="str">
            <v>data analytics course</v>
          </cell>
        </row>
        <row r="2226">
          <cell r="A2226" t="str">
            <v>A3224</v>
          </cell>
          <cell r="B2226" t="str">
            <v>Data Analytcis Course</v>
          </cell>
          <cell r="C2226">
            <v>199</v>
          </cell>
          <cell r="D2226">
            <v>199</v>
          </cell>
          <cell r="E2226">
            <v>3534</v>
          </cell>
          <cell r="F2226">
            <v>3534</v>
          </cell>
          <cell r="G2226" t="str">
            <v>$238.67</v>
          </cell>
          <cell r="H2226" t="str">
            <v>$238.67</v>
          </cell>
          <cell r="I2226">
            <v>24</v>
          </cell>
          <cell r="J2226">
            <v>24</v>
          </cell>
          <cell r="K2226">
            <v>5</v>
          </cell>
          <cell r="L2226">
            <v>5</v>
          </cell>
          <cell r="M2226">
            <v>2.5125628140703519E-2</v>
          </cell>
          <cell r="N2226">
            <v>2.5000000000000001E-2</v>
          </cell>
          <cell r="O2226" t="str">
            <v>$1776</v>
          </cell>
          <cell r="P2226" t="str">
            <v>$1776</v>
          </cell>
          <cell r="Q2226">
            <v>45617</v>
          </cell>
          <cell r="R2226" t="str">
            <v>Hyderabad</v>
          </cell>
          <cell r="S2226" t="str">
            <v>Mobile</v>
          </cell>
          <cell r="T2226" t="str">
            <v>data analytics training</v>
          </cell>
        </row>
        <row r="2227">
          <cell r="A2227" t="str">
            <v>A3225</v>
          </cell>
          <cell r="B2227" t="str">
            <v>Data Analytics Course</v>
          </cell>
          <cell r="C2227">
            <v>98</v>
          </cell>
          <cell r="D2227">
            <v>98</v>
          </cell>
          <cell r="E2227">
            <v>4302</v>
          </cell>
          <cell r="F2227">
            <v>4302</v>
          </cell>
          <cell r="G2227" t="str">
            <v>$183.4</v>
          </cell>
          <cell r="H2227" t="str">
            <v>$183.4</v>
          </cell>
          <cell r="I2227">
            <v>16</v>
          </cell>
          <cell r="J2227">
            <v>16</v>
          </cell>
          <cell r="K2227">
            <v>9</v>
          </cell>
          <cell r="L2227">
            <v>9</v>
          </cell>
          <cell r="M2227">
            <v>9.1836734693877556E-2</v>
          </cell>
          <cell r="N2227">
            <v>9.1999999999999998E-2</v>
          </cell>
          <cell r="O2227" t="str">
            <v>$1765</v>
          </cell>
          <cell r="P2227" t="str">
            <v>$1765</v>
          </cell>
          <cell r="Q2227">
            <v>45615</v>
          </cell>
          <cell r="R2227" t="str">
            <v>Hyderabad</v>
          </cell>
          <cell r="S2227" t="str">
            <v>Desktop</v>
          </cell>
          <cell r="T2227" t="str">
            <v>data analytics course</v>
          </cell>
        </row>
        <row r="2228">
          <cell r="A2228" t="str">
            <v>A3226</v>
          </cell>
          <cell r="B2228" t="str">
            <v>Data Analytcis Course</v>
          </cell>
          <cell r="C2228">
            <v>196</v>
          </cell>
          <cell r="D2228">
            <v>196</v>
          </cell>
          <cell r="E2228">
            <v>4367</v>
          </cell>
          <cell r="F2228">
            <v>4367</v>
          </cell>
          <cell r="G2228" t="str">
            <v>$238.44</v>
          </cell>
          <cell r="H2228" t="str">
            <v>$238.44</v>
          </cell>
          <cell r="I2228">
            <v>20</v>
          </cell>
          <cell r="J2228">
            <v>20</v>
          </cell>
          <cell r="K2228">
            <v>7</v>
          </cell>
          <cell r="L2228">
            <v>7</v>
          </cell>
          <cell r="M2228">
            <v>3.5714285714285712E-2</v>
          </cell>
          <cell r="O2228" t="str">
            <v>$1931</v>
          </cell>
          <cell r="P2228" t="str">
            <v>$1931</v>
          </cell>
          <cell r="Q2228">
            <v>45623</v>
          </cell>
          <cell r="R2228" t="str">
            <v>Chennai</v>
          </cell>
          <cell r="S2228" t="str">
            <v>Desktop</v>
          </cell>
          <cell r="T2228" t="str">
            <v>data analytics online</v>
          </cell>
        </row>
        <row r="2229">
          <cell r="A2229" t="str">
            <v>A3227</v>
          </cell>
          <cell r="B2229" t="str">
            <v>Data Analytics Course</v>
          </cell>
          <cell r="C2229">
            <v>81</v>
          </cell>
          <cell r="D2229">
            <v>81</v>
          </cell>
          <cell r="E2229">
            <v>3721</v>
          </cell>
          <cell r="F2229">
            <v>3721</v>
          </cell>
          <cell r="G2229" t="str">
            <v>$222.89</v>
          </cell>
          <cell r="H2229" t="str">
            <v>$222.89</v>
          </cell>
          <cell r="I2229">
            <v>17</v>
          </cell>
          <cell r="J2229">
            <v>17</v>
          </cell>
          <cell r="K2229">
            <v>4</v>
          </cell>
          <cell r="L2229">
            <v>4</v>
          </cell>
          <cell r="M2229">
            <v>4.9382716049382713E-2</v>
          </cell>
          <cell r="N2229">
            <v>4.5999999999999999E-2</v>
          </cell>
          <cell r="O2229" t="str">
            <v>$1690</v>
          </cell>
          <cell r="P2229" t="str">
            <v>$1690</v>
          </cell>
          <cell r="Q2229">
            <v>45611</v>
          </cell>
          <cell r="R2229" t="str">
            <v>Hyderabad</v>
          </cell>
          <cell r="S2229" t="str">
            <v>Desktop</v>
          </cell>
          <cell r="T2229" t="str">
            <v>data analytics course</v>
          </cell>
        </row>
        <row r="2230">
          <cell r="A2230" t="str">
            <v>A3228</v>
          </cell>
          <cell r="B2230" t="str">
            <v>Data Analytics Course</v>
          </cell>
          <cell r="C2230">
            <v>150</v>
          </cell>
          <cell r="D2230">
            <v>150</v>
          </cell>
          <cell r="E2230">
            <v>4351</v>
          </cell>
          <cell r="F2230">
            <v>4351</v>
          </cell>
          <cell r="G2230" t="str">
            <v>$203.7</v>
          </cell>
          <cell r="H2230" t="str">
            <v>$203.7</v>
          </cell>
          <cell r="I2230">
            <v>26</v>
          </cell>
          <cell r="J2230">
            <v>26</v>
          </cell>
          <cell r="K2230">
            <v>8</v>
          </cell>
          <cell r="L2230">
            <v>8</v>
          </cell>
          <cell r="M2230">
            <v>5.3333333333333337E-2</v>
          </cell>
          <cell r="O2230" t="str">
            <v>$1765</v>
          </cell>
          <cell r="P2230" t="str">
            <v>$1765</v>
          </cell>
          <cell r="Q2230">
            <v>45614</v>
          </cell>
          <cell r="R2230" t="str">
            <v>Chennai</v>
          </cell>
          <cell r="S2230" t="str">
            <v>Desktop</v>
          </cell>
          <cell r="T2230" t="str">
            <v>data analytics training</v>
          </cell>
        </row>
        <row r="2231">
          <cell r="A2231" t="str">
            <v>A3229</v>
          </cell>
          <cell r="B2231" t="str">
            <v>Data Analytics Course</v>
          </cell>
          <cell r="C2231">
            <v>121</v>
          </cell>
          <cell r="D2231">
            <v>121</v>
          </cell>
          <cell r="E2231">
            <v>3122</v>
          </cell>
          <cell r="F2231">
            <v>3122</v>
          </cell>
          <cell r="G2231" t="str">
            <v>$237.57</v>
          </cell>
          <cell r="H2231" t="str">
            <v>$237.57</v>
          </cell>
          <cell r="I2231">
            <v>29</v>
          </cell>
          <cell r="J2231">
            <v>29</v>
          </cell>
          <cell r="K2231">
            <v>6</v>
          </cell>
          <cell r="L2231">
            <v>6</v>
          </cell>
          <cell r="M2231">
            <v>4.9586776859504134E-2</v>
          </cell>
          <cell r="N2231">
            <v>0.05</v>
          </cell>
          <cell r="O2231" t="str">
            <v>$1796</v>
          </cell>
          <cell r="P2231" t="str">
            <v>$1796</v>
          </cell>
          <cell r="Q2231">
            <v>45603</v>
          </cell>
          <cell r="R2231" t="str">
            <v>Hyderabad</v>
          </cell>
          <cell r="S2231" t="str">
            <v>Mobile</v>
          </cell>
          <cell r="T2231" t="str">
            <v>learn data analytics</v>
          </cell>
        </row>
        <row r="2232">
          <cell r="A2232" t="str">
            <v>A3230</v>
          </cell>
          <cell r="B2232" t="str">
            <v>Data Analytics Course</v>
          </cell>
          <cell r="C2232">
            <v>124</v>
          </cell>
          <cell r="D2232">
            <v>124</v>
          </cell>
          <cell r="E2232">
            <v>3924</v>
          </cell>
          <cell r="F2232">
            <v>3924</v>
          </cell>
          <cell r="G2232" t="str">
            <v>$188.66</v>
          </cell>
          <cell r="H2232" t="str">
            <v>$188.66</v>
          </cell>
          <cell r="I2232">
            <v>24</v>
          </cell>
          <cell r="J2232">
            <v>24</v>
          </cell>
          <cell r="K2232">
            <v>6</v>
          </cell>
          <cell r="L2232">
            <v>6</v>
          </cell>
          <cell r="M2232">
            <v>4.8387096774193547E-2</v>
          </cell>
          <cell r="N2232">
            <v>4.1000000000000002E-2</v>
          </cell>
          <cell r="O2232" t="str">
            <v>$1472</v>
          </cell>
          <cell r="P2232" t="str">
            <v>$1472</v>
          </cell>
          <cell r="Q2232">
            <v>45600</v>
          </cell>
          <cell r="R2232" t="str">
            <v>Hyderabad</v>
          </cell>
          <cell r="S2232" t="str">
            <v>Tablet</v>
          </cell>
          <cell r="T2232" t="str">
            <v>data analytics training</v>
          </cell>
        </row>
        <row r="2233">
          <cell r="A2233" t="str">
            <v>A3231</v>
          </cell>
          <cell r="B2233" t="str">
            <v>Data Analytcis Course</v>
          </cell>
          <cell r="C2233">
            <v>108</v>
          </cell>
          <cell r="D2233">
            <v>108</v>
          </cell>
          <cell r="E2233">
            <v>4126</v>
          </cell>
          <cell r="F2233">
            <v>4126</v>
          </cell>
          <cell r="G2233" t="str">
            <v>$219.33</v>
          </cell>
          <cell r="H2233" t="str">
            <v>$219.33</v>
          </cell>
          <cell r="I2233">
            <v>22</v>
          </cell>
          <cell r="J2233">
            <v>22</v>
          </cell>
          <cell r="K2233">
            <v>3</v>
          </cell>
          <cell r="L2233">
            <v>3</v>
          </cell>
          <cell r="M2233">
            <v>2.7777777777777776E-2</v>
          </cell>
          <cell r="N2233">
            <v>2.8000000000000001E-2</v>
          </cell>
          <cell r="O2233" t="str">
            <v>$1275</v>
          </cell>
          <cell r="P2233" t="str">
            <v>$1275</v>
          </cell>
          <cell r="Q2233">
            <v>45625</v>
          </cell>
          <cell r="R2233" t="str">
            <v>Hyderabad</v>
          </cell>
          <cell r="S2233" t="str">
            <v>Mobile</v>
          </cell>
          <cell r="T2233" t="str">
            <v>data analytics course</v>
          </cell>
        </row>
        <row r="2234">
          <cell r="A2234" t="str">
            <v>A3232</v>
          </cell>
          <cell r="B2234" t="str">
            <v>Data Analytics Course</v>
          </cell>
          <cell r="C2234">
            <v>192</v>
          </cell>
          <cell r="D2234">
            <v>192</v>
          </cell>
          <cell r="E2234">
            <v>3499</v>
          </cell>
          <cell r="F2234">
            <v>3499</v>
          </cell>
          <cell r="G2234" t="str">
            <v>$237.83</v>
          </cell>
          <cell r="H2234" t="str">
            <v>$237.83</v>
          </cell>
          <cell r="I2234">
            <v>20</v>
          </cell>
          <cell r="J2234">
            <v>20</v>
          </cell>
          <cell r="K2234">
            <v>10</v>
          </cell>
          <cell r="L2234">
            <v>10</v>
          </cell>
          <cell r="M2234">
            <v>5.2083333333333336E-2</v>
          </cell>
          <cell r="N2234">
            <v>4.2999999999999997E-2</v>
          </cell>
          <cell r="O2234" t="str">
            <v>$1500</v>
          </cell>
          <cell r="Q2234">
            <v>45608</v>
          </cell>
          <cell r="R2234" t="str">
            <v>Hyderabad</v>
          </cell>
          <cell r="S2234" t="str">
            <v>Tablet</v>
          </cell>
          <cell r="T2234" t="str">
            <v>analytics for data</v>
          </cell>
        </row>
        <row r="2235">
          <cell r="A2235" t="str">
            <v>A3233</v>
          </cell>
          <cell r="B2235" t="str">
            <v>Data Analytics Course</v>
          </cell>
          <cell r="C2235">
            <v>178</v>
          </cell>
          <cell r="D2235">
            <v>178</v>
          </cell>
          <cell r="E2235">
            <v>3708</v>
          </cell>
          <cell r="F2235">
            <v>3708</v>
          </cell>
          <cell r="G2235" t="str">
            <v>$192.77</v>
          </cell>
          <cell r="H2235" t="str">
            <v>$192.77</v>
          </cell>
          <cell r="I2235">
            <v>20</v>
          </cell>
          <cell r="J2235">
            <v>20</v>
          </cell>
          <cell r="K2235">
            <v>10</v>
          </cell>
          <cell r="L2235">
            <v>10</v>
          </cell>
          <cell r="M2235">
            <v>5.6179775280898875E-2</v>
          </cell>
          <cell r="N2235">
            <v>5.6000000000000001E-2</v>
          </cell>
          <cell r="O2235" t="str">
            <v>$1292</v>
          </cell>
          <cell r="P2235" t="str">
            <v>$1292</v>
          </cell>
          <cell r="Q2235">
            <v>45612</v>
          </cell>
          <cell r="R2235" t="str">
            <v>Chennai</v>
          </cell>
          <cell r="S2235" t="str">
            <v>Tablet</v>
          </cell>
          <cell r="T2235" t="str">
            <v>data analytics online</v>
          </cell>
        </row>
        <row r="2236">
          <cell r="A2236" t="str">
            <v>A3234</v>
          </cell>
          <cell r="B2236" t="str">
            <v>Data Analytics Course</v>
          </cell>
          <cell r="C2236">
            <v>191</v>
          </cell>
          <cell r="D2236">
            <v>191</v>
          </cell>
          <cell r="E2236">
            <v>3302</v>
          </cell>
          <cell r="F2236">
            <v>3302</v>
          </cell>
          <cell r="G2236" t="str">
            <v>$207.75</v>
          </cell>
          <cell r="H2236" t="str">
            <v>$207.75</v>
          </cell>
          <cell r="I2236">
            <v>18</v>
          </cell>
          <cell r="J2236">
            <v>18</v>
          </cell>
          <cell r="K2236">
            <v>9</v>
          </cell>
          <cell r="L2236">
            <v>9</v>
          </cell>
          <cell r="M2236">
            <v>4.712041884816754E-2</v>
          </cell>
          <cell r="N2236">
            <v>4.7E-2</v>
          </cell>
          <cell r="O2236" t="str">
            <v>$1500</v>
          </cell>
          <cell r="Q2236">
            <v>45622</v>
          </cell>
          <cell r="R2236" t="str">
            <v>Hyderabad</v>
          </cell>
          <cell r="S2236" t="str">
            <v>Mobile</v>
          </cell>
          <cell r="T2236" t="str">
            <v>learn data analytics</v>
          </cell>
        </row>
        <row r="2237">
          <cell r="A2237" t="str">
            <v>A3235</v>
          </cell>
          <cell r="B2237" t="str">
            <v>Data Analytics Course</v>
          </cell>
          <cell r="C2237">
            <v>147</v>
          </cell>
          <cell r="D2237">
            <v>147</v>
          </cell>
          <cell r="E2237">
            <v>3131</v>
          </cell>
          <cell r="F2237">
            <v>3131</v>
          </cell>
          <cell r="G2237" t="str">
            <v>$242.53</v>
          </cell>
          <cell r="H2237" t="str">
            <v>$242.53</v>
          </cell>
          <cell r="I2237">
            <v>10</v>
          </cell>
          <cell r="J2237">
            <v>10</v>
          </cell>
          <cell r="K2237">
            <v>4</v>
          </cell>
          <cell r="L2237">
            <v>4</v>
          </cell>
          <cell r="M2237">
            <v>2.7210884353741496E-2</v>
          </cell>
          <cell r="O2237" t="str">
            <v>$1231</v>
          </cell>
          <cell r="P2237" t="str">
            <v>$1231</v>
          </cell>
          <cell r="Q2237">
            <v>45614</v>
          </cell>
          <cell r="R2237" t="str">
            <v>Chennai</v>
          </cell>
          <cell r="S2237" t="str">
            <v>Desktop</v>
          </cell>
          <cell r="T2237" t="str">
            <v>data analytics course</v>
          </cell>
        </row>
        <row r="2238">
          <cell r="A2238" t="str">
            <v>A3236</v>
          </cell>
          <cell r="B2238" t="str">
            <v>Data Analytics Course</v>
          </cell>
          <cell r="C2238">
            <v>88</v>
          </cell>
          <cell r="D2238">
            <v>88</v>
          </cell>
          <cell r="E2238">
            <v>5145</v>
          </cell>
          <cell r="F2238">
            <v>5145</v>
          </cell>
          <cell r="G2238" t="str">
            <v>$242.9</v>
          </cell>
          <cell r="H2238" t="str">
            <v>$242.9</v>
          </cell>
          <cell r="I2238">
            <v>16</v>
          </cell>
          <cell r="J2238">
            <v>16</v>
          </cell>
          <cell r="K2238">
            <v>10</v>
          </cell>
          <cell r="L2238">
            <v>10</v>
          </cell>
          <cell r="M2238">
            <v>0.11363636363636363</v>
          </cell>
          <cell r="N2238">
            <v>4.2999999999999997E-2</v>
          </cell>
          <cell r="O2238" t="str">
            <v>$1963</v>
          </cell>
          <cell r="P2238" t="str">
            <v>$1963</v>
          </cell>
          <cell r="Q2238">
            <v>45610</v>
          </cell>
          <cell r="R2238" t="str">
            <v>Chennai</v>
          </cell>
          <cell r="S2238" t="str">
            <v>Tablet</v>
          </cell>
          <cell r="T2238" t="str">
            <v>analytics for data</v>
          </cell>
        </row>
        <row r="2239">
          <cell r="A2239" t="str">
            <v>A3237</v>
          </cell>
          <cell r="B2239" t="str">
            <v>Data Analytcis Course</v>
          </cell>
          <cell r="C2239">
            <v>92</v>
          </cell>
          <cell r="D2239">
            <v>92</v>
          </cell>
          <cell r="E2239">
            <v>5241</v>
          </cell>
          <cell r="F2239">
            <v>5241</v>
          </cell>
          <cell r="G2239" t="str">
            <v>$223.48</v>
          </cell>
          <cell r="H2239" t="str">
            <v>$223.48</v>
          </cell>
          <cell r="I2239">
            <v>23</v>
          </cell>
          <cell r="J2239">
            <v>23</v>
          </cell>
          <cell r="K2239">
            <v>9</v>
          </cell>
          <cell r="L2239">
            <v>9</v>
          </cell>
          <cell r="M2239">
            <v>9.7826086956521743E-2</v>
          </cell>
          <cell r="O2239" t="str">
            <v>$1050</v>
          </cell>
          <cell r="P2239" t="str">
            <v>$1050</v>
          </cell>
          <cell r="Q2239">
            <v>45614</v>
          </cell>
          <cell r="R2239" t="str">
            <v>Hyderabad</v>
          </cell>
          <cell r="S2239" t="str">
            <v>Desktop</v>
          </cell>
          <cell r="T2239" t="str">
            <v>data analytics online</v>
          </cell>
        </row>
        <row r="2240">
          <cell r="A2240" t="str">
            <v>A3238</v>
          </cell>
          <cell r="B2240" t="str">
            <v>Data Analytcis Course</v>
          </cell>
          <cell r="C2240">
            <v>148</v>
          </cell>
          <cell r="D2240">
            <v>148</v>
          </cell>
          <cell r="E2240">
            <v>4149</v>
          </cell>
          <cell r="F2240">
            <v>4149</v>
          </cell>
          <cell r="G2240" t="str">
            <v>$223.33</v>
          </cell>
          <cell r="H2240" t="str">
            <v>$223.33</v>
          </cell>
          <cell r="I2240">
            <v>30</v>
          </cell>
          <cell r="J2240">
            <v>30</v>
          </cell>
          <cell r="K2240">
            <v>6</v>
          </cell>
          <cell r="L2240">
            <v>6</v>
          </cell>
          <cell r="M2240">
            <v>4.0540540540540543E-2</v>
          </cell>
          <cell r="N2240">
            <v>4.1000000000000002E-2</v>
          </cell>
          <cell r="O2240" t="str">
            <v>$1318</v>
          </cell>
          <cell r="P2240" t="str">
            <v>$1318</v>
          </cell>
          <cell r="Q2240">
            <v>45604</v>
          </cell>
          <cell r="R2240" t="str">
            <v>Chennai</v>
          </cell>
          <cell r="S2240" t="str">
            <v>Tablet</v>
          </cell>
          <cell r="T2240" t="str">
            <v>data analytics course</v>
          </cell>
        </row>
        <row r="2241">
          <cell r="A2241" t="str">
            <v>A3239</v>
          </cell>
          <cell r="B2241" t="str">
            <v>Data Analytics Course</v>
          </cell>
          <cell r="C2241">
            <v>127</v>
          </cell>
          <cell r="D2241">
            <v>127</v>
          </cell>
          <cell r="E2241">
            <v>3791</v>
          </cell>
          <cell r="F2241">
            <v>3791</v>
          </cell>
          <cell r="G2241" t="str">
            <v>$231.06</v>
          </cell>
          <cell r="H2241" t="str">
            <v>$231.06</v>
          </cell>
          <cell r="I2241">
            <v>11</v>
          </cell>
          <cell r="J2241">
            <v>11</v>
          </cell>
          <cell r="K2241">
            <v>6</v>
          </cell>
          <cell r="L2241">
            <v>6</v>
          </cell>
          <cell r="M2241">
            <v>4.7244094488188976E-2</v>
          </cell>
          <cell r="O2241" t="str">
            <v>$1351</v>
          </cell>
          <cell r="P2241" t="str">
            <v>$1351</v>
          </cell>
          <cell r="Q2241">
            <v>45599</v>
          </cell>
          <cell r="R2241" t="str">
            <v>Hyderabad</v>
          </cell>
          <cell r="S2241" t="str">
            <v>Desktop</v>
          </cell>
          <cell r="T2241" t="str">
            <v>online data analytic</v>
          </cell>
        </row>
        <row r="2242">
          <cell r="A2242" t="str">
            <v>A3240</v>
          </cell>
          <cell r="B2242" t="str">
            <v>Data Analytcis Course</v>
          </cell>
          <cell r="C2242">
            <v>156</v>
          </cell>
          <cell r="D2242">
            <v>156</v>
          </cell>
          <cell r="E2242">
            <v>4375</v>
          </cell>
          <cell r="F2242">
            <v>4375</v>
          </cell>
          <cell r="G2242" t="str">
            <v>$249.33</v>
          </cell>
          <cell r="H2242" t="str">
            <v>$249.33</v>
          </cell>
          <cell r="I2242">
            <v>26</v>
          </cell>
          <cell r="J2242">
            <v>26</v>
          </cell>
          <cell r="K2242">
            <v>6</v>
          </cell>
          <cell r="L2242">
            <v>6</v>
          </cell>
          <cell r="M2242">
            <v>3.8461538461538464E-2</v>
          </cell>
          <cell r="N2242">
            <v>3.7999999999999999E-2</v>
          </cell>
          <cell r="O2242" t="str">
            <v>$1663</v>
          </cell>
          <cell r="P2242" t="str">
            <v>$1663</v>
          </cell>
          <cell r="Q2242">
            <v>45611</v>
          </cell>
          <cell r="R2242" t="str">
            <v>Hyderabad</v>
          </cell>
          <cell r="S2242" t="str">
            <v>Tablet</v>
          </cell>
          <cell r="T2242" t="str">
            <v>data analytics course</v>
          </cell>
        </row>
        <row r="2243">
          <cell r="A2243" t="str">
            <v>A3241</v>
          </cell>
          <cell r="B2243" t="str">
            <v>Data Analytics Course</v>
          </cell>
          <cell r="C2243">
            <v>176</v>
          </cell>
          <cell r="D2243">
            <v>176</v>
          </cell>
          <cell r="E2243">
            <v>3753</v>
          </cell>
          <cell r="F2243">
            <v>3753</v>
          </cell>
          <cell r="G2243" t="str">
            <v>$201.76</v>
          </cell>
          <cell r="H2243" t="str">
            <v>$201.76</v>
          </cell>
          <cell r="I2243">
            <v>11</v>
          </cell>
          <cell r="J2243">
            <v>11</v>
          </cell>
          <cell r="K2243">
            <v>4</v>
          </cell>
          <cell r="L2243">
            <v>4</v>
          </cell>
          <cell r="M2243">
            <v>2.2727272727272728E-2</v>
          </cell>
          <cell r="N2243">
            <v>2.3E-2</v>
          </cell>
          <cell r="O2243" t="str">
            <v>$1070</v>
          </cell>
          <cell r="P2243" t="str">
            <v>$1070</v>
          </cell>
          <cell r="Q2243">
            <v>45603</v>
          </cell>
          <cell r="R2243" t="str">
            <v>Hyderabad</v>
          </cell>
          <cell r="S2243" t="str">
            <v>Mobile</v>
          </cell>
          <cell r="T2243" t="str">
            <v>data analytics training</v>
          </cell>
        </row>
        <row r="2244">
          <cell r="A2244" t="str">
            <v>A3242</v>
          </cell>
          <cell r="B2244" t="str">
            <v>Data Analytics Course</v>
          </cell>
          <cell r="C2244">
            <v>145</v>
          </cell>
          <cell r="D2244">
            <v>145</v>
          </cell>
          <cell r="E2244">
            <v>4275</v>
          </cell>
          <cell r="F2244">
            <v>4275</v>
          </cell>
          <cell r="G2244" t="str">
            <v>$185.05</v>
          </cell>
          <cell r="H2244" t="str">
            <v>$185.05</v>
          </cell>
          <cell r="I2244">
            <v>25</v>
          </cell>
          <cell r="J2244">
            <v>25</v>
          </cell>
          <cell r="K2244">
            <v>7</v>
          </cell>
          <cell r="L2244">
            <v>7</v>
          </cell>
          <cell r="M2244">
            <v>4.8275862068965517E-2</v>
          </cell>
          <cell r="N2244">
            <v>3.5999999999999997E-2</v>
          </cell>
          <cell r="O2244" t="str">
            <v>$1574</v>
          </cell>
          <cell r="P2244" t="str">
            <v>$1574</v>
          </cell>
          <cell r="Q2244">
            <v>45605</v>
          </cell>
          <cell r="R2244" t="str">
            <v>Hyderabad</v>
          </cell>
          <cell r="S2244" t="str">
            <v>Desktop</v>
          </cell>
          <cell r="T2244" t="str">
            <v>data analytics training</v>
          </cell>
        </row>
        <row r="2245">
          <cell r="A2245" t="str">
            <v>A3243</v>
          </cell>
          <cell r="B2245" t="str">
            <v>Data Analytics Course</v>
          </cell>
          <cell r="C2245">
            <v>136</v>
          </cell>
          <cell r="D2245">
            <v>136</v>
          </cell>
          <cell r="E2245">
            <v>4332</v>
          </cell>
          <cell r="F2245">
            <v>4332</v>
          </cell>
          <cell r="G2245" t="str">
            <v>$234.52</v>
          </cell>
          <cell r="H2245" t="str">
            <v>$234.52</v>
          </cell>
          <cell r="I2245">
            <v>19</v>
          </cell>
          <cell r="J2245">
            <v>19</v>
          </cell>
          <cell r="K2245">
            <v>6</v>
          </cell>
          <cell r="L2245">
            <v>6</v>
          </cell>
          <cell r="M2245">
            <v>4.4117647058823532E-2</v>
          </cell>
          <cell r="N2245">
            <v>4.2999999999999997E-2</v>
          </cell>
          <cell r="O2245" t="str">
            <v>$1162</v>
          </cell>
          <cell r="P2245" t="str">
            <v>$1162</v>
          </cell>
          <cell r="Q2245">
            <v>45614</v>
          </cell>
          <cell r="R2245" t="str">
            <v>Hyderabad</v>
          </cell>
          <cell r="S2245" t="str">
            <v>Desktop</v>
          </cell>
          <cell r="T2245" t="str">
            <v>learn data analytics</v>
          </cell>
        </row>
        <row r="2246">
          <cell r="A2246" t="str">
            <v>A3244</v>
          </cell>
          <cell r="B2246" t="str">
            <v>Data Analytics Course</v>
          </cell>
          <cell r="C2246">
            <v>150</v>
          </cell>
          <cell r="D2246">
            <v>150</v>
          </cell>
          <cell r="E2246">
            <v>4001</v>
          </cell>
          <cell r="F2246">
            <v>4001</v>
          </cell>
          <cell r="G2246" t="str">
            <v>$219.1</v>
          </cell>
          <cell r="H2246" t="str">
            <v>$219.1</v>
          </cell>
          <cell r="I2246">
            <v>25</v>
          </cell>
          <cell r="J2246">
            <v>25</v>
          </cell>
          <cell r="K2246">
            <v>6</v>
          </cell>
          <cell r="L2246">
            <v>6</v>
          </cell>
          <cell r="M2246">
            <v>0.04</v>
          </cell>
          <cell r="O2246" t="str">
            <v>$1365</v>
          </cell>
          <cell r="P2246" t="str">
            <v>$1365</v>
          </cell>
          <cell r="Q2246">
            <v>45605</v>
          </cell>
          <cell r="R2246" t="str">
            <v>Chennai</v>
          </cell>
          <cell r="S2246" t="str">
            <v>Tablet</v>
          </cell>
          <cell r="T2246" t="str">
            <v>online data analytic</v>
          </cell>
        </row>
        <row r="2247">
          <cell r="A2247" t="str">
            <v>A3245</v>
          </cell>
          <cell r="B2247" t="str">
            <v>Data Analytics Course</v>
          </cell>
          <cell r="C2247">
            <v>145</v>
          </cell>
          <cell r="D2247">
            <v>145</v>
          </cell>
          <cell r="E2247">
            <v>4436</v>
          </cell>
          <cell r="F2247">
            <v>4436</v>
          </cell>
          <cell r="G2247" t="str">
            <v>$190.63</v>
          </cell>
          <cell r="H2247" t="str">
            <v>$190.63</v>
          </cell>
          <cell r="I2247">
            <v>13</v>
          </cell>
          <cell r="J2247">
            <v>13</v>
          </cell>
          <cell r="K2247">
            <v>10</v>
          </cell>
          <cell r="L2247">
            <v>10</v>
          </cell>
          <cell r="M2247">
            <v>6.8965517241379309E-2</v>
          </cell>
          <cell r="N2247">
            <v>6.9000000000000006E-2</v>
          </cell>
          <cell r="O2247" t="str">
            <v>$1502</v>
          </cell>
          <cell r="P2247" t="str">
            <v>$1502</v>
          </cell>
          <cell r="Q2247">
            <v>45617</v>
          </cell>
          <cell r="R2247" t="str">
            <v>Hyderabad</v>
          </cell>
          <cell r="S2247" t="str">
            <v>Tablet</v>
          </cell>
          <cell r="T2247" t="str">
            <v>data analytics course</v>
          </cell>
        </row>
        <row r="2248">
          <cell r="A2248" t="str">
            <v>A3246</v>
          </cell>
          <cell r="B2248" t="str">
            <v>Data Analytics Course</v>
          </cell>
          <cell r="C2248">
            <v>165</v>
          </cell>
          <cell r="D2248">
            <v>165</v>
          </cell>
          <cell r="E2248">
            <v>5661</v>
          </cell>
          <cell r="F2248">
            <v>5661</v>
          </cell>
          <cell r="G2248" t="str">
            <v>$200.00</v>
          </cell>
          <cell r="I2248">
            <v>28</v>
          </cell>
          <cell r="J2248">
            <v>28</v>
          </cell>
          <cell r="K2248">
            <v>6</v>
          </cell>
          <cell r="L2248">
            <v>6</v>
          </cell>
          <cell r="M2248">
            <v>3.6363636363636362E-2</v>
          </cell>
          <cell r="N2248">
            <v>3.5999999999999997E-2</v>
          </cell>
          <cell r="O2248" t="str">
            <v>$1848</v>
          </cell>
          <cell r="P2248" t="str">
            <v>$1848</v>
          </cell>
          <cell r="Q2248">
            <v>45598</v>
          </cell>
          <cell r="R2248" t="str">
            <v>Chennai</v>
          </cell>
          <cell r="S2248" t="str">
            <v>Desktop</v>
          </cell>
          <cell r="T2248" t="str">
            <v>data analytics online</v>
          </cell>
        </row>
        <row r="2249">
          <cell r="A2249" t="str">
            <v>A3247</v>
          </cell>
          <cell r="B2249" t="str">
            <v>Data Analytcis Course</v>
          </cell>
          <cell r="C2249">
            <v>183</v>
          </cell>
          <cell r="D2249">
            <v>183</v>
          </cell>
          <cell r="E2249">
            <v>5746</v>
          </cell>
          <cell r="F2249">
            <v>5746</v>
          </cell>
          <cell r="G2249" t="str">
            <v>$248.15</v>
          </cell>
          <cell r="H2249" t="str">
            <v>$248.15</v>
          </cell>
          <cell r="I2249">
            <v>14</v>
          </cell>
          <cell r="J2249">
            <v>14</v>
          </cell>
          <cell r="K2249">
            <v>5</v>
          </cell>
          <cell r="L2249">
            <v>5</v>
          </cell>
          <cell r="M2249">
            <v>2.7322404371584699E-2</v>
          </cell>
          <cell r="N2249">
            <v>5.2999999999999999E-2</v>
          </cell>
          <cell r="O2249" t="str">
            <v>$1012</v>
          </cell>
          <cell r="P2249" t="str">
            <v>$1012</v>
          </cell>
          <cell r="Q2249">
            <v>45621</v>
          </cell>
          <cell r="R2249" t="str">
            <v>Chennai</v>
          </cell>
          <cell r="S2249" t="str">
            <v>Tablet</v>
          </cell>
          <cell r="T2249" t="str">
            <v>data analytics course</v>
          </cell>
        </row>
        <row r="2250">
          <cell r="A2250" t="str">
            <v>A3248</v>
          </cell>
          <cell r="B2250" t="str">
            <v>Data Analytics Course</v>
          </cell>
          <cell r="C2250">
            <v>176</v>
          </cell>
          <cell r="D2250">
            <v>176</v>
          </cell>
          <cell r="E2250">
            <v>3906</v>
          </cell>
          <cell r="F2250">
            <v>3906</v>
          </cell>
          <cell r="G2250" t="str">
            <v>$214.0</v>
          </cell>
          <cell r="H2250" t="str">
            <v>$214.0</v>
          </cell>
          <cell r="I2250">
            <v>29</v>
          </cell>
          <cell r="J2250">
            <v>29</v>
          </cell>
          <cell r="K2250">
            <v>4</v>
          </cell>
          <cell r="L2250">
            <v>4</v>
          </cell>
          <cell r="M2250">
            <v>2.2727272727272728E-2</v>
          </cell>
          <cell r="N2250">
            <v>3.6999999999999998E-2</v>
          </cell>
          <cell r="O2250" t="str">
            <v>$1382</v>
          </cell>
          <cell r="P2250" t="str">
            <v>$1382</v>
          </cell>
          <cell r="Q2250">
            <v>45621</v>
          </cell>
          <cell r="R2250" t="str">
            <v>Hyderabad</v>
          </cell>
          <cell r="S2250" t="str">
            <v>Tablet</v>
          </cell>
          <cell r="T2250" t="str">
            <v>online data analytic</v>
          </cell>
        </row>
        <row r="2251">
          <cell r="A2251" t="str">
            <v>A3249</v>
          </cell>
          <cell r="B2251" t="str">
            <v>Data Analytics Course</v>
          </cell>
          <cell r="C2251">
            <v>164</v>
          </cell>
          <cell r="D2251">
            <v>164</v>
          </cell>
          <cell r="E2251">
            <v>5127</v>
          </cell>
          <cell r="F2251">
            <v>5127</v>
          </cell>
          <cell r="G2251" t="str">
            <v>$194.76</v>
          </cell>
          <cell r="H2251" t="str">
            <v>$194.76</v>
          </cell>
          <cell r="I2251">
            <v>20</v>
          </cell>
          <cell r="J2251">
            <v>20</v>
          </cell>
          <cell r="K2251">
            <v>5</v>
          </cell>
          <cell r="L2251">
            <v>5</v>
          </cell>
          <cell r="M2251">
            <v>3.048780487804878E-2</v>
          </cell>
          <cell r="O2251" t="str">
            <v>$1500</v>
          </cell>
          <cell r="Q2251">
            <v>45608</v>
          </cell>
          <cell r="R2251" t="str">
            <v>Chennai</v>
          </cell>
          <cell r="S2251" t="str">
            <v>Tablet</v>
          </cell>
          <cell r="T2251" t="str">
            <v>analytics for data</v>
          </cell>
        </row>
        <row r="2252">
          <cell r="A2252" t="str">
            <v>A3250</v>
          </cell>
          <cell r="B2252" t="str">
            <v>Data Analytics Course</v>
          </cell>
          <cell r="C2252">
            <v>138.95699356913184</v>
          </cell>
          <cell r="E2252">
            <v>4093</v>
          </cell>
          <cell r="F2252">
            <v>4093</v>
          </cell>
          <cell r="G2252" t="str">
            <v>$230.81</v>
          </cell>
          <cell r="H2252" t="str">
            <v>$230.81</v>
          </cell>
          <cell r="I2252">
            <v>15</v>
          </cell>
          <cell r="J2252">
            <v>15</v>
          </cell>
          <cell r="K2252">
            <v>6</v>
          </cell>
          <cell r="L2252">
            <v>6</v>
          </cell>
          <cell r="M2252">
            <v>4.317882710246583E-2</v>
          </cell>
          <cell r="O2252" t="str">
            <v>$1713</v>
          </cell>
          <cell r="P2252" t="str">
            <v>$1713</v>
          </cell>
          <cell r="Q2252">
            <v>45598</v>
          </cell>
          <cell r="R2252" t="str">
            <v>Chennai</v>
          </cell>
          <cell r="S2252" t="str">
            <v>Desktop</v>
          </cell>
          <cell r="T2252" t="str">
            <v>data analytics course</v>
          </cell>
        </row>
        <row r="2253">
          <cell r="A2253" t="str">
            <v>A3251</v>
          </cell>
          <cell r="B2253" t="str">
            <v>Data Analytcis Course</v>
          </cell>
          <cell r="C2253">
            <v>95</v>
          </cell>
          <cell r="D2253">
            <v>95</v>
          </cell>
          <cell r="E2253">
            <v>4933</v>
          </cell>
          <cell r="F2253">
            <v>4933</v>
          </cell>
          <cell r="G2253" t="str">
            <v>$220.04</v>
          </cell>
          <cell r="H2253" t="str">
            <v>$220.04</v>
          </cell>
          <cell r="I2253">
            <v>15</v>
          </cell>
          <cell r="J2253">
            <v>15</v>
          </cell>
          <cell r="K2253">
            <v>3</v>
          </cell>
          <cell r="L2253">
            <v>3</v>
          </cell>
          <cell r="M2253">
            <v>3.1578947368421054E-2</v>
          </cell>
          <cell r="O2253" t="str">
            <v>$1366</v>
          </cell>
          <cell r="P2253" t="str">
            <v>$1366</v>
          </cell>
          <cell r="Q2253">
            <v>45600</v>
          </cell>
          <cell r="R2253" t="str">
            <v>Hyderabad</v>
          </cell>
          <cell r="S2253" t="str">
            <v>Mobile</v>
          </cell>
          <cell r="T2253" t="str">
            <v>data analytics training</v>
          </cell>
        </row>
        <row r="2254">
          <cell r="A2254" t="str">
            <v>A3252</v>
          </cell>
          <cell r="B2254" t="str">
            <v>Data Analytcis Course</v>
          </cell>
          <cell r="C2254">
            <v>83</v>
          </cell>
          <cell r="D2254">
            <v>83</v>
          </cell>
          <cell r="E2254">
            <v>5180</v>
          </cell>
          <cell r="F2254">
            <v>5180</v>
          </cell>
          <cell r="G2254" t="str">
            <v>$209.62</v>
          </cell>
          <cell r="H2254" t="str">
            <v>$209.62</v>
          </cell>
          <cell r="I2254">
            <v>30</v>
          </cell>
          <cell r="J2254">
            <v>30</v>
          </cell>
          <cell r="K2254">
            <v>4</v>
          </cell>
          <cell r="L2254">
            <v>4</v>
          </cell>
          <cell r="M2254">
            <v>4.8192771084337352E-2</v>
          </cell>
          <cell r="O2254" t="str">
            <v>$1972</v>
          </cell>
          <cell r="P2254" t="str">
            <v>$1972</v>
          </cell>
          <cell r="Q2254">
            <v>45609</v>
          </cell>
          <cell r="R2254" t="str">
            <v>Chennai</v>
          </cell>
          <cell r="S2254" t="str">
            <v>Desktop</v>
          </cell>
          <cell r="T2254" t="str">
            <v>analytics for data</v>
          </cell>
        </row>
        <row r="2255">
          <cell r="A2255" t="str">
            <v>A3253</v>
          </cell>
          <cell r="B2255" t="str">
            <v>Data Analytics Course</v>
          </cell>
          <cell r="C2255">
            <v>91</v>
          </cell>
          <cell r="D2255">
            <v>91</v>
          </cell>
          <cell r="E2255">
            <v>4988</v>
          </cell>
          <cell r="F2255">
            <v>4988</v>
          </cell>
          <cell r="G2255" t="str">
            <v>$217.34</v>
          </cell>
          <cell r="H2255" t="str">
            <v>$217.34</v>
          </cell>
          <cell r="I2255">
            <v>10</v>
          </cell>
          <cell r="J2255">
            <v>10</v>
          </cell>
          <cell r="K2255">
            <v>10</v>
          </cell>
          <cell r="L2255">
            <v>10</v>
          </cell>
          <cell r="M2255">
            <v>0.10989010989010989</v>
          </cell>
          <cell r="N2255">
            <v>0.11</v>
          </cell>
          <cell r="O2255" t="str">
            <v>$1508</v>
          </cell>
          <cell r="P2255" t="str">
            <v>$1508</v>
          </cell>
          <cell r="Q2255">
            <v>45625</v>
          </cell>
          <cell r="R2255" t="str">
            <v>Bangaluru</v>
          </cell>
          <cell r="S2255" t="str">
            <v>Mobile</v>
          </cell>
          <cell r="T2255" t="str">
            <v>learn data analytics</v>
          </cell>
        </row>
        <row r="2256">
          <cell r="A2256" t="str">
            <v>A3254</v>
          </cell>
          <cell r="B2256" t="str">
            <v>Data Analytics Course</v>
          </cell>
          <cell r="C2256">
            <v>107</v>
          </cell>
          <cell r="D2256">
            <v>107</v>
          </cell>
          <cell r="E2256">
            <v>5510</v>
          </cell>
          <cell r="F2256">
            <v>5510</v>
          </cell>
          <cell r="G2256" t="str">
            <v>$216.1</v>
          </cell>
          <cell r="H2256" t="str">
            <v>$216.1</v>
          </cell>
          <cell r="I2256">
            <v>14</v>
          </cell>
          <cell r="J2256">
            <v>14</v>
          </cell>
          <cell r="K2256">
            <v>8</v>
          </cell>
          <cell r="L2256">
            <v>8</v>
          </cell>
          <cell r="M2256">
            <v>7.476635514018691E-2</v>
          </cell>
          <cell r="N2256">
            <v>7.4999999999999997E-2</v>
          </cell>
          <cell r="O2256" t="str">
            <v>$1857</v>
          </cell>
          <cell r="P2256" t="str">
            <v>$1857</v>
          </cell>
          <cell r="Q2256">
            <v>45615</v>
          </cell>
          <cell r="R2256" t="str">
            <v>Bangaluru</v>
          </cell>
          <cell r="S2256" t="str">
            <v>Mobile</v>
          </cell>
          <cell r="T2256" t="str">
            <v>online data analytic</v>
          </cell>
        </row>
        <row r="2257">
          <cell r="A2257" t="str">
            <v>A3255</v>
          </cell>
          <cell r="B2257" t="str">
            <v>Data Analytics Course</v>
          </cell>
          <cell r="C2257">
            <v>83</v>
          </cell>
          <cell r="D2257">
            <v>83</v>
          </cell>
          <cell r="E2257">
            <v>3187</v>
          </cell>
          <cell r="F2257">
            <v>3187</v>
          </cell>
          <cell r="G2257" t="str">
            <v>$200.00</v>
          </cell>
          <cell r="I2257">
            <v>25</v>
          </cell>
          <cell r="J2257">
            <v>25</v>
          </cell>
          <cell r="K2257">
            <v>10</v>
          </cell>
          <cell r="L2257">
            <v>10</v>
          </cell>
          <cell r="M2257">
            <v>0.12048192771084337</v>
          </cell>
          <cell r="N2257">
            <v>3.4000000000000002E-2</v>
          </cell>
          <cell r="O2257" t="str">
            <v>$1571</v>
          </cell>
          <cell r="P2257" t="str">
            <v>$1571</v>
          </cell>
          <cell r="Q2257">
            <v>45603</v>
          </cell>
          <cell r="R2257" t="str">
            <v>Chennai</v>
          </cell>
          <cell r="S2257" t="str">
            <v>Mobile</v>
          </cell>
          <cell r="T2257" t="str">
            <v>learn data analytics</v>
          </cell>
        </row>
        <row r="2258">
          <cell r="A2258" t="str">
            <v>A3256</v>
          </cell>
          <cell r="B2258" t="str">
            <v>Data Analytics Course</v>
          </cell>
          <cell r="C2258">
            <v>166</v>
          </cell>
          <cell r="D2258">
            <v>166</v>
          </cell>
          <cell r="E2258">
            <v>3788</v>
          </cell>
          <cell r="F2258">
            <v>3788</v>
          </cell>
          <cell r="G2258" t="str">
            <v>$238.56</v>
          </cell>
          <cell r="H2258" t="str">
            <v>$238.56</v>
          </cell>
          <cell r="I2258">
            <v>18</v>
          </cell>
          <cell r="J2258">
            <v>18</v>
          </cell>
          <cell r="K2258">
            <v>8</v>
          </cell>
          <cell r="L2258">
            <v>8</v>
          </cell>
          <cell r="M2258">
            <v>4.8192771084337352E-2</v>
          </cell>
          <cell r="N2258">
            <v>4.8000000000000001E-2</v>
          </cell>
          <cell r="O2258" t="str">
            <v>$1657</v>
          </cell>
          <cell r="P2258" t="str">
            <v>$1657</v>
          </cell>
          <cell r="Q2258">
            <v>45602</v>
          </cell>
          <cell r="R2258" t="str">
            <v>Hyderabad</v>
          </cell>
          <cell r="S2258" t="str">
            <v>Mobile</v>
          </cell>
          <cell r="T2258" t="str">
            <v>learn data analytics</v>
          </cell>
        </row>
        <row r="2259">
          <cell r="A2259" t="str">
            <v>A3257</v>
          </cell>
          <cell r="B2259" t="str">
            <v>Data Analytcis Course</v>
          </cell>
          <cell r="C2259">
            <v>182</v>
          </cell>
          <cell r="D2259">
            <v>182</v>
          </cell>
          <cell r="E2259">
            <v>4575</v>
          </cell>
          <cell r="F2259">
            <v>4575</v>
          </cell>
          <cell r="G2259" t="str">
            <v>$233.74</v>
          </cell>
          <cell r="H2259" t="str">
            <v>$233.74</v>
          </cell>
          <cell r="I2259">
            <v>24</v>
          </cell>
          <cell r="J2259">
            <v>24</v>
          </cell>
          <cell r="K2259">
            <v>10</v>
          </cell>
          <cell r="L2259">
            <v>10</v>
          </cell>
          <cell r="M2259">
            <v>5.4945054945054944E-2</v>
          </cell>
          <cell r="O2259" t="str">
            <v>$1844</v>
          </cell>
          <cell r="P2259" t="str">
            <v>$1844</v>
          </cell>
          <cell r="Q2259">
            <v>45609</v>
          </cell>
          <cell r="R2259" t="str">
            <v>Chennai</v>
          </cell>
          <cell r="S2259" t="str">
            <v>Mobile</v>
          </cell>
          <cell r="T2259" t="str">
            <v>learn data analytics</v>
          </cell>
        </row>
        <row r="2260">
          <cell r="A2260" t="str">
            <v>A3258</v>
          </cell>
          <cell r="B2260" t="str">
            <v>Data Analytics Course</v>
          </cell>
          <cell r="C2260">
            <v>188</v>
          </cell>
          <cell r="D2260">
            <v>188</v>
          </cell>
          <cell r="E2260">
            <v>4382</v>
          </cell>
          <cell r="F2260">
            <v>4382</v>
          </cell>
          <cell r="G2260" t="str">
            <v>$249.5</v>
          </cell>
          <cell r="H2260" t="str">
            <v>$249.5</v>
          </cell>
          <cell r="I2260">
            <v>12</v>
          </cell>
          <cell r="J2260">
            <v>12</v>
          </cell>
          <cell r="K2260">
            <v>9</v>
          </cell>
          <cell r="L2260">
            <v>9</v>
          </cell>
          <cell r="M2260">
            <v>4.7872340425531915E-2</v>
          </cell>
          <cell r="N2260">
            <v>4.9000000000000002E-2</v>
          </cell>
          <cell r="O2260" t="str">
            <v>$1746</v>
          </cell>
          <cell r="P2260" t="str">
            <v>$1746</v>
          </cell>
          <cell r="Q2260">
            <v>45609</v>
          </cell>
          <cell r="R2260" t="str">
            <v>Chennai</v>
          </cell>
          <cell r="S2260" t="str">
            <v>Desktop</v>
          </cell>
          <cell r="T2260" t="str">
            <v>analytics for data</v>
          </cell>
        </row>
        <row r="2261">
          <cell r="A2261" t="str">
            <v>A3259</v>
          </cell>
          <cell r="B2261" t="str">
            <v>Data Analytics Course</v>
          </cell>
          <cell r="C2261">
            <v>107</v>
          </cell>
          <cell r="D2261">
            <v>107</v>
          </cell>
          <cell r="E2261">
            <v>4605</v>
          </cell>
          <cell r="F2261">
            <v>4605</v>
          </cell>
          <cell r="G2261" t="str">
            <v>$230.74</v>
          </cell>
          <cell r="H2261" t="str">
            <v>$230.74</v>
          </cell>
          <cell r="I2261">
            <v>17</v>
          </cell>
          <cell r="J2261">
            <v>17</v>
          </cell>
          <cell r="K2261">
            <v>7</v>
          </cell>
          <cell r="L2261">
            <v>7</v>
          </cell>
          <cell r="M2261">
            <v>6.5420560747663545E-2</v>
          </cell>
          <cell r="O2261" t="str">
            <v>$1590</v>
          </cell>
          <cell r="P2261" t="str">
            <v>$1590</v>
          </cell>
          <cell r="Q2261">
            <v>45614</v>
          </cell>
          <cell r="R2261" t="str">
            <v>Chennai</v>
          </cell>
          <cell r="S2261" t="str">
            <v>Tablet</v>
          </cell>
          <cell r="T2261" t="str">
            <v>online data analytic</v>
          </cell>
        </row>
        <row r="2262">
          <cell r="A2262" t="str">
            <v>A3260</v>
          </cell>
          <cell r="B2262" t="str">
            <v>Data Analytics Course</v>
          </cell>
          <cell r="C2262">
            <v>169</v>
          </cell>
          <cell r="D2262">
            <v>169</v>
          </cell>
          <cell r="E2262">
            <v>4857</v>
          </cell>
          <cell r="F2262">
            <v>4857</v>
          </cell>
          <cell r="G2262" t="str">
            <v>$194.79</v>
          </cell>
          <cell r="H2262" t="str">
            <v>$194.79</v>
          </cell>
          <cell r="I2262">
            <v>18</v>
          </cell>
          <cell r="J2262">
            <v>18</v>
          </cell>
          <cell r="K2262">
            <v>7</v>
          </cell>
          <cell r="L2262">
            <v>7</v>
          </cell>
          <cell r="M2262">
            <v>4.142011834319527E-2</v>
          </cell>
          <cell r="N2262">
            <v>4.1000000000000002E-2</v>
          </cell>
          <cell r="O2262" t="str">
            <v>$1391</v>
          </cell>
          <cell r="P2262" t="str">
            <v>$1391</v>
          </cell>
          <cell r="Q2262">
            <v>45618</v>
          </cell>
          <cell r="R2262" t="str">
            <v>Hyderabad</v>
          </cell>
          <cell r="S2262" t="str">
            <v>Mobile</v>
          </cell>
          <cell r="T2262" t="str">
            <v>data analytics online</v>
          </cell>
        </row>
        <row r="2263">
          <cell r="A2263" t="str">
            <v>A3261</v>
          </cell>
          <cell r="B2263" t="str">
            <v>Data Analytics Course</v>
          </cell>
          <cell r="C2263">
            <v>165</v>
          </cell>
          <cell r="D2263">
            <v>165</v>
          </cell>
          <cell r="E2263">
            <v>3150</v>
          </cell>
          <cell r="F2263">
            <v>3150</v>
          </cell>
          <cell r="G2263" t="str">
            <v>$190.3</v>
          </cell>
          <cell r="H2263" t="str">
            <v>$190.3</v>
          </cell>
          <cell r="I2263">
            <v>18</v>
          </cell>
          <cell r="J2263">
            <v>18</v>
          </cell>
          <cell r="K2263">
            <v>3</v>
          </cell>
          <cell r="L2263">
            <v>3</v>
          </cell>
          <cell r="M2263">
            <v>1.8181818181818181E-2</v>
          </cell>
          <cell r="N2263">
            <v>1.7999999999999999E-2</v>
          </cell>
          <cell r="O2263" t="str">
            <v>$1129</v>
          </cell>
          <cell r="P2263" t="str">
            <v>$1129</v>
          </cell>
          <cell r="Q2263">
            <v>45614</v>
          </cell>
          <cell r="R2263" t="str">
            <v>Hyderabad</v>
          </cell>
          <cell r="S2263" t="str">
            <v>Desktop</v>
          </cell>
          <cell r="T2263" t="str">
            <v>data analytics training</v>
          </cell>
        </row>
        <row r="2264">
          <cell r="A2264" t="str">
            <v>A3262</v>
          </cell>
          <cell r="B2264" t="str">
            <v>Data Analytics Course</v>
          </cell>
          <cell r="C2264">
            <v>137</v>
          </cell>
          <cell r="D2264">
            <v>137</v>
          </cell>
          <cell r="E2264">
            <v>4630</v>
          </cell>
          <cell r="F2264">
            <v>4630</v>
          </cell>
          <cell r="G2264" t="str">
            <v>$201.14</v>
          </cell>
          <cell r="H2264" t="str">
            <v>$201.14</v>
          </cell>
          <cell r="I2264">
            <v>10</v>
          </cell>
          <cell r="J2264">
            <v>10</v>
          </cell>
          <cell r="K2264">
            <v>4</v>
          </cell>
          <cell r="L2264">
            <v>4</v>
          </cell>
          <cell r="M2264">
            <v>2.9197080291970802E-2</v>
          </cell>
          <cell r="N2264">
            <v>2.9000000000000001E-2</v>
          </cell>
          <cell r="O2264" t="str">
            <v>$1680</v>
          </cell>
          <cell r="P2264" t="str">
            <v>$1680</v>
          </cell>
          <cell r="Q2264">
            <v>45623</v>
          </cell>
          <cell r="R2264" t="str">
            <v>Hyderabad</v>
          </cell>
          <cell r="S2264" t="str">
            <v>Tablet</v>
          </cell>
          <cell r="T2264" t="str">
            <v>learn data analytics</v>
          </cell>
        </row>
        <row r="2265">
          <cell r="A2265" t="str">
            <v>A3263</v>
          </cell>
          <cell r="B2265" t="str">
            <v>Data Analytics Course</v>
          </cell>
          <cell r="C2265">
            <v>135</v>
          </cell>
          <cell r="D2265">
            <v>135</v>
          </cell>
          <cell r="E2265">
            <v>3712</v>
          </cell>
          <cell r="F2265">
            <v>3712</v>
          </cell>
          <cell r="G2265" t="str">
            <v>$207.14</v>
          </cell>
          <cell r="H2265" t="str">
            <v>$207.14</v>
          </cell>
          <cell r="I2265">
            <v>14</v>
          </cell>
          <cell r="J2265">
            <v>14</v>
          </cell>
          <cell r="K2265">
            <v>3</v>
          </cell>
          <cell r="L2265">
            <v>3</v>
          </cell>
          <cell r="M2265">
            <v>2.2222222222222223E-2</v>
          </cell>
          <cell r="N2265">
            <v>4.8000000000000001E-2</v>
          </cell>
          <cell r="O2265" t="str">
            <v>$1788</v>
          </cell>
          <cell r="P2265" t="str">
            <v>$1788</v>
          </cell>
          <cell r="Q2265">
            <v>45617</v>
          </cell>
          <cell r="R2265" t="str">
            <v>Hyderabad</v>
          </cell>
          <cell r="S2265" t="str">
            <v>Tablet</v>
          </cell>
          <cell r="T2265" t="str">
            <v>data analytics training</v>
          </cell>
        </row>
        <row r="2266">
          <cell r="A2266" t="str">
            <v>A3264</v>
          </cell>
          <cell r="B2266" t="str">
            <v>Data Analytcis Course</v>
          </cell>
          <cell r="C2266">
            <v>130</v>
          </cell>
          <cell r="D2266">
            <v>130</v>
          </cell>
          <cell r="E2266">
            <v>5739</v>
          </cell>
          <cell r="F2266">
            <v>5739</v>
          </cell>
          <cell r="G2266" t="str">
            <v>$200.00</v>
          </cell>
          <cell r="I2266">
            <v>23</v>
          </cell>
          <cell r="J2266">
            <v>23</v>
          </cell>
          <cell r="K2266">
            <v>8</v>
          </cell>
          <cell r="L2266">
            <v>8</v>
          </cell>
          <cell r="M2266">
            <v>6.1538461538461542E-2</v>
          </cell>
          <cell r="N2266">
            <v>6.2E-2</v>
          </cell>
          <cell r="O2266" t="str">
            <v>$1500</v>
          </cell>
          <cell r="Q2266">
            <v>45626</v>
          </cell>
          <cell r="R2266" t="str">
            <v>Chennai</v>
          </cell>
          <cell r="S2266" t="str">
            <v>Mobile</v>
          </cell>
          <cell r="T2266" t="str">
            <v>data analytics online</v>
          </cell>
        </row>
        <row r="2267">
          <cell r="A2267" t="str">
            <v>A3265</v>
          </cell>
          <cell r="B2267" t="str">
            <v>Data Analytics Course</v>
          </cell>
          <cell r="C2267">
            <v>193</v>
          </cell>
          <cell r="D2267">
            <v>193</v>
          </cell>
          <cell r="E2267">
            <v>4523.2808326787117</v>
          </cell>
          <cell r="G2267" t="str">
            <v>$230.95</v>
          </cell>
          <cell r="H2267" t="str">
            <v>$230.95</v>
          </cell>
          <cell r="I2267">
            <v>26</v>
          </cell>
          <cell r="J2267">
            <v>26</v>
          </cell>
          <cell r="K2267">
            <v>8</v>
          </cell>
          <cell r="L2267">
            <v>8</v>
          </cell>
          <cell r="M2267">
            <v>4.145077720207254E-2</v>
          </cell>
          <cell r="N2267">
            <v>4.1000000000000002E-2</v>
          </cell>
          <cell r="O2267" t="str">
            <v>$1055</v>
          </cell>
          <cell r="P2267" t="str">
            <v>$1055</v>
          </cell>
          <cell r="Q2267">
            <v>45607</v>
          </cell>
          <cell r="R2267" t="str">
            <v>Hyderabad</v>
          </cell>
          <cell r="S2267" t="str">
            <v>Desktop</v>
          </cell>
          <cell r="T2267" t="str">
            <v>data analytics online</v>
          </cell>
        </row>
        <row r="2268">
          <cell r="A2268" t="str">
            <v>A3266</v>
          </cell>
          <cell r="B2268" t="str">
            <v>Data Analytcis Course</v>
          </cell>
          <cell r="C2268">
            <v>122</v>
          </cell>
          <cell r="D2268">
            <v>122</v>
          </cell>
          <cell r="E2268">
            <v>4556</v>
          </cell>
          <cell r="F2268">
            <v>4556</v>
          </cell>
          <cell r="G2268" t="str">
            <v>$243.84</v>
          </cell>
          <cell r="H2268" t="str">
            <v>$243.84</v>
          </cell>
          <cell r="I2268">
            <v>26</v>
          </cell>
          <cell r="J2268">
            <v>26</v>
          </cell>
          <cell r="K2268">
            <v>4</v>
          </cell>
          <cell r="L2268">
            <v>4</v>
          </cell>
          <cell r="M2268">
            <v>3.2786885245901641E-2</v>
          </cell>
          <cell r="N2268">
            <v>5.1999999999999998E-2</v>
          </cell>
          <cell r="O2268" t="str">
            <v>$1164</v>
          </cell>
          <cell r="P2268" t="str">
            <v>$1164</v>
          </cell>
          <cell r="Q2268">
            <v>45620</v>
          </cell>
          <cell r="R2268" t="str">
            <v>Chennai</v>
          </cell>
          <cell r="S2268" t="str">
            <v>Mobile</v>
          </cell>
          <cell r="T2268" t="str">
            <v>online data analytic</v>
          </cell>
        </row>
        <row r="2269">
          <cell r="A2269" t="str">
            <v>A3267</v>
          </cell>
          <cell r="B2269" t="str">
            <v>Data Analytics Course</v>
          </cell>
          <cell r="C2269">
            <v>167</v>
          </cell>
          <cell r="D2269">
            <v>167</v>
          </cell>
          <cell r="E2269">
            <v>5824</v>
          </cell>
          <cell r="F2269">
            <v>5824</v>
          </cell>
          <cell r="G2269" t="str">
            <v>$204.18</v>
          </cell>
          <cell r="H2269" t="str">
            <v>$204.18</v>
          </cell>
          <cell r="I2269">
            <v>20.495412844036696</v>
          </cell>
          <cell r="K2269">
            <v>6.5236593059936911</v>
          </cell>
          <cell r="M2269">
            <v>3.9063828179602939E-2</v>
          </cell>
          <cell r="O2269" t="str">
            <v>$1452</v>
          </cell>
          <cell r="P2269" t="str">
            <v>$1452</v>
          </cell>
          <cell r="Q2269">
            <v>45605</v>
          </cell>
          <cell r="R2269" t="str">
            <v>Bangaluru</v>
          </cell>
          <cell r="S2269" t="str">
            <v>Mobile</v>
          </cell>
          <cell r="T2269" t="str">
            <v>data analytics course</v>
          </cell>
        </row>
        <row r="2270">
          <cell r="A2270" t="str">
            <v>A3268</v>
          </cell>
          <cell r="B2270" t="str">
            <v>Data Analytics Course</v>
          </cell>
          <cell r="C2270">
            <v>145</v>
          </cell>
          <cell r="D2270">
            <v>145</v>
          </cell>
          <cell r="E2270">
            <v>5765</v>
          </cell>
          <cell r="F2270">
            <v>5765</v>
          </cell>
          <cell r="G2270" t="str">
            <v>$240.62</v>
          </cell>
          <cell r="H2270" t="str">
            <v>$240.62</v>
          </cell>
          <cell r="I2270">
            <v>18</v>
          </cell>
          <cell r="J2270">
            <v>18</v>
          </cell>
          <cell r="K2270">
            <v>6</v>
          </cell>
          <cell r="L2270">
            <v>6</v>
          </cell>
          <cell r="M2270">
            <v>4.1379310344827586E-2</v>
          </cell>
          <cell r="N2270">
            <v>4.1000000000000002E-2</v>
          </cell>
          <cell r="O2270" t="str">
            <v>$1056</v>
          </cell>
          <cell r="P2270" t="str">
            <v>$1056</v>
          </cell>
          <cell r="Q2270">
            <v>45615</v>
          </cell>
          <cell r="R2270" t="str">
            <v>Chennai</v>
          </cell>
          <cell r="S2270" t="str">
            <v>Desktop</v>
          </cell>
          <cell r="T2270" t="str">
            <v>data analytics training</v>
          </cell>
        </row>
        <row r="2271">
          <cell r="A2271" t="str">
            <v>A3269</v>
          </cell>
          <cell r="B2271" t="str">
            <v>Data Analytics Course</v>
          </cell>
          <cell r="C2271">
            <v>80</v>
          </cell>
          <cell r="D2271">
            <v>80</v>
          </cell>
          <cell r="E2271">
            <v>5653</v>
          </cell>
          <cell r="F2271">
            <v>5653</v>
          </cell>
          <cell r="G2271" t="str">
            <v>$228.06</v>
          </cell>
          <cell r="H2271" t="str">
            <v>$228.06</v>
          </cell>
          <cell r="I2271">
            <v>19</v>
          </cell>
          <cell r="J2271">
            <v>19</v>
          </cell>
          <cell r="K2271">
            <v>8</v>
          </cell>
          <cell r="L2271">
            <v>8</v>
          </cell>
          <cell r="M2271">
            <v>0.1</v>
          </cell>
          <cell r="N2271">
            <v>0.1</v>
          </cell>
          <cell r="O2271" t="str">
            <v>$1795</v>
          </cell>
          <cell r="P2271" t="str">
            <v>$1795</v>
          </cell>
          <cell r="Q2271">
            <v>45609</v>
          </cell>
          <cell r="R2271" t="str">
            <v>Chennai</v>
          </cell>
          <cell r="S2271" t="str">
            <v>Tablet</v>
          </cell>
          <cell r="T2271" t="str">
            <v>analytics for data</v>
          </cell>
        </row>
        <row r="2272">
          <cell r="A2272" t="str">
            <v>A3270</v>
          </cell>
          <cell r="B2272" t="str">
            <v>Data Analytics Course</v>
          </cell>
          <cell r="C2272">
            <v>138.95699356913184</v>
          </cell>
          <cell r="E2272">
            <v>4379</v>
          </cell>
          <cell r="F2272">
            <v>4379</v>
          </cell>
          <cell r="G2272" t="str">
            <v>$238.75</v>
          </cell>
          <cell r="H2272" t="str">
            <v>$238.75</v>
          </cell>
          <cell r="I2272">
            <v>24</v>
          </cell>
          <cell r="J2272">
            <v>24</v>
          </cell>
          <cell r="K2272">
            <v>8</v>
          </cell>
          <cell r="L2272">
            <v>8</v>
          </cell>
          <cell r="M2272">
            <v>5.7571769469954438E-2</v>
          </cell>
          <cell r="O2272" t="str">
            <v>$1500</v>
          </cell>
          <cell r="Q2272">
            <v>45606</v>
          </cell>
          <cell r="R2272" t="str">
            <v>Hyderabad</v>
          </cell>
          <cell r="S2272" t="str">
            <v>Mobile</v>
          </cell>
          <cell r="T2272" t="str">
            <v>data analytics training</v>
          </cell>
        </row>
        <row r="2273">
          <cell r="A2273" t="str">
            <v>A3271</v>
          </cell>
          <cell r="B2273" t="str">
            <v>Data Analytics Course</v>
          </cell>
          <cell r="C2273">
            <v>141</v>
          </cell>
          <cell r="D2273">
            <v>141</v>
          </cell>
          <cell r="E2273">
            <v>5612</v>
          </cell>
          <cell r="F2273">
            <v>5612</v>
          </cell>
          <cell r="G2273" t="str">
            <v>$224.45</v>
          </cell>
          <cell r="H2273" t="str">
            <v>$224.45</v>
          </cell>
          <cell r="I2273">
            <v>19</v>
          </cell>
          <cell r="J2273">
            <v>19</v>
          </cell>
          <cell r="K2273">
            <v>5</v>
          </cell>
          <cell r="L2273">
            <v>5</v>
          </cell>
          <cell r="M2273">
            <v>3.5460992907801421E-2</v>
          </cell>
          <cell r="O2273" t="str">
            <v>$1150</v>
          </cell>
          <cell r="P2273" t="str">
            <v>$1150</v>
          </cell>
          <cell r="Q2273">
            <v>45612</v>
          </cell>
          <cell r="R2273" t="str">
            <v>Hyderabad</v>
          </cell>
          <cell r="S2273" t="str">
            <v>Mobile</v>
          </cell>
          <cell r="T2273" t="str">
            <v>online data analytic</v>
          </cell>
        </row>
        <row r="2274">
          <cell r="A2274" t="str">
            <v>A3272</v>
          </cell>
          <cell r="B2274" t="str">
            <v>Data Analytics Course</v>
          </cell>
          <cell r="C2274">
            <v>180</v>
          </cell>
          <cell r="D2274">
            <v>180</v>
          </cell>
          <cell r="E2274">
            <v>3102</v>
          </cell>
          <cell r="F2274">
            <v>3102</v>
          </cell>
          <cell r="G2274" t="str">
            <v>$198.37</v>
          </cell>
          <cell r="H2274" t="str">
            <v>$198.37</v>
          </cell>
          <cell r="I2274">
            <v>19</v>
          </cell>
          <cell r="J2274">
            <v>19</v>
          </cell>
          <cell r="K2274">
            <v>3</v>
          </cell>
          <cell r="L2274">
            <v>3</v>
          </cell>
          <cell r="M2274">
            <v>1.6666666666666666E-2</v>
          </cell>
          <cell r="O2274" t="str">
            <v>$1500</v>
          </cell>
          <cell r="Q2274">
            <v>45625</v>
          </cell>
          <cell r="R2274" t="str">
            <v>Chennai</v>
          </cell>
          <cell r="S2274" t="str">
            <v>Mobile</v>
          </cell>
          <cell r="T2274" t="str">
            <v>online data analytic</v>
          </cell>
        </row>
        <row r="2275">
          <cell r="A2275" t="str">
            <v>A3273</v>
          </cell>
          <cell r="B2275" t="str">
            <v>Data Analytcis Course</v>
          </cell>
          <cell r="C2275">
            <v>196</v>
          </cell>
          <cell r="D2275">
            <v>196</v>
          </cell>
          <cell r="E2275">
            <v>5812</v>
          </cell>
          <cell r="F2275">
            <v>5812</v>
          </cell>
          <cell r="G2275" t="str">
            <v>$246.88</v>
          </cell>
          <cell r="H2275" t="str">
            <v>$246.88</v>
          </cell>
          <cell r="I2275">
            <v>22</v>
          </cell>
          <cell r="J2275">
            <v>22</v>
          </cell>
          <cell r="K2275">
            <v>9</v>
          </cell>
          <cell r="L2275">
            <v>9</v>
          </cell>
          <cell r="M2275">
            <v>4.5918367346938778E-2</v>
          </cell>
          <cell r="N2275">
            <v>4.5999999999999999E-2</v>
          </cell>
          <cell r="O2275" t="str">
            <v>$1715</v>
          </cell>
          <cell r="P2275" t="str">
            <v>$1715</v>
          </cell>
          <cell r="Q2275">
            <v>45610</v>
          </cell>
          <cell r="R2275" t="str">
            <v>Hyderabad</v>
          </cell>
          <cell r="S2275" t="str">
            <v>Mobile</v>
          </cell>
          <cell r="T2275" t="str">
            <v>online data analytic</v>
          </cell>
        </row>
        <row r="2276">
          <cell r="A2276" t="str">
            <v>A3274</v>
          </cell>
          <cell r="B2276" t="str">
            <v>Data Analytics Course</v>
          </cell>
          <cell r="C2276">
            <v>168</v>
          </cell>
          <cell r="D2276">
            <v>168</v>
          </cell>
          <cell r="E2276">
            <v>4904</v>
          </cell>
          <cell r="F2276">
            <v>4904</v>
          </cell>
          <cell r="G2276" t="str">
            <v>$219.0</v>
          </cell>
          <cell r="H2276" t="str">
            <v>$219.0</v>
          </cell>
          <cell r="I2276">
            <v>22</v>
          </cell>
          <cell r="J2276">
            <v>22</v>
          </cell>
          <cell r="K2276">
            <v>5</v>
          </cell>
          <cell r="L2276">
            <v>5</v>
          </cell>
          <cell r="M2276">
            <v>2.976190476190476E-2</v>
          </cell>
          <cell r="N2276">
            <v>0.03</v>
          </cell>
          <cell r="O2276" t="str">
            <v>$1541</v>
          </cell>
          <cell r="P2276" t="str">
            <v>$1541</v>
          </cell>
          <cell r="Q2276">
            <v>45611</v>
          </cell>
          <cell r="R2276" t="str">
            <v>Bangaluru</v>
          </cell>
          <cell r="S2276" t="str">
            <v>Tablet</v>
          </cell>
          <cell r="T2276" t="str">
            <v>online data analytic</v>
          </cell>
        </row>
        <row r="2277">
          <cell r="A2277" t="str">
            <v>A3275</v>
          </cell>
          <cell r="B2277" t="str">
            <v>Data Analytics Course</v>
          </cell>
          <cell r="C2277">
            <v>138.95699356913184</v>
          </cell>
          <cell r="E2277">
            <v>4562</v>
          </cell>
          <cell r="F2277">
            <v>4562</v>
          </cell>
          <cell r="G2277" t="str">
            <v>$183.58</v>
          </cell>
          <cell r="H2277" t="str">
            <v>$183.58</v>
          </cell>
          <cell r="I2277">
            <v>17</v>
          </cell>
          <cell r="J2277">
            <v>17</v>
          </cell>
          <cell r="K2277">
            <v>9</v>
          </cell>
          <cell r="L2277">
            <v>9</v>
          </cell>
          <cell r="M2277">
            <v>6.4768240653698753E-2</v>
          </cell>
          <cell r="O2277" t="str">
            <v>$1668</v>
          </cell>
          <cell r="P2277" t="str">
            <v>$1668</v>
          </cell>
          <cell r="Q2277">
            <v>45626</v>
          </cell>
          <cell r="R2277" t="str">
            <v>Hyderabad</v>
          </cell>
          <cell r="S2277" t="str">
            <v>Desktop</v>
          </cell>
          <cell r="T2277" t="str">
            <v>data analytics course</v>
          </cell>
        </row>
        <row r="2278">
          <cell r="A2278" t="str">
            <v>A3276</v>
          </cell>
          <cell r="B2278" t="str">
            <v>Data Analytics Course</v>
          </cell>
          <cell r="C2278">
            <v>178</v>
          </cell>
          <cell r="D2278">
            <v>178</v>
          </cell>
          <cell r="E2278">
            <v>4708</v>
          </cell>
          <cell r="F2278">
            <v>4708</v>
          </cell>
          <cell r="G2278" t="str">
            <v>$237.77</v>
          </cell>
          <cell r="H2278" t="str">
            <v>$237.77</v>
          </cell>
          <cell r="I2278">
            <v>14</v>
          </cell>
          <cell r="J2278">
            <v>14</v>
          </cell>
          <cell r="K2278">
            <v>10</v>
          </cell>
          <cell r="L2278">
            <v>10</v>
          </cell>
          <cell r="M2278">
            <v>5.6179775280898875E-2</v>
          </cell>
          <cell r="O2278" t="str">
            <v>$1449</v>
          </cell>
          <cell r="P2278" t="str">
            <v>$1449</v>
          </cell>
          <cell r="Q2278">
            <v>45617</v>
          </cell>
          <cell r="R2278" t="str">
            <v>Bangaluru</v>
          </cell>
          <cell r="S2278" t="str">
            <v>Mobile</v>
          </cell>
          <cell r="T2278" t="str">
            <v>learn data analytics</v>
          </cell>
        </row>
        <row r="2279">
          <cell r="A2279" t="str">
            <v>A3277</v>
          </cell>
          <cell r="B2279" t="str">
            <v>Data Analytics Course</v>
          </cell>
          <cell r="C2279">
            <v>93</v>
          </cell>
          <cell r="D2279">
            <v>93</v>
          </cell>
          <cell r="E2279">
            <v>3945</v>
          </cell>
          <cell r="F2279">
            <v>3945</v>
          </cell>
          <cell r="G2279" t="str">
            <v>$189.53</v>
          </cell>
          <cell r="H2279" t="str">
            <v>$189.53</v>
          </cell>
          <cell r="I2279">
            <v>27</v>
          </cell>
          <cell r="J2279">
            <v>27</v>
          </cell>
          <cell r="K2279">
            <v>3</v>
          </cell>
          <cell r="L2279">
            <v>3</v>
          </cell>
          <cell r="M2279">
            <v>3.2258064516129031E-2</v>
          </cell>
          <cell r="N2279">
            <v>3.2000000000000001E-2</v>
          </cell>
          <cell r="O2279" t="str">
            <v>$1560</v>
          </cell>
          <cell r="P2279" t="str">
            <v>$1560</v>
          </cell>
          <cell r="Q2279">
            <v>45614</v>
          </cell>
          <cell r="R2279" t="str">
            <v>Hyderabad</v>
          </cell>
          <cell r="S2279" t="str">
            <v>Tablet</v>
          </cell>
          <cell r="T2279" t="str">
            <v>learn data analytics</v>
          </cell>
        </row>
        <row r="2280">
          <cell r="A2280" t="str">
            <v>A3278</v>
          </cell>
          <cell r="B2280" t="str">
            <v>Data Analytics Course</v>
          </cell>
          <cell r="C2280">
            <v>138</v>
          </cell>
          <cell r="D2280">
            <v>138</v>
          </cell>
          <cell r="E2280">
            <v>5863</v>
          </cell>
          <cell r="F2280">
            <v>5863</v>
          </cell>
          <cell r="G2280" t="str">
            <v>$201.19</v>
          </cell>
          <cell r="H2280" t="str">
            <v>$201.19</v>
          </cell>
          <cell r="I2280">
            <v>30</v>
          </cell>
          <cell r="J2280">
            <v>30</v>
          </cell>
          <cell r="K2280">
            <v>10</v>
          </cell>
          <cell r="L2280">
            <v>10</v>
          </cell>
          <cell r="M2280">
            <v>7.2463768115942032E-2</v>
          </cell>
          <cell r="N2280">
            <v>7.1999999999999995E-2</v>
          </cell>
          <cell r="O2280" t="str">
            <v>$1898</v>
          </cell>
          <cell r="P2280" t="str">
            <v>$1898</v>
          </cell>
          <cell r="Q2280">
            <v>45614</v>
          </cell>
          <cell r="R2280" t="str">
            <v>Hyderabad</v>
          </cell>
          <cell r="S2280" t="str">
            <v>Desktop</v>
          </cell>
          <cell r="T2280" t="str">
            <v>analytics for data</v>
          </cell>
        </row>
        <row r="2281">
          <cell r="A2281" t="str">
            <v>A3279</v>
          </cell>
          <cell r="B2281" t="str">
            <v>Data Analytics Course</v>
          </cell>
          <cell r="C2281">
            <v>143</v>
          </cell>
          <cell r="D2281">
            <v>143</v>
          </cell>
          <cell r="E2281">
            <v>4470</v>
          </cell>
          <cell r="F2281">
            <v>4470</v>
          </cell>
          <cell r="G2281" t="str">
            <v>$214.42</v>
          </cell>
          <cell r="H2281" t="str">
            <v>$214.42</v>
          </cell>
          <cell r="I2281">
            <v>14</v>
          </cell>
          <cell r="J2281">
            <v>14</v>
          </cell>
          <cell r="K2281">
            <v>8</v>
          </cell>
          <cell r="L2281">
            <v>8</v>
          </cell>
          <cell r="M2281">
            <v>5.5944055944055944E-2</v>
          </cell>
          <cell r="N2281">
            <v>5.6000000000000001E-2</v>
          </cell>
          <cell r="O2281" t="str">
            <v>$1353</v>
          </cell>
          <cell r="P2281" t="str">
            <v>$1353</v>
          </cell>
          <cell r="Q2281">
            <v>45618</v>
          </cell>
          <cell r="R2281" t="str">
            <v>Bangaluru</v>
          </cell>
          <cell r="S2281" t="str">
            <v>Mobile</v>
          </cell>
          <cell r="T2281" t="str">
            <v>data analytics course</v>
          </cell>
        </row>
        <row r="2282">
          <cell r="A2282" t="str">
            <v>A3280</v>
          </cell>
          <cell r="B2282" t="str">
            <v>Data Analytics Course</v>
          </cell>
          <cell r="C2282">
            <v>138.95699356913184</v>
          </cell>
          <cell r="E2282">
            <v>5800</v>
          </cell>
          <cell r="F2282">
            <v>5800</v>
          </cell>
          <cell r="G2282" t="str">
            <v>$200.00</v>
          </cell>
          <cell r="I2282">
            <v>22</v>
          </cell>
          <cell r="J2282">
            <v>22</v>
          </cell>
          <cell r="K2282">
            <v>9</v>
          </cell>
          <cell r="L2282">
            <v>9</v>
          </cell>
          <cell r="M2282">
            <v>6.4768240653698753E-2</v>
          </cell>
          <cell r="O2282" t="str">
            <v>$1369</v>
          </cell>
          <cell r="P2282" t="str">
            <v>$1369</v>
          </cell>
          <cell r="Q2282">
            <v>45610</v>
          </cell>
          <cell r="R2282" t="str">
            <v>Bangaluru</v>
          </cell>
          <cell r="S2282" t="str">
            <v>Tablet</v>
          </cell>
          <cell r="T2282" t="str">
            <v>data analytics course</v>
          </cell>
        </row>
        <row r="2283">
          <cell r="A2283" t="str">
            <v>A3281</v>
          </cell>
          <cell r="B2283" t="str">
            <v>Data Analytics Course</v>
          </cell>
          <cell r="C2283">
            <v>147</v>
          </cell>
          <cell r="D2283">
            <v>147</v>
          </cell>
          <cell r="E2283">
            <v>4041</v>
          </cell>
          <cell r="F2283">
            <v>4041</v>
          </cell>
          <cell r="G2283" t="str">
            <v>$229.19</v>
          </cell>
          <cell r="H2283" t="str">
            <v>$229.19</v>
          </cell>
          <cell r="I2283">
            <v>16</v>
          </cell>
          <cell r="J2283">
            <v>16</v>
          </cell>
          <cell r="K2283">
            <v>10</v>
          </cell>
          <cell r="L2283">
            <v>10</v>
          </cell>
          <cell r="M2283">
            <v>6.8027210884353748E-2</v>
          </cell>
          <cell r="N2283">
            <v>5.5E-2</v>
          </cell>
          <cell r="O2283" t="str">
            <v>$1558</v>
          </cell>
          <cell r="P2283" t="str">
            <v>$1558</v>
          </cell>
          <cell r="Q2283">
            <v>45623</v>
          </cell>
          <cell r="R2283" t="str">
            <v>Chennai</v>
          </cell>
          <cell r="S2283" t="str">
            <v>Desktop</v>
          </cell>
          <cell r="T2283" t="str">
            <v>analytics for data</v>
          </cell>
        </row>
        <row r="2284">
          <cell r="A2284" t="str">
            <v>A3282</v>
          </cell>
          <cell r="B2284" t="str">
            <v>Data Analytics Course</v>
          </cell>
          <cell r="C2284">
            <v>101</v>
          </cell>
          <cell r="D2284">
            <v>101</v>
          </cell>
          <cell r="E2284">
            <v>3449</v>
          </cell>
          <cell r="F2284">
            <v>3449</v>
          </cell>
          <cell r="G2284" t="str">
            <v>$188.39</v>
          </cell>
          <cell r="H2284" t="str">
            <v>$188.39</v>
          </cell>
          <cell r="I2284">
            <v>16</v>
          </cell>
          <cell r="J2284">
            <v>16</v>
          </cell>
          <cell r="K2284">
            <v>10</v>
          </cell>
          <cell r="L2284">
            <v>10</v>
          </cell>
          <cell r="M2284">
            <v>9.9009900990099015E-2</v>
          </cell>
          <cell r="N2284">
            <v>9.9000000000000005E-2</v>
          </cell>
          <cell r="O2284" t="str">
            <v>$1318</v>
          </cell>
          <cell r="P2284" t="str">
            <v>$1318</v>
          </cell>
          <cell r="Q2284">
            <v>45604</v>
          </cell>
          <cell r="R2284" t="str">
            <v>Bangaluru</v>
          </cell>
          <cell r="S2284" t="str">
            <v>Desktop</v>
          </cell>
          <cell r="T2284" t="str">
            <v>online data analytic</v>
          </cell>
        </row>
        <row r="2285">
          <cell r="A2285" t="str">
            <v>A3283</v>
          </cell>
          <cell r="B2285" t="str">
            <v>Data Analytics Course</v>
          </cell>
          <cell r="C2285">
            <v>195</v>
          </cell>
          <cell r="D2285">
            <v>195</v>
          </cell>
          <cell r="E2285">
            <v>4195</v>
          </cell>
          <cell r="F2285">
            <v>4195</v>
          </cell>
          <cell r="G2285" t="str">
            <v>$231.87</v>
          </cell>
          <cell r="H2285" t="str">
            <v>$231.87</v>
          </cell>
          <cell r="I2285">
            <v>13</v>
          </cell>
          <cell r="J2285">
            <v>13</v>
          </cell>
          <cell r="K2285">
            <v>10</v>
          </cell>
          <cell r="L2285">
            <v>10</v>
          </cell>
          <cell r="M2285">
            <v>5.128205128205128E-2</v>
          </cell>
          <cell r="N2285">
            <v>3.4000000000000002E-2</v>
          </cell>
          <cell r="O2285" t="str">
            <v>$1834</v>
          </cell>
          <cell r="P2285" t="str">
            <v>$1834</v>
          </cell>
          <cell r="Q2285">
            <v>45621</v>
          </cell>
          <cell r="R2285" t="str">
            <v>Hyderabad</v>
          </cell>
          <cell r="S2285" t="str">
            <v>Desktop</v>
          </cell>
          <cell r="T2285" t="str">
            <v>learn data analytics</v>
          </cell>
        </row>
        <row r="2286">
          <cell r="A2286" t="str">
            <v>A3284</v>
          </cell>
          <cell r="B2286" t="str">
            <v>Data Analytics Course</v>
          </cell>
          <cell r="C2286">
            <v>142</v>
          </cell>
          <cell r="D2286">
            <v>142</v>
          </cell>
          <cell r="E2286">
            <v>5365</v>
          </cell>
          <cell r="F2286">
            <v>5365</v>
          </cell>
          <cell r="G2286" t="str">
            <v>$237.95</v>
          </cell>
          <cell r="H2286" t="str">
            <v>$237.95</v>
          </cell>
          <cell r="I2286">
            <v>17</v>
          </cell>
          <cell r="J2286">
            <v>17</v>
          </cell>
          <cell r="K2286">
            <v>10</v>
          </cell>
          <cell r="L2286">
            <v>10</v>
          </cell>
          <cell r="M2286">
            <v>7.0422535211267609E-2</v>
          </cell>
          <cell r="N2286">
            <v>7.0000000000000007E-2</v>
          </cell>
          <cell r="O2286" t="str">
            <v>$1548</v>
          </cell>
          <cell r="P2286" t="str">
            <v>$1548</v>
          </cell>
          <cell r="Q2286">
            <v>45623</v>
          </cell>
          <cell r="R2286" t="str">
            <v>Hyderabad</v>
          </cell>
          <cell r="S2286" t="str">
            <v>Tablet</v>
          </cell>
          <cell r="T2286" t="str">
            <v>data analytics online</v>
          </cell>
        </row>
        <row r="2287">
          <cell r="A2287" t="str">
            <v>A3285</v>
          </cell>
          <cell r="B2287" t="str">
            <v>Data Analytics Course</v>
          </cell>
          <cell r="C2287">
            <v>139</v>
          </cell>
          <cell r="D2287">
            <v>139</v>
          </cell>
          <cell r="E2287">
            <v>3854</v>
          </cell>
          <cell r="F2287">
            <v>3854</v>
          </cell>
          <cell r="G2287" t="str">
            <v>$234.73</v>
          </cell>
          <cell r="H2287" t="str">
            <v>$234.73</v>
          </cell>
          <cell r="I2287">
            <v>10</v>
          </cell>
          <cell r="J2287">
            <v>10</v>
          </cell>
          <cell r="K2287">
            <v>3</v>
          </cell>
          <cell r="L2287">
            <v>3</v>
          </cell>
          <cell r="M2287">
            <v>2.1582733812949641E-2</v>
          </cell>
          <cell r="N2287">
            <v>2.1999999999999999E-2</v>
          </cell>
          <cell r="O2287" t="str">
            <v>$1802</v>
          </cell>
          <cell r="P2287" t="str">
            <v>$1802</v>
          </cell>
          <cell r="Q2287">
            <v>45614</v>
          </cell>
          <cell r="R2287" t="str">
            <v>Hyderabad</v>
          </cell>
          <cell r="S2287" t="str">
            <v>Tablet</v>
          </cell>
          <cell r="T2287" t="str">
            <v>learn data analytics</v>
          </cell>
        </row>
        <row r="2288">
          <cell r="A2288" t="str">
            <v>A3286</v>
          </cell>
          <cell r="B2288" t="str">
            <v>Data Analytics Course</v>
          </cell>
          <cell r="C2288">
            <v>84</v>
          </cell>
          <cell r="D2288">
            <v>84</v>
          </cell>
          <cell r="E2288">
            <v>5597</v>
          </cell>
          <cell r="F2288">
            <v>5597</v>
          </cell>
          <cell r="G2288" t="str">
            <v>$244.39</v>
          </cell>
          <cell r="H2288" t="str">
            <v>$244.39</v>
          </cell>
          <cell r="I2288">
            <v>22</v>
          </cell>
          <cell r="J2288">
            <v>22</v>
          </cell>
          <cell r="K2288">
            <v>10</v>
          </cell>
          <cell r="L2288">
            <v>10</v>
          </cell>
          <cell r="M2288">
            <v>0.11904761904761904</v>
          </cell>
          <cell r="O2288" t="str">
            <v>$1685</v>
          </cell>
          <cell r="P2288" t="str">
            <v>$1685</v>
          </cell>
          <cell r="Q2288">
            <v>45599</v>
          </cell>
          <cell r="R2288" t="str">
            <v>Chennai</v>
          </cell>
          <cell r="S2288" t="str">
            <v>Tablet</v>
          </cell>
          <cell r="T2288" t="str">
            <v>data analytics training</v>
          </cell>
        </row>
        <row r="2289">
          <cell r="A2289" t="str">
            <v>A3287</v>
          </cell>
          <cell r="B2289" t="str">
            <v>Data Analytics Course</v>
          </cell>
          <cell r="C2289">
            <v>103</v>
          </cell>
          <cell r="D2289">
            <v>103</v>
          </cell>
          <cell r="E2289">
            <v>5488</v>
          </cell>
          <cell r="F2289">
            <v>5488</v>
          </cell>
          <cell r="G2289" t="str">
            <v>$237.06</v>
          </cell>
          <cell r="H2289" t="str">
            <v>$237.06</v>
          </cell>
          <cell r="I2289">
            <v>21</v>
          </cell>
          <cell r="J2289">
            <v>21</v>
          </cell>
          <cell r="K2289">
            <v>7</v>
          </cell>
          <cell r="L2289">
            <v>7</v>
          </cell>
          <cell r="M2289">
            <v>6.7961165048543687E-2</v>
          </cell>
          <cell r="N2289">
            <v>4.9000000000000002E-2</v>
          </cell>
          <cell r="O2289" t="str">
            <v>$1874</v>
          </cell>
          <cell r="P2289" t="str">
            <v>$1874</v>
          </cell>
          <cell r="Q2289">
            <v>45618</v>
          </cell>
          <cell r="R2289" t="str">
            <v>Chennai</v>
          </cell>
          <cell r="S2289" t="str">
            <v>Tablet</v>
          </cell>
          <cell r="T2289" t="str">
            <v>analytics for data</v>
          </cell>
        </row>
        <row r="2290">
          <cell r="A2290" t="str">
            <v>A3288</v>
          </cell>
          <cell r="B2290" t="str">
            <v>Data Analytcis Course</v>
          </cell>
          <cell r="C2290">
            <v>108</v>
          </cell>
          <cell r="D2290">
            <v>108</v>
          </cell>
          <cell r="E2290">
            <v>3676</v>
          </cell>
          <cell r="F2290">
            <v>3676</v>
          </cell>
          <cell r="G2290" t="str">
            <v>$203.45</v>
          </cell>
          <cell r="H2290" t="str">
            <v>$203.45</v>
          </cell>
          <cell r="I2290">
            <v>29</v>
          </cell>
          <cell r="J2290">
            <v>29</v>
          </cell>
          <cell r="K2290">
            <v>8</v>
          </cell>
          <cell r="L2290">
            <v>8</v>
          </cell>
          <cell r="M2290">
            <v>7.407407407407407E-2</v>
          </cell>
          <cell r="N2290">
            <v>7.3999999999999996E-2</v>
          </cell>
          <cell r="O2290" t="str">
            <v>$1369</v>
          </cell>
          <cell r="P2290" t="str">
            <v>$1369</v>
          </cell>
          <cell r="Q2290">
            <v>45597</v>
          </cell>
          <cell r="R2290" t="str">
            <v>Hyderabad</v>
          </cell>
          <cell r="S2290" t="str">
            <v>Mobile</v>
          </cell>
          <cell r="T2290" t="str">
            <v>data analytics online</v>
          </cell>
        </row>
        <row r="2291">
          <cell r="A2291" t="str">
            <v>A3289</v>
          </cell>
          <cell r="B2291" t="str">
            <v>Data Analytics Course</v>
          </cell>
          <cell r="C2291">
            <v>171</v>
          </cell>
          <cell r="D2291">
            <v>171</v>
          </cell>
          <cell r="E2291">
            <v>4307</v>
          </cell>
          <cell r="F2291">
            <v>4307</v>
          </cell>
          <cell r="G2291" t="str">
            <v>$220.89</v>
          </cell>
          <cell r="H2291" t="str">
            <v>$220.89</v>
          </cell>
          <cell r="I2291">
            <v>20.558823529411764</v>
          </cell>
          <cell r="K2291">
            <v>8</v>
          </cell>
          <cell r="L2291">
            <v>8</v>
          </cell>
          <cell r="M2291">
            <v>4.6783625730994149E-2</v>
          </cell>
          <cell r="N2291">
            <v>3.7999999999999999E-2</v>
          </cell>
          <cell r="O2291" t="str">
            <v>$1187</v>
          </cell>
          <cell r="P2291" t="str">
            <v>$1187</v>
          </cell>
          <cell r="Q2291">
            <v>45597</v>
          </cell>
          <cell r="R2291" t="str">
            <v>Chennai</v>
          </cell>
          <cell r="S2291" t="str">
            <v>Tablet</v>
          </cell>
          <cell r="T2291" t="str">
            <v>data analytics online</v>
          </cell>
        </row>
        <row r="2292">
          <cell r="A2292" t="str">
            <v>A3290</v>
          </cell>
          <cell r="B2292" t="str">
            <v>Data Analytics Course</v>
          </cell>
          <cell r="C2292">
            <v>80</v>
          </cell>
          <cell r="D2292">
            <v>80</v>
          </cell>
          <cell r="E2292">
            <v>4204</v>
          </cell>
          <cell r="F2292">
            <v>4204</v>
          </cell>
          <cell r="G2292" t="str">
            <v>$226.79</v>
          </cell>
          <cell r="H2292" t="str">
            <v>$226.79</v>
          </cell>
          <cell r="I2292">
            <v>14</v>
          </cell>
          <cell r="J2292">
            <v>14</v>
          </cell>
          <cell r="K2292">
            <v>3</v>
          </cell>
          <cell r="L2292">
            <v>3</v>
          </cell>
          <cell r="M2292">
            <v>3.7499999999999999E-2</v>
          </cell>
          <cell r="N2292">
            <v>3.6999999999999998E-2</v>
          </cell>
          <cell r="O2292" t="str">
            <v>$1434</v>
          </cell>
          <cell r="P2292" t="str">
            <v>$1434</v>
          </cell>
          <cell r="Q2292">
            <v>45617</v>
          </cell>
          <cell r="R2292" t="str">
            <v>Hyderabad</v>
          </cell>
          <cell r="S2292" t="str">
            <v>Tablet</v>
          </cell>
          <cell r="T2292" t="str">
            <v>data analytics course</v>
          </cell>
        </row>
        <row r="2293">
          <cell r="A2293" t="str">
            <v>A3291</v>
          </cell>
          <cell r="B2293" t="str">
            <v>Data Analytics Course</v>
          </cell>
          <cell r="C2293">
            <v>169</v>
          </cell>
          <cell r="D2293">
            <v>169</v>
          </cell>
          <cell r="E2293">
            <v>3589</v>
          </cell>
          <cell r="F2293">
            <v>3589</v>
          </cell>
          <cell r="G2293" t="str">
            <v>$237.83</v>
          </cell>
          <cell r="H2293" t="str">
            <v>$237.83</v>
          </cell>
          <cell r="I2293">
            <v>15</v>
          </cell>
          <cell r="J2293">
            <v>15</v>
          </cell>
          <cell r="K2293">
            <v>3</v>
          </cell>
          <cell r="L2293">
            <v>3</v>
          </cell>
          <cell r="M2293">
            <v>1.7751479289940829E-2</v>
          </cell>
          <cell r="N2293">
            <v>1.7999999999999999E-2</v>
          </cell>
          <cell r="O2293" t="str">
            <v>$1754</v>
          </cell>
          <cell r="P2293" t="str">
            <v>$1754</v>
          </cell>
          <cell r="Q2293">
            <v>45617</v>
          </cell>
          <cell r="R2293" t="str">
            <v>Hyderabad</v>
          </cell>
          <cell r="S2293" t="str">
            <v>Mobile</v>
          </cell>
          <cell r="T2293" t="str">
            <v>analytics for data</v>
          </cell>
        </row>
        <row r="2294">
          <cell r="A2294" t="str">
            <v>A3292</v>
          </cell>
          <cell r="B2294" t="str">
            <v>Data Analytics Course</v>
          </cell>
          <cell r="C2294">
            <v>138.95699356913184</v>
          </cell>
          <cell r="E2294">
            <v>3048</v>
          </cell>
          <cell r="F2294">
            <v>3048</v>
          </cell>
          <cell r="G2294" t="str">
            <v>$189.48</v>
          </cell>
          <cell r="H2294" t="str">
            <v>$189.48</v>
          </cell>
          <cell r="I2294">
            <v>22</v>
          </cell>
          <cell r="J2294">
            <v>22</v>
          </cell>
          <cell r="K2294">
            <v>7</v>
          </cell>
          <cell r="L2294">
            <v>7</v>
          </cell>
          <cell r="M2294">
            <v>5.0375298286210138E-2</v>
          </cell>
          <cell r="O2294" t="str">
            <v>$1740</v>
          </cell>
          <cell r="P2294" t="str">
            <v>$1740</v>
          </cell>
          <cell r="Q2294">
            <v>45614</v>
          </cell>
          <cell r="R2294" t="str">
            <v>Chennai</v>
          </cell>
          <cell r="S2294" t="str">
            <v>Mobile</v>
          </cell>
          <cell r="T2294" t="str">
            <v>analytics for data</v>
          </cell>
        </row>
        <row r="2295">
          <cell r="A2295" t="str">
            <v>A3293</v>
          </cell>
          <cell r="B2295" t="str">
            <v>Data Analytics Course</v>
          </cell>
          <cell r="C2295">
            <v>92</v>
          </cell>
          <cell r="D2295">
            <v>92</v>
          </cell>
          <cell r="E2295">
            <v>4631</v>
          </cell>
          <cell r="F2295">
            <v>4631</v>
          </cell>
          <cell r="G2295" t="str">
            <v>$233.3</v>
          </cell>
          <cell r="H2295" t="str">
            <v>$233.3</v>
          </cell>
          <cell r="I2295">
            <v>19</v>
          </cell>
          <cell r="J2295">
            <v>19</v>
          </cell>
          <cell r="K2295">
            <v>10</v>
          </cell>
          <cell r="L2295">
            <v>10</v>
          </cell>
          <cell r="M2295">
            <v>0.10869565217391304</v>
          </cell>
          <cell r="N2295">
            <v>0.109</v>
          </cell>
          <cell r="O2295" t="str">
            <v>$1521</v>
          </cell>
          <cell r="P2295" t="str">
            <v>$1521</v>
          </cell>
          <cell r="Q2295">
            <v>45623</v>
          </cell>
          <cell r="R2295" t="str">
            <v>Bangaluru</v>
          </cell>
          <cell r="S2295" t="str">
            <v>Mobile</v>
          </cell>
          <cell r="T2295" t="str">
            <v>learn data analytics</v>
          </cell>
        </row>
        <row r="2296">
          <cell r="A2296" t="str">
            <v>A3294</v>
          </cell>
          <cell r="B2296" t="str">
            <v>Data Analytics Course</v>
          </cell>
          <cell r="C2296">
            <v>189</v>
          </cell>
          <cell r="D2296">
            <v>189</v>
          </cell>
          <cell r="E2296">
            <v>5624</v>
          </cell>
          <cell r="F2296">
            <v>5624</v>
          </cell>
          <cell r="G2296" t="str">
            <v>$248.03</v>
          </cell>
          <cell r="H2296" t="str">
            <v>$248.03</v>
          </cell>
          <cell r="I2296">
            <v>23</v>
          </cell>
          <cell r="J2296">
            <v>23</v>
          </cell>
          <cell r="K2296">
            <v>7</v>
          </cell>
          <cell r="L2296">
            <v>7</v>
          </cell>
          <cell r="M2296">
            <v>3.7037037037037035E-2</v>
          </cell>
          <cell r="N2296">
            <v>3.6999999999999998E-2</v>
          </cell>
          <cell r="O2296" t="str">
            <v>$1500</v>
          </cell>
          <cell r="Q2296">
            <v>45606</v>
          </cell>
          <cell r="R2296" t="str">
            <v>Hyderabad</v>
          </cell>
          <cell r="S2296" t="str">
            <v>Tablet</v>
          </cell>
          <cell r="T2296" t="str">
            <v>analytics for data</v>
          </cell>
        </row>
        <row r="2297">
          <cell r="A2297" t="str">
            <v>A3295</v>
          </cell>
          <cell r="B2297" t="str">
            <v>Data Analytics Course</v>
          </cell>
          <cell r="C2297">
            <v>124</v>
          </cell>
          <cell r="D2297">
            <v>124</v>
          </cell>
          <cell r="E2297">
            <v>5931</v>
          </cell>
          <cell r="F2297">
            <v>5931</v>
          </cell>
          <cell r="G2297" t="str">
            <v>$214.41</v>
          </cell>
          <cell r="H2297" t="str">
            <v>$214.41</v>
          </cell>
          <cell r="I2297">
            <v>21</v>
          </cell>
          <cell r="J2297">
            <v>21</v>
          </cell>
          <cell r="K2297">
            <v>3</v>
          </cell>
          <cell r="L2297">
            <v>3</v>
          </cell>
          <cell r="M2297">
            <v>2.4193548387096774E-2</v>
          </cell>
          <cell r="O2297" t="str">
            <v>$1906</v>
          </cell>
          <cell r="P2297" t="str">
            <v>$1906</v>
          </cell>
          <cell r="Q2297">
            <v>45601</v>
          </cell>
          <cell r="R2297" t="str">
            <v>Hyderabad</v>
          </cell>
          <cell r="S2297" t="str">
            <v>Tablet</v>
          </cell>
          <cell r="T2297" t="str">
            <v>online data analytic</v>
          </cell>
        </row>
        <row r="2298">
          <cell r="A2298" t="str">
            <v>A3296</v>
          </cell>
          <cell r="B2298" t="str">
            <v>Data Analytics Course</v>
          </cell>
          <cell r="C2298">
            <v>138</v>
          </cell>
          <cell r="D2298">
            <v>138</v>
          </cell>
          <cell r="E2298">
            <v>5891</v>
          </cell>
          <cell r="F2298">
            <v>5891</v>
          </cell>
          <cell r="G2298" t="str">
            <v>$247.47</v>
          </cell>
          <cell r="H2298" t="str">
            <v>$247.47</v>
          </cell>
          <cell r="I2298">
            <v>14</v>
          </cell>
          <cell r="J2298">
            <v>14</v>
          </cell>
          <cell r="K2298">
            <v>7</v>
          </cell>
          <cell r="L2298">
            <v>7</v>
          </cell>
          <cell r="M2298">
            <v>5.0724637681159424E-2</v>
          </cell>
          <cell r="N2298">
            <v>5.0999999999999997E-2</v>
          </cell>
          <cell r="O2298" t="str">
            <v>$1138</v>
          </cell>
          <cell r="P2298" t="str">
            <v>$1138</v>
          </cell>
          <cell r="Q2298">
            <v>45610</v>
          </cell>
          <cell r="R2298" t="str">
            <v>Hyderabad</v>
          </cell>
          <cell r="S2298" t="str">
            <v>Desktop</v>
          </cell>
          <cell r="T2298" t="str">
            <v>online data analytic</v>
          </cell>
        </row>
        <row r="2299">
          <cell r="A2299" t="str">
            <v>A3297</v>
          </cell>
          <cell r="B2299" t="str">
            <v>Data Analytics Course</v>
          </cell>
          <cell r="C2299">
            <v>186</v>
          </cell>
          <cell r="D2299">
            <v>186</v>
          </cell>
          <cell r="E2299">
            <v>5774</v>
          </cell>
          <cell r="F2299">
            <v>5774</v>
          </cell>
          <cell r="G2299" t="str">
            <v>$236.22</v>
          </cell>
          <cell r="H2299" t="str">
            <v>$236.22</v>
          </cell>
          <cell r="I2299">
            <v>15</v>
          </cell>
          <cell r="J2299">
            <v>15</v>
          </cell>
          <cell r="K2299">
            <v>6</v>
          </cell>
          <cell r="L2299">
            <v>6</v>
          </cell>
          <cell r="M2299">
            <v>3.2258064516129031E-2</v>
          </cell>
          <cell r="N2299">
            <v>3.2000000000000001E-2</v>
          </cell>
          <cell r="O2299" t="str">
            <v>$1288</v>
          </cell>
          <cell r="P2299" t="str">
            <v>$1288</v>
          </cell>
          <cell r="Q2299">
            <v>45608</v>
          </cell>
          <cell r="R2299" t="str">
            <v>Chennai</v>
          </cell>
          <cell r="S2299" t="str">
            <v>Mobile</v>
          </cell>
          <cell r="T2299" t="str">
            <v>learn data analytics</v>
          </cell>
        </row>
        <row r="2300">
          <cell r="A2300" t="str">
            <v>A3298</v>
          </cell>
          <cell r="B2300" t="str">
            <v>Data Analytics Course</v>
          </cell>
          <cell r="C2300">
            <v>100</v>
          </cell>
          <cell r="D2300">
            <v>100</v>
          </cell>
          <cell r="E2300">
            <v>4869</v>
          </cell>
          <cell r="F2300">
            <v>4869</v>
          </cell>
          <cell r="G2300" t="str">
            <v>$234.37</v>
          </cell>
          <cell r="H2300" t="str">
            <v>$234.37</v>
          </cell>
          <cell r="I2300">
            <v>21</v>
          </cell>
          <cell r="J2300">
            <v>21</v>
          </cell>
          <cell r="K2300">
            <v>7</v>
          </cell>
          <cell r="L2300">
            <v>7</v>
          </cell>
          <cell r="M2300">
            <v>7.0000000000000007E-2</v>
          </cell>
          <cell r="N2300">
            <v>7.0000000000000007E-2</v>
          </cell>
          <cell r="O2300" t="str">
            <v>$1890</v>
          </cell>
          <cell r="P2300" t="str">
            <v>$1890</v>
          </cell>
          <cell r="Q2300">
            <v>45597</v>
          </cell>
          <cell r="R2300" t="str">
            <v>Chennai</v>
          </cell>
          <cell r="S2300" t="str">
            <v>Tablet</v>
          </cell>
          <cell r="T2300" t="str">
            <v>data analytics online</v>
          </cell>
        </row>
        <row r="2301">
          <cell r="A2301" t="str">
            <v>A3299</v>
          </cell>
          <cell r="B2301" t="str">
            <v>Data Analytics Course</v>
          </cell>
          <cell r="C2301">
            <v>151</v>
          </cell>
          <cell r="D2301">
            <v>151</v>
          </cell>
          <cell r="E2301">
            <v>5403</v>
          </cell>
          <cell r="F2301">
            <v>5403</v>
          </cell>
          <cell r="G2301" t="str">
            <v>$180.74</v>
          </cell>
          <cell r="H2301" t="str">
            <v>$180.74</v>
          </cell>
          <cell r="I2301">
            <v>22</v>
          </cell>
          <cell r="J2301">
            <v>22</v>
          </cell>
          <cell r="K2301">
            <v>3</v>
          </cell>
          <cell r="L2301">
            <v>3</v>
          </cell>
          <cell r="M2301">
            <v>1.9867549668874173E-2</v>
          </cell>
          <cell r="N2301">
            <v>4.5999999999999999E-2</v>
          </cell>
          <cell r="O2301" t="str">
            <v>$1610</v>
          </cell>
          <cell r="P2301" t="str">
            <v>$1610</v>
          </cell>
          <cell r="Q2301">
            <v>45625</v>
          </cell>
          <cell r="R2301" t="str">
            <v>Hyderabad</v>
          </cell>
          <cell r="S2301" t="str">
            <v>Tablet</v>
          </cell>
          <cell r="T2301" t="str">
            <v>data analytics online</v>
          </cell>
        </row>
        <row r="2302">
          <cell r="A2302" t="str">
            <v>A3300</v>
          </cell>
          <cell r="B2302" t="str">
            <v>Data Analytcis Course</v>
          </cell>
          <cell r="C2302">
            <v>176</v>
          </cell>
          <cell r="D2302">
            <v>176</v>
          </cell>
          <cell r="E2302">
            <v>4577</v>
          </cell>
          <cell r="F2302">
            <v>4577</v>
          </cell>
          <cell r="G2302" t="str">
            <v>$207.98</v>
          </cell>
          <cell r="H2302" t="str">
            <v>$207.98</v>
          </cell>
          <cell r="I2302">
            <v>23</v>
          </cell>
          <cell r="J2302">
            <v>23</v>
          </cell>
          <cell r="K2302">
            <v>6.4666666666666668</v>
          </cell>
          <cell r="M2302">
            <v>3.6742424242424243E-2</v>
          </cell>
          <cell r="O2302" t="str">
            <v>$1396</v>
          </cell>
          <cell r="P2302" t="str">
            <v>$1396</v>
          </cell>
          <cell r="Q2302">
            <v>45625</v>
          </cell>
          <cell r="R2302" t="str">
            <v>Chennai</v>
          </cell>
          <cell r="S2302" t="str">
            <v>Tablet</v>
          </cell>
          <cell r="T2302" t="str">
            <v>data analytics training</v>
          </cell>
        </row>
        <row r="2303">
          <cell r="A2303" t="str">
            <v>A3301</v>
          </cell>
          <cell r="B2303" t="str">
            <v>Data Analytcis Course</v>
          </cell>
          <cell r="C2303">
            <v>138.95699356913184</v>
          </cell>
          <cell r="E2303">
            <v>3978</v>
          </cell>
          <cell r="F2303">
            <v>3978</v>
          </cell>
          <cell r="G2303" t="str">
            <v>$230.19</v>
          </cell>
          <cell r="H2303" t="str">
            <v>$230.19</v>
          </cell>
          <cell r="I2303">
            <v>23</v>
          </cell>
          <cell r="J2303">
            <v>23</v>
          </cell>
          <cell r="K2303">
            <v>9</v>
          </cell>
          <cell r="L2303">
            <v>9</v>
          </cell>
          <cell r="M2303">
            <v>6.4768240653698753E-2</v>
          </cell>
          <cell r="O2303" t="str">
            <v>$1792</v>
          </cell>
          <cell r="P2303" t="str">
            <v>$1792</v>
          </cell>
          <cell r="Q2303">
            <v>45615</v>
          </cell>
          <cell r="R2303" t="str">
            <v>Bangaluru</v>
          </cell>
          <cell r="S2303" t="str">
            <v>Desktop</v>
          </cell>
          <cell r="T2303" t="str">
            <v>analytics for data</v>
          </cell>
        </row>
        <row r="2304">
          <cell r="A2304" t="str">
            <v>A3302</v>
          </cell>
          <cell r="B2304" t="str">
            <v>Data Analytcis Course</v>
          </cell>
          <cell r="C2304">
            <v>141</v>
          </cell>
          <cell r="D2304">
            <v>141</v>
          </cell>
          <cell r="E2304">
            <v>4483</v>
          </cell>
          <cell r="F2304">
            <v>4483</v>
          </cell>
          <cell r="G2304" t="str">
            <v>$240.23</v>
          </cell>
          <cell r="H2304" t="str">
            <v>$240.23</v>
          </cell>
          <cell r="I2304">
            <v>25</v>
          </cell>
          <cell r="J2304">
            <v>25</v>
          </cell>
          <cell r="K2304">
            <v>4</v>
          </cell>
          <cell r="L2304">
            <v>4</v>
          </cell>
          <cell r="M2304">
            <v>2.8368794326241134E-2</v>
          </cell>
          <cell r="N2304">
            <v>2.8000000000000001E-2</v>
          </cell>
          <cell r="O2304" t="str">
            <v>$1516</v>
          </cell>
          <cell r="P2304" t="str">
            <v>$1516</v>
          </cell>
          <cell r="Q2304">
            <v>45610</v>
          </cell>
          <cell r="R2304" t="str">
            <v>Chennai</v>
          </cell>
          <cell r="S2304" t="str">
            <v>Tablet</v>
          </cell>
          <cell r="T2304" t="str">
            <v>analytics for data</v>
          </cell>
        </row>
        <row r="2305">
          <cell r="A2305" t="str">
            <v>A3303</v>
          </cell>
          <cell r="B2305" t="str">
            <v>Data Analytics Course</v>
          </cell>
          <cell r="C2305">
            <v>117</v>
          </cell>
          <cell r="D2305">
            <v>117</v>
          </cell>
          <cell r="E2305">
            <v>5754</v>
          </cell>
          <cell r="F2305">
            <v>5754</v>
          </cell>
          <cell r="G2305" t="str">
            <v>$228.8</v>
          </cell>
          <cell r="H2305" t="str">
            <v>$228.8</v>
          </cell>
          <cell r="I2305">
            <v>20.593856655290104</v>
          </cell>
          <cell r="K2305">
            <v>3</v>
          </cell>
          <cell r="L2305">
            <v>3</v>
          </cell>
          <cell r="M2305">
            <v>2.564102564102564E-2</v>
          </cell>
          <cell r="N2305">
            <v>2.5999999999999999E-2</v>
          </cell>
          <cell r="O2305" t="str">
            <v>$1500</v>
          </cell>
          <cell r="Q2305">
            <v>45610</v>
          </cell>
          <cell r="R2305" t="str">
            <v>Chennai</v>
          </cell>
          <cell r="S2305" t="str">
            <v>Mobile</v>
          </cell>
          <cell r="T2305" t="str">
            <v>data analytics online</v>
          </cell>
        </row>
        <row r="2306">
          <cell r="A2306" t="str">
            <v>A3304</v>
          </cell>
          <cell r="B2306" t="str">
            <v>Data Analytics Course</v>
          </cell>
          <cell r="C2306">
            <v>131</v>
          </cell>
          <cell r="D2306">
            <v>131</v>
          </cell>
          <cell r="E2306">
            <v>5528</v>
          </cell>
          <cell r="F2306">
            <v>5528</v>
          </cell>
          <cell r="G2306" t="str">
            <v>$182.38</v>
          </cell>
          <cell r="H2306" t="str">
            <v>$182.38</v>
          </cell>
          <cell r="I2306">
            <v>27</v>
          </cell>
          <cell r="J2306">
            <v>27</v>
          </cell>
          <cell r="K2306">
            <v>6</v>
          </cell>
          <cell r="L2306">
            <v>6</v>
          </cell>
          <cell r="M2306">
            <v>4.5801526717557252E-2</v>
          </cell>
          <cell r="N2306">
            <v>4.5999999999999999E-2</v>
          </cell>
          <cell r="O2306" t="str">
            <v>$1168</v>
          </cell>
          <cell r="P2306" t="str">
            <v>$1168</v>
          </cell>
          <cell r="Q2306">
            <v>45599</v>
          </cell>
          <cell r="R2306" t="str">
            <v>Hyderabad</v>
          </cell>
          <cell r="S2306" t="str">
            <v>Desktop</v>
          </cell>
          <cell r="T2306" t="str">
            <v>analytics for data</v>
          </cell>
        </row>
        <row r="2307">
          <cell r="A2307" t="str">
            <v>A3305</v>
          </cell>
          <cell r="B2307" t="str">
            <v>Data Analytics Course</v>
          </cell>
          <cell r="C2307">
            <v>173</v>
          </cell>
          <cell r="D2307">
            <v>173</v>
          </cell>
          <cell r="E2307">
            <v>3639</v>
          </cell>
          <cell r="F2307">
            <v>3639</v>
          </cell>
          <cell r="G2307" t="str">
            <v>$225.73</v>
          </cell>
          <cell r="H2307" t="str">
            <v>$225.73</v>
          </cell>
          <cell r="I2307">
            <v>10</v>
          </cell>
          <cell r="J2307">
            <v>10</v>
          </cell>
          <cell r="K2307">
            <v>4</v>
          </cell>
          <cell r="L2307">
            <v>4</v>
          </cell>
          <cell r="M2307">
            <v>2.3121387283236993E-2</v>
          </cell>
          <cell r="N2307">
            <v>2.3E-2</v>
          </cell>
          <cell r="O2307" t="str">
            <v>$1804</v>
          </cell>
          <cell r="P2307" t="str">
            <v>$1804</v>
          </cell>
          <cell r="Q2307">
            <v>45623</v>
          </cell>
          <cell r="R2307" t="str">
            <v>Chennai</v>
          </cell>
          <cell r="S2307" t="str">
            <v>Tablet</v>
          </cell>
          <cell r="T2307" t="str">
            <v>data analytics online</v>
          </cell>
        </row>
        <row r="2308">
          <cell r="A2308" t="str">
            <v>A3306</v>
          </cell>
          <cell r="B2308" t="str">
            <v>Data Analytics Course</v>
          </cell>
          <cell r="C2308">
            <v>195</v>
          </cell>
          <cell r="D2308">
            <v>195</v>
          </cell>
          <cell r="E2308">
            <v>4067</v>
          </cell>
          <cell r="F2308">
            <v>4067</v>
          </cell>
          <cell r="G2308" t="str">
            <v>$220.61</v>
          </cell>
          <cell r="H2308" t="str">
            <v>$220.61</v>
          </cell>
          <cell r="I2308">
            <v>20</v>
          </cell>
          <cell r="J2308">
            <v>20</v>
          </cell>
          <cell r="K2308">
            <v>8</v>
          </cell>
          <cell r="L2308">
            <v>8</v>
          </cell>
          <cell r="M2308">
            <v>4.1025641025641026E-2</v>
          </cell>
          <cell r="N2308">
            <v>4.1000000000000002E-2</v>
          </cell>
          <cell r="O2308" t="str">
            <v>$1767</v>
          </cell>
          <cell r="P2308" t="str">
            <v>$1767</v>
          </cell>
          <cell r="Q2308">
            <v>45604</v>
          </cell>
          <cell r="R2308" t="str">
            <v>Hyderabad</v>
          </cell>
          <cell r="S2308" t="str">
            <v>Desktop</v>
          </cell>
          <cell r="T2308" t="str">
            <v>data analytics course</v>
          </cell>
        </row>
        <row r="2309">
          <cell r="A2309" t="str">
            <v>A3307</v>
          </cell>
          <cell r="B2309" t="str">
            <v>Data Analytics Course</v>
          </cell>
          <cell r="C2309">
            <v>126</v>
          </cell>
          <cell r="D2309">
            <v>126</v>
          </cell>
          <cell r="E2309">
            <v>3931</v>
          </cell>
          <cell r="F2309">
            <v>3931</v>
          </cell>
          <cell r="G2309" t="str">
            <v>$212.16</v>
          </cell>
          <cell r="H2309" t="str">
            <v>$212.16</v>
          </cell>
          <cell r="I2309">
            <v>20</v>
          </cell>
          <cell r="J2309">
            <v>20</v>
          </cell>
          <cell r="K2309">
            <v>9</v>
          </cell>
          <cell r="L2309">
            <v>9</v>
          </cell>
          <cell r="M2309">
            <v>7.1428571428571425E-2</v>
          </cell>
          <cell r="N2309">
            <v>5.8000000000000003E-2</v>
          </cell>
          <cell r="O2309" t="str">
            <v>$1537</v>
          </cell>
          <cell r="P2309" t="str">
            <v>$1537</v>
          </cell>
          <cell r="Q2309">
            <v>45605</v>
          </cell>
          <cell r="R2309" t="str">
            <v>Chennai</v>
          </cell>
          <cell r="S2309" t="str">
            <v>Desktop</v>
          </cell>
          <cell r="T2309" t="str">
            <v>learn data analytics</v>
          </cell>
        </row>
        <row r="2310">
          <cell r="A2310" t="str">
            <v>A3308</v>
          </cell>
          <cell r="B2310" t="str">
            <v>Data Analytics Course</v>
          </cell>
          <cell r="C2310">
            <v>119</v>
          </cell>
          <cell r="D2310">
            <v>119</v>
          </cell>
          <cell r="E2310">
            <v>3602</v>
          </cell>
          <cell r="F2310">
            <v>3602</v>
          </cell>
          <cell r="G2310" t="str">
            <v>$191.83</v>
          </cell>
          <cell r="H2310" t="str">
            <v>$191.83</v>
          </cell>
          <cell r="I2310">
            <v>26</v>
          </cell>
          <cell r="J2310">
            <v>26</v>
          </cell>
          <cell r="K2310">
            <v>3</v>
          </cell>
          <cell r="L2310">
            <v>3</v>
          </cell>
          <cell r="M2310">
            <v>2.5210084033613446E-2</v>
          </cell>
          <cell r="O2310" t="str">
            <v>$1052</v>
          </cell>
          <cell r="P2310" t="str">
            <v>$1052</v>
          </cell>
          <cell r="Q2310">
            <v>45606</v>
          </cell>
          <cell r="R2310" t="str">
            <v>Hyderabad</v>
          </cell>
          <cell r="S2310" t="str">
            <v>Tablet</v>
          </cell>
          <cell r="T2310" t="str">
            <v>analytics for data</v>
          </cell>
        </row>
        <row r="2311">
          <cell r="A2311" t="str">
            <v>A3309</v>
          </cell>
          <cell r="B2311" t="str">
            <v>Data Analytcis Course</v>
          </cell>
          <cell r="C2311">
            <v>141</v>
          </cell>
          <cell r="D2311">
            <v>141</v>
          </cell>
          <cell r="E2311">
            <v>5663</v>
          </cell>
          <cell r="F2311">
            <v>5663</v>
          </cell>
          <cell r="G2311" t="str">
            <v>$237.57</v>
          </cell>
          <cell r="H2311" t="str">
            <v>$237.57</v>
          </cell>
          <cell r="I2311">
            <v>16</v>
          </cell>
          <cell r="J2311">
            <v>16</v>
          </cell>
          <cell r="K2311">
            <v>3</v>
          </cell>
          <cell r="L2311">
            <v>3</v>
          </cell>
          <cell r="M2311">
            <v>2.1276595744680851E-2</v>
          </cell>
          <cell r="N2311">
            <v>4.4999999999999998E-2</v>
          </cell>
          <cell r="O2311" t="str">
            <v>$1269</v>
          </cell>
          <cell r="P2311" t="str">
            <v>$1269</v>
          </cell>
          <cell r="Q2311">
            <v>45614</v>
          </cell>
          <cell r="R2311" t="str">
            <v>Bangaluru</v>
          </cell>
          <cell r="S2311" t="str">
            <v>Tablet</v>
          </cell>
          <cell r="T2311" t="str">
            <v>data analytics course</v>
          </cell>
        </row>
        <row r="2312">
          <cell r="A2312" t="str">
            <v>A3310</v>
          </cell>
          <cell r="B2312" t="str">
            <v>Data Analytcis Course</v>
          </cell>
          <cell r="C2312">
            <v>182</v>
          </cell>
          <cell r="D2312">
            <v>182</v>
          </cell>
          <cell r="E2312">
            <v>4021</v>
          </cell>
          <cell r="F2312">
            <v>4021</v>
          </cell>
          <cell r="G2312" t="str">
            <v>$200.00</v>
          </cell>
          <cell r="I2312">
            <v>24</v>
          </cell>
          <cell r="J2312">
            <v>24</v>
          </cell>
          <cell r="K2312">
            <v>7</v>
          </cell>
          <cell r="L2312">
            <v>7</v>
          </cell>
          <cell r="M2312">
            <v>3.8461538461538464E-2</v>
          </cell>
          <cell r="N2312">
            <v>3.7999999999999999E-2</v>
          </cell>
          <cell r="O2312" t="str">
            <v>$1444</v>
          </cell>
          <cell r="P2312" t="str">
            <v>$1444</v>
          </cell>
          <cell r="Q2312">
            <v>45626</v>
          </cell>
          <cell r="R2312" t="str">
            <v>Hyderabad</v>
          </cell>
          <cell r="S2312" t="str">
            <v>Tablet</v>
          </cell>
          <cell r="T2312" t="str">
            <v>online data analytic</v>
          </cell>
        </row>
        <row r="2313">
          <cell r="A2313" t="str">
            <v>A3311</v>
          </cell>
          <cell r="B2313" t="str">
            <v>Data Analytcis Course</v>
          </cell>
          <cell r="C2313">
            <v>192</v>
          </cell>
          <cell r="D2313">
            <v>192</v>
          </cell>
          <cell r="E2313">
            <v>4551</v>
          </cell>
          <cell r="F2313">
            <v>4551</v>
          </cell>
          <cell r="G2313" t="str">
            <v>$223.93</v>
          </cell>
          <cell r="H2313" t="str">
            <v>$223.93</v>
          </cell>
          <cell r="I2313">
            <v>22</v>
          </cell>
          <cell r="J2313">
            <v>22</v>
          </cell>
          <cell r="K2313">
            <v>10</v>
          </cell>
          <cell r="L2313">
            <v>10</v>
          </cell>
          <cell r="M2313">
            <v>5.2083333333333336E-2</v>
          </cell>
          <cell r="N2313">
            <v>5.1999999999999998E-2</v>
          </cell>
          <cell r="O2313" t="str">
            <v>$1231</v>
          </cell>
          <cell r="P2313" t="str">
            <v>$1231</v>
          </cell>
          <cell r="Q2313">
            <v>45615</v>
          </cell>
          <cell r="R2313" t="str">
            <v>Chennai</v>
          </cell>
          <cell r="S2313" t="str">
            <v>Desktop</v>
          </cell>
          <cell r="T2313" t="str">
            <v>data analytics training</v>
          </cell>
        </row>
        <row r="2314">
          <cell r="A2314" t="str">
            <v>A3312</v>
          </cell>
          <cell r="B2314" t="str">
            <v>Data Analytics Course</v>
          </cell>
          <cell r="C2314">
            <v>138.95699356913184</v>
          </cell>
          <cell r="E2314">
            <v>5123</v>
          </cell>
          <cell r="F2314">
            <v>5123</v>
          </cell>
          <cell r="G2314" t="str">
            <v>$231.93</v>
          </cell>
          <cell r="H2314" t="str">
            <v>$231.93</v>
          </cell>
          <cell r="I2314">
            <v>18</v>
          </cell>
          <cell r="J2314">
            <v>18</v>
          </cell>
          <cell r="K2314">
            <v>9</v>
          </cell>
          <cell r="L2314">
            <v>9</v>
          </cell>
          <cell r="M2314">
            <v>6.4768240653698753E-2</v>
          </cell>
          <cell r="O2314" t="str">
            <v>$1031</v>
          </cell>
          <cell r="P2314" t="str">
            <v>$1031</v>
          </cell>
          <cell r="Q2314">
            <v>45614</v>
          </cell>
          <cell r="R2314" t="str">
            <v>Hyderabad</v>
          </cell>
          <cell r="S2314" t="str">
            <v>Desktop</v>
          </cell>
          <cell r="T2314" t="str">
            <v>analytics for data</v>
          </cell>
        </row>
        <row r="2315">
          <cell r="A2315" t="str">
            <v>A3313</v>
          </cell>
          <cell r="B2315" t="str">
            <v>Data Analytcis Course</v>
          </cell>
          <cell r="C2315">
            <v>160</v>
          </cell>
          <cell r="D2315">
            <v>160</v>
          </cell>
          <cell r="E2315">
            <v>3816</v>
          </cell>
          <cell r="F2315">
            <v>3816</v>
          </cell>
          <cell r="G2315" t="str">
            <v>$207.93</v>
          </cell>
          <cell r="H2315" t="str">
            <v>$207.93</v>
          </cell>
          <cell r="I2315">
            <v>27</v>
          </cell>
          <cell r="J2315">
            <v>27</v>
          </cell>
          <cell r="K2315">
            <v>9</v>
          </cell>
          <cell r="L2315">
            <v>9</v>
          </cell>
          <cell r="M2315">
            <v>5.6250000000000001E-2</v>
          </cell>
          <cell r="N2315">
            <v>5.6000000000000001E-2</v>
          </cell>
          <cell r="O2315" t="str">
            <v>$1884</v>
          </cell>
          <cell r="P2315" t="str">
            <v>$1884</v>
          </cell>
          <cell r="Q2315">
            <v>45599</v>
          </cell>
          <cell r="R2315" t="str">
            <v>Bangaluru</v>
          </cell>
          <cell r="S2315" t="str">
            <v>Mobile</v>
          </cell>
          <cell r="T2315" t="str">
            <v>analytics for data</v>
          </cell>
        </row>
        <row r="2316">
          <cell r="A2316" t="str">
            <v>A3314</v>
          </cell>
          <cell r="B2316" t="str">
            <v>Data Analytics Course</v>
          </cell>
          <cell r="C2316">
            <v>140</v>
          </cell>
          <cell r="D2316">
            <v>140</v>
          </cell>
          <cell r="E2316">
            <v>3154</v>
          </cell>
          <cell r="F2316">
            <v>3154</v>
          </cell>
          <cell r="G2316" t="str">
            <v>$212.73</v>
          </cell>
          <cell r="H2316" t="str">
            <v>$212.73</v>
          </cell>
          <cell r="I2316">
            <v>21</v>
          </cell>
          <cell r="J2316">
            <v>21</v>
          </cell>
          <cell r="K2316">
            <v>4</v>
          </cell>
          <cell r="L2316">
            <v>4</v>
          </cell>
          <cell r="M2316">
            <v>2.8571428571428571E-2</v>
          </cell>
          <cell r="N2316">
            <v>2.9000000000000001E-2</v>
          </cell>
          <cell r="O2316" t="str">
            <v>$1024</v>
          </cell>
          <cell r="P2316" t="str">
            <v>$1024</v>
          </cell>
          <cell r="Q2316">
            <v>45610</v>
          </cell>
          <cell r="R2316" t="str">
            <v>Hyderabad</v>
          </cell>
          <cell r="S2316" t="str">
            <v>Tablet</v>
          </cell>
          <cell r="T2316" t="str">
            <v>learn data analytics</v>
          </cell>
        </row>
        <row r="2317">
          <cell r="A2317" t="str">
            <v>A3315</v>
          </cell>
          <cell r="B2317" t="str">
            <v>Data Analytics Course</v>
          </cell>
          <cell r="C2317">
            <v>134</v>
          </cell>
          <cell r="D2317">
            <v>134</v>
          </cell>
          <cell r="E2317">
            <v>3700</v>
          </cell>
          <cell r="F2317">
            <v>3700</v>
          </cell>
          <cell r="G2317" t="str">
            <v>$226.57</v>
          </cell>
          <cell r="H2317" t="str">
            <v>$226.57</v>
          </cell>
          <cell r="I2317">
            <v>28</v>
          </cell>
          <cell r="J2317">
            <v>28</v>
          </cell>
          <cell r="K2317">
            <v>7</v>
          </cell>
          <cell r="L2317">
            <v>7</v>
          </cell>
          <cell r="M2317">
            <v>5.2238805970149252E-2</v>
          </cell>
          <cell r="N2317">
            <v>5.6000000000000001E-2</v>
          </cell>
          <cell r="O2317" t="str">
            <v>$1836</v>
          </cell>
          <cell r="P2317" t="str">
            <v>$1836</v>
          </cell>
          <cell r="Q2317">
            <v>45600</v>
          </cell>
          <cell r="R2317" t="str">
            <v>Hyderabad</v>
          </cell>
          <cell r="S2317" t="str">
            <v>Tablet</v>
          </cell>
          <cell r="T2317" t="str">
            <v>data analytics online</v>
          </cell>
        </row>
        <row r="2318">
          <cell r="A2318" t="str">
            <v>A3316</v>
          </cell>
          <cell r="B2318" t="str">
            <v>Data Analytics Course</v>
          </cell>
          <cell r="C2318">
            <v>92</v>
          </cell>
          <cell r="D2318">
            <v>92</v>
          </cell>
          <cell r="E2318">
            <v>3963</v>
          </cell>
          <cell r="F2318">
            <v>3963</v>
          </cell>
          <cell r="G2318" t="str">
            <v>$219.39</v>
          </cell>
          <cell r="H2318" t="str">
            <v>$219.39</v>
          </cell>
          <cell r="I2318">
            <v>22</v>
          </cell>
          <cell r="J2318">
            <v>22</v>
          </cell>
          <cell r="K2318">
            <v>10</v>
          </cell>
          <cell r="L2318">
            <v>10</v>
          </cell>
          <cell r="M2318">
            <v>0.10869565217391304</v>
          </cell>
          <cell r="O2318" t="str">
            <v>$1834</v>
          </cell>
          <cell r="P2318" t="str">
            <v>$1834</v>
          </cell>
          <cell r="Q2318">
            <v>45622</v>
          </cell>
          <cell r="R2318" t="str">
            <v>Chennai</v>
          </cell>
          <cell r="S2318" t="str">
            <v>Mobile</v>
          </cell>
          <cell r="T2318" t="str">
            <v>online data analytic</v>
          </cell>
        </row>
        <row r="2319">
          <cell r="A2319" t="str">
            <v>A3317</v>
          </cell>
          <cell r="B2319" t="str">
            <v>Data Analytics Course</v>
          </cell>
          <cell r="C2319">
            <v>163</v>
          </cell>
          <cell r="D2319">
            <v>163</v>
          </cell>
          <cell r="E2319">
            <v>3978</v>
          </cell>
          <cell r="F2319">
            <v>3978</v>
          </cell>
          <cell r="G2319" t="str">
            <v>$232.7</v>
          </cell>
          <cell r="H2319" t="str">
            <v>$232.7</v>
          </cell>
          <cell r="I2319">
            <v>25</v>
          </cell>
          <cell r="J2319">
            <v>25</v>
          </cell>
          <cell r="K2319">
            <v>9</v>
          </cell>
          <cell r="L2319">
            <v>9</v>
          </cell>
          <cell r="M2319">
            <v>5.5214723926380369E-2</v>
          </cell>
          <cell r="N2319">
            <v>4.5999999999999999E-2</v>
          </cell>
          <cell r="O2319" t="str">
            <v>$1380</v>
          </cell>
          <cell r="P2319" t="str">
            <v>$1380</v>
          </cell>
          <cell r="Q2319">
            <v>45604</v>
          </cell>
          <cell r="R2319" t="str">
            <v>Hyderabad</v>
          </cell>
          <cell r="S2319" t="str">
            <v>Desktop</v>
          </cell>
          <cell r="T2319" t="str">
            <v>data analytics online</v>
          </cell>
        </row>
        <row r="2320">
          <cell r="A2320" t="str">
            <v>A3318</v>
          </cell>
          <cell r="B2320" t="str">
            <v>Data Analytcis Course</v>
          </cell>
          <cell r="C2320">
            <v>155</v>
          </cell>
          <cell r="D2320">
            <v>155</v>
          </cell>
          <cell r="E2320">
            <v>5105</v>
          </cell>
          <cell r="F2320">
            <v>5105</v>
          </cell>
          <cell r="G2320" t="str">
            <v>$239.11</v>
          </cell>
          <cell r="H2320" t="str">
            <v>$239.11</v>
          </cell>
          <cell r="I2320">
            <v>20</v>
          </cell>
          <cell r="J2320">
            <v>20</v>
          </cell>
          <cell r="K2320">
            <v>5</v>
          </cell>
          <cell r="L2320">
            <v>5</v>
          </cell>
          <cell r="M2320">
            <v>3.2258064516129031E-2</v>
          </cell>
          <cell r="N2320">
            <v>3.2000000000000001E-2</v>
          </cell>
          <cell r="O2320" t="str">
            <v>$1009</v>
          </cell>
          <cell r="P2320" t="str">
            <v>$1009</v>
          </cell>
          <cell r="Q2320">
            <v>45601</v>
          </cell>
          <cell r="R2320" t="str">
            <v>Hyderabad</v>
          </cell>
          <cell r="S2320" t="str">
            <v>Mobile</v>
          </cell>
          <cell r="T2320" t="str">
            <v>analytics for data</v>
          </cell>
        </row>
        <row r="2321">
          <cell r="A2321" t="str">
            <v>A3319</v>
          </cell>
          <cell r="B2321" t="str">
            <v>Data Analytics Course</v>
          </cell>
          <cell r="C2321">
            <v>194</v>
          </cell>
          <cell r="D2321">
            <v>194</v>
          </cell>
          <cell r="E2321">
            <v>3559</v>
          </cell>
          <cell r="F2321">
            <v>3559</v>
          </cell>
          <cell r="G2321" t="str">
            <v>$205.78</v>
          </cell>
          <cell r="H2321" t="str">
            <v>$205.78</v>
          </cell>
          <cell r="I2321">
            <v>15</v>
          </cell>
          <cell r="J2321">
            <v>15</v>
          </cell>
          <cell r="K2321">
            <v>9</v>
          </cell>
          <cell r="L2321">
            <v>9</v>
          </cell>
          <cell r="M2321">
            <v>4.6391752577319589E-2</v>
          </cell>
          <cell r="N2321">
            <v>4.5999999999999999E-2</v>
          </cell>
          <cell r="O2321" t="str">
            <v>$1765</v>
          </cell>
          <cell r="P2321" t="str">
            <v>$1765</v>
          </cell>
          <cell r="Q2321">
            <v>45599</v>
          </cell>
          <cell r="R2321" t="str">
            <v>Chennai</v>
          </cell>
          <cell r="S2321" t="str">
            <v>Desktop</v>
          </cell>
          <cell r="T2321" t="str">
            <v>online data analytic</v>
          </cell>
        </row>
        <row r="2322">
          <cell r="A2322" t="str">
            <v>A3320</v>
          </cell>
          <cell r="B2322" t="str">
            <v>Data Analytics Course</v>
          </cell>
          <cell r="C2322">
            <v>165</v>
          </cell>
          <cell r="D2322">
            <v>165</v>
          </cell>
          <cell r="E2322">
            <v>3005</v>
          </cell>
          <cell r="F2322">
            <v>3005</v>
          </cell>
          <cell r="G2322" t="str">
            <v>$239.14</v>
          </cell>
          <cell r="H2322" t="str">
            <v>$239.14</v>
          </cell>
          <cell r="I2322">
            <v>23</v>
          </cell>
          <cell r="J2322">
            <v>23</v>
          </cell>
          <cell r="K2322">
            <v>6</v>
          </cell>
          <cell r="L2322">
            <v>6</v>
          </cell>
          <cell r="M2322">
            <v>3.6363636363636362E-2</v>
          </cell>
          <cell r="N2322">
            <v>3.5999999999999997E-2</v>
          </cell>
          <cell r="O2322" t="str">
            <v>$1989</v>
          </cell>
          <cell r="P2322" t="str">
            <v>$1989</v>
          </cell>
          <cell r="Q2322">
            <v>45623</v>
          </cell>
          <cell r="R2322" t="str">
            <v>Chennai</v>
          </cell>
          <cell r="S2322" t="str">
            <v>Tablet</v>
          </cell>
          <cell r="T2322" t="str">
            <v>learn data analytics</v>
          </cell>
        </row>
        <row r="2323">
          <cell r="A2323" t="str">
            <v>A3321</v>
          </cell>
          <cell r="B2323" t="str">
            <v>Data Analytics Course</v>
          </cell>
          <cell r="C2323">
            <v>135</v>
          </cell>
          <cell r="D2323">
            <v>135</v>
          </cell>
          <cell r="E2323">
            <v>4740</v>
          </cell>
          <cell r="F2323">
            <v>4740</v>
          </cell>
          <cell r="G2323" t="str">
            <v>$235.55</v>
          </cell>
          <cell r="H2323" t="str">
            <v>$235.55</v>
          </cell>
          <cell r="I2323">
            <v>24</v>
          </cell>
          <cell r="J2323">
            <v>24</v>
          </cell>
          <cell r="K2323">
            <v>4</v>
          </cell>
          <cell r="L2323">
            <v>4</v>
          </cell>
          <cell r="M2323">
            <v>2.9629629629629631E-2</v>
          </cell>
          <cell r="N2323">
            <v>0.03</v>
          </cell>
          <cell r="O2323" t="str">
            <v>$1715</v>
          </cell>
          <cell r="P2323" t="str">
            <v>$1715</v>
          </cell>
          <cell r="Q2323">
            <v>45603</v>
          </cell>
          <cell r="R2323" t="str">
            <v>Chennai</v>
          </cell>
          <cell r="S2323" t="str">
            <v>Desktop</v>
          </cell>
          <cell r="T2323" t="str">
            <v>analytics for data</v>
          </cell>
        </row>
        <row r="2324">
          <cell r="A2324" t="str">
            <v>A3322</v>
          </cell>
          <cell r="B2324" t="str">
            <v>Data Analytics Course</v>
          </cell>
          <cell r="C2324">
            <v>87</v>
          </cell>
          <cell r="D2324">
            <v>87</v>
          </cell>
          <cell r="E2324">
            <v>4379</v>
          </cell>
          <cell r="F2324">
            <v>4379</v>
          </cell>
          <cell r="G2324" t="str">
            <v>$209.25</v>
          </cell>
          <cell r="H2324" t="str">
            <v>$209.25</v>
          </cell>
          <cell r="I2324">
            <v>29</v>
          </cell>
          <cell r="J2324">
            <v>29</v>
          </cell>
          <cell r="K2324">
            <v>10</v>
          </cell>
          <cell r="L2324">
            <v>10</v>
          </cell>
          <cell r="M2324">
            <v>0.11494252873563218</v>
          </cell>
          <cell r="O2324" t="str">
            <v>$1348</v>
          </cell>
          <cell r="P2324" t="str">
            <v>$1348</v>
          </cell>
          <cell r="Q2324">
            <v>45601</v>
          </cell>
          <cell r="R2324" t="str">
            <v>Hyderabad</v>
          </cell>
          <cell r="S2324" t="str">
            <v>Desktop</v>
          </cell>
          <cell r="T2324" t="str">
            <v>learn data analytics</v>
          </cell>
        </row>
        <row r="2325">
          <cell r="A2325" t="str">
            <v>A3323</v>
          </cell>
          <cell r="B2325" t="str">
            <v>Data Analytics Course</v>
          </cell>
          <cell r="C2325">
            <v>164</v>
          </cell>
          <cell r="D2325">
            <v>164</v>
          </cell>
          <cell r="E2325">
            <v>4151</v>
          </cell>
          <cell r="F2325">
            <v>4151</v>
          </cell>
          <cell r="G2325" t="str">
            <v>$219.97</v>
          </cell>
          <cell r="H2325" t="str">
            <v>$219.97</v>
          </cell>
          <cell r="I2325">
            <v>30</v>
          </cell>
          <cell r="J2325">
            <v>30</v>
          </cell>
          <cell r="K2325">
            <v>9</v>
          </cell>
          <cell r="L2325">
            <v>9</v>
          </cell>
          <cell r="M2325">
            <v>5.4878048780487805E-2</v>
          </cell>
          <cell r="N2325">
            <v>5.5E-2</v>
          </cell>
          <cell r="O2325" t="str">
            <v>$1500</v>
          </cell>
          <cell r="Q2325">
            <v>45621</v>
          </cell>
          <cell r="R2325" t="str">
            <v>Bangaluru</v>
          </cell>
          <cell r="S2325" t="str">
            <v>Desktop</v>
          </cell>
          <cell r="T2325" t="str">
            <v>online data analytic</v>
          </cell>
        </row>
        <row r="2326">
          <cell r="A2326" t="str">
            <v>A3324</v>
          </cell>
          <cell r="B2326" t="str">
            <v>Data Analytcis Course</v>
          </cell>
          <cell r="C2326">
            <v>138.95699356913184</v>
          </cell>
          <cell r="E2326">
            <v>3185</v>
          </cell>
          <cell r="F2326">
            <v>3185</v>
          </cell>
          <cell r="G2326" t="str">
            <v>$217.33</v>
          </cell>
          <cell r="H2326" t="str">
            <v>$217.33</v>
          </cell>
          <cell r="I2326">
            <v>21</v>
          </cell>
          <cell r="J2326">
            <v>21</v>
          </cell>
          <cell r="K2326">
            <v>3</v>
          </cell>
          <cell r="L2326">
            <v>3</v>
          </cell>
          <cell r="M2326">
            <v>2.1589413551232915E-2</v>
          </cell>
          <cell r="O2326" t="str">
            <v>$1500</v>
          </cell>
          <cell r="Q2326">
            <v>45611</v>
          </cell>
          <cell r="R2326" t="str">
            <v>Hyderabad</v>
          </cell>
          <cell r="S2326" t="str">
            <v>Mobile</v>
          </cell>
          <cell r="T2326" t="str">
            <v>data analytics training</v>
          </cell>
        </row>
        <row r="2327">
          <cell r="A2327" t="str">
            <v>A3325</v>
          </cell>
          <cell r="B2327" t="str">
            <v>Data Analytics Course</v>
          </cell>
          <cell r="C2327">
            <v>84</v>
          </cell>
          <cell r="D2327">
            <v>84</v>
          </cell>
          <cell r="E2327">
            <v>5652</v>
          </cell>
          <cell r="F2327">
            <v>5652</v>
          </cell>
          <cell r="G2327" t="str">
            <v>$191.93</v>
          </cell>
          <cell r="H2327" t="str">
            <v>$191.93</v>
          </cell>
          <cell r="I2327">
            <v>30</v>
          </cell>
          <cell r="J2327">
            <v>30</v>
          </cell>
          <cell r="K2327">
            <v>8</v>
          </cell>
          <cell r="L2327">
            <v>8</v>
          </cell>
          <cell r="M2327">
            <v>9.5238095238095233E-2</v>
          </cell>
          <cell r="N2327">
            <v>9.5000000000000001E-2</v>
          </cell>
          <cell r="O2327" t="str">
            <v>$1729</v>
          </cell>
          <cell r="P2327" t="str">
            <v>$1729</v>
          </cell>
          <cell r="Q2327">
            <v>45609</v>
          </cell>
          <cell r="R2327" t="str">
            <v>Hyderabad</v>
          </cell>
          <cell r="S2327" t="str">
            <v>Mobile</v>
          </cell>
          <cell r="T2327" t="str">
            <v>data analytics online</v>
          </cell>
        </row>
        <row r="2328">
          <cell r="A2328" t="str">
            <v>A3326</v>
          </cell>
          <cell r="B2328" t="str">
            <v>Data Analytics Course</v>
          </cell>
          <cell r="C2328">
            <v>158</v>
          </cell>
          <cell r="D2328">
            <v>158</v>
          </cell>
          <cell r="E2328">
            <v>4819</v>
          </cell>
          <cell r="F2328">
            <v>4819</v>
          </cell>
          <cell r="G2328" t="str">
            <v>$185.34</v>
          </cell>
          <cell r="H2328" t="str">
            <v>$185.34</v>
          </cell>
          <cell r="I2328">
            <v>17</v>
          </cell>
          <cell r="J2328">
            <v>17</v>
          </cell>
          <cell r="K2328">
            <v>9</v>
          </cell>
          <cell r="L2328">
            <v>9</v>
          </cell>
          <cell r="M2328">
            <v>5.6962025316455694E-2</v>
          </cell>
          <cell r="O2328" t="str">
            <v>$1066</v>
          </cell>
          <cell r="P2328" t="str">
            <v>$1066</v>
          </cell>
          <cell r="Q2328">
            <v>45620</v>
          </cell>
          <cell r="R2328" t="str">
            <v>Hyderabad</v>
          </cell>
          <cell r="S2328" t="str">
            <v>Mobile</v>
          </cell>
          <cell r="T2328" t="str">
            <v>data analytics training</v>
          </cell>
        </row>
        <row r="2329">
          <cell r="A2329" t="str">
            <v>A3327</v>
          </cell>
          <cell r="B2329" t="str">
            <v>Data Analytics Course</v>
          </cell>
          <cell r="C2329">
            <v>90</v>
          </cell>
          <cell r="D2329">
            <v>90</v>
          </cell>
          <cell r="E2329">
            <v>4472</v>
          </cell>
          <cell r="F2329">
            <v>4472</v>
          </cell>
          <cell r="G2329" t="str">
            <v>$237.16</v>
          </cell>
          <cell r="H2329" t="str">
            <v>$237.16</v>
          </cell>
          <cell r="I2329">
            <v>28</v>
          </cell>
          <cell r="J2329">
            <v>28</v>
          </cell>
          <cell r="K2329">
            <v>10</v>
          </cell>
          <cell r="L2329">
            <v>10</v>
          </cell>
          <cell r="M2329">
            <v>0.1111111111111111</v>
          </cell>
          <cell r="N2329">
            <v>5.8999999999999997E-2</v>
          </cell>
          <cell r="O2329" t="str">
            <v>$1629</v>
          </cell>
          <cell r="P2329" t="str">
            <v>$1629</v>
          </cell>
          <cell r="Q2329">
            <v>45609</v>
          </cell>
          <cell r="R2329" t="str">
            <v>Chennai</v>
          </cell>
          <cell r="S2329" t="str">
            <v>Mobile</v>
          </cell>
          <cell r="T2329" t="str">
            <v>learn data analytics</v>
          </cell>
        </row>
        <row r="2330">
          <cell r="A2330" t="str">
            <v>A3328</v>
          </cell>
          <cell r="B2330" t="str">
            <v>Data Analytics Course</v>
          </cell>
          <cell r="C2330">
            <v>197</v>
          </cell>
          <cell r="D2330">
            <v>197</v>
          </cell>
          <cell r="E2330">
            <v>3186</v>
          </cell>
          <cell r="F2330">
            <v>3186</v>
          </cell>
          <cell r="G2330" t="str">
            <v>$194.44</v>
          </cell>
          <cell r="H2330" t="str">
            <v>$194.44</v>
          </cell>
          <cell r="I2330">
            <v>19</v>
          </cell>
          <cell r="J2330">
            <v>19</v>
          </cell>
          <cell r="K2330">
            <v>6</v>
          </cell>
          <cell r="L2330">
            <v>6</v>
          </cell>
          <cell r="M2330">
            <v>3.0456852791878174E-2</v>
          </cell>
          <cell r="N2330">
            <v>0.03</v>
          </cell>
          <cell r="O2330" t="str">
            <v>$1857</v>
          </cell>
          <cell r="P2330" t="str">
            <v>$1857</v>
          </cell>
          <cell r="Q2330">
            <v>45610</v>
          </cell>
          <cell r="R2330" t="str">
            <v>Bangaluru</v>
          </cell>
          <cell r="S2330" t="str">
            <v>Tablet</v>
          </cell>
          <cell r="T2330" t="str">
            <v>data analytics course</v>
          </cell>
        </row>
        <row r="2331">
          <cell r="A2331" t="str">
            <v>A3329</v>
          </cell>
          <cell r="B2331" t="str">
            <v>Data Analytcis Course</v>
          </cell>
          <cell r="C2331">
            <v>133</v>
          </cell>
          <cell r="D2331">
            <v>133</v>
          </cell>
          <cell r="E2331">
            <v>4241</v>
          </cell>
          <cell r="F2331">
            <v>4241</v>
          </cell>
          <cell r="G2331" t="str">
            <v>$197.26</v>
          </cell>
          <cell r="H2331" t="str">
            <v>$197.26</v>
          </cell>
          <cell r="I2331">
            <v>25</v>
          </cell>
          <cell r="J2331">
            <v>25</v>
          </cell>
          <cell r="K2331">
            <v>9</v>
          </cell>
          <cell r="L2331">
            <v>9</v>
          </cell>
          <cell r="M2331">
            <v>6.7669172932330823E-2</v>
          </cell>
          <cell r="N2331">
            <v>6.8000000000000005E-2</v>
          </cell>
          <cell r="O2331" t="str">
            <v>$1325</v>
          </cell>
          <cell r="P2331" t="str">
            <v>$1325</v>
          </cell>
          <cell r="Q2331">
            <v>45622</v>
          </cell>
          <cell r="R2331" t="str">
            <v>Hyderabad</v>
          </cell>
          <cell r="S2331" t="str">
            <v>Tablet</v>
          </cell>
          <cell r="T2331" t="str">
            <v>data analytics training</v>
          </cell>
        </row>
        <row r="2332">
          <cell r="A2332" t="str">
            <v>A3330</v>
          </cell>
          <cell r="B2332" t="str">
            <v>Data Analytcis Course</v>
          </cell>
          <cell r="C2332">
            <v>149</v>
          </cell>
          <cell r="D2332">
            <v>149</v>
          </cell>
          <cell r="E2332">
            <v>5035</v>
          </cell>
          <cell r="F2332">
            <v>5035</v>
          </cell>
          <cell r="G2332" t="str">
            <v>$234.52</v>
          </cell>
          <cell r="H2332" t="str">
            <v>$234.52</v>
          </cell>
          <cell r="I2332">
            <v>28</v>
          </cell>
          <cell r="J2332">
            <v>28</v>
          </cell>
          <cell r="K2332">
            <v>5</v>
          </cell>
          <cell r="L2332">
            <v>5</v>
          </cell>
          <cell r="M2332">
            <v>3.3557046979865772E-2</v>
          </cell>
          <cell r="N2332">
            <v>3.4000000000000002E-2</v>
          </cell>
          <cell r="O2332" t="str">
            <v>$1304</v>
          </cell>
          <cell r="P2332" t="str">
            <v>$1304</v>
          </cell>
          <cell r="Q2332">
            <v>45600</v>
          </cell>
          <cell r="R2332" t="str">
            <v>Hyderabad</v>
          </cell>
          <cell r="S2332" t="str">
            <v>Desktop</v>
          </cell>
          <cell r="T2332" t="str">
            <v>online data analytic</v>
          </cell>
        </row>
        <row r="2333">
          <cell r="A2333" t="str">
            <v>A3331</v>
          </cell>
          <cell r="B2333" t="str">
            <v>Data Analytcis Course</v>
          </cell>
          <cell r="C2333">
            <v>197</v>
          </cell>
          <cell r="D2333">
            <v>197</v>
          </cell>
          <cell r="E2333">
            <v>5686</v>
          </cell>
          <cell r="F2333">
            <v>5686</v>
          </cell>
          <cell r="G2333" t="str">
            <v>$239.76</v>
          </cell>
          <cell r="H2333" t="str">
            <v>$239.76</v>
          </cell>
          <cell r="I2333">
            <v>27</v>
          </cell>
          <cell r="J2333">
            <v>27</v>
          </cell>
          <cell r="K2333">
            <v>9</v>
          </cell>
          <cell r="L2333">
            <v>9</v>
          </cell>
          <cell r="M2333">
            <v>4.5685279187817257E-2</v>
          </cell>
          <cell r="N2333">
            <v>5.6000000000000001E-2</v>
          </cell>
          <cell r="O2333" t="str">
            <v>$1462</v>
          </cell>
          <cell r="P2333" t="str">
            <v>$1462</v>
          </cell>
          <cell r="Q2333">
            <v>45613</v>
          </cell>
          <cell r="R2333" t="str">
            <v>Hyderabad</v>
          </cell>
          <cell r="S2333" t="str">
            <v>Desktop</v>
          </cell>
          <cell r="T2333" t="str">
            <v>data analytics online</v>
          </cell>
        </row>
        <row r="2334">
          <cell r="A2334" t="str">
            <v>A3332</v>
          </cell>
          <cell r="B2334" t="str">
            <v>Data Analytics Course</v>
          </cell>
          <cell r="C2334">
            <v>157</v>
          </cell>
          <cell r="D2334">
            <v>157</v>
          </cell>
          <cell r="E2334">
            <v>4062</v>
          </cell>
          <cell r="F2334">
            <v>4062</v>
          </cell>
          <cell r="G2334" t="str">
            <v>$223.72</v>
          </cell>
          <cell r="H2334" t="str">
            <v>$223.72</v>
          </cell>
          <cell r="I2334">
            <v>24</v>
          </cell>
          <cell r="J2334">
            <v>24</v>
          </cell>
          <cell r="K2334">
            <v>8</v>
          </cell>
          <cell r="L2334">
            <v>8</v>
          </cell>
          <cell r="M2334">
            <v>5.0955414012738856E-2</v>
          </cell>
          <cell r="N2334">
            <v>5.0999999999999997E-2</v>
          </cell>
          <cell r="O2334" t="str">
            <v>$1500</v>
          </cell>
          <cell r="Q2334">
            <v>45621</v>
          </cell>
          <cell r="R2334" t="str">
            <v>Hyderabad</v>
          </cell>
          <cell r="S2334" t="str">
            <v>Tablet</v>
          </cell>
          <cell r="T2334" t="str">
            <v>data analytics online</v>
          </cell>
        </row>
        <row r="2335">
          <cell r="A2335" t="str">
            <v>A3333</v>
          </cell>
          <cell r="B2335" t="str">
            <v>Data Analytics Course</v>
          </cell>
          <cell r="C2335">
            <v>102</v>
          </cell>
          <cell r="D2335">
            <v>102</v>
          </cell>
          <cell r="E2335">
            <v>3113</v>
          </cell>
          <cell r="F2335">
            <v>3113</v>
          </cell>
          <cell r="G2335" t="str">
            <v>$202.77</v>
          </cell>
          <cell r="H2335" t="str">
            <v>$202.77</v>
          </cell>
          <cell r="I2335">
            <v>22</v>
          </cell>
          <cell r="J2335">
            <v>22</v>
          </cell>
          <cell r="K2335">
            <v>7</v>
          </cell>
          <cell r="L2335">
            <v>7</v>
          </cell>
          <cell r="M2335">
            <v>6.8627450980392163E-2</v>
          </cell>
          <cell r="N2335">
            <v>6.9000000000000006E-2</v>
          </cell>
          <cell r="O2335" t="str">
            <v>$1997</v>
          </cell>
          <cell r="P2335" t="str">
            <v>$1997</v>
          </cell>
          <cell r="Q2335">
            <v>45602</v>
          </cell>
          <cell r="R2335" t="str">
            <v>Bangaluru</v>
          </cell>
          <cell r="S2335" t="str">
            <v>Desktop</v>
          </cell>
          <cell r="T2335" t="str">
            <v>online data analytic</v>
          </cell>
        </row>
        <row r="2336">
          <cell r="A2336" t="str">
            <v>A3334</v>
          </cell>
          <cell r="B2336" t="str">
            <v>Data Analytics Course</v>
          </cell>
          <cell r="C2336">
            <v>175</v>
          </cell>
          <cell r="D2336">
            <v>175</v>
          </cell>
          <cell r="E2336">
            <v>3958</v>
          </cell>
          <cell r="F2336">
            <v>3958</v>
          </cell>
          <cell r="G2336" t="str">
            <v>$193.52</v>
          </cell>
          <cell r="H2336" t="str">
            <v>$193.52</v>
          </cell>
          <cell r="I2336">
            <v>23</v>
          </cell>
          <cell r="J2336">
            <v>23</v>
          </cell>
          <cell r="K2336">
            <v>8</v>
          </cell>
          <cell r="L2336">
            <v>8</v>
          </cell>
          <cell r="M2336">
            <v>4.5714285714285714E-2</v>
          </cell>
          <cell r="N2336">
            <v>4.5999999999999999E-2</v>
          </cell>
          <cell r="O2336" t="str">
            <v>$1064</v>
          </cell>
          <cell r="P2336" t="str">
            <v>$1064</v>
          </cell>
          <cell r="Q2336">
            <v>45600</v>
          </cell>
          <cell r="R2336" t="str">
            <v>Hyderabad</v>
          </cell>
          <cell r="S2336" t="str">
            <v>Mobile</v>
          </cell>
          <cell r="T2336" t="str">
            <v>data analytics course</v>
          </cell>
        </row>
        <row r="2337">
          <cell r="A2337" t="str">
            <v>A3335</v>
          </cell>
          <cell r="B2337" t="str">
            <v>Data Analytcis Course</v>
          </cell>
          <cell r="C2337">
            <v>101</v>
          </cell>
          <cell r="D2337">
            <v>101</v>
          </cell>
          <cell r="E2337">
            <v>3317</v>
          </cell>
          <cell r="F2337">
            <v>3317</v>
          </cell>
          <cell r="G2337" t="str">
            <v>$200.00</v>
          </cell>
          <cell r="I2337">
            <v>23</v>
          </cell>
          <cell r="J2337">
            <v>23</v>
          </cell>
          <cell r="K2337">
            <v>4</v>
          </cell>
          <cell r="L2337">
            <v>4</v>
          </cell>
          <cell r="M2337">
            <v>3.9603960396039604E-2</v>
          </cell>
          <cell r="N2337">
            <v>0.04</v>
          </cell>
          <cell r="O2337" t="str">
            <v>$1716</v>
          </cell>
          <cell r="P2337" t="str">
            <v>$1716</v>
          </cell>
          <cell r="Q2337">
            <v>45606</v>
          </cell>
          <cell r="R2337" t="str">
            <v>Chennai</v>
          </cell>
          <cell r="S2337" t="str">
            <v>Desktop</v>
          </cell>
          <cell r="T2337" t="str">
            <v>data analytics course</v>
          </cell>
        </row>
        <row r="2338">
          <cell r="A2338" t="str">
            <v>A3336</v>
          </cell>
          <cell r="B2338" t="str">
            <v>Data Analytics Course</v>
          </cell>
          <cell r="C2338">
            <v>127</v>
          </cell>
          <cell r="D2338">
            <v>127</v>
          </cell>
          <cell r="E2338">
            <v>4226</v>
          </cell>
          <cell r="F2338">
            <v>4226</v>
          </cell>
          <cell r="G2338" t="str">
            <v>$184.46</v>
          </cell>
          <cell r="H2338" t="str">
            <v>$184.46</v>
          </cell>
          <cell r="I2338">
            <v>10</v>
          </cell>
          <cell r="J2338">
            <v>10</v>
          </cell>
          <cell r="K2338">
            <v>9</v>
          </cell>
          <cell r="L2338">
            <v>9</v>
          </cell>
          <cell r="M2338">
            <v>7.0866141732283464E-2</v>
          </cell>
          <cell r="N2338">
            <v>7.0999999999999994E-2</v>
          </cell>
          <cell r="O2338" t="str">
            <v>$1427</v>
          </cell>
          <cell r="P2338" t="str">
            <v>$1427</v>
          </cell>
          <cell r="Q2338">
            <v>45604</v>
          </cell>
          <cell r="R2338" t="str">
            <v>Bangaluru</v>
          </cell>
          <cell r="S2338" t="str">
            <v>Desktop</v>
          </cell>
          <cell r="T2338" t="str">
            <v>data analytics course</v>
          </cell>
        </row>
        <row r="2339">
          <cell r="A2339" t="str">
            <v>A3337</v>
          </cell>
          <cell r="B2339" t="str">
            <v>Data Analytics Course</v>
          </cell>
          <cell r="C2339">
            <v>148</v>
          </cell>
          <cell r="D2339">
            <v>148</v>
          </cell>
          <cell r="E2339">
            <v>3469</v>
          </cell>
          <cell r="F2339">
            <v>3469</v>
          </cell>
          <cell r="G2339" t="str">
            <v>$212.07</v>
          </cell>
          <cell r="H2339" t="str">
            <v>$212.07</v>
          </cell>
          <cell r="I2339">
            <v>14</v>
          </cell>
          <cell r="J2339">
            <v>14</v>
          </cell>
          <cell r="K2339">
            <v>9</v>
          </cell>
          <cell r="L2339">
            <v>9</v>
          </cell>
          <cell r="M2339">
            <v>6.0810810810810814E-2</v>
          </cell>
          <cell r="O2339" t="str">
            <v>$1898</v>
          </cell>
          <cell r="P2339" t="str">
            <v>$1898</v>
          </cell>
          <cell r="Q2339">
            <v>45626</v>
          </cell>
          <cell r="R2339" t="str">
            <v>Bangaluru</v>
          </cell>
          <cell r="S2339" t="str">
            <v>Tablet</v>
          </cell>
          <cell r="T2339" t="str">
            <v>data analytics online</v>
          </cell>
        </row>
        <row r="2340">
          <cell r="A2340" t="str">
            <v>A3338</v>
          </cell>
          <cell r="B2340" t="str">
            <v>Data Analytics Course</v>
          </cell>
          <cell r="C2340">
            <v>181</v>
          </cell>
          <cell r="D2340">
            <v>181</v>
          </cell>
          <cell r="E2340">
            <v>3859</v>
          </cell>
          <cell r="F2340">
            <v>3859</v>
          </cell>
          <cell r="G2340" t="str">
            <v>$246.36</v>
          </cell>
          <cell r="H2340" t="str">
            <v>$246.36</v>
          </cell>
          <cell r="I2340">
            <v>22</v>
          </cell>
          <cell r="J2340">
            <v>22</v>
          </cell>
          <cell r="K2340">
            <v>9</v>
          </cell>
          <cell r="L2340">
            <v>9</v>
          </cell>
          <cell r="M2340">
            <v>4.9723756906077346E-2</v>
          </cell>
          <cell r="N2340">
            <v>5.6000000000000001E-2</v>
          </cell>
          <cell r="O2340" t="str">
            <v>$1769</v>
          </cell>
          <cell r="P2340" t="str">
            <v>$1769</v>
          </cell>
          <cell r="Q2340">
            <v>45597</v>
          </cell>
          <cell r="R2340" t="str">
            <v>Chennai</v>
          </cell>
          <cell r="S2340" t="str">
            <v>Mobile</v>
          </cell>
          <cell r="T2340" t="str">
            <v>online data analytic</v>
          </cell>
        </row>
        <row r="2341">
          <cell r="A2341" t="str">
            <v>A3339</v>
          </cell>
          <cell r="B2341" t="str">
            <v>Data Analytics Course</v>
          </cell>
          <cell r="C2341">
            <v>140</v>
          </cell>
          <cell r="D2341">
            <v>140</v>
          </cell>
          <cell r="E2341">
            <v>3389</v>
          </cell>
          <cell r="F2341">
            <v>3389</v>
          </cell>
          <cell r="G2341" t="str">
            <v>$183.33</v>
          </cell>
          <cell r="H2341" t="str">
            <v>$183.33</v>
          </cell>
          <cell r="I2341">
            <v>28</v>
          </cell>
          <cell r="J2341">
            <v>28</v>
          </cell>
          <cell r="K2341">
            <v>6</v>
          </cell>
          <cell r="L2341">
            <v>6</v>
          </cell>
          <cell r="M2341">
            <v>4.2857142857142858E-2</v>
          </cell>
          <cell r="N2341">
            <v>4.2999999999999997E-2</v>
          </cell>
          <cell r="O2341" t="str">
            <v>$1385</v>
          </cell>
          <cell r="P2341" t="str">
            <v>$1385</v>
          </cell>
          <cell r="Q2341">
            <v>45604</v>
          </cell>
          <cell r="R2341" t="str">
            <v>Hyderabad</v>
          </cell>
          <cell r="S2341" t="str">
            <v>Mobile</v>
          </cell>
          <cell r="T2341" t="str">
            <v>online data analytic</v>
          </cell>
        </row>
        <row r="2342">
          <cell r="A2342" t="str">
            <v>A3340</v>
          </cell>
          <cell r="B2342" t="str">
            <v>Data Analytcis Course</v>
          </cell>
          <cell r="C2342">
            <v>146</v>
          </cell>
          <cell r="D2342">
            <v>146</v>
          </cell>
          <cell r="E2342">
            <v>5075</v>
          </cell>
          <cell r="F2342">
            <v>5075</v>
          </cell>
          <cell r="G2342" t="str">
            <v>$200.00</v>
          </cell>
          <cell r="I2342">
            <v>13</v>
          </cell>
          <cell r="J2342">
            <v>13</v>
          </cell>
          <cell r="K2342">
            <v>9</v>
          </cell>
          <cell r="L2342">
            <v>9</v>
          </cell>
          <cell r="M2342">
            <v>6.1643835616438353E-2</v>
          </cell>
          <cell r="N2342">
            <v>5.6000000000000001E-2</v>
          </cell>
          <cell r="O2342" t="str">
            <v>$1353</v>
          </cell>
          <cell r="P2342" t="str">
            <v>$1353</v>
          </cell>
          <cell r="Q2342">
            <v>45622</v>
          </cell>
          <cell r="R2342" t="str">
            <v>Bangaluru</v>
          </cell>
          <cell r="S2342" t="str">
            <v>Tablet</v>
          </cell>
          <cell r="T2342" t="str">
            <v>analytics for data</v>
          </cell>
        </row>
        <row r="2343">
          <cell r="A2343" t="str">
            <v>A3341</v>
          </cell>
          <cell r="B2343" t="str">
            <v>Data Analytics Course</v>
          </cell>
          <cell r="C2343">
            <v>148</v>
          </cell>
          <cell r="D2343">
            <v>148</v>
          </cell>
          <cell r="E2343">
            <v>3269</v>
          </cell>
          <cell r="F2343">
            <v>3269</v>
          </cell>
          <cell r="G2343" t="str">
            <v>$191.73</v>
          </cell>
          <cell r="H2343" t="str">
            <v>$191.73</v>
          </cell>
          <cell r="I2343">
            <v>18</v>
          </cell>
          <cell r="J2343">
            <v>18</v>
          </cell>
          <cell r="K2343">
            <v>9</v>
          </cell>
          <cell r="L2343">
            <v>9</v>
          </cell>
          <cell r="M2343">
            <v>6.0810810810810814E-2</v>
          </cell>
          <cell r="N2343">
            <v>6.0999999999999999E-2</v>
          </cell>
          <cell r="O2343" t="str">
            <v>$1396</v>
          </cell>
          <cell r="P2343" t="str">
            <v>$1396</v>
          </cell>
          <cell r="Q2343">
            <v>45606</v>
          </cell>
          <cell r="R2343" t="str">
            <v>Chennai</v>
          </cell>
          <cell r="S2343" t="str">
            <v>Mobile</v>
          </cell>
          <cell r="T2343" t="str">
            <v>learn data analytics</v>
          </cell>
        </row>
        <row r="2344">
          <cell r="A2344" t="str">
            <v>A3342</v>
          </cell>
          <cell r="B2344" t="str">
            <v>Data Analytics Course</v>
          </cell>
          <cell r="C2344">
            <v>101</v>
          </cell>
          <cell r="D2344">
            <v>101</v>
          </cell>
          <cell r="E2344">
            <v>4814</v>
          </cell>
          <cell r="F2344">
            <v>4814</v>
          </cell>
          <cell r="G2344" t="str">
            <v>$191.43</v>
          </cell>
          <cell r="H2344" t="str">
            <v>$191.43</v>
          </cell>
          <cell r="I2344">
            <v>17</v>
          </cell>
          <cell r="J2344">
            <v>17</v>
          </cell>
          <cell r="K2344">
            <v>7</v>
          </cell>
          <cell r="L2344">
            <v>7</v>
          </cell>
          <cell r="M2344">
            <v>6.9306930693069313E-2</v>
          </cell>
          <cell r="N2344">
            <v>6.9000000000000006E-2</v>
          </cell>
          <cell r="O2344" t="str">
            <v>$1112</v>
          </cell>
          <cell r="P2344" t="str">
            <v>$1112</v>
          </cell>
          <cell r="Q2344">
            <v>45616</v>
          </cell>
          <cell r="R2344" t="str">
            <v>Hyderabad</v>
          </cell>
          <cell r="S2344" t="str">
            <v>Desktop</v>
          </cell>
          <cell r="T2344" t="str">
            <v>learn data analytics</v>
          </cell>
        </row>
        <row r="2345">
          <cell r="A2345" t="str">
            <v>A3343</v>
          </cell>
          <cell r="B2345" t="str">
            <v>Data Analytcis Course</v>
          </cell>
          <cell r="C2345">
            <v>179</v>
          </cell>
          <cell r="D2345">
            <v>179</v>
          </cell>
          <cell r="E2345">
            <v>5145</v>
          </cell>
          <cell r="F2345">
            <v>5145</v>
          </cell>
          <cell r="G2345" t="str">
            <v>$223.04</v>
          </cell>
          <cell r="H2345" t="str">
            <v>$223.04</v>
          </cell>
          <cell r="I2345">
            <v>29</v>
          </cell>
          <cell r="J2345">
            <v>29</v>
          </cell>
          <cell r="K2345">
            <v>9</v>
          </cell>
          <cell r="L2345">
            <v>9</v>
          </cell>
          <cell r="M2345">
            <v>5.027932960893855E-2</v>
          </cell>
          <cell r="N2345">
            <v>0.05</v>
          </cell>
          <cell r="O2345" t="str">
            <v>$1002</v>
          </cell>
          <cell r="P2345" t="str">
            <v>$1002</v>
          </cell>
          <cell r="Q2345">
            <v>45604</v>
          </cell>
          <cell r="R2345" t="str">
            <v>Hyderabad</v>
          </cell>
          <cell r="S2345" t="str">
            <v>Mobile</v>
          </cell>
          <cell r="T2345" t="str">
            <v>data analytics training</v>
          </cell>
        </row>
        <row r="2346">
          <cell r="A2346" t="str">
            <v>A3344</v>
          </cell>
          <cell r="B2346" t="str">
            <v>Data Analytcis Course</v>
          </cell>
          <cell r="C2346">
            <v>151</v>
          </cell>
          <cell r="D2346">
            <v>151</v>
          </cell>
          <cell r="E2346">
            <v>4107</v>
          </cell>
          <cell r="F2346">
            <v>4107</v>
          </cell>
          <cell r="G2346" t="str">
            <v>$183.81</v>
          </cell>
          <cell r="H2346" t="str">
            <v>$183.81</v>
          </cell>
          <cell r="I2346">
            <v>21</v>
          </cell>
          <cell r="J2346">
            <v>21</v>
          </cell>
          <cell r="K2346">
            <v>10</v>
          </cell>
          <cell r="L2346">
            <v>10</v>
          </cell>
          <cell r="M2346">
            <v>6.6225165562913912E-2</v>
          </cell>
          <cell r="N2346">
            <v>6.6000000000000003E-2</v>
          </cell>
          <cell r="O2346" t="str">
            <v>$1872</v>
          </cell>
          <cell r="P2346" t="str">
            <v>$1872</v>
          </cell>
          <cell r="Q2346">
            <v>45607</v>
          </cell>
          <cell r="R2346" t="str">
            <v>Hyderabad</v>
          </cell>
          <cell r="S2346" t="str">
            <v>Desktop</v>
          </cell>
          <cell r="T2346" t="str">
            <v>data analytics course</v>
          </cell>
        </row>
        <row r="2347">
          <cell r="A2347" t="str">
            <v>A3345</v>
          </cell>
          <cell r="B2347" t="str">
            <v>Data Analytcis Course</v>
          </cell>
          <cell r="C2347">
            <v>195</v>
          </cell>
          <cell r="D2347">
            <v>195</v>
          </cell>
          <cell r="E2347">
            <v>3221</v>
          </cell>
          <cell r="F2347">
            <v>3221</v>
          </cell>
          <cell r="G2347" t="str">
            <v>$185.08</v>
          </cell>
          <cell r="H2347" t="str">
            <v>$185.08</v>
          </cell>
          <cell r="I2347">
            <v>19</v>
          </cell>
          <cell r="J2347">
            <v>19</v>
          </cell>
          <cell r="K2347">
            <v>10</v>
          </cell>
          <cell r="L2347">
            <v>10</v>
          </cell>
          <cell r="M2347">
            <v>5.128205128205128E-2</v>
          </cell>
          <cell r="N2347">
            <v>4.2000000000000003E-2</v>
          </cell>
          <cell r="O2347" t="str">
            <v>$1905</v>
          </cell>
          <cell r="P2347" t="str">
            <v>$1905</v>
          </cell>
          <cell r="Q2347">
            <v>45622</v>
          </cell>
          <cell r="R2347" t="str">
            <v>Bangaluru</v>
          </cell>
          <cell r="S2347" t="str">
            <v>Tablet</v>
          </cell>
          <cell r="T2347" t="str">
            <v>data analytics course</v>
          </cell>
        </row>
        <row r="2348">
          <cell r="A2348" t="str">
            <v>A3346</v>
          </cell>
          <cell r="B2348" t="str">
            <v>Data Analytics Course</v>
          </cell>
          <cell r="C2348">
            <v>169</v>
          </cell>
          <cell r="D2348">
            <v>169</v>
          </cell>
          <cell r="E2348">
            <v>4846</v>
          </cell>
          <cell r="F2348">
            <v>4846</v>
          </cell>
          <cell r="G2348" t="str">
            <v>$230.53</v>
          </cell>
          <cell r="H2348" t="str">
            <v>$230.53</v>
          </cell>
          <cell r="I2348">
            <v>15</v>
          </cell>
          <cell r="J2348">
            <v>15</v>
          </cell>
          <cell r="K2348">
            <v>8</v>
          </cell>
          <cell r="L2348">
            <v>8</v>
          </cell>
          <cell r="M2348">
            <v>4.7337278106508875E-2</v>
          </cell>
          <cell r="O2348" t="str">
            <v>$1103</v>
          </cell>
          <cell r="P2348" t="str">
            <v>$1103</v>
          </cell>
          <cell r="Q2348">
            <v>45600</v>
          </cell>
          <cell r="R2348" t="str">
            <v>Chennai</v>
          </cell>
          <cell r="S2348" t="str">
            <v>Mobile</v>
          </cell>
          <cell r="T2348" t="str">
            <v>data analytics training</v>
          </cell>
        </row>
        <row r="2349">
          <cell r="A2349" t="str">
            <v>A3347</v>
          </cell>
          <cell r="B2349" t="str">
            <v>Data Analytics Course</v>
          </cell>
          <cell r="C2349">
            <v>161</v>
          </cell>
          <cell r="D2349">
            <v>161</v>
          </cell>
          <cell r="E2349">
            <v>3160</v>
          </cell>
          <cell r="F2349">
            <v>3160</v>
          </cell>
          <cell r="G2349" t="str">
            <v>$229.71</v>
          </cell>
          <cell r="H2349" t="str">
            <v>$229.71</v>
          </cell>
          <cell r="I2349">
            <v>17</v>
          </cell>
          <cell r="J2349">
            <v>17</v>
          </cell>
          <cell r="K2349">
            <v>3</v>
          </cell>
          <cell r="L2349">
            <v>3</v>
          </cell>
          <cell r="M2349">
            <v>1.8633540372670808E-2</v>
          </cell>
          <cell r="N2349">
            <v>1.9E-2</v>
          </cell>
          <cell r="O2349" t="str">
            <v>$1817</v>
          </cell>
          <cell r="P2349" t="str">
            <v>$1817</v>
          </cell>
          <cell r="Q2349">
            <v>45597</v>
          </cell>
          <cell r="R2349" t="str">
            <v>Hyderabad</v>
          </cell>
          <cell r="S2349" t="str">
            <v>Mobile</v>
          </cell>
          <cell r="T2349" t="str">
            <v>data analytics training</v>
          </cell>
        </row>
        <row r="2350">
          <cell r="A2350" t="str">
            <v>A3348</v>
          </cell>
          <cell r="B2350" t="str">
            <v>Data Analytics Course</v>
          </cell>
          <cell r="C2350">
            <v>156</v>
          </cell>
          <cell r="D2350">
            <v>156</v>
          </cell>
          <cell r="E2350">
            <v>5095</v>
          </cell>
          <cell r="F2350">
            <v>5095</v>
          </cell>
          <cell r="G2350" t="str">
            <v>$214.32</v>
          </cell>
          <cell r="H2350" t="str">
            <v>$214.32</v>
          </cell>
          <cell r="I2350">
            <v>30</v>
          </cell>
          <cell r="J2350">
            <v>30</v>
          </cell>
          <cell r="K2350">
            <v>9</v>
          </cell>
          <cell r="L2350">
            <v>9</v>
          </cell>
          <cell r="M2350">
            <v>5.7692307692307696E-2</v>
          </cell>
          <cell r="O2350" t="str">
            <v>$1444</v>
          </cell>
          <cell r="P2350" t="str">
            <v>$1444</v>
          </cell>
          <cell r="Q2350">
            <v>45623</v>
          </cell>
          <cell r="R2350" t="str">
            <v>Hyderabad</v>
          </cell>
          <cell r="S2350" t="str">
            <v>Mobile</v>
          </cell>
          <cell r="T2350" t="str">
            <v>data analytics online</v>
          </cell>
        </row>
        <row r="2351">
          <cell r="A2351" t="str">
            <v>A3349</v>
          </cell>
          <cell r="B2351" t="str">
            <v>Data Analytics Course</v>
          </cell>
          <cell r="C2351">
            <v>148</v>
          </cell>
          <cell r="D2351">
            <v>148</v>
          </cell>
          <cell r="E2351">
            <v>3957</v>
          </cell>
          <cell r="F2351">
            <v>3957</v>
          </cell>
          <cell r="G2351" t="str">
            <v>$200.00</v>
          </cell>
          <cell r="I2351">
            <v>20</v>
          </cell>
          <cell r="J2351">
            <v>20</v>
          </cell>
          <cell r="K2351">
            <v>10</v>
          </cell>
          <cell r="L2351">
            <v>10</v>
          </cell>
          <cell r="M2351">
            <v>6.7567567567567571E-2</v>
          </cell>
          <cell r="N2351">
            <v>6.8000000000000005E-2</v>
          </cell>
          <cell r="O2351" t="str">
            <v>$1288</v>
          </cell>
          <cell r="P2351" t="str">
            <v>$1288</v>
          </cell>
          <cell r="Q2351">
            <v>45606</v>
          </cell>
          <cell r="R2351" t="str">
            <v>Chennai</v>
          </cell>
          <cell r="S2351" t="str">
            <v>Tablet</v>
          </cell>
          <cell r="T2351" t="str">
            <v>data analytics online</v>
          </cell>
        </row>
        <row r="2352">
          <cell r="A2352" t="str">
            <v>A3350</v>
          </cell>
          <cell r="B2352" t="str">
            <v>Data Analytcis Course</v>
          </cell>
          <cell r="C2352">
            <v>126</v>
          </cell>
          <cell r="D2352">
            <v>126</v>
          </cell>
          <cell r="E2352">
            <v>4920</v>
          </cell>
          <cell r="F2352">
            <v>4920</v>
          </cell>
          <cell r="G2352" t="str">
            <v>$182.36</v>
          </cell>
          <cell r="H2352" t="str">
            <v>$182.36</v>
          </cell>
          <cell r="I2352">
            <v>27</v>
          </cell>
          <cell r="J2352">
            <v>27</v>
          </cell>
          <cell r="K2352">
            <v>5</v>
          </cell>
          <cell r="L2352">
            <v>5</v>
          </cell>
          <cell r="M2352">
            <v>3.968253968253968E-2</v>
          </cell>
          <cell r="N2352">
            <v>0.04</v>
          </cell>
          <cell r="O2352" t="str">
            <v>$1933</v>
          </cell>
          <cell r="P2352" t="str">
            <v>$1933</v>
          </cell>
          <cell r="Q2352">
            <v>45600</v>
          </cell>
          <cell r="R2352" t="str">
            <v>Chennai</v>
          </cell>
          <cell r="S2352" t="str">
            <v>Tablet</v>
          </cell>
          <cell r="T2352" t="str">
            <v>data analytics online</v>
          </cell>
        </row>
        <row r="2353">
          <cell r="A2353" t="str">
            <v>A3351</v>
          </cell>
          <cell r="B2353" t="str">
            <v>Data Analytics Course</v>
          </cell>
          <cell r="C2353">
            <v>189</v>
          </cell>
          <cell r="D2353">
            <v>189</v>
          </cell>
          <cell r="E2353">
            <v>3588</v>
          </cell>
          <cell r="F2353">
            <v>3588</v>
          </cell>
          <cell r="G2353" t="str">
            <v>$191.74</v>
          </cell>
          <cell r="H2353" t="str">
            <v>$191.74</v>
          </cell>
          <cell r="I2353">
            <v>22</v>
          </cell>
          <cell r="J2353">
            <v>22</v>
          </cell>
          <cell r="K2353">
            <v>9</v>
          </cell>
          <cell r="L2353">
            <v>9</v>
          </cell>
          <cell r="M2353">
            <v>4.7619047619047616E-2</v>
          </cell>
          <cell r="O2353" t="str">
            <v>$1893</v>
          </cell>
          <cell r="P2353" t="str">
            <v>$1893</v>
          </cell>
          <cell r="Q2353">
            <v>45621</v>
          </cell>
          <cell r="R2353" t="str">
            <v>Bangaluru</v>
          </cell>
          <cell r="S2353" t="str">
            <v>Desktop</v>
          </cell>
          <cell r="T2353" t="str">
            <v>data analytics course</v>
          </cell>
        </row>
        <row r="2354">
          <cell r="A2354" t="str">
            <v>A3352</v>
          </cell>
          <cell r="B2354" t="str">
            <v>Data Analytics Course</v>
          </cell>
          <cell r="C2354">
            <v>119</v>
          </cell>
          <cell r="D2354">
            <v>119</v>
          </cell>
          <cell r="E2354">
            <v>4927</v>
          </cell>
          <cell r="F2354">
            <v>4927</v>
          </cell>
          <cell r="G2354" t="str">
            <v>$223.35</v>
          </cell>
          <cell r="H2354" t="str">
            <v>$223.35</v>
          </cell>
          <cell r="I2354">
            <v>16</v>
          </cell>
          <cell r="J2354">
            <v>16</v>
          </cell>
          <cell r="K2354">
            <v>3</v>
          </cell>
          <cell r="L2354">
            <v>3</v>
          </cell>
          <cell r="M2354">
            <v>2.5210084033613446E-2</v>
          </cell>
          <cell r="O2354" t="str">
            <v>$1377</v>
          </cell>
          <cell r="P2354" t="str">
            <v>$1377</v>
          </cell>
          <cell r="Q2354">
            <v>45610</v>
          </cell>
          <cell r="R2354" t="str">
            <v>Bangaluru</v>
          </cell>
          <cell r="S2354" t="str">
            <v>Mobile</v>
          </cell>
          <cell r="T2354" t="str">
            <v>data analytics training</v>
          </cell>
        </row>
        <row r="2355">
          <cell r="A2355" t="str">
            <v>A3353</v>
          </cell>
          <cell r="B2355" t="str">
            <v>Data Analytics Course</v>
          </cell>
          <cell r="C2355">
            <v>138.95699356913184</v>
          </cell>
          <cell r="E2355">
            <v>4523.2808326787117</v>
          </cell>
          <cell r="G2355" t="str">
            <v>$200.54</v>
          </cell>
          <cell r="H2355" t="str">
            <v>$200.54</v>
          </cell>
          <cell r="I2355">
            <v>30</v>
          </cell>
          <cell r="J2355">
            <v>30</v>
          </cell>
          <cell r="K2355">
            <v>5</v>
          </cell>
          <cell r="L2355">
            <v>5</v>
          </cell>
          <cell r="M2355">
            <v>3.5982355918721523E-2</v>
          </cell>
          <cell r="N2355">
            <v>3.2000000000000001E-2</v>
          </cell>
          <cell r="O2355" t="str">
            <v>$1500</v>
          </cell>
          <cell r="Q2355">
            <v>45597</v>
          </cell>
          <cell r="R2355" t="str">
            <v>Chennai</v>
          </cell>
          <cell r="S2355" t="str">
            <v>Desktop</v>
          </cell>
          <cell r="T2355" t="str">
            <v>analytics for data</v>
          </cell>
        </row>
        <row r="2356">
          <cell r="A2356" t="str">
            <v>A3354</v>
          </cell>
          <cell r="B2356" t="str">
            <v>Data Analytcis Course</v>
          </cell>
          <cell r="C2356">
            <v>127</v>
          </cell>
          <cell r="D2356">
            <v>127</v>
          </cell>
          <cell r="E2356">
            <v>5742</v>
          </cell>
          <cell r="F2356">
            <v>5742</v>
          </cell>
          <cell r="G2356" t="str">
            <v>$233.98</v>
          </cell>
          <cell r="H2356" t="str">
            <v>$233.98</v>
          </cell>
          <cell r="I2356">
            <v>13</v>
          </cell>
          <cell r="J2356">
            <v>13</v>
          </cell>
          <cell r="K2356">
            <v>4</v>
          </cell>
          <cell r="L2356">
            <v>4</v>
          </cell>
          <cell r="M2356">
            <v>3.1496062992125984E-2</v>
          </cell>
          <cell r="N2356">
            <v>3.1E-2</v>
          </cell>
          <cell r="O2356" t="str">
            <v>$1743</v>
          </cell>
          <cell r="P2356" t="str">
            <v>$1743</v>
          </cell>
          <cell r="Q2356">
            <v>45608</v>
          </cell>
          <cell r="R2356" t="str">
            <v>Chennai</v>
          </cell>
          <cell r="S2356" t="str">
            <v>Tablet</v>
          </cell>
          <cell r="T2356" t="str">
            <v>data analytics course</v>
          </cell>
        </row>
        <row r="2357">
          <cell r="A2357" t="str">
            <v>A3355</v>
          </cell>
          <cell r="B2357" t="str">
            <v>Data Analytics Course</v>
          </cell>
          <cell r="C2357">
            <v>106</v>
          </cell>
          <cell r="D2357">
            <v>106</v>
          </cell>
          <cell r="E2357">
            <v>4474</v>
          </cell>
          <cell r="F2357">
            <v>4474</v>
          </cell>
          <cell r="G2357" t="str">
            <v>$181.48</v>
          </cell>
          <cell r="H2357" t="str">
            <v>$181.48</v>
          </cell>
          <cell r="I2357">
            <v>17</v>
          </cell>
          <cell r="J2357">
            <v>17</v>
          </cell>
          <cell r="K2357">
            <v>10</v>
          </cell>
          <cell r="L2357">
            <v>10</v>
          </cell>
          <cell r="M2357">
            <v>9.4339622641509441E-2</v>
          </cell>
          <cell r="N2357">
            <v>9.4E-2</v>
          </cell>
          <cell r="O2357" t="str">
            <v>$1189</v>
          </cell>
          <cell r="P2357" t="str">
            <v>$1189</v>
          </cell>
          <cell r="Q2357">
            <v>45616</v>
          </cell>
          <cell r="R2357" t="str">
            <v>Bangaluru</v>
          </cell>
          <cell r="S2357" t="str">
            <v>Tablet</v>
          </cell>
          <cell r="T2357" t="str">
            <v>analytics for data</v>
          </cell>
        </row>
        <row r="2358">
          <cell r="A2358" t="str">
            <v>A3356</v>
          </cell>
          <cell r="B2358" t="str">
            <v>Data Analytcis Course</v>
          </cell>
          <cell r="C2358">
            <v>119</v>
          </cell>
          <cell r="D2358">
            <v>119</v>
          </cell>
          <cell r="E2358">
            <v>4322</v>
          </cell>
          <cell r="F2358">
            <v>4322</v>
          </cell>
          <cell r="G2358" t="str">
            <v>$183.0</v>
          </cell>
          <cell r="H2358" t="str">
            <v>$183.0</v>
          </cell>
          <cell r="I2358">
            <v>24</v>
          </cell>
          <cell r="J2358">
            <v>24</v>
          </cell>
          <cell r="K2358">
            <v>5</v>
          </cell>
          <cell r="L2358">
            <v>5</v>
          </cell>
          <cell r="M2358">
            <v>4.2016806722689079E-2</v>
          </cell>
          <cell r="O2358" t="str">
            <v>$1108</v>
          </cell>
          <cell r="P2358" t="str">
            <v>$1108</v>
          </cell>
          <cell r="Q2358">
            <v>45602</v>
          </cell>
          <cell r="R2358" t="str">
            <v>Bangaluru</v>
          </cell>
          <cell r="S2358" t="str">
            <v>Mobile</v>
          </cell>
          <cell r="T2358" t="str">
            <v>data analytics online</v>
          </cell>
        </row>
        <row r="2359">
          <cell r="A2359" t="str">
            <v>A3357</v>
          </cell>
          <cell r="B2359" t="str">
            <v>Data Analytcis Course</v>
          </cell>
          <cell r="C2359">
            <v>81</v>
          </cell>
          <cell r="D2359">
            <v>81</v>
          </cell>
          <cell r="E2359">
            <v>4144</v>
          </cell>
          <cell r="F2359">
            <v>4144</v>
          </cell>
          <cell r="G2359" t="str">
            <v>$180.01</v>
          </cell>
          <cell r="H2359" t="str">
            <v>$180.01</v>
          </cell>
          <cell r="I2359">
            <v>18</v>
          </cell>
          <cell r="J2359">
            <v>18</v>
          </cell>
          <cell r="K2359">
            <v>3</v>
          </cell>
          <cell r="L2359">
            <v>3</v>
          </cell>
          <cell r="M2359">
            <v>3.7037037037037035E-2</v>
          </cell>
          <cell r="N2359">
            <v>3.6999999999999998E-2</v>
          </cell>
          <cell r="O2359" t="str">
            <v>$1648</v>
          </cell>
          <cell r="P2359" t="str">
            <v>$1648</v>
          </cell>
          <cell r="Q2359">
            <v>45616</v>
          </cell>
          <cell r="R2359" t="str">
            <v>Chennai</v>
          </cell>
          <cell r="S2359" t="str">
            <v>Mobile</v>
          </cell>
          <cell r="T2359" t="str">
            <v>data analytics online</v>
          </cell>
        </row>
        <row r="2360">
          <cell r="A2360" t="str">
            <v>A3358</v>
          </cell>
          <cell r="B2360" t="str">
            <v>Data Analytics Course</v>
          </cell>
          <cell r="C2360">
            <v>152</v>
          </cell>
          <cell r="D2360">
            <v>152</v>
          </cell>
          <cell r="E2360">
            <v>5007</v>
          </cell>
          <cell r="F2360">
            <v>5007</v>
          </cell>
          <cell r="G2360" t="str">
            <v>$208.84</v>
          </cell>
          <cell r="H2360" t="str">
            <v>$208.84</v>
          </cell>
          <cell r="I2360">
            <v>19</v>
          </cell>
          <cell r="J2360">
            <v>19</v>
          </cell>
          <cell r="K2360">
            <v>10</v>
          </cell>
          <cell r="L2360">
            <v>10</v>
          </cell>
          <cell r="M2360">
            <v>6.5789473684210523E-2</v>
          </cell>
          <cell r="N2360">
            <v>6.6000000000000003E-2</v>
          </cell>
          <cell r="O2360" t="str">
            <v>$1628</v>
          </cell>
          <cell r="P2360" t="str">
            <v>$1628</v>
          </cell>
          <cell r="Q2360">
            <v>45620</v>
          </cell>
          <cell r="R2360" t="str">
            <v>Hyderabad</v>
          </cell>
          <cell r="S2360" t="str">
            <v>Mobile</v>
          </cell>
          <cell r="T2360" t="str">
            <v>online data analytic</v>
          </cell>
        </row>
        <row r="2361">
          <cell r="A2361" t="str">
            <v>A3359</v>
          </cell>
          <cell r="B2361" t="str">
            <v>Data Analytics Course</v>
          </cell>
          <cell r="C2361">
            <v>153</v>
          </cell>
          <cell r="D2361">
            <v>153</v>
          </cell>
          <cell r="E2361">
            <v>5388</v>
          </cell>
          <cell r="F2361">
            <v>5388</v>
          </cell>
          <cell r="G2361" t="str">
            <v>$219.93</v>
          </cell>
          <cell r="H2361" t="str">
            <v>$219.93</v>
          </cell>
          <cell r="I2361">
            <v>16</v>
          </cell>
          <cell r="J2361">
            <v>16</v>
          </cell>
          <cell r="K2361">
            <v>4</v>
          </cell>
          <cell r="L2361">
            <v>4</v>
          </cell>
          <cell r="M2361">
            <v>2.6143790849673203E-2</v>
          </cell>
          <cell r="N2361">
            <v>2.5999999999999999E-2</v>
          </cell>
          <cell r="O2361" t="str">
            <v>$1602</v>
          </cell>
          <cell r="P2361" t="str">
            <v>$1602</v>
          </cell>
          <cell r="Q2361">
            <v>45607</v>
          </cell>
          <cell r="R2361" t="str">
            <v>Hyderabad</v>
          </cell>
          <cell r="S2361" t="str">
            <v>Tablet</v>
          </cell>
          <cell r="T2361" t="str">
            <v>data analytics course</v>
          </cell>
        </row>
        <row r="2362">
          <cell r="A2362" t="str">
            <v>A3360</v>
          </cell>
          <cell r="B2362" t="str">
            <v>Data Analytics Course</v>
          </cell>
          <cell r="C2362">
            <v>120</v>
          </cell>
          <cell r="D2362">
            <v>120</v>
          </cell>
          <cell r="E2362">
            <v>4229</v>
          </cell>
          <cell r="F2362">
            <v>4229</v>
          </cell>
          <cell r="G2362" t="str">
            <v>$244.13</v>
          </cell>
          <cell r="H2362" t="str">
            <v>$244.13</v>
          </cell>
          <cell r="I2362">
            <v>20</v>
          </cell>
          <cell r="J2362">
            <v>20</v>
          </cell>
          <cell r="K2362">
            <v>9</v>
          </cell>
          <cell r="L2362">
            <v>9</v>
          </cell>
          <cell r="M2362">
            <v>7.4999999999999997E-2</v>
          </cell>
          <cell r="N2362">
            <v>7.4999999999999997E-2</v>
          </cell>
          <cell r="O2362" t="str">
            <v>$1380</v>
          </cell>
          <cell r="P2362" t="str">
            <v>$1380</v>
          </cell>
          <cell r="Q2362">
            <v>45608</v>
          </cell>
          <cell r="R2362" t="str">
            <v>Bangaluru</v>
          </cell>
          <cell r="S2362" t="str">
            <v>Desktop</v>
          </cell>
          <cell r="T2362" t="str">
            <v>data analytics course</v>
          </cell>
        </row>
        <row r="2363">
          <cell r="A2363" t="str">
            <v>A3361</v>
          </cell>
          <cell r="B2363" t="str">
            <v>Data Analytics Course</v>
          </cell>
          <cell r="C2363">
            <v>167</v>
          </cell>
          <cell r="D2363">
            <v>167</v>
          </cell>
          <cell r="E2363">
            <v>5140</v>
          </cell>
          <cell r="F2363">
            <v>5140</v>
          </cell>
          <cell r="G2363" t="str">
            <v>$228.32</v>
          </cell>
          <cell r="H2363" t="str">
            <v>$228.32</v>
          </cell>
          <cell r="I2363">
            <v>28</v>
          </cell>
          <cell r="J2363">
            <v>28</v>
          </cell>
          <cell r="K2363">
            <v>9</v>
          </cell>
          <cell r="L2363">
            <v>9</v>
          </cell>
          <cell r="M2363">
            <v>5.3892215568862277E-2</v>
          </cell>
          <cell r="N2363">
            <v>5.0999999999999997E-2</v>
          </cell>
          <cell r="O2363" t="str">
            <v>$1056</v>
          </cell>
          <cell r="P2363" t="str">
            <v>$1056</v>
          </cell>
          <cell r="Q2363">
            <v>45604</v>
          </cell>
          <cell r="R2363" t="str">
            <v>Bangaluru</v>
          </cell>
          <cell r="S2363" t="str">
            <v>Mobile</v>
          </cell>
          <cell r="T2363" t="str">
            <v>data analytics online</v>
          </cell>
        </row>
        <row r="2364">
          <cell r="A2364" t="str">
            <v>A3362</v>
          </cell>
          <cell r="B2364" t="str">
            <v>Data Analytcis Course</v>
          </cell>
          <cell r="C2364">
            <v>116</v>
          </cell>
          <cell r="D2364">
            <v>116</v>
          </cell>
          <cell r="E2364">
            <v>5001</v>
          </cell>
          <cell r="F2364">
            <v>5001</v>
          </cell>
          <cell r="G2364" t="str">
            <v>$186.67</v>
          </cell>
          <cell r="H2364" t="str">
            <v>$186.67</v>
          </cell>
          <cell r="I2364">
            <v>17</v>
          </cell>
          <cell r="J2364">
            <v>17</v>
          </cell>
          <cell r="K2364">
            <v>5</v>
          </cell>
          <cell r="L2364">
            <v>5</v>
          </cell>
          <cell r="M2364">
            <v>4.3103448275862072E-2</v>
          </cell>
          <cell r="N2364">
            <v>4.2999999999999997E-2</v>
          </cell>
          <cell r="O2364" t="str">
            <v>$1340</v>
          </cell>
          <cell r="P2364" t="str">
            <v>$1340</v>
          </cell>
          <cell r="Q2364">
            <v>45603</v>
          </cell>
          <cell r="R2364" t="str">
            <v>Hyderabad</v>
          </cell>
          <cell r="S2364" t="str">
            <v>Desktop</v>
          </cell>
          <cell r="T2364" t="str">
            <v>analytics for data</v>
          </cell>
        </row>
        <row r="2365">
          <cell r="A2365" t="str">
            <v>A3363</v>
          </cell>
          <cell r="B2365" t="str">
            <v>Data Analytics Course</v>
          </cell>
          <cell r="C2365">
            <v>93</v>
          </cell>
          <cell r="D2365">
            <v>93</v>
          </cell>
          <cell r="E2365">
            <v>3802</v>
          </cell>
          <cell r="F2365">
            <v>3802</v>
          </cell>
          <cell r="G2365" t="str">
            <v>$215.52</v>
          </cell>
          <cell r="H2365" t="str">
            <v>$215.52</v>
          </cell>
          <cell r="I2365">
            <v>22</v>
          </cell>
          <cell r="J2365">
            <v>22</v>
          </cell>
          <cell r="K2365">
            <v>7</v>
          </cell>
          <cell r="L2365">
            <v>7</v>
          </cell>
          <cell r="M2365">
            <v>7.5268817204301078E-2</v>
          </cell>
          <cell r="N2365">
            <v>3.4000000000000002E-2</v>
          </cell>
          <cell r="O2365" t="str">
            <v>$1513</v>
          </cell>
          <cell r="P2365" t="str">
            <v>$1513</v>
          </cell>
          <cell r="Q2365">
            <v>45619</v>
          </cell>
          <cell r="R2365" t="str">
            <v>Hyderabad</v>
          </cell>
          <cell r="S2365" t="str">
            <v>Mobile</v>
          </cell>
          <cell r="T2365" t="str">
            <v>online data analytic</v>
          </cell>
        </row>
        <row r="2366">
          <cell r="A2366" t="str">
            <v>A3364</v>
          </cell>
          <cell r="B2366" t="str">
            <v>Data Analytics Course</v>
          </cell>
          <cell r="C2366">
            <v>159</v>
          </cell>
          <cell r="D2366">
            <v>159</v>
          </cell>
          <cell r="E2366">
            <v>5584</v>
          </cell>
          <cell r="F2366">
            <v>5584</v>
          </cell>
          <cell r="G2366" t="str">
            <v>$249.46</v>
          </cell>
          <cell r="H2366" t="str">
            <v>$249.46</v>
          </cell>
          <cell r="I2366">
            <v>18</v>
          </cell>
          <cell r="J2366">
            <v>18</v>
          </cell>
          <cell r="K2366">
            <v>8</v>
          </cell>
          <cell r="L2366">
            <v>8</v>
          </cell>
          <cell r="M2366">
            <v>5.0314465408805034E-2</v>
          </cell>
          <cell r="N2366">
            <v>0.05</v>
          </cell>
          <cell r="O2366" t="str">
            <v>$1176</v>
          </cell>
          <cell r="P2366" t="str">
            <v>$1176</v>
          </cell>
          <cell r="Q2366">
            <v>45605</v>
          </cell>
          <cell r="R2366" t="str">
            <v>Hyderabad</v>
          </cell>
          <cell r="S2366" t="str">
            <v>Desktop</v>
          </cell>
          <cell r="T2366" t="str">
            <v>analytics for data</v>
          </cell>
        </row>
        <row r="2367">
          <cell r="A2367" t="str">
            <v>A3365</v>
          </cell>
          <cell r="B2367" t="str">
            <v>Data Analytics Course</v>
          </cell>
          <cell r="C2367">
            <v>146</v>
          </cell>
          <cell r="D2367">
            <v>146</v>
          </cell>
          <cell r="E2367">
            <v>5105</v>
          </cell>
          <cell r="F2367">
            <v>5105</v>
          </cell>
          <cell r="G2367" t="str">
            <v>$224.77</v>
          </cell>
          <cell r="H2367" t="str">
            <v>$224.77</v>
          </cell>
          <cell r="I2367">
            <v>12</v>
          </cell>
          <cell r="J2367">
            <v>12</v>
          </cell>
          <cell r="K2367">
            <v>7</v>
          </cell>
          <cell r="L2367">
            <v>7</v>
          </cell>
          <cell r="M2367">
            <v>4.7945205479452052E-2</v>
          </cell>
          <cell r="N2367">
            <v>3.7999999999999999E-2</v>
          </cell>
          <cell r="O2367" t="str">
            <v>$1440</v>
          </cell>
          <cell r="P2367" t="str">
            <v>$1440</v>
          </cell>
          <cell r="Q2367">
            <v>45601</v>
          </cell>
          <cell r="R2367" t="str">
            <v>Hyderabad</v>
          </cell>
          <cell r="S2367" t="str">
            <v>Mobile</v>
          </cell>
          <cell r="T2367" t="str">
            <v>analytics for data</v>
          </cell>
        </row>
        <row r="2368">
          <cell r="A2368" t="str">
            <v>A3366</v>
          </cell>
          <cell r="B2368" t="str">
            <v>Data Analytcis Course</v>
          </cell>
          <cell r="C2368">
            <v>136</v>
          </cell>
          <cell r="D2368">
            <v>136</v>
          </cell>
          <cell r="E2368">
            <v>5714</v>
          </cell>
          <cell r="F2368">
            <v>5714</v>
          </cell>
          <cell r="G2368" t="str">
            <v>$190.3</v>
          </cell>
          <cell r="H2368" t="str">
            <v>$190.3</v>
          </cell>
          <cell r="I2368">
            <v>19</v>
          </cell>
          <cell r="J2368">
            <v>19</v>
          </cell>
          <cell r="K2368">
            <v>8</v>
          </cell>
          <cell r="L2368">
            <v>8</v>
          </cell>
          <cell r="M2368">
            <v>5.8823529411764705E-2</v>
          </cell>
          <cell r="N2368">
            <v>5.8999999999999997E-2</v>
          </cell>
          <cell r="O2368" t="str">
            <v>$1694</v>
          </cell>
          <cell r="P2368" t="str">
            <v>$1694</v>
          </cell>
          <cell r="Q2368">
            <v>45626</v>
          </cell>
          <cell r="R2368" t="str">
            <v>Bangaluru</v>
          </cell>
          <cell r="S2368" t="str">
            <v>Desktop</v>
          </cell>
          <cell r="T2368" t="str">
            <v>data analytics training</v>
          </cell>
        </row>
        <row r="2369">
          <cell r="A2369" t="str">
            <v>A3367</v>
          </cell>
          <cell r="B2369" t="str">
            <v>Data Analytics Course</v>
          </cell>
          <cell r="C2369">
            <v>159</v>
          </cell>
          <cell r="D2369">
            <v>159</v>
          </cell>
          <cell r="E2369">
            <v>5025</v>
          </cell>
          <cell r="F2369">
            <v>5025</v>
          </cell>
          <cell r="G2369" t="str">
            <v>$208.68</v>
          </cell>
          <cell r="H2369" t="str">
            <v>$208.68</v>
          </cell>
          <cell r="I2369">
            <v>16</v>
          </cell>
          <cell r="J2369">
            <v>16</v>
          </cell>
          <cell r="K2369">
            <v>4</v>
          </cell>
          <cell r="L2369">
            <v>4</v>
          </cell>
          <cell r="M2369">
            <v>2.5157232704402517E-2</v>
          </cell>
          <cell r="N2369">
            <v>5.0999999999999997E-2</v>
          </cell>
          <cell r="O2369" t="str">
            <v>$1779</v>
          </cell>
          <cell r="P2369" t="str">
            <v>$1779</v>
          </cell>
          <cell r="Q2369">
            <v>45617</v>
          </cell>
          <cell r="R2369" t="str">
            <v>Hyderabad</v>
          </cell>
          <cell r="S2369" t="str">
            <v>Mobile</v>
          </cell>
          <cell r="T2369" t="str">
            <v>online data analytic</v>
          </cell>
        </row>
        <row r="2370">
          <cell r="A2370" t="str">
            <v>A3368</v>
          </cell>
          <cell r="B2370" t="str">
            <v>Data Analytics Course</v>
          </cell>
          <cell r="C2370">
            <v>83</v>
          </cell>
          <cell r="D2370">
            <v>83</v>
          </cell>
          <cell r="E2370">
            <v>3781</v>
          </cell>
          <cell r="F2370">
            <v>3781</v>
          </cell>
          <cell r="G2370" t="str">
            <v>$220.82</v>
          </cell>
          <cell r="H2370" t="str">
            <v>$220.82</v>
          </cell>
          <cell r="I2370">
            <v>11</v>
          </cell>
          <cell r="J2370">
            <v>11</v>
          </cell>
          <cell r="K2370">
            <v>4</v>
          </cell>
          <cell r="L2370">
            <v>4</v>
          </cell>
          <cell r="M2370">
            <v>4.8192771084337352E-2</v>
          </cell>
          <cell r="N2370">
            <v>4.8000000000000001E-2</v>
          </cell>
          <cell r="O2370" t="str">
            <v>$1866</v>
          </cell>
          <cell r="P2370" t="str">
            <v>$1866</v>
          </cell>
          <cell r="Q2370">
            <v>45611</v>
          </cell>
          <cell r="R2370" t="str">
            <v>Chennai</v>
          </cell>
          <cell r="S2370" t="str">
            <v>Mobile</v>
          </cell>
          <cell r="T2370" t="str">
            <v>data analytics training</v>
          </cell>
        </row>
        <row r="2371">
          <cell r="A2371" t="str">
            <v>A3369</v>
          </cell>
          <cell r="B2371" t="str">
            <v>Data Analytics Course</v>
          </cell>
          <cell r="C2371">
            <v>136</v>
          </cell>
          <cell r="D2371">
            <v>136</v>
          </cell>
          <cell r="E2371">
            <v>3318</v>
          </cell>
          <cell r="F2371">
            <v>3318</v>
          </cell>
          <cell r="G2371" t="str">
            <v>$215.86</v>
          </cell>
          <cell r="H2371" t="str">
            <v>$215.86</v>
          </cell>
          <cell r="I2371">
            <v>20</v>
          </cell>
          <cell r="J2371">
            <v>20</v>
          </cell>
          <cell r="K2371">
            <v>8</v>
          </cell>
          <cell r="L2371">
            <v>8</v>
          </cell>
          <cell r="M2371">
            <v>5.8823529411764705E-2</v>
          </cell>
          <cell r="N2371">
            <v>3.2000000000000001E-2</v>
          </cell>
          <cell r="O2371" t="str">
            <v>$1712</v>
          </cell>
          <cell r="P2371" t="str">
            <v>$1712</v>
          </cell>
          <cell r="Q2371">
            <v>45617</v>
          </cell>
          <cell r="R2371" t="str">
            <v>Hyderabad</v>
          </cell>
          <cell r="S2371" t="str">
            <v>Tablet</v>
          </cell>
          <cell r="T2371" t="str">
            <v>data analytics online</v>
          </cell>
        </row>
        <row r="2372">
          <cell r="A2372" t="str">
            <v>A3370</v>
          </cell>
          <cell r="B2372" t="str">
            <v>Data Analytcis Course</v>
          </cell>
          <cell r="C2372">
            <v>136</v>
          </cell>
          <cell r="D2372">
            <v>136</v>
          </cell>
          <cell r="E2372">
            <v>3939</v>
          </cell>
          <cell r="F2372">
            <v>3939</v>
          </cell>
          <cell r="G2372" t="str">
            <v>$213.66</v>
          </cell>
          <cell r="H2372" t="str">
            <v>$213.66</v>
          </cell>
          <cell r="I2372">
            <v>16</v>
          </cell>
          <cell r="J2372">
            <v>16</v>
          </cell>
          <cell r="K2372">
            <v>6</v>
          </cell>
          <cell r="L2372">
            <v>6</v>
          </cell>
          <cell r="M2372">
            <v>4.4117647058823532E-2</v>
          </cell>
          <cell r="N2372">
            <v>4.3999999999999997E-2</v>
          </cell>
          <cell r="O2372" t="str">
            <v>$1708</v>
          </cell>
          <cell r="P2372" t="str">
            <v>$1708</v>
          </cell>
          <cell r="Q2372">
            <v>45617</v>
          </cell>
          <cell r="R2372" t="str">
            <v>Hyderabad</v>
          </cell>
          <cell r="S2372" t="str">
            <v>Tablet</v>
          </cell>
          <cell r="T2372" t="str">
            <v>online data analytic</v>
          </cell>
        </row>
        <row r="2373">
          <cell r="A2373" t="str">
            <v>A3371</v>
          </cell>
          <cell r="B2373" t="str">
            <v>Data Analytics Course</v>
          </cell>
          <cell r="C2373">
            <v>166</v>
          </cell>
          <cell r="D2373">
            <v>166</v>
          </cell>
          <cell r="E2373">
            <v>3546</v>
          </cell>
          <cell r="F2373">
            <v>3546</v>
          </cell>
          <cell r="G2373" t="str">
            <v>$221.99</v>
          </cell>
          <cell r="H2373" t="str">
            <v>$221.99</v>
          </cell>
          <cell r="I2373">
            <v>10</v>
          </cell>
          <cell r="J2373">
            <v>10</v>
          </cell>
          <cell r="K2373">
            <v>3</v>
          </cell>
          <cell r="L2373">
            <v>3</v>
          </cell>
          <cell r="M2373">
            <v>1.8072289156626505E-2</v>
          </cell>
          <cell r="N2373">
            <v>1.7999999999999999E-2</v>
          </cell>
          <cell r="O2373" t="str">
            <v>$1796</v>
          </cell>
          <cell r="P2373" t="str">
            <v>$1796</v>
          </cell>
          <cell r="Q2373">
            <v>45608</v>
          </cell>
          <cell r="R2373" t="str">
            <v>Hyderabad</v>
          </cell>
          <cell r="S2373" t="str">
            <v>Desktop</v>
          </cell>
          <cell r="T2373" t="str">
            <v>learn data analytics</v>
          </cell>
        </row>
        <row r="2374">
          <cell r="A2374" t="str">
            <v>A3372</v>
          </cell>
          <cell r="B2374" t="str">
            <v>Data Analytics Course</v>
          </cell>
          <cell r="C2374">
            <v>192</v>
          </cell>
          <cell r="D2374">
            <v>192</v>
          </cell>
          <cell r="E2374">
            <v>5845</v>
          </cell>
          <cell r="F2374">
            <v>5845</v>
          </cell>
          <cell r="G2374" t="str">
            <v>$247.56</v>
          </cell>
          <cell r="H2374" t="str">
            <v>$247.56</v>
          </cell>
          <cell r="I2374">
            <v>28</v>
          </cell>
          <cell r="J2374">
            <v>28</v>
          </cell>
          <cell r="K2374">
            <v>3</v>
          </cell>
          <cell r="L2374">
            <v>3</v>
          </cell>
          <cell r="M2374">
            <v>1.5625E-2</v>
          </cell>
          <cell r="O2374" t="str">
            <v>$1542</v>
          </cell>
          <cell r="P2374" t="str">
            <v>$1542</v>
          </cell>
          <cell r="Q2374">
            <v>45615</v>
          </cell>
          <cell r="R2374" t="str">
            <v>Chennai</v>
          </cell>
          <cell r="S2374" t="str">
            <v>Desktop</v>
          </cell>
          <cell r="T2374" t="str">
            <v>analytics for data</v>
          </cell>
        </row>
        <row r="2375">
          <cell r="A2375" t="str">
            <v>A3373</v>
          </cell>
          <cell r="B2375" t="str">
            <v>Data Analytics Course</v>
          </cell>
          <cell r="C2375">
            <v>138.95699356913184</v>
          </cell>
          <cell r="E2375">
            <v>3580</v>
          </cell>
          <cell r="F2375">
            <v>3580</v>
          </cell>
          <cell r="G2375" t="str">
            <v>$223.48</v>
          </cell>
          <cell r="H2375" t="str">
            <v>$223.48</v>
          </cell>
          <cell r="I2375">
            <v>21</v>
          </cell>
          <cell r="J2375">
            <v>21</v>
          </cell>
          <cell r="K2375">
            <v>6</v>
          </cell>
          <cell r="L2375">
            <v>6</v>
          </cell>
          <cell r="M2375">
            <v>4.317882710246583E-2</v>
          </cell>
          <cell r="O2375" t="str">
            <v>$1555</v>
          </cell>
          <cell r="P2375" t="str">
            <v>$1555</v>
          </cell>
          <cell r="Q2375">
            <v>45623</v>
          </cell>
          <cell r="R2375" t="str">
            <v>Hyderabad</v>
          </cell>
          <cell r="S2375" t="str">
            <v>Tablet</v>
          </cell>
          <cell r="T2375" t="str">
            <v>data analytics course</v>
          </cell>
        </row>
        <row r="2376">
          <cell r="A2376" t="str">
            <v>A3374</v>
          </cell>
          <cell r="B2376" t="str">
            <v>Data Analytcis Course</v>
          </cell>
          <cell r="C2376">
            <v>108</v>
          </cell>
          <cell r="D2376">
            <v>108</v>
          </cell>
          <cell r="E2376">
            <v>4019</v>
          </cell>
          <cell r="F2376">
            <v>4019</v>
          </cell>
          <cell r="G2376" t="str">
            <v>$199.85</v>
          </cell>
          <cell r="H2376" t="str">
            <v>$199.85</v>
          </cell>
          <cell r="I2376">
            <v>25</v>
          </cell>
          <cell r="J2376">
            <v>25</v>
          </cell>
          <cell r="K2376">
            <v>8</v>
          </cell>
          <cell r="L2376">
            <v>8</v>
          </cell>
          <cell r="M2376">
            <v>7.407407407407407E-2</v>
          </cell>
          <cell r="N2376">
            <v>5.8999999999999997E-2</v>
          </cell>
          <cell r="O2376" t="str">
            <v>$1657</v>
          </cell>
          <cell r="P2376" t="str">
            <v>$1657</v>
          </cell>
          <cell r="Q2376">
            <v>45598</v>
          </cell>
          <cell r="R2376" t="str">
            <v>Hyderabad</v>
          </cell>
          <cell r="S2376" t="str">
            <v>Tablet</v>
          </cell>
          <cell r="T2376" t="str">
            <v>learn data analytics</v>
          </cell>
        </row>
        <row r="2377">
          <cell r="A2377" t="str">
            <v>A3375</v>
          </cell>
          <cell r="B2377" t="str">
            <v>Data Analytcis Course</v>
          </cell>
          <cell r="C2377">
            <v>175</v>
          </cell>
          <cell r="D2377">
            <v>175</v>
          </cell>
          <cell r="E2377">
            <v>3345</v>
          </cell>
          <cell r="F2377">
            <v>3345</v>
          </cell>
          <cell r="G2377" t="str">
            <v>$185.48</v>
          </cell>
          <cell r="H2377" t="str">
            <v>$185.48</v>
          </cell>
          <cell r="I2377">
            <v>23</v>
          </cell>
          <cell r="J2377">
            <v>23</v>
          </cell>
          <cell r="K2377">
            <v>9</v>
          </cell>
          <cell r="L2377">
            <v>9</v>
          </cell>
          <cell r="M2377">
            <v>5.1428571428571428E-2</v>
          </cell>
          <cell r="N2377">
            <v>5.0999999999999997E-2</v>
          </cell>
          <cell r="O2377" t="str">
            <v>$1193</v>
          </cell>
          <cell r="P2377" t="str">
            <v>$1193</v>
          </cell>
          <cell r="Q2377">
            <v>45616</v>
          </cell>
          <cell r="R2377" t="str">
            <v>Hyderabad</v>
          </cell>
          <cell r="S2377" t="str">
            <v>Desktop</v>
          </cell>
          <cell r="T2377" t="str">
            <v>data analytics online</v>
          </cell>
        </row>
        <row r="2378">
          <cell r="A2378" t="str">
            <v>A3376</v>
          </cell>
          <cell r="B2378" t="str">
            <v>Data Analytics Course</v>
          </cell>
          <cell r="C2378">
            <v>80</v>
          </cell>
          <cell r="D2378">
            <v>80</v>
          </cell>
          <cell r="E2378">
            <v>4413</v>
          </cell>
          <cell r="F2378">
            <v>4413</v>
          </cell>
          <cell r="G2378" t="str">
            <v>$245.4</v>
          </cell>
          <cell r="H2378" t="str">
            <v>$245.4</v>
          </cell>
          <cell r="I2378">
            <v>10</v>
          </cell>
          <cell r="J2378">
            <v>10</v>
          </cell>
          <cell r="K2378">
            <v>5</v>
          </cell>
          <cell r="L2378">
            <v>5</v>
          </cell>
          <cell r="M2378">
            <v>6.25E-2</v>
          </cell>
          <cell r="N2378">
            <v>6.2E-2</v>
          </cell>
          <cell r="O2378" t="str">
            <v>$1650</v>
          </cell>
          <cell r="P2378" t="str">
            <v>$1650</v>
          </cell>
          <cell r="Q2378">
            <v>45599</v>
          </cell>
          <cell r="R2378" t="str">
            <v>Hyderabad</v>
          </cell>
          <cell r="S2378" t="str">
            <v>Mobile</v>
          </cell>
          <cell r="T2378" t="str">
            <v>data analytics course</v>
          </cell>
        </row>
        <row r="2379">
          <cell r="A2379" t="str">
            <v>A3377</v>
          </cell>
          <cell r="B2379" t="str">
            <v>Data Analytics Course</v>
          </cell>
          <cell r="C2379">
            <v>192</v>
          </cell>
          <cell r="D2379">
            <v>192</v>
          </cell>
          <cell r="E2379">
            <v>4969</v>
          </cell>
          <cell r="F2379">
            <v>4969</v>
          </cell>
          <cell r="G2379" t="str">
            <v>$234.27</v>
          </cell>
          <cell r="H2379" t="str">
            <v>$234.27</v>
          </cell>
          <cell r="I2379">
            <v>30</v>
          </cell>
          <cell r="J2379">
            <v>30</v>
          </cell>
          <cell r="K2379">
            <v>5</v>
          </cell>
          <cell r="L2379">
            <v>5</v>
          </cell>
          <cell r="M2379">
            <v>2.6041666666666668E-2</v>
          </cell>
          <cell r="N2379">
            <v>2.5999999999999999E-2</v>
          </cell>
          <cell r="O2379" t="str">
            <v>$1627</v>
          </cell>
          <cell r="P2379" t="str">
            <v>$1627</v>
          </cell>
          <cell r="Q2379">
            <v>45613</v>
          </cell>
          <cell r="R2379" t="str">
            <v>Hyderabad</v>
          </cell>
          <cell r="S2379" t="str">
            <v>Tablet</v>
          </cell>
          <cell r="T2379" t="str">
            <v>data analytics course</v>
          </cell>
        </row>
        <row r="2380">
          <cell r="A2380" t="str">
            <v>A3378</v>
          </cell>
          <cell r="B2380" t="str">
            <v>Data Analytics Course</v>
          </cell>
          <cell r="C2380">
            <v>85</v>
          </cell>
          <cell r="D2380">
            <v>85</v>
          </cell>
          <cell r="E2380">
            <v>5083</v>
          </cell>
          <cell r="F2380">
            <v>5083</v>
          </cell>
          <cell r="G2380" t="str">
            <v>$181.19</v>
          </cell>
          <cell r="H2380" t="str">
            <v>$181.19</v>
          </cell>
          <cell r="I2380">
            <v>13</v>
          </cell>
          <cell r="J2380">
            <v>13</v>
          </cell>
          <cell r="K2380">
            <v>3</v>
          </cell>
          <cell r="L2380">
            <v>3</v>
          </cell>
          <cell r="M2380">
            <v>3.5294117647058823E-2</v>
          </cell>
          <cell r="N2380">
            <v>0.05</v>
          </cell>
          <cell r="O2380" t="str">
            <v>$1048</v>
          </cell>
          <cell r="P2380" t="str">
            <v>$1048</v>
          </cell>
          <cell r="Q2380">
            <v>45607</v>
          </cell>
          <cell r="R2380" t="str">
            <v>Hyderabad</v>
          </cell>
          <cell r="S2380" t="str">
            <v>Mobile</v>
          </cell>
          <cell r="T2380" t="str">
            <v>data analytics course</v>
          </cell>
        </row>
        <row r="2381">
          <cell r="A2381" t="str">
            <v>A3379</v>
          </cell>
          <cell r="B2381" t="str">
            <v>Data Analytics Course</v>
          </cell>
          <cell r="C2381">
            <v>91</v>
          </cell>
          <cell r="D2381">
            <v>91</v>
          </cell>
          <cell r="E2381">
            <v>4176</v>
          </cell>
          <cell r="F2381">
            <v>4176</v>
          </cell>
          <cell r="G2381" t="str">
            <v>$216.63</v>
          </cell>
          <cell r="H2381" t="str">
            <v>$216.63</v>
          </cell>
          <cell r="I2381">
            <v>20</v>
          </cell>
          <cell r="J2381">
            <v>20</v>
          </cell>
          <cell r="K2381">
            <v>8</v>
          </cell>
          <cell r="L2381">
            <v>8</v>
          </cell>
          <cell r="M2381">
            <v>8.7912087912087919E-2</v>
          </cell>
          <cell r="N2381">
            <v>8.7999999999999995E-2</v>
          </cell>
          <cell r="O2381" t="str">
            <v>$1502</v>
          </cell>
          <cell r="P2381" t="str">
            <v>$1502</v>
          </cell>
          <cell r="Q2381">
            <v>45605</v>
          </cell>
          <cell r="R2381" t="str">
            <v>Bangaluru</v>
          </cell>
          <cell r="S2381" t="str">
            <v>Mobile</v>
          </cell>
          <cell r="T2381" t="str">
            <v>data analytics course</v>
          </cell>
        </row>
        <row r="2382">
          <cell r="A2382" t="str">
            <v>A3380</v>
          </cell>
          <cell r="B2382" t="str">
            <v>Data Analytics Course</v>
          </cell>
          <cell r="C2382">
            <v>94</v>
          </cell>
          <cell r="D2382">
            <v>94</v>
          </cell>
          <cell r="E2382">
            <v>5389</v>
          </cell>
          <cell r="F2382">
            <v>5389</v>
          </cell>
          <cell r="G2382" t="str">
            <v>$220.53</v>
          </cell>
          <cell r="H2382" t="str">
            <v>$220.53</v>
          </cell>
          <cell r="I2382">
            <v>11</v>
          </cell>
          <cell r="J2382">
            <v>11</v>
          </cell>
          <cell r="K2382">
            <v>10</v>
          </cell>
          <cell r="L2382">
            <v>10</v>
          </cell>
          <cell r="M2382">
            <v>0.10638297872340426</v>
          </cell>
          <cell r="N2382">
            <v>0.106</v>
          </cell>
          <cell r="O2382" t="str">
            <v>$1670</v>
          </cell>
          <cell r="P2382" t="str">
            <v>$1670</v>
          </cell>
          <cell r="Q2382">
            <v>45623</v>
          </cell>
          <cell r="R2382" t="str">
            <v>Bangaluru</v>
          </cell>
          <cell r="S2382" t="str">
            <v>Mobile</v>
          </cell>
          <cell r="T2382" t="str">
            <v>data analytics training</v>
          </cell>
        </row>
        <row r="2383">
          <cell r="A2383" t="str">
            <v>A3381</v>
          </cell>
          <cell r="B2383" t="str">
            <v>Data Analytcis Course</v>
          </cell>
          <cell r="C2383">
            <v>119</v>
          </cell>
          <cell r="D2383">
            <v>119</v>
          </cell>
          <cell r="E2383">
            <v>4653</v>
          </cell>
          <cell r="F2383">
            <v>4653</v>
          </cell>
          <cell r="G2383" t="str">
            <v>$224.68</v>
          </cell>
          <cell r="H2383" t="str">
            <v>$224.68</v>
          </cell>
          <cell r="I2383">
            <v>20.532407407407408</v>
          </cell>
          <cell r="K2383">
            <v>4</v>
          </cell>
          <cell r="L2383">
            <v>4</v>
          </cell>
          <cell r="M2383">
            <v>3.3613445378151259E-2</v>
          </cell>
          <cell r="O2383" t="str">
            <v>$1773</v>
          </cell>
          <cell r="P2383" t="str">
            <v>$1773</v>
          </cell>
          <cell r="Q2383">
            <v>45610</v>
          </cell>
          <cell r="R2383" t="str">
            <v>Chennai</v>
          </cell>
          <cell r="S2383" t="str">
            <v>Tablet</v>
          </cell>
          <cell r="T2383" t="str">
            <v>learn data analytics</v>
          </cell>
        </row>
        <row r="2384">
          <cell r="A2384" t="str">
            <v>A3382</v>
          </cell>
          <cell r="B2384" t="str">
            <v>Data Analytics Course</v>
          </cell>
          <cell r="C2384">
            <v>198</v>
          </cell>
          <cell r="D2384">
            <v>198</v>
          </cell>
          <cell r="E2384">
            <v>3926</v>
          </cell>
          <cell r="F2384">
            <v>3926</v>
          </cell>
          <cell r="G2384" t="str">
            <v>$195.25</v>
          </cell>
          <cell r="H2384" t="str">
            <v>$195.25</v>
          </cell>
          <cell r="I2384">
            <v>25</v>
          </cell>
          <cell r="J2384">
            <v>25</v>
          </cell>
          <cell r="K2384">
            <v>7</v>
          </cell>
          <cell r="L2384">
            <v>7</v>
          </cell>
          <cell r="M2384">
            <v>3.5353535353535352E-2</v>
          </cell>
          <cell r="N2384">
            <v>3.5000000000000003E-2</v>
          </cell>
          <cell r="O2384" t="str">
            <v>$1060</v>
          </cell>
          <cell r="P2384" t="str">
            <v>$1060</v>
          </cell>
          <cell r="Q2384">
            <v>45608</v>
          </cell>
          <cell r="R2384" t="str">
            <v>Chennai</v>
          </cell>
          <cell r="S2384" t="str">
            <v>Desktop</v>
          </cell>
          <cell r="T2384" t="str">
            <v>data analytics online</v>
          </cell>
        </row>
        <row r="2385">
          <cell r="A2385" t="str">
            <v>A3383</v>
          </cell>
          <cell r="B2385" t="str">
            <v>Data Analytcis Course</v>
          </cell>
          <cell r="C2385">
            <v>87</v>
          </cell>
          <cell r="D2385">
            <v>87</v>
          </cell>
          <cell r="E2385">
            <v>4154</v>
          </cell>
          <cell r="F2385">
            <v>4154</v>
          </cell>
          <cell r="G2385" t="str">
            <v>$232.88</v>
          </cell>
          <cell r="H2385" t="str">
            <v>$232.88</v>
          </cell>
          <cell r="I2385">
            <v>13</v>
          </cell>
          <cell r="J2385">
            <v>13</v>
          </cell>
          <cell r="K2385">
            <v>3</v>
          </cell>
          <cell r="L2385">
            <v>3</v>
          </cell>
          <cell r="M2385">
            <v>3.4482758620689655E-2</v>
          </cell>
          <cell r="N2385">
            <v>3.4000000000000002E-2</v>
          </cell>
          <cell r="O2385" t="str">
            <v>$1099</v>
          </cell>
          <cell r="P2385" t="str">
            <v>$1099</v>
          </cell>
          <cell r="Q2385">
            <v>45606</v>
          </cell>
          <cell r="R2385" t="str">
            <v>Hyderabad</v>
          </cell>
          <cell r="S2385" t="str">
            <v>Desktop</v>
          </cell>
          <cell r="T2385" t="str">
            <v>online data analytic</v>
          </cell>
        </row>
        <row r="2386">
          <cell r="A2386" t="str">
            <v>A3384</v>
          </cell>
          <cell r="B2386" t="str">
            <v>Data Analytcis Course</v>
          </cell>
          <cell r="C2386">
            <v>101</v>
          </cell>
          <cell r="D2386">
            <v>101</v>
          </cell>
          <cell r="E2386">
            <v>3286</v>
          </cell>
          <cell r="F2386">
            <v>3286</v>
          </cell>
          <cell r="G2386" t="str">
            <v>$196.59</v>
          </cell>
          <cell r="H2386" t="str">
            <v>$196.59</v>
          </cell>
          <cell r="I2386">
            <v>12</v>
          </cell>
          <cell r="J2386">
            <v>12</v>
          </cell>
          <cell r="K2386">
            <v>9</v>
          </cell>
          <cell r="L2386">
            <v>9</v>
          </cell>
          <cell r="M2386">
            <v>8.9108910891089105E-2</v>
          </cell>
          <cell r="N2386">
            <v>8.8999999999999996E-2</v>
          </cell>
          <cell r="O2386" t="str">
            <v>$1034</v>
          </cell>
          <cell r="P2386" t="str">
            <v>$1034</v>
          </cell>
          <cell r="Q2386">
            <v>45598</v>
          </cell>
          <cell r="R2386" t="str">
            <v>Bangaluru</v>
          </cell>
          <cell r="S2386" t="str">
            <v>Tablet</v>
          </cell>
          <cell r="T2386" t="str">
            <v>analytics for data</v>
          </cell>
        </row>
        <row r="2387">
          <cell r="A2387" t="str">
            <v>A3385</v>
          </cell>
          <cell r="B2387" t="str">
            <v>Data Analytics Course</v>
          </cell>
          <cell r="C2387">
            <v>142</v>
          </cell>
          <cell r="D2387">
            <v>142</v>
          </cell>
          <cell r="E2387">
            <v>4593</v>
          </cell>
          <cell r="F2387">
            <v>4593</v>
          </cell>
          <cell r="G2387" t="str">
            <v>$230.69</v>
          </cell>
          <cell r="H2387" t="str">
            <v>$230.69</v>
          </cell>
          <cell r="I2387">
            <v>20</v>
          </cell>
          <cell r="J2387">
            <v>20</v>
          </cell>
          <cell r="K2387">
            <v>5</v>
          </cell>
          <cell r="L2387">
            <v>5</v>
          </cell>
          <cell r="M2387">
            <v>3.5211267605633804E-2</v>
          </cell>
          <cell r="N2387">
            <v>3.5000000000000003E-2</v>
          </cell>
          <cell r="O2387" t="str">
            <v>$1537</v>
          </cell>
          <cell r="P2387" t="str">
            <v>$1537</v>
          </cell>
          <cell r="Q2387">
            <v>45618</v>
          </cell>
          <cell r="R2387" t="str">
            <v>Chennai</v>
          </cell>
          <cell r="S2387" t="str">
            <v>Mobile</v>
          </cell>
          <cell r="T2387" t="str">
            <v>data analytics course</v>
          </cell>
        </row>
        <row r="2388">
          <cell r="A2388" t="str">
            <v>A3386</v>
          </cell>
          <cell r="B2388" t="str">
            <v>Data Analytics Course</v>
          </cell>
          <cell r="C2388">
            <v>111</v>
          </cell>
          <cell r="D2388">
            <v>111</v>
          </cell>
          <cell r="E2388">
            <v>5689</v>
          </cell>
          <cell r="F2388">
            <v>5689</v>
          </cell>
          <cell r="G2388" t="str">
            <v>$195.94</v>
          </cell>
          <cell r="H2388" t="str">
            <v>$195.94</v>
          </cell>
          <cell r="I2388">
            <v>12</v>
          </cell>
          <cell r="J2388">
            <v>12</v>
          </cell>
          <cell r="K2388">
            <v>4</v>
          </cell>
          <cell r="L2388">
            <v>4</v>
          </cell>
          <cell r="M2388">
            <v>3.6036036036036036E-2</v>
          </cell>
          <cell r="O2388" t="str">
            <v>$1377</v>
          </cell>
          <cell r="P2388" t="str">
            <v>$1377</v>
          </cell>
          <cell r="Q2388">
            <v>45610</v>
          </cell>
          <cell r="R2388" t="str">
            <v>Chennai</v>
          </cell>
          <cell r="S2388" t="str">
            <v>Desktop</v>
          </cell>
          <cell r="T2388" t="str">
            <v>analytics for data</v>
          </cell>
        </row>
        <row r="2389">
          <cell r="A2389" t="str">
            <v>A3387</v>
          </cell>
          <cell r="B2389" t="str">
            <v>Data Analytics Course</v>
          </cell>
          <cell r="C2389">
            <v>152</v>
          </cell>
          <cell r="D2389">
            <v>152</v>
          </cell>
          <cell r="E2389">
            <v>5040</v>
          </cell>
          <cell r="F2389">
            <v>5040</v>
          </cell>
          <cell r="G2389" t="str">
            <v>$238.61</v>
          </cell>
          <cell r="H2389" t="str">
            <v>$238.61</v>
          </cell>
          <cell r="I2389">
            <v>30</v>
          </cell>
          <cell r="J2389">
            <v>30</v>
          </cell>
          <cell r="K2389">
            <v>9</v>
          </cell>
          <cell r="L2389">
            <v>9</v>
          </cell>
          <cell r="M2389">
            <v>5.921052631578947E-2</v>
          </cell>
          <cell r="N2389">
            <v>0.04</v>
          </cell>
          <cell r="O2389" t="str">
            <v>$1795</v>
          </cell>
          <cell r="P2389" t="str">
            <v>$1795</v>
          </cell>
          <cell r="Q2389">
            <v>45611</v>
          </cell>
          <cell r="R2389" t="str">
            <v>Chennai</v>
          </cell>
          <cell r="S2389" t="str">
            <v>Desktop</v>
          </cell>
          <cell r="T2389" t="str">
            <v>data analytics course</v>
          </cell>
        </row>
        <row r="2390">
          <cell r="A2390" t="str">
            <v>A3388</v>
          </cell>
          <cell r="B2390" t="str">
            <v>Data Analytcis Course</v>
          </cell>
          <cell r="C2390">
            <v>89</v>
          </cell>
          <cell r="D2390">
            <v>89</v>
          </cell>
          <cell r="E2390">
            <v>3623</v>
          </cell>
          <cell r="F2390">
            <v>3623</v>
          </cell>
          <cell r="G2390" t="str">
            <v>$218.35</v>
          </cell>
          <cell r="H2390" t="str">
            <v>$218.35</v>
          </cell>
          <cell r="I2390">
            <v>22</v>
          </cell>
          <cell r="J2390">
            <v>22</v>
          </cell>
          <cell r="K2390">
            <v>6</v>
          </cell>
          <cell r="L2390">
            <v>6</v>
          </cell>
          <cell r="M2390">
            <v>6.741573033707865E-2</v>
          </cell>
          <cell r="N2390">
            <v>6.7000000000000004E-2</v>
          </cell>
          <cell r="O2390" t="str">
            <v>$1311</v>
          </cell>
          <cell r="P2390" t="str">
            <v>$1311</v>
          </cell>
          <cell r="Q2390">
            <v>45597</v>
          </cell>
          <cell r="R2390" t="str">
            <v>Hyderabad</v>
          </cell>
          <cell r="S2390" t="str">
            <v>Mobile</v>
          </cell>
          <cell r="T2390" t="str">
            <v>learn data analytics</v>
          </cell>
        </row>
        <row r="2391">
          <cell r="A2391" t="str">
            <v>A3389</v>
          </cell>
          <cell r="B2391" t="str">
            <v>Data Analytics Course</v>
          </cell>
          <cell r="C2391">
            <v>115</v>
          </cell>
          <cell r="D2391">
            <v>115</v>
          </cell>
          <cell r="E2391">
            <v>3999</v>
          </cell>
          <cell r="F2391">
            <v>3999</v>
          </cell>
          <cell r="G2391" t="str">
            <v>$216.67</v>
          </cell>
          <cell r="H2391" t="str">
            <v>$216.67</v>
          </cell>
          <cell r="I2391">
            <v>16</v>
          </cell>
          <cell r="J2391">
            <v>16</v>
          </cell>
          <cell r="K2391">
            <v>6</v>
          </cell>
          <cell r="L2391">
            <v>6</v>
          </cell>
          <cell r="M2391">
            <v>5.2173913043478258E-2</v>
          </cell>
          <cell r="N2391">
            <v>3.1E-2</v>
          </cell>
          <cell r="O2391" t="str">
            <v>$1777</v>
          </cell>
          <cell r="P2391" t="str">
            <v>$1777</v>
          </cell>
          <cell r="Q2391">
            <v>45601</v>
          </cell>
          <cell r="R2391" t="str">
            <v>Hyderabad</v>
          </cell>
          <cell r="S2391" t="str">
            <v>Mobile</v>
          </cell>
          <cell r="T2391" t="str">
            <v>data analytics course</v>
          </cell>
        </row>
        <row r="2392">
          <cell r="A2392" t="str">
            <v>A3390</v>
          </cell>
          <cell r="B2392" t="str">
            <v>Data Analytcis Course</v>
          </cell>
          <cell r="C2392">
            <v>131</v>
          </cell>
          <cell r="D2392">
            <v>131</v>
          </cell>
          <cell r="E2392">
            <v>4320</v>
          </cell>
          <cell r="F2392">
            <v>4320</v>
          </cell>
          <cell r="G2392" t="str">
            <v>$223.08</v>
          </cell>
          <cell r="H2392" t="str">
            <v>$223.08</v>
          </cell>
          <cell r="I2392">
            <v>30</v>
          </cell>
          <cell r="J2392">
            <v>30</v>
          </cell>
          <cell r="K2392">
            <v>7</v>
          </cell>
          <cell r="L2392">
            <v>7</v>
          </cell>
          <cell r="M2392">
            <v>5.3435114503816793E-2</v>
          </cell>
          <cell r="N2392">
            <v>5.8000000000000003E-2</v>
          </cell>
          <cell r="O2392" t="str">
            <v>$1500</v>
          </cell>
          <cell r="Q2392">
            <v>45600</v>
          </cell>
          <cell r="R2392" t="str">
            <v>Chennai</v>
          </cell>
          <cell r="S2392" t="str">
            <v>Mobile</v>
          </cell>
          <cell r="T2392" t="str">
            <v>analytics for data</v>
          </cell>
        </row>
        <row r="2393">
          <cell r="A2393" t="str">
            <v>A3391</v>
          </cell>
          <cell r="B2393" t="str">
            <v>Data Analytics Course</v>
          </cell>
          <cell r="C2393">
            <v>153</v>
          </cell>
          <cell r="D2393">
            <v>153</v>
          </cell>
          <cell r="E2393">
            <v>4027</v>
          </cell>
          <cell r="F2393">
            <v>4027</v>
          </cell>
          <cell r="G2393" t="str">
            <v>$182.11</v>
          </cell>
          <cell r="H2393" t="str">
            <v>$182.11</v>
          </cell>
          <cell r="I2393">
            <v>10</v>
          </cell>
          <cell r="J2393">
            <v>10</v>
          </cell>
          <cell r="K2393">
            <v>5</v>
          </cell>
          <cell r="L2393">
            <v>5</v>
          </cell>
          <cell r="M2393">
            <v>3.2679738562091505E-2</v>
          </cell>
          <cell r="N2393">
            <v>3.3000000000000002E-2</v>
          </cell>
          <cell r="O2393" t="str">
            <v>$1332</v>
          </cell>
          <cell r="P2393" t="str">
            <v>$1332</v>
          </cell>
          <cell r="Q2393">
            <v>45624</v>
          </cell>
          <cell r="R2393" t="str">
            <v>Hyderabad</v>
          </cell>
          <cell r="S2393" t="str">
            <v>Tablet</v>
          </cell>
          <cell r="T2393" t="str">
            <v>learn data analytics</v>
          </cell>
        </row>
        <row r="2394">
          <cell r="A2394" t="str">
            <v>A3392</v>
          </cell>
          <cell r="B2394" t="str">
            <v>Data Analytics Course</v>
          </cell>
          <cell r="C2394">
            <v>108</v>
          </cell>
          <cell r="D2394">
            <v>108</v>
          </cell>
          <cell r="E2394">
            <v>4523.2808326787117</v>
          </cell>
          <cell r="G2394" t="str">
            <v>$208.9</v>
          </cell>
          <cell r="H2394" t="str">
            <v>$208.9</v>
          </cell>
          <cell r="I2394">
            <v>10</v>
          </cell>
          <cell r="J2394">
            <v>10</v>
          </cell>
          <cell r="K2394">
            <v>6.3144329896907214</v>
          </cell>
          <cell r="M2394">
            <v>5.8466972126765937E-2</v>
          </cell>
          <cell r="O2394" t="str">
            <v>$1313</v>
          </cell>
          <cell r="P2394" t="str">
            <v>$1313</v>
          </cell>
          <cell r="Q2394">
            <v>45625</v>
          </cell>
          <cell r="R2394" t="str">
            <v>Hyderabad</v>
          </cell>
          <cell r="S2394" t="str">
            <v>Desktop</v>
          </cell>
          <cell r="T2394" t="str">
            <v>learn data analytics</v>
          </cell>
        </row>
        <row r="2395">
          <cell r="A2395" t="str">
            <v>A3393</v>
          </cell>
          <cell r="B2395" t="str">
            <v>Data Analytcis Course</v>
          </cell>
          <cell r="C2395">
            <v>172</v>
          </cell>
          <cell r="D2395">
            <v>172</v>
          </cell>
          <cell r="E2395">
            <v>5712</v>
          </cell>
          <cell r="F2395">
            <v>5712</v>
          </cell>
          <cell r="G2395" t="str">
            <v>$204.06</v>
          </cell>
          <cell r="H2395" t="str">
            <v>$204.06</v>
          </cell>
          <cell r="I2395">
            <v>28</v>
          </cell>
          <cell r="J2395">
            <v>28</v>
          </cell>
          <cell r="K2395">
            <v>7</v>
          </cell>
          <cell r="L2395">
            <v>7</v>
          </cell>
          <cell r="M2395">
            <v>4.0697674418604654E-2</v>
          </cell>
          <cell r="N2395">
            <v>3.4000000000000002E-2</v>
          </cell>
          <cell r="O2395" t="str">
            <v>$1407</v>
          </cell>
          <cell r="P2395" t="str">
            <v>$1407</v>
          </cell>
          <cell r="Q2395">
            <v>45617</v>
          </cell>
          <cell r="R2395" t="str">
            <v>Hyderabad</v>
          </cell>
          <cell r="S2395" t="str">
            <v>Tablet</v>
          </cell>
          <cell r="T2395" t="str">
            <v>analytics for data</v>
          </cell>
        </row>
        <row r="2396">
          <cell r="A2396" t="str">
            <v>A3394</v>
          </cell>
          <cell r="B2396" t="str">
            <v>Data Analytics Course</v>
          </cell>
          <cell r="C2396">
            <v>118</v>
          </cell>
          <cell r="D2396">
            <v>118</v>
          </cell>
          <cell r="E2396">
            <v>5514</v>
          </cell>
          <cell r="F2396">
            <v>5514</v>
          </cell>
          <cell r="G2396" t="str">
            <v>$237.88</v>
          </cell>
          <cell r="H2396" t="str">
            <v>$237.88</v>
          </cell>
          <cell r="I2396">
            <v>27</v>
          </cell>
          <cell r="J2396">
            <v>27</v>
          </cell>
          <cell r="K2396">
            <v>9</v>
          </cell>
          <cell r="L2396">
            <v>9</v>
          </cell>
          <cell r="M2396">
            <v>7.6271186440677971E-2</v>
          </cell>
          <cell r="N2396">
            <v>7.5999999999999998E-2</v>
          </cell>
          <cell r="O2396" t="str">
            <v>$1401</v>
          </cell>
          <cell r="P2396" t="str">
            <v>$1401</v>
          </cell>
          <cell r="Q2396">
            <v>45623</v>
          </cell>
          <cell r="R2396" t="str">
            <v>Hyderabad</v>
          </cell>
          <cell r="S2396" t="str">
            <v>Mobile</v>
          </cell>
          <cell r="T2396" t="str">
            <v>analytics for data</v>
          </cell>
        </row>
        <row r="2397">
          <cell r="A2397" t="str">
            <v>A3395</v>
          </cell>
          <cell r="B2397" t="str">
            <v>Data Analytcis Course</v>
          </cell>
          <cell r="C2397">
            <v>90</v>
          </cell>
          <cell r="D2397">
            <v>90</v>
          </cell>
          <cell r="E2397">
            <v>3776</v>
          </cell>
          <cell r="F2397">
            <v>3776</v>
          </cell>
          <cell r="G2397" t="str">
            <v>$186.92</v>
          </cell>
          <cell r="H2397" t="str">
            <v>$186.92</v>
          </cell>
          <cell r="I2397">
            <v>19</v>
          </cell>
          <cell r="J2397">
            <v>19</v>
          </cell>
          <cell r="K2397">
            <v>4</v>
          </cell>
          <cell r="L2397">
            <v>4</v>
          </cell>
          <cell r="M2397">
            <v>4.4444444444444446E-2</v>
          </cell>
          <cell r="N2397">
            <v>0.04</v>
          </cell>
          <cell r="O2397" t="str">
            <v>$1053</v>
          </cell>
          <cell r="P2397" t="str">
            <v>$1053</v>
          </cell>
          <cell r="Q2397">
            <v>45611</v>
          </cell>
          <cell r="R2397" t="str">
            <v>Hyderabad</v>
          </cell>
          <cell r="S2397" t="str">
            <v>Tablet</v>
          </cell>
          <cell r="T2397" t="str">
            <v>learn data analytics</v>
          </cell>
        </row>
        <row r="2398">
          <cell r="A2398" t="str">
            <v>A3396</v>
          </cell>
          <cell r="B2398" t="str">
            <v>Data Analytcis Course</v>
          </cell>
          <cell r="C2398">
            <v>97</v>
          </cell>
          <cell r="D2398">
            <v>97</v>
          </cell>
          <cell r="E2398">
            <v>3370</v>
          </cell>
          <cell r="F2398">
            <v>3370</v>
          </cell>
          <cell r="G2398" t="str">
            <v>$236.35</v>
          </cell>
          <cell r="H2398" t="str">
            <v>$236.35</v>
          </cell>
          <cell r="I2398">
            <v>20</v>
          </cell>
          <cell r="J2398">
            <v>20</v>
          </cell>
          <cell r="K2398">
            <v>7</v>
          </cell>
          <cell r="L2398">
            <v>7</v>
          </cell>
          <cell r="M2398">
            <v>7.2164948453608241E-2</v>
          </cell>
          <cell r="N2398">
            <v>7.1999999999999995E-2</v>
          </cell>
          <cell r="O2398" t="str">
            <v>$1500</v>
          </cell>
          <cell r="Q2398">
            <v>45600</v>
          </cell>
          <cell r="R2398" t="str">
            <v>Bangaluru</v>
          </cell>
          <cell r="S2398" t="str">
            <v>Mobile</v>
          </cell>
          <cell r="T2398" t="str">
            <v>data analytics course</v>
          </cell>
        </row>
        <row r="2399">
          <cell r="A2399" t="str">
            <v>A3397</v>
          </cell>
          <cell r="B2399" t="str">
            <v>Data Analytics Course</v>
          </cell>
          <cell r="C2399">
            <v>149</v>
          </cell>
          <cell r="D2399">
            <v>149</v>
          </cell>
          <cell r="E2399">
            <v>3814</v>
          </cell>
          <cell r="F2399">
            <v>3814</v>
          </cell>
          <cell r="G2399" t="str">
            <v>$213.11</v>
          </cell>
          <cell r="H2399" t="str">
            <v>$213.11</v>
          </cell>
          <cell r="I2399">
            <v>13</v>
          </cell>
          <cell r="J2399">
            <v>13</v>
          </cell>
          <cell r="K2399">
            <v>7</v>
          </cell>
          <cell r="L2399">
            <v>7</v>
          </cell>
          <cell r="M2399">
            <v>4.6979865771812082E-2</v>
          </cell>
          <cell r="N2399">
            <v>4.7E-2</v>
          </cell>
          <cell r="O2399" t="str">
            <v>$1057</v>
          </cell>
          <cell r="P2399" t="str">
            <v>$1057</v>
          </cell>
          <cell r="Q2399">
            <v>45602</v>
          </cell>
          <cell r="R2399" t="str">
            <v>Bangaluru</v>
          </cell>
          <cell r="S2399" t="str">
            <v>Mobile</v>
          </cell>
          <cell r="T2399" t="str">
            <v>analytics for data</v>
          </cell>
        </row>
        <row r="2400">
          <cell r="A2400" t="str">
            <v>A3398</v>
          </cell>
          <cell r="B2400" t="str">
            <v>Data Analytcis Course</v>
          </cell>
          <cell r="C2400">
            <v>137</v>
          </cell>
          <cell r="D2400">
            <v>137</v>
          </cell>
          <cell r="E2400">
            <v>5434</v>
          </cell>
          <cell r="F2400">
            <v>5434</v>
          </cell>
          <cell r="G2400" t="str">
            <v>$182.57</v>
          </cell>
          <cell r="H2400" t="str">
            <v>$182.57</v>
          </cell>
          <cell r="I2400">
            <v>10</v>
          </cell>
          <cell r="J2400">
            <v>10</v>
          </cell>
          <cell r="K2400">
            <v>7</v>
          </cell>
          <cell r="L2400">
            <v>7</v>
          </cell>
          <cell r="M2400">
            <v>5.1094890510948905E-2</v>
          </cell>
          <cell r="N2400">
            <v>5.0999999999999997E-2</v>
          </cell>
          <cell r="O2400" t="str">
            <v>$1852</v>
          </cell>
          <cell r="P2400" t="str">
            <v>$1852</v>
          </cell>
          <cell r="Q2400">
            <v>45625</v>
          </cell>
          <cell r="R2400" t="str">
            <v>Chennai</v>
          </cell>
          <cell r="S2400" t="str">
            <v>Desktop</v>
          </cell>
          <cell r="T2400" t="str">
            <v>online data analytic</v>
          </cell>
        </row>
        <row r="2401">
          <cell r="A2401" t="str">
            <v>A3399</v>
          </cell>
          <cell r="B2401" t="str">
            <v>Data Analytcis Course</v>
          </cell>
          <cell r="C2401">
            <v>172</v>
          </cell>
          <cell r="D2401">
            <v>172</v>
          </cell>
          <cell r="E2401">
            <v>4079</v>
          </cell>
          <cell r="F2401">
            <v>4079</v>
          </cell>
          <cell r="G2401" t="str">
            <v>$183.05</v>
          </cell>
          <cell r="H2401" t="str">
            <v>$183.05</v>
          </cell>
          <cell r="I2401">
            <v>20</v>
          </cell>
          <cell r="J2401">
            <v>20</v>
          </cell>
          <cell r="K2401">
            <v>8</v>
          </cell>
          <cell r="L2401">
            <v>8</v>
          </cell>
          <cell r="M2401">
            <v>4.6511627906976744E-2</v>
          </cell>
          <cell r="N2401">
            <v>4.7E-2</v>
          </cell>
          <cell r="O2401" t="str">
            <v>$1988</v>
          </cell>
          <cell r="P2401" t="str">
            <v>$1988</v>
          </cell>
          <cell r="Q2401">
            <v>45624</v>
          </cell>
          <cell r="R2401" t="str">
            <v>Hyderabad</v>
          </cell>
          <cell r="S2401" t="str">
            <v>Desktop</v>
          </cell>
          <cell r="T2401" t="str">
            <v>data analytics course</v>
          </cell>
        </row>
        <row r="2402">
          <cell r="A2402" t="str">
            <v>A3400</v>
          </cell>
          <cell r="B2402" t="str">
            <v>Data Analytics Course</v>
          </cell>
          <cell r="C2402">
            <v>116</v>
          </cell>
          <cell r="D2402">
            <v>116</v>
          </cell>
          <cell r="E2402">
            <v>4252</v>
          </cell>
          <cell r="F2402">
            <v>4252</v>
          </cell>
          <cell r="G2402" t="str">
            <v>$180.05</v>
          </cell>
          <cell r="H2402" t="str">
            <v>$180.05</v>
          </cell>
          <cell r="I2402">
            <v>18</v>
          </cell>
          <cell r="J2402">
            <v>18</v>
          </cell>
          <cell r="K2402">
            <v>8</v>
          </cell>
          <cell r="L2402">
            <v>8</v>
          </cell>
          <cell r="M2402">
            <v>6.8965517241379309E-2</v>
          </cell>
          <cell r="N2402">
            <v>6.9000000000000006E-2</v>
          </cell>
          <cell r="O2402" t="str">
            <v>$1568</v>
          </cell>
          <cell r="P2402" t="str">
            <v>$1568</v>
          </cell>
          <cell r="Q2402">
            <v>45613</v>
          </cell>
          <cell r="R2402" t="str">
            <v>Chennai</v>
          </cell>
          <cell r="S2402" t="str">
            <v>Desktop</v>
          </cell>
          <cell r="T2402" t="str">
            <v>online data analytic</v>
          </cell>
        </row>
        <row r="2403">
          <cell r="A2403" t="str">
            <v>A3401</v>
          </cell>
          <cell r="B2403" t="str">
            <v>Data Analytics Course</v>
          </cell>
          <cell r="C2403">
            <v>187</v>
          </cell>
          <cell r="D2403">
            <v>187</v>
          </cell>
          <cell r="E2403">
            <v>4793</v>
          </cell>
          <cell r="F2403">
            <v>4793</v>
          </cell>
          <cell r="G2403" t="str">
            <v>$186.41</v>
          </cell>
          <cell r="H2403" t="str">
            <v>$186.41</v>
          </cell>
          <cell r="I2403">
            <v>30</v>
          </cell>
          <cell r="J2403">
            <v>30</v>
          </cell>
          <cell r="K2403">
            <v>9</v>
          </cell>
          <cell r="L2403">
            <v>9</v>
          </cell>
          <cell r="M2403">
            <v>4.8128342245989303E-2</v>
          </cell>
          <cell r="O2403" t="str">
            <v>$1120</v>
          </cell>
          <cell r="P2403" t="str">
            <v>$1120</v>
          </cell>
          <cell r="Q2403">
            <v>45599</v>
          </cell>
          <cell r="R2403" t="str">
            <v>Hyderabad</v>
          </cell>
          <cell r="S2403" t="str">
            <v>Desktop</v>
          </cell>
          <cell r="T2403" t="str">
            <v>data analytics course</v>
          </cell>
        </row>
        <row r="2404">
          <cell r="A2404" t="str">
            <v>A3402</v>
          </cell>
          <cell r="B2404" t="str">
            <v>Data Analytics Course</v>
          </cell>
          <cell r="C2404">
            <v>126</v>
          </cell>
          <cell r="D2404">
            <v>126</v>
          </cell>
          <cell r="E2404">
            <v>4140</v>
          </cell>
          <cell r="F2404">
            <v>4140</v>
          </cell>
          <cell r="G2404" t="str">
            <v>$193.49</v>
          </cell>
          <cell r="H2404" t="str">
            <v>$193.49</v>
          </cell>
          <cell r="I2404">
            <v>19</v>
          </cell>
          <cell r="J2404">
            <v>19</v>
          </cell>
          <cell r="K2404">
            <v>6.2648648648648653</v>
          </cell>
          <cell r="M2404">
            <v>4.9721149721149722E-2</v>
          </cell>
          <cell r="O2404" t="str">
            <v>$1340</v>
          </cell>
          <cell r="P2404" t="str">
            <v>$1340</v>
          </cell>
          <cell r="Q2404">
            <v>45615</v>
          </cell>
          <cell r="R2404" t="str">
            <v>Bangaluru</v>
          </cell>
          <cell r="S2404" t="str">
            <v>Tablet</v>
          </cell>
          <cell r="T2404" t="str">
            <v>data analytics course</v>
          </cell>
        </row>
        <row r="2405">
          <cell r="A2405" t="str">
            <v>A3403</v>
          </cell>
          <cell r="B2405" t="str">
            <v>Data Analytics Course</v>
          </cell>
          <cell r="C2405">
            <v>123</v>
          </cell>
          <cell r="D2405">
            <v>123</v>
          </cell>
          <cell r="E2405">
            <v>5844</v>
          </cell>
          <cell r="F2405">
            <v>5844</v>
          </cell>
          <cell r="G2405" t="str">
            <v>$201.7</v>
          </cell>
          <cell r="H2405" t="str">
            <v>$201.7</v>
          </cell>
          <cell r="I2405">
            <v>12</v>
          </cell>
          <cell r="J2405">
            <v>12</v>
          </cell>
          <cell r="K2405">
            <v>6</v>
          </cell>
          <cell r="L2405">
            <v>6</v>
          </cell>
          <cell r="M2405">
            <v>4.878048780487805E-2</v>
          </cell>
          <cell r="O2405" t="str">
            <v>$1636</v>
          </cell>
          <cell r="P2405" t="str">
            <v>$1636</v>
          </cell>
          <cell r="Q2405">
            <v>45606</v>
          </cell>
          <cell r="R2405" t="str">
            <v>Hyderabad</v>
          </cell>
          <cell r="S2405" t="str">
            <v>Desktop</v>
          </cell>
          <cell r="T2405" t="str">
            <v>data analytics online</v>
          </cell>
        </row>
        <row r="2406">
          <cell r="A2406" t="str">
            <v>A3404</v>
          </cell>
          <cell r="B2406" t="str">
            <v>Data Analytics Course</v>
          </cell>
          <cell r="C2406">
            <v>132</v>
          </cell>
          <cell r="D2406">
            <v>132</v>
          </cell>
          <cell r="E2406">
            <v>5845</v>
          </cell>
          <cell r="F2406">
            <v>5845</v>
          </cell>
          <cell r="G2406" t="str">
            <v>$249.74</v>
          </cell>
          <cell r="H2406" t="str">
            <v>$249.74</v>
          </cell>
          <cell r="I2406">
            <v>19</v>
          </cell>
          <cell r="J2406">
            <v>19</v>
          </cell>
          <cell r="K2406">
            <v>6.2663043478260869</v>
          </cell>
          <cell r="M2406">
            <v>4.7472002635046112E-2</v>
          </cell>
          <cell r="N2406">
            <v>0.05</v>
          </cell>
          <cell r="O2406" t="str">
            <v>$1067</v>
          </cell>
          <cell r="P2406" t="str">
            <v>$1067</v>
          </cell>
          <cell r="Q2406">
            <v>45599</v>
          </cell>
          <cell r="R2406" t="str">
            <v>Hyderabad</v>
          </cell>
          <cell r="S2406" t="str">
            <v>Mobile</v>
          </cell>
          <cell r="T2406" t="str">
            <v>analytics for data</v>
          </cell>
        </row>
        <row r="2407">
          <cell r="A2407" t="str">
            <v>A3405</v>
          </cell>
          <cell r="B2407" t="str">
            <v>Data Analytics Course</v>
          </cell>
          <cell r="C2407">
            <v>118</v>
          </cell>
          <cell r="D2407">
            <v>118</v>
          </cell>
          <cell r="E2407">
            <v>3371</v>
          </cell>
          <cell r="F2407">
            <v>3371</v>
          </cell>
          <cell r="G2407" t="str">
            <v>$191.98</v>
          </cell>
          <cell r="H2407" t="str">
            <v>$191.98</v>
          </cell>
          <cell r="I2407">
            <v>10</v>
          </cell>
          <cell r="J2407">
            <v>10</v>
          </cell>
          <cell r="K2407">
            <v>6</v>
          </cell>
          <cell r="L2407">
            <v>6</v>
          </cell>
          <cell r="M2407">
            <v>5.0847457627118647E-2</v>
          </cell>
          <cell r="O2407" t="str">
            <v>$1458</v>
          </cell>
          <cell r="P2407" t="str">
            <v>$1458</v>
          </cell>
          <cell r="Q2407">
            <v>45609</v>
          </cell>
          <cell r="R2407" t="str">
            <v>Bangaluru</v>
          </cell>
          <cell r="S2407" t="str">
            <v>Mobile</v>
          </cell>
          <cell r="T2407" t="str">
            <v>learn data analytics</v>
          </cell>
        </row>
        <row r="2408">
          <cell r="A2408" t="str">
            <v>A3406</v>
          </cell>
          <cell r="B2408" t="str">
            <v>Data Analytics Course</v>
          </cell>
          <cell r="C2408">
            <v>92</v>
          </cell>
          <cell r="D2408">
            <v>92</v>
          </cell>
          <cell r="E2408">
            <v>4853</v>
          </cell>
          <cell r="F2408">
            <v>4853</v>
          </cell>
          <cell r="G2408" t="str">
            <v>$189.19</v>
          </cell>
          <cell r="H2408" t="str">
            <v>$189.19</v>
          </cell>
          <cell r="I2408">
            <v>23</v>
          </cell>
          <cell r="J2408">
            <v>23</v>
          </cell>
          <cell r="K2408">
            <v>9</v>
          </cell>
          <cell r="L2408">
            <v>9</v>
          </cell>
          <cell r="M2408">
            <v>9.7826086956521743E-2</v>
          </cell>
          <cell r="O2408" t="str">
            <v>$1189</v>
          </cell>
          <cell r="P2408" t="str">
            <v>$1189</v>
          </cell>
          <cell r="Q2408">
            <v>45614</v>
          </cell>
          <cell r="R2408" t="str">
            <v>Chennai</v>
          </cell>
          <cell r="S2408" t="str">
            <v>Desktop</v>
          </cell>
          <cell r="T2408" t="str">
            <v>online data analytic</v>
          </cell>
        </row>
        <row r="2409">
          <cell r="A2409" t="str">
            <v>A3407</v>
          </cell>
          <cell r="B2409" t="str">
            <v>Data Analytics Course</v>
          </cell>
          <cell r="C2409">
            <v>100</v>
          </cell>
          <cell r="D2409">
            <v>100</v>
          </cell>
          <cell r="E2409">
            <v>5781</v>
          </cell>
          <cell r="F2409">
            <v>5781</v>
          </cell>
          <cell r="G2409" t="str">
            <v>$202.96</v>
          </cell>
          <cell r="H2409" t="str">
            <v>$202.96</v>
          </cell>
          <cell r="I2409">
            <v>30</v>
          </cell>
          <cell r="J2409">
            <v>30</v>
          </cell>
          <cell r="K2409">
            <v>7</v>
          </cell>
          <cell r="L2409">
            <v>7</v>
          </cell>
          <cell r="M2409">
            <v>7.0000000000000007E-2</v>
          </cell>
          <cell r="N2409">
            <v>7.0000000000000007E-2</v>
          </cell>
          <cell r="O2409" t="str">
            <v>$1132</v>
          </cell>
          <cell r="P2409" t="str">
            <v>$1132</v>
          </cell>
          <cell r="Q2409">
            <v>45614</v>
          </cell>
          <cell r="R2409" t="str">
            <v>Hyderabad</v>
          </cell>
          <cell r="S2409" t="str">
            <v>Desktop</v>
          </cell>
          <cell r="T2409" t="str">
            <v>data analytics training</v>
          </cell>
        </row>
        <row r="2410">
          <cell r="A2410" t="str">
            <v>A3408</v>
          </cell>
          <cell r="B2410" t="str">
            <v>Data Analytcis Course</v>
          </cell>
          <cell r="C2410">
            <v>100</v>
          </cell>
          <cell r="D2410">
            <v>100</v>
          </cell>
          <cell r="E2410">
            <v>5435</v>
          </cell>
          <cell r="F2410">
            <v>5435</v>
          </cell>
          <cell r="G2410" t="str">
            <v>$205.99</v>
          </cell>
          <cell r="H2410" t="str">
            <v>$205.99</v>
          </cell>
          <cell r="I2410">
            <v>13</v>
          </cell>
          <cell r="J2410">
            <v>13</v>
          </cell>
          <cell r="K2410">
            <v>6</v>
          </cell>
          <cell r="L2410">
            <v>6</v>
          </cell>
          <cell r="M2410">
            <v>0.06</v>
          </cell>
          <cell r="N2410">
            <v>3.1E-2</v>
          </cell>
          <cell r="O2410" t="str">
            <v>$1607</v>
          </cell>
          <cell r="P2410" t="str">
            <v>$1607</v>
          </cell>
          <cell r="Q2410">
            <v>45623</v>
          </cell>
          <cell r="R2410" t="str">
            <v>Bangaluru</v>
          </cell>
          <cell r="S2410" t="str">
            <v>Tablet</v>
          </cell>
          <cell r="T2410" t="str">
            <v>analytics for data</v>
          </cell>
        </row>
        <row r="2411">
          <cell r="A2411" t="str">
            <v>A3409</v>
          </cell>
          <cell r="B2411" t="str">
            <v>Data Analytcis Course</v>
          </cell>
          <cell r="C2411">
            <v>89</v>
          </cell>
          <cell r="D2411">
            <v>89</v>
          </cell>
          <cell r="E2411">
            <v>3915</v>
          </cell>
          <cell r="F2411">
            <v>3915</v>
          </cell>
          <cell r="G2411" t="str">
            <v>$207.63</v>
          </cell>
          <cell r="H2411" t="str">
            <v>$207.63</v>
          </cell>
          <cell r="I2411">
            <v>10</v>
          </cell>
          <cell r="J2411">
            <v>10</v>
          </cell>
          <cell r="K2411">
            <v>7</v>
          </cell>
          <cell r="L2411">
            <v>7</v>
          </cell>
          <cell r="M2411">
            <v>7.8651685393258425E-2</v>
          </cell>
          <cell r="O2411" t="str">
            <v>$1454</v>
          </cell>
          <cell r="P2411" t="str">
            <v>$1454</v>
          </cell>
          <cell r="Q2411">
            <v>45598</v>
          </cell>
          <cell r="R2411" t="str">
            <v>Chennai</v>
          </cell>
          <cell r="S2411" t="str">
            <v>Desktop</v>
          </cell>
          <cell r="T2411" t="str">
            <v>data analytics course</v>
          </cell>
        </row>
        <row r="2412">
          <cell r="A2412" t="str">
            <v>A3410</v>
          </cell>
          <cell r="B2412" t="str">
            <v>Data Analytics Course</v>
          </cell>
          <cell r="C2412">
            <v>147</v>
          </cell>
          <cell r="D2412">
            <v>147</v>
          </cell>
          <cell r="E2412">
            <v>4231</v>
          </cell>
          <cell r="F2412">
            <v>4231</v>
          </cell>
          <cell r="G2412" t="str">
            <v>$186.73</v>
          </cell>
          <cell r="H2412" t="str">
            <v>$186.73</v>
          </cell>
          <cell r="I2412">
            <v>20</v>
          </cell>
          <cell r="J2412">
            <v>20</v>
          </cell>
          <cell r="K2412">
            <v>5</v>
          </cell>
          <cell r="L2412">
            <v>5</v>
          </cell>
          <cell r="M2412">
            <v>3.4013605442176874E-2</v>
          </cell>
          <cell r="O2412" t="str">
            <v>$1271</v>
          </cell>
          <cell r="P2412" t="str">
            <v>$1271</v>
          </cell>
          <cell r="Q2412">
            <v>45611</v>
          </cell>
          <cell r="R2412" t="str">
            <v>Hyderabad</v>
          </cell>
          <cell r="S2412" t="str">
            <v>Desktop</v>
          </cell>
          <cell r="T2412" t="str">
            <v>learn data analytics</v>
          </cell>
        </row>
        <row r="2413">
          <cell r="A2413" t="str">
            <v>A3411</v>
          </cell>
          <cell r="B2413" t="str">
            <v>Data Analytics Course</v>
          </cell>
          <cell r="C2413">
            <v>153</v>
          </cell>
          <cell r="D2413">
            <v>153</v>
          </cell>
          <cell r="E2413">
            <v>3225</v>
          </cell>
          <cell r="F2413">
            <v>3225</v>
          </cell>
          <cell r="G2413" t="str">
            <v>$240.34</v>
          </cell>
          <cell r="H2413" t="str">
            <v>$240.34</v>
          </cell>
          <cell r="I2413">
            <v>20</v>
          </cell>
          <cell r="J2413">
            <v>20</v>
          </cell>
          <cell r="K2413">
            <v>8</v>
          </cell>
          <cell r="L2413">
            <v>8</v>
          </cell>
          <cell r="M2413">
            <v>5.2287581699346407E-2</v>
          </cell>
          <cell r="N2413">
            <v>5.1999999999999998E-2</v>
          </cell>
          <cell r="O2413" t="str">
            <v>$1313</v>
          </cell>
          <cell r="P2413" t="str">
            <v>$1313</v>
          </cell>
          <cell r="Q2413">
            <v>45624</v>
          </cell>
          <cell r="R2413" t="str">
            <v>Bangaluru</v>
          </cell>
          <cell r="S2413" t="str">
            <v>Tablet</v>
          </cell>
          <cell r="T2413" t="str">
            <v>data analytics online</v>
          </cell>
        </row>
        <row r="2414">
          <cell r="A2414" t="str">
            <v>A3412</v>
          </cell>
          <cell r="B2414" t="str">
            <v>Data Analytcis Course</v>
          </cell>
          <cell r="C2414">
            <v>164</v>
          </cell>
          <cell r="D2414">
            <v>164</v>
          </cell>
          <cell r="E2414">
            <v>3996</v>
          </cell>
          <cell r="F2414">
            <v>3996</v>
          </cell>
          <cell r="G2414" t="str">
            <v>$202.56</v>
          </cell>
          <cell r="H2414" t="str">
            <v>$202.56</v>
          </cell>
          <cell r="I2414">
            <v>19</v>
          </cell>
          <cell r="J2414">
            <v>19</v>
          </cell>
          <cell r="K2414">
            <v>10</v>
          </cell>
          <cell r="L2414">
            <v>10</v>
          </cell>
          <cell r="M2414">
            <v>6.097560975609756E-2</v>
          </cell>
          <cell r="N2414">
            <v>6.0999999999999999E-2</v>
          </cell>
          <cell r="O2414" t="str">
            <v>$1880</v>
          </cell>
          <cell r="P2414" t="str">
            <v>$1880</v>
          </cell>
          <cell r="Q2414">
            <v>45625</v>
          </cell>
          <cell r="R2414" t="str">
            <v>Bangaluru</v>
          </cell>
          <cell r="S2414" t="str">
            <v>Desktop</v>
          </cell>
          <cell r="T2414" t="str">
            <v>data analytics online</v>
          </cell>
        </row>
        <row r="2415">
          <cell r="A2415" t="str">
            <v>A3413</v>
          </cell>
          <cell r="B2415" t="str">
            <v>Data Analytics Course</v>
          </cell>
          <cell r="C2415">
            <v>124</v>
          </cell>
          <cell r="D2415">
            <v>124</v>
          </cell>
          <cell r="E2415">
            <v>5949</v>
          </cell>
          <cell r="F2415">
            <v>5949</v>
          </cell>
          <cell r="G2415" t="str">
            <v>$218.12</v>
          </cell>
          <cell r="H2415" t="str">
            <v>$218.12</v>
          </cell>
          <cell r="I2415">
            <v>11</v>
          </cell>
          <cell r="J2415">
            <v>11</v>
          </cell>
          <cell r="K2415">
            <v>10</v>
          </cell>
          <cell r="L2415">
            <v>10</v>
          </cell>
          <cell r="M2415">
            <v>8.0645161290322578E-2</v>
          </cell>
          <cell r="O2415" t="str">
            <v>$1019</v>
          </cell>
          <cell r="P2415" t="str">
            <v>$1019</v>
          </cell>
          <cell r="Q2415">
            <v>45602</v>
          </cell>
          <cell r="R2415" t="str">
            <v>Hyderabad</v>
          </cell>
          <cell r="S2415" t="str">
            <v>Mobile</v>
          </cell>
          <cell r="T2415" t="str">
            <v>online data analytic</v>
          </cell>
        </row>
        <row r="2416">
          <cell r="A2416" t="str">
            <v>A3414</v>
          </cell>
          <cell r="B2416" t="str">
            <v>Data Analytics Course</v>
          </cell>
          <cell r="C2416">
            <v>189</v>
          </cell>
          <cell r="D2416">
            <v>189</v>
          </cell>
          <cell r="E2416">
            <v>5740</v>
          </cell>
          <cell r="F2416">
            <v>5740</v>
          </cell>
          <cell r="G2416" t="str">
            <v>$231.73</v>
          </cell>
          <cell r="H2416" t="str">
            <v>$231.73</v>
          </cell>
          <cell r="I2416">
            <v>28</v>
          </cell>
          <cell r="J2416">
            <v>28</v>
          </cell>
          <cell r="K2416">
            <v>5</v>
          </cell>
          <cell r="L2416">
            <v>5</v>
          </cell>
          <cell r="M2416">
            <v>2.6455026455026454E-2</v>
          </cell>
          <cell r="O2416" t="str">
            <v>$1306</v>
          </cell>
          <cell r="P2416" t="str">
            <v>$1306</v>
          </cell>
          <cell r="Q2416">
            <v>45599</v>
          </cell>
          <cell r="R2416" t="str">
            <v>Bangaluru</v>
          </cell>
          <cell r="S2416" t="str">
            <v>Tablet</v>
          </cell>
          <cell r="T2416" t="str">
            <v>online data analytic</v>
          </cell>
        </row>
        <row r="2417">
          <cell r="A2417" t="str">
            <v>A3415</v>
          </cell>
          <cell r="B2417" t="str">
            <v>Data Analytics Course</v>
          </cell>
          <cell r="C2417">
            <v>142</v>
          </cell>
          <cell r="D2417">
            <v>142</v>
          </cell>
          <cell r="E2417">
            <v>5354</v>
          </cell>
          <cell r="F2417">
            <v>5354</v>
          </cell>
          <cell r="G2417" t="str">
            <v>$247.32</v>
          </cell>
          <cell r="H2417" t="str">
            <v>$247.32</v>
          </cell>
          <cell r="I2417">
            <v>17</v>
          </cell>
          <cell r="J2417">
            <v>17</v>
          </cell>
          <cell r="K2417">
            <v>4</v>
          </cell>
          <cell r="L2417">
            <v>4</v>
          </cell>
          <cell r="M2417">
            <v>2.8169014084507043E-2</v>
          </cell>
          <cell r="N2417">
            <v>4.8000000000000001E-2</v>
          </cell>
          <cell r="O2417" t="str">
            <v>$1828</v>
          </cell>
          <cell r="P2417" t="str">
            <v>$1828</v>
          </cell>
          <cell r="Q2417">
            <v>45597</v>
          </cell>
          <cell r="R2417" t="str">
            <v>Chennai</v>
          </cell>
          <cell r="S2417" t="str">
            <v>Desktop</v>
          </cell>
          <cell r="T2417" t="str">
            <v>online data analytic</v>
          </cell>
        </row>
        <row r="2418">
          <cell r="A2418" t="str">
            <v>A3416</v>
          </cell>
          <cell r="B2418" t="str">
            <v>Data Analytics Course</v>
          </cell>
          <cell r="C2418">
            <v>127</v>
          </cell>
          <cell r="D2418">
            <v>127</v>
          </cell>
          <cell r="E2418">
            <v>4587</v>
          </cell>
          <cell r="F2418">
            <v>4587</v>
          </cell>
          <cell r="G2418" t="str">
            <v>$199.63</v>
          </cell>
          <cell r="H2418" t="str">
            <v>$199.63</v>
          </cell>
          <cell r="I2418">
            <v>17</v>
          </cell>
          <cell r="J2418">
            <v>17</v>
          </cell>
          <cell r="K2418">
            <v>5</v>
          </cell>
          <cell r="L2418">
            <v>5</v>
          </cell>
          <cell r="M2418">
            <v>3.937007874015748E-2</v>
          </cell>
          <cell r="N2418">
            <v>4.2999999999999997E-2</v>
          </cell>
          <cell r="O2418" t="str">
            <v>$1319</v>
          </cell>
          <cell r="P2418" t="str">
            <v>$1319</v>
          </cell>
          <cell r="Q2418">
            <v>45623</v>
          </cell>
          <cell r="R2418" t="str">
            <v>Hyderabad</v>
          </cell>
          <cell r="S2418" t="str">
            <v>Tablet</v>
          </cell>
          <cell r="T2418" t="str">
            <v>data analytics course</v>
          </cell>
        </row>
        <row r="2419">
          <cell r="A2419" t="str">
            <v>A3417</v>
          </cell>
          <cell r="B2419" t="str">
            <v>Data Analytics Course</v>
          </cell>
          <cell r="C2419">
            <v>174</v>
          </cell>
          <cell r="D2419">
            <v>174</v>
          </cell>
          <cell r="E2419">
            <v>3957</v>
          </cell>
          <cell r="F2419">
            <v>3957</v>
          </cell>
          <cell r="G2419" t="str">
            <v>$181.56</v>
          </cell>
          <cell r="H2419" t="str">
            <v>$181.56</v>
          </cell>
          <cell r="I2419">
            <v>12</v>
          </cell>
          <cell r="J2419">
            <v>12</v>
          </cell>
          <cell r="K2419">
            <v>3</v>
          </cell>
          <cell r="L2419">
            <v>3</v>
          </cell>
          <cell r="M2419">
            <v>1.7241379310344827E-2</v>
          </cell>
          <cell r="O2419" t="str">
            <v>$1385</v>
          </cell>
          <cell r="P2419" t="str">
            <v>$1385</v>
          </cell>
          <cell r="Q2419">
            <v>45598</v>
          </cell>
          <cell r="R2419" t="str">
            <v>Hyderabad</v>
          </cell>
          <cell r="S2419" t="str">
            <v>Desktop</v>
          </cell>
          <cell r="T2419" t="str">
            <v>data analytics training</v>
          </cell>
        </row>
        <row r="2420">
          <cell r="A2420" t="str">
            <v>A3418</v>
          </cell>
          <cell r="B2420" t="str">
            <v>Data Analytics Course</v>
          </cell>
          <cell r="C2420">
            <v>183</v>
          </cell>
          <cell r="D2420">
            <v>183</v>
          </cell>
          <cell r="E2420">
            <v>5971</v>
          </cell>
          <cell r="F2420">
            <v>5971</v>
          </cell>
          <cell r="G2420" t="str">
            <v>$207.43</v>
          </cell>
          <cell r="H2420" t="str">
            <v>$207.43</v>
          </cell>
          <cell r="I2420">
            <v>10</v>
          </cell>
          <cell r="J2420">
            <v>10</v>
          </cell>
          <cell r="K2420">
            <v>7</v>
          </cell>
          <cell r="L2420">
            <v>7</v>
          </cell>
          <cell r="M2420">
            <v>3.825136612021858E-2</v>
          </cell>
          <cell r="N2420">
            <v>3.7999999999999999E-2</v>
          </cell>
          <cell r="O2420" t="str">
            <v>$1325</v>
          </cell>
          <cell r="P2420" t="str">
            <v>$1325</v>
          </cell>
          <cell r="Q2420">
            <v>45621</v>
          </cell>
          <cell r="R2420" t="str">
            <v>Bangaluru</v>
          </cell>
          <cell r="S2420" t="str">
            <v>Tablet</v>
          </cell>
          <cell r="T2420" t="str">
            <v>online data analytic</v>
          </cell>
        </row>
        <row r="2421">
          <cell r="A2421" t="str">
            <v>A3419</v>
          </cell>
          <cell r="B2421" t="str">
            <v>Data Analytics Course</v>
          </cell>
          <cell r="C2421">
            <v>190</v>
          </cell>
          <cell r="D2421">
            <v>190</v>
          </cell>
          <cell r="E2421">
            <v>3455</v>
          </cell>
          <cell r="F2421">
            <v>3455</v>
          </cell>
          <cell r="G2421" t="str">
            <v>$213.11</v>
          </cell>
          <cell r="H2421" t="str">
            <v>$213.11</v>
          </cell>
          <cell r="I2421">
            <v>18</v>
          </cell>
          <cell r="J2421">
            <v>18</v>
          </cell>
          <cell r="K2421">
            <v>7</v>
          </cell>
          <cell r="L2421">
            <v>7</v>
          </cell>
          <cell r="M2421">
            <v>3.6842105263157891E-2</v>
          </cell>
          <cell r="N2421">
            <v>3.6999999999999998E-2</v>
          </cell>
          <cell r="O2421" t="str">
            <v>$1730</v>
          </cell>
          <cell r="P2421" t="str">
            <v>$1730</v>
          </cell>
          <cell r="Q2421">
            <v>45609</v>
          </cell>
          <cell r="R2421" t="str">
            <v>Bangaluru</v>
          </cell>
          <cell r="S2421" t="str">
            <v>Desktop</v>
          </cell>
          <cell r="T2421" t="str">
            <v>data analytics training</v>
          </cell>
        </row>
        <row r="2422">
          <cell r="A2422" t="str">
            <v>A3420</v>
          </cell>
          <cell r="B2422" t="str">
            <v>Data Analytics Course</v>
          </cell>
          <cell r="C2422">
            <v>116</v>
          </cell>
          <cell r="D2422">
            <v>116</v>
          </cell>
          <cell r="E2422">
            <v>5748</v>
          </cell>
          <cell r="F2422">
            <v>5748</v>
          </cell>
          <cell r="G2422" t="str">
            <v>$188.91</v>
          </cell>
          <cell r="H2422" t="str">
            <v>$188.91</v>
          </cell>
          <cell r="I2422">
            <v>11</v>
          </cell>
          <cell r="J2422">
            <v>11</v>
          </cell>
          <cell r="K2422">
            <v>7</v>
          </cell>
          <cell r="L2422">
            <v>7</v>
          </cell>
          <cell r="M2422">
            <v>6.0344827586206899E-2</v>
          </cell>
          <cell r="O2422" t="str">
            <v>$1368</v>
          </cell>
          <cell r="P2422" t="str">
            <v>$1368</v>
          </cell>
          <cell r="Q2422">
            <v>45610</v>
          </cell>
          <cell r="R2422" t="str">
            <v>Hyderabad</v>
          </cell>
          <cell r="S2422" t="str">
            <v>Desktop</v>
          </cell>
          <cell r="T2422" t="str">
            <v>data analytics online</v>
          </cell>
        </row>
        <row r="2423">
          <cell r="A2423" t="str">
            <v>A3421</v>
          </cell>
          <cell r="B2423" t="str">
            <v>Data Analytics Course</v>
          </cell>
          <cell r="C2423">
            <v>199</v>
          </cell>
          <cell r="D2423">
            <v>199</v>
          </cell>
          <cell r="E2423">
            <v>4387</v>
          </cell>
          <cell r="F2423">
            <v>4387</v>
          </cell>
          <cell r="G2423" t="str">
            <v>$206.92</v>
          </cell>
          <cell r="H2423" t="str">
            <v>$206.92</v>
          </cell>
          <cell r="I2423">
            <v>20</v>
          </cell>
          <cell r="J2423">
            <v>20</v>
          </cell>
          <cell r="K2423">
            <v>9</v>
          </cell>
          <cell r="L2423">
            <v>9</v>
          </cell>
          <cell r="M2423">
            <v>4.5226130653266333E-2</v>
          </cell>
          <cell r="N2423">
            <v>3.7999999999999999E-2</v>
          </cell>
          <cell r="O2423" t="str">
            <v>$1054</v>
          </cell>
          <cell r="P2423" t="str">
            <v>$1054</v>
          </cell>
          <cell r="Q2423">
            <v>45620</v>
          </cell>
          <cell r="R2423" t="str">
            <v>Chennai</v>
          </cell>
          <cell r="S2423" t="str">
            <v>Mobile</v>
          </cell>
          <cell r="T2423" t="str">
            <v>data analytics training</v>
          </cell>
        </row>
        <row r="2424">
          <cell r="A2424" t="str">
            <v>A3422</v>
          </cell>
          <cell r="B2424" t="str">
            <v>Data Analytics Course</v>
          </cell>
          <cell r="C2424">
            <v>181</v>
          </cell>
          <cell r="D2424">
            <v>181</v>
          </cell>
          <cell r="E2424">
            <v>4103</v>
          </cell>
          <cell r="F2424">
            <v>4103</v>
          </cell>
          <cell r="G2424" t="str">
            <v>$200.00</v>
          </cell>
          <cell r="I2424">
            <v>24</v>
          </cell>
          <cell r="J2424">
            <v>24</v>
          </cell>
          <cell r="K2424">
            <v>8</v>
          </cell>
          <cell r="L2424">
            <v>8</v>
          </cell>
          <cell r="M2424">
            <v>4.4198895027624308E-2</v>
          </cell>
          <cell r="N2424">
            <v>4.3999999999999997E-2</v>
          </cell>
          <cell r="O2424" t="str">
            <v>$1103</v>
          </cell>
          <cell r="P2424" t="str">
            <v>$1103</v>
          </cell>
          <cell r="Q2424">
            <v>45621</v>
          </cell>
          <cell r="R2424" t="str">
            <v>Chennai</v>
          </cell>
          <cell r="S2424" t="str">
            <v>Mobile</v>
          </cell>
          <cell r="T2424" t="str">
            <v>data analytics online</v>
          </cell>
        </row>
        <row r="2425">
          <cell r="A2425" t="str">
            <v>A3423</v>
          </cell>
          <cell r="B2425" t="str">
            <v>Data Analytics Course</v>
          </cell>
          <cell r="C2425">
            <v>197</v>
          </cell>
          <cell r="D2425">
            <v>197</v>
          </cell>
          <cell r="E2425">
            <v>3253</v>
          </cell>
          <cell r="F2425">
            <v>3253</v>
          </cell>
          <cell r="G2425" t="str">
            <v>$243.38</v>
          </cell>
          <cell r="H2425" t="str">
            <v>$243.38</v>
          </cell>
          <cell r="I2425">
            <v>17</v>
          </cell>
          <cell r="J2425">
            <v>17</v>
          </cell>
          <cell r="K2425">
            <v>3</v>
          </cell>
          <cell r="L2425">
            <v>3</v>
          </cell>
          <cell r="M2425">
            <v>1.5228426395939087E-2</v>
          </cell>
          <cell r="N2425">
            <v>3.4000000000000002E-2</v>
          </cell>
          <cell r="O2425" t="str">
            <v>$1606</v>
          </cell>
          <cell r="P2425" t="str">
            <v>$1606</v>
          </cell>
          <cell r="Q2425">
            <v>45618</v>
          </cell>
          <cell r="R2425" t="str">
            <v>Chennai</v>
          </cell>
          <cell r="S2425" t="str">
            <v>Tablet</v>
          </cell>
          <cell r="T2425" t="str">
            <v>data analytics course</v>
          </cell>
        </row>
        <row r="2426">
          <cell r="A2426" t="str">
            <v>A3424</v>
          </cell>
          <cell r="B2426" t="str">
            <v>Data Analytics Course</v>
          </cell>
          <cell r="C2426">
            <v>136</v>
          </cell>
          <cell r="D2426">
            <v>136</v>
          </cell>
          <cell r="E2426">
            <v>4492</v>
          </cell>
          <cell r="F2426">
            <v>4492</v>
          </cell>
          <cell r="G2426" t="str">
            <v>$205.0</v>
          </cell>
          <cell r="H2426" t="str">
            <v>$205.0</v>
          </cell>
          <cell r="I2426">
            <v>10</v>
          </cell>
          <cell r="J2426">
            <v>10</v>
          </cell>
          <cell r="K2426">
            <v>4</v>
          </cell>
          <cell r="L2426">
            <v>4</v>
          </cell>
          <cell r="M2426">
            <v>2.9411764705882353E-2</v>
          </cell>
          <cell r="O2426" t="str">
            <v>$1319</v>
          </cell>
          <cell r="P2426" t="str">
            <v>$1319</v>
          </cell>
          <cell r="Q2426">
            <v>45618</v>
          </cell>
          <cell r="R2426" t="str">
            <v>Bangaluru</v>
          </cell>
          <cell r="S2426" t="str">
            <v>Tablet</v>
          </cell>
          <cell r="T2426" t="str">
            <v>online data analytic</v>
          </cell>
        </row>
        <row r="2427">
          <cell r="A2427" t="str">
            <v>A3425</v>
          </cell>
          <cell r="B2427" t="str">
            <v>Data Analytics Course</v>
          </cell>
          <cell r="C2427">
            <v>128</v>
          </cell>
          <cell r="D2427">
            <v>128</v>
          </cell>
          <cell r="E2427">
            <v>3153</v>
          </cell>
          <cell r="F2427">
            <v>3153</v>
          </cell>
          <cell r="G2427" t="str">
            <v>$236.34</v>
          </cell>
          <cell r="H2427" t="str">
            <v>$236.34</v>
          </cell>
          <cell r="I2427">
            <v>16</v>
          </cell>
          <cell r="J2427">
            <v>16</v>
          </cell>
          <cell r="K2427">
            <v>6</v>
          </cell>
          <cell r="L2427">
            <v>6</v>
          </cell>
          <cell r="M2427">
            <v>4.6875E-2</v>
          </cell>
          <cell r="O2427" t="str">
            <v>$1050</v>
          </cell>
          <cell r="P2427" t="str">
            <v>$1050</v>
          </cell>
          <cell r="Q2427">
            <v>45605</v>
          </cell>
          <cell r="R2427" t="str">
            <v>Bangaluru</v>
          </cell>
          <cell r="S2427" t="str">
            <v>Desktop</v>
          </cell>
          <cell r="T2427" t="str">
            <v>online data analytic</v>
          </cell>
        </row>
        <row r="2428">
          <cell r="A2428" t="str">
            <v>A3426</v>
          </cell>
          <cell r="B2428" t="str">
            <v>Data Analytics Course</v>
          </cell>
          <cell r="C2428">
            <v>163</v>
          </cell>
          <cell r="D2428">
            <v>163</v>
          </cell>
          <cell r="E2428">
            <v>4794</v>
          </cell>
          <cell r="F2428">
            <v>4794</v>
          </cell>
          <cell r="G2428" t="str">
            <v>$204.35</v>
          </cell>
          <cell r="H2428" t="str">
            <v>$204.35</v>
          </cell>
          <cell r="I2428">
            <v>26</v>
          </cell>
          <cell r="J2428">
            <v>26</v>
          </cell>
          <cell r="K2428">
            <v>3</v>
          </cell>
          <cell r="L2428">
            <v>3</v>
          </cell>
          <cell r="M2428">
            <v>1.8404907975460124E-2</v>
          </cell>
          <cell r="N2428">
            <v>5.1999999999999998E-2</v>
          </cell>
          <cell r="O2428" t="str">
            <v>$1978</v>
          </cell>
          <cell r="P2428" t="str">
            <v>$1978</v>
          </cell>
          <cell r="Q2428">
            <v>45612</v>
          </cell>
          <cell r="R2428" t="str">
            <v>Bangaluru</v>
          </cell>
          <cell r="S2428" t="str">
            <v>Tablet</v>
          </cell>
          <cell r="T2428" t="str">
            <v>data analytics online</v>
          </cell>
        </row>
        <row r="2429">
          <cell r="A2429" t="str">
            <v>A3427</v>
          </cell>
          <cell r="B2429" t="str">
            <v>Data Analytics Course</v>
          </cell>
          <cell r="C2429">
            <v>199</v>
          </cell>
          <cell r="D2429">
            <v>199</v>
          </cell>
          <cell r="E2429">
            <v>5210</v>
          </cell>
          <cell r="F2429">
            <v>5210</v>
          </cell>
          <cell r="G2429" t="str">
            <v>$212.53</v>
          </cell>
          <cell r="H2429" t="str">
            <v>$212.53</v>
          </cell>
          <cell r="I2429">
            <v>30</v>
          </cell>
          <cell r="J2429">
            <v>30</v>
          </cell>
          <cell r="K2429">
            <v>10</v>
          </cell>
          <cell r="L2429">
            <v>10</v>
          </cell>
          <cell r="M2429">
            <v>5.0251256281407038E-2</v>
          </cell>
          <cell r="N2429">
            <v>0.05</v>
          </cell>
          <cell r="O2429" t="str">
            <v>$1749</v>
          </cell>
          <cell r="P2429" t="str">
            <v>$1749</v>
          </cell>
          <cell r="Q2429">
            <v>45622</v>
          </cell>
          <cell r="R2429" t="str">
            <v>Chennai</v>
          </cell>
          <cell r="S2429" t="str">
            <v>Mobile</v>
          </cell>
          <cell r="T2429" t="str">
            <v>analytics for data</v>
          </cell>
        </row>
        <row r="2430">
          <cell r="A2430" t="str">
            <v>A3428</v>
          </cell>
          <cell r="B2430" t="str">
            <v>Data Analytics Course</v>
          </cell>
          <cell r="C2430">
            <v>169</v>
          </cell>
          <cell r="D2430">
            <v>169</v>
          </cell>
          <cell r="E2430">
            <v>5326</v>
          </cell>
          <cell r="F2430">
            <v>5326</v>
          </cell>
          <cell r="G2430" t="str">
            <v>$200.00</v>
          </cell>
          <cell r="I2430">
            <v>30</v>
          </cell>
          <cell r="J2430">
            <v>30</v>
          </cell>
          <cell r="K2430">
            <v>5</v>
          </cell>
          <cell r="L2430">
            <v>5</v>
          </cell>
          <cell r="M2430">
            <v>2.9585798816568046E-2</v>
          </cell>
          <cell r="N2430">
            <v>0.03</v>
          </cell>
          <cell r="O2430" t="str">
            <v>$1030</v>
          </cell>
          <cell r="P2430" t="str">
            <v>$1030</v>
          </cell>
          <cell r="Q2430">
            <v>45621</v>
          </cell>
          <cell r="R2430" t="str">
            <v>Chennai</v>
          </cell>
          <cell r="S2430" t="str">
            <v>Desktop</v>
          </cell>
          <cell r="T2430" t="str">
            <v>data analytics online</v>
          </cell>
        </row>
        <row r="2431">
          <cell r="A2431" t="str">
            <v>A3429</v>
          </cell>
          <cell r="B2431" t="str">
            <v>Data Analytics Course</v>
          </cell>
          <cell r="C2431">
            <v>138</v>
          </cell>
          <cell r="D2431">
            <v>138</v>
          </cell>
          <cell r="E2431">
            <v>3961</v>
          </cell>
          <cell r="F2431">
            <v>3961</v>
          </cell>
          <cell r="G2431" t="str">
            <v>$247.45</v>
          </cell>
          <cell r="H2431" t="str">
            <v>$247.45</v>
          </cell>
          <cell r="I2431">
            <v>13</v>
          </cell>
          <cell r="J2431">
            <v>13</v>
          </cell>
          <cell r="K2431">
            <v>3</v>
          </cell>
          <cell r="L2431">
            <v>3</v>
          </cell>
          <cell r="M2431">
            <v>2.1739130434782608E-2</v>
          </cell>
          <cell r="N2431">
            <v>2.1999999999999999E-2</v>
          </cell>
          <cell r="O2431" t="str">
            <v>$1601</v>
          </cell>
          <cell r="P2431" t="str">
            <v>$1601</v>
          </cell>
          <cell r="Q2431">
            <v>45614</v>
          </cell>
          <cell r="R2431" t="str">
            <v>Hyderabad</v>
          </cell>
          <cell r="S2431" t="str">
            <v>Mobile</v>
          </cell>
          <cell r="T2431" t="str">
            <v>data analytics course</v>
          </cell>
        </row>
        <row r="2432">
          <cell r="A2432" t="str">
            <v>A3430</v>
          </cell>
          <cell r="B2432" t="str">
            <v>Data Analytics Course</v>
          </cell>
          <cell r="C2432">
            <v>138.95699356913184</v>
          </cell>
          <cell r="E2432">
            <v>5937</v>
          </cell>
          <cell r="F2432">
            <v>5937</v>
          </cell>
          <cell r="G2432" t="str">
            <v>$231.01</v>
          </cell>
          <cell r="H2432" t="str">
            <v>$231.01</v>
          </cell>
          <cell r="I2432">
            <v>25</v>
          </cell>
          <cell r="J2432">
            <v>25</v>
          </cell>
          <cell r="K2432">
            <v>4</v>
          </cell>
          <cell r="L2432">
            <v>4</v>
          </cell>
          <cell r="M2432">
            <v>2.8785884734977219E-2</v>
          </cell>
          <cell r="N2432">
            <v>5.7000000000000002E-2</v>
          </cell>
          <cell r="O2432" t="str">
            <v>$1448</v>
          </cell>
          <cell r="P2432" t="str">
            <v>$1448</v>
          </cell>
          <cell r="Q2432">
            <v>45616</v>
          </cell>
          <cell r="R2432" t="str">
            <v>Hyderabad</v>
          </cell>
          <cell r="S2432" t="str">
            <v>Tablet</v>
          </cell>
          <cell r="T2432" t="str">
            <v>online data analytic</v>
          </cell>
        </row>
        <row r="2433">
          <cell r="A2433" t="str">
            <v>A3431</v>
          </cell>
          <cell r="B2433" t="str">
            <v>Data Analytics Course</v>
          </cell>
          <cell r="C2433">
            <v>154</v>
          </cell>
          <cell r="D2433">
            <v>154</v>
          </cell>
          <cell r="E2433">
            <v>4904</v>
          </cell>
          <cell r="F2433">
            <v>4904</v>
          </cell>
          <cell r="G2433" t="str">
            <v>$247.11</v>
          </cell>
          <cell r="H2433" t="str">
            <v>$247.11</v>
          </cell>
          <cell r="I2433">
            <v>11</v>
          </cell>
          <cell r="J2433">
            <v>11</v>
          </cell>
          <cell r="K2433">
            <v>8</v>
          </cell>
          <cell r="L2433">
            <v>8</v>
          </cell>
          <cell r="M2433">
            <v>5.1948051948051951E-2</v>
          </cell>
          <cell r="N2433">
            <v>5.1999999999999998E-2</v>
          </cell>
          <cell r="O2433" t="str">
            <v>$1500</v>
          </cell>
          <cell r="Q2433">
            <v>45618</v>
          </cell>
          <cell r="R2433" t="str">
            <v>Bangaluru</v>
          </cell>
          <cell r="S2433" t="str">
            <v>Tablet</v>
          </cell>
          <cell r="T2433" t="str">
            <v>learn data analytics</v>
          </cell>
        </row>
        <row r="2434">
          <cell r="A2434" t="str">
            <v>A3432</v>
          </cell>
          <cell r="B2434" t="str">
            <v>Data Analytics Course</v>
          </cell>
          <cell r="C2434">
            <v>105</v>
          </cell>
          <cell r="D2434">
            <v>105</v>
          </cell>
          <cell r="E2434">
            <v>3149</v>
          </cell>
          <cell r="F2434">
            <v>3149</v>
          </cell>
          <cell r="G2434" t="str">
            <v>$233.19</v>
          </cell>
          <cell r="H2434" t="str">
            <v>$233.19</v>
          </cell>
          <cell r="I2434">
            <v>13</v>
          </cell>
          <cell r="J2434">
            <v>13</v>
          </cell>
          <cell r="K2434">
            <v>10</v>
          </cell>
          <cell r="L2434">
            <v>10</v>
          </cell>
          <cell r="M2434">
            <v>9.5238095238095233E-2</v>
          </cell>
          <cell r="N2434">
            <v>9.5000000000000001E-2</v>
          </cell>
          <cell r="O2434" t="str">
            <v>$1135</v>
          </cell>
          <cell r="P2434" t="str">
            <v>$1135</v>
          </cell>
          <cell r="Q2434">
            <v>45605</v>
          </cell>
          <cell r="R2434" t="str">
            <v>Bangaluru</v>
          </cell>
          <cell r="S2434" t="str">
            <v>Tablet</v>
          </cell>
          <cell r="T2434" t="str">
            <v>learn data analytics</v>
          </cell>
        </row>
        <row r="2435">
          <cell r="A2435" t="str">
            <v>A3433</v>
          </cell>
          <cell r="B2435" t="str">
            <v>Data Analytcis Course</v>
          </cell>
          <cell r="C2435">
            <v>89</v>
          </cell>
          <cell r="D2435">
            <v>89</v>
          </cell>
          <cell r="E2435">
            <v>5963</v>
          </cell>
          <cell r="F2435">
            <v>5963</v>
          </cell>
          <cell r="G2435" t="str">
            <v>$209.41</v>
          </cell>
          <cell r="H2435" t="str">
            <v>$209.41</v>
          </cell>
          <cell r="I2435">
            <v>29</v>
          </cell>
          <cell r="J2435">
            <v>29</v>
          </cell>
          <cell r="K2435">
            <v>9</v>
          </cell>
          <cell r="L2435">
            <v>9</v>
          </cell>
          <cell r="M2435">
            <v>0.10112359550561797</v>
          </cell>
          <cell r="N2435">
            <v>0.10100000000000001</v>
          </cell>
          <cell r="O2435" t="str">
            <v>$1066</v>
          </cell>
          <cell r="P2435" t="str">
            <v>$1066</v>
          </cell>
          <cell r="Q2435">
            <v>45614</v>
          </cell>
          <cell r="R2435" t="str">
            <v>Chennai</v>
          </cell>
          <cell r="S2435" t="str">
            <v>Desktop</v>
          </cell>
          <cell r="T2435" t="str">
            <v>online data analytic</v>
          </cell>
        </row>
        <row r="2436">
          <cell r="A2436" t="str">
            <v>A3434</v>
          </cell>
          <cell r="B2436" t="str">
            <v>Data Analytics Course</v>
          </cell>
          <cell r="C2436">
            <v>125</v>
          </cell>
          <cell r="D2436">
            <v>125</v>
          </cell>
          <cell r="E2436">
            <v>3808</v>
          </cell>
          <cell r="F2436">
            <v>3808</v>
          </cell>
          <cell r="G2436" t="str">
            <v>$191.42</v>
          </cell>
          <cell r="H2436" t="str">
            <v>$191.42</v>
          </cell>
          <cell r="I2436">
            <v>29</v>
          </cell>
          <cell r="J2436">
            <v>29</v>
          </cell>
          <cell r="K2436">
            <v>7</v>
          </cell>
          <cell r="L2436">
            <v>7</v>
          </cell>
          <cell r="M2436">
            <v>5.6000000000000001E-2</v>
          </cell>
          <cell r="N2436">
            <v>5.6000000000000001E-2</v>
          </cell>
          <cell r="O2436" t="str">
            <v>$1783</v>
          </cell>
          <cell r="P2436" t="str">
            <v>$1783</v>
          </cell>
          <cell r="Q2436">
            <v>45606</v>
          </cell>
          <cell r="R2436" t="str">
            <v>Hyderabad</v>
          </cell>
          <cell r="S2436" t="str">
            <v>Tablet</v>
          </cell>
          <cell r="T2436" t="str">
            <v>data analytics course</v>
          </cell>
        </row>
        <row r="2437">
          <cell r="A2437" t="str">
            <v>A3435</v>
          </cell>
          <cell r="B2437" t="str">
            <v>Data Analytics Course</v>
          </cell>
          <cell r="C2437">
            <v>175</v>
          </cell>
          <cell r="D2437">
            <v>175</v>
          </cell>
          <cell r="E2437">
            <v>3938</v>
          </cell>
          <cell r="F2437">
            <v>3938</v>
          </cell>
          <cell r="G2437" t="str">
            <v>$186.09</v>
          </cell>
          <cell r="H2437" t="str">
            <v>$186.09</v>
          </cell>
          <cell r="I2437">
            <v>22</v>
          </cell>
          <cell r="J2437">
            <v>22</v>
          </cell>
          <cell r="K2437">
            <v>9</v>
          </cell>
          <cell r="L2437">
            <v>9</v>
          </cell>
          <cell r="M2437">
            <v>5.1428571428571428E-2</v>
          </cell>
          <cell r="O2437" t="str">
            <v>$1218</v>
          </cell>
          <cell r="P2437" t="str">
            <v>$1218</v>
          </cell>
          <cell r="Q2437">
            <v>45601</v>
          </cell>
          <cell r="R2437" t="str">
            <v>Hyderabad</v>
          </cell>
          <cell r="S2437" t="str">
            <v>Mobile</v>
          </cell>
          <cell r="T2437" t="str">
            <v>analytics for data</v>
          </cell>
        </row>
        <row r="2438">
          <cell r="A2438" t="str">
            <v>A3436</v>
          </cell>
          <cell r="B2438" t="str">
            <v>Data Analytics Course</v>
          </cell>
          <cell r="C2438">
            <v>175</v>
          </cell>
          <cell r="D2438">
            <v>175</v>
          </cell>
          <cell r="E2438">
            <v>5521</v>
          </cell>
          <cell r="F2438">
            <v>5521</v>
          </cell>
          <cell r="G2438" t="str">
            <v>$207.4</v>
          </cell>
          <cell r="H2438" t="str">
            <v>$207.4</v>
          </cell>
          <cell r="I2438">
            <v>25</v>
          </cell>
          <cell r="J2438">
            <v>25</v>
          </cell>
          <cell r="K2438">
            <v>3</v>
          </cell>
          <cell r="L2438">
            <v>3</v>
          </cell>
          <cell r="M2438">
            <v>1.7142857142857144E-2</v>
          </cell>
          <cell r="N2438">
            <v>1.7000000000000001E-2</v>
          </cell>
          <cell r="O2438" t="str">
            <v>$1616</v>
          </cell>
          <cell r="P2438" t="str">
            <v>$1616</v>
          </cell>
          <cell r="Q2438">
            <v>45600</v>
          </cell>
          <cell r="R2438" t="str">
            <v>Chennai</v>
          </cell>
          <cell r="S2438" t="str">
            <v>Mobile</v>
          </cell>
          <cell r="T2438" t="str">
            <v>online data analytic</v>
          </cell>
        </row>
        <row r="2439">
          <cell r="A2439" t="str">
            <v>A3437</v>
          </cell>
          <cell r="B2439" t="str">
            <v>Data Analytics Course</v>
          </cell>
          <cell r="C2439">
            <v>183</v>
          </cell>
          <cell r="D2439">
            <v>183</v>
          </cell>
          <cell r="E2439">
            <v>4523.2808326787117</v>
          </cell>
          <cell r="G2439" t="str">
            <v>$198.12</v>
          </cell>
          <cell r="H2439" t="str">
            <v>$198.12</v>
          </cell>
          <cell r="I2439">
            <v>27</v>
          </cell>
          <cell r="J2439">
            <v>27</v>
          </cell>
          <cell r="K2439">
            <v>10</v>
          </cell>
          <cell r="L2439">
            <v>10</v>
          </cell>
          <cell r="M2439">
            <v>5.4644808743169397E-2</v>
          </cell>
          <cell r="N2439">
            <v>5.5E-2</v>
          </cell>
          <cell r="O2439" t="str">
            <v>$1500</v>
          </cell>
          <cell r="Q2439">
            <v>45618</v>
          </cell>
          <cell r="R2439" t="str">
            <v>Chennai</v>
          </cell>
          <cell r="S2439" t="str">
            <v>Mobile</v>
          </cell>
          <cell r="T2439" t="str">
            <v>data analytics course</v>
          </cell>
        </row>
        <row r="2440">
          <cell r="A2440" t="str">
            <v>A3438</v>
          </cell>
          <cell r="B2440" t="str">
            <v>Data Analytics Course</v>
          </cell>
          <cell r="C2440">
            <v>182</v>
          </cell>
          <cell r="D2440">
            <v>182</v>
          </cell>
          <cell r="E2440">
            <v>5466</v>
          </cell>
          <cell r="F2440">
            <v>5466</v>
          </cell>
          <cell r="G2440" t="str">
            <v>$206.3</v>
          </cell>
          <cell r="H2440" t="str">
            <v>$206.3</v>
          </cell>
          <cell r="I2440">
            <v>26</v>
          </cell>
          <cell r="J2440">
            <v>26</v>
          </cell>
          <cell r="K2440">
            <v>4</v>
          </cell>
          <cell r="L2440">
            <v>4</v>
          </cell>
          <cell r="M2440">
            <v>2.197802197802198E-2</v>
          </cell>
          <cell r="N2440">
            <v>3.6999999999999998E-2</v>
          </cell>
          <cell r="O2440" t="str">
            <v>$1816</v>
          </cell>
          <cell r="P2440" t="str">
            <v>$1816</v>
          </cell>
          <cell r="Q2440">
            <v>45614</v>
          </cell>
          <cell r="R2440" t="str">
            <v>Bangaluru</v>
          </cell>
          <cell r="S2440" t="str">
            <v>Tablet</v>
          </cell>
          <cell r="T2440" t="str">
            <v>data analytics course</v>
          </cell>
        </row>
        <row r="2441">
          <cell r="A2441" t="str">
            <v>A3439</v>
          </cell>
          <cell r="B2441" t="str">
            <v>Data Analytics Course</v>
          </cell>
          <cell r="C2441">
            <v>138.95699356913184</v>
          </cell>
          <cell r="E2441">
            <v>4528</v>
          </cell>
          <cell r="F2441">
            <v>4528</v>
          </cell>
          <cell r="G2441" t="str">
            <v>$235.96</v>
          </cell>
          <cell r="H2441" t="str">
            <v>$235.96</v>
          </cell>
          <cell r="I2441">
            <v>30</v>
          </cell>
          <cell r="J2441">
            <v>30</v>
          </cell>
          <cell r="K2441">
            <v>4</v>
          </cell>
          <cell r="L2441">
            <v>4</v>
          </cell>
          <cell r="M2441">
            <v>2.8785884734977219E-2</v>
          </cell>
          <cell r="O2441" t="str">
            <v>$1926</v>
          </cell>
          <cell r="P2441" t="str">
            <v>$1926</v>
          </cell>
          <cell r="Q2441">
            <v>45624</v>
          </cell>
          <cell r="R2441" t="str">
            <v>Bangaluru</v>
          </cell>
          <cell r="S2441" t="str">
            <v>Mobile</v>
          </cell>
          <cell r="T2441" t="str">
            <v>data analytics training</v>
          </cell>
        </row>
        <row r="2442">
          <cell r="A2442" t="str">
            <v>A3440</v>
          </cell>
          <cell r="B2442" t="str">
            <v>Data Analytcis Course</v>
          </cell>
          <cell r="C2442">
            <v>168</v>
          </cell>
          <cell r="D2442">
            <v>168</v>
          </cell>
          <cell r="E2442">
            <v>4904</v>
          </cell>
          <cell r="F2442">
            <v>4904</v>
          </cell>
          <cell r="G2442" t="str">
            <v>$220.19</v>
          </cell>
          <cell r="H2442" t="str">
            <v>$220.19</v>
          </cell>
          <cell r="I2442">
            <v>23</v>
          </cell>
          <cell r="J2442">
            <v>23</v>
          </cell>
          <cell r="K2442">
            <v>6</v>
          </cell>
          <cell r="L2442">
            <v>6</v>
          </cell>
          <cell r="M2442">
            <v>3.5714285714285712E-2</v>
          </cell>
          <cell r="N2442">
            <v>3.5999999999999997E-2</v>
          </cell>
          <cell r="O2442" t="str">
            <v>$1870</v>
          </cell>
          <cell r="P2442" t="str">
            <v>$1870</v>
          </cell>
          <cell r="Q2442">
            <v>45607</v>
          </cell>
          <cell r="R2442" t="str">
            <v>Chennai</v>
          </cell>
          <cell r="S2442" t="str">
            <v>Desktop</v>
          </cell>
          <cell r="T2442" t="str">
            <v>learn data analytics</v>
          </cell>
        </row>
        <row r="2443">
          <cell r="A2443" t="str">
            <v>A3441</v>
          </cell>
          <cell r="B2443" t="str">
            <v>Data Analytics Course</v>
          </cell>
          <cell r="C2443">
            <v>150</v>
          </cell>
          <cell r="D2443">
            <v>150</v>
          </cell>
          <cell r="E2443">
            <v>5057</v>
          </cell>
          <cell r="F2443">
            <v>5057</v>
          </cell>
          <cell r="G2443" t="str">
            <v>$220.26</v>
          </cell>
          <cell r="H2443" t="str">
            <v>$220.26</v>
          </cell>
          <cell r="I2443">
            <v>24</v>
          </cell>
          <cell r="J2443">
            <v>24</v>
          </cell>
          <cell r="K2443">
            <v>5</v>
          </cell>
          <cell r="L2443">
            <v>5</v>
          </cell>
          <cell r="M2443">
            <v>3.3333333333333333E-2</v>
          </cell>
          <cell r="N2443">
            <v>3.3000000000000002E-2</v>
          </cell>
          <cell r="O2443" t="str">
            <v>$1500</v>
          </cell>
          <cell r="Q2443">
            <v>45597</v>
          </cell>
          <cell r="R2443" t="str">
            <v>Hyderabad</v>
          </cell>
          <cell r="S2443" t="str">
            <v>Desktop</v>
          </cell>
          <cell r="T2443" t="str">
            <v>data analytics training</v>
          </cell>
        </row>
        <row r="2444">
          <cell r="A2444" t="str">
            <v>A3442</v>
          </cell>
          <cell r="B2444" t="str">
            <v>Data Analytcis Course</v>
          </cell>
          <cell r="C2444">
            <v>152</v>
          </cell>
          <cell r="D2444">
            <v>152</v>
          </cell>
          <cell r="E2444">
            <v>3390</v>
          </cell>
          <cell r="F2444">
            <v>3390</v>
          </cell>
          <cell r="G2444" t="str">
            <v>$209.39</v>
          </cell>
          <cell r="H2444" t="str">
            <v>$209.39</v>
          </cell>
          <cell r="I2444">
            <v>18</v>
          </cell>
          <cell r="J2444">
            <v>18</v>
          </cell>
          <cell r="K2444">
            <v>6</v>
          </cell>
          <cell r="L2444">
            <v>6</v>
          </cell>
          <cell r="M2444">
            <v>3.9473684210526314E-2</v>
          </cell>
          <cell r="N2444">
            <v>3.9E-2</v>
          </cell>
          <cell r="O2444" t="str">
            <v>$1620</v>
          </cell>
          <cell r="P2444" t="str">
            <v>$1620</v>
          </cell>
          <cell r="Q2444">
            <v>45600</v>
          </cell>
          <cell r="R2444" t="str">
            <v>Hyderabad</v>
          </cell>
          <cell r="S2444" t="str">
            <v>Desktop</v>
          </cell>
          <cell r="T2444" t="str">
            <v>online data analytic</v>
          </cell>
        </row>
        <row r="2445">
          <cell r="A2445" t="str">
            <v>A3443</v>
          </cell>
          <cell r="B2445" t="str">
            <v>Data Analytics Course</v>
          </cell>
          <cell r="C2445">
            <v>113</v>
          </cell>
          <cell r="D2445">
            <v>113</v>
          </cell>
          <cell r="E2445">
            <v>3532</v>
          </cell>
          <cell r="F2445">
            <v>3532</v>
          </cell>
          <cell r="G2445" t="str">
            <v>$247.57</v>
          </cell>
          <cell r="H2445" t="str">
            <v>$247.57</v>
          </cell>
          <cell r="I2445">
            <v>29</v>
          </cell>
          <cell r="J2445">
            <v>29</v>
          </cell>
          <cell r="K2445">
            <v>6</v>
          </cell>
          <cell r="L2445">
            <v>6</v>
          </cell>
          <cell r="M2445">
            <v>5.3097345132743362E-2</v>
          </cell>
          <cell r="N2445">
            <v>5.5E-2</v>
          </cell>
          <cell r="O2445" t="str">
            <v>$1273</v>
          </cell>
          <cell r="P2445" t="str">
            <v>$1273</v>
          </cell>
          <cell r="Q2445">
            <v>45616</v>
          </cell>
          <cell r="R2445" t="str">
            <v>Hyderabad</v>
          </cell>
          <cell r="S2445" t="str">
            <v>Mobile</v>
          </cell>
          <cell r="T2445" t="str">
            <v>learn data analytics</v>
          </cell>
        </row>
        <row r="2446">
          <cell r="A2446" t="str">
            <v>A3444</v>
          </cell>
          <cell r="B2446" t="str">
            <v>Data Analytics Course</v>
          </cell>
          <cell r="C2446">
            <v>93</v>
          </cell>
          <cell r="D2446">
            <v>93</v>
          </cell>
          <cell r="E2446">
            <v>3683</v>
          </cell>
          <cell r="F2446">
            <v>3683</v>
          </cell>
          <cell r="G2446" t="str">
            <v>$201.45</v>
          </cell>
          <cell r="H2446" t="str">
            <v>$201.45</v>
          </cell>
          <cell r="I2446">
            <v>11</v>
          </cell>
          <cell r="J2446">
            <v>11</v>
          </cell>
          <cell r="K2446">
            <v>10</v>
          </cell>
          <cell r="L2446">
            <v>10</v>
          </cell>
          <cell r="M2446">
            <v>0.10752688172043011</v>
          </cell>
          <cell r="N2446">
            <v>0.108</v>
          </cell>
          <cell r="O2446" t="str">
            <v>$1331</v>
          </cell>
          <cell r="P2446" t="str">
            <v>$1331</v>
          </cell>
          <cell r="Q2446">
            <v>45610</v>
          </cell>
          <cell r="R2446" t="str">
            <v>Hyderabad</v>
          </cell>
          <cell r="S2446" t="str">
            <v>Mobile</v>
          </cell>
          <cell r="T2446" t="str">
            <v>learn data analytics</v>
          </cell>
        </row>
        <row r="2447">
          <cell r="A2447" t="str">
            <v>A3445</v>
          </cell>
          <cell r="B2447" t="str">
            <v>Data Analytics Course</v>
          </cell>
          <cell r="C2447">
            <v>141</v>
          </cell>
          <cell r="D2447">
            <v>141</v>
          </cell>
          <cell r="E2447">
            <v>5031</v>
          </cell>
          <cell r="F2447">
            <v>5031</v>
          </cell>
          <cell r="G2447" t="str">
            <v>$189.92</v>
          </cell>
          <cell r="H2447" t="str">
            <v>$189.92</v>
          </cell>
          <cell r="I2447">
            <v>23</v>
          </cell>
          <cell r="J2447">
            <v>23</v>
          </cell>
          <cell r="K2447">
            <v>5</v>
          </cell>
          <cell r="L2447">
            <v>5</v>
          </cell>
          <cell r="M2447">
            <v>3.5460992907801421E-2</v>
          </cell>
          <cell r="N2447">
            <v>3.5000000000000003E-2</v>
          </cell>
          <cell r="O2447" t="str">
            <v>$1093</v>
          </cell>
          <cell r="P2447" t="str">
            <v>$1093</v>
          </cell>
          <cell r="Q2447">
            <v>45597</v>
          </cell>
          <cell r="R2447" t="str">
            <v>Chennai</v>
          </cell>
          <cell r="S2447" t="str">
            <v>Desktop</v>
          </cell>
          <cell r="T2447" t="str">
            <v>data analytics online</v>
          </cell>
        </row>
        <row r="2448">
          <cell r="A2448" t="str">
            <v>A3446</v>
          </cell>
          <cell r="B2448" t="str">
            <v>Data Analytics Course</v>
          </cell>
          <cell r="C2448">
            <v>191</v>
          </cell>
          <cell r="D2448">
            <v>191</v>
          </cell>
          <cell r="E2448">
            <v>5660</v>
          </cell>
          <cell r="F2448">
            <v>5660</v>
          </cell>
          <cell r="G2448" t="str">
            <v>$192.49</v>
          </cell>
          <cell r="H2448" t="str">
            <v>$192.49</v>
          </cell>
          <cell r="I2448">
            <v>21</v>
          </cell>
          <cell r="J2448">
            <v>21</v>
          </cell>
          <cell r="K2448">
            <v>5</v>
          </cell>
          <cell r="L2448">
            <v>5</v>
          </cell>
          <cell r="M2448">
            <v>2.6178010471204188E-2</v>
          </cell>
          <cell r="N2448">
            <v>5.6000000000000001E-2</v>
          </cell>
          <cell r="O2448" t="str">
            <v>$1023</v>
          </cell>
          <cell r="P2448" t="str">
            <v>$1023</v>
          </cell>
          <cell r="Q2448">
            <v>45599</v>
          </cell>
          <cell r="R2448" t="str">
            <v>Hyderabad</v>
          </cell>
          <cell r="S2448" t="str">
            <v>Mobile</v>
          </cell>
          <cell r="T2448" t="str">
            <v>data analytics course</v>
          </cell>
        </row>
        <row r="2449">
          <cell r="A2449" t="str">
            <v>A3447</v>
          </cell>
          <cell r="B2449" t="str">
            <v>Data Analytcis Course</v>
          </cell>
          <cell r="C2449">
            <v>187</v>
          </cell>
          <cell r="D2449">
            <v>187</v>
          </cell>
          <cell r="E2449">
            <v>3450</v>
          </cell>
          <cell r="F2449">
            <v>3450</v>
          </cell>
          <cell r="G2449" t="str">
            <v>$234.31</v>
          </cell>
          <cell r="H2449" t="str">
            <v>$234.31</v>
          </cell>
          <cell r="I2449">
            <v>18</v>
          </cell>
          <cell r="J2449">
            <v>18</v>
          </cell>
          <cell r="K2449">
            <v>9</v>
          </cell>
          <cell r="L2449">
            <v>9</v>
          </cell>
          <cell r="M2449">
            <v>4.8128342245989303E-2</v>
          </cell>
          <cell r="O2449" t="str">
            <v>$1609</v>
          </cell>
          <cell r="P2449" t="str">
            <v>$1609</v>
          </cell>
          <cell r="Q2449">
            <v>45614</v>
          </cell>
          <cell r="R2449" t="str">
            <v>Chennai</v>
          </cell>
          <cell r="S2449" t="str">
            <v>Tablet</v>
          </cell>
          <cell r="T2449" t="str">
            <v>online data analytic</v>
          </cell>
        </row>
        <row r="2450">
          <cell r="A2450" t="str">
            <v>A3448</v>
          </cell>
          <cell r="B2450" t="str">
            <v>Data Analytics Course</v>
          </cell>
          <cell r="C2450">
            <v>118</v>
          </cell>
          <cell r="D2450">
            <v>118</v>
          </cell>
          <cell r="E2450">
            <v>4804</v>
          </cell>
          <cell r="F2450">
            <v>4804</v>
          </cell>
          <cell r="G2450" t="str">
            <v>$227.98</v>
          </cell>
          <cell r="H2450" t="str">
            <v>$227.98</v>
          </cell>
          <cell r="I2450">
            <v>28</v>
          </cell>
          <cell r="J2450">
            <v>28</v>
          </cell>
          <cell r="K2450">
            <v>9</v>
          </cell>
          <cell r="L2450">
            <v>9</v>
          </cell>
          <cell r="M2450">
            <v>7.6271186440677971E-2</v>
          </cell>
          <cell r="N2450">
            <v>3.9E-2</v>
          </cell>
          <cell r="O2450" t="str">
            <v>$1064</v>
          </cell>
          <cell r="P2450" t="str">
            <v>$1064</v>
          </cell>
          <cell r="Q2450">
            <v>45624</v>
          </cell>
          <cell r="R2450" t="str">
            <v>Hyderabad</v>
          </cell>
          <cell r="S2450" t="str">
            <v>Mobile</v>
          </cell>
          <cell r="T2450" t="str">
            <v>learn data analytics</v>
          </cell>
        </row>
        <row r="2451">
          <cell r="A2451" t="str">
            <v>A3449</v>
          </cell>
          <cell r="B2451" t="str">
            <v>Data Analytics Course</v>
          </cell>
          <cell r="C2451">
            <v>184</v>
          </cell>
          <cell r="D2451">
            <v>184</v>
          </cell>
          <cell r="E2451">
            <v>5983</v>
          </cell>
          <cell r="F2451">
            <v>5983</v>
          </cell>
          <cell r="G2451" t="str">
            <v>$242.62</v>
          </cell>
          <cell r="H2451" t="str">
            <v>$242.62</v>
          </cell>
          <cell r="I2451">
            <v>25</v>
          </cell>
          <cell r="J2451">
            <v>25</v>
          </cell>
          <cell r="K2451">
            <v>6</v>
          </cell>
          <cell r="L2451">
            <v>6</v>
          </cell>
          <cell r="M2451">
            <v>3.2608695652173912E-2</v>
          </cell>
          <cell r="O2451" t="str">
            <v>$1538</v>
          </cell>
          <cell r="P2451" t="str">
            <v>$1538</v>
          </cell>
          <cell r="Q2451">
            <v>45599</v>
          </cell>
          <cell r="R2451" t="str">
            <v>Hyderabad</v>
          </cell>
          <cell r="S2451" t="str">
            <v>Desktop</v>
          </cell>
          <cell r="T2451" t="str">
            <v>data analytics course</v>
          </cell>
        </row>
        <row r="2452">
          <cell r="A2452" t="str">
            <v>A3450</v>
          </cell>
          <cell r="B2452" t="str">
            <v>Data Analytics Course</v>
          </cell>
          <cell r="C2452">
            <v>167</v>
          </cell>
          <cell r="D2452">
            <v>167</v>
          </cell>
          <cell r="E2452">
            <v>5051</v>
          </cell>
          <cell r="F2452">
            <v>5051</v>
          </cell>
          <cell r="G2452" t="str">
            <v>$202.95</v>
          </cell>
          <cell r="H2452" t="str">
            <v>$202.95</v>
          </cell>
          <cell r="I2452">
            <v>21</v>
          </cell>
          <cell r="J2452">
            <v>21</v>
          </cell>
          <cell r="K2452">
            <v>10</v>
          </cell>
          <cell r="L2452">
            <v>10</v>
          </cell>
          <cell r="M2452">
            <v>5.9880239520958084E-2</v>
          </cell>
          <cell r="N2452">
            <v>0.06</v>
          </cell>
          <cell r="O2452" t="str">
            <v>$1812</v>
          </cell>
          <cell r="P2452" t="str">
            <v>$1812</v>
          </cell>
          <cell r="Q2452">
            <v>45606</v>
          </cell>
          <cell r="R2452" t="str">
            <v>Hyderabad</v>
          </cell>
          <cell r="S2452" t="str">
            <v>Mobile</v>
          </cell>
          <cell r="T2452" t="str">
            <v>learn data analytics</v>
          </cell>
        </row>
        <row r="2453">
          <cell r="A2453" t="str">
            <v>A3451</v>
          </cell>
          <cell r="B2453" t="str">
            <v>Data Analytics Course</v>
          </cell>
          <cell r="C2453">
            <v>162</v>
          </cell>
          <cell r="D2453">
            <v>162</v>
          </cell>
          <cell r="E2453">
            <v>3815</v>
          </cell>
          <cell r="F2453">
            <v>3815</v>
          </cell>
          <cell r="G2453" t="str">
            <v>$221.44</v>
          </cell>
          <cell r="H2453" t="str">
            <v>$221.44</v>
          </cell>
          <cell r="I2453">
            <v>13</v>
          </cell>
          <cell r="J2453">
            <v>13</v>
          </cell>
          <cell r="K2453">
            <v>7</v>
          </cell>
          <cell r="L2453">
            <v>7</v>
          </cell>
          <cell r="M2453">
            <v>4.3209876543209874E-2</v>
          </cell>
          <cell r="N2453">
            <v>0.04</v>
          </cell>
          <cell r="O2453" t="str">
            <v>$1728</v>
          </cell>
          <cell r="P2453" t="str">
            <v>$1728</v>
          </cell>
          <cell r="Q2453">
            <v>45617</v>
          </cell>
          <cell r="R2453" t="str">
            <v>Hyderabad</v>
          </cell>
          <cell r="S2453" t="str">
            <v>Desktop</v>
          </cell>
          <cell r="T2453" t="str">
            <v>data analytics course</v>
          </cell>
        </row>
        <row r="2454">
          <cell r="A2454" t="str">
            <v>A3452</v>
          </cell>
          <cell r="B2454" t="str">
            <v>Data Analytcis Course</v>
          </cell>
          <cell r="C2454">
            <v>125</v>
          </cell>
          <cell r="D2454">
            <v>125</v>
          </cell>
          <cell r="E2454">
            <v>5370</v>
          </cell>
          <cell r="F2454">
            <v>5370</v>
          </cell>
          <cell r="G2454" t="str">
            <v>$183.67</v>
          </cell>
          <cell r="H2454" t="str">
            <v>$183.67</v>
          </cell>
          <cell r="I2454">
            <v>18</v>
          </cell>
          <cell r="J2454">
            <v>18</v>
          </cell>
          <cell r="K2454">
            <v>10</v>
          </cell>
          <cell r="L2454">
            <v>10</v>
          </cell>
          <cell r="M2454">
            <v>0.08</v>
          </cell>
          <cell r="N2454">
            <v>4.2000000000000003E-2</v>
          </cell>
          <cell r="O2454" t="str">
            <v>$1815</v>
          </cell>
          <cell r="P2454" t="str">
            <v>$1815</v>
          </cell>
          <cell r="Q2454">
            <v>45610</v>
          </cell>
          <cell r="R2454" t="str">
            <v>Hyderabad</v>
          </cell>
          <cell r="S2454" t="str">
            <v>Tablet</v>
          </cell>
          <cell r="T2454" t="str">
            <v>data analytics course</v>
          </cell>
        </row>
        <row r="2455">
          <cell r="A2455" t="str">
            <v>A3453</v>
          </cell>
          <cell r="B2455" t="str">
            <v>Data Analytics Course</v>
          </cell>
          <cell r="C2455">
            <v>102</v>
          </cell>
          <cell r="D2455">
            <v>102</v>
          </cell>
          <cell r="E2455">
            <v>4451</v>
          </cell>
          <cell r="F2455">
            <v>4451</v>
          </cell>
          <cell r="G2455" t="str">
            <v>$219.15</v>
          </cell>
          <cell r="H2455" t="str">
            <v>$219.15</v>
          </cell>
          <cell r="I2455">
            <v>29</v>
          </cell>
          <cell r="J2455">
            <v>29</v>
          </cell>
          <cell r="K2455">
            <v>7</v>
          </cell>
          <cell r="L2455">
            <v>7</v>
          </cell>
          <cell r="M2455">
            <v>6.8627450980392163E-2</v>
          </cell>
          <cell r="O2455" t="str">
            <v>$1491</v>
          </cell>
          <cell r="P2455" t="str">
            <v>$1491</v>
          </cell>
          <cell r="Q2455">
            <v>45625</v>
          </cell>
          <cell r="R2455" t="str">
            <v>Chennai</v>
          </cell>
          <cell r="S2455" t="str">
            <v>Mobile</v>
          </cell>
          <cell r="T2455" t="str">
            <v>data analytics online</v>
          </cell>
        </row>
        <row r="2456">
          <cell r="A2456" t="str">
            <v>A3454</v>
          </cell>
          <cell r="B2456" t="str">
            <v>Data Analytcis Course</v>
          </cell>
          <cell r="C2456">
            <v>141</v>
          </cell>
          <cell r="D2456">
            <v>141</v>
          </cell>
          <cell r="E2456">
            <v>4243</v>
          </cell>
          <cell r="F2456">
            <v>4243</v>
          </cell>
          <cell r="G2456" t="str">
            <v>$190.94</v>
          </cell>
          <cell r="H2456" t="str">
            <v>$190.94</v>
          </cell>
          <cell r="I2456">
            <v>24</v>
          </cell>
          <cell r="J2456">
            <v>24</v>
          </cell>
          <cell r="K2456">
            <v>6</v>
          </cell>
          <cell r="L2456">
            <v>6</v>
          </cell>
          <cell r="M2456">
            <v>4.2553191489361701E-2</v>
          </cell>
          <cell r="O2456" t="str">
            <v>$1500</v>
          </cell>
          <cell r="Q2456">
            <v>45618</v>
          </cell>
          <cell r="R2456" t="str">
            <v>Chennai</v>
          </cell>
          <cell r="S2456" t="str">
            <v>Desktop</v>
          </cell>
          <cell r="T2456" t="str">
            <v>data analytics training</v>
          </cell>
        </row>
        <row r="2457">
          <cell r="A2457" t="str">
            <v>A3455</v>
          </cell>
          <cell r="B2457" t="str">
            <v>Data Analytics Course</v>
          </cell>
          <cell r="C2457">
            <v>121</v>
          </cell>
          <cell r="D2457">
            <v>121</v>
          </cell>
          <cell r="E2457">
            <v>3844</v>
          </cell>
          <cell r="F2457">
            <v>3844</v>
          </cell>
          <cell r="G2457" t="str">
            <v>$242.19</v>
          </cell>
          <cell r="H2457" t="str">
            <v>$242.19</v>
          </cell>
          <cell r="I2457">
            <v>29</v>
          </cell>
          <cell r="J2457">
            <v>29</v>
          </cell>
          <cell r="K2457">
            <v>3</v>
          </cell>
          <cell r="L2457">
            <v>3</v>
          </cell>
          <cell r="M2457">
            <v>2.4793388429752067E-2</v>
          </cell>
          <cell r="O2457" t="str">
            <v>$1897</v>
          </cell>
          <cell r="P2457" t="str">
            <v>$1897</v>
          </cell>
          <cell r="Q2457">
            <v>45606</v>
          </cell>
          <cell r="R2457" t="str">
            <v>Hyderabad</v>
          </cell>
          <cell r="S2457" t="str">
            <v>Mobile</v>
          </cell>
          <cell r="T2457" t="str">
            <v>learn data analytics</v>
          </cell>
        </row>
        <row r="2458">
          <cell r="A2458" t="str">
            <v>A3456</v>
          </cell>
          <cell r="B2458" t="str">
            <v>Data Analytics Course</v>
          </cell>
          <cell r="C2458">
            <v>142</v>
          </cell>
          <cell r="D2458">
            <v>142</v>
          </cell>
          <cell r="E2458">
            <v>4023</v>
          </cell>
          <cell r="F2458">
            <v>4023</v>
          </cell>
          <cell r="G2458" t="str">
            <v>$186.79</v>
          </cell>
          <cell r="H2458" t="str">
            <v>$186.79</v>
          </cell>
          <cell r="I2458">
            <v>17</v>
          </cell>
          <cell r="J2458">
            <v>17</v>
          </cell>
          <cell r="K2458">
            <v>3</v>
          </cell>
          <cell r="L2458">
            <v>3</v>
          </cell>
          <cell r="M2458">
            <v>2.1126760563380281E-2</v>
          </cell>
          <cell r="N2458">
            <v>2.1000000000000001E-2</v>
          </cell>
          <cell r="O2458" t="str">
            <v>$1172</v>
          </cell>
          <cell r="P2458" t="str">
            <v>$1172</v>
          </cell>
          <cell r="Q2458">
            <v>45619</v>
          </cell>
          <cell r="R2458" t="str">
            <v>Hyderabad</v>
          </cell>
          <cell r="S2458" t="str">
            <v>Tablet</v>
          </cell>
          <cell r="T2458" t="str">
            <v>data analytics training</v>
          </cell>
        </row>
        <row r="2459">
          <cell r="A2459" t="str">
            <v>A3457</v>
          </cell>
          <cell r="B2459" t="str">
            <v>Data Analytics Course</v>
          </cell>
          <cell r="C2459">
            <v>150</v>
          </cell>
          <cell r="D2459">
            <v>150</v>
          </cell>
          <cell r="E2459">
            <v>4409</v>
          </cell>
          <cell r="F2459">
            <v>4409</v>
          </cell>
          <cell r="G2459" t="str">
            <v>$223.45</v>
          </cell>
          <cell r="H2459" t="str">
            <v>$223.45</v>
          </cell>
          <cell r="I2459">
            <v>23</v>
          </cell>
          <cell r="J2459">
            <v>23</v>
          </cell>
          <cell r="K2459">
            <v>7</v>
          </cell>
          <cell r="L2459">
            <v>7</v>
          </cell>
          <cell r="M2459">
            <v>4.6666666666666669E-2</v>
          </cell>
          <cell r="N2459">
            <v>4.7E-2</v>
          </cell>
          <cell r="O2459" t="str">
            <v>$1578</v>
          </cell>
          <cell r="P2459" t="str">
            <v>$1578</v>
          </cell>
          <cell r="Q2459">
            <v>45609</v>
          </cell>
          <cell r="R2459" t="str">
            <v>Hyderabad</v>
          </cell>
          <cell r="S2459" t="str">
            <v>Desktop</v>
          </cell>
          <cell r="T2459" t="str">
            <v>learn data analytics</v>
          </cell>
        </row>
        <row r="2460">
          <cell r="A2460" t="str">
            <v>A3458</v>
          </cell>
          <cell r="B2460" t="str">
            <v>Data Analytics Course</v>
          </cell>
          <cell r="C2460">
            <v>117</v>
          </cell>
          <cell r="D2460">
            <v>117</v>
          </cell>
          <cell r="E2460">
            <v>3109</v>
          </cell>
          <cell r="F2460">
            <v>3109</v>
          </cell>
          <cell r="G2460" t="str">
            <v>$239.1</v>
          </cell>
          <cell r="H2460" t="str">
            <v>$239.1</v>
          </cell>
          <cell r="I2460">
            <v>21</v>
          </cell>
          <cell r="J2460">
            <v>21</v>
          </cell>
          <cell r="K2460">
            <v>3</v>
          </cell>
          <cell r="L2460">
            <v>3</v>
          </cell>
          <cell r="M2460">
            <v>2.564102564102564E-2</v>
          </cell>
          <cell r="N2460">
            <v>2.5999999999999999E-2</v>
          </cell>
          <cell r="O2460" t="str">
            <v>$1500</v>
          </cell>
          <cell r="Q2460">
            <v>45623</v>
          </cell>
          <cell r="R2460" t="str">
            <v>Hyderabad</v>
          </cell>
          <cell r="S2460" t="str">
            <v>Tablet</v>
          </cell>
          <cell r="T2460" t="str">
            <v>data analytics course</v>
          </cell>
        </row>
        <row r="2461">
          <cell r="A2461" t="str">
            <v>A3459</v>
          </cell>
          <cell r="B2461" t="str">
            <v>Data Analytcis Course</v>
          </cell>
          <cell r="C2461">
            <v>142</v>
          </cell>
          <cell r="D2461">
            <v>142</v>
          </cell>
          <cell r="E2461">
            <v>5613</v>
          </cell>
          <cell r="F2461">
            <v>5613</v>
          </cell>
          <cell r="G2461" t="str">
            <v>$180.45</v>
          </cell>
          <cell r="H2461" t="str">
            <v>$180.45</v>
          </cell>
          <cell r="I2461">
            <v>11</v>
          </cell>
          <cell r="J2461">
            <v>11</v>
          </cell>
          <cell r="K2461">
            <v>9</v>
          </cell>
          <cell r="L2461">
            <v>9</v>
          </cell>
          <cell r="M2461">
            <v>6.3380281690140844E-2</v>
          </cell>
          <cell r="N2461">
            <v>6.3E-2</v>
          </cell>
          <cell r="O2461" t="str">
            <v>$1978</v>
          </cell>
          <cell r="P2461" t="str">
            <v>$1978</v>
          </cell>
          <cell r="Q2461">
            <v>45624</v>
          </cell>
          <cell r="R2461" t="str">
            <v>Chennai</v>
          </cell>
          <cell r="S2461" t="str">
            <v>Mobile</v>
          </cell>
          <cell r="T2461" t="str">
            <v>data analytics training</v>
          </cell>
        </row>
        <row r="2462">
          <cell r="A2462" t="str">
            <v>A3460</v>
          </cell>
          <cell r="B2462" t="str">
            <v>Data Analytcis Course</v>
          </cell>
          <cell r="C2462">
            <v>103</v>
          </cell>
          <cell r="D2462">
            <v>103</v>
          </cell>
          <cell r="E2462">
            <v>4821</v>
          </cell>
          <cell r="F2462">
            <v>4821</v>
          </cell>
          <cell r="G2462" t="str">
            <v>$214.54</v>
          </cell>
          <cell r="H2462" t="str">
            <v>$214.54</v>
          </cell>
          <cell r="I2462">
            <v>30</v>
          </cell>
          <cell r="J2462">
            <v>30</v>
          </cell>
          <cell r="K2462">
            <v>6</v>
          </cell>
          <cell r="L2462">
            <v>6</v>
          </cell>
          <cell r="M2462">
            <v>5.8252427184466021E-2</v>
          </cell>
          <cell r="N2462">
            <v>5.8000000000000003E-2</v>
          </cell>
          <cell r="O2462" t="str">
            <v>$1408</v>
          </cell>
          <cell r="P2462" t="str">
            <v>$1408</v>
          </cell>
          <cell r="Q2462">
            <v>45609</v>
          </cell>
          <cell r="R2462" t="str">
            <v>Bangaluru</v>
          </cell>
          <cell r="S2462" t="str">
            <v>Tablet</v>
          </cell>
          <cell r="T2462" t="str">
            <v>data analytics online</v>
          </cell>
        </row>
        <row r="2463">
          <cell r="A2463" t="str">
            <v>A3461</v>
          </cell>
          <cell r="B2463" t="str">
            <v>Data Analytics Course</v>
          </cell>
          <cell r="C2463">
            <v>187</v>
          </cell>
          <cell r="D2463">
            <v>187</v>
          </cell>
          <cell r="E2463">
            <v>3289</v>
          </cell>
          <cell r="F2463">
            <v>3289</v>
          </cell>
          <cell r="G2463" t="str">
            <v>$186.04</v>
          </cell>
          <cell r="H2463" t="str">
            <v>$186.04</v>
          </cell>
          <cell r="I2463">
            <v>23</v>
          </cell>
          <cell r="J2463">
            <v>23</v>
          </cell>
          <cell r="K2463">
            <v>5</v>
          </cell>
          <cell r="L2463">
            <v>5</v>
          </cell>
          <cell r="M2463">
            <v>2.6737967914438502E-2</v>
          </cell>
          <cell r="N2463">
            <v>2.7E-2</v>
          </cell>
          <cell r="O2463" t="str">
            <v>$1645</v>
          </cell>
          <cell r="P2463" t="str">
            <v>$1645</v>
          </cell>
          <cell r="Q2463">
            <v>45602</v>
          </cell>
          <cell r="R2463" t="str">
            <v>Hyderabad</v>
          </cell>
          <cell r="S2463" t="str">
            <v>Desktop</v>
          </cell>
          <cell r="T2463" t="str">
            <v>data analytics course</v>
          </cell>
        </row>
        <row r="2464">
          <cell r="A2464" t="str">
            <v>A3462</v>
          </cell>
          <cell r="B2464" t="str">
            <v>Data Analytics Course</v>
          </cell>
          <cell r="C2464">
            <v>172</v>
          </cell>
          <cell r="D2464">
            <v>172</v>
          </cell>
          <cell r="E2464">
            <v>4441</v>
          </cell>
          <cell r="F2464">
            <v>4441</v>
          </cell>
          <cell r="G2464" t="str">
            <v>$209.18</v>
          </cell>
          <cell r="H2464" t="str">
            <v>$209.18</v>
          </cell>
          <cell r="I2464">
            <v>17</v>
          </cell>
          <cell r="J2464">
            <v>17</v>
          </cell>
          <cell r="K2464">
            <v>10</v>
          </cell>
          <cell r="L2464">
            <v>10</v>
          </cell>
          <cell r="M2464">
            <v>5.8139534883720929E-2</v>
          </cell>
          <cell r="N2464">
            <v>4.2999999999999997E-2</v>
          </cell>
          <cell r="O2464" t="str">
            <v>$1500</v>
          </cell>
          <cell r="Q2464">
            <v>45625</v>
          </cell>
          <cell r="R2464" t="str">
            <v>Bangaluru</v>
          </cell>
          <cell r="S2464" t="str">
            <v>Desktop</v>
          </cell>
          <cell r="T2464" t="str">
            <v>data analytics online</v>
          </cell>
        </row>
        <row r="2465">
          <cell r="A2465" t="str">
            <v>A3463</v>
          </cell>
          <cell r="B2465" t="str">
            <v>Data Analytcis Course</v>
          </cell>
          <cell r="C2465">
            <v>105</v>
          </cell>
          <cell r="D2465">
            <v>105</v>
          </cell>
          <cell r="E2465">
            <v>3000</v>
          </cell>
          <cell r="F2465">
            <v>3000</v>
          </cell>
          <cell r="G2465" t="str">
            <v>$185.97</v>
          </cell>
          <cell r="H2465" t="str">
            <v>$185.97</v>
          </cell>
          <cell r="I2465">
            <v>17</v>
          </cell>
          <cell r="J2465">
            <v>17</v>
          </cell>
          <cell r="K2465">
            <v>6</v>
          </cell>
          <cell r="L2465">
            <v>6</v>
          </cell>
          <cell r="M2465">
            <v>5.7142857142857141E-2</v>
          </cell>
          <cell r="N2465">
            <v>5.7000000000000002E-2</v>
          </cell>
          <cell r="O2465" t="str">
            <v>$1993</v>
          </cell>
          <cell r="P2465" t="str">
            <v>$1993</v>
          </cell>
          <cell r="Q2465">
            <v>45625</v>
          </cell>
          <cell r="R2465" t="str">
            <v>Bangaluru</v>
          </cell>
          <cell r="S2465" t="str">
            <v>Mobile</v>
          </cell>
          <cell r="T2465" t="str">
            <v>data analytics online</v>
          </cell>
        </row>
        <row r="2466">
          <cell r="A2466" t="str">
            <v>A3464</v>
          </cell>
          <cell r="B2466" t="str">
            <v>Data Analytics Course</v>
          </cell>
          <cell r="C2466">
            <v>181</v>
          </cell>
          <cell r="D2466">
            <v>181</v>
          </cell>
          <cell r="E2466">
            <v>4156</v>
          </cell>
          <cell r="F2466">
            <v>4156</v>
          </cell>
          <cell r="G2466" t="str">
            <v>$245.68</v>
          </cell>
          <cell r="H2466" t="str">
            <v>$245.68</v>
          </cell>
          <cell r="I2466">
            <v>22</v>
          </cell>
          <cell r="J2466">
            <v>22</v>
          </cell>
          <cell r="K2466">
            <v>10</v>
          </cell>
          <cell r="L2466">
            <v>10</v>
          </cell>
          <cell r="M2466">
            <v>5.5248618784530384E-2</v>
          </cell>
          <cell r="N2466">
            <v>3.1E-2</v>
          </cell>
          <cell r="O2466" t="str">
            <v>$1336</v>
          </cell>
          <cell r="P2466" t="str">
            <v>$1336</v>
          </cell>
          <cell r="Q2466">
            <v>45610</v>
          </cell>
          <cell r="R2466" t="str">
            <v>Hyderabad</v>
          </cell>
          <cell r="S2466" t="str">
            <v>Mobile</v>
          </cell>
          <cell r="T2466" t="str">
            <v>learn data analytics</v>
          </cell>
        </row>
        <row r="2467">
          <cell r="A2467" t="str">
            <v>A3465</v>
          </cell>
          <cell r="B2467" t="str">
            <v>Data Analytics Course</v>
          </cell>
          <cell r="C2467">
            <v>172</v>
          </cell>
          <cell r="D2467">
            <v>172</v>
          </cell>
          <cell r="E2467">
            <v>5314</v>
          </cell>
          <cell r="F2467">
            <v>5314</v>
          </cell>
          <cell r="G2467" t="str">
            <v>$240.69</v>
          </cell>
          <cell r="H2467" t="str">
            <v>$240.69</v>
          </cell>
          <cell r="I2467">
            <v>14</v>
          </cell>
          <cell r="J2467">
            <v>14</v>
          </cell>
          <cell r="K2467">
            <v>9</v>
          </cell>
          <cell r="L2467">
            <v>9</v>
          </cell>
          <cell r="M2467">
            <v>5.232558139534884E-2</v>
          </cell>
          <cell r="O2467" t="str">
            <v>$1998</v>
          </cell>
          <cell r="P2467" t="str">
            <v>$1998</v>
          </cell>
          <cell r="Q2467">
            <v>45619</v>
          </cell>
          <cell r="R2467" t="str">
            <v>Hyderabad</v>
          </cell>
          <cell r="S2467" t="str">
            <v>Tablet</v>
          </cell>
          <cell r="T2467" t="str">
            <v>learn data analytics</v>
          </cell>
        </row>
        <row r="2468">
          <cell r="A2468" t="str">
            <v>A3466</v>
          </cell>
          <cell r="B2468" t="str">
            <v>Data Analytics Course</v>
          </cell>
          <cell r="C2468">
            <v>98</v>
          </cell>
          <cell r="D2468">
            <v>98</v>
          </cell>
          <cell r="E2468">
            <v>4655</v>
          </cell>
          <cell r="F2468">
            <v>4655</v>
          </cell>
          <cell r="G2468" t="str">
            <v>$182.99</v>
          </cell>
          <cell r="H2468" t="str">
            <v>$182.99</v>
          </cell>
          <cell r="I2468">
            <v>21</v>
          </cell>
          <cell r="J2468">
            <v>21</v>
          </cell>
          <cell r="K2468">
            <v>10</v>
          </cell>
          <cell r="L2468">
            <v>10</v>
          </cell>
          <cell r="M2468">
            <v>0.10204081632653061</v>
          </cell>
          <cell r="N2468">
            <v>0.10199999999999999</v>
          </cell>
          <cell r="O2468" t="str">
            <v>$1918</v>
          </cell>
          <cell r="P2468" t="str">
            <v>$1918</v>
          </cell>
          <cell r="Q2468">
            <v>45621</v>
          </cell>
          <cell r="R2468" t="str">
            <v>Hyderabad</v>
          </cell>
          <cell r="S2468" t="str">
            <v>Desktop</v>
          </cell>
          <cell r="T2468" t="str">
            <v>data analytics course</v>
          </cell>
        </row>
        <row r="2469">
          <cell r="A2469" t="str">
            <v>A3467</v>
          </cell>
          <cell r="B2469" t="str">
            <v>Data Analytics Course</v>
          </cell>
          <cell r="C2469">
            <v>92</v>
          </cell>
          <cell r="D2469">
            <v>92</v>
          </cell>
          <cell r="E2469">
            <v>3226</v>
          </cell>
          <cell r="F2469">
            <v>3226</v>
          </cell>
          <cell r="G2469" t="str">
            <v>$236.27</v>
          </cell>
          <cell r="H2469" t="str">
            <v>$236.27</v>
          </cell>
          <cell r="I2469">
            <v>17</v>
          </cell>
          <cell r="J2469">
            <v>17</v>
          </cell>
          <cell r="K2469">
            <v>6</v>
          </cell>
          <cell r="L2469">
            <v>6</v>
          </cell>
          <cell r="M2469">
            <v>6.5217391304347824E-2</v>
          </cell>
          <cell r="O2469" t="str">
            <v>$1473</v>
          </cell>
          <cell r="P2469" t="str">
            <v>$1473</v>
          </cell>
          <cell r="Q2469">
            <v>45606</v>
          </cell>
          <cell r="R2469" t="str">
            <v>Bangaluru</v>
          </cell>
          <cell r="S2469" t="str">
            <v>Tablet</v>
          </cell>
          <cell r="T2469" t="str">
            <v>data analytics training</v>
          </cell>
        </row>
        <row r="2470">
          <cell r="A2470" t="str">
            <v>A3468</v>
          </cell>
          <cell r="B2470" t="str">
            <v>Data Analytcis Course</v>
          </cell>
          <cell r="C2470">
            <v>102</v>
          </cell>
          <cell r="D2470">
            <v>102</v>
          </cell>
          <cell r="E2470">
            <v>5246</v>
          </cell>
          <cell r="F2470">
            <v>5246</v>
          </cell>
          <cell r="G2470" t="str">
            <v>$234.71</v>
          </cell>
          <cell r="H2470" t="str">
            <v>$234.71</v>
          </cell>
          <cell r="I2470">
            <v>20</v>
          </cell>
          <cell r="J2470">
            <v>20</v>
          </cell>
          <cell r="K2470">
            <v>4</v>
          </cell>
          <cell r="L2470">
            <v>4</v>
          </cell>
          <cell r="M2470">
            <v>3.9215686274509803E-2</v>
          </cell>
          <cell r="N2470">
            <v>3.9E-2</v>
          </cell>
          <cell r="O2470" t="str">
            <v>$1903</v>
          </cell>
          <cell r="P2470" t="str">
            <v>$1903</v>
          </cell>
          <cell r="Q2470">
            <v>45621</v>
          </cell>
          <cell r="R2470" t="str">
            <v>Bangaluru</v>
          </cell>
          <cell r="S2470" t="str">
            <v>Tablet</v>
          </cell>
          <cell r="T2470" t="str">
            <v>data analytics training</v>
          </cell>
        </row>
        <row r="2471">
          <cell r="A2471" t="str">
            <v>A3469</v>
          </cell>
          <cell r="B2471" t="str">
            <v>Data Analytcis Course</v>
          </cell>
          <cell r="C2471">
            <v>143</v>
          </cell>
          <cell r="D2471">
            <v>143</v>
          </cell>
          <cell r="E2471">
            <v>5545</v>
          </cell>
          <cell r="F2471">
            <v>5545</v>
          </cell>
          <cell r="G2471" t="str">
            <v>$246.64</v>
          </cell>
          <cell r="H2471" t="str">
            <v>$246.64</v>
          </cell>
          <cell r="I2471">
            <v>26</v>
          </cell>
          <cell r="J2471">
            <v>26</v>
          </cell>
          <cell r="K2471">
            <v>9</v>
          </cell>
          <cell r="L2471">
            <v>9</v>
          </cell>
          <cell r="M2471">
            <v>6.2937062937062943E-2</v>
          </cell>
          <cell r="N2471">
            <v>6.3E-2</v>
          </cell>
          <cell r="O2471" t="str">
            <v>$1105</v>
          </cell>
          <cell r="P2471" t="str">
            <v>$1105</v>
          </cell>
          <cell r="Q2471">
            <v>45604</v>
          </cell>
          <cell r="R2471" t="str">
            <v>Hyderabad</v>
          </cell>
          <cell r="S2471" t="str">
            <v>Mobile</v>
          </cell>
          <cell r="T2471" t="str">
            <v>learn data analytics</v>
          </cell>
        </row>
        <row r="2472">
          <cell r="A2472" t="str">
            <v>A3470</v>
          </cell>
          <cell r="B2472" t="str">
            <v>Data Analytics Course</v>
          </cell>
          <cell r="C2472">
            <v>111</v>
          </cell>
          <cell r="D2472">
            <v>111</v>
          </cell>
          <cell r="E2472">
            <v>4069</v>
          </cell>
          <cell r="F2472">
            <v>4069</v>
          </cell>
          <cell r="G2472" t="str">
            <v>$203.57</v>
          </cell>
          <cell r="H2472" t="str">
            <v>$203.57</v>
          </cell>
          <cell r="I2472">
            <v>25</v>
          </cell>
          <cell r="J2472">
            <v>25</v>
          </cell>
          <cell r="K2472">
            <v>4</v>
          </cell>
          <cell r="L2472">
            <v>4</v>
          </cell>
          <cell r="M2472">
            <v>3.6036036036036036E-2</v>
          </cell>
          <cell r="N2472">
            <v>3.3000000000000002E-2</v>
          </cell>
          <cell r="O2472" t="str">
            <v>$1724</v>
          </cell>
          <cell r="P2472" t="str">
            <v>$1724</v>
          </cell>
          <cell r="Q2472">
            <v>45603</v>
          </cell>
          <cell r="R2472" t="str">
            <v>Bangaluru</v>
          </cell>
          <cell r="S2472" t="str">
            <v>Mobile</v>
          </cell>
          <cell r="T2472" t="str">
            <v>data analytics training</v>
          </cell>
        </row>
        <row r="2473">
          <cell r="A2473" t="str">
            <v>A3471</v>
          </cell>
          <cell r="B2473" t="str">
            <v>Data Analytics Course</v>
          </cell>
          <cell r="C2473">
            <v>116</v>
          </cell>
          <cell r="D2473">
            <v>116</v>
          </cell>
          <cell r="E2473">
            <v>4689</v>
          </cell>
          <cell r="F2473">
            <v>4689</v>
          </cell>
          <cell r="G2473" t="str">
            <v>$198.9</v>
          </cell>
          <cell r="H2473" t="str">
            <v>$198.9</v>
          </cell>
          <cell r="I2473">
            <v>27</v>
          </cell>
          <cell r="J2473">
            <v>27</v>
          </cell>
          <cell r="K2473">
            <v>3</v>
          </cell>
          <cell r="L2473">
            <v>3</v>
          </cell>
          <cell r="M2473">
            <v>2.5862068965517241E-2</v>
          </cell>
          <cell r="N2473">
            <v>2.5999999999999999E-2</v>
          </cell>
          <cell r="O2473" t="str">
            <v>$1553</v>
          </cell>
          <cell r="P2473" t="str">
            <v>$1553</v>
          </cell>
          <cell r="Q2473">
            <v>45620</v>
          </cell>
          <cell r="R2473" t="str">
            <v>Hyderabad</v>
          </cell>
          <cell r="S2473" t="str">
            <v>Mobile</v>
          </cell>
          <cell r="T2473" t="str">
            <v>data analytics training</v>
          </cell>
        </row>
        <row r="2474">
          <cell r="A2474" t="str">
            <v>A3472</v>
          </cell>
          <cell r="B2474" t="str">
            <v>Data Analytcis Course</v>
          </cell>
          <cell r="C2474">
            <v>148</v>
          </cell>
          <cell r="D2474">
            <v>148</v>
          </cell>
          <cell r="E2474">
            <v>3907</v>
          </cell>
          <cell r="F2474">
            <v>3907</v>
          </cell>
          <cell r="G2474" t="str">
            <v>$199.43</v>
          </cell>
          <cell r="H2474" t="str">
            <v>$199.43</v>
          </cell>
          <cell r="I2474">
            <v>11</v>
          </cell>
          <cell r="J2474">
            <v>11</v>
          </cell>
          <cell r="K2474">
            <v>7</v>
          </cell>
          <cell r="L2474">
            <v>7</v>
          </cell>
          <cell r="M2474">
            <v>4.72972972972973E-2</v>
          </cell>
          <cell r="N2474">
            <v>4.7E-2</v>
          </cell>
          <cell r="O2474" t="str">
            <v>$1253</v>
          </cell>
          <cell r="P2474" t="str">
            <v>$1253</v>
          </cell>
          <cell r="Q2474">
            <v>45616</v>
          </cell>
          <cell r="R2474" t="str">
            <v>Chennai</v>
          </cell>
          <cell r="S2474" t="str">
            <v>Desktop</v>
          </cell>
          <cell r="T2474" t="str">
            <v>data analytics online</v>
          </cell>
        </row>
        <row r="2475">
          <cell r="A2475" t="str">
            <v>A3473</v>
          </cell>
          <cell r="B2475" t="str">
            <v>Data Analytics Course</v>
          </cell>
          <cell r="C2475">
            <v>90</v>
          </cell>
          <cell r="D2475">
            <v>90</v>
          </cell>
          <cell r="E2475">
            <v>5137</v>
          </cell>
          <cell r="F2475">
            <v>5137</v>
          </cell>
          <cell r="G2475" t="str">
            <v>$219.64</v>
          </cell>
          <cell r="H2475" t="str">
            <v>$219.64</v>
          </cell>
          <cell r="I2475">
            <v>21</v>
          </cell>
          <cell r="J2475">
            <v>21</v>
          </cell>
          <cell r="K2475">
            <v>7</v>
          </cell>
          <cell r="L2475">
            <v>7</v>
          </cell>
          <cell r="M2475">
            <v>7.7777777777777779E-2</v>
          </cell>
          <cell r="N2475">
            <v>7.8E-2</v>
          </cell>
          <cell r="O2475" t="str">
            <v>$1958</v>
          </cell>
          <cell r="P2475" t="str">
            <v>$1958</v>
          </cell>
          <cell r="Q2475">
            <v>45626</v>
          </cell>
          <cell r="R2475" t="str">
            <v>Bangaluru</v>
          </cell>
          <cell r="S2475" t="str">
            <v>Mobile</v>
          </cell>
          <cell r="T2475" t="str">
            <v>online data analytic</v>
          </cell>
        </row>
        <row r="2476">
          <cell r="A2476" t="str">
            <v>A3474</v>
          </cell>
          <cell r="B2476" t="str">
            <v>Data Analytcis Course</v>
          </cell>
          <cell r="C2476">
            <v>80</v>
          </cell>
          <cell r="D2476">
            <v>80</v>
          </cell>
          <cell r="E2476">
            <v>3836</v>
          </cell>
          <cell r="F2476">
            <v>3836</v>
          </cell>
          <cell r="G2476" t="str">
            <v>$209.37</v>
          </cell>
          <cell r="H2476" t="str">
            <v>$209.37</v>
          </cell>
          <cell r="I2476">
            <v>20</v>
          </cell>
          <cell r="J2476">
            <v>20</v>
          </cell>
          <cell r="K2476">
            <v>7</v>
          </cell>
          <cell r="L2476">
            <v>7</v>
          </cell>
          <cell r="M2476">
            <v>8.7499999999999994E-2</v>
          </cell>
          <cell r="O2476" t="str">
            <v>$1937</v>
          </cell>
          <cell r="P2476" t="str">
            <v>$1937</v>
          </cell>
          <cell r="Q2476">
            <v>45624</v>
          </cell>
          <cell r="R2476" t="str">
            <v>Hyderabad</v>
          </cell>
          <cell r="S2476" t="str">
            <v>Tablet</v>
          </cell>
          <cell r="T2476" t="str">
            <v>online data analytic</v>
          </cell>
        </row>
        <row r="2477">
          <cell r="A2477" t="str">
            <v>A3475</v>
          </cell>
          <cell r="B2477" t="str">
            <v>Data Analytics Course</v>
          </cell>
          <cell r="C2477">
            <v>188</v>
          </cell>
          <cell r="D2477">
            <v>188</v>
          </cell>
          <cell r="E2477">
            <v>4727</v>
          </cell>
          <cell r="F2477">
            <v>4727</v>
          </cell>
          <cell r="G2477" t="str">
            <v>$245.59</v>
          </cell>
          <cell r="H2477" t="str">
            <v>$245.59</v>
          </cell>
          <cell r="I2477">
            <v>12</v>
          </cell>
          <cell r="J2477">
            <v>12</v>
          </cell>
          <cell r="K2477">
            <v>6</v>
          </cell>
          <cell r="L2477">
            <v>6</v>
          </cell>
          <cell r="M2477">
            <v>3.1914893617021274E-2</v>
          </cell>
          <cell r="N2477">
            <v>3.2000000000000001E-2</v>
          </cell>
          <cell r="O2477" t="str">
            <v>$1321</v>
          </cell>
          <cell r="P2477" t="str">
            <v>$1321</v>
          </cell>
          <cell r="Q2477">
            <v>45620</v>
          </cell>
          <cell r="R2477" t="str">
            <v>Chennai</v>
          </cell>
          <cell r="S2477" t="str">
            <v>Mobile</v>
          </cell>
          <cell r="T2477" t="str">
            <v>learn data analytics</v>
          </cell>
        </row>
        <row r="2478">
          <cell r="A2478" t="str">
            <v>A3476</v>
          </cell>
          <cell r="B2478" t="str">
            <v>Data Analytics Course</v>
          </cell>
          <cell r="C2478">
            <v>114</v>
          </cell>
          <cell r="D2478">
            <v>114</v>
          </cell>
          <cell r="E2478">
            <v>3880</v>
          </cell>
          <cell r="F2478">
            <v>3880</v>
          </cell>
          <cell r="G2478" t="str">
            <v>$200.00</v>
          </cell>
          <cell r="I2478">
            <v>18</v>
          </cell>
          <cell r="J2478">
            <v>18</v>
          </cell>
          <cell r="K2478">
            <v>3</v>
          </cell>
          <cell r="L2478">
            <v>3</v>
          </cell>
          <cell r="M2478">
            <v>2.6315789473684209E-2</v>
          </cell>
          <cell r="N2478">
            <v>2.5999999999999999E-2</v>
          </cell>
          <cell r="O2478" t="str">
            <v>$1217</v>
          </cell>
          <cell r="P2478" t="str">
            <v>$1217</v>
          </cell>
          <cell r="Q2478">
            <v>45614</v>
          </cell>
          <cell r="R2478" t="str">
            <v>Chennai</v>
          </cell>
          <cell r="S2478" t="str">
            <v>Mobile</v>
          </cell>
          <cell r="T2478" t="str">
            <v>data analytics online</v>
          </cell>
        </row>
        <row r="2479">
          <cell r="A2479" t="str">
            <v>A3477</v>
          </cell>
          <cell r="B2479" t="str">
            <v>Data Analytics Course</v>
          </cell>
          <cell r="C2479">
            <v>112</v>
          </cell>
          <cell r="D2479">
            <v>112</v>
          </cell>
          <cell r="E2479">
            <v>3639</v>
          </cell>
          <cell r="F2479">
            <v>3639</v>
          </cell>
          <cell r="G2479" t="str">
            <v>$185.6</v>
          </cell>
          <cell r="H2479" t="str">
            <v>$185.6</v>
          </cell>
          <cell r="I2479">
            <v>27</v>
          </cell>
          <cell r="J2479">
            <v>27</v>
          </cell>
          <cell r="K2479">
            <v>7</v>
          </cell>
          <cell r="L2479">
            <v>7</v>
          </cell>
          <cell r="M2479">
            <v>6.25E-2</v>
          </cell>
          <cell r="N2479">
            <v>6.2E-2</v>
          </cell>
          <cell r="O2479" t="str">
            <v>$1517</v>
          </cell>
          <cell r="P2479" t="str">
            <v>$1517</v>
          </cell>
          <cell r="Q2479">
            <v>45613</v>
          </cell>
          <cell r="R2479" t="str">
            <v>Chennai</v>
          </cell>
          <cell r="S2479" t="str">
            <v>Tablet</v>
          </cell>
          <cell r="T2479" t="str">
            <v>analytics for data</v>
          </cell>
        </row>
        <row r="2480">
          <cell r="A2480" t="str">
            <v>A3478</v>
          </cell>
          <cell r="B2480" t="str">
            <v>Data Analytcis Course</v>
          </cell>
          <cell r="C2480">
            <v>96</v>
          </cell>
          <cell r="D2480">
            <v>96</v>
          </cell>
          <cell r="E2480">
            <v>3858</v>
          </cell>
          <cell r="F2480">
            <v>3858</v>
          </cell>
          <cell r="G2480" t="str">
            <v>$199.81</v>
          </cell>
          <cell r="H2480" t="str">
            <v>$199.81</v>
          </cell>
          <cell r="I2480">
            <v>15</v>
          </cell>
          <cell r="J2480">
            <v>15</v>
          </cell>
          <cell r="K2480">
            <v>7</v>
          </cell>
          <cell r="L2480">
            <v>7</v>
          </cell>
          <cell r="M2480">
            <v>7.2916666666666671E-2</v>
          </cell>
          <cell r="O2480" t="str">
            <v>$1672</v>
          </cell>
          <cell r="P2480" t="str">
            <v>$1672</v>
          </cell>
          <cell r="Q2480">
            <v>45611</v>
          </cell>
          <cell r="R2480" t="str">
            <v>Chennai</v>
          </cell>
          <cell r="S2480" t="str">
            <v>Mobile</v>
          </cell>
          <cell r="T2480" t="str">
            <v>data analytics online</v>
          </cell>
        </row>
        <row r="2481">
          <cell r="A2481" t="str">
            <v>A3479</v>
          </cell>
          <cell r="B2481" t="str">
            <v>Data Analytics Course</v>
          </cell>
          <cell r="C2481">
            <v>138.95699356913184</v>
          </cell>
          <cell r="E2481">
            <v>3699</v>
          </cell>
          <cell r="F2481">
            <v>3699</v>
          </cell>
          <cell r="G2481" t="str">
            <v>$186.22</v>
          </cell>
          <cell r="H2481" t="str">
            <v>$186.22</v>
          </cell>
          <cell r="I2481">
            <v>23</v>
          </cell>
          <cell r="J2481">
            <v>23</v>
          </cell>
          <cell r="K2481">
            <v>6.0909090909090908</v>
          </cell>
          <cell r="M2481">
            <v>4.3833051755533495E-2</v>
          </cell>
          <cell r="O2481" t="str">
            <v>$1218</v>
          </cell>
          <cell r="P2481" t="str">
            <v>$1218</v>
          </cell>
          <cell r="Q2481">
            <v>45619</v>
          </cell>
          <cell r="R2481" t="str">
            <v>Bangaluru</v>
          </cell>
          <cell r="S2481" t="str">
            <v>Tablet</v>
          </cell>
          <cell r="T2481" t="str">
            <v>analytics for data</v>
          </cell>
        </row>
        <row r="2482">
          <cell r="A2482" t="str">
            <v>A3480</v>
          </cell>
          <cell r="B2482" t="str">
            <v>Data Analytics Course</v>
          </cell>
          <cell r="C2482">
            <v>172</v>
          </cell>
          <cell r="D2482">
            <v>172</v>
          </cell>
          <cell r="E2482">
            <v>5955</v>
          </cell>
          <cell r="F2482">
            <v>5955</v>
          </cell>
          <cell r="G2482" t="str">
            <v>$216.07</v>
          </cell>
          <cell r="H2482" t="str">
            <v>$216.07</v>
          </cell>
          <cell r="I2482">
            <v>15</v>
          </cell>
          <cell r="J2482">
            <v>15</v>
          </cell>
          <cell r="K2482">
            <v>7</v>
          </cell>
          <cell r="L2482">
            <v>7</v>
          </cell>
          <cell r="M2482">
            <v>4.0697674418604654E-2</v>
          </cell>
          <cell r="N2482">
            <v>3.7999999999999999E-2</v>
          </cell>
          <cell r="O2482" t="str">
            <v>$1323</v>
          </cell>
          <cell r="P2482" t="str">
            <v>$1323</v>
          </cell>
          <cell r="Q2482">
            <v>45598</v>
          </cell>
          <cell r="R2482" t="str">
            <v>Hyderabad</v>
          </cell>
          <cell r="S2482" t="str">
            <v>Mobile</v>
          </cell>
          <cell r="T2482" t="str">
            <v>learn data analytics</v>
          </cell>
        </row>
        <row r="2483">
          <cell r="A2483" t="str">
            <v>A3481</v>
          </cell>
          <cell r="B2483" t="str">
            <v>Data Analytics Course</v>
          </cell>
          <cell r="C2483">
            <v>134</v>
          </cell>
          <cell r="D2483">
            <v>134</v>
          </cell>
          <cell r="E2483">
            <v>5520</v>
          </cell>
          <cell r="F2483">
            <v>5520</v>
          </cell>
          <cell r="G2483" t="str">
            <v>$189.43</v>
          </cell>
          <cell r="H2483" t="str">
            <v>$189.43</v>
          </cell>
          <cell r="I2483">
            <v>22</v>
          </cell>
          <cell r="J2483">
            <v>22</v>
          </cell>
          <cell r="K2483">
            <v>10</v>
          </cell>
          <cell r="L2483">
            <v>10</v>
          </cell>
          <cell r="M2483">
            <v>7.4626865671641784E-2</v>
          </cell>
          <cell r="O2483" t="str">
            <v>$1319</v>
          </cell>
          <cell r="P2483" t="str">
            <v>$1319</v>
          </cell>
          <cell r="Q2483">
            <v>45626</v>
          </cell>
          <cell r="R2483" t="str">
            <v>Chennai</v>
          </cell>
          <cell r="S2483" t="str">
            <v>Desktop</v>
          </cell>
          <cell r="T2483" t="str">
            <v>data analytics online</v>
          </cell>
        </row>
        <row r="2484">
          <cell r="A2484" t="str">
            <v>A3482</v>
          </cell>
          <cell r="B2484" t="str">
            <v>Data Analytics Course</v>
          </cell>
          <cell r="C2484">
            <v>148</v>
          </cell>
          <cell r="D2484">
            <v>148</v>
          </cell>
          <cell r="E2484">
            <v>3884</v>
          </cell>
          <cell r="F2484">
            <v>3884</v>
          </cell>
          <cell r="G2484" t="str">
            <v>$233.46</v>
          </cell>
          <cell r="H2484" t="str">
            <v>$233.46</v>
          </cell>
          <cell r="I2484">
            <v>14</v>
          </cell>
          <cell r="J2484">
            <v>14</v>
          </cell>
          <cell r="K2484">
            <v>5</v>
          </cell>
          <cell r="L2484">
            <v>5</v>
          </cell>
          <cell r="M2484">
            <v>3.3783783783783786E-2</v>
          </cell>
          <cell r="N2484">
            <v>3.4000000000000002E-2</v>
          </cell>
          <cell r="O2484" t="str">
            <v>$1138</v>
          </cell>
          <cell r="P2484" t="str">
            <v>$1138</v>
          </cell>
          <cell r="Q2484">
            <v>45607</v>
          </cell>
          <cell r="R2484" t="str">
            <v>Hyderabad</v>
          </cell>
          <cell r="S2484" t="str">
            <v>Mobile</v>
          </cell>
          <cell r="T2484" t="str">
            <v>data analytics online</v>
          </cell>
        </row>
        <row r="2485">
          <cell r="A2485" t="str">
            <v>A3483</v>
          </cell>
          <cell r="B2485" t="str">
            <v>Data Analytics Course</v>
          </cell>
          <cell r="C2485">
            <v>191</v>
          </cell>
          <cell r="D2485">
            <v>191</v>
          </cell>
          <cell r="E2485">
            <v>5361</v>
          </cell>
          <cell r="F2485">
            <v>5361</v>
          </cell>
          <cell r="G2485" t="str">
            <v>$220.04</v>
          </cell>
          <cell r="H2485" t="str">
            <v>$220.04</v>
          </cell>
          <cell r="I2485">
            <v>17</v>
          </cell>
          <cell r="J2485">
            <v>17</v>
          </cell>
          <cell r="K2485">
            <v>10</v>
          </cell>
          <cell r="L2485">
            <v>10</v>
          </cell>
          <cell r="M2485">
            <v>5.2356020942408377E-2</v>
          </cell>
          <cell r="N2485">
            <v>5.1999999999999998E-2</v>
          </cell>
          <cell r="O2485" t="str">
            <v>$1034</v>
          </cell>
          <cell r="P2485" t="str">
            <v>$1034</v>
          </cell>
          <cell r="Q2485">
            <v>45605</v>
          </cell>
          <cell r="R2485" t="str">
            <v>Chennai</v>
          </cell>
          <cell r="S2485" t="str">
            <v>Mobile</v>
          </cell>
          <cell r="T2485" t="str">
            <v>analytics for data</v>
          </cell>
        </row>
        <row r="2486">
          <cell r="A2486" t="str">
            <v>A3484</v>
          </cell>
          <cell r="B2486" t="str">
            <v>Data Analytics Course</v>
          </cell>
          <cell r="C2486">
            <v>168</v>
          </cell>
          <cell r="D2486">
            <v>168</v>
          </cell>
          <cell r="E2486">
            <v>5384</v>
          </cell>
          <cell r="F2486">
            <v>5384</v>
          </cell>
          <cell r="G2486" t="str">
            <v>$235.64</v>
          </cell>
          <cell r="H2486" t="str">
            <v>$235.64</v>
          </cell>
          <cell r="I2486">
            <v>28</v>
          </cell>
          <cell r="J2486">
            <v>28</v>
          </cell>
          <cell r="K2486">
            <v>3</v>
          </cell>
          <cell r="L2486">
            <v>3</v>
          </cell>
          <cell r="M2486">
            <v>1.7857142857142856E-2</v>
          </cell>
          <cell r="N2486">
            <v>1.7999999999999999E-2</v>
          </cell>
          <cell r="O2486" t="str">
            <v>$1500</v>
          </cell>
          <cell r="Q2486">
            <v>45612</v>
          </cell>
          <cell r="R2486" t="str">
            <v>Hyderabad</v>
          </cell>
          <cell r="S2486" t="str">
            <v>Mobile</v>
          </cell>
          <cell r="T2486" t="str">
            <v>data analytics course</v>
          </cell>
        </row>
        <row r="2487">
          <cell r="A2487" t="str">
            <v>A3485</v>
          </cell>
          <cell r="B2487" t="str">
            <v>Data Analytics Course</v>
          </cell>
          <cell r="C2487">
            <v>84</v>
          </cell>
          <cell r="D2487">
            <v>84</v>
          </cell>
          <cell r="E2487">
            <v>4388</v>
          </cell>
          <cell r="F2487">
            <v>4388</v>
          </cell>
          <cell r="G2487" t="str">
            <v>$238.98</v>
          </cell>
          <cell r="H2487" t="str">
            <v>$238.98</v>
          </cell>
          <cell r="I2487">
            <v>29</v>
          </cell>
          <cell r="J2487">
            <v>29</v>
          </cell>
          <cell r="K2487">
            <v>4</v>
          </cell>
          <cell r="L2487">
            <v>4</v>
          </cell>
          <cell r="M2487">
            <v>4.7619047619047616E-2</v>
          </cell>
          <cell r="N2487">
            <v>4.8000000000000001E-2</v>
          </cell>
          <cell r="O2487" t="str">
            <v>$1271</v>
          </cell>
          <cell r="P2487" t="str">
            <v>$1271</v>
          </cell>
          <cell r="Q2487">
            <v>45610</v>
          </cell>
          <cell r="R2487" t="str">
            <v>Bangaluru</v>
          </cell>
          <cell r="S2487" t="str">
            <v>Mobile</v>
          </cell>
          <cell r="T2487" t="str">
            <v>analytics for data</v>
          </cell>
        </row>
        <row r="2488">
          <cell r="A2488" t="str">
            <v>A3486</v>
          </cell>
          <cell r="B2488" t="str">
            <v>Data Analytics Course</v>
          </cell>
          <cell r="C2488">
            <v>80</v>
          </cell>
          <cell r="D2488">
            <v>80</v>
          </cell>
          <cell r="E2488">
            <v>5699</v>
          </cell>
          <cell r="F2488">
            <v>5699</v>
          </cell>
          <cell r="G2488" t="str">
            <v>$213.94</v>
          </cell>
          <cell r="H2488" t="str">
            <v>$213.94</v>
          </cell>
          <cell r="I2488">
            <v>17</v>
          </cell>
          <cell r="J2488">
            <v>17</v>
          </cell>
          <cell r="K2488">
            <v>6</v>
          </cell>
          <cell r="L2488">
            <v>6</v>
          </cell>
          <cell r="M2488">
            <v>7.4999999999999997E-2</v>
          </cell>
          <cell r="N2488">
            <v>7.4999999999999997E-2</v>
          </cell>
          <cell r="O2488" t="str">
            <v>$1511</v>
          </cell>
          <cell r="P2488" t="str">
            <v>$1511</v>
          </cell>
          <cell r="Q2488">
            <v>45621</v>
          </cell>
          <cell r="R2488" t="str">
            <v>Hyderabad</v>
          </cell>
          <cell r="S2488" t="str">
            <v>Mobile</v>
          </cell>
          <cell r="T2488" t="str">
            <v>learn data analytics</v>
          </cell>
        </row>
        <row r="2489">
          <cell r="A2489" t="str">
            <v>A3487</v>
          </cell>
          <cell r="B2489" t="str">
            <v>Data Analytcis Course</v>
          </cell>
          <cell r="C2489">
            <v>136</v>
          </cell>
          <cell r="D2489">
            <v>136</v>
          </cell>
          <cell r="E2489">
            <v>3705</v>
          </cell>
          <cell r="F2489">
            <v>3705</v>
          </cell>
          <cell r="G2489" t="str">
            <v>$212.05</v>
          </cell>
          <cell r="H2489" t="str">
            <v>$212.05</v>
          </cell>
          <cell r="I2489">
            <v>16</v>
          </cell>
          <cell r="J2489">
            <v>16</v>
          </cell>
          <cell r="K2489">
            <v>9</v>
          </cell>
          <cell r="L2489">
            <v>9</v>
          </cell>
          <cell r="M2489">
            <v>6.6176470588235295E-2</v>
          </cell>
          <cell r="O2489" t="str">
            <v>$1471</v>
          </cell>
          <cell r="P2489" t="str">
            <v>$1471</v>
          </cell>
          <cell r="Q2489">
            <v>45610</v>
          </cell>
          <cell r="R2489" t="str">
            <v>Bangaluru</v>
          </cell>
          <cell r="S2489" t="str">
            <v>Desktop</v>
          </cell>
          <cell r="T2489" t="str">
            <v>analytics for data</v>
          </cell>
        </row>
        <row r="2490">
          <cell r="A2490" t="str">
            <v>A3488</v>
          </cell>
          <cell r="B2490" t="str">
            <v>Data Analytcis Course</v>
          </cell>
          <cell r="C2490">
            <v>138.95699356913184</v>
          </cell>
          <cell r="E2490">
            <v>3256</v>
          </cell>
          <cell r="F2490">
            <v>3256</v>
          </cell>
          <cell r="G2490" t="str">
            <v>$233.35</v>
          </cell>
          <cell r="H2490" t="str">
            <v>$233.35</v>
          </cell>
          <cell r="I2490">
            <v>15</v>
          </cell>
          <cell r="J2490">
            <v>15</v>
          </cell>
          <cell r="K2490">
            <v>7</v>
          </cell>
          <cell r="L2490">
            <v>7</v>
          </cell>
          <cell r="M2490">
            <v>5.0375298286210138E-2</v>
          </cell>
          <cell r="O2490" t="str">
            <v>$1106</v>
          </cell>
          <cell r="P2490" t="str">
            <v>$1106</v>
          </cell>
          <cell r="Q2490">
            <v>45606</v>
          </cell>
          <cell r="R2490" t="str">
            <v>Chennai</v>
          </cell>
          <cell r="S2490" t="str">
            <v>Tablet</v>
          </cell>
          <cell r="T2490" t="str">
            <v>analytics for data</v>
          </cell>
        </row>
        <row r="2491">
          <cell r="A2491" t="str">
            <v>A3489</v>
          </cell>
          <cell r="B2491" t="str">
            <v>Data Analytics Course</v>
          </cell>
          <cell r="C2491">
            <v>157</v>
          </cell>
          <cell r="D2491">
            <v>157</v>
          </cell>
          <cell r="E2491">
            <v>4026</v>
          </cell>
          <cell r="F2491">
            <v>4026</v>
          </cell>
          <cell r="G2491" t="str">
            <v>$192.69</v>
          </cell>
          <cell r="H2491" t="str">
            <v>$192.69</v>
          </cell>
          <cell r="I2491">
            <v>19</v>
          </cell>
          <cell r="J2491">
            <v>19</v>
          </cell>
          <cell r="K2491">
            <v>3</v>
          </cell>
          <cell r="L2491">
            <v>3</v>
          </cell>
          <cell r="M2491">
            <v>1.9108280254777069E-2</v>
          </cell>
          <cell r="N2491">
            <v>1.9E-2</v>
          </cell>
          <cell r="O2491" t="str">
            <v>$1028</v>
          </cell>
          <cell r="P2491" t="str">
            <v>$1028</v>
          </cell>
          <cell r="Q2491">
            <v>45605</v>
          </cell>
          <cell r="R2491" t="str">
            <v>Chennai</v>
          </cell>
          <cell r="S2491" t="str">
            <v>Tablet</v>
          </cell>
          <cell r="T2491" t="str">
            <v>analytics for data</v>
          </cell>
        </row>
        <row r="2492">
          <cell r="A2492" t="str">
            <v>A3490</v>
          </cell>
          <cell r="B2492" t="str">
            <v>Data Analytics Course</v>
          </cell>
          <cell r="C2492">
            <v>138.95699356913184</v>
          </cell>
          <cell r="E2492">
            <v>3148</v>
          </cell>
          <cell r="F2492">
            <v>3148</v>
          </cell>
          <cell r="G2492" t="str">
            <v>$182.49</v>
          </cell>
          <cell r="H2492" t="str">
            <v>$182.49</v>
          </cell>
          <cell r="I2492">
            <v>21</v>
          </cell>
          <cell r="J2492">
            <v>21</v>
          </cell>
          <cell r="K2492">
            <v>3</v>
          </cell>
          <cell r="L2492">
            <v>3</v>
          </cell>
          <cell r="M2492">
            <v>2.1589413551232915E-2</v>
          </cell>
          <cell r="N2492">
            <v>3.2000000000000001E-2</v>
          </cell>
          <cell r="O2492" t="str">
            <v>$1493</v>
          </cell>
          <cell r="P2492" t="str">
            <v>$1493</v>
          </cell>
          <cell r="Q2492">
            <v>45618</v>
          </cell>
          <cell r="R2492" t="str">
            <v>Chennai</v>
          </cell>
          <cell r="S2492" t="str">
            <v>Tablet</v>
          </cell>
          <cell r="T2492" t="str">
            <v>data analytics course</v>
          </cell>
        </row>
        <row r="2493">
          <cell r="A2493" t="str">
            <v>A3491</v>
          </cell>
          <cell r="B2493" t="str">
            <v>Data Analytcis Course</v>
          </cell>
          <cell r="C2493">
            <v>137</v>
          </cell>
          <cell r="D2493">
            <v>137</v>
          </cell>
          <cell r="E2493">
            <v>5244</v>
          </cell>
          <cell r="F2493">
            <v>5244</v>
          </cell>
          <cell r="G2493" t="str">
            <v>$187.79</v>
          </cell>
          <cell r="H2493" t="str">
            <v>$187.79</v>
          </cell>
          <cell r="I2493">
            <v>20</v>
          </cell>
          <cell r="J2493">
            <v>20</v>
          </cell>
          <cell r="K2493">
            <v>6.0909090909090908</v>
          </cell>
          <cell r="M2493">
            <v>4.4459190444591901E-2</v>
          </cell>
          <cell r="O2493" t="str">
            <v>$1915</v>
          </cell>
          <cell r="P2493" t="str">
            <v>$1915</v>
          </cell>
          <cell r="Q2493">
            <v>45607</v>
          </cell>
          <cell r="R2493" t="str">
            <v>Chennai</v>
          </cell>
          <cell r="S2493" t="str">
            <v>Tablet</v>
          </cell>
          <cell r="T2493" t="str">
            <v>online data analytic</v>
          </cell>
        </row>
        <row r="2494">
          <cell r="A2494" t="str">
            <v>A3492</v>
          </cell>
          <cell r="B2494" t="str">
            <v>Data Analytics Course</v>
          </cell>
          <cell r="C2494">
            <v>121</v>
          </cell>
          <cell r="D2494">
            <v>121</v>
          </cell>
          <cell r="E2494">
            <v>5220</v>
          </cell>
          <cell r="F2494">
            <v>5220</v>
          </cell>
          <cell r="G2494" t="str">
            <v>$200.98</v>
          </cell>
          <cell r="H2494" t="str">
            <v>$200.98</v>
          </cell>
          <cell r="I2494">
            <v>21</v>
          </cell>
          <cell r="J2494">
            <v>21</v>
          </cell>
          <cell r="K2494">
            <v>5</v>
          </cell>
          <cell r="L2494">
            <v>5</v>
          </cell>
          <cell r="M2494">
            <v>4.1322314049586778E-2</v>
          </cell>
          <cell r="N2494">
            <v>4.1000000000000002E-2</v>
          </cell>
          <cell r="O2494" t="str">
            <v>$1773</v>
          </cell>
          <cell r="P2494" t="str">
            <v>$1773</v>
          </cell>
          <cell r="Q2494">
            <v>45609</v>
          </cell>
          <cell r="R2494" t="str">
            <v>Chennai</v>
          </cell>
          <cell r="S2494" t="str">
            <v>Desktop</v>
          </cell>
          <cell r="T2494" t="str">
            <v>data analytics online</v>
          </cell>
        </row>
        <row r="2495">
          <cell r="A2495" t="str">
            <v>A3493</v>
          </cell>
          <cell r="B2495" t="str">
            <v>Data Analytcis Course</v>
          </cell>
          <cell r="C2495">
            <v>169</v>
          </cell>
          <cell r="D2495">
            <v>169</v>
          </cell>
          <cell r="E2495">
            <v>5430</v>
          </cell>
          <cell r="F2495">
            <v>5430</v>
          </cell>
          <cell r="G2495" t="str">
            <v>$233.01</v>
          </cell>
          <cell r="H2495" t="str">
            <v>$233.01</v>
          </cell>
          <cell r="I2495">
            <v>27</v>
          </cell>
          <cell r="J2495">
            <v>27</v>
          </cell>
          <cell r="K2495">
            <v>6.1020408163265305</v>
          </cell>
          <cell r="M2495">
            <v>3.6106750392464679E-2</v>
          </cell>
          <cell r="N2495">
            <v>5.2999999999999999E-2</v>
          </cell>
          <cell r="O2495" t="str">
            <v>$2000</v>
          </cell>
          <cell r="P2495" t="str">
            <v>$2000</v>
          </cell>
          <cell r="Q2495">
            <v>45606</v>
          </cell>
          <cell r="R2495" t="str">
            <v>Hyderabad</v>
          </cell>
          <cell r="S2495" t="str">
            <v>Mobile</v>
          </cell>
          <cell r="T2495" t="str">
            <v>learn data analytics</v>
          </cell>
        </row>
        <row r="2496">
          <cell r="A2496" t="str">
            <v>A3494</v>
          </cell>
          <cell r="B2496" t="str">
            <v>Data Analytics Course</v>
          </cell>
          <cell r="C2496">
            <v>83</v>
          </cell>
          <cell r="D2496">
            <v>83</v>
          </cell>
          <cell r="E2496">
            <v>4693</v>
          </cell>
          <cell r="F2496">
            <v>4693</v>
          </cell>
          <cell r="G2496" t="str">
            <v>$188.45</v>
          </cell>
          <cell r="H2496" t="str">
            <v>$188.45</v>
          </cell>
          <cell r="I2496">
            <v>24</v>
          </cell>
          <cell r="J2496">
            <v>24</v>
          </cell>
          <cell r="K2496">
            <v>6</v>
          </cell>
          <cell r="L2496">
            <v>6</v>
          </cell>
          <cell r="M2496">
            <v>7.2289156626506021E-2</v>
          </cell>
          <cell r="N2496">
            <v>7.1999999999999995E-2</v>
          </cell>
          <cell r="O2496" t="str">
            <v>$1539</v>
          </cell>
          <cell r="P2496" t="str">
            <v>$1539</v>
          </cell>
          <cell r="Q2496">
            <v>45612</v>
          </cell>
          <cell r="R2496" t="str">
            <v>Bangaluru</v>
          </cell>
          <cell r="S2496" t="str">
            <v>Mobile</v>
          </cell>
          <cell r="T2496" t="str">
            <v>analytics for data</v>
          </cell>
        </row>
        <row r="2497">
          <cell r="A2497" t="str">
            <v>A3495</v>
          </cell>
          <cell r="B2497" t="str">
            <v>Data Analytics Course</v>
          </cell>
          <cell r="C2497">
            <v>175</v>
          </cell>
          <cell r="D2497">
            <v>175</v>
          </cell>
          <cell r="E2497">
            <v>4723</v>
          </cell>
          <cell r="F2497">
            <v>4723</v>
          </cell>
          <cell r="G2497" t="str">
            <v>$237.92</v>
          </cell>
          <cell r="H2497" t="str">
            <v>$237.92</v>
          </cell>
          <cell r="I2497">
            <v>19</v>
          </cell>
          <cell r="J2497">
            <v>19</v>
          </cell>
          <cell r="K2497">
            <v>6.1030927835051543</v>
          </cell>
          <cell r="M2497">
            <v>3.487481590574374E-2</v>
          </cell>
          <cell r="O2497" t="str">
            <v>$1906</v>
          </cell>
          <cell r="P2497" t="str">
            <v>$1906</v>
          </cell>
          <cell r="Q2497">
            <v>45608</v>
          </cell>
          <cell r="R2497" t="str">
            <v>Hyderabad</v>
          </cell>
          <cell r="S2497" t="str">
            <v>Mobile</v>
          </cell>
          <cell r="T2497" t="str">
            <v>online data analytic</v>
          </cell>
        </row>
        <row r="2498">
          <cell r="A2498" t="str">
            <v>A3496</v>
          </cell>
          <cell r="B2498" t="str">
            <v>Data Analytics Course</v>
          </cell>
          <cell r="C2498">
            <v>123</v>
          </cell>
          <cell r="D2498">
            <v>123</v>
          </cell>
          <cell r="E2498">
            <v>5812</v>
          </cell>
          <cell r="F2498">
            <v>5812</v>
          </cell>
          <cell r="G2498" t="str">
            <v>$180.11</v>
          </cell>
          <cell r="H2498" t="str">
            <v>$180.11</v>
          </cell>
          <cell r="I2498">
            <v>25</v>
          </cell>
          <cell r="J2498">
            <v>25</v>
          </cell>
          <cell r="K2498">
            <v>4</v>
          </cell>
          <cell r="L2498">
            <v>4</v>
          </cell>
          <cell r="M2498">
            <v>3.2520325203252036E-2</v>
          </cell>
          <cell r="N2498">
            <v>3.3000000000000002E-2</v>
          </cell>
          <cell r="O2498" t="str">
            <v>$1293</v>
          </cell>
          <cell r="P2498" t="str">
            <v>$1293</v>
          </cell>
          <cell r="Q2498">
            <v>45617</v>
          </cell>
          <cell r="R2498" t="str">
            <v>Hyderabad</v>
          </cell>
          <cell r="S2498" t="str">
            <v>Tablet</v>
          </cell>
          <cell r="T2498" t="str">
            <v>data analytics online</v>
          </cell>
        </row>
        <row r="2499">
          <cell r="A2499" t="str">
            <v>A3497</v>
          </cell>
          <cell r="B2499" t="str">
            <v>Data Analytics Course</v>
          </cell>
          <cell r="C2499">
            <v>135</v>
          </cell>
          <cell r="D2499">
            <v>135</v>
          </cell>
          <cell r="E2499">
            <v>4611</v>
          </cell>
          <cell r="F2499">
            <v>4611</v>
          </cell>
          <cell r="G2499" t="str">
            <v>$200.00</v>
          </cell>
          <cell r="I2499">
            <v>17</v>
          </cell>
          <cell r="J2499">
            <v>17</v>
          </cell>
          <cell r="K2499">
            <v>7</v>
          </cell>
          <cell r="L2499">
            <v>7</v>
          </cell>
          <cell r="M2499">
            <v>5.185185185185185E-2</v>
          </cell>
          <cell r="O2499" t="str">
            <v>$1697</v>
          </cell>
          <cell r="P2499" t="str">
            <v>$1697</v>
          </cell>
          <cell r="Q2499">
            <v>45610</v>
          </cell>
          <cell r="R2499" t="str">
            <v>Bangaluru</v>
          </cell>
          <cell r="S2499" t="str">
            <v>Desktop</v>
          </cell>
          <cell r="T2499" t="str">
            <v>online data analytic</v>
          </cell>
        </row>
        <row r="2500">
          <cell r="A2500" t="str">
            <v>A3498</v>
          </cell>
          <cell r="B2500" t="str">
            <v>Data Analytics Course</v>
          </cell>
          <cell r="C2500">
            <v>126</v>
          </cell>
          <cell r="D2500">
            <v>126</v>
          </cell>
          <cell r="E2500">
            <v>4960</v>
          </cell>
          <cell r="F2500">
            <v>4960</v>
          </cell>
          <cell r="G2500" t="str">
            <v>$228.68</v>
          </cell>
          <cell r="H2500" t="str">
            <v>$228.68</v>
          </cell>
          <cell r="I2500">
            <v>30</v>
          </cell>
          <cell r="J2500">
            <v>30</v>
          </cell>
          <cell r="K2500">
            <v>3</v>
          </cell>
          <cell r="L2500">
            <v>3</v>
          </cell>
          <cell r="M2500">
            <v>2.3809523809523808E-2</v>
          </cell>
          <cell r="N2500">
            <v>5.8000000000000003E-2</v>
          </cell>
          <cell r="O2500" t="str">
            <v>$1114</v>
          </cell>
          <cell r="P2500" t="str">
            <v>$1114</v>
          </cell>
          <cell r="Q2500">
            <v>45622</v>
          </cell>
          <cell r="R2500" t="str">
            <v>Hyderabad</v>
          </cell>
          <cell r="S2500" t="str">
            <v>Mobile</v>
          </cell>
          <cell r="T2500" t="str">
            <v>online data analytic</v>
          </cell>
        </row>
        <row r="2501">
          <cell r="A2501" t="str">
            <v>A3499</v>
          </cell>
          <cell r="B2501" t="str">
            <v>Data Analytics Course</v>
          </cell>
          <cell r="C2501">
            <v>171</v>
          </cell>
          <cell r="D2501">
            <v>171</v>
          </cell>
          <cell r="E2501">
            <v>4549</v>
          </cell>
          <cell r="F2501">
            <v>4549</v>
          </cell>
          <cell r="G2501" t="str">
            <v>$181.87</v>
          </cell>
          <cell r="H2501" t="str">
            <v>$181.87</v>
          </cell>
          <cell r="I2501">
            <v>18</v>
          </cell>
          <cell r="J2501">
            <v>18</v>
          </cell>
          <cell r="K2501">
            <v>3</v>
          </cell>
          <cell r="L2501">
            <v>3</v>
          </cell>
          <cell r="M2501">
            <v>1.7543859649122806E-2</v>
          </cell>
          <cell r="O2501" t="str">
            <v>$1965</v>
          </cell>
          <cell r="P2501" t="str">
            <v>$1965</v>
          </cell>
          <cell r="Q2501">
            <v>45605</v>
          </cell>
          <cell r="R2501" t="str">
            <v>Bangaluru</v>
          </cell>
          <cell r="S2501" t="str">
            <v>Mobile</v>
          </cell>
          <cell r="T2501" t="str">
            <v>analytics for data</v>
          </cell>
        </row>
        <row r="2502">
          <cell r="A2502" t="str">
            <v>A3500</v>
          </cell>
          <cell r="B2502" t="str">
            <v>Data Analytics Course</v>
          </cell>
          <cell r="C2502">
            <v>185</v>
          </cell>
          <cell r="D2502">
            <v>185</v>
          </cell>
          <cell r="E2502">
            <v>4803</v>
          </cell>
          <cell r="F2502">
            <v>4803</v>
          </cell>
          <cell r="G2502" t="str">
            <v>$248.77</v>
          </cell>
          <cell r="H2502" t="str">
            <v>$248.77</v>
          </cell>
          <cell r="I2502">
            <v>30</v>
          </cell>
          <cell r="J2502">
            <v>30</v>
          </cell>
          <cell r="K2502">
            <v>5</v>
          </cell>
          <cell r="L2502">
            <v>5</v>
          </cell>
          <cell r="M2502">
            <v>2.7027027027027029E-2</v>
          </cell>
          <cell r="N2502">
            <v>2.7E-2</v>
          </cell>
          <cell r="O2502" t="str">
            <v>$1806</v>
          </cell>
          <cell r="P2502" t="str">
            <v>$1806</v>
          </cell>
          <cell r="Q2502">
            <v>45601</v>
          </cell>
          <cell r="R2502" t="str">
            <v>Bangaluru</v>
          </cell>
          <cell r="S2502" t="str">
            <v>Mobile</v>
          </cell>
          <cell r="T2502" t="str">
            <v>learn data analytics</v>
          </cell>
        </row>
        <row r="2503">
          <cell r="A2503" t="str">
            <v>A3501</v>
          </cell>
          <cell r="B2503" t="str">
            <v>Data Analytics Course</v>
          </cell>
          <cell r="C2503">
            <v>157</v>
          </cell>
          <cell r="D2503">
            <v>157</v>
          </cell>
          <cell r="E2503">
            <v>3164</v>
          </cell>
          <cell r="F2503">
            <v>3164</v>
          </cell>
          <cell r="G2503" t="str">
            <v>$227.73</v>
          </cell>
          <cell r="H2503" t="str">
            <v>$227.73</v>
          </cell>
          <cell r="I2503">
            <v>20</v>
          </cell>
          <cell r="J2503">
            <v>20</v>
          </cell>
          <cell r="K2503">
            <v>3</v>
          </cell>
          <cell r="L2503">
            <v>3</v>
          </cell>
          <cell r="M2503">
            <v>1.9108280254777069E-2</v>
          </cell>
          <cell r="N2503">
            <v>3.4000000000000002E-2</v>
          </cell>
          <cell r="O2503" t="str">
            <v>$1500</v>
          </cell>
          <cell r="Q2503">
            <v>45616</v>
          </cell>
          <cell r="R2503" t="str">
            <v>Hyderabad</v>
          </cell>
          <cell r="S2503" t="str">
            <v>Mobile</v>
          </cell>
          <cell r="T2503" t="str">
            <v>data analytics training</v>
          </cell>
        </row>
        <row r="2504">
          <cell r="A2504" t="str">
            <v>A3502</v>
          </cell>
          <cell r="B2504" t="str">
            <v>Data Analytics Course</v>
          </cell>
          <cell r="C2504">
            <v>123</v>
          </cell>
          <cell r="D2504">
            <v>123</v>
          </cell>
          <cell r="E2504">
            <v>3343</v>
          </cell>
          <cell r="F2504">
            <v>3343</v>
          </cell>
          <cell r="G2504" t="str">
            <v>$190.66</v>
          </cell>
          <cell r="H2504" t="str">
            <v>$190.66</v>
          </cell>
          <cell r="I2504">
            <v>14</v>
          </cell>
          <cell r="J2504">
            <v>14</v>
          </cell>
          <cell r="K2504">
            <v>5</v>
          </cell>
          <cell r="L2504">
            <v>5</v>
          </cell>
          <cell r="M2504">
            <v>4.065040650406504E-2</v>
          </cell>
          <cell r="N2504">
            <v>4.1000000000000002E-2</v>
          </cell>
          <cell r="O2504" t="str">
            <v>$1562</v>
          </cell>
          <cell r="P2504" t="str">
            <v>$1562</v>
          </cell>
          <cell r="Q2504">
            <v>45613</v>
          </cell>
          <cell r="R2504" t="str">
            <v>Chennai</v>
          </cell>
          <cell r="S2504" t="str">
            <v>Mobile</v>
          </cell>
          <cell r="T2504" t="str">
            <v>data analytics course</v>
          </cell>
        </row>
        <row r="2505">
          <cell r="A2505" t="str">
            <v>A3503</v>
          </cell>
          <cell r="B2505" t="str">
            <v>Data Analytics Course</v>
          </cell>
          <cell r="C2505">
            <v>122</v>
          </cell>
          <cell r="D2505">
            <v>122</v>
          </cell>
          <cell r="E2505">
            <v>5718</v>
          </cell>
          <cell r="F2505">
            <v>5718</v>
          </cell>
          <cell r="G2505" t="str">
            <v>$211.65</v>
          </cell>
          <cell r="H2505" t="str">
            <v>$211.65</v>
          </cell>
          <cell r="I2505">
            <v>14</v>
          </cell>
          <cell r="J2505">
            <v>14</v>
          </cell>
          <cell r="K2505">
            <v>4</v>
          </cell>
          <cell r="L2505">
            <v>4</v>
          </cell>
          <cell r="M2505">
            <v>3.2786885245901641E-2</v>
          </cell>
          <cell r="N2505">
            <v>3.3000000000000002E-2</v>
          </cell>
          <cell r="O2505" t="str">
            <v>$1857</v>
          </cell>
          <cell r="P2505" t="str">
            <v>$1857</v>
          </cell>
          <cell r="Q2505">
            <v>45615</v>
          </cell>
          <cell r="R2505" t="str">
            <v>Hyderabad</v>
          </cell>
          <cell r="S2505" t="str">
            <v>Tablet</v>
          </cell>
          <cell r="T2505" t="str">
            <v>data analytics online</v>
          </cell>
        </row>
        <row r="2506">
          <cell r="A2506" t="str">
            <v>A3504</v>
          </cell>
          <cell r="B2506" t="str">
            <v>Data Analytics Course</v>
          </cell>
          <cell r="C2506">
            <v>97</v>
          </cell>
          <cell r="D2506">
            <v>97</v>
          </cell>
          <cell r="E2506">
            <v>3754</v>
          </cell>
          <cell r="F2506">
            <v>3754</v>
          </cell>
          <cell r="G2506" t="str">
            <v>$180.42</v>
          </cell>
          <cell r="H2506" t="str">
            <v>$180.42</v>
          </cell>
          <cell r="I2506">
            <v>24</v>
          </cell>
          <cell r="J2506">
            <v>24</v>
          </cell>
          <cell r="K2506">
            <v>10</v>
          </cell>
          <cell r="L2506">
            <v>10</v>
          </cell>
          <cell r="M2506">
            <v>0.10309278350515463</v>
          </cell>
          <cell r="N2506">
            <v>0.10299999999999999</v>
          </cell>
          <cell r="O2506" t="str">
            <v>$1011</v>
          </cell>
          <cell r="P2506" t="str">
            <v>$1011</v>
          </cell>
          <cell r="Q2506">
            <v>45612</v>
          </cell>
          <cell r="R2506" t="str">
            <v>Bangaluru</v>
          </cell>
          <cell r="S2506" t="str">
            <v>Tablet</v>
          </cell>
          <cell r="T2506" t="str">
            <v>analytics for data</v>
          </cell>
        </row>
        <row r="2507">
          <cell r="A2507" t="str">
            <v>A3505</v>
          </cell>
          <cell r="B2507" t="str">
            <v>Data Analytics Course</v>
          </cell>
          <cell r="C2507">
            <v>88</v>
          </cell>
          <cell r="D2507">
            <v>88</v>
          </cell>
          <cell r="E2507">
            <v>3684</v>
          </cell>
          <cell r="F2507">
            <v>3684</v>
          </cell>
          <cell r="G2507" t="str">
            <v>$198.73</v>
          </cell>
          <cell r="H2507" t="str">
            <v>$198.73</v>
          </cell>
          <cell r="I2507">
            <v>30</v>
          </cell>
          <cell r="J2507">
            <v>30</v>
          </cell>
          <cell r="K2507">
            <v>4</v>
          </cell>
          <cell r="L2507">
            <v>4</v>
          </cell>
          <cell r="M2507">
            <v>4.5454545454545456E-2</v>
          </cell>
          <cell r="N2507">
            <v>4.4999999999999998E-2</v>
          </cell>
          <cell r="O2507" t="str">
            <v>$1195</v>
          </cell>
          <cell r="P2507" t="str">
            <v>$1195</v>
          </cell>
          <cell r="Q2507">
            <v>45598</v>
          </cell>
          <cell r="R2507" t="str">
            <v>Bangaluru</v>
          </cell>
          <cell r="S2507" t="str">
            <v>Mobile</v>
          </cell>
          <cell r="T2507" t="str">
            <v>online data analytic</v>
          </cell>
        </row>
        <row r="2508">
          <cell r="A2508" t="str">
            <v>A3506</v>
          </cell>
          <cell r="B2508" t="str">
            <v>Data Analytics Course</v>
          </cell>
          <cell r="C2508">
            <v>81</v>
          </cell>
          <cell r="D2508">
            <v>81</v>
          </cell>
          <cell r="E2508">
            <v>5068</v>
          </cell>
          <cell r="F2508">
            <v>5068</v>
          </cell>
          <cell r="G2508" t="str">
            <v>$204.53</v>
          </cell>
          <cell r="H2508" t="str">
            <v>$204.53</v>
          </cell>
          <cell r="I2508">
            <v>20.978260869565219</v>
          </cell>
          <cell r="K2508">
            <v>9</v>
          </cell>
          <cell r="L2508">
            <v>9</v>
          </cell>
          <cell r="M2508">
            <v>0.1111111111111111</v>
          </cell>
          <cell r="N2508">
            <v>4.3999999999999997E-2</v>
          </cell>
          <cell r="O2508" t="str">
            <v>$1773</v>
          </cell>
          <cell r="P2508" t="str">
            <v>$1773</v>
          </cell>
          <cell r="Q2508">
            <v>45599</v>
          </cell>
          <cell r="R2508" t="str">
            <v>Hyderabad</v>
          </cell>
          <cell r="S2508" t="str">
            <v>Tablet</v>
          </cell>
          <cell r="T2508" t="str">
            <v>data analytics online</v>
          </cell>
        </row>
        <row r="2509">
          <cell r="A2509" t="str">
            <v>A3507</v>
          </cell>
          <cell r="B2509" t="str">
            <v>Data Analytics Course</v>
          </cell>
          <cell r="C2509">
            <v>96</v>
          </cell>
          <cell r="D2509">
            <v>96</v>
          </cell>
          <cell r="E2509">
            <v>5538</v>
          </cell>
          <cell r="F2509">
            <v>5538</v>
          </cell>
          <cell r="G2509" t="str">
            <v>$188.79</v>
          </cell>
          <cell r="H2509" t="str">
            <v>$188.79</v>
          </cell>
          <cell r="I2509">
            <v>28</v>
          </cell>
          <cell r="J2509">
            <v>28</v>
          </cell>
          <cell r="K2509">
            <v>6</v>
          </cell>
          <cell r="L2509">
            <v>6</v>
          </cell>
          <cell r="M2509">
            <v>6.25E-2</v>
          </cell>
          <cell r="N2509">
            <v>6.2E-2</v>
          </cell>
          <cell r="O2509" t="str">
            <v>$1181</v>
          </cell>
          <cell r="P2509" t="str">
            <v>$1181</v>
          </cell>
          <cell r="Q2509">
            <v>45614</v>
          </cell>
          <cell r="R2509" t="str">
            <v>Hyderabad</v>
          </cell>
          <cell r="S2509" t="str">
            <v>Mobile</v>
          </cell>
          <cell r="T2509" t="str">
            <v>online data analytic</v>
          </cell>
        </row>
        <row r="2510">
          <cell r="A2510" t="str">
            <v>A3508</v>
          </cell>
          <cell r="B2510" t="str">
            <v>Data Analytcis Course</v>
          </cell>
          <cell r="C2510">
            <v>163</v>
          </cell>
          <cell r="D2510">
            <v>163</v>
          </cell>
          <cell r="E2510">
            <v>4813</v>
          </cell>
          <cell r="F2510">
            <v>4813</v>
          </cell>
          <cell r="G2510" t="str">
            <v>$190.77</v>
          </cell>
          <cell r="H2510" t="str">
            <v>$190.77</v>
          </cell>
          <cell r="I2510">
            <v>22</v>
          </cell>
          <cell r="J2510">
            <v>22</v>
          </cell>
          <cell r="K2510">
            <v>8</v>
          </cell>
          <cell r="L2510">
            <v>8</v>
          </cell>
          <cell r="M2510">
            <v>4.9079754601226995E-2</v>
          </cell>
          <cell r="N2510">
            <v>4.9000000000000002E-2</v>
          </cell>
          <cell r="O2510" t="str">
            <v>$1500</v>
          </cell>
          <cell r="Q2510">
            <v>45621</v>
          </cell>
          <cell r="R2510" t="str">
            <v>Hyderabad</v>
          </cell>
          <cell r="S2510" t="str">
            <v>Desktop</v>
          </cell>
          <cell r="T2510" t="str">
            <v>online data analytic</v>
          </cell>
        </row>
        <row r="2511">
          <cell r="A2511" t="str">
            <v>A3509</v>
          </cell>
          <cell r="B2511" t="str">
            <v>Data Analytcis Course</v>
          </cell>
          <cell r="C2511">
            <v>138.95699356913184</v>
          </cell>
          <cell r="E2511">
            <v>3003</v>
          </cell>
          <cell r="F2511">
            <v>3003</v>
          </cell>
          <cell r="G2511" t="str">
            <v>$210.63</v>
          </cell>
          <cell r="H2511" t="str">
            <v>$210.63</v>
          </cell>
          <cell r="I2511">
            <v>16</v>
          </cell>
          <cell r="J2511">
            <v>16</v>
          </cell>
          <cell r="K2511">
            <v>10</v>
          </cell>
          <cell r="L2511">
            <v>10</v>
          </cell>
          <cell r="M2511">
            <v>7.1964711837443046E-2</v>
          </cell>
          <cell r="O2511" t="str">
            <v>$1756</v>
          </cell>
          <cell r="P2511" t="str">
            <v>$1756</v>
          </cell>
          <cell r="Q2511">
            <v>45612</v>
          </cell>
          <cell r="R2511" t="str">
            <v>Chennai</v>
          </cell>
          <cell r="S2511" t="str">
            <v>Tablet</v>
          </cell>
          <cell r="T2511" t="str">
            <v>data analytics training</v>
          </cell>
        </row>
        <row r="2512">
          <cell r="A2512" t="str">
            <v>A3510</v>
          </cell>
          <cell r="B2512" t="str">
            <v>Data Analytics Course</v>
          </cell>
          <cell r="C2512">
            <v>142</v>
          </cell>
          <cell r="D2512">
            <v>142</v>
          </cell>
          <cell r="E2512">
            <v>3348</v>
          </cell>
          <cell r="F2512">
            <v>3348</v>
          </cell>
          <cell r="G2512" t="str">
            <v>$242.31</v>
          </cell>
          <cell r="H2512" t="str">
            <v>$242.31</v>
          </cell>
          <cell r="I2512">
            <v>12</v>
          </cell>
          <cell r="J2512">
            <v>12</v>
          </cell>
          <cell r="K2512">
            <v>8</v>
          </cell>
          <cell r="L2512">
            <v>8</v>
          </cell>
          <cell r="M2512">
            <v>5.6338028169014086E-2</v>
          </cell>
          <cell r="O2512" t="str">
            <v>$1220</v>
          </cell>
          <cell r="P2512" t="str">
            <v>$1220</v>
          </cell>
          <cell r="Q2512">
            <v>45617</v>
          </cell>
          <cell r="R2512" t="str">
            <v>Bangaluru</v>
          </cell>
          <cell r="S2512" t="str">
            <v>Tablet</v>
          </cell>
          <cell r="T2512" t="str">
            <v>online data analytic</v>
          </cell>
        </row>
        <row r="2513">
          <cell r="A2513" t="str">
            <v>A3511</v>
          </cell>
          <cell r="B2513" t="str">
            <v>Data Analytics Course</v>
          </cell>
          <cell r="C2513">
            <v>83</v>
          </cell>
          <cell r="D2513">
            <v>83</v>
          </cell>
          <cell r="E2513">
            <v>3926</v>
          </cell>
          <cell r="F2513">
            <v>3926</v>
          </cell>
          <cell r="G2513" t="str">
            <v>$186.63</v>
          </cell>
          <cell r="H2513" t="str">
            <v>$186.63</v>
          </cell>
          <cell r="I2513">
            <v>21</v>
          </cell>
          <cell r="J2513">
            <v>21</v>
          </cell>
          <cell r="K2513">
            <v>5</v>
          </cell>
          <cell r="L2513">
            <v>5</v>
          </cell>
          <cell r="M2513">
            <v>6.0240963855421686E-2</v>
          </cell>
          <cell r="N2513">
            <v>0.06</v>
          </cell>
          <cell r="O2513" t="str">
            <v>$1407</v>
          </cell>
          <cell r="P2513" t="str">
            <v>$1407</v>
          </cell>
          <cell r="Q2513">
            <v>45602</v>
          </cell>
          <cell r="R2513" t="str">
            <v>Bangaluru</v>
          </cell>
          <cell r="S2513" t="str">
            <v>Tablet</v>
          </cell>
          <cell r="T2513" t="str">
            <v>data analytics online</v>
          </cell>
        </row>
        <row r="2514">
          <cell r="A2514" t="str">
            <v>A3512</v>
          </cell>
          <cell r="B2514" t="str">
            <v>Data Analytics Course</v>
          </cell>
          <cell r="C2514">
            <v>188</v>
          </cell>
          <cell r="D2514">
            <v>188</v>
          </cell>
          <cell r="E2514">
            <v>3069</v>
          </cell>
          <cell r="F2514">
            <v>3069</v>
          </cell>
          <cell r="G2514" t="str">
            <v>$214.16</v>
          </cell>
          <cell r="H2514" t="str">
            <v>$214.16</v>
          </cell>
          <cell r="I2514">
            <v>26</v>
          </cell>
          <cell r="J2514">
            <v>26</v>
          </cell>
          <cell r="K2514">
            <v>4</v>
          </cell>
          <cell r="L2514">
            <v>4</v>
          </cell>
          <cell r="M2514">
            <v>2.1276595744680851E-2</v>
          </cell>
          <cell r="N2514">
            <v>2.1000000000000001E-2</v>
          </cell>
          <cell r="O2514" t="str">
            <v>$1563</v>
          </cell>
          <cell r="P2514" t="str">
            <v>$1563</v>
          </cell>
          <cell r="Q2514">
            <v>45610</v>
          </cell>
          <cell r="R2514" t="str">
            <v>Hyderabad</v>
          </cell>
          <cell r="S2514" t="str">
            <v>Desktop</v>
          </cell>
          <cell r="T2514" t="str">
            <v>learn data analytics</v>
          </cell>
        </row>
        <row r="2515">
          <cell r="A2515" t="str">
            <v>A3513</v>
          </cell>
          <cell r="B2515" t="str">
            <v>Data Analytcis Course</v>
          </cell>
          <cell r="C2515">
            <v>193</v>
          </cell>
          <cell r="D2515">
            <v>193</v>
          </cell>
          <cell r="E2515">
            <v>3978</v>
          </cell>
          <cell r="F2515">
            <v>3978</v>
          </cell>
          <cell r="G2515" t="str">
            <v>$231.8</v>
          </cell>
          <cell r="H2515" t="str">
            <v>$231.8</v>
          </cell>
          <cell r="I2515">
            <v>20</v>
          </cell>
          <cell r="J2515">
            <v>20</v>
          </cell>
          <cell r="K2515">
            <v>3</v>
          </cell>
          <cell r="L2515">
            <v>3</v>
          </cell>
          <cell r="M2515">
            <v>1.5544041450777202E-2</v>
          </cell>
          <cell r="N2515">
            <v>4.5999999999999999E-2</v>
          </cell>
          <cell r="O2515" t="str">
            <v>$1126</v>
          </cell>
          <cell r="P2515" t="str">
            <v>$1126</v>
          </cell>
          <cell r="Q2515">
            <v>45612</v>
          </cell>
          <cell r="R2515" t="str">
            <v>Bangaluru</v>
          </cell>
          <cell r="S2515" t="str">
            <v>Mobile</v>
          </cell>
          <cell r="T2515" t="str">
            <v>online data analytic</v>
          </cell>
        </row>
        <row r="2516">
          <cell r="A2516" t="str">
            <v>A3514</v>
          </cell>
          <cell r="B2516" t="str">
            <v>Data Analytcis Course</v>
          </cell>
          <cell r="C2516">
            <v>181</v>
          </cell>
          <cell r="D2516">
            <v>181</v>
          </cell>
          <cell r="E2516">
            <v>3652</v>
          </cell>
          <cell r="F2516">
            <v>3652</v>
          </cell>
          <cell r="G2516" t="str">
            <v>$206.2</v>
          </cell>
          <cell r="H2516" t="str">
            <v>$206.2</v>
          </cell>
          <cell r="I2516">
            <v>27</v>
          </cell>
          <cell r="J2516">
            <v>27</v>
          </cell>
          <cell r="K2516">
            <v>7</v>
          </cell>
          <cell r="L2516">
            <v>7</v>
          </cell>
          <cell r="M2516">
            <v>3.8674033149171269E-2</v>
          </cell>
          <cell r="N2516">
            <v>3.9E-2</v>
          </cell>
          <cell r="O2516" t="str">
            <v>$1690</v>
          </cell>
          <cell r="P2516" t="str">
            <v>$1690</v>
          </cell>
          <cell r="Q2516">
            <v>45599</v>
          </cell>
          <cell r="R2516" t="str">
            <v>Bangaluru</v>
          </cell>
          <cell r="S2516" t="str">
            <v>Tablet</v>
          </cell>
          <cell r="T2516" t="str">
            <v>analytics for data</v>
          </cell>
        </row>
        <row r="2517">
          <cell r="A2517" t="str">
            <v>A3515</v>
          </cell>
          <cell r="B2517" t="str">
            <v>Data Analytics Course</v>
          </cell>
          <cell r="C2517">
            <v>199</v>
          </cell>
          <cell r="D2517">
            <v>199</v>
          </cell>
          <cell r="E2517">
            <v>4400</v>
          </cell>
          <cell r="F2517">
            <v>4400</v>
          </cell>
          <cell r="G2517" t="str">
            <v>$228.05</v>
          </cell>
          <cell r="H2517" t="str">
            <v>$228.05</v>
          </cell>
          <cell r="I2517">
            <v>26</v>
          </cell>
          <cell r="J2517">
            <v>26</v>
          </cell>
          <cell r="K2517">
            <v>8</v>
          </cell>
          <cell r="L2517">
            <v>8</v>
          </cell>
          <cell r="M2517">
            <v>4.0201005025125629E-2</v>
          </cell>
          <cell r="N2517">
            <v>0.04</v>
          </cell>
          <cell r="O2517" t="str">
            <v>$1025</v>
          </cell>
          <cell r="P2517" t="str">
            <v>$1025</v>
          </cell>
          <cell r="Q2517">
            <v>45605</v>
          </cell>
          <cell r="R2517" t="str">
            <v>Chennai</v>
          </cell>
          <cell r="S2517" t="str">
            <v>Tablet</v>
          </cell>
          <cell r="T2517" t="str">
            <v>learn data analytics</v>
          </cell>
        </row>
        <row r="2518">
          <cell r="A2518" t="str">
            <v>A3516</v>
          </cell>
          <cell r="B2518" t="str">
            <v>Data Analytcis Course</v>
          </cell>
          <cell r="C2518">
            <v>167</v>
          </cell>
          <cell r="D2518">
            <v>167</v>
          </cell>
          <cell r="E2518">
            <v>5503</v>
          </cell>
          <cell r="F2518">
            <v>5503</v>
          </cell>
          <cell r="G2518" t="str">
            <v>$232.28</v>
          </cell>
          <cell r="H2518" t="str">
            <v>$232.28</v>
          </cell>
          <cell r="I2518">
            <v>19</v>
          </cell>
          <cell r="J2518">
            <v>19</v>
          </cell>
          <cell r="K2518">
            <v>9</v>
          </cell>
          <cell r="L2518">
            <v>9</v>
          </cell>
          <cell r="M2518">
            <v>5.3892215568862277E-2</v>
          </cell>
          <cell r="N2518">
            <v>5.3999999999999999E-2</v>
          </cell>
          <cell r="O2518" t="str">
            <v>$1644</v>
          </cell>
          <cell r="P2518" t="str">
            <v>$1644</v>
          </cell>
          <cell r="Q2518">
            <v>45601</v>
          </cell>
          <cell r="R2518" t="str">
            <v>Hyderabad</v>
          </cell>
          <cell r="S2518" t="str">
            <v>Mobile</v>
          </cell>
          <cell r="T2518" t="str">
            <v>data analytics training</v>
          </cell>
        </row>
        <row r="2519">
          <cell r="A2519" t="str">
            <v>A3517</v>
          </cell>
          <cell r="B2519" t="str">
            <v>Data Analytics Course</v>
          </cell>
          <cell r="C2519">
            <v>189</v>
          </cell>
          <cell r="D2519">
            <v>189</v>
          </cell>
          <cell r="E2519">
            <v>4955</v>
          </cell>
          <cell r="F2519">
            <v>4955</v>
          </cell>
          <cell r="G2519" t="str">
            <v>$215.87</v>
          </cell>
          <cell r="H2519" t="str">
            <v>$215.87</v>
          </cell>
          <cell r="I2519">
            <v>21</v>
          </cell>
          <cell r="J2519">
            <v>21</v>
          </cell>
          <cell r="K2519">
            <v>3</v>
          </cell>
          <cell r="L2519">
            <v>3</v>
          </cell>
          <cell r="M2519">
            <v>1.5873015873015872E-2</v>
          </cell>
          <cell r="N2519">
            <v>3.3000000000000002E-2</v>
          </cell>
          <cell r="O2519" t="str">
            <v>$1238</v>
          </cell>
          <cell r="P2519" t="str">
            <v>$1238</v>
          </cell>
          <cell r="Q2519">
            <v>45613</v>
          </cell>
          <cell r="R2519" t="str">
            <v>Bangaluru</v>
          </cell>
          <cell r="S2519" t="str">
            <v>Mobile</v>
          </cell>
          <cell r="T2519" t="str">
            <v>data analytics online</v>
          </cell>
        </row>
        <row r="2520">
          <cell r="A2520" t="str">
            <v>A3518</v>
          </cell>
          <cell r="B2520" t="str">
            <v>Data Analytics Course</v>
          </cell>
          <cell r="C2520">
            <v>125</v>
          </cell>
          <cell r="D2520">
            <v>125</v>
          </cell>
          <cell r="E2520">
            <v>3469</v>
          </cell>
          <cell r="F2520">
            <v>3469</v>
          </cell>
          <cell r="G2520" t="str">
            <v>$192.84</v>
          </cell>
          <cell r="H2520" t="str">
            <v>$192.84</v>
          </cell>
          <cell r="I2520">
            <v>16</v>
          </cell>
          <cell r="J2520">
            <v>16</v>
          </cell>
          <cell r="K2520">
            <v>8</v>
          </cell>
          <cell r="L2520">
            <v>8</v>
          </cell>
          <cell r="M2520">
            <v>6.4000000000000001E-2</v>
          </cell>
          <cell r="N2520">
            <v>3.5999999999999997E-2</v>
          </cell>
          <cell r="O2520" t="str">
            <v>$1259</v>
          </cell>
          <cell r="P2520" t="str">
            <v>$1259</v>
          </cell>
          <cell r="Q2520">
            <v>45613</v>
          </cell>
          <cell r="R2520" t="str">
            <v>Hyderabad</v>
          </cell>
          <cell r="S2520" t="str">
            <v>Desktop</v>
          </cell>
          <cell r="T2520" t="str">
            <v>data analytics course</v>
          </cell>
        </row>
        <row r="2521">
          <cell r="A2521" t="str">
            <v>A3519</v>
          </cell>
          <cell r="B2521" t="str">
            <v>Data Analytics Course</v>
          </cell>
          <cell r="C2521">
            <v>166</v>
          </cell>
          <cell r="D2521">
            <v>166</v>
          </cell>
          <cell r="E2521">
            <v>4096</v>
          </cell>
          <cell r="F2521">
            <v>4096</v>
          </cell>
          <cell r="G2521" t="str">
            <v>$204.43</v>
          </cell>
          <cell r="H2521" t="str">
            <v>$204.43</v>
          </cell>
          <cell r="I2521">
            <v>28</v>
          </cell>
          <cell r="J2521">
            <v>28</v>
          </cell>
          <cell r="K2521">
            <v>5</v>
          </cell>
          <cell r="L2521">
            <v>5</v>
          </cell>
          <cell r="M2521">
            <v>3.0120481927710843E-2</v>
          </cell>
          <cell r="N2521">
            <v>0.03</v>
          </cell>
          <cell r="O2521" t="str">
            <v>$1579</v>
          </cell>
          <cell r="P2521" t="str">
            <v>$1579</v>
          </cell>
          <cell r="Q2521">
            <v>45602</v>
          </cell>
          <cell r="R2521" t="str">
            <v>Hyderabad</v>
          </cell>
          <cell r="S2521" t="str">
            <v>Desktop</v>
          </cell>
          <cell r="T2521" t="str">
            <v>learn data analytics</v>
          </cell>
        </row>
        <row r="2522">
          <cell r="A2522" t="str">
            <v>A3520</v>
          </cell>
          <cell r="B2522" t="str">
            <v>Data Analytcis Course</v>
          </cell>
          <cell r="C2522">
            <v>181</v>
          </cell>
          <cell r="D2522">
            <v>181</v>
          </cell>
          <cell r="E2522">
            <v>5171</v>
          </cell>
          <cell r="F2522">
            <v>5171</v>
          </cell>
          <cell r="G2522" t="str">
            <v>$208.69</v>
          </cell>
          <cell r="H2522" t="str">
            <v>$208.69</v>
          </cell>
          <cell r="I2522">
            <v>14</v>
          </cell>
          <cell r="J2522">
            <v>14</v>
          </cell>
          <cell r="K2522">
            <v>4</v>
          </cell>
          <cell r="L2522">
            <v>4</v>
          </cell>
          <cell r="M2522">
            <v>2.2099447513812154E-2</v>
          </cell>
          <cell r="N2522">
            <v>2.1999999999999999E-2</v>
          </cell>
          <cell r="O2522" t="str">
            <v>$1628</v>
          </cell>
          <cell r="P2522" t="str">
            <v>$1628</v>
          </cell>
          <cell r="Q2522">
            <v>45619</v>
          </cell>
          <cell r="R2522" t="str">
            <v>Hyderabad</v>
          </cell>
          <cell r="S2522" t="str">
            <v>Mobile</v>
          </cell>
          <cell r="T2522" t="str">
            <v>data analytics course</v>
          </cell>
        </row>
        <row r="2523">
          <cell r="A2523" t="str">
            <v>A3521</v>
          </cell>
          <cell r="B2523" t="str">
            <v>Data Analytics Course</v>
          </cell>
          <cell r="C2523">
            <v>138.95699356913184</v>
          </cell>
          <cell r="E2523">
            <v>4878</v>
          </cell>
          <cell r="F2523">
            <v>4878</v>
          </cell>
          <cell r="G2523" t="str">
            <v>$183.26</v>
          </cell>
          <cell r="H2523" t="str">
            <v>$183.26</v>
          </cell>
          <cell r="I2523">
            <v>25</v>
          </cell>
          <cell r="J2523">
            <v>25</v>
          </cell>
          <cell r="K2523">
            <v>3</v>
          </cell>
          <cell r="L2523">
            <v>3</v>
          </cell>
          <cell r="M2523">
            <v>2.1589413551232915E-2</v>
          </cell>
          <cell r="O2523" t="str">
            <v>$1986</v>
          </cell>
          <cell r="P2523" t="str">
            <v>$1986</v>
          </cell>
          <cell r="Q2523">
            <v>45619</v>
          </cell>
          <cell r="R2523" t="str">
            <v>Hyderabad</v>
          </cell>
          <cell r="S2523" t="str">
            <v>Desktop</v>
          </cell>
          <cell r="T2523" t="str">
            <v>learn data analytics</v>
          </cell>
        </row>
        <row r="2524">
          <cell r="A2524" t="str">
            <v>A3522</v>
          </cell>
          <cell r="B2524" t="str">
            <v>Data Analytics Course</v>
          </cell>
          <cell r="C2524">
            <v>127</v>
          </cell>
          <cell r="D2524">
            <v>127</v>
          </cell>
          <cell r="E2524">
            <v>3682</v>
          </cell>
          <cell r="F2524">
            <v>3682</v>
          </cell>
          <cell r="G2524" t="str">
            <v>$200.00</v>
          </cell>
          <cell r="I2524">
            <v>21</v>
          </cell>
          <cell r="J2524">
            <v>21</v>
          </cell>
          <cell r="K2524">
            <v>9</v>
          </cell>
          <cell r="L2524">
            <v>9</v>
          </cell>
          <cell r="M2524">
            <v>7.0866141732283464E-2</v>
          </cell>
          <cell r="N2524">
            <v>7.0999999999999994E-2</v>
          </cell>
          <cell r="O2524" t="str">
            <v>$1384</v>
          </cell>
          <cell r="P2524" t="str">
            <v>$1384</v>
          </cell>
          <cell r="Q2524">
            <v>45618</v>
          </cell>
          <cell r="R2524" t="str">
            <v>Hyderabad</v>
          </cell>
          <cell r="S2524" t="str">
            <v>Tablet</v>
          </cell>
          <cell r="T2524" t="str">
            <v>data analytics training</v>
          </cell>
        </row>
        <row r="2525">
          <cell r="A2525" t="str">
            <v>A3523</v>
          </cell>
          <cell r="B2525" t="str">
            <v>Data Analytics Course</v>
          </cell>
          <cell r="C2525">
            <v>83</v>
          </cell>
          <cell r="D2525">
            <v>83</v>
          </cell>
          <cell r="E2525">
            <v>3933</v>
          </cell>
          <cell r="F2525">
            <v>3933</v>
          </cell>
          <cell r="G2525" t="str">
            <v>$214.61</v>
          </cell>
          <cell r="H2525" t="str">
            <v>$214.61</v>
          </cell>
          <cell r="I2525">
            <v>29</v>
          </cell>
          <cell r="J2525">
            <v>29</v>
          </cell>
          <cell r="K2525">
            <v>6</v>
          </cell>
          <cell r="L2525">
            <v>6</v>
          </cell>
          <cell r="M2525">
            <v>7.2289156626506021E-2</v>
          </cell>
          <cell r="N2525">
            <v>4.8000000000000001E-2</v>
          </cell>
          <cell r="O2525" t="str">
            <v>$1427</v>
          </cell>
          <cell r="P2525" t="str">
            <v>$1427</v>
          </cell>
          <cell r="Q2525">
            <v>45616</v>
          </cell>
          <cell r="R2525" t="str">
            <v>Hyderabad</v>
          </cell>
          <cell r="S2525" t="str">
            <v>Tablet</v>
          </cell>
          <cell r="T2525" t="str">
            <v>data analytics training</v>
          </cell>
        </row>
        <row r="2526">
          <cell r="A2526" t="str">
            <v>A3524</v>
          </cell>
          <cell r="B2526" t="str">
            <v>Data Analytics Course</v>
          </cell>
          <cell r="C2526">
            <v>80</v>
          </cell>
          <cell r="D2526">
            <v>80</v>
          </cell>
          <cell r="E2526">
            <v>3240</v>
          </cell>
          <cell r="F2526">
            <v>3240</v>
          </cell>
          <cell r="G2526" t="str">
            <v>$221.11</v>
          </cell>
          <cell r="H2526" t="str">
            <v>$221.11</v>
          </cell>
          <cell r="I2526">
            <v>29</v>
          </cell>
          <cell r="J2526">
            <v>29</v>
          </cell>
          <cell r="K2526">
            <v>6.2173913043478262</v>
          </cell>
          <cell r="M2526">
            <v>7.7717391304347822E-2</v>
          </cell>
          <cell r="O2526" t="str">
            <v>$1263</v>
          </cell>
          <cell r="P2526" t="str">
            <v>$1263</v>
          </cell>
          <cell r="Q2526">
            <v>45610</v>
          </cell>
          <cell r="R2526" t="str">
            <v>Hyderabad</v>
          </cell>
          <cell r="S2526" t="str">
            <v>Desktop</v>
          </cell>
          <cell r="T2526" t="str">
            <v>learn data analytics</v>
          </cell>
        </row>
        <row r="2527">
          <cell r="A2527" t="str">
            <v>A3525</v>
          </cell>
          <cell r="B2527" t="str">
            <v>Data Analytics Course</v>
          </cell>
          <cell r="C2527">
            <v>105</v>
          </cell>
          <cell r="D2527">
            <v>105</v>
          </cell>
          <cell r="E2527">
            <v>3030</v>
          </cell>
          <cell r="F2527">
            <v>3030</v>
          </cell>
          <cell r="G2527" t="str">
            <v>$185.91</v>
          </cell>
          <cell r="H2527" t="str">
            <v>$185.91</v>
          </cell>
          <cell r="I2527">
            <v>24</v>
          </cell>
          <cell r="J2527">
            <v>24</v>
          </cell>
          <cell r="K2527">
            <v>5</v>
          </cell>
          <cell r="L2527">
            <v>5</v>
          </cell>
          <cell r="M2527">
            <v>4.7619047619047616E-2</v>
          </cell>
          <cell r="N2527">
            <v>4.8000000000000001E-2</v>
          </cell>
          <cell r="O2527" t="str">
            <v>$1263</v>
          </cell>
          <cell r="P2527" t="str">
            <v>$1263</v>
          </cell>
          <cell r="Q2527">
            <v>45598</v>
          </cell>
          <cell r="R2527" t="str">
            <v>Bangaluru</v>
          </cell>
          <cell r="S2527" t="str">
            <v>Desktop</v>
          </cell>
          <cell r="T2527" t="str">
            <v>data analytics course</v>
          </cell>
        </row>
        <row r="2528">
          <cell r="A2528" t="str">
            <v>A3526</v>
          </cell>
          <cell r="B2528" t="str">
            <v>Data Analytics Course</v>
          </cell>
          <cell r="C2528">
            <v>155</v>
          </cell>
          <cell r="D2528">
            <v>155</v>
          </cell>
          <cell r="E2528">
            <v>4676</v>
          </cell>
          <cell r="F2528">
            <v>4676</v>
          </cell>
          <cell r="G2528" t="str">
            <v>$219.3</v>
          </cell>
          <cell r="H2528" t="str">
            <v>$219.3</v>
          </cell>
          <cell r="I2528">
            <v>26</v>
          </cell>
          <cell r="J2528">
            <v>26</v>
          </cell>
          <cell r="K2528">
            <v>6.2352941176470589</v>
          </cell>
          <cell r="M2528">
            <v>4.0227703984819736E-2</v>
          </cell>
          <cell r="O2528" t="str">
            <v>$1787</v>
          </cell>
          <cell r="P2528" t="str">
            <v>$1787</v>
          </cell>
          <cell r="Q2528">
            <v>45598</v>
          </cell>
          <cell r="R2528" t="str">
            <v>Bangaluru</v>
          </cell>
          <cell r="S2528" t="str">
            <v>Tablet</v>
          </cell>
          <cell r="T2528" t="str">
            <v>learn data analytics</v>
          </cell>
        </row>
        <row r="2529">
          <cell r="A2529" t="str">
            <v>A3527</v>
          </cell>
          <cell r="B2529" t="str">
            <v>Data Analytcis Course</v>
          </cell>
          <cell r="C2529">
            <v>185</v>
          </cell>
          <cell r="D2529">
            <v>185</v>
          </cell>
          <cell r="E2529">
            <v>4523.2808326787117</v>
          </cell>
          <cell r="G2529" t="str">
            <v>$208.41</v>
          </cell>
          <cell r="H2529" t="str">
            <v>$208.41</v>
          </cell>
          <cell r="I2529">
            <v>25</v>
          </cell>
          <cell r="J2529">
            <v>25</v>
          </cell>
          <cell r="K2529">
            <v>3</v>
          </cell>
          <cell r="L2529">
            <v>3</v>
          </cell>
          <cell r="M2529">
            <v>1.6216216216216217E-2</v>
          </cell>
          <cell r="N2529">
            <v>4.7E-2</v>
          </cell>
          <cell r="O2529" t="str">
            <v>$1006</v>
          </cell>
          <cell r="P2529" t="str">
            <v>$1006</v>
          </cell>
          <cell r="Q2529">
            <v>45609</v>
          </cell>
          <cell r="R2529" t="str">
            <v>Hyderabad</v>
          </cell>
          <cell r="S2529" t="str">
            <v>Mobile</v>
          </cell>
          <cell r="T2529" t="str">
            <v>data analytics training</v>
          </cell>
        </row>
        <row r="2530">
          <cell r="A2530" t="str">
            <v>A3528</v>
          </cell>
          <cell r="B2530" t="str">
            <v>Data Analytics Course</v>
          </cell>
          <cell r="C2530">
            <v>132</v>
          </cell>
          <cell r="D2530">
            <v>132</v>
          </cell>
          <cell r="E2530">
            <v>5616</v>
          </cell>
          <cell r="F2530">
            <v>5616</v>
          </cell>
          <cell r="G2530" t="str">
            <v>$200.00</v>
          </cell>
          <cell r="I2530">
            <v>28</v>
          </cell>
          <cell r="J2530">
            <v>28</v>
          </cell>
          <cell r="K2530">
            <v>7</v>
          </cell>
          <cell r="L2530">
            <v>7</v>
          </cell>
          <cell r="M2530">
            <v>5.3030303030303032E-2</v>
          </cell>
          <cell r="N2530">
            <v>5.2999999999999999E-2</v>
          </cell>
          <cell r="O2530" t="str">
            <v>$1491</v>
          </cell>
          <cell r="P2530" t="str">
            <v>$1491</v>
          </cell>
          <cell r="Q2530">
            <v>45622</v>
          </cell>
          <cell r="R2530" t="str">
            <v>Hyderabad</v>
          </cell>
          <cell r="S2530" t="str">
            <v>Desktop</v>
          </cell>
          <cell r="T2530" t="str">
            <v>data analytics online</v>
          </cell>
        </row>
        <row r="2531">
          <cell r="A2531" t="str">
            <v>A3529</v>
          </cell>
          <cell r="B2531" t="str">
            <v>Data Analytics Course</v>
          </cell>
          <cell r="C2531">
            <v>198</v>
          </cell>
          <cell r="D2531">
            <v>198</v>
          </cell>
          <cell r="E2531">
            <v>5736</v>
          </cell>
          <cell r="F2531">
            <v>5736</v>
          </cell>
          <cell r="G2531" t="str">
            <v>$227.53</v>
          </cell>
          <cell r="H2531" t="str">
            <v>$227.53</v>
          </cell>
          <cell r="I2531">
            <v>14</v>
          </cell>
          <cell r="J2531">
            <v>14</v>
          </cell>
          <cell r="K2531">
            <v>9</v>
          </cell>
          <cell r="L2531">
            <v>9</v>
          </cell>
          <cell r="M2531">
            <v>4.5454545454545456E-2</v>
          </cell>
          <cell r="N2531">
            <v>4.4999999999999998E-2</v>
          </cell>
          <cell r="O2531" t="str">
            <v>$1607</v>
          </cell>
          <cell r="P2531" t="str">
            <v>$1607</v>
          </cell>
          <cell r="Q2531">
            <v>45614</v>
          </cell>
          <cell r="R2531" t="str">
            <v>Chennai</v>
          </cell>
          <cell r="S2531" t="str">
            <v>Mobile</v>
          </cell>
          <cell r="T2531" t="str">
            <v>learn data analytics</v>
          </cell>
        </row>
        <row r="2532">
          <cell r="A2532" t="str">
            <v>A3530</v>
          </cell>
          <cell r="B2532" t="str">
            <v>Data Analytics Course</v>
          </cell>
          <cell r="C2532">
            <v>184</v>
          </cell>
          <cell r="D2532">
            <v>184</v>
          </cell>
          <cell r="E2532">
            <v>3641</v>
          </cell>
          <cell r="F2532">
            <v>3641</v>
          </cell>
          <cell r="G2532" t="str">
            <v>$189.0</v>
          </cell>
          <cell r="H2532" t="str">
            <v>$189.0</v>
          </cell>
          <cell r="I2532">
            <v>22</v>
          </cell>
          <cell r="J2532">
            <v>22</v>
          </cell>
          <cell r="K2532">
            <v>7</v>
          </cell>
          <cell r="L2532">
            <v>7</v>
          </cell>
          <cell r="M2532">
            <v>3.8043478260869568E-2</v>
          </cell>
          <cell r="N2532">
            <v>3.7999999999999999E-2</v>
          </cell>
          <cell r="O2532" t="str">
            <v>$1905</v>
          </cell>
          <cell r="P2532" t="str">
            <v>$1905</v>
          </cell>
          <cell r="Q2532">
            <v>45611</v>
          </cell>
          <cell r="R2532" t="str">
            <v>Hyderabad</v>
          </cell>
          <cell r="S2532" t="str">
            <v>Tablet</v>
          </cell>
          <cell r="T2532" t="str">
            <v>data analytics training</v>
          </cell>
        </row>
        <row r="2533">
          <cell r="A2533" t="str">
            <v>A3531</v>
          </cell>
          <cell r="B2533" t="str">
            <v>Data Analytics Course</v>
          </cell>
          <cell r="C2533">
            <v>190</v>
          </cell>
          <cell r="D2533">
            <v>190</v>
          </cell>
          <cell r="E2533">
            <v>5429</v>
          </cell>
          <cell r="F2533">
            <v>5429</v>
          </cell>
          <cell r="G2533" t="str">
            <v>$243.6</v>
          </cell>
          <cell r="H2533" t="str">
            <v>$243.6</v>
          </cell>
          <cell r="I2533">
            <v>23</v>
          </cell>
          <cell r="J2533">
            <v>23</v>
          </cell>
          <cell r="K2533">
            <v>8</v>
          </cell>
          <cell r="L2533">
            <v>8</v>
          </cell>
          <cell r="M2533">
            <v>4.2105263157894736E-2</v>
          </cell>
          <cell r="N2533">
            <v>3.6999999999999998E-2</v>
          </cell>
          <cell r="O2533" t="str">
            <v>$1500</v>
          </cell>
          <cell r="Q2533">
            <v>45619</v>
          </cell>
          <cell r="R2533" t="str">
            <v>Hyderabad</v>
          </cell>
          <cell r="S2533" t="str">
            <v>Tablet</v>
          </cell>
          <cell r="T2533" t="str">
            <v>data analytics course</v>
          </cell>
        </row>
        <row r="2534">
          <cell r="A2534" t="str">
            <v>A3532</v>
          </cell>
          <cell r="B2534" t="str">
            <v>Data Analytics Course</v>
          </cell>
          <cell r="C2534">
            <v>127</v>
          </cell>
          <cell r="D2534">
            <v>127</v>
          </cell>
          <cell r="E2534">
            <v>4327</v>
          </cell>
          <cell r="F2534">
            <v>4327</v>
          </cell>
          <cell r="G2534" t="str">
            <v>$220.57</v>
          </cell>
          <cell r="H2534" t="str">
            <v>$220.57</v>
          </cell>
          <cell r="I2534">
            <v>24</v>
          </cell>
          <cell r="J2534">
            <v>24</v>
          </cell>
          <cell r="K2534">
            <v>5</v>
          </cell>
          <cell r="L2534">
            <v>5</v>
          </cell>
          <cell r="M2534">
            <v>3.937007874015748E-2</v>
          </cell>
          <cell r="O2534" t="str">
            <v>$1017</v>
          </cell>
          <cell r="P2534" t="str">
            <v>$1017</v>
          </cell>
          <cell r="Q2534">
            <v>45617</v>
          </cell>
          <cell r="R2534" t="str">
            <v>Chennai</v>
          </cell>
          <cell r="S2534" t="str">
            <v>Mobile</v>
          </cell>
          <cell r="T2534" t="str">
            <v>data analytics course</v>
          </cell>
        </row>
        <row r="2535">
          <cell r="A2535" t="str">
            <v>A3533</v>
          </cell>
          <cell r="B2535" t="str">
            <v>Data Analytics Course</v>
          </cell>
          <cell r="C2535">
            <v>130</v>
          </cell>
          <cell r="D2535">
            <v>130</v>
          </cell>
          <cell r="E2535">
            <v>5340</v>
          </cell>
          <cell r="F2535">
            <v>5340</v>
          </cell>
          <cell r="G2535" t="str">
            <v>$221.95</v>
          </cell>
          <cell r="H2535" t="str">
            <v>$221.95</v>
          </cell>
          <cell r="I2535">
            <v>27</v>
          </cell>
          <cell r="J2535">
            <v>27</v>
          </cell>
          <cell r="K2535">
            <v>6.209677419354839</v>
          </cell>
          <cell r="M2535">
            <v>4.7766749379652605E-2</v>
          </cell>
          <cell r="O2535" t="str">
            <v>$1488</v>
          </cell>
          <cell r="P2535" t="str">
            <v>$1488</v>
          </cell>
          <cell r="Q2535">
            <v>45598</v>
          </cell>
          <cell r="R2535" t="str">
            <v>Chennai</v>
          </cell>
          <cell r="S2535" t="str">
            <v>Tablet</v>
          </cell>
          <cell r="T2535" t="str">
            <v>data analytics online</v>
          </cell>
        </row>
        <row r="2536">
          <cell r="A2536" t="str">
            <v>A3534</v>
          </cell>
          <cell r="B2536" t="str">
            <v>Data Analytics Course</v>
          </cell>
          <cell r="C2536">
            <v>172</v>
          </cell>
          <cell r="D2536">
            <v>172</v>
          </cell>
          <cell r="E2536">
            <v>3612</v>
          </cell>
          <cell r="F2536">
            <v>3612</v>
          </cell>
          <cell r="G2536" t="str">
            <v>$191.27</v>
          </cell>
          <cell r="H2536" t="str">
            <v>$191.27</v>
          </cell>
          <cell r="I2536">
            <v>25</v>
          </cell>
          <cell r="J2536">
            <v>25</v>
          </cell>
          <cell r="K2536">
            <v>10</v>
          </cell>
          <cell r="L2536">
            <v>10</v>
          </cell>
          <cell r="M2536">
            <v>5.8139534883720929E-2</v>
          </cell>
          <cell r="O2536" t="str">
            <v>$1243</v>
          </cell>
          <cell r="P2536" t="str">
            <v>$1243</v>
          </cell>
          <cell r="Q2536">
            <v>45614</v>
          </cell>
          <cell r="R2536" t="str">
            <v>Hyderabad</v>
          </cell>
          <cell r="S2536" t="str">
            <v>Mobile</v>
          </cell>
          <cell r="T2536" t="str">
            <v>analytics for data</v>
          </cell>
        </row>
        <row r="2537">
          <cell r="A2537" t="str">
            <v>A3535</v>
          </cell>
          <cell r="B2537" t="str">
            <v>Data Analytics Course</v>
          </cell>
          <cell r="C2537">
            <v>138.95699356913184</v>
          </cell>
          <cell r="E2537">
            <v>4195</v>
          </cell>
          <cell r="F2537">
            <v>4195</v>
          </cell>
          <cell r="G2537" t="str">
            <v>$226.79</v>
          </cell>
          <cell r="H2537" t="str">
            <v>$226.79</v>
          </cell>
          <cell r="I2537">
            <v>27</v>
          </cell>
          <cell r="J2537">
            <v>27</v>
          </cell>
          <cell r="K2537">
            <v>3</v>
          </cell>
          <cell r="L2537">
            <v>3</v>
          </cell>
          <cell r="M2537">
            <v>2.1589413551232915E-2</v>
          </cell>
          <cell r="N2537">
            <v>0.05</v>
          </cell>
          <cell r="O2537" t="str">
            <v>$1117</v>
          </cell>
          <cell r="P2537" t="str">
            <v>$1117</v>
          </cell>
          <cell r="Q2537">
            <v>45609</v>
          </cell>
          <cell r="R2537" t="str">
            <v>Hyderabad</v>
          </cell>
          <cell r="S2537" t="str">
            <v>Desktop</v>
          </cell>
          <cell r="T2537" t="str">
            <v>data analytics course</v>
          </cell>
        </row>
        <row r="2538">
          <cell r="A2538" t="str">
            <v>A3536</v>
          </cell>
          <cell r="B2538" t="str">
            <v>Data Analytics Course</v>
          </cell>
          <cell r="C2538">
            <v>144</v>
          </cell>
          <cell r="D2538">
            <v>144</v>
          </cell>
          <cell r="E2538">
            <v>5968</v>
          </cell>
          <cell r="F2538">
            <v>5968</v>
          </cell>
          <cell r="G2538" t="str">
            <v>$224.21</v>
          </cell>
          <cell r="H2538" t="str">
            <v>$224.21</v>
          </cell>
          <cell r="I2538">
            <v>21</v>
          </cell>
          <cell r="J2538">
            <v>21</v>
          </cell>
          <cell r="K2538">
            <v>6</v>
          </cell>
          <cell r="L2538">
            <v>6</v>
          </cell>
          <cell r="M2538">
            <v>4.1666666666666664E-2</v>
          </cell>
          <cell r="N2538">
            <v>3.2000000000000001E-2</v>
          </cell>
          <cell r="O2538" t="str">
            <v>$1993</v>
          </cell>
          <cell r="P2538" t="str">
            <v>$1993</v>
          </cell>
          <cell r="Q2538">
            <v>45606</v>
          </cell>
          <cell r="R2538" t="str">
            <v>Hyderabad</v>
          </cell>
          <cell r="S2538" t="str">
            <v>Desktop</v>
          </cell>
          <cell r="T2538" t="str">
            <v>online data analytic</v>
          </cell>
        </row>
        <row r="2539">
          <cell r="A2539" t="str">
            <v>A3537</v>
          </cell>
          <cell r="B2539" t="str">
            <v>Data Analytics Course</v>
          </cell>
          <cell r="C2539">
            <v>148</v>
          </cell>
          <cell r="D2539">
            <v>148</v>
          </cell>
          <cell r="E2539">
            <v>5431</v>
          </cell>
          <cell r="F2539">
            <v>5431</v>
          </cell>
          <cell r="G2539" t="str">
            <v>$216.71</v>
          </cell>
          <cell r="H2539" t="str">
            <v>$216.71</v>
          </cell>
          <cell r="I2539">
            <v>20</v>
          </cell>
          <cell r="J2539">
            <v>20</v>
          </cell>
          <cell r="K2539">
            <v>6</v>
          </cell>
          <cell r="L2539">
            <v>6</v>
          </cell>
          <cell r="M2539">
            <v>4.0540540540540543E-2</v>
          </cell>
          <cell r="N2539">
            <v>4.1000000000000002E-2</v>
          </cell>
          <cell r="O2539" t="str">
            <v>$1200</v>
          </cell>
          <cell r="P2539" t="str">
            <v>$1200</v>
          </cell>
          <cell r="Q2539">
            <v>45616</v>
          </cell>
          <cell r="R2539" t="str">
            <v>Bangaluru</v>
          </cell>
          <cell r="S2539" t="str">
            <v>Mobile</v>
          </cell>
          <cell r="T2539" t="str">
            <v>online data analytic</v>
          </cell>
        </row>
        <row r="2540">
          <cell r="A2540" t="str">
            <v>A3538</v>
          </cell>
          <cell r="B2540" t="str">
            <v>Data Analytics Course</v>
          </cell>
          <cell r="C2540">
            <v>189</v>
          </cell>
          <cell r="D2540">
            <v>189</v>
          </cell>
          <cell r="E2540">
            <v>3420</v>
          </cell>
          <cell r="F2540">
            <v>3420</v>
          </cell>
          <cell r="G2540" t="str">
            <v>$181.35</v>
          </cell>
          <cell r="H2540" t="str">
            <v>$181.35</v>
          </cell>
          <cell r="I2540">
            <v>26</v>
          </cell>
          <cell r="J2540">
            <v>26</v>
          </cell>
          <cell r="K2540">
            <v>6</v>
          </cell>
          <cell r="L2540">
            <v>6</v>
          </cell>
          <cell r="M2540">
            <v>3.1746031746031744E-2</v>
          </cell>
          <cell r="N2540">
            <v>3.2000000000000001E-2</v>
          </cell>
          <cell r="O2540" t="str">
            <v>$1692</v>
          </cell>
          <cell r="P2540" t="str">
            <v>$1692</v>
          </cell>
          <cell r="Q2540">
            <v>45614</v>
          </cell>
          <cell r="R2540" t="str">
            <v>Chennai</v>
          </cell>
          <cell r="S2540" t="str">
            <v>Desktop</v>
          </cell>
          <cell r="T2540" t="str">
            <v>data analytics training</v>
          </cell>
        </row>
        <row r="2541">
          <cell r="A2541" t="str">
            <v>A3539</v>
          </cell>
          <cell r="B2541" t="str">
            <v>Data Analytics Course</v>
          </cell>
          <cell r="C2541">
            <v>143</v>
          </cell>
          <cell r="D2541">
            <v>143</v>
          </cell>
          <cell r="E2541">
            <v>4701</v>
          </cell>
          <cell r="F2541">
            <v>4701</v>
          </cell>
          <cell r="G2541" t="str">
            <v>$222.43</v>
          </cell>
          <cell r="H2541" t="str">
            <v>$222.43</v>
          </cell>
          <cell r="I2541">
            <v>29</v>
          </cell>
          <cell r="J2541">
            <v>29</v>
          </cell>
          <cell r="K2541">
            <v>4</v>
          </cell>
          <cell r="L2541">
            <v>4</v>
          </cell>
          <cell r="M2541">
            <v>2.7972027972027972E-2</v>
          </cell>
          <cell r="N2541">
            <v>2.8000000000000001E-2</v>
          </cell>
          <cell r="O2541" t="str">
            <v>$1953</v>
          </cell>
          <cell r="P2541" t="str">
            <v>$1953</v>
          </cell>
          <cell r="Q2541">
            <v>45603</v>
          </cell>
          <cell r="R2541" t="str">
            <v>Bangaluru</v>
          </cell>
          <cell r="S2541" t="str">
            <v>Tablet</v>
          </cell>
          <cell r="T2541" t="str">
            <v>data analytics online</v>
          </cell>
        </row>
        <row r="2542">
          <cell r="A2542" t="str">
            <v>A3540</v>
          </cell>
          <cell r="B2542" t="str">
            <v>Data Analytics Course</v>
          </cell>
          <cell r="C2542">
            <v>185</v>
          </cell>
          <cell r="D2542">
            <v>185</v>
          </cell>
          <cell r="E2542">
            <v>4958</v>
          </cell>
          <cell r="F2542">
            <v>4958</v>
          </cell>
          <cell r="G2542" t="str">
            <v>$201.3</v>
          </cell>
          <cell r="H2542" t="str">
            <v>$201.3</v>
          </cell>
          <cell r="I2542">
            <v>21</v>
          </cell>
          <cell r="J2542">
            <v>21</v>
          </cell>
          <cell r="K2542">
            <v>5</v>
          </cell>
          <cell r="L2542">
            <v>5</v>
          </cell>
          <cell r="M2542">
            <v>2.7027027027027029E-2</v>
          </cell>
          <cell r="N2542">
            <v>2.7E-2</v>
          </cell>
          <cell r="O2542" t="str">
            <v>$1965</v>
          </cell>
          <cell r="P2542" t="str">
            <v>$1965</v>
          </cell>
          <cell r="Q2542">
            <v>45602</v>
          </cell>
          <cell r="R2542" t="str">
            <v>Hyderabad</v>
          </cell>
          <cell r="S2542" t="str">
            <v>Desktop</v>
          </cell>
          <cell r="T2542" t="str">
            <v>analytics for data</v>
          </cell>
        </row>
        <row r="2543">
          <cell r="A2543" t="str">
            <v>A3541</v>
          </cell>
          <cell r="B2543" t="str">
            <v>Data Analytics Course</v>
          </cell>
          <cell r="C2543">
            <v>172</v>
          </cell>
          <cell r="D2543">
            <v>172</v>
          </cell>
          <cell r="E2543">
            <v>5295</v>
          </cell>
          <cell r="F2543">
            <v>5295</v>
          </cell>
          <cell r="G2543" t="str">
            <v>$204.31</v>
          </cell>
          <cell r="H2543" t="str">
            <v>$204.31</v>
          </cell>
          <cell r="I2543">
            <v>26</v>
          </cell>
          <cell r="J2543">
            <v>26</v>
          </cell>
          <cell r="K2543">
            <v>8</v>
          </cell>
          <cell r="L2543">
            <v>8</v>
          </cell>
          <cell r="M2543">
            <v>4.6511627906976744E-2</v>
          </cell>
          <cell r="O2543" t="str">
            <v>$1218</v>
          </cell>
          <cell r="P2543" t="str">
            <v>$1218</v>
          </cell>
          <cell r="Q2543">
            <v>45625</v>
          </cell>
          <cell r="R2543" t="str">
            <v>Hyderabad</v>
          </cell>
          <cell r="S2543" t="str">
            <v>Tablet</v>
          </cell>
          <cell r="T2543" t="str">
            <v>data analytics course</v>
          </cell>
        </row>
        <row r="2544">
          <cell r="A2544" t="str">
            <v>A3542</v>
          </cell>
          <cell r="B2544" t="str">
            <v>Data Analytics Course</v>
          </cell>
          <cell r="C2544">
            <v>121</v>
          </cell>
          <cell r="D2544">
            <v>121</v>
          </cell>
          <cell r="E2544">
            <v>3577</v>
          </cell>
          <cell r="F2544">
            <v>3577</v>
          </cell>
          <cell r="G2544" t="str">
            <v>$239.27</v>
          </cell>
          <cell r="H2544" t="str">
            <v>$239.27</v>
          </cell>
          <cell r="I2544">
            <v>29</v>
          </cell>
          <cell r="J2544">
            <v>29</v>
          </cell>
          <cell r="K2544">
            <v>3</v>
          </cell>
          <cell r="L2544">
            <v>3</v>
          </cell>
          <cell r="M2544">
            <v>2.4793388429752067E-2</v>
          </cell>
          <cell r="O2544" t="str">
            <v>$1735</v>
          </cell>
          <cell r="P2544" t="str">
            <v>$1735</v>
          </cell>
          <cell r="Q2544">
            <v>45622</v>
          </cell>
          <cell r="R2544" t="str">
            <v>Bangaluru</v>
          </cell>
          <cell r="S2544" t="str">
            <v>Desktop</v>
          </cell>
          <cell r="T2544" t="str">
            <v>data analytics online</v>
          </cell>
        </row>
        <row r="2545">
          <cell r="A2545" t="str">
            <v>A3543</v>
          </cell>
          <cell r="B2545" t="str">
            <v>Data Analytcis Course</v>
          </cell>
          <cell r="C2545">
            <v>158</v>
          </cell>
          <cell r="D2545">
            <v>158</v>
          </cell>
          <cell r="E2545">
            <v>3766</v>
          </cell>
          <cell r="F2545">
            <v>3766</v>
          </cell>
          <cell r="G2545" t="str">
            <v>$222.89</v>
          </cell>
          <cell r="H2545" t="str">
            <v>$222.89</v>
          </cell>
          <cell r="I2545">
            <v>27</v>
          </cell>
          <cell r="J2545">
            <v>27</v>
          </cell>
          <cell r="K2545">
            <v>6.3018867924528301</v>
          </cell>
          <cell r="M2545">
            <v>3.988535944590399E-2</v>
          </cell>
          <cell r="N2545">
            <v>5.6000000000000001E-2</v>
          </cell>
          <cell r="O2545" t="str">
            <v>$1673</v>
          </cell>
          <cell r="P2545" t="str">
            <v>$1673</v>
          </cell>
          <cell r="Q2545">
            <v>45618</v>
          </cell>
          <cell r="R2545" t="str">
            <v>Chennai</v>
          </cell>
          <cell r="S2545" t="str">
            <v>Mobile</v>
          </cell>
          <cell r="T2545" t="str">
            <v>learn data analytics</v>
          </cell>
        </row>
        <row r="2546">
          <cell r="A2546" t="str">
            <v>A3544</v>
          </cell>
          <cell r="B2546" t="str">
            <v>Data Analytics Course</v>
          </cell>
          <cell r="C2546">
            <v>137</v>
          </cell>
          <cell r="D2546">
            <v>137</v>
          </cell>
          <cell r="E2546">
            <v>4287</v>
          </cell>
          <cell r="F2546">
            <v>4287</v>
          </cell>
          <cell r="G2546" t="str">
            <v>$231.9</v>
          </cell>
          <cell r="H2546" t="str">
            <v>$231.9</v>
          </cell>
          <cell r="I2546">
            <v>14</v>
          </cell>
          <cell r="J2546">
            <v>14</v>
          </cell>
          <cell r="K2546">
            <v>7</v>
          </cell>
          <cell r="L2546">
            <v>7</v>
          </cell>
          <cell r="M2546">
            <v>5.1094890510948905E-2</v>
          </cell>
          <cell r="O2546" t="str">
            <v>$1829</v>
          </cell>
          <cell r="P2546" t="str">
            <v>$1829</v>
          </cell>
          <cell r="Q2546">
            <v>45625</v>
          </cell>
          <cell r="R2546" t="str">
            <v>Bangaluru</v>
          </cell>
          <cell r="S2546" t="str">
            <v>Desktop</v>
          </cell>
          <cell r="T2546" t="str">
            <v>analytics for data</v>
          </cell>
        </row>
        <row r="2547">
          <cell r="A2547" t="str">
            <v>A3545</v>
          </cell>
          <cell r="B2547" t="str">
            <v>Data Analytics Course</v>
          </cell>
          <cell r="C2547">
            <v>150</v>
          </cell>
          <cell r="D2547">
            <v>150</v>
          </cell>
          <cell r="E2547">
            <v>5630</v>
          </cell>
          <cell r="F2547">
            <v>5630</v>
          </cell>
          <cell r="G2547" t="str">
            <v>$239.21</v>
          </cell>
          <cell r="H2547" t="str">
            <v>$239.21</v>
          </cell>
          <cell r="I2547">
            <v>26</v>
          </cell>
          <cell r="J2547">
            <v>26</v>
          </cell>
          <cell r="K2547">
            <v>4</v>
          </cell>
          <cell r="L2547">
            <v>4</v>
          </cell>
          <cell r="M2547">
            <v>2.6666666666666668E-2</v>
          </cell>
          <cell r="N2547">
            <v>2.7E-2</v>
          </cell>
          <cell r="O2547" t="str">
            <v>$1302</v>
          </cell>
          <cell r="P2547" t="str">
            <v>$1302</v>
          </cell>
          <cell r="Q2547">
            <v>45626</v>
          </cell>
          <cell r="R2547" t="str">
            <v>Hyderabad</v>
          </cell>
          <cell r="S2547" t="str">
            <v>Tablet</v>
          </cell>
          <cell r="T2547" t="str">
            <v>analytics for data</v>
          </cell>
        </row>
        <row r="2548">
          <cell r="A2548" t="str">
            <v>A3546</v>
          </cell>
          <cell r="B2548" t="str">
            <v>Data Analytics Course</v>
          </cell>
          <cell r="C2548">
            <v>93</v>
          </cell>
          <cell r="D2548">
            <v>93</v>
          </cell>
          <cell r="E2548">
            <v>4157</v>
          </cell>
          <cell r="F2548">
            <v>4157</v>
          </cell>
          <cell r="G2548" t="str">
            <v>$206.1</v>
          </cell>
          <cell r="H2548" t="str">
            <v>$206.1</v>
          </cell>
          <cell r="I2548">
            <v>30</v>
          </cell>
          <cell r="J2548">
            <v>30</v>
          </cell>
          <cell r="K2548">
            <v>8</v>
          </cell>
          <cell r="L2548">
            <v>8</v>
          </cell>
          <cell r="M2548">
            <v>8.6021505376344093E-2</v>
          </cell>
          <cell r="N2548">
            <v>8.5999999999999993E-2</v>
          </cell>
          <cell r="O2548" t="str">
            <v>$1129</v>
          </cell>
          <cell r="P2548" t="str">
            <v>$1129</v>
          </cell>
          <cell r="Q2548">
            <v>45604</v>
          </cell>
          <cell r="R2548" t="str">
            <v>Hyderabad</v>
          </cell>
          <cell r="S2548" t="str">
            <v>Mobile</v>
          </cell>
          <cell r="T2548" t="str">
            <v>learn data analytics</v>
          </cell>
        </row>
        <row r="2549">
          <cell r="A2549" t="str">
            <v>A3547</v>
          </cell>
          <cell r="B2549" t="str">
            <v>Data Analytics Course</v>
          </cell>
          <cell r="C2549">
            <v>101</v>
          </cell>
          <cell r="D2549">
            <v>101</v>
          </cell>
          <cell r="E2549">
            <v>5983</v>
          </cell>
          <cell r="F2549">
            <v>5983</v>
          </cell>
          <cell r="G2549" t="str">
            <v>$185.86</v>
          </cell>
          <cell r="H2549" t="str">
            <v>$185.86</v>
          </cell>
          <cell r="I2549">
            <v>10</v>
          </cell>
          <cell r="J2549">
            <v>10</v>
          </cell>
          <cell r="K2549">
            <v>5</v>
          </cell>
          <cell r="L2549">
            <v>5</v>
          </cell>
          <cell r="M2549">
            <v>4.9504950495049507E-2</v>
          </cell>
          <cell r="N2549">
            <v>0.05</v>
          </cell>
          <cell r="O2549" t="str">
            <v>$1019</v>
          </cell>
          <cell r="P2549" t="str">
            <v>$1019</v>
          </cell>
          <cell r="Q2549">
            <v>45602</v>
          </cell>
          <cell r="R2549" t="str">
            <v>Hyderabad</v>
          </cell>
          <cell r="S2549" t="str">
            <v>Tablet</v>
          </cell>
          <cell r="T2549" t="str">
            <v>online data analytic</v>
          </cell>
        </row>
        <row r="2550">
          <cell r="A2550" t="str">
            <v>A3548</v>
          </cell>
          <cell r="B2550" t="str">
            <v>Data Analytics Course</v>
          </cell>
          <cell r="C2550">
            <v>178</v>
          </cell>
          <cell r="D2550">
            <v>178</v>
          </cell>
          <cell r="E2550">
            <v>3109</v>
          </cell>
          <cell r="F2550">
            <v>3109</v>
          </cell>
          <cell r="G2550" t="str">
            <v>$180.7</v>
          </cell>
          <cell r="H2550" t="str">
            <v>$180.7</v>
          </cell>
          <cell r="I2550">
            <v>25</v>
          </cell>
          <cell r="J2550">
            <v>25</v>
          </cell>
          <cell r="K2550">
            <v>10</v>
          </cell>
          <cell r="L2550">
            <v>10</v>
          </cell>
          <cell r="M2550">
            <v>5.6179775280898875E-2</v>
          </cell>
          <cell r="N2550">
            <v>5.6000000000000001E-2</v>
          </cell>
          <cell r="O2550" t="str">
            <v>$1709</v>
          </cell>
          <cell r="P2550" t="str">
            <v>$1709</v>
          </cell>
          <cell r="Q2550">
            <v>45608</v>
          </cell>
          <cell r="R2550" t="str">
            <v>Hyderabad</v>
          </cell>
          <cell r="S2550" t="str">
            <v>Desktop</v>
          </cell>
          <cell r="T2550" t="str">
            <v>data analytics course</v>
          </cell>
        </row>
        <row r="2551">
          <cell r="A2551" t="str">
            <v>A3549</v>
          </cell>
          <cell r="B2551" t="str">
            <v>Data Analytics Course</v>
          </cell>
          <cell r="C2551">
            <v>96</v>
          </cell>
          <cell r="D2551">
            <v>96</v>
          </cell>
          <cell r="E2551">
            <v>3365</v>
          </cell>
          <cell r="F2551">
            <v>3365</v>
          </cell>
          <cell r="G2551" t="str">
            <v>$225.77</v>
          </cell>
          <cell r="H2551" t="str">
            <v>$225.77</v>
          </cell>
          <cell r="I2551">
            <v>27</v>
          </cell>
          <cell r="J2551">
            <v>27</v>
          </cell>
          <cell r="K2551">
            <v>8</v>
          </cell>
          <cell r="L2551">
            <v>8</v>
          </cell>
          <cell r="M2551">
            <v>8.3333333333333329E-2</v>
          </cell>
          <cell r="N2551">
            <v>8.3000000000000004E-2</v>
          </cell>
          <cell r="O2551" t="str">
            <v>$1884</v>
          </cell>
          <cell r="P2551" t="str">
            <v>$1884</v>
          </cell>
          <cell r="Q2551">
            <v>45626</v>
          </cell>
          <cell r="R2551" t="str">
            <v>Chennai</v>
          </cell>
          <cell r="S2551" t="str">
            <v>Tablet</v>
          </cell>
          <cell r="T2551" t="str">
            <v>data analytics course</v>
          </cell>
        </row>
        <row r="2552">
          <cell r="A2552" t="str">
            <v>A3550</v>
          </cell>
          <cell r="B2552" t="str">
            <v>Data Analytics Course</v>
          </cell>
          <cell r="C2552">
            <v>170</v>
          </cell>
          <cell r="D2552">
            <v>170</v>
          </cell>
          <cell r="E2552">
            <v>5380</v>
          </cell>
          <cell r="F2552">
            <v>5380</v>
          </cell>
          <cell r="G2552" t="str">
            <v>$204.62</v>
          </cell>
          <cell r="H2552" t="str">
            <v>$204.62</v>
          </cell>
          <cell r="I2552">
            <v>20</v>
          </cell>
          <cell r="J2552">
            <v>20</v>
          </cell>
          <cell r="K2552">
            <v>4</v>
          </cell>
          <cell r="L2552">
            <v>4</v>
          </cell>
          <cell r="M2552">
            <v>2.3529411764705882E-2</v>
          </cell>
          <cell r="N2552">
            <v>2.4E-2</v>
          </cell>
          <cell r="O2552" t="str">
            <v>$1473</v>
          </cell>
          <cell r="P2552" t="str">
            <v>$1473</v>
          </cell>
          <cell r="Q2552">
            <v>45611</v>
          </cell>
          <cell r="R2552" t="str">
            <v>Chennai</v>
          </cell>
          <cell r="S2552" t="str">
            <v>Desktop</v>
          </cell>
          <cell r="T2552" t="str">
            <v>data analytics course</v>
          </cell>
        </row>
        <row r="2553">
          <cell r="A2553" t="str">
            <v>A3551</v>
          </cell>
          <cell r="B2553" t="str">
            <v>Data Analytics Course</v>
          </cell>
          <cell r="C2553">
            <v>176</v>
          </cell>
          <cell r="D2553">
            <v>176</v>
          </cell>
          <cell r="E2553">
            <v>5036</v>
          </cell>
          <cell r="F2553">
            <v>5036</v>
          </cell>
          <cell r="G2553" t="str">
            <v>$221.48</v>
          </cell>
          <cell r="H2553" t="str">
            <v>$221.48</v>
          </cell>
          <cell r="I2553">
            <v>13</v>
          </cell>
          <cell r="J2553">
            <v>13</v>
          </cell>
          <cell r="K2553">
            <v>3</v>
          </cell>
          <cell r="L2553">
            <v>3</v>
          </cell>
          <cell r="M2553">
            <v>1.7045454545454544E-2</v>
          </cell>
          <cell r="N2553">
            <v>3.1E-2</v>
          </cell>
          <cell r="O2553" t="str">
            <v>$1072</v>
          </cell>
          <cell r="P2553" t="str">
            <v>$1072</v>
          </cell>
          <cell r="Q2553">
            <v>45618</v>
          </cell>
          <cell r="R2553" t="str">
            <v>Bangaluru</v>
          </cell>
          <cell r="S2553" t="str">
            <v>Mobile</v>
          </cell>
          <cell r="T2553" t="str">
            <v>data analytics training</v>
          </cell>
        </row>
        <row r="2554">
          <cell r="A2554" t="str">
            <v>A3552</v>
          </cell>
          <cell r="B2554" t="str">
            <v>Data Analytics Course</v>
          </cell>
          <cell r="C2554">
            <v>178</v>
          </cell>
          <cell r="D2554">
            <v>178</v>
          </cell>
          <cell r="E2554">
            <v>4176</v>
          </cell>
          <cell r="F2554">
            <v>4176</v>
          </cell>
          <cell r="G2554" t="str">
            <v>$198.49</v>
          </cell>
          <cell r="H2554" t="str">
            <v>$198.49</v>
          </cell>
          <cell r="I2554">
            <v>30</v>
          </cell>
          <cell r="J2554">
            <v>30</v>
          </cell>
          <cell r="K2554">
            <v>4</v>
          </cell>
          <cell r="L2554">
            <v>4</v>
          </cell>
          <cell r="M2554">
            <v>2.247191011235955E-2</v>
          </cell>
          <cell r="N2554">
            <v>2.1999999999999999E-2</v>
          </cell>
          <cell r="O2554" t="str">
            <v>$1717</v>
          </cell>
          <cell r="P2554" t="str">
            <v>$1717</v>
          </cell>
          <cell r="Q2554">
            <v>45608</v>
          </cell>
          <cell r="R2554" t="str">
            <v>Hyderabad</v>
          </cell>
          <cell r="S2554" t="str">
            <v>Desktop</v>
          </cell>
          <cell r="T2554" t="str">
            <v>learn data analytics</v>
          </cell>
        </row>
        <row r="2555">
          <cell r="A2555" t="str">
            <v>A3553</v>
          </cell>
          <cell r="B2555" t="str">
            <v>Data Analytics Course</v>
          </cell>
          <cell r="C2555">
            <v>99</v>
          </cell>
          <cell r="D2555">
            <v>99</v>
          </cell>
          <cell r="E2555">
            <v>5663</v>
          </cell>
          <cell r="F2555">
            <v>5663</v>
          </cell>
          <cell r="G2555" t="str">
            <v>$187.48</v>
          </cell>
          <cell r="H2555" t="str">
            <v>$187.48</v>
          </cell>
          <cell r="I2555">
            <v>22</v>
          </cell>
          <cell r="J2555">
            <v>22</v>
          </cell>
          <cell r="K2555">
            <v>5</v>
          </cell>
          <cell r="L2555">
            <v>5</v>
          </cell>
          <cell r="M2555">
            <v>5.0505050505050504E-2</v>
          </cell>
          <cell r="N2555">
            <v>3.4000000000000002E-2</v>
          </cell>
          <cell r="O2555" t="str">
            <v>$1394</v>
          </cell>
          <cell r="P2555" t="str">
            <v>$1394</v>
          </cell>
          <cell r="Q2555">
            <v>45625</v>
          </cell>
          <cell r="R2555" t="str">
            <v>Hyderabad</v>
          </cell>
          <cell r="S2555" t="str">
            <v>Desktop</v>
          </cell>
          <cell r="T2555" t="str">
            <v>online data analytic</v>
          </cell>
        </row>
        <row r="2556">
          <cell r="A2556" t="str">
            <v>A3554</v>
          </cell>
          <cell r="B2556" t="str">
            <v>Data Analytics Course</v>
          </cell>
          <cell r="C2556">
            <v>138.95699356913184</v>
          </cell>
          <cell r="E2556">
            <v>5852</v>
          </cell>
          <cell r="F2556">
            <v>5852</v>
          </cell>
          <cell r="G2556" t="str">
            <v>$181.96</v>
          </cell>
          <cell r="H2556" t="str">
            <v>$181.96</v>
          </cell>
          <cell r="I2556">
            <v>19</v>
          </cell>
          <cell r="J2556">
            <v>19</v>
          </cell>
          <cell r="K2556">
            <v>4</v>
          </cell>
          <cell r="L2556">
            <v>4</v>
          </cell>
          <cell r="M2556">
            <v>2.8785884734977219E-2</v>
          </cell>
          <cell r="O2556" t="str">
            <v>$1816</v>
          </cell>
          <cell r="P2556" t="str">
            <v>$1816</v>
          </cell>
          <cell r="Q2556">
            <v>45618</v>
          </cell>
          <cell r="R2556" t="str">
            <v>Hyderabad</v>
          </cell>
          <cell r="S2556" t="str">
            <v>Tablet</v>
          </cell>
          <cell r="T2556" t="str">
            <v>data analytics online</v>
          </cell>
        </row>
        <row r="2557">
          <cell r="A2557" t="str">
            <v>A3555</v>
          </cell>
          <cell r="B2557" t="str">
            <v>Data Analytics Course</v>
          </cell>
          <cell r="C2557">
            <v>164</v>
          </cell>
          <cell r="D2557">
            <v>164</v>
          </cell>
          <cell r="E2557">
            <v>4725</v>
          </cell>
          <cell r="F2557">
            <v>4725</v>
          </cell>
          <cell r="G2557" t="str">
            <v>$224.43</v>
          </cell>
          <cell r="H2557" t="str">
            <v>$224.43</v>
          </cell>
          <cell r="I2557">
            <v>18</v>
          </cell>
          <cell r="J2557">
            <v>18</v>
          </cell>
          <cell r="K2557">
            <v>10</v>
          </cell>
          <cell r="L2557">
            <v>10</v>
          </cell>
          <cell r="M2557">
            <v>6.097560975609756E-2</v>
          </cell>
          <cell r="N2557">
            <v>6.0999999999999999E-2</v>
          </cell>
          <cell r="O2557" t="str">
            <v>$1140</v>
          </cell>
          <cell r="P2557" t="str">
            <v>$1140</v>
          </cell>
          <cell r="Q2557">
            <v>45626</v>
          </cell>
          <cell r="R2557" t="str">
            <v>Bangaluru</v>
          </cell>
          <cell r="S2557" t="str">
            <v>Mobile</v>
          </cell>
          <cell r="T2557" t="str">
            <v>data analytics training</v>
          </cell>
        </row>
        <row r="2558">
          <cell r="A2558" t="str">
            <v>A3556</v>
          </cell>
          <cell r="B2558" t="str">
            <v>Data Analytics Course</v>
          </cell>
          <cell r="C2558">
            <v>94</v>
          </cell>
          <cell r="D2558">
            <v>94</v>
          </cell>
          <cell r="E2558">
            <v>5762</v>
          </cell>
          <cell r="F2558">
            <v>5762</v>
          </cell>
          <cell r="G2558" t="str">
            <v>$202.12</v>
          </cell>
          <cell r="H2558" t="str">
            <v>$202.12</v>
          </cell>
          <cell r="I2558">
            <v>23</v>
          </cell>
          <cell r="J2558">
            <v>23</v>
          </cell>
          <cell r="K2558">
            <v>5</v>
          </cell>
          <cell r="L2558">
            <v>5</v>
          </cell>
          <cell r="M2558">
            <v>5.3191489361702128E-2</v>
          </cell>
          <cell r="N2558">
            <v>5.2999999999999999E-2</v>
          </cell>
          <cell r="O2558" t="str">
            <v>$1694</v>
          </cell>
          <cell r="P2558" t="str">
            <v>$1694</v>
          </cell>
          <cell r="Q2558">
            <v>45619</v>
          </cell>
          <cell r="R2558" t="str">
            <v>Chennai</v>
          </cell>
          <cell r="S2558" t="str">
            <v>Tablet</v>
          </cell>
          <cell r="T2558" t="str">
            <v>online data analytic</v>
          </cell>
        </row>
        <row r="2559">
          <cell r="A2559" t="str">
            <v>A3557</v>
          </cell>
          <cell r="B2559" t="str">
            <v>Data Analytics Course</v>
          </cell>
          <cell r="C2559">
            <v>82</v>
          </cell>
          <cell r="D2559">
            <v>82</v>
          </cell>
          <cell r="E2559">
            <v>4773</v>
          </cell>
          <cell r="F2559">
            <v>4773</v>
          </cell>
          <cell r="G2559" t="str">
            <v>$226.66</v>
          </cell>
          <cell r="H2559" t="str">
            <v>$226.66</v>
          </cell>
          <cell r="I2559">
            <v>10</v>
          </cell>
          <cell r="J2559">
            <v>10</v>
          </cell>
          <cell r="K2559">
            <v>6</v>
          </cell>
          <cell r="L2559">
            <v>6</v>
          </cell>
          <cell r="M2559">
            <v>7.3170731707317069E-2</v>
          </cell>
          <cell r="N2559">
            <v>3.3000000000000002E-2</v>
          </cell>
          <cell r="O2559" t="str">
            <v>$1189</v>
          </cell>
          <cell r="P2559" t="str">
            <v>$1189</v>
          </cell>
          <cell r="Q2559">
            <v>45616</v>
          </cell>
          <cell r="R2559" t="str">
            <v>Hyderabad</v>
          </cell>
          <cell r="S2559" t="str">
            <v>Desktop</v>
          </cell>
          <cell r="T2559" t="str">
            <v>data analytics training</v>
          </cell>
        </row>
        <row r="2560">
          <cell r="A2560" t="str">
            <v>A3558</v>
          </cell>
          <cell r="B2560" t="str">
            <v>Data Analytcis Course</v>
          </cell>
          <cell r="C2560">
            <v>194</v>
          </cell>
          <cell r="D2560">
            <v>194</v>
          </cell>
          <cell r="E2560">
            <v>4198</v>
          </cell>
          <cell r="F2560">
            <v>4198</v>
          </cell>
          <cell r="G2560" t="str">
            <v>$217.66</v>
          </cell>
          <cell r="H2560" t="str">
            <v>$217.66</v>
          </cell>
          <cell r="I2560">
            <v>16</v>
          </cell>
          <cell r="J2560">
            <v>16</v>
          </cell>
          <cell r="K2560">
            <v>10</v>
          </cell>
          <cell r="L2560">
            <v>10</v>
          </cell>
          <cell r="M2560">
            <v>5.1546391752577317E-2</v>
          </cell>
          <cell r="N2560">
            <v>5.1999999999999998E-2</v>
          </cell>
          <cell r="O2560" t="str">
            <v>$1619</v>
          </cell>
          <cell r="P2560" t="str">
            <v>$1619</v>
          </cell>
          <cell r="Q2560">
            <v>45625</v>
          </cell>
          <cell r="R2560" t="str">
            <v>Hyderabad</v>
          </cell>
          <cell r="S2560" t="str">
            <v>Tablet</v>
          </cell>
          <cell r="T2560" t="str">
            <v>online data analytic</v>
          </cell>
        </row>
        <row r="2561">
          <cell r="A2561" t="str">
            <v>A3559</v>
          </cell>
          <cell r="B2561" t="str">
            <v>Data Analytics Course</v>
          </cell>
          <cell r="C2561">
            <v>176</v>
          </cell>
          <cell r="D2561">
            <v>176</v>
          </cell>
          <cell r="E2561">
            <v>5314</v>
          </cell>
          <cell r="F2561">
            <v>5314</v>
          </cell>
          <cell r="G2561" t="str">
            <v>$188.23</v>
          </cell>
          <cell r="H2561" t="str">
            <v>$188.23</v>
          </cell>
          <cell r="I2561">
            <v>17</v>
          </cell>
          <cell r="J2561">
            <v>17</v>
          </cell>
          <cell r="K2561">
            <v>8</v>
          </cell>
          <cell r="L2561">
            <v>8</v>
          </cell>
          <cell r="M2561">
            <v>4.5454545454545456E-2</v>
          </cell>
          <cell r="N2561">
            <v>4.4999999999999998E-2</v>
          </cell>
          <cell r="O2561" t="str">
            <v>$1725</v>
          </cell>
          <cell r="P2561" t="str">
            <v>$1725</v>
          </cell>
          <cell r="Q2561">
            <v>45600</v>
          </cell>
          <cell r="R2561" t="str">
            <v>Hyderabad</v>
          </cell>
          <cell r="S2561" t="str">
            <v>Mobile</v>
          </cell>
          <cell r="T2561" t="str">
            <v>analytics for data</v>
          </cell>
        </row>
        <row r="2562">
          <cell r="A2562" t="str">
            <v>A3560</v>
          </cell>
          <cell r="B2562" t="str">
            <v>Data Analytics Course</v>
          </cell>
          <cell r="C2562">
            <v>170</v>
          </cell>
          <cell r="D2562">
            <v>170</v>
          </cell>
          <cell r="E2562">
            <v>3401</v>
          </cell>
          <cell r="F2562">
            <v>3401</v>
          </cell>
          <cell r="G2562" t="str">
            <v>$235.7</v>
          </cell>
          <cell r="H2562" t="str">
            <v>$235.7</v>
          </cell>
          <cell r="I2562">
            <v>10</v>
          </cell>
          <cell r="J2562">
            <v>10</v>
          </cell>
          <cell r="K2562">
            <v>6.2972972972972974</v>
          </cell>
          <cell r="M2562">
            <v>3.7042925278219396E-2</v>
          </cell>
          <cell r="O2562" t="str">
            <v>$1047</v>
          </cell>
          <cell r="P2562" t="str">
            <v>$1047</v>
          </cell>
          <cell r="Q2562">
            <v>45611</v>
          </cell>
          <cell r="R2562" t="str">
            <v>Hyderabad</v>
          </cell>
          <cell r="S2562" t="str">
            <v>Mobile</v>
          </cell>
          <cell r="T2562" t="str">
            <v>online data analytic</v>
          </cell>
        </row>
        <row r="2563">
          <cell r="A2563" t="str">
            <v>A3561</v>
          </cell>
          <cell r="B2563" t="str">
            <v>Data Analytics Course</v>
          </cell>
          <cell r="C2563">
            <v>144</v>
          </cell>
          <cell r="D2563">
            <v>144</v>
          </cell>
          <cell r="E2563">
            <v>3509</v>
          </cell>
          <cell r="F2563">
            <v>3509</v>
          </cell>
          <cell r="G2563" t="str">
            <v>$193.65</v>
          </cell>
          <cell r="H2563" t="str">
            <v>$193.65</v>
          </cell>
          <cell r="I2563">
            <v>28</v>
          </cell>
          <cell r="J2563">
            <v>28</v>
          </cell>
          <cell r="K2563">
            <v>3</v>
          </cell>
          <cell r="L2563">
            <v>3</v>
          </cell>
          <cell r="M2563">
            <v>2.0833333333333332E-2</v>
          </cell>
          <cell r="N2563">
            <v>2.1000000000000001E-2</v>
          </cell>
          <cell r="O2563" t="str">
            <v>$1361</v>
          </cell>
          <cell r="P2563" t="str">
            <v>$1361</v>
          </cell>
          <cell r="Q2563">
            <v>45612</v>
          </cell>
          <cell r="R2563" t="str">
            <v>Hyderabad</v>
          </cell>
          <cell r="S2563" t="str">
            <v>Tablet</v>
          </cell>
          <cell r="T2563" t="str">
            <v>analytics for data</v>
          </cell>
        </row>
        <row r="2564">
          <cell r="A2564" t="str">
            <v>A3562</v>
          </cell>
          <cell r="B2564" t="str">
            <v>Data Analytics Course</v>
          </cell>
          <cell r="C2564">
            <v>127</v>
          </cell>
          <cell r="D2564">
            <v>127</v>
          </cell>
          <cell r="E2564">
            <v>4850</v>
          </cell>
          <cell r="F2564">
            <v>4850</v>
          </cell>
          <cell r="G2564" t="str">
            <v>$235.92</v>
          </cell>
          <cell r="H2564" t="str">
            <v>$235.92</v>
          </cell>
          <cell r="I2564">
            <v>25</v>
          </cell>
          <cell r="J2564">
            <v>25</v>
          </cell>
          <cell r="K2564">
            <v>10</v>
          </cell>
          <cell r="L2564">
            <v>10</v>
          </cell>
          <cell r="M2564">
            <v>7.874015748031496E-2</v>
          </cell>
          <cell r="N2564">
            <v>7.9000000000000001E-2</v>
          </cell>
          <cell r="O2564" t="str">
            <v>$1057</v>
          </cell>
          <cell r="P2564" t="str">
            <v>$1057</v>
          </cell>
          <cell r="Q2564">
            <v>45608</v>
          </cell>
          <cell r="R2564" t="str">
            <v>Hyderabad</v>
          </cell>
          <cell r="S2564" t="str">
            <v>Desktop</v>
          </cell>
          <cell r="T2564" t="str">
            <v>data analytics course</v>
          </cell>
        </row>
        <row r="2565">
          <cell r="A2565" t="str">
            <v>A3563</v>
          </cell>
          <cell r="B2565" t="str">
            <v>Data Analytics Course</v>
          </cell>
          <cell r="C2565">
            <v>108</v>
          </cell>
          <cell r="D2565">
            <v>108</v>
          </cell>
          <cell r="E2565">
            <v>5245</v>
          </cell>
          <cell r="F2565">
            <v>5245</v>
          </cell>
          <cell r="G2565" t="str">
            <v>$227.35</v>
          </cell>
          <cell r="H2565" t="str">
            <v>$227.35</v>
          </cell>
          <cell r="I2565">
            <v>12</v>
          </cell>
          <cell r="J2565">
            <v>12</v>
          </cell>
          <cell r="K2565">
            <v>5</v>
          </cell>
          <cell r="L2565">
            <v>5</v>
          </cell>
          <cell r="M2565">
            <v>4.6296296296296294E-2</v>
          </cell>
          <cell r="N2565">
            <v>4.5999999999999999E-2</v>
          </cell>
          <cell r="O2565" t="str">
            <v>$1384</v>
          </cell>
          <cell r="P2565" t="str">
            <v>$1384</v>
          </cell>
          <cell r="Q2565">
            <v>45623</v>
          </cell>
          <cell r="R2565" t="str">
            <v>Hyderabad</v>
          </cell>
          <cell r="S2565" t="str">
            <v>Tablet</v>
          </cell>
          <cell r="T2565" t="str">
            <v>data analytics training</v>
          </cell>
        </row>
        <row r="2566">
          <cell r="A2566" t="str">
            <v>A3564</v>
          </cell>
          <cell r="B2566" t="str">
            <v>Data Analytcis Course</v>
          </cell>
          <cell r="C2566">
            <v>96</v>
          </cell>
          <cell r="D2566">
            <v>96</v>
          </cell>
          <cell r="E2566">
            <v>5474</v>
          </cell>
          <cell r="F2566">
            <v>5474</v>
          </cell>
          <cell r="G2566" t="str">
            <v>$201.65</v>
          </cell>
          <cell r="H2566" t="str">
            <v>$201.65</v>
          </cell>
          <cell r="I2566">
            <v>16</v>
          </cell>
          <cell r="J2566">
            <v>16</v>
          </cell>
          <cell r="K2566">
            <v>8</v>
          </cell>
          <cell r="L2566">
            <v>8</v>
          </cell>
          <cell r="M2566">
            <v>8.3333333333333329E-2</v>
          </cell>
          <cell r="N2566">
            <v>0.03</v>
          </cell>
          <cell r="O2566" t="str">
            <v>$1376</v>
          </cell>
          <cell r="P2566" t="str">
            <v>$1376</v>
          </cell>
          <cell r="Q2566">
            <v>45625</v>
          </cell>
          <cell r="R2566" t="str">
            <v>Hyderabad</v>
          </cell>
          <cell r="S2566" t="str">
            <v>Mobile</v>
          </cell>
          <cell r="T2566" t="str">
            <v>learn data analytics</v>
          </cell>
        </row>
        <row r="2567">
          <cell r="A2567" t="str">
            <v>A3565</v>
          </cell>
          <cell r="B2567" t="str">
            <v>Data Analytics Course</v>
          </cell>
          <cell r="C2567">
            <v>103</v>
          </cell>
          <cell r="D2567">
            <v>103</v>
          </cell>
          <cell r="E2567">
            <v>4913</v>
          </cell>
          <cell r="F2567">
            <v>4913</v>
          </cell>
          <cell r="G2567" t="str">
            <v>$180.45</v>
          </cell>
          <cell r="H2567" t="str">
            <v>$180.45</v>
          </cell>
          <cell r="I2567">
            <v>12</v>
          </cell>
          <cell r="J2567">
            <v>12</v>
          </cell>
          <cell r="K2567">
            <v>3</v>
          </cell>
          <cell r="L2567">
            <v>3</v>
          </cell>
          <cell r="M2567">
            <v>2.9126213592233011E-2</v>
          </cell>
          <cell r="N2567">
            <v>2.9000000000000001E-2</v>
          </cell>
          <cell r="O2567" t="str">
            <v>$1178</v>
          </cell>
          <cell r="P2567" t="str">
            <v>$1178</v>
          </cell>
          <cell r="Q2567">
            <v>45624</v>
          </cell>
          <cell r="R2567" t="str">
            <v>Chennai</v>
          </cell>
          <cell r="S2567" t="str">
            <v>Mobile</v>
          </cell>
          <cell r="T2567" t="str">
            <v>learn data analytics</v>
          </cell>
        </row>
        <row r="2568">
          <cell r="A2568" t="str">
            <v>A3566</v>
          </cell>
          <cell r="B2568" t="str">
            <v>Data Analytcis Course</v>
          </cell>
          <cell r="C2568">
            <v>160</v>
          </cell>
          <cell r="D2568">
            <v>160</v>
          </cell>
          <cell r="E2568">
            <v>5975</v>
          </cell>
          <cell r="F2568">
            <v>5975</v>
          </cell>
          <cell r="G2568" t="str">
            <v>$212.18</v>
          </cell>
          <cell r="H2568" t="str">
            <v>$212.18</v>
          </cell>
          <cell r="I2568">
            <v>14</v>
          </cell>
          <cell r="J2568">
            <v>14</v>
          </cell>
          <cell r="K2568">
            <v>6.375</v>
          </cell>
          <cell r="M2568">
            <v>3.9843749999999997E-2</v>
          </cell>
          <cell r="O2568" t="str">
            <v>$1507</v>
          </cell>
          <cell r="P2568" t="str">
            <v>$1507</v>
          </cell>
          <cell r="Q2568">
            <v>45600</v>
          </cell>
          <cell r="R2568" t="str">
            <v>Bangaluru</v>
          </cell>
          <cell r="S2568" t="str">
            <v>Tablet</v>
          </cell>
          <cell r="T2568" t="str">
            <v>data analytics course</v>
          </cell>
        </row>
        <row r="2569">
          <cell r="A2569" t="str">
            <v>A3567</v>
          </cell>
          <cell r="B2569" t="str">
            <v>Data Analytics Course</v>
          </cell>
          <cell r="C2569">
            <v>141</v>
          </cell>
          <cell r="D2569">
            <v>141</v>
          </cell>
          <cell r="E2569">
            <v>5451</v>
          </cell>
          <cell r="F2569">
            <v>5451</v>
          </cell>
          <cell r="G2569" t="str">
            <v>$246.96</v>
          </cell>
          <cell r="H2569" t="str">
            <v>$246.96</v>
          </cell>
          <cell r="I2569">
            <v>13</v>
          </cell>
          <cell r="J2569">
            <v>13</v>
          </cell>
          <cell r="K2569">
            <v>4</v>
          </cell>
          <cell r="L2569">
            <v>4</v>
          </cell>
          <cell r="M2569">
            <v>2.8368794326241134E-2</v>
          </cell>
          <cell r="N2569">
            <v>2.8000000000000001E-2</v>
          </cell>
          <cell r="O2569" t="str">
            <v>$1725</v>
          </cell>
          <cell r="P2569" t="str">
            <v>$1725</v>
          </cell>
          <cell r="Q2569">
            <v>45608</v>
          </cell>
          <cell r="R2569" t="str">
            <v>Chennai</v>
          </cell>
          <cell r="S2569" t="str">
            <v>Tablet</v>
          </cell>
          <cell r="T2569" t="str">
            <v>learn data analytics</v>
          </cell>
        </row>
        <row r="2570">
          <cell r="A2570" t="str">
            <v>A3568</v>
          </cell>
          <cell r="B2570" t="str">
            <v>Data Analytcis Course</v>
          </cell>
          <cell r="C2570">
            <v>121</v>
          </cell>
          <cell r="D2570">
            <v>121</v>
          </cell>
          <cell r="E2570">
            <v>4538</v>
          </cell>
          <cell r="F2570">
            <v>4538</v>
          </cell>
          <cell r="G2570" t="str">
            <v>$216.98</v>
          </cell>
          <cell r="H2570" t="str">
            <v>$216.98</v>
          </cell>
          <cell r="I2570">
            <v>27</v>
          </cell>
          <cell r="J2570">
            <v>27</v>
          </cell>
          <cell r="K2570">
            <v>4</v>
          </cell>
          <cell r="L2570">
            <v>4</v>
          </cell>
          <cell r="M2570">
            <v>3.3057851239669422E-2</v>
          </cell>
          <cell r="N2570">
            <v>3.3000000000000002E-2</v>
          </cell>
          <cell r="O2570" t="str">
            <v>$1874</v>
          </cell>
          <cell r="P2570" t="str">
            <v>$1874</v>
          </cell>
          <cell r="Q2570">
            <v>45615</v>
          </cell>
          <cell r="R2570" t="str">
            <v>Bangaluru</v>
          </cell>
          <cell r="S2570" t="str">
            <v>Desktop</v>
          </cell>
          <cell r="T2570" t="str">
            <v>data analytics course</v>
          </cell>
        </row>
        <row r="2571">
          <cell r="A2571" t="str">
            <v>A3569</v>
          </cell>
          <cell r="B2571" t="str">
            <v>Data Analytics Course</v>
          </cell>
          <cell r="C2571">
            <v>176</v>
          </cell>
          <cell r="D2571">
            <v>176</v>
          </cell>
          <cell r="E2571">
            <v>4285</v>
          </cell>
          <cell r="F2571">
            <v>4285</v>
          </cell>
          <cell r="G2571" t="str">
            <v>$245.13</v>
          </cell>
          <cell r="H2571" t="str">
            <v>$245.13</v>
          </cell>
          <cell r="I2571">
            <v>28</v>
          </cell>
          <cell r="J2571">
            <v>28</v>
          </cell>
          <cell r="K2571">
            <v>9</v>
          </cell>
          <cell r="L2571">
            <v>9</v>
          </cell>
          <cell r="M2571">
            <v>5.113636363636364E-2</v>
          </cell>
          <cell r="O2571" t="str">
            <v>$1321</v>
          </cell>
          <cell r="P2571" t="str">
            <v>$1321</v>
          </cell>
          <cell r="Q2571">
            <v>45604</v>
          </cell>
          <cell r="R2571" t="str">
            <v>Hyderabad</v>
          </cell>
          <cell r="S2571" t="str">
            <v>Mobile</v>
          </cell>
          <cell r="T2571" t="str">
            <v>learn data analytics</v>
          </cell>
        </row>
        <row r="2572">
          <cell r="A2572" t="str">
            <v>A3570</v>
          </cell>
          <cell r="B2572" t="str">
            <v>Data Analytics Course</v>
          </cell>
          <cell r="C2572">
            <v>125</v>
          </cell>
          <cell r="D2572">
            <v>125</v>
          </cell>
          <cell r="E2572">
            <v>5041</v>
          </cell>
          <cell r="F2572">
            <v>5041</v>
          </cell>
          <cell r="G2572" t="str">
            <v>$228.64</v>
          </cell>
          <cell r="H2572" t="str">
            <v>$228.64</v>
          </cell>
          <cell r="I2572">
            <v>21</v>
          </cell>
          <cell r="J2572">
            <v>21</v>
          </cell>
          <cell r="K2572">
            <v>6</v>
          </cell>
          <cell r="L2572">
            <v>6</v>
          </cell>
          <cell r="M2572">
            <v>4.8000000000000001E-2</v>
          </cell>
          <cell r="N2572">
            <v>4.8000000000000001E-2</v>
          </cell>
          <cell r="O2572" t="str">
            <v>$1403</v>
          </cell>
          <cell r="P2572" t="str">
            <v>$1403</v>
          </cell>
          <cell r="Q2572">
            <v>45625</v>
          </cell>
          <cell r="R2572" t="str">
            <v>Hyderabad</v>
          </cell>
          <cell r="S2572" t="str">
            <v>Desktop</v>
          </cell>
          <cell r="T2572" t="str">
            <v>online data analytic</v>
          </cell>
        </row>
        <row r="2573">
          <cell r="A2573" t="str">
            <v>A3571</v>
          </cell>
          <cell r="B2573" t="str">
            <v>Data Analytics Course</v>
          </cell>
          <cell r="C2573">
            <v>138.95699356913184</v>
          </cell>
          <cell r="E2573">
            <v>5386</v>
          </cell>
          <cell r="F2573">
            <v>5386</v>
          </cell>
          <cell r="G2573" t="str">
            <v>$220.23</v>
          </cell>
          <cell r="H2573" t="str">
            <v>$220.23</v>
          </cell>
          <cell r="I2573">
            <v>23</v>
          </cell>
          <cell r="J2573">
            <v>23</v>
          </cell>
          <cell r="K2573">
            <v>5</v>
          </cell>
          <cell r="L2573">
            <v>5</v>
          </cell>
          <cell r="M2573">
            <v>3.5982355918721523E-2</v>
          </cell>
          <cell r="O2573" t="str">
            <v>$1462</v>
          </cell>
          <cell r="P2573" t="str">
            <v>$1462</v>
          </cell>
          <cell r="Q2573">
            <v>45604</v>
          </cell>
          <cell r="R2573" t="str">
            <v>Chennai</v>
          </cell>
          <cell r="S2573" t="str">
            <v>Desktop</v>
          </cell>
          <cell r="T2573" t="str">
            <v>data analytics online</v>
          </cell>
        </row>
        <row r="2574">
          <cell r="A2574" t="str">
            <v>A3572</v>
          </cell>
          <cell r="B2574" t="str">
            <v>Data Analytics Course</v>
          </cell>
          <cell r="C2574">
            <v>137</v>
          </cell>
          <cell r="D2574">
            <v>137</v>
          </cell>
          <cell r="E2574">
            <v>5168</v>
          </cell>
          <cell r="F2574">
            <v>5168</v>
          </cell>
          <cell r="G2574" t="str">
            <v>$230.04</v>
          </cell>
          <cell r="H2574" t="str">
            <v>$230.04</v>
          </cell>
          <cell r="I2574">
            <v>19.148148148148149</v>
          </cell>
          <cell r="K2574">
            <v>7</v>
          </cell>
          <cell r="L2574">
            <v>7</v>
          </cell>
          <cell r="M2574">
            <v>5.1094890510948905E-2</v>
          </cell>
          <cell r="N2574">
            <v>5.0999999999999997E-2</v>
          </cell>
          <cell r="O2574" t="str">
            <v>$1377</v>
          </cell>
          <cell r="P2574" t="str">
            <v>$1377</v>
          </cell>
          <cell r="Q2574">
            <v>45609</v>
          </cell>
          <cell r="R2574" t="str">
            <v>Hyderabad</v>
          </cell>
          <cell r="S2574" t="str">
            <v>Desktop</v>
          </cell>
          <cell r="T2574" t="str">
            <v>data analytics course</v>
          </cell>
        </row>
        <row r="2575">
          <cell r="A2575" t="str">
            <v>A3573</v>
          </cell>
          <cell r="B2575" t="str">
            <v>Data Analytics Course</v>
          </cell>
          <cell r="C2575">
            <v>174</v>
          </cell>
          <cell r="D2575">
            <v>174</v>
          </cell>
          <cell r="E2575">
            <v>4308</v>
          </cell>
          <cell r="F2575">
            <v>4308</v>
          </cell>
          <cell r="G2575" t="str">
            <v>$190.54</v>
          </cell>
          <cell r="H2575" t="str">
            <v>$190.54</v>
          </cell>
          <cell r="I2575">
            <v>24</v>
          </cell>
          <cell r="J2575">
            <v>24</v>
          </cell>
          <cell r="K2575">
            <v>10</v>
          </cell>
          <cell r="L2575">
            <v>10</v>
          </cell>
          <cell r="M2575">
            <v>5.7471264367816091E-2</v>
          </cell>
          <cell r="N2575">
            <v>5.7000000000000002E-2</v>
          </cell>
          <cell r="O2575" t="str">
            <v>$1948</v>
          </cell>
          <cell r="P2575" t="str">
            <v>$1948</v>
          </cell>
          <cell r="Q2575">
            <v>45617</v>
          </cell>
          <cell r="R2575" t="str">
            <v>Bangaluru</v>
          </cell>
          <cell r="S2575" t="str">
            <v>Tablet</v>
          </cell>
          <cell r="T2575" t="str">
            <v>data analytics online</v>
          </cell>
        </row>
        <row r="2576">
          <cell r="A2576" t="str">
            <v>A3574</v>
          </cell>
          <cell r="B2576" t="str">
            <v>Data Analytics Course</v>
          </cell>
          <cell r="C2576">
            <v>177</v>
          </cell>
          <cell r="D2576">
            <v>177</v>
          </cell>
          <cell r="E2576">
            <v>3884</v>
          </cell>
          <cell r="F2576">
            <v>3884</v>
          </cell>
          <cell r="G2576" t="str">
            <v>$219.75</v>
          </cell>
          <cell r="H2576" t="str">
            <v>$219.75</v>
          </cell>
          <cell r="I2576">
            <v>29</v>
          </cell>
          <cell r="J2576">
            <v>29</v>
          </cell>
          <cell r="K2576">
            <v>5</v>
          </cell>
          <cell r="L2576">
            <v>5</v>
          </cell>
          <cell r="M2576">
            <v>2.8248587570621469E-2</v>
          </cell>
          <cell r="N2576">
            <v>2.8000000000000001E-2</v>
          </cell>
          <cell r="O2576" t="str">
            <v>$1626</v>
          </cell>
          <cell r="P2576" t="str">
            <v>$1626</v>
          </cell>
          <cell r="Q2576">
            <v>45601</v>
          </cell>
          <cell r="R2576" t="str">
            <v>Hyderabad</v>
          </cell>
          <cell r="S2576" t="str">
            <v>Desktop</v>
          </cell>
          <cell r="T2576" t="str">
            <v>analytics for data</v>
          </cell>
        </row>
        <row r="2577">
          <cell r="A2577" t="str">
            <v>A3575</v>
          </cell>
          <cell r="B2577" t="str">
            <v>Data Analytcis Course</v>
          </cell>
          <cell r="C2577">
            <v>155</v>
          </cell>
          <cell r="D2577">
            <v>155</v>
          </cell>
          <cell r="E2577">
            <v>4312</v>
          </cell>
          <cell r="F2577">
            <v>4312</v>
          </cell>
          <cell r="G2577" t="str">
            <v>$231.52</v>
          </cell>
          <cell r="H2577" t="str">
            <v>$231.52</v>
          </cell>
          <cell r="I2577">
            <v>30</v>
          </cell>
          <cell r="J2577">
            <v>30</v>
          </cell>
          <cell r="K2577">
            <v>3</v>
          </cell>
          <cell r="L2577">
            <v>3</v>
          </cell>
          <cell r="M2577">
            <v>1.935483870967742E-2</v>
          </cell>
          <cell r="N2577">
            <v>1.9E-2</v>
          </cell>
          <cell r="O2577" t="str">
            <v>$1003</v>
          </cell>
          <cell r="P2577" t="str">
            <v>$1003</v>
          </cell>
          <cell r="Q2577">
            <v>45602</v>
          </cell>
          <cell r="R2577" t="str">
            <v>Hyderabad</v>
          </cell>
          <cell r="S2577" t="str">
            <v>Mobile</v>
          </cell>
          <cell r="T2577" t="str">
            <v>data analytics course</v>
          </cell>
        </row>
        <row r="2578">
          <cell r="A2578" t="str">
            <v>A3576</v>
          </cell>
          <cell r="B2578" t="str">
            <v>Data Analytics Course</v>
          </cell>
          <cell r="C2578">
            <v>129</v>
          </cell>
          <cell r="D2578">
            <v>129</v>
          </cell>
          <cell r="E2578">
            <v>3482</v>
          </cell>
          <cell r="F2578">
            <v>3482</v>
          </cell>
          <cell r="G2578" t="str">
            <v>$184.89</v>
          </cell>
          <cell r="H2578" t="str">
            <v>$184.89</v>
          </cell>
          <cell r="I2578">
            <v>23</v>
          </cell>
          <cell r="J2578">
            <v>23</v>
          </cell>
          <cell r="K2578">
            <v>9</v>
          </cell>
          <cell r="L2578">
            <v>9</v>
          </cell>
          <cell r="M2578">
            <v>6.9767441860465115E-2</v>
          </cell>
          <cell r="O2578" t="str">
            <v>$1667</v>
          </cell>
          <cell r="P2578" t="str">
            <v>$1667</v>
          </cell>
          <cell r="Q2578">
            <v>45625</v>
          </cell>
          <cell r="R2578" t="str">
            <v>Chennai</v>
          </cell>
          <cell r="S2578" t="str">
            <v>Mobile</v>
          </cell>
          <cell r="T2578" t="str">
            <v>online data analytic</v>
          </cell>
        </row>
        <row r="2579">
          <cell r="A2579" t="str">
            <v>A3577</v>
          </cell>
          <cell r="B2579" t="str">
            <v>Data Analytcis Course</v>
          </cell>
          <cell r="C2579">
            <v>91</v>
          </cell>
          <cell r="D2579">
            <v>91</v>
          </cell>
          <cell r="E2579">
            <v>4893</v>
          </cell>
          <cell r="F2579">
            <v>4893</v>
          </cell>
          <cell r="G2579" t="str">
            <v>$222.3</v>
          </cell>
          <cell r="H2579" t="str">
            <v>$222.3</v>
          </cell>
          <cell r="I2579">
            <v>29</v>
          </cell>
          <cell r="J2579">
            <v>29</v>
          </cell>
          <cell r="K2579">
            <v>10</v>
          </cell>
          <cell r="L2579">
            <v>10</v>
          </cell>
          <cell r="M2579">
            <v>0.10989010989010989</v>
          </cell>
          <cell r="N2579">
            <v>0.11</v>
          </cell>
          <cell r="O2579" t="str">
            <v>$1430</v>
          </cell>
          <cell r="P2579" t="str">
            <v>$1430</v>
          </cell>
          <cell r="Q2579">
            <v>45617</v>
          </cell>
          <cell r="R2579" t="str">
            <v>Bangaluru</v>
          </cell>
          <cell r="S2579" t="str">
            <v>Mobile</v>
          </cell>
          <cell r="T2579" t="str">
            <v>learn data analytics</v>
          </cell>
        </row>
        <row r="2580">
          <cell r="A2580" t="str">
            <v>A3578</v>
          </cell>
          <cell r="B2580" t="str">
            <v>Data Analytics Course</v>
          </cell>
          <cell r="C2580">
            <v>138.95699356913184</v>
          </cell>
          <cell r="E2580">
            <v>3075</v>
          </cell>
          <cell r="F2580">
            <v>3075</v>
          </cell>
          <cell r="G2580" t="str">
            <v>$239.32</v>
          </cell>
          <cell r="H2580" t="str">
            <v>$239.32</v>
          </cell>
          <cell r="I2580">
            <v>12</v>
          </cell>
          <cell r="J2580">
            <v>12</v>
          </cell>
          <cell r="K2580">
            <v>10</v>
          </cell>
          <cell r="L2580">
            <v>10</v>
          </cell>
          <cell r="M2580">
            <v>7.1964711837443046E-2</v>
          </cell>
          <cell r="O2580" t="str">
            <v>$1966</v>
          </cell>
          <cell r="P2580" t="str">
            <v>$1966</v>
          </cell>
          <cell r="Q2580">
            <v>45618</v>
          </cell>
          <cell r="R2580" t="str">
            <v>Chennai</v>
          </cell>
          <cell r="S2580" t="str">
            <v>Mobile</v>
          </cell>
          <cell r="T2580" t="str">
            <v>data analytics course</v>
          </cell>
        </row>
        <row r="2581">
          <cell r="A2581" t="str">
            <v>A3579</v>
          </cell>
          <cell r="B2581" t="str">
            <v>Data Analytics Course</v>
          </cell>
          <cell r="C2581">
            <v>126</v>
          </cell>
          <cell r="D2581">
            <v>126</v>
          </cell>
          <cell r="E2581">
            <v>4558</v>
          </cell>
          <cell r="F2581">
            <v>4558</v>
          </cell>
          <cell r="G2581" t="str">
            <v>$195.36</v>
          </cell>
          <cell r="H2581" t="str">
            <v>$195.36</v>
          </cell>
          <cell r="I2581">
            <v>23</v>
          </cell>
          <cell r="J2581">
            <v>23</v>
          </cell>
          <cell r="K2581">
            <v>3</v>
          </cell>
          <cell r="L2581">
            <v>3</v>
          </cell>
          <cell r="M2581">
            <v>2.3809523809523808E-2</v>
          </cell>
          <cell r="N2581">
            <v>2.4E-2</v>
          </cell>
          <cell r="O2581" t="str">
            <v>$1020</v>
          </cell>
          <cell r="P2581" t="str">
            <v>$1020</v>
          </cell>
          <cell r="Q2581">
            <v>45622</v>
          </cell>
          <cell r="R2581" t="str">
            <v>Chennai</v>
          </cell>
          <cell r="S2581" t="str">
            <v>Desktop</v>
          </cell>
          <cell r="T2581" t="str">
            <v>online data analytic</v>
          </cell>
        </row>
        <row r="2582">
          <cell r="A2582" t="str">
            <v>A3580</v>
          </cell>
          <cell r="B2582" t="str">
            <v>Data Analytics Course</v>
          </cell>
          <cell r="C2582">
            <v>87</v>
          </cell>
          <cell r="D2582">
            <v>87</v>
          </cell>
          <cell r="E2582">
            <v>3248</v>
          </cell>
          <cell r="F2582">
            <v>3248</v>
          </cell>
          <cell r="G2582" t="str">
            <v>$220.5</v>
          </cell>
          <cell r="H2582" t="str">
            <v>$220.5</v>
          </cell>
          <cell r="I2582">
            <v>13</v>
          </cell>
          <cell r="J2582">
            <v>13</v>
          </cell>
          <cell r="K2582">
            <v>6</v>
          </cell>
          <cell r="L2582">
            <v>6</v>
          </cell>
          <cell r="M2582">
            <v>6.8965517241379309E-2</v>
          </cell>
          <cell r="O2582" t="str">
            <v>$1871</v>
          </cell>
          <cell r="P2582" t="str">
            <v>$1871</v>
          </cell>
          <cell r="Q2582">
            <v>45624</v>
          </cell>
          <cell r="R2582" t="str">
            <v>Hyderabad</v>
          </cell>
          <cell r="S2582" t="str">
            <v>Mobile</v>
          </cell>
          <cell r="T2582" t="str">
            <v>data analytics online</v>
          </cell>
        </row>
        <row r="2583">
          <cell r="A2583" t="str">
            <v>A3581</v>
          </cell>
          <cell r="B2583" t="str">
            <v>Data Analytcis Course</v>
          </cell>
          <cell r="C2583">
            <v>138.95699356913184</v>
          </cell>
          <cell r="E2583">
            <v>5297</v>
          </cell>
          <cell r="F2583">
            <v>5297</v>
          </cell>
          <cell r="G2583" t="str">
            <v>$200.00</v>
          </cell>
          <cell r="I2583">
            <v>27</v>
          </cell>
          <cell r="J2583">
            <v>27</v>
          </cell>
          <cell r="K2583">
            <v>9</v>
          </cell>
          <cell r="L2583">
            <v>9</v>
          </cell>
          <cell r="M2583">
            <v>6.4768240653698753E-2</v>
          </cell>
          <cell r="O2583" t="str">
            <v>$1268</v>
          </cell>
          <cell r="P2583" t="str">
            <v>$1268</v>
          </cell>
          <cell r="Q2583">
            <v>45619</v>
          </cell>
          <cell r="R2583" t="str">
            <v>Hyderabad</v>
          </cell>
          <cell r="S2583" t="str">
            <v>Desktop</v>
          </cell>
          <cell r="T2583" t="str">
            <v>data analytics course</v>
          </cell>
        </row>
        <row r="2584">
          <cell r="A2584" t="str">
            <v>A3582</v>
          </cell>
          <cell r="B2584" t="str">
            <v>Data Analytics Course</v>
          </cell>
          <cell r="C2584">
            <v>107</v>
          </cell>
          <cell r="D2584">
            <v>107</v>
          </cell>
          <cell r="E2584">
            <v>3589</v>
          </cell>
          <cell r="F2584">
            <v>3589</v>
          </cell>
          <cell r="G2584" t="str">
            <v>$183.25</v>
          </cell>
          <cell r="H2584" t="str">
            <v>$183.25</v>
          </cell>
          <cell r="I2584">
            <v>19</v>
          </cell>
          <cell r="J2584">
            <v>19</v>
          </cell>
          <cell r="K2584">
            <v>6.117647058823529</v>
          </cell>
          <cell r="M2584">
            <v>5.7174271577789988E-2</v>
          </cell>
          <cell r="O2584" t="str">
            <v>$1571</v>
          </cell>
          <cell r="P2584" t="str">
            <v>$1571</v>
          </cell>
          <cell r="Q2584">
            <v>45625</v>
          </cell>
          <cell r="R2584" t="str">
            <v>Hyderabad</v>
          </cell>
          <cell r="S2584" t="str">
            <v>Desktop</v>
          </cell>
          <cell r="T2584" t="str">
            <v>data analytics course</v>
          </cell>
        </row>
        <row r="2585">
          <cell r="A2585" t="str">
            <v>A3583</v>
          </cell>
          <cell r="B2585" t="str">
            <v>Data Analytics Course</v>
          </cell>
          <cell r="C2585">
            <v>124</v>
          </cell>
          <cell r="D2585">
            <v>124</v>
          </cell>
          <cell r="E2585">
            <v>3383</v>
          </cell>
          <cell r="F2585">
            <v>3383</v>
          </cell>
          <cell r="G2585" t="str">
            <v>$224.63</v>
          </cell>
          <cell r="H2585" t="str">
            <v>$224.63</v>
          </cell>
          <cell r="I2585">
            <v>21</v>
          </cell>
          <cell r="J2585">
            <v>21</v>
          </cell>
          <cell r="K2585">
            <v>7</v>
          </cell>
          <cell r="L2585">
            <v>7</v>
          </cell>
          <cell r="M2585">
            <v>5.6451612903225805E-2</v>
          </cell>
          <cell r="O2585" t="str">
            <v>$1263</v>
          </cell>
          <cell r="P2585" t="str">
            <v>$1263</v>
          </cell>
          <cell r="Q2585">
            <v>45606</v>
          </cell>
          <cell r="R2585" t="str">
            <v>Bangaluru</v>
          </cell>
          <cell r="S2585" t="str">
            <v>Desktop</v>
          </cell>
          <cell r="T2585" t="str">
            <v>data analytics online</v>
          </cell>
        </row>
        <row r="2586">
          <cell r="A2586" t="str">
            <v>A3584</v>
          </cell>
          <cell r="B2586" t="str">
            <v>Data Analytics Course</v>
          </cell>
          <cell r="C2586">
            <v>124</v>
          </cell>
          <cell r="D2586">
            <v>124</v>
          </cell>
          <cell r="E2586">
            <v>5629</v>
          </cell>
          <cell r="F2586">
            <v>5629</v>
          </cell>
          <cell r="G2586" t="str">
            <v>$189.62</v>
          </cell>
          <cell r="H2586" t="str">
            <v>$189.62</v>
          </cell>
          <cell r="I2586">
            <v>14</v>
          </cell>
          <cell r="J2586">
            <v>14</v>
          </cell>
          <cell r="K2586">
            <v>9</v>
          </cell>
          <cell r="L2586">
            <v>9</v>
          </cell>
          <cell r="M2586">
            <v>7.2580645161290328E-2</v>
          </cell>
          <cell r="N2586">
            <v>7.2999999999999995E-2</v>
          </cell>
          <cell r="O2586" t="str">
            <v>$1626</v>
          </cell>
          <cell r="P2586" t="str">
            <v>$1626</v>
          </cell>
          <cell r="Q2586">
            <v>45623</v>
          </cell>
          <cell r="R2586" t="str">
            <v>Bangaluru</v>
          </cell>
          <cell r="S2586" t="str">
            <v>Desktop</v>
          </cell>
          <cell r="T2586" t="str">
            <v>data analytics training</v>
          </cell>
        </row>
        <row r="2587">
          <cell r="A2587" t="str">
            <v>A3585</v>
          </cell>
          <cell r="B2587" t="str">
            <v>Data Analytcis Course</v>
          </cell>
          <cell r="C2587">
            <v>97</v>
          </cell>
          <cell r="D2587">
            <v>97</v>
          </cell>
          <cell r="E2587">
            <v>5914</v>
          </cell>
          <cell r="F2587">
            <v>5914</v>
          </cell>
          <cell r="G2587" t="str">
            <v>$226.47</v>
          </cell>
          <cell r="H2587" t="str">
            <v>$226.47</v>
          </cell>
          <cell r="I2587">
            <v>15</v>
          </cell>
          <cell r="J2587">
            <v>15</v>
          </cell>
          <cell r="K2587">
            <v>7</v>
          </cell>
          <cell r="L2587">
            <v>7</v>
          </cell>
          <cell r="M2587">
            <v>7.2164948453608241E-2</v>
          </cell>
          <cell r="O2587" t="str">
            <v>$1889</v>
          </cell>
          <cell r="P2587" t="str">
            <v>$1889</v>
          </cell>
          <cell r="Q2587">
            <v>45604</v>
          </cell>
          <cell r="R2587" t="str">
            <v>Hyderabad</v>
          </cell>
          <cell r="S2587" t="str">
            <v>Tablet</v>
          </cell>
          <cell r="T2587" t="str">
            <v>online data analytic</v>
          </cell>
        </row>
        <row r="2588">
          <cell r="A2588" t="str">
            <v>A3586</v>
          </cell>
          <cell r="B2588" t="str">
            <v>Data Analytics Course</v>
          </cell>
          <cell r="C2588">
            <v>186</v>
          </cell>
          <cell r="D2588">
            <v>186</v>
          </cell>
          <cell r="E2588">
            <v>3314</v>
          </cell>
          <cell r="F2588">
            <v>3314</v>
          </cell>
          <cell r="G2588" t="str">
            <v>$237.84</v>
          </cell>
          <cell r="H2588" t="str">
            <v>$237.84</v>
          </cell>
          <cell r="I2588">
            <v>11</v>
          </cell>
          <cell r="J2588">
            <v>11</v>
          </cell>
          <cell r="K2588">
            <v>5</v>
          </cell>
          <cell r="L2588">
            <v>5</v>
          </cell>
          <cell r="M2588">
            <v>2.6881720430107527E-2</v>
          </cell>
          <cell r="O2588" t="str">
            <v>$1864</v>
          </cell>
          <cell r="P2588" t="str">
            <v>$1864</v>
          </cell>
          <cell r="Q2588">
            <v>45601</v>
          </cell>
          <cell r="R2588" t="str">
            <v>Hyderabad</v>
          </cell>
          <cell r="S2588" t="str">
            <v>Tablet</v>
          </cell>
          <cell r="T2588" t="str">
            <v>data analytics online</v>
          </cell>
        </row>
        <row r="2589">
          <cell r="A2589" t="str">
            <v>A3587</v>
          </cell>
          <cell r="B2589" t="str">
            <v>Data Analytics Course</v>
          </cell>
          <cell r="C2589">
            <v>165</v>
          </cell>
          <cell r="D2589">
            <v>165</v>
          </cell>
          <cell r="E2589">
            <v>5262</v>
          </cell>
          <cell r="F2589">
            <v>5262</v>
          </cell>
          <cell r="G2589" t="str">
            <v>$211.33</v>
          </cell>
          <cell r="H2589" t="str">
            <v>$211.33</v>
          </cell>
          <cell r="I2589">
            <v>24</v>
          </cell>
          <cell r="J2589">
            <v>24</v>
          </cell>
          <cell r="K2589">
            <v>3</v>
          </cell>
          <cell r="L2589">
            <v>3</v>
          </cell>
          <cell r="M2589">
            <v>1.8181818181818181E-2</v>
          </cell>
          <cell r="N2589">
            <v>1.7999999999999999E-2</v>
          </cell>
          <cell r="O2589" t="str">
            <v>$1075</v>
          </cell>
          <cell r="P2589" t="str">
            <v>$1075</v>
          </cell>
          <cell r="Q2589">
            <v>45616</v>
          </cell>
          <cell r="R2589" t="str">
            <v>Hyderabad</v>
          </cell>
          <cell r="S2589" t="str">
            <v>Desktop</v>
          </cell>
          <cell r="T2589" t="str">
            <v>data analytics online</v>
          </cell>
        </row>
        <row r="2590">
          <cell r="A2590" t="str">
            <v>A3588</v>
          </cell>
          <cell r="B2590" t="str">
            <v>Data Analytics Course</v>
          </cell>
          <cell r="C2590">
            <v>110</v>
          </cell>
          <cell r="D2590">
            <v>110</v>
          </cell>
          <cell r="E2590">
            <v>3088</v>
          </cell>
          <cell r="F2590">
            <v>3088</v>
          </cell>
          <cell r="G2590" t="str">
            <v>$205.09</v>
          </cell>
          <cell r="H2590" t="str">
            <v>$205.09</v>
          </cell>
          <cell r="I2590">
            <v>13</v>
          </cell>
          <cell r="J2590">
            <v>13</v>
          </cell>
          <cell r="K2590">
            <v>7</v>
          </cell>
          <cell r="L2590">
            <v>7</v>
          </cell>
          <cell r="M2590">
            <v>6.363636363636363E-2</v>
          </cell>
          <cell r="N2590">
            <v>6.4000000000000001E-2</v>
          </cell>
          <cell r="O2590" t="str">
            <v>$1061</v>
          </cell>
          <cell r="P2590" t="str">
            <v>$1061</v>
          </cell>
          <cell r="Q2590">
            <v>45601</v>
          </cell>
          <cell r="R2590" t="str">
            <v>Hyderabad</v>
          </cell>
          <cell r="S2590" t="str">
            <v>Tablet</v>
          </cell>
          <cell r="T2590" t="str">
            <v>data analytics course</v>
          </cell>
        </row>
        <row r="2591">
          <cell r="A2591" t="str">
            <v>A3589</v>
          </cell>
          <cell r="B2591" t="str">
            <v>Data Analytics Course</v>
          </cell>
          <cell r="C2591">
            <v>191</v>
          </cell>
          <cell r="D2591">
            <v>191</v>
          </cell>
          <cell r="E2591">
            <v>4753</v>
          </cell>
          <cell r="F2591">
            <v>4753</v>
          </cell>
          <cell r="G2591" t="str">
            <v>$200.39</v>
          </cell>
          <cell r="H2591" t="str">
            <v>$200.39</v>
          </cell>
          <cell r="I2591">
            <v>24</v>
          </cell>
          <cell r="J2591">
            <v>24</v>
          </cell>
          <cell r="K2591">
            <v>9</v>
          </cell>
          <cell r="L2591">
            <v>9</v>
          </cell>
          <cell r="M2591">
            <v>4.712041884816754E-2</v>
          </cell>
          <cell r="N2591">
            <v>4.7E-2</v>
          </cell>
          <cell r="O2591" t="str">
            <v>$1702</v>
          </cell>
          <cell r="P2591" t="str">
            <v>$1702</v>
          </cell>
          <cell r="Q2591">
            <v>45601</v>
          </cell>
          <cell r="R2591" t="str">
            <v>Hyderabad</v>
          </cell>
          <cell r="S2591" t="str">
            <v>Mobile</v>
          </cell>
          <cell r="T2591" t="str">
            <v>analytics for data</v>
          </cell>
        </row>
        <row r="2592">
          <cell r="A2592" t="str">
            <v>A3590</v>
          </cell>
          <cell r="B2592" t="str">
            <v>Data Analytcis Course</v>
          </cell>
          <cell r="C2592">
            <v>136</v>
          </cell>
          <cell r="D2592">
            <v>136</v>
          </cell>
          <cell r="E2592">
            <v>3036</v>
          </cell>
          <cell r="F2592">
            <v>3036</v>
          </cell>
          <cell r="G2592" t="str">
            <v>$201.48</v>
          </cell>
          <cell r="H2592" t="str">
            <v>$201.48</v>
          </cell>
          <cell r="I2592">
            <v>20</v>
          </cell>
          <cell r="J2592">
            <v>20</v>
          </cell>
          <cell r="K2592">
            <v>7</v>
          </cell>
          <cell r="L2592">
            <v>7</v>
          </cell>
          <cell r="M2592">
            <v>5.1470588235294115E-2</v>
          </cell>
          <cell r="N2592">
            <v>4.5999999999999999E-2</v>
          </cell>
          <cell r="O2592" t="str">
            <v>$1811</v>
          </cell>
          <cell r="P2592" t="str">
            <v>$1811</v>
          </cell>
          <cell r="Q2592">
            <v>45609</v>
          </cell>
          <cell r="R2592" t="str">
            <v>Bangaluru</v>
          </cell>
          <cell r="S2592" t="str">
            <v>Tablet</v>
          </cell>
          <cell r="T2592" t="str">
            <v>data analytics training</v>
          </cell>
        </row>
        <row r="2593">
          <cell r="A2593" t="str">
            <v>A3591</v>
          </cell>
          <cell r="B2593" t="str">
            <v>Data Analytics Course</v>
          </cell>
          <cell r="C2593">
            <v>146</v>
          </cell>
          <cell r="D2593">
            <v>146</v>
          </cell>
          <cell r="E2593">
            <v>5743</v>
          </cell>
          <cell r="F2593">
            <v>5743</v>
          </cell>
          <cell r="G2593" t="str">
            <v>$190.39</v>
          </cell>
          <cell r="H2593" t="str">
            <v>$190.39</v>
          </cell>
          <cell r="I2593">
            <v>18</v>
          </cell>
          <cell r="J2593">
            <v>18</v>
          </cell>
          <cell r="K2593">
            <v>3</v>
          </cell>
          <cell r="L2593">
            <v>3</v>
          </cell>
          <cell r="M2593">
            <v>2.0547945205479451E-2</v>
          </cell>
          <cell r="N2593">
            <v>2.1000000000000001E-2</v>
          </cell>
          <cell r="O2593" t="str">
            <v>$1108</v>
          </cell>
          <cell r="P2593" t="str">
            <v>$1108</v>
          </cell>
          <cell r="Q2593">
            <v>45609</v>
          </cell>
          <cell r="R2593" t="str">
            <v>Hyderabad</v>
          </cell>
          <cell r="S2593" t="str">
            <v>Mobile</v>
          </cell>
          <cell r="T2593" t="str">
            <v>data analytics training</v>
          </cell>
        </row>
        <row r="2594">
          <cell r="A2594" t="str">
            <v>A3592</v>
          </cell>
          <cell r="B2594" t="str">
            <v>Data Analytics Course</v>
          </cell>
          <cell r="C2594">
            <v>152</v>
          </cell>
          <cell r="D2594">
            <v>152</v>
          </cell>
          <cell r="E2594">
            <v>5061</v>
          </cell>
          <cell r="F2594">
            <v>5061</v>
          </cell>
          <cell r="G2594" t="str">
            <v>$234.42</v>
          </cell>
          <cell r="H2594" t="str">
            <v>$234.42</v>
          </cell>
          <cell r="I2594">
            <v>12</v>
          </cell>
          <cell r="J2594">
            <v>12</v>
          </cell>
          <cell r="K2594">
            <v>5</v>
          </cell>
          <cell r="L2594">
            <v>5</v>
          </cell>
          <cell r="M2594">
            <v>3.2894736842105261E-2</v>
          </cell>
          <cell r="O2594" t="str">
            <v>$1566</v>
          </cell>
          <cell r="P2594" t="str">
            <v>$1566</v>
          </cell>
          <cell r="Q2594">
            <v>45606</v>
          </cell>
          <cell r="R2594" t="str">
            <v>Chennai</v>
          </cell>
          <cell r="S2594" t="str">
            <v>Tablet</v>
          </cell>
          <cell r="T2594" t="str">
            <v>online data analytic</v>
          </cell>
        </row>
        <row r="2595">
          <cell r="A2595" t="str">
            <v>A3593</v>
          </cell>
          <cell r="B2595" t="str">
            <v>Data Analytics Course</v>
          </cell>
          <cell r="C2595">
            <v>189</v>
          </cell>
          <cell r="D2595">
            <v>189</v>
          </cell>
          <cell r="E2595">
            <v>5944</v>
          </cell>
          <cell r="F2595">
            <v>5944</v>
          </cell>
          <cell r="G2595" t="str">
            <v>$202.89</v>
          </cell>
          <cell r="H2595" t="str">
            <v>$202.89</v>
          </cell>
          <cell r="I2595">
            <v>28</v>
          </cell>
          <cell r="J2595">
            <v>28</v>
          </cell>
          <cell r="K2595">
            <v>5</v>
          </cell>
          <cell r="L2595">
            <v>5</v>
          </cell>
          <cell r="M2595">
            <v>2.6455026455026454E-2</v>
          </cell>
          <cell r="O2595" t="str">
            <v>$1360</v>
          </cell>
          <cell r="P2595" t="str">
            <v>$1360</v>
          </cell>
          <cell r="Q2595">
            <v>45604</v>
          </cell>
          <cell r="R2595" t="str">
            <v>Hyderabad</v>
          </cell>
          <cell r="S2595" t="str">
            <v>Mobile</v>
          </cell>
          <cell r="T2595" t="str">
            <v>data analytics course</v>
          </cell>
        </row>
        <row r="2596">
          <cell r="A2596" t="str">
            <v>A3594</v>
          </cell>
          <cell r="B2596" t="str">
            <v>Data Analytics Course</v>
          </cell>
          <cell r="C2596">
            <v>99</v>
          </cell>
          <cell r="D2596">
            <v>99</v>
          </cell>
          <cell r="E2596">
            <v>4446</v>
          </cell>
          <cell r="F2596">
            <v>4446</v>
          </cell>
          <cell r="G2596" t="str">
            <v>$233.53</v>
          </cell>
          <cell r="H2596" t="str">
            <v>$233.53</v>
          </cell>
          <cell r="I2596">
            <v>11</v>
          </cell>
          <cell r="J2596">
            <v>11</v>
          </cell>
          <cell r="K2596">
            <v>6</v>
          </cell>
          <cell r="L2596">
            <v>6</v>
          </cell>
          <cell r="M2596">
            <v>6.0606060606060608E-2</v>
          </cell>
          <cell r="N2596">
            <v>6.0999999999999999E-2</v>
          </cell>
          <cell r="O2596" t="str">
            <v>$1189</v>
          </cell>
          <cell r="P2596" t="str">
            <v>$1189</v>
          </cell>
          <cell r="Q2596">
            <v>45601</v>
          </cell>
          <cell r="R2596" t="str">
            <v>Hyderabad</v>
          </cell>
          <cell r="S2596" t="str">
            <v>Tablet</v>
          </cell>
          <cell r="T2596" t="str">
            <v>data analytics training</v>
          </cell>
        </row>
        <row r="2597">
          <cell r="A2597" t="str">
            <v>A3595</v>
          </cell>
          <cell r="B2597" t="str">
            <v>Data Analytics Course</v>
          </cell>
          <cell r="C2597">
            <v>88</v>
          </cell>
          <cell r="D2597">
            <v>88</v>
          </cell>
          <cell r="E2597">
            <v>5344</v>
          </cell>
          <cell r="F2597">
            <v>5344</v>
          </cell>
          <cell r="G2597" t="str">
            <v>$242.07</v>
          </cell>
          <cell r="H2597" t="str">
            <v>$242.07</v>
          </cell>
          <cell r="I2597">
            <v>17</v>
          </cell>
          <cell r="J2597">
            <v>17</v>
          </cell>
          <cell r="K2597">
            <v>9</v>
          </cell>
          <cell r="L2597">
            <v>9</v>
          </cell>
          <cell r="M2597">
            <v>0.10227272727272728</v>
          </cell>
          <cell r="N2597">
            <v>5.3999999999999999E-2</v>
          </cell>
          <cell r="O2597" t="str">
            <v>$1418</v>
          </cell>
          <cell r="P2597" t="str">
            <v>$1418</v>
          </cell>
          <cell r="Q2597">
            <v>45625</v>
          </cell>
          <cell r="R2597" t="str">
            <v>Hyderabad</v>
          </cell>
          <cell r="S2597" t="str">
            <v>Mobile</v>
          </cell>
          <cell r="T2597" t="str">
            <v>online data analytic</v>
          </cell>
        </row>
        <row r="2598">
          <cell r="A2598" t="str">
            <v>A3596</v>
          </cell>
          <cell r="B2598" t="str">
            <v>Data Analytics Course</v>
          </cell>
          <cell r="C2598">
            <v>154</v>
          </cell>
          <cell r="D2598">
            <v>154</v>
          </cell>
          <cell r="E2598">
            <v>3211</v>
          </cell>
          <cell r="F2598">
            <v>3211</v>
          </cell>
          <cell r="G2598" t="str">
            <v>$248.28</v>
          </cell>
          <cell r="H2598" t="str">
            <v>$248.28</v>
          </cell>
          <cell r="I2598">
            <v>14</v>
          </cell>
          <cell r="J2598">
            <v>14</v>
          </cell>
          <cell r="K2598">
            <v>6</v>
          </cell>
          <cell r="L2598">
            <v>6</v>
          </cell>
          <cell r="M2598">
            <v>3.896103896103896E-2</v>
          </cell>
          <cell r="N2598">
            <v>3.9E-2</v>
          </cell>
          <cell r="O2598" t="str">
            <v>$1950</v>
          </cell>
          <cell r="P2598" t="str">
            <v>$1950</v>
          </cell>
          <cell r="Q2598">
            <v>45624</v>
          </cell>
          <cell r="R2598" t="str">
            <v>Hyderabad</v>
          </cell>
          <cell r="S2598" t="str">
            <v>Tablet</v>
          </cell>
          <cell r="T2598" t="str">
            <v>data analytics online</v>
          </cell>
        </row>
        <row r="2599">
          <cell r="A2599" t="str">
            <v>A3597</v>
          </cell>
          <cell r="B2599" t="str">
            <v>Data Analytics Course</v>
          </cell>
          <cell r="C2599">
            <v>113</v>
          </cell>
          <cell r="D2599">
            <v>113</v>
          </cell>
          <cell r="E2599">
            <v>3808</v>
          </cell>
          <cell r="F2599">
            <v>3808</v>
          </cell>
          <cell r="G2599" t="str">
            <v>$233.25</v>
          </cell>
          <cell r="H2599" t="str">
            <v>$233.25</v>
          </cell>
          <cell r="I2599">
            <v>18</v>
          </cell>
          <cell r="J2599">
            <v>18</v>
          </cell>
          <cell r="K2599">
            <v>4</v>
          </cell>
          <cell r="L2599">
            <v>4</v>
          </cell>
          <cell r="M2599">
            <v>3.5398230088495575E-2</v>
          </cell>
          <cell r="N2599">
            <v>3.5000000000000003E-2</v>
          </cell>
          <cell r="O2599" t="str">
            <v>$1085</v>
          </cell>
          <cell r="P2599" t="str">
            <v>$1085</v>
          </cell>
          <cell r="Q2599">
            <v>45598</v>
          </cell>
          <cell r="R2599" t="str">
            <v>Chennai</v>
          </cell>
          <cell r="S2599" t="str">
            <v>Desktop</v>
          </cell>
          <cell r="T2599" t="str">
            <v>data analytics training</v>
          </cell>
        </row>
        <row r="2600">
          <cell r="A2600" t="str">
            <v>A3598</v>
          </cell>
          <cell r="B2600" t="str">
            <v>Data Analytics Course</v>
          </cell>
          <cell r="C2600">
            <v>196</v>
          </cell>
          <cell r="D2600">
            <v>196</v>
          </cell>
          <cell r="E2600">
            <v>5853</v>
          </cell>
          <cell r="F2600">
            <v>5853</v>
          </cell>
          <cell r="G2600" t="str">
            <v>$220.13</v>
          </cell>
          <cell r="H2600" t="str">
            <v>$220.13</v>
          </cell>
          <cell r="I2600">
            <v>16</v>
          </cell>
          <cell r="J2600">
            <v>16</v>
          </cell>
          <cell r="K2600">
            <v>7</v>
          </cell>
          <cell r="L2600">
            <v>7</v>
          </cell>
          <cell r="M2600">
            <v>3.5714285714285712E-2</v>
          </cell>
          <cell r="N2600">
            <v>3.5999999999999997E-2</v>
          </cell>
          <cell r="O2600" t="str">
            <v>$1558</v>
          </cell>
          <cell r="P2600" t="str">
            <v>$1558</v>
          </cell>
          <cell r="Q2600">
            <v>45604</v>
          </cell>
          <cell r="R2600" t="str">
            <v>Bangaluru</v>
          </cell>
          <cell r="S2600" t="str">
            <v>Tablet</v>
          </cell>
          <cell r="T2600" t="str">
            <v>data analytics training</v>
          </cell>
        </row>
        <row r="2601">
          <cell r="A2601" t="str">
            <v>A3599</v>
          </cell>
          <cell r="B2601" t="str">
            <v>Data Analytics Course</v>
          </cell>
          <cell r="C2601">
            <v>138.95699356913184</v>
          </cell>
          <cell r="E2601">
            <v>5453</v>
          </cell>
          <cell r="F2601">
            <v>5453</v>
          </cell>
          <cell r="G2601" t="str">
            <v>$200.00</v>
          </cell>
          <cell r="I2601">
            <v>12</v>
          </cell>
          <cell r="J2601">
            <v>12</v>
          </cell>
          <cell r="K2601">
            <v>5</v>
          </cell>
          <cell r="L2601">
            <v>5</v>
          </cell>
          <cell r="M2601">
            <v>3.5982355918721523E-2</v>
          </cell>
          <cell r="O2601" t="str">
            <v>$1174</v>
          </cell>
          <cell r="P2601" t="str">
            <v>$1174</v>
          </cell>
          <cell r="Q2601">
            <v>45618</v>
          </cell>
          <cell r="R2601" t="str">
            <v>Hyderabad</v>
          </cell>
          <cell r="S2601" t="str">
            <v>Desktop</v>
          </cell>
          <cell r="T2601" t="str">
            <v>analytics for data</v>
          </cell>
        </row>
      </sheetData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AA0739-DF04-4313-9238-AAFC473A9ED9}" name="Googleadssales" displayName="Googleadssales" ref="A1:M2601" totalsRowShown="0">
  <autoFilter ref="A1:M2601" xr:uid="{E5AA0739-DF04-4313-9238-AAFC473A9ED9}"/>
  <tableColumns count="13">
    <tableColumn id="1" xr3:uid="{544A76F1-B2DC-420E-80E4-881414AF0DED}" name="Ad_ID"/>
    <tableColumn id="2" xr3:uid="{D2C6C970-6898-45CC-873B-EA8542795B11}" name="Campaign_Name"/>
    <tableColumn id="4" xr3:uid="{2C5C939C-CD82-4577-BAE0-461046A4B7CF}" name="Clicks" dataDxfId="10">
      <calculatedColumnFormula>VLOOKUP(Googleadssales[[#This Row],[Ad_ID]],'[1]pre processed data'!A:C,3,0)</calculatedColumnFormula>
    </tableColumn>
    <tableColumn id="5" xr3:uid="{53B5C98B-3AE8-43E4-A544-A57225DECB3A}" name="Impressions" dataDxfId="9">
      <calculatedColumnFormula>VLOOKUP(Googleadssales[[#This Row],[Ad_ID]],'[1]pre processed data'!A:E,5,0)</calculatedColumnFormula>
    </tableColumn>
    <tableColumn id="6" xr3:uid="{E648EBF2-3AF0-4C4F-BC1E-B21656D41B52}" name="Cost" dataDxfId="8">
      <calculatedColumnFormula>VLOOKUP(Googleadssales[[#This Row],[Ad_ID]],[1]!Table3[[Ad_ID]:[Cost-imputed]],7,0)</calculatedColumnFormula>
    </tableColumn>
    <tableColumn id="7" xr3:uid="{5B701153-B8BB-451B-85C0-556077E1702D}" name="Leads " dataDxfId="7">
      <calculatedColumnFormula>VLOOKUP(Googleadssales[[#This Row],[Ad_ID]],'[1]pre processed data'!A:I,9,0)</calculatedColumnFormula>
    </tableColumn>
    <tableColumn id="8" xr3:uid="{B151901F-226B-43FC-B3E2-FD9E47E5F9E7}" name="Conversions" dataDxfId="6">
      <calculatedColumnFormula>VLOOKUP(Googleadssales[[#This Row],[Ad_ID]],'[1]pre processed data'!A:K,11,0)</calculatedColumnFormula>
    </tableColumn>
    <tableColumn id="9" xr3:uid="{F764C9F0-A553-4B62-810D-3C44B660A570}" name="Conversion Rate" dataDxfId="5">
      <calculatedColumnFormula>Googleadssales[[#This Row],[Conversions]]/Googleadssales[[#This Row],[Clicks]]</calculatedColumnFormula>
    </tableColumn>
    <tableColumn id="10" xr3:uid="{B3A70E8C-BF31-4264-8D52-85656020CFC8}" name="Sale Amount " dataDxfId="4">
      <calculatedColumnFormula>VLOOKUP(Googleadssales[[#This Row],[Ad_ID]],'[1]pre processed data'!A:O,15,0)</calculatedColumnFormula>
    </tableColumn>
    <tableColumn id="11" xr3:uid="{FE945F98-F570-467D-83E2-7212F84938CD}" name="Ad_Date" dataDxfId="3">
      <calculatedColumnFormula>VLOOKUP(Googleadssales[[#This Row],[Ad_ID]],'[1]pre processed data'!A:Q,17,0)</calculatedColumnFormula>
    </tableColumn>
    <tableColumn id="12" xr3:uid="{6EB5D87A-7120-4FAC-AE74-F644A547D11D}" name="Location " dataDxfId="2">
      <calculatedColumnFormula>VLOOKUP(Googleadssales[[#This Row],[Ad_ID]],'[1]pre processed data'!A:R,18,0)</calculatedColumnFormula>
    </tableColumn>
    <tableColumn id="13" xr3:uid="{D486A514-9CCA-4311-B732-31BC8A9A23A4}" name="Device" dataDxfId="1">
      <calculatedColumnFormula>VLOOKUP(Googleadssales[[#This Row],[Ad_ID]],'[1]pre processed data'!A:S,19,0)</calculatedColumnFormula>
    </tableColumn>
    <tableColumn id="14" xr3:uid="{7B40E9A4-00CD-4D86-9841-F6A692393288}" name="Keyword" dataDxfId="0">
      <calculatedColumnFormula>VLOOKUP(Googleadssales[[#This Row],[Ad_ID]],'[1]pre processed data'!A:T,20,0)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BB660-CC44-47F5-BA9B-779F30CD74E1}">
  <dimension ref="A1:M2601"/>
  <sheetViews>
    <sheetView tabSelected="1" workbookViewId="0">
      <selection activeCell="O9" sqref="O9"/>
    </sheetView>
  </sheetViews>
  <sheetFormatPr defaultRowHeight="14.4" x14ac:dyDescent="0.3"/>
  <cols>
    <col min="2" max="2" width="22.33203125" customWidth="1"/>
    <col min="4" max="4" width="13.88671875" customWidth="1"/>
    <col min="7" max="7" width="13.21875" customWidth="1"/>
    <col min="8" max="8" width="16.77734375" customWidth="1"/>
    <col min="9" max="9" width="14.6640625" customWidth="1"/>
    <col min="10" max="10" width="12.21875" customWidth="1"/>
    <col min="11" max="11" width="12.44140625" customWidth="1"/>
    <col min="12" max="12" width="12.88671875" customWidth="1"/>
    <col min="13" max="13" width="20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s="4">
        <f>VLOOKUP(Googleadssales[[#This Row],[Ad_ID]],'[1]pre processed data'!A:C,3,0)</f>
        <v>104</v>
      </c>
      <c r="D2" s="4">
        <f>VLOOKUP(Googleadssales[[#This Row],[Ad_ID]],'[1]pre processed data'!A:E,5,0)</f>
        <v>4498</v>
      </c>
      <c r="E2" s="5" t="str">
        <f>VLOOKUP(Googleadssales[[#This Row],[Ad_ID]],[1]!Table3[[Ad_ID]:[Cost-imputed]],7,0)</f>
        <v>$231.88</v>
      </c>
      <c r="F2" s="4">
        <f>VLOOKUP(Googleadssales[[#This Row],[Ad_ID]],'[1]pre processed data'!A:I,9,0)</f>
        <v>14</v>
      </c>
      <c r="G2" s="4">
        <f>VLOOKUP(Googleadssales[[#This Row],[Ad_ID]],'[1]pre processed data'!A:K,11,0)</f>
        <v>7</v>
      </c>
      <c r="H2" s="2">
        <f>Googleadssales[[#This Row],[Conversions]]/Googleadssales[[#This Row],[Clicks]]</f>
        <v>6.7307692307692304E-2</v>
      </c>
      <c r="I2" t="str">
        <f>VLOOKUP(Googleadssales[[#This Row],[Ad_ID]],'[1]pre processed data'!A:O,15,0)</f>
        <v>$1892</v>
      </c>
      <c r="J2" s="3">
        <f>VLOOKUP(Googleadssales[[#This Row],[Ad_ID]],'[1]pre processed data'!A:Q,17,0)</f>
        <v>45612</v>
      </c>
      <c r="K2" t="str">
        <f>VLOOKUP(Googleadssales[[#This Row],[Ad_ID]],'[1]pre processed data'!A:R,18,0)</f>
        <v>Hyderabad</v>
      </c>
      <c r="L2" t="str">
        <f>VLOOKUP(Googleadssales[[#This Row],[Ad_ID]],'[1]pre processed data'!A:S,19,0)</f>
        <v>Desktop</v>
      </c>
      <c r="M2" t="str">
        <f>VLOOKUP(Googleadssales[[#This Row],[Ad_ID]],'[1]pre processed data'!A:T,20,0)</f>
        <v>learn data analytics</v>
      </c>
    </row>
    <row r="3" spans="1:13" x14ac:dyDescent="0.3">
      <c r="A3" t="s">
        <v>15</v>
      </c>
      <c r="B3" t="s">
        <v>14</v>
      </c>
      <c r="C3" s="4">
        <f>VLOOKUP(Googleadssales[[#This Row],[Ad_ID]],'[1]pre processed data'!A:C,3,0)</f>
        <v>173</v>
      </c>
      <c r="D3" s="4">
        <f>VLOOKUP(Googleadssales[[#This Row],[Ad_ID]],'[1]pre processed data'!A:E,5,0)</f>
        <v>5107</v>
      </c>
      <c r="E3" s="5" t="str">
        <f>VLOOKUP(Googleadssales[[#This Row],[Ad_ID]],[1]!Table3[[Ad_ID]:[Cost-imputed]],7,0)</f>
        <v>$216.84</v>
      </c>
      <c r="F3" s="4">
        <f>VLOOKUP(Googleadssales[[#This Row],[Ad_ID]],'[1]pre processed data'!A:I,9,0)</f>
        <v>10</v>
      </c>
      <c r="G3" s="4">
        <f>VLOOKUP(Googleadssales[[#This Row],[Ad_ID]],'[1]pre processed data'!A:K,11,0)</f>
        <v>8</v>
      </c>
      <c r="H3" s="2">
        <f>Googleadssales[[#This Row],[Conversions]]/Googleadssales[[#This Row],[Clicks]]</f>
        <v>4.6242774566473986E-2</v>
      </c>
      <c r="I3" t="str">
        <f>VLOOKUP(Googleadssales[[#This Row],[Ad_ID]],'[1]pre processed data'!A:O,15,0)</f>
        <v>$1679</v>
      </c>
      <c r="J3" s="3">
        <f>VLOOKUP(Googleadssales[[#This Row],[Ad_ID]],'[1]pre processed data'!A:Q,17,0)</f>
        <v>45616</v>
      </c>
      <c r="K3" t="str">
        <f>VLOOKUP(Googleadssales[[#This Row],[Ad_ID]],'[1]pre processed data'!A:R,18,0)</f>
        <v>Hyderabad</v>
      </c>
      <c r="L3" t="str">
        <f>VLOOKUP(Googleadssales[[#This Row],[Ad_ID]],'[1]pre processed data'!A:S,19,0)</f>
        <v>Mobile</v>
      </c>
      <c r="M3" t="str">
        <f>VLOOKUP(Googleadssales[[#This Row],[Ad_ID]],'[1]pre processed data'!A:T,20,0)</f>
        <v>data analytics course</v>
      </c>
    </row>
    <row r="4" spans="1:13" x14ac:dyDescent="0.3">
      <c r="A4" t="s">
        <v>16</v>
      </c>
      <c r="B4" t="s">
        <v>14</v>
      </c>
      <c r="C4" s="4">
        <f>VLOOKUP(Googleadssales[[#This Row],[Ad_ID]],'[1]pre processed data'!A:C,3,0)</f>
        <v>90</v>
      </c>
      <c r="D4" s="4">
        <f>VLOOKUP(Googleadssales[[#This Row],[Ad_ID]],'[1]pre processed data'!A:E,5,0)</f>
        <v>4544</v>
      </c>
      <c r="E4" s="5" t="str">
        <f>VLOOKUP(Googleadssales[[#This Row],[Ad_ID]],[1]!Table3[[Ad_ID]:[Cost-imputed]],7,0)</f>
        <v>$203.66</v>
      </c>
      <c r="F4" s="4">
        <f>VLOOKUP(Googleadssales[[#This Row],[Ad_ID]],'[1]pre processed data'!A:I,9,0)</f>
        <v>26</v>
      </c>
      <c r="G4" s="4">
        <f>VLOOKUP(Googleadssales[[#This Row],[Ad_ID]],'[1]pre processed data'!A:K,11,0)</f>
        <v>9</v>
      </c>
      <c r="H4" s="2">
        <f>Googleadssales[[#This Row],[Conversions]]/Googleadssales[[#This Row],[Clicks]]</f>
        <v>0.1</v>
      </c>
      <c r="I4" t="str">
        <f>VLOOKUP(Googleadssales[[#This Row],[Ad_ID]],'[1]pre processed data'!A:O,15,0)</f>
        <v>$1624</v>
      </c>
      <c r="J4" s="3">
        <f>VLOOKUP(Googleadssales[[#This Row],[Ad_ID]],'[1]pre processed data'!A:Q,17,0)</f>
        <v>45612</v>
      </c>
      <c r="K4" t="str">
        <f>VLOOKUP(Googleadssales[[#This Row],[Ad_ID]],'[1]pre processed data'!A:R,18,0)</f>
        <v>Hyderabad</v>
      </c>
      <c r="L4" t="str">
        <f>VLOOKUP(Googleadssales[[#This Row],[Ad_ID]],'[1]pre processed data'!A:S,19,0)</f>
        <v>Desktop</v>
      </c>
      <c r="M4" t="str">
        <f>VLOOKUP(Googleadssales[[#This Row],[Ad_ID]],'[1]pre processed data'!A:T,20,0)</f>
        <v>data analytics online</v>
      </c>
    </row>
    <row r="5" spans="1:13" x14ac:dyDescent="0.3">
      <c r="A5" t="s">
        <v>17</v>
      </c>
      <c r="B5" t="s">
        <v>18</v>
      </c>
      <c r="C5" s="4">
        <f>VLOOKUP(Googleadssales[[#This Row],[Ad_ID]],'[1]pre processed data'!A:C,3,0)</f>
        <v>142</v>
      </c>
      <c r="D5" s="4">
        <f>VLOOKUP(Googleadssales[[#This Row],[Ad_ID]],'[1]pre processed data'!A:E,5,0)</f>
        <v>3185</v>
      </c>
      <c r="E5" s="5" t="str">
        <f>VLOOKUP(Googleadssales[[#This Row],[Ad_ID]],[1]!Table3[[Ad_ID]:[Cost-imputed]],7,0)</f>
        <v>$237.66</v>
      </c>
      <c r="F5" s="4">
        <f>VLOOKUP(Googleadssales[[#This Row],[Ad_ID]],'[1]pre processed data'!A:I,9,0)</f>
        <v>17</v>
      </c>
      <c r="G5" s="4">
        <f>VLOOKUP(Googleadssales[[#This Row],[Ad_ID]],'[1]pre processed data'!A:K,11,0)</f>
        <v>6</v>
      </c>
      <c r="H5" s="2">
        <f>Googleadssales[[#This Row],[Conversions]]/Googleadssales[[#This Row],[Clicks]]</f>
        <v>4.2253521126760563E-2</v>
      </c>
      <c r="I5" t="str">
        <f>VLOOKUP(Googleadssales[[#This Row],[Ad_ID]],'[1]pre processed data'!A:O,15,0)</f>
        <v>$1225</v>
      </c>
      <c r="J5" s="3">
        <f>VLOOKUP(Googleadssales[[#This Row],[Ad_ID]],'[1]pre processed data'!A:Q,17,0)</f>
        <v>45622</v>
      </c>
      <c r="K5" t="str">
        <f>VLOOKUP(Googleadssales[[#This Row],[Ad_ID]],'[1]pre processed data'!A:R,18,0)</f>
        <v>Hyderabad</v>
      </c>
      <c r="L5" t="str">
        <f>VLOOKUP(Googleadssales[[#This Row],[Ad_ID]],'[1]pre processed data'!A:S,19,0)</f>
        <v>Tablet</v>
      </c>
      <c r="M5" t="str">
        <f>VLOOKUP(Googleadssales[[#This Row],[Ad_ID]],'[1]pre processed data'!A:T,20,0)</f>
        <v>data analytics training</v>
      </c>
    </row>
    <row r="6" spans="1:13" x14ac:dyDescent="0.3">
      <c r="A6" t="s">
        <v>19</v>
      </c>
      <c r="B6" t="s">
        <v>14</v>
      </c>
      <c r="C6" s="4">
        <f>VLOOKUP(Googleadssales[[#This Row],[Ad_ID]],'[1]pre processed data'!A:C,3,0)</f>
        <v>156</v>
      </c>
      <c r="D6" s="4">
        <f>VLOOKUP(Googleadssales[[#This Row],[Ad_ID]],'[1]pre processed data'!A:E,5,0)</f>
        <v>3361</v>
      </c>
      <c r="E6" s="5" t="str">
        <f>VLOOKUP(Googleadssales[[#This Row],[Ad_ID]],[1]!Table3[[Ad_ID]:[Cost-imputed]],7,0)</f>
        <v>$195.9</v>
      </c>
      <c r="F6" s="4">
        <f>VLOOKUP(Googleadssales[[#This Row],[Ad_ID]],'[1]pre processed data'!A:I,9,0)</f>
        <v>30</v>
      </c>
      <c r="G6" s="4">
        <f>VLOOKUP(Googleadssales[[#This Row],[Ad_ID]],'[1]pre processed data'!A:K,11,0)</f>
        <v>8</v>
      </c>
      <c r="H6" s="2">
        <f>Googleadssales[[#This Row],[Conversions]]/Googleadssales[[#This Row],[Clicks]]</f>
        <v>5.128205128205128E-2</v>
      </c>
      <c r="I6" t="str">
        <f>VLOOKUP(Googleadssales[[#This Row],[Ad_ID]],'[1]pre processed data'!A:O,15,0)</f>
        <v>$1091</v>
      </c>
      <c r="J6" s="3">
        <f>VLOOKUP(Googleadssales[[#This Row],[Ad_ID]],'[1]pre processed data'!A:Q,17,0)</f>
        <v>45618</v>
      </c>
      <c r="K6" t="str">
        <f>VLOOKUP(Googleadssales[[#This Row],[Ad_ID]],'[1]pre processed data'!A:R,18,0)</f>
        <v>Hyderabad</v>
      </c>
      <c r="L6" t="str">
        <f>VLOOKUP(Googleadssales[[#This Row],[Ad_ID]],'[1]pre processed data'!A:S,19,0)</f>
        <v>Desktop</v>
      </c>
      <c r="M6" t="str">
        <f>VLOOKUP(Googleadssales[[#This Row],[Ad_ID]],'[1]pre processed data'!A:T,20,0)</f>
        <v>online data analytic</v>
      </c>
    </row>
    <row r="7" spans="1:13" x14ac:dyDescent="0.3">
      <c r="A7" t="s">
        <v>20</v>
      </c>
      <c r="B7" t="s">
        <v>14</v>
      </c>
      <c r="C7" s="4">
        <f>VLOOKUP(Googleadssales[[#This Row],[Ad_ID]],'[1]pre processed data'!A:C,3,0)</f>
        <v>195</v>
      </c>
      <c r="D7" s="4">
        <f>VLOOKUP(Googleadssales[[#This Row],[Ad_ID]],'[1]pre processed data'!A:E,5,0)</f>
        <v>3776</v>
      </c>
      <c r="E7" s="5" t="str">
        <f>VLOOKUP(Googleadssales[[#This Row],[Ad_ID]],[1]!Table3[[Ad_ID]:[Cost-imputed]],7,0)</f>
        <v>$243.57</v>
      </c>
      <c r="F7" s="4">
        <f>VLOOKUP(Googleadssales[[#This Row],[Ad_ID]],'[1]pre processed data'!A:I,9,0)</f>
        <v>10</v>
      </c>
      <c r="G7" s="4">
        <f>VLOOKUP(Googleadssales[[#This Row],[Ad_ID]],'[1]pre processed data'!A:K,11,0)</f>
        <v>8</v>
      </c>
      <c r="H7" s="2">
        <f>Googleadssales[[#This Row],[Conversions]]/Googleadssales[[#This Row],[Clicks]]</f>
        <v>4.1025641025641026E-2</v>
      </c>
      <c r="I7" t="str">
        <f>VLOOKUP(Googleadssales[[#This Row],[Ad_ID]],'[1]pre processed data'!A:O,15,0)</f>
        <v>$1315</v>
      </c>
      <c r="J7" s="3">
        <f>VLOOKUP(Googleadssales[[#This Row],[Ad_ID]],'[1]pre processed data'!A:Q,17,0)</f>
        <v>45612</v>
      </c>
      <c r="K7" t="str">
        <f>VLOOKUP(Googleadssales[[#This Row],[Ad_ID]],'[1]pre processed data'!A:R,18,0)</f>
        <v>Hyderabad</v>
      </c>
      <c r="L7" t="str">
        <f>VLOOKUP(Googleadssales[[#This Row],[Ad_ID]],'[1]pre processed data'!A:S,19,0)</f>
        <v>Mobile</v>
      </c>
      <c r="M7" t="str">
        <f>VLOOKUP(Googleadssales[[#This Row],[Ad_ID]],'[1]pre processed data'!A:T,20,0)</f>
        <v>data analytics training</v>
      </c>
    </row>
    <row r="8" spans="1:13" x14ac:dyDescent="0.3">
      <c r="A8" t="s">
        <v>21</v>
      </c>
      <c r="B8" t="s">
        <v>14</v>
      </c>
      <c r="C8" s="4">
        <f>VLOOKUP(Googleadssales[[#This Row],[Ad_ID]],'[1]pre processed data'!A:C,3,0)</f>
        <v>116</v>
      </c>
      <c r="D8" s="4">
        <f>VLOOKUP(Googleadssales[[#This Row],[Ad_ID]],'[1]pre processed data'!A:E,5,0)</f>
        <v>4480</v>
      </c>
      <c r="E8" s="5" t="str">
        <f>VLOOKUP(Googleadssales[[#This Row],[Ad_ID]],[1]!Table3[[Ad_ID]:[Cost-imputed]],7,0)</f>
        <v>$237.79</v>
      </c>
      <c r="F8" s="4">
        <f>VLOOKUP(Googleadssales[[#This Row],[Ad_ID]],'[1]pre processed data'!A:I,9,0)</f>
        <v>17</v>
      </c>
      <c r="G8" s="4">
        <f>VLOOKUP(Googleadssales[[#This Row],[Ad_ID]],'[1]pre processed data'!A:K,11,0)</f>
        <v>5</v>
      </c>
      <c r="H8" s="2">
        <f>Googleadssales[[#This Row],[Conversions]]/Googleadssales[[#This Row],[Clicks]]</f>
        <v>4.3103448275862072E-2</v>
      </c>
      <c r="I8" t="str">
        <f>VLOOKUP(Googleadssales[[#This Row],[Ad_ID]],'[1]pre processed data'!A:O,15,0)</f>
        <v>$1640</v>
      </c>
      <c r="J8" s="3">
        <f>VLOOKUP(Googleadssales[[#This Row],[Ad_ID]],'[1]pre processed data'!A:Q,17,0)</f>
        <v>45602</v>
      </c>
      <c r="K8" t="str">
        <f>VLOOKUP(Googleadssales[[#This Row],[Ad_ID]],'[1]pre processed data'!A:R,18,0)</f>
        <v>Hyderabad</v>
      </c>
      <c r="L8" t="str">
        <f>VLOOKUP(Googleadssales[[#This Row],[Ad_ID]],'[1]pre processed data'!A:S,19,0)</f>
        <v>Tablet</v>
      </c>
      <c r="M8" t="str">
        <f>VLOOKUP(Googleadssales[[#This Row],[Ad_ID]],'[1]pre processed data'!A:T,20,0)</f>
        <v>data analytics course</v>
      </c>
    </row>
    <row r="9" spans="1:13" x14ac:dyDescent="0.3">
      <c r="A9" t="s">
        <v>22</v>
      </c>
      <c r="B9" t="s">
        <v>14</v>
      </c>
      <c r="C9" s="4">
        <f>VLOOKUP(Googleadssales[[#This Row],[Ad_ID]],'[1]pre processed data'!A:C,3,0)</f>
        <v>184</v>
      </c>
      <c r="D9" s="4">
        <f>VLOOKUP(Googleadssales[[#This Row],[Ad_ID]],'[1]pre processed data'!A:E,5,0)</f>
        <v>5060</v>
      </c>
      <c r="E9" s="5" t="str">
        <f>VLOOKUP(Googleadssales[[#This Row],[Ad_ID]],[1]!Table3[[Ad_ID]:[Cost-imputed]],7,0)</f>
        <v>$229.61</v>
      </c>
      <c r="F9" s="4">
        <f>VLOOKUP(Googleadssales[[#This Row],[Ad_ID]],'[1]pre processed data'!A:I,9,0)</f>
        <v>23</v>
      </c>
      <c r="G9" s="4">
        <f>VLOOKUP(Googleadssales[[#This Row],[Ad_ID]],'[1]pre processed data'!A:K,11,0)</f>
        <v>3</v>
      </c>
      <c r="H9" s="2">
        <f>Googleadssales[[#This Row],[Conversions]]/Googleadssales[[#This Row],[Clicks]]</f>
        <v>1.6304347826086956E-2</v>
      </c>
      <c r="I9" t="str">
        <f>VLOOKUP(Googleadssales[[#This Row],[Ad_ID]],'[1]pre processed data'!A:O,15,0)</f>
        <v>$1509</v>
      </c>
      <c r="J9" s="3">
        <f>VLOOKUP(Googleadssales[[#This Row],[Ad_ID]],'[1]pre processed data'!A:Q,17,0)</f>
        <v>45620</v>
      </c>
      <c r="K9" t="str">
        <f>VLOOKUP(Googleadssales[[#This Row],[Ad_ID]],'[1]pre processed data'!A:R,18,0)</f>
        <v>Chennai</v>
      </c>
      <c r="L9" t="str">
        <f>VLOOKUP(Googleadssales[[#This Row],[Ad_ID]],'[1]pre processed data'!A:S,19,0)</f>
        <v>Tablet</v>
      </c>
      <c r="M9" t="str">
        <f>VLOOKUP(Googleadssales[[#This Row],[Ad_ID]],'[1]pre processed data'!A:T,20,0)</f>
        <v>analytics for data</v>
      </c>
    </row>
    <row r="10" spans="1:13" x14ac:dyDescent="0.3">
      <c r="A10" t="s">
        <v>23</v>
      </c>
      <c r="B10" t="s">
        <v>14</v>
      </c>
      <c r="C10" s="4">
        <f>VLOOKUP(Googleadssales[[#This Row],[Ad_ID]],'[1]pre processed data'!A:C,3,0)</f>
        <v>113</v>
      </c>
      <c r="D10" s="4">
        <f>VLOOKUP(Googleadssales[[#This Row],[Ad_ID]],'[1]pre processed data'!A:E,5,0)</f>
        <v>5434</v>
      </c>
      <c r="E10" s="5" t="str">
        <f>VLOOKUP(Googleadssales[[#This Row],[Ad_ID]],[1]!Table3[[Ad_ID]:[Cost-imputed]],7,0)</f>
        <v>$200.00</v>
      </c>
      <c r="F10" s="4">
        <f>VLOOKUP(Googleadssales[[#This Row],[Ad_ID]],'[1]pre processed data'!A:I,9,0)</f>
        <v>27</v>
      </c>
      <c r="G10" s="4">
        <f>VLOOKUP(Googleadssales[[#This Row],[Ad_ID]],'[1]pre processed data'!A:K,11,0)</f>
        <v>4</v>
      </c>
      <c r="H10" s="2">
        <f>Googleadssales[[#This Row],[Conversions]]/Googleadssales[[#This Row],[Clicks]]</f>
        <v>3.5398230088495575E-2</v>
      </c>
      <c r="I10" t="str">
        <f>VLOOKUP(Googleadssales[[#This Row],[Ad_ID]],'[1]pre processed data'!A:O,15,0)</f>
        <v>$1362</v>
      </c>
      <c r="J10" s="3">
        <f>VLOOKUP(Googleadssales[[#This Row],[Ad_ID]],'[1]pre processed data'!A:Q,17,0)</f>
        <v>45620</v>
      </c>
      <c r="K10" t="str">
        <f>VLOOKUP(Googleadssales[[#This Row],[Ad_ID]],'[1]pre processed data'!A:R,18,0)</f>
        <v>Chennai</v>
      </c>
      <c r="L10" t="str">
        <f>VLOOKUP(Googleadssales[[#This Row],[Ad_ID]],'[1]pre processed data'!A:S,19,0)</f>
        <v>Tablet</v>
      </c>
      <c r="M10" t="str">
        <f>VLOOKUP(Googleadssales[[#This Row],[Ad_ID]],'[1]pre processed data'!A:T,20,0)</f>
        <v>data analytics training</v>
      </c>
    </row>
    <row r="11" spans="1:13" x14ac:dyDescent="0.3">
      <c r="A11" t="s">
        <v>24</v>
      </c>
      <c r="B11" t="s">
        <v>18</v>
      </c>
      <c r="C11" s="4">
        <f>VLOOKUP(Googleadssales[[#This Row],[Ad_ID]],'[1]pre processed data'!A:C,3,0)</f>
        <v>166</v>
      </c>
      <c r="D11" s="4">
        <f>VLOOKUP(Googleadssales[[#This Row],[Ad_ID]],'[1]pre processed data'!A:E,5,0)</f>
        <v>3355</v>
      </c>
      <c r="E11" s="5" t="str">
        <f>VLOOKUP(Googleadssales[[#This Row],[Ad_ID]],[1]!Table3[[Ad_ID]:[Cost-imputed]],7,0)</f>
        <v>$186.78</v>
      </c>
      <c r="F11" s="4">
        <f>VLOOKUP(Googleadssales[[#This Row],[Ad_ID]],'[1]pre processed data'!A:I,9,0)</f>
        <v>24</v>
      </c>
      <c r="G11" s="4">
        <f>VLOOKUP(Googleadssales[[#This Row],[Ad_ID]],'[1]pre processed data'!A:K,11,0)</f>
        <v>9</v>
      </c>
      <c r="H11" s="2">
        <f>Googleadssales[[#This Row],[Conversions]]/Googleadssales[[#This Row],[Clicks]]</f>
        <v>5.4216867469879519E-2</v>
      </c>
      <c r="I11" t="str">
        <f>VLOOKUP(Googleadssales[[#This Row],[Ad_ID]],'[1]pre processed data'!A:O,15,0)</f>
        <v>$1029</v>
      </c>
      <c r="J11" s="3">
        <f>VLOOKUP(Googleadssales[[#This Row],[Ad_ID]],'[1]pre processed data'!A:Q,17,0)</f>
        <v>45608</v>
      </c>
      <c r="K11" t="str">
        <f>VLOOKUP(Googleadssales[[#This Row],[Ad_ID]],'[1]pre processed data'!A:R,18,0)</f>
        <v>Chennai</v>
      </c>
      <c r="L11" t="str">
        <f>VLOOKUP(Googleadssales[[#This Row],[Ad_ID]],'[1]pre processed data'!A:S,19,0)</f>
        <v>Mobile</v>
      </c>
      <c r="M11" t="str">
        <f>VLOOKUP(Googleadssales[[#This Row],[Ad_ID]],'[1]pre processed data'!A:T,20,0)</f>
        <v>online data analytic</v>
      </c>
    </row>
    <row r="12" spans="1:13" x14ac:dyDescent="0.3">
      <c r="A12" t="s">
        <v>25</v>
      </c>
      <c r="B12" t="s">
        <v>14</v>
      </c>
      <c r="C12" s="4">
        <f>VLOOKUP(Googleadssales[[#This Row],[Ad_ID]],'[1]pre processed data'!A:C,3,0)</f>
        <v>101</v>
      </c>
      <c r="D12" s="4">
        <f>VLOOKUP(Googleadssales[[#This Row],[Ad_ID]],'[1]pre processed data'!A:E,5,0)</f>
        <v>5399</v>
      </c>
      <c r="E12" s="5" t="str">
        <f>VLOOKUP(Googleadssales[[#This Row],[Ad_ID]],[1]!Table3[[Ad_ID]:[Cost-imputed]],7,0)</f>
        <v>$236.79</v>
      </c>
      <c r="F12" s="4">
        <f>VLOOKUP(Googleadssales[[#This Row],[Ad_ID]],'[1]pre processed data'!A:I,9,0)</f>
        <v>20</v>
      </c>
      <c r="G12" s="4">
        <f>VLOOKUP(Googleadssales[[#This Row],[Ad_ID]],'[1]pre processed data'!A:K,11,0)</f>
        <v>6</v>
      </c>
      <c r="H12" s="2">
        <f>Googleadssales[[#This Row],[Conversions]]/Googleadssales[[#This Row],[Clicks]]</f>
        <v>5.9405940594059403E-2</v>
      </c>
      <c r="I12" t="str">
        <f>VLOOKUP(Googleadssales[[#This Row],[Ad_ID]],'[1]pre processed data'!A:O,15,0)</f>
        <v>$1900</v>
      </c>
      <c r="J12" s="3">
        <f>VLOOKUP(Googleadssales[[#This Row],[Ad_ID]],'[1]pre processed data'!A:Q,17,0)</f>
        <v>45610</v>
      </c>
      <c r="K12" t="str">
        <f>VLOOKUP(Googleadssales[[#This Row],[Ad_ID]],'[1]pre processed data'!A:R,18,0)</f>
        <v>Hyderabad</v>
      </c>
      <c r="L12" t="str">
        <f>VLOOKUP(Googleadssales[[#This Row],[Ad_ID]],'[1]pre processed data'!A:S,19,0)</f>
        <v>Desktop</v>
      </c>
      <c r="M12" t="str">
        <f>VLOOKUP(Googleadssales[[#This Row],[Ad_ID]],'[1]pre processed data'!A:T,20,0)</f>
        <v>learn data analytics</v>
      </c>
    </row>
    <row r="13" spans="1:13" x14ac:dyDescent="0.3">
      <c r="A13" t="s">
        <v>26</v>
      </c>
      <c r="B13" t="s">
        <v>14</v>
      </c>
      <c r="C13" s="4">
        <f>VLOOKUP(Googleadssales[[#This Row],[Ad_ID]],'[1]pre processed data'!A:C,3,0)</f>
        <v>101</v>
      </c>
      <c r="D13" s="4">
        <f>VLOOKUP(Googleadssales[[#This Row],[Ad_ID]],'[1]pre processed data'!A:E,5,0)</f>
        <v>3613</v>
      </c>
      <c r="E13" s="5" t="str">
        <f>VLOOKUP(Googleadssales[[#This Row],[Ad_ID]],[1]!Table3[[Ad_ID]:[Cost-imputed]],7,0)</f>
        <v>$208.12</v>
      </c>
      <c r="F13" s="4">
        <f>VLOOKUP(Googleadssales[[#This Row],[Ad_ID]],'[1]pre processed data'!A:I,9,0)</f>
        <v>24</v>
      </c>
      <c r="G13" s="4">
        <f>VLOOKUP(Googleadssales[[#This Row],[Ad_ID]],'[1]pre processed data'!A:K,11,0)</f>
        <v>5</v>
      </c>
      <c r="H13" s="2">
        <f>Googleadssales[[#This Row],[Conversions]]/Googleadssales[[#This Row],[Clicks]]</f>
        <v>4.9504950495049507E-2</v>
      </c>
      <c r="I13" t="str">
        <f>VLOOKUP(Googleadssales[[#This Row],[Ad_ID]],'[1]pre processed data'!A:O,15,0)</f>
        <v>$1130</v>
      </c>
      <c r="J13" s="3">
        <f>VLOOKUP(Googleadssales[[#This Row],[Ad_ID]],'[1]pre processed data'!A:Q,17,0)</f>
        <v>45618</v>
      </c>
      <c r="K13" t="str">
        <f>VLOOKUP(Googleadssales[[#This Row],[Ad_ID]],'[1]pre processed data'!A:R,18,0)</f>
        <v>Hyderabad</v>
      </c>
      <c r="L13" t="str">
        <f>VLOOKUP(Googleadssales[[#This Row],[Ad_ID]],'[1]pre processed data'!A:S,19,0)</f>
        <v>Desktop</v>
      </c>
      <c r="M13" t="str">
        <f>VLOOKUP(Googleadssales[[#This Row],[Ad_ID]],'[1]pre processed data'!A:T,20,0)</f>
        <v>online data analytic</v>
      </c>
    </row>
    <row r="14" spans="1:13" x14ac:dyDescent="0.3">
      <c r="A14" t="s">
        <v>27</v>
      </c>
      <c r="B14" t="s">
        <v>18</v>
      </c>
      <c r="C14" s="4">
        <f>VLOOKUP(Googleadssales[[#This Row],[Ad_ID]],'[1]pre processed data'!A:C,3,0)</f>
        <v>125</v>
      </c>
      <c r="D14" s="4">
        <f>VLOOKUP(Googleadssales[[#This Row],[Ad_ID]],'[1]pre processed data'!A:E,5,0)</f>
        <v>3259</v>
      </c>
      <c r="E14" s="5" t="str">
        <f>VLOOKUP(Googleadssales[[#This Row],[Ad_ID]],[1]!Table3[[Ad_ID]:[Cost-imputed]],7,0)</f>
        <v>$191.3</v>
      </c>
      <c r="F14" s="4">
        <f>VLOOKUP(Googleadssales[[#This Row],[Ad_ID]],'[1]pre processed data'!A:I,9,0)</f>
        <v>18</v>
      </c>
      <c r="G14" s="4">
        <f>VLOOKUP(Googleadssales[[#This Row],[Ad_ID]],'[1]pre processed data'!A:K,11,0)</f>
        <v>3</v>
      </c>
      <c r="H14" s="2">
        <f>Googleadssales[[#This Row],[Conversions]]/Googleadssales[[#This Row],[Clicks]]</f>
        <v>2.4E-2</v>
      </c>
      <c r="I14" t="str">
        <f>VLOOKUP(Googleadssales[[#This Row],[Ad_ID]],'[1]pre processed data'!A:O,15,0)</f>
        <v>$1959</v>
      </c>
      <c r="J14" s="3">
        <f>VLOOKUP(Googleadssales[[#This Row],[Ad_ID]],'[1]pre processed data'!A:Q,17,0)</f>
        <v>45623</v>
      </c>
      <c r="K14" t="str">
        <f>VLOOKUP(Googleadssales[[#This Row],[Ad_ID]],'[1]pre processed data'!A:R,18,0)</f>
        <v>Bangaluru</v>
      </c>
      <c r="L14" t="str">
        <f>VLOOKUP(Googleadssales[[#This Row],[Ad_ID]],'[1]pre processed data'!A:S,19,0)</f>
        <v>Desktop</v>
      </c>
      <c r="M14" t="str">
        <f>VLOOKUP(Googleadssales[[#This Row],[Ad_ID]],'[1]pre processed data'!A:T,20,0)</f>
        <v>data analytics online</v>
      </c>
    </row>
    <row r="15" spans="1:13" x14ac:dyDescent="0.3">
      <c r="A15" t="s">
        <v>28</v>
      </c>
      <c r="B15" t="s">
        <v>14</v>
      </c>
      <c r="C15" s="4">
        <f>VLOOKUP(Googleadssales[[#This Row],[Ad_ID]],'[1]pre processed data'!A:C,3,0)</f>
        <v>196</v>
      </c>
      <c r="D15" s="4">
        <f>VLOOKUP(Googleadssales[[#This Row],[Ad_ID]],'[1]pre processed data'!A:E,5,0)</f>
        <v>3742</v>
      </c>
      <c r="E15" s="5" t="str">
        <f>VLOOKUP(Googleadssales[[#This Row],[Ad_ID]],[1]!Table3[[Ad_ID]:[Cost-imputed]],7,0)</f>
        <v>$207.46</v>
      </c>
      <c r="F15" s="4">
        <f>VLOOKUP(Googleadssales[[#This Row],[Ad_ID]],'[1]pre processed data'!A:I,9,0)</f>
        <v>10</v>
      </c>
      <c r="G15" s="4">
        <f>VLOOKUP(Googleadssales[[#This Row],[Ad_ID]],'[1]pre processed data'!A:K,11,0)</f>
        <v>7</v>
      </c>
      <c r="H15" s="2">
        <f>Googleadssales[[#This Row],[Conversions]]/Googleadssales[[#This Row],[Clicks]]</f>
        <v>3.5714285714285712E-2</v>
      </c>
      <c r="I15" t="str">
        <f>VLOOKUP(Googleadssales[[#This Row],[Ad_ID]],'[1]pre processed data'!A:O,15,0)</f>
        <v>$1623</v>
      </c>
      <c r="J15" s="3">
        <f>VLOOKUP(Googleadssales[[#This Row],[Ad_ID]],'[1]pre processed data'!A:Q,17,0)</f>
        <v>45608</v>
      </c>
      <c r="K15" t="str">
        <f>VLOOKUP(Googleadssales[[#This Row],[Ad_ID]],'[1]pre processed data'!A:R,18,0)</f>
        <v>Hyderabad</v>
      </c>
      <c r="L15" t="str">
        <f>VLOOKUP(Googleadssales[[#This Row],[Ad_ID]],'[1]pre processed data'!A:S,19,0)</f>
        <v>Mobile</v>
      </c>
      <c r="M15" t="str">
        <f>VLOOKUP(Googleadssales[[#This Row],[Ad_ID]],'[1]pre processed data'!A:T,20,0)</f>
        <v>data analytics training</v>
      </c>
    </row>
    <row r="16" spans="1:13" x14ac:dyDescent="0.3">
      <c r="A16" t="s">
        <v>29</v>
      </c>
      <c r="B16" t="s">
        <v>18</v>
      </c>
      <c r="C16" s="4">
        <f>VLOOKUP(Googleadssales[[#This Row],[Ad_ID]],'[1]pre processed data'!A:C,3,0)</f>
        <v>181</v>
      </c>
      <c r="D16" s="4">
        <f>VLOOKUP(Googleadssales[[#This Row],[Ad_ID]],'[1]pre processed data'!A:E,5,0)</f>
        <v>4311</v>
      </c>
      <c r="E16" s="5" t="str">
        <f>VLOOKUP(Googleadssales[[#This Row],[Ad_ID]],[1]!Table3[[Ad_ID]:[Cost-imputed]],7,0)</f>
        <v>$185.09</v>
      </c>
      <c r="F16" s="4">
        <f>VLOOKUP(Googleadssales[[#This Row],[Ad_ID]],'[1]pre processed data'!A:I,9,0)</f>
        <v>11</v>
      </c>
      <c r="G16" s="4">
        <f>VLOOKUP(Googleadssales[[#This Row],[Ad_ID]],'[1]pre processed data'!A:K,11,0)</f>
        <v>9</v>
      </c>
      <c r="H16" s="2">
        <f>Googleadssales[[#This Row],[Conversions]]/Googleadssales[[#This Row],[Clicks]]</f>
        <v>4.9723756906077346E-2</v>
      </c>
      <c r="I16" t="str">
        <f>VLOOKUP(Googleadssales[[#This Row],[Ad_ID]],'[1]pre processed data'!A:O,15,0)</f>
        <v>$1538</v>
      </c>
      <c r="J16" s="3">
        <f>VLOOKUP(Googleadssales[[#This Row],[Ad_ID]],'[1]pre processed data'!A:Q,17,0)</f>
        <v>45600</v>
      </c>
      <c r="K16" t="str">
        <f>VLOOKUP(Googleadssales[[#This Row],[Ad_ID]],'[1]pre processed data'!A:R,18,0)</f>
        <v>Chennai</v>
      </c>
      <c r="L16" t="str">
        <f>VLOOKUP(Googleadssales[[#This Row],[Ad_ID]],'[1]pre processed data'!A:S,19,0)</f>
        <v>Desktop</v>
      </c>
      <c r="M16" t="str">
        <f>VLOOKUP(Googleadssales[[#This Row],[Ad_ID]],'[1]pre processed data'!A:T,20,0)</f>
        <v>data analytics training</v>
      </c>
    </row>
    <row r="17" spans="1:13" x14ac:dyDescent="0.3">
      <c r="A17" t="s">
        <v>30</v>
      </c>
      <c r="B17" t="s">
        <v>18</v>
      </c>
      <c r="C17" s="4">
        <f>VLOOKUP(Googleadssales[[#This Row],[Ad_ID]],'[1]pre processed data'!A:C,3,0)</f>
        <v>102</v>
      </c>
      <c r="D17" s="4">
        <f>VLOOKUP(Googleadssales[[#This Row],[Ad_ID]],'[1]pre processed data'!A:E,5,0)</f>
        <v>5461</v>
      </c>
      <c r="E17" s="5" t="str">
        <f>VLOOKUP(Googleadssales[[#This Row],[Ad_ID]],[1]!Table3[[Ad_ID]:[Cost-imputed]],7,0)</f>
        <v>$201.69</v>
      </c>
      <c r="F17" s="4">
        <f>VLOOKUP(Googleadssales[[#This Row],[Ad_ID]],'[1]pre processed data'!A:I,9,0)</f>
        <v>22</v>
      </c>
      <c r="G17" s="4">
        <f>VLOOKUP(Googleadssales[[#This Row],[Ad_ID]],'[1]pre processed data'!A:K,11,0)</f>
        <v>8</v>
      </c>
      <c r="H17" s="2">
        <f>Googleadssales[[#This Row],[Conversions]]/Googleadssales[[#This Row],[Clicks]]</f>
        <v>7.8431372549019607E-2</v>
      </c>
      <c r="I17" t="str">
        <f>VLOOKUP(Googleadssales[[#This Row],[Ad_ID]],'[1]pre processed data'!A:O,15,0)</f>
        <v>$1755</v>
      </c>
      <c r="J17" s="3">
        <f>VLOOKUP(Googleadssales[[#This Row],[Ad_ID]],'[1]pre processed data'!A:Q,17,0)</f>
        <v>45625</v>
      </c>
      <c r="K17" t="str">
        <f>VLOOKUP(Googleadssales[[#This Row],[Ad_ID]],'[1]pre processed data'!A:R,18,0)</f>
        <v>Hyderabad</v>
      </c>
      <c r="L17" t="str">
        <f>VLOOKUP(Googleadssales[[#This Row],[Ad_ID]],'[1]pre processed data'!A:S,19,0)</f>
        <v>Desktop</v>
      </c>
      <c r="M17" t="str">
        <f>VLOOKUP(Googleadssales[[#This Row],[Ad_ID]],'[1]pre processed data'!A:T,20,0)</f>
        <v>data analytics course</v>
      </c>
    </row>
    <row r="18" spans="1:13" x14ac:dyDescent="0.3">
      <c r="A18" t="s">
        <v>31</v>
      </c>
      <c r="B18" t="s">
        <v>18</v>
      </c>
      <c r="C18" s="4">
        <f>VLOOKUP(Googleadssales[[#This Row],[Ad_ID]],'[1]pre processed data'!A:C,3,0)</f>
        <v>193</v>
      </c>
      <c r="D18" s="4">
        <f>VLOOKUP(Googleadssales[[#This Row],[Ad_ID]],'[1]pre processed data'!A:E,5,0)</f>
        <v>5159</v>
      </c>
      <c r="E18" s="5" t="str">
        <f>VLOOKUP(Googleadssales[[#This Row],[Ad_ID]],[1]!Table3[[Ad_ID]:[Cost-imputed]],7,0)</f>
        <v>$200.00</v>
      </c>
      <c r="F18" s="4">
        <f>VLOOKUP(Googleadssales[[#This Row],[Ad_ID]],'[1]pre processed data'!A:I,9,0)</f>
        <v>15</v>
      </c>
      <c r="G18" s="4">
        <f>VLOOKUP(Googleadssales[[#This Row],[Ad_ID]],'[1]pre processed data'!A:K,11,0)</f>
        <v>9</v>
      </c>
      <c r="H18" s="2">
        <f>Googleadssales[[#This Row],[Conversions]]/Googleadssales[[#This Row],[Clicks]]</f>
        <v>4.6632124352331605E-2</v>
      </c>
      <c r="I18" t="str">
        <f>VLOOKUP(Googleadssales[[#This Row],[Ad_ID]],'[1]pre processed data'!A:O,15,0)</f>
        <v>$1614</v>
      </c>
      <c r="J18" s="3">
        <f>VLOOKUP(Googleadssales[[#This Row],[Ad_ID]],'[1]pre processed data'!A:Q,17,0)</f>
        <v>45606</v>
      </c>
      <c r="K18" t="str">
        <f>VLOOKUP(Googleadssales[[#This Row],[Ad_ID]],'[1]pre processed data'!A:R,18,0)</f>
        <v>Bangaluru</v>
      </c>
      <c r="L18" t="str">
        <f>VLOOKUP(Googleadssales[[#This Row],[Ad_ID]],'[1]pre processed data'!A:S,19,0)</f>
        <v>Mobile</v>
      </c>
      <c r="M18" t="str">
        <f>VLOOKUP(Googleadssales[[#This Row],[Ad_ID]],'[1]pre processed data'!A:T,20,0)</f>
        <v>learn data analytics</v>
      </c>
    </row>
    <row r="19" spans="1:13" x14ac:dyDescent="0.3">
      <c r="A19" t="s">
        <v>32</v>
      </c>
      <c r="B19" t="s">
        <v>14</v>
      </c>
      <c r="C19" s="4">
        <f>VLOOKUP(Googleadssales[[#This Row],[Ad_ID]],'[1]pre processed data'!A:C,3,0)</f>
        <v>149</v>
      </c>
      <c r="D19" s="4">
        <f>VLOOKUP(Googleadssales[[#This Row],[Ad_ID]],'[1]pre processed data'!A:E,5,0)</f>
        <v>4431</v>
      </c>
      <c r="E19" s="5" t="str">
        <f>VLOOKUP(Googleadssales[[#This Row],[Ad_ID]],[1]!Table3[[Ad_ID]:[Cost-imputed]],7,0)</f>
        <v>$207.4</v>
      </c>
      <c r="F19" s="4">
        <f>VLOOKUP(Googleadssales[[#This Row],[Ad_ID]],'[1]pre processed data'!A:I,9,0)</f>
        <v>19</v>
      </c>
      <c r="G19" s="4">
        <f>VLOOKUP(Googleadssales[[#This Row],[Ad_ID]],'[1]pre processed data'!A:K,11,0)</f>
        <v>9</v>
      </c>
      <c r="H19" s="2">
        <f>Googleadssales[[#This Row],[Conversions]]/Googleadssales[[#This Row],[Clicks]]</f>
        <v>6.0402684563758392E-2</v>
      </c>
      <c r="I19" t="str">
        <f>VLOOKUP(Googleadssales[[#This Row],[Ad_ID]],'[1]pre processed data'!A:O,15,0)</f>
        <v>$1693</v>
      </c>
      <c r="J19" s="3">
        <f>VLOOKUP(Googleadssales[[#This Row],[Ad_ID]],'[1]pre processed data'!A:Q,17,0)</f>
        <v>45608</v>
      </c>
      <c r="K19" t="str">
        <f>VLOOKUP(Googleadssales[[#This Row],[Ad_ID]],'[1]pre processed data'!A:R,18,0)</f>
        <v>Hyderabad</v>
      </c>
      <c r="L19" t="str">
        <f>VLOOKUP(Googleadssales[[#This Row],[Ad_ID]],'[1]pre processed data'!A:S,19,0)</f>
        <v>Mobile</v>
      </c>
      <c r="M19" t="str">
        <f>VLOOKUP(Googleadssales[[#This Row],[Ad_ID]],'[1]pre processed data'!A:T,20,0)</f>
        <v>learn data analytics</v>
      </c>
    </row>
    <row r="20" spans="1:13" x14ac:dyDescent="0.3">
      <c r="A20" t="s">
        <v>33</v>
      </c>
      <c r="B20" t="s">
        <v>14</v>
      </c>
      <c r="C20" s="4">
        <f>VLOOKUP(Googleadssales[[#This Row],[Ad_ID]],'[1]pre processed data'!A:C,3,0)</f>
        <v>150</v>
      </c>
      <c r="D20" s="4">
        <f>VLOOKUP(Googleadssales[[#This Row],[Ad_ID]],'[1]pre processed data'!A:E,5,0)</f>
        <v>3113</v>
      </c>
      <c r="E20" s="5" t="str">
        <f>VLOOKUP(Googleadssales[[#This Row],[Ad_ID]],[1]!Table3[[Ad_ID]:[Cost-imputed]],7,0)</f>
        <v>$217.41</v>
      </c>
      <c r="F20" s="4">
        <f>VLOOKUP(Googleadssales[[#This Row],[Ad_ID]],'[1]pre processed data'!A:I,9,0)</f>
        <v>20</v>
      </c>
      <c r="G20" s="4">
        <f>VLOOKUP(Googleadssales[[#This Row],[Ad_ID]],'[1]pre processed data'!A:K,11,0)</f>
        <v>5</v>
      </c>
      <c r="H20" s="2">
        <f>Googleadssales[[#This Row],[Conversions]]/Googleadssales[[#This Row],[Clicks]]</f>
        <v>3.3333333333333333E-2</v>
      </c>
      <c r="I20" t="str">
        <f>VLOOKUP(Googleadssales[[#This Row],[Ad_ID]],'[1]pre processed data'!A:O,15,0)</f>
        <v>$1785</v>
      </c>
      <c r="J20" s="3">
        <f>VLOOKUP(Googleadssales[[#This Row],[Ad_ID]],'[1]pre processed data'!A:Q,17,0)</f>
        <v>45603</v>
      </c>
      <c r="K20" t="str">
        <f>VLOOKUP(Googleadssales[[#This Row],[Ad_ID]],'[1]pre processed data'!A:R,18,0)</f>
        <v>Hyderabad</v>
      </c>
      <c r="L20" t="str">
        <f>VLOOKUP(Googleadssales[[#This Row],[Ad_ID]],'[1]pre processed data'!A:S,19,0)</f>
        <v>Mobile</v>
      </c>
      <c r="M20" t="str">
        <f>VLOOKUP(Googleadssales[[#This Row],[Ad_ID]],'[1]pre processed data'!A:T,20,0)</f>
        <v>analytics for data</v>
      </c>
    </row>
    <row r="21" spans="1:13" x14ac:dyDescent="0.3">
      <c r="A21" t="s">
        <v>34</v>
      </c>
      <c r="B21" t="s">
        <v>18</v>
      </c>
      <c r="C21" s="4">
        <f>VLOOKUP(Googleadssales[[#This Row],[Ad_ID]],'[1]pre processed data'!A:C,3,0)</f>
        <v>145</v>
      </c>
      <c r="D21" s="4">
        <f>VLOOKUP(Googleadssales[[#This Row],[Ad_ID]],'[1]pre processed data'!A:E,5,0)</f>
        <v>5278</v>
      </c>
      <c r="E21" s="5" t="str">
        <f>VLOOKUP(Googleadssales[[#This Row],[Ad_ID]],[1]!Table3[[Ad_ID]:[Cost-imputed]],7,0)</f>
        <v>$200.00</v>
      </c>
      <c r="F21" s="4">
        <f>VLOOKUP(Googleadssales[[#This Row],[Ad_ID]],'[1]pre processed data'!A:I,9,0)</f>
        <v>25</v>
      </c>
      <c r="G21" s="4">
        <f>VLOOKUP(Googleadssales[[#This Row],[Ad_ID]],'[1]pre processed data'!A:K,11,0)</f>
        <v>6</v>
      </c>
      <c r="H21" s="2">
        <f>Googleadssales[[#This Row],[Conversions]]/Googleadssales[[#This Row],[Clicks]]</f>
        <v>4.1379310344827586E-2</v>
      </c>
      <c r="I21" t="str">
        <f>VLOOKUP(Googleadssales[[#This Row],[Ad_ID]],'[1]pre processed data'!A:O,15,0)</f>
        <v>$1516</v>
      </c>
      <c r="J21" s="3">
        <f>VLOOKUP(Googleadssales[[#This Row],[Ad_ID]],'[1]pre processed data'!A:Q,17,0)</f>
        <v>45601</v>
      </c>
      <c r="K21" t="str">
        <f>VLOOKUP(Googleadssales[[#This Row],[Ad_ID]],'[1]pre processed data'!A:R,18,0)</f>
        <v>Hyderabad</v>
      </c>
      <c r="L21" t="str">
        <f>VLOOKUP(Googleadssales[[#This Row],[Ad_ID]],'[1]pre processed data'!A:S,19,0)</f>
        <v>Desktop</v>
      </c>
      <c r="M21" t="str">
        <f>VLOOKUP(Googleadssales[[#This Row],[Ad_ID]],'[1]pre processed data'!A:T,20,0)</f>
        <v>data analytics course</v>
      </c>
    </row>
    <row r="22" spans="1:13" x14ac:dyDescent="0.3">
      <c r="A22" t="s">
        <v>35</v>
      </c>
      <c r="B22" t="s">
        <v>18</v>
      </c>
      <c r="C22" s="4">
        <f>VLOOKUP(Googleadssales[[#This Row],[Ad_ID]],'[1]pre processed data'!A:C,3,0)</f>
        <v>184</v>
      </c>
      <c r="D22" s="4">
        <f>VLOOKUP(Googleadssales[[#This Row],[Ad_ID]],'[1]pre processed data'!A:E,5,0)</f>
        <v>4143</v>
      </c>
      <c r="E22" s="5" t="str">
        <f>VLOOKUP(Googleadssales[[#This Row],[Ad_ID]],[1]!Table3[[Ad_ID]:[Cost-imputed]],7,0)</f>
        <v>$223.3</v>
      </c>
      <c r="F22" s="4">
        <f>VLOOKUP(Googleadssales[[#This Row],[Ad_ID]],'[1]pre processed data'!A:I,9,0)</f>
        <v>10</v>
      </c>
      <c r="G22" s="4">
        <f>VLOOKUP(Googleadssales[[#This Row],[Ad_ID]],'[1]pre processed data'!A:K,11,0)</f>
        <v>10</v>
      </c>
      <c r="H22" s="2">
        <f>Googleadssales[[#This Row],[Conversions]]/Googleadssales[[#This Row],[Clicks]]</f>
        <v>5.434782608695652E-2</v>
      </c>
      <c r="I22" t="str">
        <f>VLOOKUP(Googleadssales[[#This Row],[Ad_ID]],'[1]pre processed data'!A:O,15,0)</f>
        <v>$1735</v>
      </c>
      <c r="J22" s="3">
        <f>VLOOKUP(Googleadssales[[#This Row],[Ad_ID]],'[1]pre processed data'!A:Q,17,0)</f>
        <v>45617</v>
      </c>
      <c r="K22" t="str">
        <f>VLOOKUP(Googleadssales[[#This Row],[Ad_ID]],'[1]pre processed data'!A:R,18,0)</f>
        <v>Chennai</v>
      </c>
      <c r="L22" t="str">
        <f>VLOOKUP(Googleadssales[[#This Row],[Ad_ID]],'[1]pre processed data'!A:S,19,0)</f>
        <v>Tablet</v>
      </c>
      <c r="M22" t="str">
        <f>VLOOKUP(Googleadssales[[#This Row],[Ad_ID]],'[1]pre processed data'!A:T,20,0)</f>
        <v>learn data analytics</v>
      </c>
    </row>
    <row r="23" spans="1:13" x14ac:dyDescent="0.3">
      <c r="A23" t="s">
        <v>36</v>
      </c>
      <c r="B23" t="s">
        <v>14</v>
      </c>
      <c r="C23" s="4">
        <f>VLOOKUP(Googleadssales[[#This Row],[Ad_ID]],'[1]pre processed data'!A:C,3,0)</f>
        <v>171</v>
      </c>
      <c r="D23" s="4">
        <f>VLOOKUP(Googleadssales[[#This Row],[Ad_ID]],'[1]pre processed data'!A:E,5,0)</f>
        <v>4154</v>
      </c>
      <c r="E23" s="5" t="str">
        <f>VLOOKUP(Googleadssales[[#This Row],[Ad_ID]],[1]!Table3[[Ad_ID]:[Cost-imputed]],7,0)</f>
        <v>$184.23</v>
      </c>
      <c r="F23" s="4">
        <f>VLOOKUP(Googleadssales[[#This Row],[Ad_ID]],'[1]pre processed data'!A:I,9,0)</f>
        <v>30</v>
      </c>
      <c r="G23" s="4">
        <f>VLOOKUP(Googleadssales[[#This Row],[Ad_ID]],'[1]pre processed data'!A:K,11,0)</f>
        <v>7</v>
      </c>
      <c r="H23" s="2">
        <f>Googleadssales[[#This Row],[Conversions]]/Googleadssales[[#This Row],[Clicks]]</f>
        <v>4.0935672514619881E-2</v>
      </c>
      <c r="I23" t="str">
        <f>VLOOKUP(Googleadssales[[#This Row],[Ad_ID]],'[1]pre processed data'!A:O,15,0)</f>
        <v>$1803</v>
      </c>
      <c r="J23" s="3">
        <f>VLOOKUP(Googleadssales[[#This Row],[Ad_ID]],'[1]pre processed data'!A:Q,17,0)</f>
        <v>45604</v>
      </c>
      <c r="K23" t="str">
        <f>VLOOKUP(Googleadssales[[#This Row],[Ad_ID]],'[1]pre processed data'!A:R,18,0)</f>
        <v>Hyderabad</v>
      </c>
      <c r="L23" t="str">
        <f>VLOOKUP(Googleadssales[[#This Row],[Ad_ID]],'[1]pre processed data'!A:S,19,0)</f>
        <v>Tablet</v>
      </c>
      <c r="M23" t="str">
        <f>VLOOKUP(Googleadssales[[#This Row],[Ad_ID]],'[1]pre processed data'!A:T,20,0)</f>
        <v>data analytics online</v>
      </c>
    </row>
    <row r="24" spans="1:13" x14ac:dyDescent="0.3">
      <c r="A24" t="s">
        <v>37</v>
      </c>
      <c r="B24" t="s">
        <v>18</v>
      </c>
      <c r="C24" s="4">
        <f>VLOOKUP(Googleadssales[[#This Row],[Ad_ID]],'[1]pre processed data'!A:C,3,0)</f>
        <v>122</v>
      </c>
      <c r="D24" s="4">
        <f>VLOOKUP(Googleadssales[[#This Row],[Ad_ID]],'[1]pre processed data'!A:E,5,0)</f>
        <v>5187</v>
      </c>
      <c r="E24" s="5" t="str">
        <f>VLOOKUP(Googleadssales[[#This Row],[Ad_ID]],[1]!Table3[[Ad_ID]:[Cost-imputed]],7,0)</f>
        <v>$211.24</v>
      </c>
      <c r="F24" s="4">
        <f>VLOOKUP(Googleadssales[[#This Row],[Ad_ID]],'[1]pre processed data'!A:I,9,0)</f>
        <v>27</v>
      </c>
      <c r="G24" s="4">
        <f>VLOOKUP(Googleadssales[[#This Row],[Ad_ID]],'[1]pre processed data'!A:K,11,0)</f>
        <v>6</v>
      </c>
      <c r="H24" s="2">
        <f>Googleadssales[[#This Row],[Conversions]]/Googleadssales[[#This Row],[Clicks]]</f>
        <v>4.9180327868852458E-2</v>
      </c>
      <c r="I24" t="str">
        <f>VLOOKUP(Googleadssales[[#This Row],[Ad_ID]],'[1]pre processed data'!A:O,15,0)</f>
        <v>$1322</v>
      </c>
      <c r="J24" s="3">
        <f>VLOOKUP(Googleadssales[[#This Row],[Ad_ID]],'[1]pre processed data'!A:Q,17,0)</f>
        <v>45616</v>
      </c>
      <c r="K24" t="str">
        <f>VLOOKUP(Googleadssales[[#This Row],[Ad_ID]],'[1]pre processed data'!A:R,18,0)</f>
        <v>Hyderabad</v>
      </c>
      <c r="L24" t="str">
        <f>VLOOKUP(Googleadssales[[#This Row],[Ad_ID]],'[1]pre processed data'!A:S,19,0)</f>
        <v>Desktop</v>
      </c>
      <c r="M24" t="str">
        <f>VLOOKUP(Googleadssales[[#This Row],[Ad_ID]],'[1]pre processed data'!A:T,20,0)</f>
        <v>online data analytic</v>
      </c>
    </row>
    <row r="25" spans="1:13" x14ac:dyDescent="0.3">
      <c r="A25" t="s">
        <v>38</v>
      </c>
      <c r="B25" t="s">
        <v>14</v>
      </c>
      <c r="C25" s="4">
        <f>VLOOKUP(Googleadssales[[#This Row],[Ad_ID]],'[1]pre processed data'!A:C,3,0)</f>
        <v>188</v>
      </c>
      <c r="D25" s="4">
        <f>VLOOKUP(Googleadssales[[#This Row],[Ad_ID]],'[1]pre processed data'!A:E,5,0)</f>
        <v>5798</v>
      </c>
      <c r="E25" s="5" t="str">
        <f>VLOOKUP(Googleadssales[[#This Row],[Ad_ID]],[1]!Table3[[Ad_ID]:[Cost-imputed]],7,0)</f>
        <v>$230.17</v>
      </c>
      <c r="F25" s="4">
        <f>VLOOKUP(Googleadssales[[#This Row],[Ad_ID]],'[1]pre processed data'!A:I,9,0)</f>
        <v>28</v>
      </c>
      <c r="G25" s="4">
        <f>VLOOKUP(Googleadssales[[#This Row],[Ad_ID]],'[1]pre processed data'!A:K,11,0)</f>
        <v>5</v>
      </c>
      <c r="H25" s="2">
        <f>Googleadssales[[#This Row],[Conversions]]/Googleadssales[[#This Row],[Clicks]]</f>
        <v>2.6595744680851064E-2</v>
      </c>
      <c r="I25" t="str">
        <f>VLOOKUP(Googleadssales[[#This Row],[Ad_ID]],'[1]pre processed data'!A:O,15,0)</f>
        <v>$1452</v>
      </c>
      <c r="J25" s="3">
        <f>VLOOKUP(Googleadssales[[#This Row],[Ad_ID]],'[1]pre processed data'!A:Q,17,0)</f>
        <v>45626</v>
      </c>
      <c r="K25" t="str">
        <f>VLOOKUP(Googleadssales[[#This Row],[Ad_ID]],'[1]pre processed data'!A:R,18,0)</f>
        <v>Hyderabad</v>
      </c>
      <c r="L25" t="str">
        <f>VLOOKUP(Googleadssales[[#This Row],[Ad_ID]],'[1]pre processed data'!A:S,19,0)</f>
        <v>Tablet</v>
      </c>
      <c r="M25" t="str">
        <f>VLOOKUP(Googleadssales[[#This Row],[Ad_ID]],'[1]pre processed data'!A:T,20,0)</f>
        <v>data analytics course</v>
      </c>
    </row>
    <row r="26" spans="1:13" x14ac:dyDescent="0.3">
      <c r="A26" t="s">
        <v>39</v>
      </c>
      <c r="B26" t="s">
        <v>14</v>
      </c>
      <c r="C26" s="4">
        <f>VLOOKUP(Googleadssales[[#This Row],[Ad_ID]],'[1]pre processed data'!A:C,3,0)</f>
        <v>87</v>
      </c>
      <c r="D26" s="4">
        <f>VLOOKUP(Googleadssales[[#This Row],[Ad_ID]],'[1]pre processed data'!A:E,5,0)</f>
        <v>3718</v>
      </c>
      <c r="E26" s="5" t="str">
        <f>VLOOKUP(Googleadssales[[#This Row],[Ad_ID]],[1]!Table3[[Ad_ID]:[Cost-imputed]],7,0)</f>
        <v>$200.00</v>
      </c>
      <c r="F26" s="4">
        <f>VLOOKUP(Googleadssales[[#This Row],[Ad_ID]],'[1]pre processed data'!A:I,9,0)</f>
        <v>12</v>
      </c>
      <c r="G26" s="4">
        <f>VLOOKUP(Googleadssales[[#This Row],[Ad_ID]],'[1]pre processed data'!A:K,11,0)</f>
        <v>3</v>
      </c>
      <c r="H26" s="2">
        <f>Googleadssales[[#This Row],[Conversions]]/Googleadssales[[#This Row],[Clicks]]</f>
        <v>3.4482758620689655E-2</v>
      </c>
      <c r="I26" t="str">
        <f>VLOOKUP(Googleadssales[[#This Row],[Ad_ID]],'[1]pre processed data'!A:O,15,0)</f>
        <v>$1652</v>
      </c>
      <c r="J26" s="3">
        <f>VLOOKUP(Googleadssales[[#This Row],[Ad_ID]],'[1]pre processed data'!A:Q,17,0)</f>
        <v>45616</v>
      </c>
      <c r="K26" t="str">
        <f>VLOOKUP(Googleadssales[[#This Row],[Ad_ID]],'[1]pre processed data'!A:R,18,0)</f>
        <v>Chennai</v>
      </c>
      <c r="L26" t="str">
        <f>VLOOKUP(Googleadssales[[#This Row],[Ad_ID]],'[1]pre processed data'!A:S,19,0)</f>
        <v>Tablet</v>
      </c>
      <c r="M26" t="str">
        <f>VLOOKUP(Googleadssales[[#This Row],[Ad_ID]],'[1]pre processed data'!A:T,20,0)</f>
        <v>learn data analytics</v>
      </c>
    </row>
    <row r="27" spans="1:13" x14ac:dyDescent="0.3">
      <c r="A27" t="s">
        <v>40</v>
      </c>
      <c r="B27" t="s">
        <v>14</v>
      </c>
      <c r="C27" s="4">
        <f>VLOOKUP(Googleadssales[[#This Row],[Ad_ID]],'[1]pre processed data'!A:C,3,0)</f>
        <v>88</v>
      </c>
      <c r="D27" s="4">
        <f>VLOOKUP(Googleadssales[[#This Row],[Ad_ID]],'[1]pre processed data'!A:E,5,0)</f>
        <v>3349</v>
      </c>
      <c r="E27" s="5" t="str">
        <f>VLOOKUP(Googleadssales[[#This Row],[Ad_ID]],[1]!Table3[[Ad_ID]:[Cost-imputed]],7,0)</f>
        <v>$181.92</v>
      </c>
      <c r="F27" s="4">
        <f>VLOOKUP(Googleadssales[[#This Row],[Ad_ID]],'[1]pre processed data'!A:I,9,0)</f>
        <v>22</v>
      </c>
      <c r="G27" s="4">
        <f>VLOOKUP(Googleadssales[[#This Row],[Ad_ID]],'[1]pre processed data'!A:K,11,0)</f>
        <v>8</v>
      </c>
      <c r="H27" s="2">
        <f>Googleadssales[[#This Row],[Conversions]]/Googleadssales[[#This Row],[Clicks]]</f>
        <v>9.0909090909090912E-2</v>
      </c>
      <c r="I27" t="str">
        <f>VLOOKUP(Googleadssales[[#This Row],[Ad_ID]],'[1]pre processed data'!A:O,15,0)</f>
        <v>$1456</v>
      </c>
      <c r="J27" s="3">
        <f>VLOOKUP(Googleadssales[[#This Row],[Ad_ID]],'[1]pre processed data'!A:Q,17,0)</f>
        <v>45616</v>
      </c>
      <c r="K27" t="str">
        <f>VLOOKUP(Googleadssales[[#This Row],[Ad_ID]],'[1]pre processed data'!A:R,18,0)</f>
        <v>Hyderabad</v>
      </c>
      <c r="L27" t="str">
        <f>VLOOKUP(Googleadssales[[#This Row],[Ad_ID]],'[1]pre processed data'!A:S,19,0)</f>
        <v>Tablet</v>
      </c>
      <c r="M27" t="str">
        <f>VLOOKUP(Googleadssales[[#This Row],[Ad_ID]],'[1]pre processed data'!A:T,20,0)</f>
        <v>learn data analytics</v>
      </c>
    </row>
    <row r="28" spans="1:13" x14ac:dyDescent="0.3">
      <c r="A28" t="s">
        <v>41</v>
      </c>
      <c r="B28" t="s">
        <v>14</v>
      </c>
      <c r="C28" s="4">
        <f>VLOOKUP(Googleadssales[[#This Row],[Ad_ID]],'[1]pre processed data'!A:C,3,0)</f>
        <v>119</v>
      </c>
      <c r="D28" s="4">
        <f>VLOOKUP(Googleadssales[[#This Row],[Ad_ID]],'[1]pre processed data'!A:E,5,0)</f>
        <v>5323</v>
      </c>
      <c r="E28" s="5" t="str">
        <f>VLOOKUP(Googleadssales[[#This Row],[Ad_ID]],[1]!Table3[[Ad_ID]:[Cost-imputed]],7,0)</f>
        <v>$205.92</v>
      </c>
      <c r="F28" s="4">
        <f>VLOOKUP(Googleadssales[[#This Row],[Ad_ID]],'[1]pre processed data'!A:I,9,0)</f>
        <v>17</v>
      </c>
      <c r="G28" s="4">
        <f>VLOOKUP(Googleadssales[[#This Row],[Ad_ID]],'[1]pre processed data'!A:K,11,0)</f>
        <v>10</v>
      </c>
      <c r="H28" s="2">
        <f>Googleadssales[[#This Row],[Conversions]]/Googleadssales[[#This Row],[Clicks]]</f>
        <v>8.4033613445378158E-2</v>
      </c>
      <c r="I28" t="str">
        <f>VLOOKUP(Googleadssales[[#This Row],[Ad_ID]],'[1]pre processed data'!A:O,15,0)</f>
        <v>$1656</v>
      </c>
      <c r="J28" s="3">
        <f>VLOOKUP(Googleadssales[[#This Row],[Ad_ID]],'[1]pre processed data'!A:Q,17,0)</f>
        <v>45598</v>
      </c>
      <c r="K28" t="str">
        <f>VLOOKUP(Googleadssales[[#This Row],[Ad_ID]],'[1]pre processed data'!A:R,18,0)</f>
        <v>Chennai</v>
      </c>
      <c r="L28" t="str">
        <f>VLOOKUP(Googleadssales[[#This Row],[Ad_ID]],'[1]pre processed data'!A:S,19,0)</f>
        <v>Desktop</v>
      </c>
      <c r="M28" t="str">
        <f>VLOOKUP(Googleadssales[[#This Row],[Ad_ID]],'[1]pre processed data'!A:T,20,0)</f>
        <v>online data analytic</v>
      </c>
    </row>
    <row r="29" spans="1:13" x14ac:dyDescent="0.3">
      <c r="A29" t="s">
        <v>42</v>
      </c>
      <c r="B29" t="s">
        <v>14</v>
      </c>
      <c r="C29" s="4">
        <f>VLOOKUP(Googleadssales[[#This Row],[Ad_ID]],'[1]pre processed data'!A:C,3,0)</f>
        <v>138.95699356913184</v>
      </c>
      <c r="D29" s="4">
        <f>VLOOKUP(Googleadssales[[#This Row],[Ad_ID]],'[1]pre processed data'!A:E,5,0)</f>
        <v>5286</v>
      </c>
      <c r="E29" s="5" t="str">
        <f>VLOOKUP(Googleadssales[[#This Row],[Ad_ID]],[1]!Table3[[Ad_ID]:[Cost-imputed]],7,0)</f>
        <v>$234.89</v>
      </c>
      <c r="F29" s="4">
        <f>VLOOKUP(Googleadssales[[#This Row],[Ad_ID]],'[1]pre processed data'!A:I,9,0)</f>
        <v>22</v>
      </c>
      <c r="G29" s="4">
        <f>VLOOKUP(Googleadssales[[#This Row],[Ad_ID]],'[1]pre processed data'!A:K,11,0)</f>
        <v>10</v>
      </c>
      <c r="H29" s="2">
        <f>Googleadssales[[#This Row],[Conversions]]/Googleadssales[[#This Row],[Clicks]]</f>
        <v>7.1964711837443046E-2</v>
      </c>
      <c r="I29" t="str">
        <f>VLOOKUP(Googleadssales[[#This Row],[Ad_ID]],'[1]pre processed data'!A:O,15,0)</f>
        <v>$1688</v>
      </c>
      <c r="J29" s="3">
        <f>VLOOKUP(Googleadssales[[#This Row],[Ad_ID]],'[1]pre processed data'!A:Q,17,0)</f>
        <v>45617</v>
      </c>
      <c r="K29" t="str">
        <f>VLOOKUP(Googleadssales[[#This Row],[Ad_ID]],'[1]pre processed data'!A:R,18,0)</f>
        <v>Hyderabad</v>
      </c>
      <c r="L29" t="str">
        <f>VLOOKUP(Googleadssales[[#This Row],[Ad_ID]],'[1]pre processed data'!A:S,19,0)</f>
        <v>Desktop</v>
      </c>
      <c r="M29" t="str">
        <f>VLOOKUP(Googleadssales[[#This Row],[Ad_ID]],'[1]pre processed data'!A:T,20,0)</f>
        <v>data analytics training</v>
      </c>
    </row>
    <row r="30" spans="1:13" x14ac:dyDescent="0.3">
      <c r="A30" t="s">
        <v>43</v>
      </c>
      <c r="B30" t="s">
        <v>14</v>
      </c>
      <c r="C30" s="4">
        <f>VLOOKUP(Googleadssales[[#This Row],[Ad_ID]],'[1]pre processed data'!A:C,3,0)</f>
        <v>128</v>
      </c>
      <c r="D30" s="4">
        <f>VLOOKUP(Googleadssales[[#This Row],[Ad_ID]],'[1]pre processed data'!A:E,5,0)</f>
        <v>5469</v>
      </c>
      <c r="E30" s="5" t="str">
        <f>VLOOKUP(Googleadssales[[#This Row],[Ad_ID]],[1]!Table3[[Ad_ID]:[Cost-imputed]],7,0)</f>
        <v>$188.49</v>
      </c>
      <c r="F30" s="4">
        <f>VLOOKUP(Googleadssales[[#This Row],[Ad_ID]],'[1]pre processed data'!A:I,9,0)</f>
        <v>16</v>
      </c>
      <c r="G30" s="4">
        <f>VLOOKUP(Googleadssales[[#This Row],[Ad_ID]],'[1]pre processed data'!A:K,11,0)</f>
        <v>3</v>
      </c>
      <c r="H30" s="2">
        <f>Googleadssales[[#This Row],[Conversions]]/Googleadssales[[#This Row],[Clicks]]</f>
        <v>2.34375E-2</v>
      </c>
      <c r="I30" t="str">
        <f>VLOOKUP(Googleadssales[[#This Row],[Ad_ID]],'[1]pre processed data'!A:O,15,0)</f>
        <v>$1783</v>
      </c>
      <c r="J30" s="3">
        <f>VLOOKUP(Googleadssales[[#This Row],[Ad_ID]],'[1]pre processed data'!A:Q,17,0)</f>
        <v>45619</v>
      </c>
      <c r="K30" t="str">
        <f>VLOOKUP(Googleadssales[[#This Row],[Ad_ID]],'[1]pre processed data'!A:R,18,0)</f>
        <v>Chennai</v>
      </c>
      <c r="L30" t="str">
        <f>VLOOKUP(Googleadssales[[#This Row],[Ad_ID]],'[1]pre processed data'!A:S,19,0)</f>
        <v>Mobile</v>
      </c>
      <c r="M30" t="str">
        <f>VLOOKUP(Googleadssales[[#This Row],[Ad_ID]],'[1]pre processed data'!A:T,20,0)</f>
        <v>learn data analytics</v>
      </c>
    </row>
    <row r="31" spans="1:13" x14ac:dyDescent="0.3">
      <c r="A31" t="s">
        <v>44</v>
      </c>
      <c r="B31" t="s">
        <v>18</v>
      </c>
      <c r="C31" s="4">
        <f>VLOOKUP(Googleadssales[[#This Row],[Ad_ID]],'[1]pre processed data'!A:C,3,0)</f>
        <v>86</v>
      </c>
      <c r="D31" s="4">
        <f>VLOOKUP(Googleadssales[[#This Row],[Ad_ID]],'[1]pre processed data'!A:E,5,0)</f>
        <v>3351</v>
      </c>
      <c r="E31" s="5" t="str">
        <f>VLOOKUP(Googleadssales[[#This Row],[Ad_ID]],[1]!Table3[[Ad_ID]:[Cost-imputed]],7,0)</f>
        <v>$237.75</v>
      </c>
      <c r="F31" s="4">
        <f>VLOOKUP(Googleadssales[[#This Row],[Ad_ID]],'[1]pre processed data'!A:I,9,0)</f>
        <v>21</v>
      </c>
      <c r="G31" s="4">
        <f>VLOOKUP(Googleadssales[[#This Row],[Ad_ID]],'[1]pre processed data'!A:K,11,0)</f>
        <v>9</v>
      </c>
      <c r="H31" s="2">
        <f>Googleadssales[[#This Row],[Conversions]]/Googleadssales[[#This Row],[Clicks]]</f>
        <v>0.10465116279069768</v>
      </c>
      <c r="I31" t="str">
        <f>VLOOKUP(Googleadssales[[#This Row],[Ad_ID]],'[1]pre processed data'!A:O,15,0)</f>
        <v>$1975</v>
      </c>
      <c r="J31" s="3">
        <f>VLOOKUP(Googleadssales[[#This Row],[Ad_ID]],'[1]pre processed data'!A:Q,17,0)</f>
        <v>45609</v>
      </c>
      <c r="K31" t="str">
        <f>VLOOKUP(Googleadssales[[#This Row],[Ad_ID]],'[1]pre processed data'!A:R,18,0)</f>
        <v>Hyderabad</v>
      </c>
      <c r="L31" t="str">
        <f>VLOOKUP(Googleadssales[[#This Row],[Ad_ID]],'[1]pre processed data'!A:S,19,0)</f>
        <v>Mobile</v>
      </c>
      <c r="M31" t="str">
        <f>VLOOKUP(Googleadssales[[#This Row],[Ad_ID]],'[1]pre processed data'!A:T,20,0)</f>
        <v>analytics for data</v>
      </c>
    </row>
    <row r="32" spans="1:13" x14ac:dyDescent="0.3">
      <c r="A32" t="s">
        <v>45</v>
      </c>
      <c r="B32" t="s">
        <v>14</v>
      </c>
      <c r="C32" s="4">
        <f>VLOOKUP(Googleadssales[[#This Row],[Ad_ID]],'[1]pre processed data'!A:C,3,0)</f>
        <v>188</v>
      </c>
      <c r="D32" s="4">
        <f>VLOOKUP(Googleadssales[[#This Row],[Ad_ID]],'[1]pre processed data'!A:E,5,0)</f>
        <v>4834</v>
      </c>
      <c r="E32" s="5" t="str">
        <f>VLOOKUP(Googleadssales[[#This Row],[Ad_ID]],[1]!Table3[[Ad_ID]:[Cost-imputed]],7,0)</f>
        <v>$213.58</v>
      </c>
      <c r="F32" s="4">
        <f>VLOOKUP(Googleadssales[[#This Row],[Ad_ID]],'[1]pre processed data'!A:I,9,0)</f>
        <v>15</v>
      </c>
      <c r="G32" s="4">
        <f>VLOOKUP(Googleadssales[[#This Row],[Ad_ID]],'[1]pre processed data'!A:K,11,0)</f>
        <v>4</v>
      </c>
      <c r="H32" s="2">
        <f>Googleadssales[[#This Row],[Conversions]]/Googleadssales[[#This Row],[Clicks]]</f>
        <v>2.1276595744680851E-2</v>
      </c>
      <c r="I32" t="str">
        <f>VLOOKUP(Googleadssales[[#This Row],[Ad_ID]],'[1]pre processed data'!A:O,15,0)</f>
        <v>$1590</v>
      </c>
      <c r="J32" s="3">
        <f>VLOOKUP(Googleadssales[[#This Row],[Ad_ID]],'[1]pre processed data'!A:Q,17,0)</f>
        <v>45604</v>
      </c>
      <c r="K32" t="str">
        <f>VLOOKUP(Googleadssales[[#This Row],[Ad_ID]],'[1]pre processed data'!A:R,18,0)</f>
        <v>Chennai</v>
      </c>
      <c r="L32" t="str">
        <f>VLOOKUP(Googleadssales[[#This Row],[Ad_ID]],'[1]pre processed data'!A:S,19,0)</f>
        <v>Tablet</v>
      </c>
      <c r="M32" t="str">
        <f>VLOOKUP(Googleadssales[[#This Row],[Ad_ID]],'[1]pre processed data'!A:T,20,0)</f>
        <v>online data analytic</v>
      </c>
    </row>
    <row r="33" spans="1:13" x14ac:dyDescent="0.3">
      <c r="A33" t="s">
        <v>46</v>
      </c>
      <c r="B33" t="s">
        <v>14</v>
      </c>
      <c r="C33" s="4">
        <f>VLOOKUP(Googleadssales[[#This Row],[Ad_ID]],'[1]pre processed data'!A:C,3,0)</f>
        <v>113</v>
      </c>
      <c r="D33" s="4">
        <f>VLOOKUP(Googleadssales[[#This Row],[Ad_ID]],'[1]pre processed data'!A:E,5,0)</f>
        <v>5065</v>
      </c>
      <c r="E33" s="5" t="str">
        <f>VLOOKUP(Googleadssales[[#This Row],[Ad_ID]],[1]!Table3[[Ad_ID]:[Cost-imputed]],7,0)</f>
        <v>$212.37</v>
      </c>
      <c r="F33" s="4">
        <f>VLOOKUP(Googleadssales[[#This Row],[Ad_ID]],'[1]pre processed data'!A:I,9,0)</f>
        <v>11</v>
      </c>
      <c r="G33" s="4">
        <f>VLOOKUP(Googleadssales[[#This Row],[Ad_ID]],'[1]pre processed data'!A:K,11,0)</f>
        <v>5</v>
      </c>
      <c r="H33" s="2">
        <f>Googleadssales[[#This Row],[Conversions]]/Googleadssales[[#This Row],[Clicks]]</f>
        <v>4.4247787610619468E-2</v>
      </c>
      <c r="I33" t="str">
        <f>VLOOKUP(Googleadssales[[#This Row],[Ad_ID]],'[1]pre processed data'!A:O,15,0)</f>
        <v>$1111</v>
      </c>
      <c r="J33" s="3">
        <f>VLOOKUP(Googleadssales[[#This Row],[Ad_ID]],'[1]pre processed data'!A:Q,17,0)</f>
        <v>45618</v>
      </c>
      <c r="K33" t="str">
        <f>VLOOKUP(Googleadssales[[#This Row],[Ad_ID]],'[1]pre processed data'!A:R,18,0)</f>
        <v>Hyderabad</v>
      </c>
      <c r="L33" t="str">
        <f>VLOOKUP(Googleadssales[[#This Row],[Ad_ID]],'[1]pre processed data'!A:S,19,0)</f>
        <v>Desktop</v>
      </c>
      <c r="M33" t="str">
        <f>VLOOKUP(Googleadssales[[#This Row],[Ad_ID]],'[1]pre processed data'!A:T,20,0)</f>
        <v>online data analytic</v>
      </c>
    </row>
    <row r="34" spans="1:13" x14ac:dyDescent="0.3">
      <c r="A34" t="s">
        <v>47</v>
      </c>
      <c r="B34" t="s">
        <v>18</v>
      </c>
      <c r="C34" s="4">
        <f>VLOOKUP(Googleadssales[[#This Row],[Ad_ID]],'[1]pre processed data'!A:C,3,0)</f>
        <v>138.95699356913184</v>
      </c>
      <c r="D34" s="4">
        <f>VLOOKUP(Googleadssales[[#This Row],[Ad_ID]],'[1]pre processed data'!A:E,5,0)</f>
        <v>3872</v>
      </c>
      <c r="E34" s="5" t="str">
        <f>VLOOKUP(Googleadssales[[#This Row],[Ad_ID]],[1]!Table3[[Ad_ID]:[Cost-imputed]],7,0)</f>
        <v>$244.38</v>
      </c>
      <c r="F34" s="4">
        <f>VLOOKUP(Googleadssales[[#This Row],[Ad_ID]],'[1]pre processed data'!A:I,9,0)</f>
        <v>20</v>
      </c>
      <c r="G34" s="4">
        <f>VLOOKUP(Googleadssales[[#This Row],[Ad_ID]],'[1]pre processed data'!A:K,11,0)</f>
        <v>4</v>
      </c>
      <c r="H34" s="2">
        <f>Googleadssales[[#This Row],[Conversions]]/Googleadssales[[#This Row],[Clicks]]</f>
        <v>2.8785884734977219E-2</v>
      </c>
      <c r="I34" t="str">
        <f>VLOOKUP(Googleadssales[[#This Row],[Ad_ID]],'[1]pre processed data'!A:O,15,0)</f>
        <v>$1041</v>
      </c>
      <c r="J34" s="3">
        <f>VLOOKUP(Googleadssales[[#This Row],[Ad_ID]],'[1]pre processed data'!A:Q,17,0)</f>
        <v>45608</v>
      </c>
      <c r="K34" t="str">
        <f>VLOOKUP(Googleadssales[[#This Row],[Ad_ID]],'[1]pre processed data'!A:R,18,0)</f>
        <v>Hyderabad</v>
      </c>
      <c r="L34" t="str">
        <f>VLOOKUP(Googleadssales[[#This Row],[Ad_ID]],'[1]pre processed data'!A:S,19,0)</f>
        <v>Tablet</v>
      </c>
      <c r="M34" t="str">
        <f>VLOOKUP(Googleadssales[[#This Row],[Ad_ID]],'[1]pre processed data'!A:T,20,0)</f>
        <v>data analytics online</v>
      </c>
    </row>
    <row r="35" spans="1:13" x14ac:dyDescent="0.3">
      <c r="A35" t="s">
        <v>48</v>
      </c>
      <c r="B35" t="s">
        <v>14</v>
      </c>
      <c r="C35" s="4">
        <f>VLOOKUP(Googleadssales[[#This Row],[Ad_ID]],'[1]pre processed data'!A:C,3,0)</f>
        <v>176</v>
      </c>
      <c r="D35" s="4">
        <f>VLOOKUP(Googleadssales[[#This Row],[Ad_ID]],'[1]pre processed data'!A:E,5,0)</f>
        <v>5509</v>
      </c>
      <c r="E35" s="5" t="str">
        <f>VLOOKUP(Googleadssales[[#This Row],[Ad_ID]],[1]!Table3[[Ad_ID]:[Cost-imputed]],7,0)</f>
        <v>$234.59</v>
      </c>
      <c r="F35" s="4">
        <f>VLOOKUP(Googleadssales[[#This Row],[Ad_ID]],'[1]pre processed data'!A:I,9,0)</f>
        <v>19</v>
      </c>
      <c r="G35" s="4">
        <f>VLOOKUP(Googleadssales[[#This Row],[Ad_ID]],'[1]pre processed data'!A:K,11,0)</f>
        <v>7</v>
      </c>
      <c r="H35" s="2">
        <f>Googleadssales[[#This Row],[Conversions]]/Googleadssales[[#This Row],[Clicks]]</f>
        <v>3.9772727272727272E-2</v>
      </c>
      <c r="I35" t="str">
        <f>VLOOKUP(Googleadssales[[#This Row],[Ad_ID]],'[1]pre processed data'!A:O,15,0)</f>
        <v>$1710</v>
      </c>
      <c r="J35" s="3">
        <f>VLOOKUP(Googleadssales[[#This Row],[Ad_ID]],'[1]pre processed data'!A:Q,17,0)</f>
        <v>45599</v>
      </c>
      <c r="K35" t="str">
        <f>VLOOKUP(Googleadssales[[#This Row],[Ad_ID]],'[1]pre processed data'!A:R,18,0)</f>
        <v>Chennai</v>
      </c>
      <c r="L35" t="str">
        <f>VLOOKUP(Googleadssales[[#This Row],[Ad_ID]],'[1]pre processed data'!A:S,19,0)</f>
        <v>Tablet</v>
      </c>
      <c r="M35" t="str">
        <f>VLOOKUP(Googleadssales[[#This Row],[Ad_ID]],'[1]pre processed data'!A:T,20,0)</f>
        <v>data analytics course</v>
      </c>
    </row>
    <row r="36" spans="1:13" x14ac:dyDescent="0.3">
      <c r="A36" t="s">
        <v>49</v>
      </c>
      <c r="B36" t="s">
        <v>18</v>
      </c>
      <c r="C36" s="4">
        <f>VLOOKUP(Googleadssales[[#This Row],[Ad_ID]],'[1]pre processed data'!A:C,3,0)</f>
        <v>121</v>
      </c>
      <c r="D36" s="4">
        <f>VLOOKUP(Googleadssales[[#This Row],[Ad_ID]],'[1]pre processed data'!A:E,5,0)</f>
        <v>5610</v>
      </c>
      <c r="E36" s="5" t="str">
        <f>VLOOKUP(Googleadssales[[#This Row],[Ad_ID]],[1]!Table3[[Ad_ID]:[Cost-imputed]],7,0)</f>
        <v>$214.96</v>
      </c>
      <c r="F36" s="4">
        <f>VLOOKUP(Googleadssales[[#This Row],[Ad_ID]],'[1]pre processed data'!A:I,9,0)</f>
        <v>23</v>
      </c>
      <c r="G36" s="4">
        <f>VLOOKUP(Googleadssales[[#This Row],[Ad_ID]],'[1]pre processed data'!A:K,11,0)</f>
        <v>8</v>
      </c>
      <c r="H36" s="2">
        <f>Googleadssales[[#This Row],[Conversions]]/Googleadssales[[#This Row],[Clicks]]</f>
        <v>6.6115702479338845E-2</v>
      </c>
      <c r="I36" t="str">
        <f>VLOOKUP(Googleadssales[[#This Row],[Ad_ID]],'[1]pre processed data'!A:O,15,0)</f>
        <v>$1500</v>
      </c>
      <c r="J36" s="3">
        <f>VLOOKUP(Googleadssales[[#This Row],[Ad_ID]],'[1]pre processed data'!A:Q,17,0)</f>
        <v>45621</v>
      </c>
      <c r="K36" t="str">
        <f>VLOOKUP(Googleadssales[[#This Row],[Ad_ID]],'[1]pre processed data'!A:R,18,0)</f>
        <v>Hyderabad</v>
      </c>
      <c r="L36" t="str">
        <f>VLOOKUP(Googleadssales[[#This Row],[Ad_ID]],'[1]pre processed data'!A:S,19,0)</f>
        <v>Mobile</v>
      </c>
      <c r="M36" t="str">
        <f>VLOOKUP(Googleadssales[[#This Row],[Ad_ID]],'[1]pre processed data'!A:T,20,0)</f>
        <v>data analytics course</v>
      </c>
    </row>
    <row r="37" spans="1:13" x14ac:dyDescent="0.3">
      <c r="A37" t="s">
        <v>50</v>
      </c>
      <c r="B37" t="s">
        <v>14</v>
      </c>
      <c r="C37" s="4">
        <f>VLOOKUP(Googleadssales[[#This Row],[Ad_ID]],'[1]pre processed data'!A:C,3,0)</f>
        <v>104</v>
      </c>
      <c r="D37" s="4">
        <f>VLOOKUP(Googleadssales[[#This Row],[Ad_ID]],'[1]pre processed data'!A:E,5,0)</f>
        <v>5275</v>
      </c>
      <c r="E37" s="5" t="str">
        <f>VLOOKUP(Googleadssales[[#This Row],[Ad_ID]],[1]!Table3[[Ad_ID]:[Cost-imputed]],7,0)</f>
        <v>$236.48</v>
      </c>
      <c r="F37" s="4">
        <f>VLOOKUP(Googleadssales[[#This Row],[Ad_ID]],'[1]pre processed data'!A:I,9,0)</f>
        <v>16</v>
      </c>
      <c r="G37" s="4">
        <f>VLOOKUP(Googleadssales[[#This Row],[Ad_ID]],'[1]pre processed data'!A:K,11,0)</f>
        <v>9</v>
      </c>
      <c r="H37" s="2">
        <f>Googleadssales[[#This Row],[Conversions]]/Googleadssales[[#This Row],[Clicks]]</f>
        <v>8.6538461538461536E-2</v>
      </c>
      <c r="I37" t="str">
        <f>VLOOKUP(Googleadssales[[#This Row],[Ad_ID]],'[1]pre processed data'!A:O,15,0)</f>
        <v>$1824</v>
      </c>
      <c r="J37" s="3">
        <f>VLOOKUP(Googleadssales[[#This Row],[Ad_ID]],'[1]pre processed data'!A:Q,17,0)</f>
        <v>45597</v>
      </c>
      <c r="K37" t="str">
        <f>VLOOKUP(Googleadssales[[#This Row],[Ad_ID]],'[1]pre processed data'!A:R,18,0)</f>
        <v>Hyderabad</v>
      </c>
      <c r="L37" t="str">
        <f>VLOOKUP(Googleadssales[[#This Row],[Ad_ID]],'[1]pre processed data'!A:S,19,0)</f>
        <v>Desktop</v>
      </c>
      <c r="M37" t="str">
        <f>VLOOKUP(Googleadssales[[#This Row],[Ad_ID]],'[1]pre processed data'!A:T,20,0)</f>
        <v>data analytics training</v>
      </c>
    </row>
    <row r="38" spans="1:13" x14ac:dyDescent="0.3">
      <c r="A38" t="s">
        <v>51</v>
      </c>
      <c r="B38" t="s">
        <v>14</v>
      </c>
      <c r="C38" s="4">
        <f>VLOOKUP(Googleadssales[[#This Row],[Ad_ID]],'[1]pre processed data'!A:C,3,0)</f>
        <v>146</v>
      </c>
      <c r="D38" s="4">
        <f>VLOOKUP(Googleadssales[[#This Row],[Ad_ID]],'[1]pre processed data'!A:E,5,0)</f>
        <v>5939</v>
      </c>
      <c r="E38" s="5" t="str">
        <f>VLOOKUP(Googleadssales[[#This Row],[Ad_ID]],[1]!Table3[[Ad_ID]:[Cost-imputed]],7,0)</f>
        <v>$242.9</v>
      </c>
      <c r="F38" s="4">
        <f>VLOOKUP(Googleadssales[[#This Row],[Ad_ID]],'[1]pre processed data'!A:I,9,0)</f>
        <v>11</v>
      </c>
      <c r="G38" s="4">
        <f>VLOOKUP(Googleadssales[[#This Row],[Ad_ID]],'[1]pre processed data'!A:K,11,0)</f>
        <v>8</v>
      </c>
      <c r="H38" s="2">
        <f>Googleadssales[[#This Row],[Conversions]]/Googleadssales[[#This Row],[Clicks]]</f>
        <v>5.4794520547945202E-2</v>
      </c>
      <c r="I38" t="str">
        <f>VLOOKUP(Googleadssales[[#This Row],[Ad_ID]],'[1]pre processed data'!A:O,15,0)</f>
        <v>$1833</v>
      </c>
      <c r="J38" s="3">
        <f>VLOOKUP(Googleadssales[[#This Row],[Ad_ID]],'[1]pre processed data'!A:Q,17,0)</f>
        <v>45603</v>
      </c>
      <c r="K38" t="str">
        <f>VLOOKUP(Googleadssales[[#This Row],[Ad_ID]],'[1]pre processed data'!A:R,18,0)</f>
        <v>Hyderabad</v>
      </c>
      <c r="L38" t="str">
        <f>VLOOKUP(Googleadssales[[#This Row],[Ad_ID]],'[1]pre processed data'!A:S,19,0)</f>
        <v>Desktop</v>
      </c>
      <c r="M38" t="str">
        <f>VLOOKUP(Googleadssales[[#This Row],[Ad_ID]],'[1]pre processed data'!A:T,20,0)</f>
        <v>data analytics training</v>
      </c>
    </row>
    <row r="39" spans="1:13" x14ac:dyDescent="0.3">
      <c r="A39" t="s">
        <v>52</v>
      </c>
      <c r="B39" t="s">
        <v>18</v>
      </c>
      <c r="C39" s="4">
        <f>VLOOKUP(Googleadssales[[#This Row],[Ad_ID]],'[1]pre processed data'!A:C,3,0)</f>
        <v>123</v>
      </c>
      <c r="D39" s="4">
        <f>VLOOKUP(Googleadssales[[#This Row],[Ad_ID]],'[1]pre processed data'!A:E,5,0)</f>
        <v>5131</v>
      </c>
      <c r="E39" s="5" t="str">
        <f>VLOOKUP(Googleadssales[[#This Row],[Ad_ID]],[1]!Table3[[Ad_ID]:[Cost-imputed]],7,0)</f>
        <v>$200.00</v>
      </c>
      <c r="F39" s="4">
        <f>VLOOKUP(Googleadssales[[#This Row],[Ad_ID]],'[1]pre processed data'!A:I,9,0)</f>
        <v>19</v>
      </c>
      <c r="G39" s="4">
        <f>VLOOKUP(Googleadssales[[#This Row],[Ad_ID]],'[1]pre processed data'!A:K,11,0)</f>
        <v>5</v>
      </c>
      <c r="H39" s="2">
        <f>Googleadssales[[#This Row],[Conversions]]/Googleadssales[[#This Row],[Clicks]]</f>
        <v>4.065040650406504E-2</v>
      </c>
      <c r="I39" t="str">
        <f>VLOOKUP(Googleadssales[[#This Row],[Ad_ID]],'[1]pre processed data'!A:O,15,0)</f>
        <v>$1307</v>
      </c>
      <c r="J39" s="3">
        <f>VLOOKUP(Googleadssales[[#This Row],[Ad_ID]],'[1]pre processed data'!A:Q,17,0)</f>
        <v>45605</v>
      </c>
      <c r="K39" t="str">
        <f>VLOOKUP(Googleadssales[[#This Row],[Ad_ID]],'[1]pre processed data'!A:R,18,0)</f>
        <v>Bangaluru</v>
      </c>
      <c r="L39" t="str">
        <f>VLOOKUP(Googleadssales[[#This Row],[Ad_ID]],'[1]pre processed data'!A:S,19,0)</f>
        <v>Mobile</v>
      </c>
      <c r="M39" t="str">
        <f>VLOOKUP(Googleadssales[[#This Row],[Ad_ID]],'[1]pre processed data'!A:T,20,0)</f>
        <v>learn data analytics</v>
      </c>
    </row>
    <row r="40" spans="1:13" x14ac:dyDescent="0.3">
      <c r="A40" t="s">
        <v>53</v>
      </c>
      <c r="B40" t="s">
        <v>18</v>
      </c>
      <c r="C40" s="4">
        <f>VLOOKUP(Googleadssales[[#This Row],[Ad_ID]],'[1]pre processed data'!A:C,3,0)</f>
        <v>90</v>
      </c>
      <c r="D40" s="4">
        <f>VLOOKUP(Googleadssales[[#This Row],[Ad_ID]],'[1]pre processed data'!A:E,5,0)</f>
        <v>5786</v>
      </c>
      <c r="E40" s="5" t="str">
        <f>VLOOKUP(Googleadssales[[#This Row],[Ad_ID]],[1]!Table3[[Ad_ID]:[Cost-imputed]],7,0)</f>
        <v>$197.55</v>
      </c>
      <c r="F40" s="4">
        <f>VLOOKUP(Googleadssales[[#This Row],[Ad_ID]],'[1]pre processed data'!A:I,9,0)</f>
        <v>11</v>
      </c>
      <c r="G40" s="4">
        <f>VLOOKUP(Googleadssales[[#This Row],[Ad_ID]],'[1]pre processed data'!A:K,11,0)</f>
        <v>6</v>
      </c>
      <c r="H40" s="2">
        <f>Googleadssales[[#This Row],[Conversions]]/Googleadssales[[#This Row],[Clicks]]</f>
        <v>6.6666666666666666E-2</v>
      </c>
      <c r="I40" t="str">
        <f>VLOOKUP(Googleadssales[[#This Row],[Ad_ID]],'[1]pre processed data'!A:O,15,0)</f>
        <v>$1704</v>
      </c>
      <c r="J40" s="3">
        <f>VLOOKUP(Googleadssales[[#This Row],[Ad_ID]],'[1]pre processed data'!A:Q,17,0)</f>
        <v>45612</v>
      </c>
      <c r="K40" t="str">
        <f>VLOOKUP(Googleadssales[[#This Row],[Ad_ID]],'[1]pre processed data'!A:R,18,0)</f>
        <v>Hyderabad</v>
      </c>
      <c r="L40" t="str">
        <f>VLOOKUP(Googleadssales[[#This Row],[Ad_ID]],'[1]pre processed data'!A:S,19,0)</f>
        <v>Mobile</v>
      </c>
      <c r="M40" t="str">
        <f>VLOOKUP(Googleadssales[[#This Row],[Ad_ID]],'[1]pre processed data'!A:T,20,0)</f>
        <v>online data analytic</v>
      </c>
    </row>
    <row r="41" spans="1:13" x14ac:dyDescent="0.3">
      <c r="A41" t="s">
        <v>54</v>
      </c>
      <c r="B41" t="s">
        <v>18</v>
      </c>
      <c r="C41" s="4">
        <f>VLOOKUP(Googleadssales[[#This Row],[Ad_ID]],'[1]pre processed data'!A:C,3,0)</f>
        <v>171</v>
      </c>
      <c r="D41" s="4">
        <f>VLOOKUP(Googleadssales[[#This Row],[Ad_ID]],'[1]pre processed data'!A:E,5,0)</f>
        <v>4304</v>
      </c>
      <c r="E41" s="5" t="str">
        <f>VLOOKUP(Googleadssales[[#This Row],[Ad_ID]],[1]!Table3[[Ad_ID]:[Cost-imputed]],7,0)</f>
        <v>$192.61</v>
      </c>
      <c r="F41" s="4">
        <f>VLOOKUP(Googleadssales[[#This Row],[Ad_ID]],'[1]pre processed data'!A:I,9,0)</f>
        <v>17</v>
      </c>
      <c r="G41" s="4">
        <f>VLOOKUP(Googleadssales[[#This Row],[Ad_ID]],'[1]pre processed data'!A:K,11,0)</f>
        <v>10</v>
      </c>
      <c r="H41" s="2">
        <f>Googleadssales[[#This Row],[Conversions]]/Googleadssales[[#This Row],[Clicks]]</f>
        <v>5.8479532163742687E-2</v>
      </c>
      <c r="I41" t="str">
        <f>VLOOKUP(Googleadssales[[#This Row],[Ad_ID]],'[1]pre processed data'!A:O,15,0)</f>
        <v>$1427</v>
      </c>
      <c r="J41" s="3">
        <f>VLOOKUP(Googleadssales[[#This Row],[Ad_ID]],'[1]pre processed data'!A:Q,17,0)</f>
        <v>45622</v>
      </c>
      <c r="K41" t="str">
        <f>VLOOKUP(Googleadssales[[#This Row],[Ad_ID]],'[1]pre processed data'!A:R,18,0)</f>
        <v>Bangaluru</v>
      </c>
      <c r="L41" t="str">
        <f>VLOOKUP(Googleadssales[[#This Row],[Ad_ID]],'[1]pre processed data'!A:S,19,0)</f>
        <v>Mobile</v>
      </c>
      <c r="M41" t="str">
        <f>VLOOKUP(Googleadssales[[#This Row],[Ad_ID]],'[1]pre processed data'!A:T,20,0)</f>
        <v>learn data analytics</v>
      </c>
    </row>
    <row r="42" spans="1:13" x14ac:dyDescent="0.3">
      <c r="A42" t="s">
        <v>55</v>
      </c>
      <c r="B42" t="s">
        <v>14</v>
      </c>
      <c r="C42" s="4">
        <f>VLOOKUP(Googleadssales[[#This Row],[Ad_ID]],'[1]pre processed data'!A:C,3,0)</f>
        <v>94</v>
      </c>
      <c r="D42" s="4">
        <f>VLOOKUP(Googleadssales[[#This Row],[Ad_ID]],'[1]pre processed data'!A:E,5,0)</f>
        <v>5549</v>
      </c>
      <c r="E42" s="5" t="str">
        <f>VLOOKUP(Googleadssales[[#This Row],[Ad_ID]],[1]!Table3[[Ad_ID]:[Cost-imputed]],7,0)</f>
        <v>$231.23</v>
      </c>
      <c r="F42" s="4">
        <f>VLOOKUP(Googleadssales[[#This Row],[Ad_ID]],'[1]pre processed data'!A:I,9,0)</f>
        <v>25</v>
      </c>
      <c r="G42" s="4">
        <f>VLOOKUP(Googleadssales[[#This Row],[Ad_ID]],'[1]pre processed data'!A:K,11,0)</f>
        <v>9</v>
      </c>
      <c r="H42" s="2">
        <f>Googleadssales[[#This Row],[Conversions]]/Googleadssales[[#This Row],[Clicks]]</f>
        <v>9.5744680851063829E-2</v>
      </c>
      <c r="I42" t="str">
        <f>VLOOKUP(Googleadssales[[#This Row],[Ad_ID]],'[1]pre processed data'!A:O,15,0)</f>
        <v>$1849</v>
      </c>
      <c r="J42" s="3">
        <f>VLOOKUP(Googleadssales[[#This Row],[Ad_ID]],'[1]pre processed data'!A:Q,17,0)</f>
        <v>45608</v>
      </c>
      <c r="K42" t="str">
        <f>VLOOKUP(Googleadssales[[#This Row],[Ad_ID]],'[1]pre processed data'!A:R,18,0)</f>
        <v>Chennai</v>
      </c>
      <c r="L42" t="str">
        <f>VLOOKUP(Googleadssales[[#This Row],[Ad_ID]],'[1]pre processed data'!A:S,19,0)</f>
        <v>Mobile</v>
      </c>
      <c r="M42" t="str">
        <f>VLOOKUP(Googleadssales[[#This Row],[Ad_ID]],'[1]pre processed data'!A:T,20,0)</f>
        <v>data analytics training</v>
      </c>
    </row>
    <row r="43" spans="1:13" x14ac:dyDescent="0.3">
      <c r="A43" t="s">
        <v>56</v>
      </c>
      <c r="B43" t="s">
        <v>14</v>
      </c>
      <c r="C43" s="4">
        <f>VLOOKUP(Googleadssales[[#This Row],[Ad_ID]],'[1]pre processed data'!A:C,3,0)</f>
        <v>112</v>
      </c>
      <c r="D43" s="4">
        <f>VLOOKUP(Googleadssales[[#This Row],[Ad_ID]],'[1]pre processed data'!A:E,5,0)</f>
        <v>4271</v>
      </c>
      <c r="E43" s="5" t="str">
        <f>VLOOKUP(Googleadssales[[#This Row],[Ad_ID]],[1]!Table3[[Ad_ID]:[Cost-imputed]],7,0)</f>
        <v>$196.07</v>
      </c>
      <c r="F43" s="4">
        <f>VLOOKUP(Googleadssales[[#This Row],[Ad_ID]],'[1]pre processed data'!A:I,9,0)</f>
        <v>27</v>
      </c>
      <c r="G43" s="4">
        <f>VLOOKUP(Googleadssales[[#This Row],[Ad_ID]],'[1]pre processed data'!A:K,11,0)</f>
        <v>6</v>
      </c>
      <c r="H43" s="2">
        <f>Googleadssales[[#This Row],[Conversions]]/Googleadssales[[#This Row],[Clicks]]</f>
        <v>5.3571428571428568E-2</v>
      </c>
      <c r="I43" t="str">
        <f>VLOOKUP(Googleadssales[[#This Row],[Ad_ID]],'[1]pre processed data'!A:O,15,0)</f>
        <v>$1209</v>
      </c>
      <c r="J43" s="3">
        <f>VLOOKUP(Googleadssales[[#This Row],[Ad_ID]],'[1]pre processed data'!A:Q,17,0)</f>
        <v>45610</v>
      </c>
      <c r="K43" t="str">
        <f>VLOOKUP(Googleadssales[[#This Row],[Ad_ID]],'[1]pre processed data'!A:R,18,0)</f>
        <v>Hyderabad</v>
      </c>
      <c r="L43" t="str">
        <f>VLOOKUP(Googleadssales[[#This Row],[Ad_ID]],'[1]pre processed data'!A:S,19,0)</f>
        <v>Desktop</v>
      </c>
      <c r="M43" t="str">
        <f>VLOOKUP(Googleadssales[[#This Row],[Ad_ID]],'[1]pre processed data'!A:T,20,0)</f>
        <v>data analytics online</v>
      </c>
    </row>
    <row r="44" spans="1:13" x14ac:dyDescent="0.3">
      <c r="A44" t="s">
        <v>57</v>
      </c>
      <c r="B44" t="s">
        <v>18</v>
      </c>
      <c r="C44" s="4">
        <f>VLOOKUP(Googleadssales[[#This Row],[Ad_ID]],'[1]pre processed data'!A:C,3,0)</f>
        <v>113</v>
      </c>
      <c r="D44" s="4">
        <f>VLOOKUP(Googleadssales[[#This Row],[Ad_ID]],'[1]pre processed data'!A:E,5,0)</f>
        <v>4418</v>
      </c>
      <c r="E44" s="5" t="str">
        <f>VLOOKUP(Googleadssales[[#This Row],[Ad_ID]],[1]!Table3[[Ad_ID]:[Cost-imputed]],7,0)</f>
        <v>$191.55</v>
      </c>
      <c r="F44" s="4">
        <f>VLOOKUP(Googleadssales[[#This Row],[Ad_ID]],'[1]pre processed data'!A:I,9,0)</f>
        <v>27</v>
      </c>
      <c r="G44" s="4">
        <f>VLOOKUP(Googleadssales[[#This Row],[Ad_ID]],'[1]pre processed data'!A:K,11,0)</f>
        <v>10</v>
      </c>
      <c r="H44" s="2">
        <f>Googleadssales[[#This Row],[Conversions]]/Googleadssales[[#This Row],[Clicks]]</f>
        <v>8.8495575221238937E-2</v>
      </c>
      <c r="I44" t="str">
        <f>VLOOKUP(Googleadssales[[#This Row],[Ad_ID]],'[1]pre processed data'!A:O,15,0)</f>
        <v>$1634</v>
      </c>
      <c r="J44" s="3">
        <f>VLOOKUP(Googleadssales[[#This Row],[Ad_ID]],'[1]pre processed data'!A:Q,17,0)</f>
        <v>45605</v>
      </c>
      <c r="K44" t="str">
        <f>VLOOKUP(Googleadssales[[#This Row],[Ad_ID]],'[1]pre processed data'!A:R,18,0)</f>
        <v>Chennai</v>
      </c>
      <c r="L44" t="str">
        <f>VLOOKUP(Googleadssales[[#This Row],[Ad_ID]],'[1]pre processed data'!A:S,19,0)</f>
        <v>Mobile</v>
      </c>
      <c r="M44" t="str">
        <f>VLOOKUP(Googleadssales[[#This Row],[Ad_ID]],'[1]pre processed data'!A:T,20,0)</f>
        <v>data analytics course</v>
      </c>
    </row>
    <row r="45" spans="1:13" x14ac:dyDescent="0.3">
      <c r="A45" t="s">
        <v>58</v>
      </c>
      <c r="B45" t="s">
        <v>14</v>
      </c>
      <c r="C45" s="4">
        <f>VLOOKUP(Googleadssales[[#This Row],[Ad_ID]],'[1]pre processed data'!A:C,3,0)</f>
        <v>145</v>
      </c>
      <c r="D45" s="4">
        <f>VLOOKUP(Googleadssales[[#This Row],[Ad_ID]],'[1]pre processed data'!A:E,5,0)</f>
        <v>3721</v>
      </c>
      <c r="E45" s="5" t="str">
        <f>VLOOKUP(Googleadssales[[#This Row],[Ad_ID]],[1]!Table3[[Ad_ID]:[Cost-imputed]],7,0)</f>
        <v>$180.95</v>
      </c>
      <c r="F45" s="4">
        <f>VLOOKUP(Googleadssales[[#This Row],[Ad_ID]],'[1]pre processed data'!A:I,9,0)</f>
        <v>21</v>
      </c>
      <c r="G45" s="4">
        <f>VLOOKUP(Googleadssales[[#This Row],[Ad_ID]],'[1]pre processed data'!A:K,11,0)</f>
        <v>7</v>
      </c>
      <c r="H45" s="2">
        <f>Googleadssales[[#This Row],[Conversions]]/Googleadssales[[#This Row],[Clicks]]</f>
        <v>4.8275862068965517E-2</v>
      </c>
      <c r="I45" t="str">
        <f>VLOOKUP(Googleadssales[[#This Row],[Ad_ID]],'[1]pre processed data'!A:O,15,0)</f>
        <v>$1960</v>
      </c>
      <c r="J45" s="3">
        <f>VLOOKUP(Googleadssales[[#This Row],[Ad_ID]],'[1]pre processed data'!A:Q,17,0)</f>
        <v>45625</v>
      </c>
      <c r="K45" t="str">
        <f>VLOOKUP(Googleadssales[[#This Row],[Ad_ID]],'[1]pre processed data'!A:R,18,0)</f>
        <v>Bangaluru</v>
      </c>
      <c r="L45" t="str">
        <f>VLOOKUP(Googleadssales[[#This Row],[Ad_ID]],'[1]pre processed data'!A:S,19,0)</f>
        <v>Desktop</v>
      </c>
      <c r="M45" t="str">
        <f>VLOOKUP(Googleadssales[[#This Row],[Ad_ID]],'[1]pre processed data'!A:T,20,0)</f>
        <v>data analytics online</v>
      </c>
    </row>
    <row r="46" spans="1:13" x14ac:dyDescent="0.3">
      <c r="A46" t="s">
        <v>59</v>
      </c>
      <c r="B46" t="s">
        <v>14</v>
      </c>
      <c r="C46" s="4">
        <f>VLOOKUP(Googleadssales[[#This Row],[Ad_ID]],'[1]pre processed data'!A:C,3,0)</f>
        <v>197</v>
      </c>
      <c r="D46" s="4">
        <f>VLOOKUP(Googleadssales[[#This Row],[Ad_ID]],'[1]pre processed data'!A:E,5,0)</f>
        <v>5783</v>
      </c>
      <c r="E46" s="5" t="str">
        <f>VLOOKUP(Googleadssales[[#This Row],[Ad_ID]],[1]!Table3[[Ad_ID]:[Cost-imputed]],7,0)</f>
        <v>$204.46</v>
      </c>
      <c r="F46" s="4">
        <f>VLOOKUP(Googleadssales[[#This Row],[Ad_ID]],'[1]pre processed data'!A:I,9,0)</f>
        <v>23</v>
      </c>
      <c r="G46" s="4">
        <f>VLOOKUP(Googleadssales[[#This Row],[Ad_ID]],'[1]pre processed data'!A:K,11,0)</f>
        <v>6</v>
      </c>
      <c r="H46" s="2">
        <f>Googleadssales[[#This Row],[Conversions]]/Googleadssales[[#This Row],[Clicks]]</f>
        <v>3.0456852791878174E-2</v>
      </c>
      <c r="I46" t="str">
        <f>VLOOKUP(Googleadssales[[#This Row],[Ad_ID]],'[1]pre processed data'!A:O,15,0)</f>
        <v>$1729</v>
      </c>
      <c r="J46" s="3">
        <f>VLOOKUP(Googleadssales[[#This Row],[Ad_ID]],'[1]pre processed data'!A:Q,17,0)</f>
        <v>45597</v>
      </c>
      <c r="K46" t="str">
        <f>VLOOKUP(Googleadssales[[#This Row],[Ad_ID]],'[1]pre processed data'!A:R,18,0)</f>
        <v>Bangaluru</v>
      </c>
      <c r="L46" t="str">
        <f>VLOOKUP(Googleadssales[[#This Row],[Ad_ID]],'[1]pre processed data'!A:S,19,0)</f>
        <v>Tablet</v>
      </c>
      <c r="M46" t="str">
        <f>VLOOKUP(Googleadssales[[#This Row],[Ad_ID]],'[1]pre processed data'!A:T,20,0)</f>
        <v>data analytics training</v>
      </c>
    </row>
    <row r="47" spans="1:13" x14ac:dyDescent="0.3">
      <c r="A47" t="s">
        <v>60</v>
      </c>
      <c r="B47" t="s">
        <v>14</v>
      </c>
      <c r="C47" s="4">
        <f>VLOOKUP(Googleadssales[[#This Row],[Ad_ID]],'[1]pre processed data'!A:C,3,0)</f>
        <v>109</v>
      </c>
      <c r="D47" s="4">
        <f>VLOOKUP(Googleadssales[[#This Row],[Ad_ID]],'[1]pre processed data'!A:E,5,0)</f>
        <v>4866</v>
      </c>
      <c r="E47" s="5" t="str">
        <f>VLOOKUP(Googleadssales[[#This Row],[Ad_ID]],[1]!Table3[[Ad_ID]:[Cost-imputed]],7,0)</f>
        <v>$236.78</v>
      </c>
      <c r="F47" s="4">
        <f>VLOOKUP(Googleadssales[[#This Row],[Ad_ID]],'[1]pre processed data'!A:I,9,0)</f>
        <v>27</v>
      </c>
      <c r="G47" s="4">
        <f>VLOOKUP(Googleadssales[[#This Row],[Ad_ID]],'[1]pre processed data'!A:K,11,0)</f>
        <v>5</v>
      </c>
      <c r="H47" s="2">
        <f>Googleadssales[[#This Row],[Conversions]]/Googleadssales[[#This Row],[Clicks]]</f>
        <v>4.5871559633027525E-2</v>
      </c>
      <c r="I47" t="str">
        <f>VLOOKUP(Googleadssales[[#This Row],[Ad_ID]],'[1]pre processed data'!A:O,15,0)</f>
        <v>$1585</v>
      </c>
      <c r="J47" s="3">
        <f>VLOOKUP(Googleadssales[[#This Row],[Ad_ID]],'[1]pre processed data'!A:Q,17,0)</f>
        <v>45611</v>
      </c>
      <c r="K47" t="str">
        <f>VLOOKUP(Googleadssales[[#This Row],[Ad_ID]],'[1]pre processed data'!A:R,18,0)</f>
        <v>Hyderabad</v>
      </c>
      <c r="L47" t="str">
        <f>VLOOKUP(Googleadssales[[#This Row],[Ad_ID]],'[1]pre processed data'!A:S,19,0)</f>
        <v>Mobile</v>
      </c>
      <c r="M47" t="str">
        <f>VLOOKUP(Googleadssales[[#This Row],[Ad_ID]],'[1]pre processed data'!A:T,20,0)</f>
        <v>online data analytic</v>
      </c>
    </row>
    <row r="48" spans="1:13" x14ac:dyDescent="0.3">
      <c r="A48" t="s">
        <v>61</v>
      </c>
      <c r="B48" t="s">
        <v>14</v>
      </c>
      <c r="C48" s="4">
        <f>VLOOKUP(Googleadssales[[#This Row],[Ad_ID]],'[1]pre processed data'!A:C,3,0)</f>
        <v>188</v>
      </c>
      <c r="D48" s="4">
        <f>VLOOKUP(Googleadssales[[#This Row],[Ad_ID]],'[1]pre processed data'!A:E,5,0)</f>
        <v>5857</v>
      </c>
      <c r="E48" s="5" t="str">
        <f>VLOOKUP(Googleadssales[[#This Row],[Ad_ID]],[1]!Table3[[Ad_ID]:[Cost-imputed]],7,0)</f>
        <v>$222.98</v>
      </c>
      <c r="F48" s="4">
        <f>VLOOKUP(Googleadssales[[#This Row],[Ad_ID]],'[1]pre processed data'!A:I,9,0)</f>
        <v>20</v>
      </c>
      <c r="G48" s="4">
        <f>VLOOKUP(Googleadssales[[#This Row],[Ad_ID]],'[1]pre processed data'!A:K,11,0)</f>
        <v>4</v>
      </c>
      <c r="H48" s="2">
        <f>Googleadssales[[#This Row],[Conversions]]/Googleadssales[[#This Row],[Clicks]]</f>
        <v>2.1276595744680851E-2</v>
      </c>
      <c r="I48" t="str">
        <f>VLOOKUP(Googleadssales[[#This Row],[Ad_ID]],'[1]pre processed data'!A:O,15,0)</f>
        <v>$1303</v>
      </c>
      <c r="J48" s="3">
        <f>VLOOKUP(Googleadssales[[#This Row],[Ad_ID]],'[1]pre processed data'!A:Q,17,0)</f>
        <v>45607</v>
      </c>
      <c r="K48" t="str">
        <f>VLOOKUP(Googleadssales[[#This Row],[Ad_ID]],'[1]pre processed data'!A:R,18,0)</f>
        <v>Hyderabad</v>
      </c>
      <c r="L48" t="str">
        <f>VLOOKUP(Googleadssales[[#This Row],[Ad_ID]],'[1]pre processed data'!A:S,19,0)</f>
        <v>Desktop</v>
      </c>
      <c r="M48" t="str">
        <f>VLOOKUP(Googleadssales[[#This Row],[Ad_ID]],'[1]pre processed data'!A:T,20,0)</f>
        <v>data analytics training</v>
      </c>
    </row>
    <row r="49" spans="1:13" x14ac:dyDescent="0.3">
      <c r="A49" t="s">
        <v>62</v>
      </c>
      <c r="B49" t="s">
        <v>14</v>
      </c>
      <c r="C49" s="4">
        <f>VLOOKUP(Googleadssales[[#This Row],[Ad_ID]],'[1]pre processed data'!A:C,3,0)</f>
        <v>142</v>
      </c>
      <c r="D49" s="4">
        <f>VLOOKUP(Googleadssales[[#This Row],[Ad_ID]],'[1]pre processed data'!A:E,5,0)</f>
        <v>5103</v>
      </c>
      <c r="E49" s="5" t="str">
        <f>VLOOKUP(Googleadssales[[#This Row],[Ad_ID]],[1]!Table3[[Ad_ID]:[Cost-imputed]],7,0)</f>
        <v>$234.1</v>
      </c>
      <c r="F49" s="4">
        <f>VLOOKUP(Googleadssales[[#This Row],[Ad_ID]],'[1]pre processed data'!A:I,9,0)</f>
        <v>24</v>
      </c>
      <c r="G49" s="4">
        <f>VLOOKUP(Googleadssales[[#This Row],[Ad_ID]],'[1]pre processed data'!A:K,11,0)</f>
        <v>3</v>
      </c>
      <c r="H49" s="2">
        <f>Googleadssales[[#This Row],[Conversions]]/Googleadssales[[#This Row],[Clicks]]</f>
        <v>2.1126760563380281E-2</v>
      </c>
      <c r="I49" t="str">
        <f>VLOOKUP(Googleadssales[[#This Row],[Ad_ID]],'[1]pre processed data'!A:O,15,0)</f>
        <v>$1835</v>
      </c>
      <c r="J49" s="3">
        <f>VLOOKUP(Googleadssales[[#This Row],[Ad_ID]],'[1]pre processed data'!A:Q,17,0)</f>
        <v>45604</v>
      </c>
      <c r="K49" t="str">
        <f>VLOOKUP(Googleadssales[[#This Row],[Ad_ID]],'[1]pre processed data'!A:R,18,0)</f>
        <v>Chennai</v>
      </c>
      <c r="L49" t="str">
        <f>VLOOKUP(Googleadssales[[#This Row],[Ad_ID]],'[1]pre processed data'!A:S,19,0)</f>
        <v>Mobile</v>
      </c>
      <c r="M49" t="str">
        <f>VLOOKUP(Googleadssales[[#This Row],[Ad_ID]],'[1]pre processed data'!A:T,20,0)</f>
        <v>analytics for data</v>
      </c>
    </row>
    <row r="50" spans="1:13" x14ac:dyDescent="0.3">
      <c r="A50" t="s">
        <v>63</v>
      </c>
      <c r="B50" t="s">
        <v>18</v>
      </c>
      <c r="C50" s="4">
        <f>VLOOKUP(Googleadssales[[#This Row],[Ad_ID]],'[1]pre processed data'!A:C,3,0)</f>
        <v>168</v>
      </c>
      <c r="D50" s="4">
        <f>VLOOKUP(Googleadssales[[#This Row],[Ad_ID]],'[1]pre processed data'!A:E,5,0)</f>
        <v>4653</v>
      </c>
      <c r="E50" s="5" t="str">
        <f>VLOOKUP(Googleadssales[[#This Row],[Ad_ID]],[1]!Table3[[Ad_ID]:[Cost-imputed]],7,0)</f>
        <v>$240.84</v>
      </c>
      <c r="F50" s="4">
        <f>VLOOKUP(Googleadssales[[#This Row],[Ad_ID]],'[1]pre processed data'!A:I,9,0)</f>
        <v>27</v>
      </c>
      <c r="G50" s="4">
        <f>VLOOKUP(Googleadssales[[#This Row],[Ad_ID]],'[1]pre processed data'!A:K,11,0)</f>
        <v>9</v>
      </c>
      <c r="H50" s="2">
        <f>Googleadssales[[#This Row],[Conversions]]/Googleadssales[[#This Row],[Clicks]]</f>
        <v>5.3571428571428568E-2</v>
      </c>
      <c r="I50" t="str">
        <f>VLOOKUP(Googleadssales[[#This Row],[Ad_ID]],'[1]pre processed data'!A:O,15,0)</f>
        <v>$1367</v>
      </c>
      <c r="J50" s="3">
        <f>VLOOKUP(Googleadssales[[#This Row],[Ad_ID]],'[1]pre processed data'!A:Q,17,0)</f>
        <v>45620</v>
      </c>
      <c r="K50" t="str">
        <f>VLOOKUP(Googleadssales[[#This Row],[Ad_ID]],'[1]pre processed data'!A:R,18,0)</f>
        <v>Bangaluru</v>
      </c>
      <c r="L50" t="str">
        <f>VLOOKUP(Googleadssales[[#This Row],[Ad_ID]],'[1]pre processed data'!A:S,19,0)</f>
        <v>Mobile</v>
      </c>
      <c r="M50" t="str">
        <f>VLOOKUP(Googleadssales[[#This Row],[Ad_ID]],'[1]pre processed data'!A:T,20,0)</f>
        <v>online data analytic</v>
      </c>
    </row>
    <row r="51" spans="1:13" x14ac:dyDescent="0.3">
      <c r="A51" t="s">
        <v>64</v>
      </c>
      <c r="B51" t="s">
        <v>18</v>
      </c>
      <c r="C51" s="4">
        <f>VLOOKUP(Googleadssales[[#This Row],[Ad_ID]],'[1]pre processed data'!A:C,3,0)</f>
        <v>110</v>
      </c>
      <c r="D51" s="4">
        <f>VLOOKUP(Googleadssales[[#This Row],[Ad_ID]],'[1]pre processed data'!A:E,5,0)</f>
        <v>3524</v>
      </c>
      <c r="E51" s="5" t="str">
        <f>VLOOKUP(Googleadssales[[#This Row],[Ad_ID]],[1]!Table3[[Ad_ID]:[Cost-imputed]],7,0)</f>
        <v>$248.86</v>
      </c>
      <c r="F51" s="4">
        <f>VLOOKUP(Googleadssales[[#This Row],[Ad_ID]],'[1]pre processed data'!A:I,9,0)</f>
        <v>19</v>
      </c>
      <c r="G51" s="4">
        <f>VLOOKUP(Googleadssales[[#This Row],[Ad_ID]],'[1]pre processed data'!A:K,11,0)</f>
        <v>10</v>
      </c>
      <c r="H51" s="2">
        <f>Googleadssales[[#This Row],[Conversions]]/Googleadssales[[#This Row],[Clicks]]</f>
        <v>9.0909090909090912E-2</v>
      </c>
      <c r="I51" t="str">
        <f>VLOOKUP(Googleadssales[[#This Row],[Ad_ID]],'[1]pre processed data'!A:O,15,0)</f>
        <v>$1524</v>
      </c>
      <c r="J51" s="3">
        <f>VLOOKUP(Googleadssales[[#This Row],[Ad_ID]],'[1]pre processed data'!A:Q,17,0)</f>
        <v>45617</v>
      </c>
      <c r="K51" t="str">
        <f>VLOOKUP(Googleadssales[[#This Row],[Ad_ID]],'[1]pre processed data'!A:R,18,0)</f>
        <v>Chennai</v>
      </c>
      <c r="L51" t="str">
        <f>VLOOKUP(Googleadssales[[#This Row],[Ad_ID]],'[1]pre processed data'!A:S,19,0)</f>
        <v>Mobile</v>
      </c>
      <c r="M51" t="str">
        <f>VLOOKUP(Googleadssales[[#This Row],[Ad_ID]],'[1]pre processed data'!A:T,20,0)</f>
        <v>learn data analytics</v>
      </c>
    </row>
    <row r="52" spans="1:13" x14ac:dyDescent="0.3">
      <c r="A52" t="s">
        <v>65</v>
      </c>
      <c r="B52" t="s">
        <v>18</v>
      </c>
      <c r="C52" s="4">
        <f>VLOOKUP(Googleadssales[[#This Row],[Ad_ID]],'[1]pre processed data'!A:C,3,0)</f>
        <v>192</v>
      </c>
      <c r="D52" s="4">
        <f>VLOOKUP(Googleadssales[[#This Row],[Ad_ID]],'[1]pre processed data'!A:E,5,0)</f>
        <v>5938</v>
      </c>
      <c r="E52" s="5" t="str">
        <f>VLOOKUP(Googleadssales[[#This Row],[Ad_ID]],[1]!Table3[[Ad_ID]:[Cost-imputed]],7,0)</f>
        <v>$182.84</v>
      </c>
      <c r="F52" s="4">
        <f>VLOOKUP(Googleadssales[[#This Row],[Ad_ID]],'[1]pre processed data'!A:I,9,0)</f>
        <v>26</v>
      </c>
      <c r="G52" s="4">
        <f>VLOOKUP(Googleadssales[[#This Row],[Ad_ID]],'[1]pre processed data'!A:K,11,0)</f>
        <v>5</v>
      </c>
      <c r="H52" s="2">
        <f>Googleadssales[[#This Row],[Conversions]]/Googleadssales[[#This Row],[Clicks]]</f>
        <v>2.6041666666666668E-2</v>
      </c>
      <c r="I52" t="str">
        <f>VLOOKUP(Googleadssales[[#This Row],[Ad_ID]],'[1]pre processed data'!A:O,15,0)</f>
        <v>$1080</v>
      </c>
      <c r="J52" s="3">
        <f>VLOOKUP(Googleadssales[[#This Row],[Ad_ID]],'[1]pre processed data'!A:Q,17,0)</f>
        <v>45608</v>
      </c>
      <c r="K52" t="str">
        <f>VLOOKUP(Googleadssales[[#This Row],[Ad_ID]],'[1]pre processed data'!A:R,18,0)</f>
        <v>Bangaluru</v>
      </c>
      <c r="L52" t="str">
        <f>VLOOKUP(Googleadssales[[#This Row],[Ad_ID]],'[1]pre processed data'!A:S,19,0)</f>
        <v>Mobile</v>
      </c>
      <c r="M52" t="str">
        <f>VLOOKUP(Googleadssales[[#This Row],[Ad_ID]],'[1]pre processed data'!A:T,20,0)</f>
        <v>analytics for data</v>
      </c>
    </row>
    <row r="53" spans="1:13" x14ac:dyDescent="0.3">
      <c r="A53" t="s">
        <v>66</v>
      </c>
      <c r="B53" t="s">
        <v>14</v>
      </c>
      <c r="C53" s="4">
        <f>VLOOKUP(Googleadssales[[#This Row],[Ad_ID]],'[1]pre processed data'!A:C,3,0)</f>
        <v>101</v>
      </c>
      <c r="D53" s="4">
        <f>VLOOKUP(Googleadssales[[#This Row],[Ad_ID]],'[1]pre processed data'!A:E,5,0)</f>
        <v>3942</v>
      </c>
      <c r="E53" s="5" t="str">
        <f>VLOOKUP(Googleadssales[[#This Row],[Ad_ID]],[1]!Table3[[Ad_ID]:[Cost-imputed]],7,0)</f>
        <v>$206.62</v>
      </c>
      <c r="F53" s="4">
        <f>VLOOKUP(Googleadssales[[#This Row],[Ad_ID]],'[1]pre processed data'!A:I,9,0)</f>
        <v>16</v>
      </c>
      <c r="G53" s="4">
        <f>VLOOKUP(Googleadssales[[#This Row],[Ad_ID]],'[1]pre processed data'!A:K,11,0)</f>
        <v>5</v>
      </c>
      <c r="H53" s="2">
        <f>Googleadssales[[#This Row],[Conversions]]/Googleadssales[[#This Row],[Clicks]]</f>
        <v>4.9504950495049507E-2</v>
      </c>
      <c r="I53" t="str">
        <f>VLOOKUP(Googleadssales[[#This Row],[Ad_ID]],'[1]pre processed data'!A:O,15,0)</f>
        <v>$1746</v>
      </c>
      <c r="J53" s="3">
        <f>VLOOKUP(Googleadssales[[#This Row],[Ad_ID]],'[1]pre processed data'!A:Q,17,0)</f>
        <v>45620</v>
      </c>
      <c r="K53" t="str">
        <f>VLOOKUP(Googleadssales[[#This Row],[Ad_ID]],'[1]pre processed data'!A:R,18,0)</f>
        <v>Hyderabad</v>
      </c>
      <c r="L53" t="str">
        <f>VLOOKUP(Googleadssales[[#This Row],[Ad_ID]],'[1]pre processed data'!A:S,19,0)</f>
        <v>Tablet</v>
      </c>
      <c r="M53" t="str">
        <f>VLOOKUP(Googleadssales[[#This Row],[Ad_ID]],'[1]pre processed data'!A:T,20,0)</f>
        <v>analytics for data</v>
      </c>
    </row>
    <row r="54" spans="1:13" x14ac:dyDescent="0.3">
      <c r="A54" t="s">
        <v>67</v>
      </c>
      <c r="B54" t="s">
        <v>14</v>
      </c>
      <c r="C54" s="4">
        <f>VLOOKUP(Googleadssales[[#This Row],[Ad_ID]],'[1]pre processed data'!A:C,3,0)</f>
        <v>157</v>
      </c>
      <c r="D54" s="4">
        <f>VLOOKUP(Googleadssales[[#This Row],[Ad_ID]],'[1]pre processed data'!A:E,5,0)</f>
        <v>3315</v>
      </c>
      <c r="E54" s="5" t="str">
        <f>VLOOKUP(Googleadssales[[#This Row],[Ad_ID]],[1]!Table3[[Ad_ID]:[Cost-imputed]],7,0)</f>
        <v>$189.56</v>
      </c>
      <c r="F54" s="4">
        <f>VLOOKUP(Googleadssales[[#This Row],[Ad_ID]],'[1]pre processed data'!A:I,9,0)</f>
        <v>15</v>
      </c>
      <c r="G54" s="4">
        <f>VLOOKUP(Googleadssales[[#This Row],[Ad_ID]],'[1]pre processed data'!A:K,11,0)</f>
        <v>10</v>
      </c>
      <c r="H54" s="2">
        <f>Googleadssales[[#This Row],[Conversions]]/Googleadssales[[#This Row],[Clicks]]</f>
        <v>6.3694267515923567E-2</v>
      </c>
      <c r="I54" t="str">
        <f>VLOOKUP(Googleadssales[[#This Row],[Ad_ID]],'[1]pre processed data'!A:O,15,0)</f>
        <v>$1026</v>
      </c>
      <c r="J54" s="3">
        <f>VLOOKUP(Googleadssales[[#This Row],[Ad_ID]],'[1]pre processed data'!A:Q,17,0)</f>
        <v>45621</v>
      </c>
      <c r="K54" t="str">
        <f>VLOOKUP(Googleadssales[[#This Row],[Ad_ID]],'[1]pre processed data'!A:R,18,0)</f>
        <v>Hyderabad</v>
      </c>
      <c r="L54" t="str">
        <f>VLOOKUP(Googleadssales[[#This Row],[Ad_ID]],'[1]pre processed data'!A:S,19,0)</f>
        <v>Mobile</v>
      </c>
      <c r="M54" t="str">
        <f>VLOOKUP(Googleadssales[[#This Row],[Ad_ID]],'[1]pre processed data'!A:T,20,0)</f>
        <v>online data analytic</v>
      </c>
    </row>
    <row r="55" spans="1:13" x14ac:dyDescent="0.3">
      <c r="A55" t="s">
        <v>68</v>
      </c>
      <c r="B55" t="s">
        <v>14</v>
      </c>
      <c r="C55" s="4">
        <f>VLOOKUP(Googleadssales[[#This Row],[Ad_ID]],'[1]pre processed data'!A:C,3,0)</f>
        <v>113</v>
      </c>
      <c r="D55" s="4">
        <f>VLOOKUP(Googleadssales[[#This Row],[Ad_ID]],'[1]pre processed data'!A:E,5,0)</f>
        <v>4945</v>
      </c>
      <c r="E55" s="5" t="str">
        <f>VLOOKUP(Googleadssales[[#This Row],[Ad_ID]],[1]!Table3[[Ad_ID]:[Cost-imputed]],7,0)</f>
        <v>$187.66</v>
      </c>
      <c r="F55" s="4">
        <f>VLOOKUP(Googleadssales[[#This Row],[Ad_ID]],'[1]pre processed data'!A:I,9,0)</f>
        <v>15</v>
      </c>
      <c r="G55" s="4">
        <f>VLOOKUP(Googleadssales[[#This Row],[Ad_ID]],'[1]pre processed data'!A:K,11,0)</f>
        <v>10</v>
      </c>
      <c r="H55" s="2">
        <f>Googleadssales[[#This Row],[Conversions]]/Googleadssales[[#This Row],[Clicks]]</f>
        <v>8.8495575221238937E-2</v>
      </c>
      <c r="I55" t="str">
        <f>VLOOKUP(Googleadssales[[#This Row],[Ad_ID]],'[1]pre processed data'!A:O,15,0)</f>
        <v>$1564</v>
      </c>
      <c r="J55" s="3">
        <f>VLOOKUP(Googleadssales[[#This Row],[Ad_ID]],'[1]pre processed data'!A:Q,17,0)</f>
        <v>45622</v>
      </c>
      <c r="K55" t="str">
        <f>VLOOKUP(Googleadssales[[#This Row],[Ad_ID]],'[1]pre processed data'!A:R,18,0)</f>
        <v>Hyderabad</v>
      </c>
      <c r="L55" t="str">
        <f>VLOOKUP(Googleadssales[[#This Row],[Ad_ID]],'[1]pre processed data'!A:S,19,0)</f>
        <v>Tablet</v>
      </c>
      <c r="M55" t="str">
        <f>VLOOKUP(Googleadssales[[#This Row],[Ad_ID]],'[1]pre processed data'!A:T,20,0)</f>
        <v>learn data analytics</v>
      </c>
    </row>
    <row r="56" spans="1:13" x14ac:dyDescent="0.3">
      <c r="A56" t="s">
        <v>69</v>
      </c>
      <c r="B56" t="s">
        <v>18</v>
      </c>
      <c r="C56" s="4">
        <f>VLOOKUP(Googleadssales[[#This Row],[Ad_ID]],'[1]pre processed data'!A:C,3,0)</f>
        <v>96</v>
      </c>
      <c r="D56" s="4">
        <f>VLOOKUP(Googleadssales[[#This Row],[Ad_ID]],'[1]pre processed data'!A:E,5,0)</f>
        <v>3166</v>
      </c>
      <c r="E56" s="5" t="str">
        <f>VLOOKUP(Googleadssales[[#This Row],[Ad_ID]],[1]!Table3[[Ad_ID]:[Cost-imputed]],7,0)</f>
        <v>$196.15</v>
      </c>
      <c r="F56" s="4">
        <f>VLOOKUP(Googleadssales[[#This Row],[Ad_ID]],'[1]pre processed data'!A:I,9,0)</f>
        <v>29</v>
      </c>
      <c r="G56" s="4">
        <f>VLOOKUP(Googleadssales[[#This Row],[Ad_ID]],'[1]pre processed data'!A:K,11,0)</f>
        <v>7</v>
      </c>
      <c r="H56" s="2">
        <f>Googleadssales[[#This Row],[Conversions]]/Googleadssales[[#This Row],[Clicks]]</f>
        <v>7.2916666666666671E-2</v>
      </c>
      <c r="I56" t="str">
        <f>VLOOKUP(Googleadssales[[#This Row],[Ad_ID]],'[1]pre processed data'!A:O,15,0)</f>
        <v>$1902</v>
      </c>
      <c r="J56" s="3">
        <f>VLOOKUP(Googleadssales[[#This Row],[Ad_ID]],'[1]pre processed data'!A:Q,17,0)</f>
        <v>45622</v>
      </c>
      <c r="K56" t="str">
        <f>VLOOKUP(Googleadssales[[#This Row],[Ad_ID]],'[1]pre processed data'!A:R,18,0)</f>
        <v>Hyderabad</v>
      </c>
      <c r="L56" t="str">
        <f>VLOOKUP(Googleadssales[[#This Row],[Ad_ID]],'[1]pre processed data'!A:S,19,0)</f>
        <v>Desktop</v>
      </c>
      <c r="M56" t="str">
        <f>VLOOKUP(Googleadssales[[#This Row],[Ad_ID]],'[1]pre processed data'!A:T,20,0)</f>
        <v>learn data analytics</v>
      </c>
    </row>
    <row r="57" spans="1:13" x14ac:dyDescent="0.3">
      <c r="A57" t="s">
        <v>70</v>
      </c>
      <c r="B57" t="s">
        <v>18</v>
      </c>
      <c r="C57" s="4">
        <f>VLOOKUP(Googleadssales[[#This Row],[Ad_ID]],'[1]pre processed data'!A:C,3,0)</f>
        <v>125</v>
      </c>
      <c r="D57" s="4">
        <f>VLOOKUP(Googleadssales[[#This Row],[Ad_ID]],'[1]pre processed data'!A:E,5,0)</f>
        <v>4223</v>
      </c>
      <c r="E57" s="5" t="str">
        <f>VLOOKUP(Googleadssales[[#This Row],[Ad_ID]],[1]!Table3[[Ad_ID]:[Cost-imputed]],7,0)</f>
        <v>$183.68</v>
      </c>
      <c r="F57" s="4">
        <f>VLOOKUP(Googleadssales[[#This Row],[Ad_ID]],'[1]pre processed data'!A:I,9,0)</f>
        <v>15</v>
      </c>
      <c r="G57" s="4">
        <f>VLOOKUP(Googleadssales[[#This Row],[Ad_ID]],'[1]pre processed data'!A:K,11,0)</f>
        <v>6</v>
      </c>
      <c r="H57" s="2">
        <f>Googleadssales[[#This Row],[Conversions]]/Googleadssales[[#This Row],[Clicks]]</f>
        <v>4.8000000000000001E-2</v>
      </c>
      <c r="I57" t="str">
        <f>VLOOKUP(Googleadssales[[#This Row],[Ad_ID]],'[1]pre processed data'!A:O,15,0)</f>
        <v>$1267</v>
      </c>
      <c r="J57" s="3">
        <f>VLOOKUP(Googleadssales[[#This Row],[Ad_ID]],'[1]pre processed data'!A:Q,17,0)</f>
        <v>45601</v>
      </c>
      <c r="K57" t="str">
        <f>VLOOKUP(Googleadssales[[#This Row],[Ad_ID]],'[1]pre processed data'!A:R,18,0)</f>
        <v>Hyderabad</v>
      </c>
      <c r="L57" t="str">
        <f>VLOOKUP(Googleadssales[[#This Row],[Ad_ID]],'[1]pre processed data'!A:S,19,0)</f>
        <v>Desktop</v>
      </c>
      <c r="M57" t="str">
        <f>VLOOKUP(Googleadssales[[#This Row],[Ad_ID]],'[1]pre processed data'!A:T,20,0)</f>
        <v>data analytics online</v>
      </c>
    </row>
    <row r="58" spans="1:13" x14ac:dyDescent="0.3">
      <c r="A58" t="s">
        <v>71</v>
      </c>
      <c r="B58" t="s">
        <v>18</v>
      </c>
      <c r="C58" s="4">
        <f>VLOOKUP(Googleadssales[[#This Row],[Ad_ID]],'[1]pre processed data'!A:C,3,0)</f>
        <v>104</v>
      </c>
      <c r="D58" s="4">
        <f>VLOOKUP(Googleadssales[[#This Row],[Ad_ID]],'[1]pre processed data'!A:E,5,0)</f>
        <v>4798</v>
      </c>
      <c r="E58" s="5" t="str">
        <f>VLOOKUP(Googleadssales[[#This Row],[Ad_ID]],[1]!Table3[[Ad_ID]:[Cost-imputed]],7,0)</f>
        <v>$210.1</v>
      </c>
      <c r="F58" s="4">
        <f>VLOOKUP(Googleadssales[[#This Row],[Ad_ID]],'[1]pre processed data'!A:I,9,0)</f>
        <v>18</v>
      </c>
      <c r="G58" s="4">
        <f>VLOOKUP(Googleadssales[[#This Row],[Ad_ID]],'[1]pre processed data'!A:K,11,0)</f>
        <v>3</v>
      </c>
      <c r="H58" s="2">
        <f>Googleadssales[[#This Row],[Conversions]]/Googleadssales[[#This Row],[Clicks]]</f>
        <v>2.8846153846153848E-2</v>
      </c>
      <c r="I58" t="str">
        <f>VLOOKUP(Googleadssales[[#This Row],[Ad_ID]],'[1]pre processed data'!A:O,15,0)</f>
        <v>$1340</v>
      </c>
      <c r="J58" s="3">
        <f>VLOOKUP(Googleadssales[[#This Row],[Ad_ID]],'[1]pre processed data'!A:Q,17,0)</f>
        <v>45617</v>
      </c>
      <c r="K58" t="str">
        <f>VLOOKUP(Googleadssales[[#This Row],[Ad_ID]],'[1]pre processed data'!A:R,18,0)</f>
        <v>Hyderabad</v>
      </c>
      <c r="L58" t="str">
        <f>VLOOKUP(Googleadssales[[#This Row],[Ad_ID]],'[1]pre processed data'!A:S,19,0)</f>
        <v>Desktop</v>
      </c>
      <c r="M58" t="str">
        <f>VLOOKUP(Googleadssales[[#This Row],[Ad_ID]],'[1]pre processed data'!A:T,20,0)</f>
        <v>analytics for data</v>
      </c>
    </row>
    <row r="59" spans="1:13" x14ac:dyDescent="0.3">
      <c r="A59" t="s">
        <v>72</v>
      </c>
      <c r="B59" t="s">
        <v>14</v>
      </c>
      <c r="C59" s="4">
        <f>VLOOKUP(Googleadssales[[#This Row],[Ad_ID]],'[1]pre processed data'!A:C,3,0)</f>
        <v>194</v>
      </c>
      <c r="D59" s="4">
        <f>VLOOKUP(Googleadssales[[#This Row],[Ad_ID]],'[1]pre processed data'!A:E,5,0)</f>
        <v>5655</v>
      </c>
      <c r="E59" s="5" t="str">
        <f>VLOOKUP(Googleadssales[[#This Row],[Ad_ID]],[1]!Table3[[Ad_ID]:[Cost-imputed]],7,0)</f>
        <v>$208.58</v>
      </c>
      <c r="F59" s="4">
        <f>VLOOKUP(Googleadssales[[#This Row],[Ad_ID]],'[1]pre processed data'!A:I,9,0)</f>
        <v>13</v>
      </c>
      <c r="G59" s="4">
        <f>VLOOKUP(Googleadssales[[#This Row],[Ad_ID]],'[1]pre processed data'!A:K,11,0)</f>
        <v>6</v>
      </c>
      <c r="H59" s="2">
        <f>Googleadssales[[#This Row],[Conversions]]/Googleadssales[[#This Row],[Clicks]]</f>
        <v>3.0927835051546393E-2</v>
      </c>
      <c r="I59" t="str">
        <f>VLOOKUP(Googleadssales[[#This Row],[Ad_ID]],'[1]pre processed data'!A:O,15,0)</f>
        <v>$1692</v>
      </c>
      <c r="J59" s="3">
        <f>VLOOKUP(Googleadssales[[#This Row],[Ad_ID]],'[1]pre processed data'!A:Q,17,0)</f>
        <v>45612</v>
      </c>
      <c r="K59" t="str">
        <f>VLOOKUP(Googleadssales[[#This Row],[Ad_ID]],'[1]pre processed data'!A:R,18,0)</f>
        <v>Bangaluru</v>
      </c>
      <c r="L59" t="str">
        <f>VLOOKUP(Googleadssales[[#This Row],[Ad_ID]],'[1]pre processed data'!A:S,19,0)</f>
        <v>Mobile</v>
      </c>
      <c r="M59" t="str">
        <f>VLOOKUP(Googleadssales[[#This Row],[Ad_ID]],'[1]pre processed data'!A:T,20,0)</f>
        <v>data analytics training</v>
      </c>
    </row>
    <row r="60" spans="1:13" x14ac:dyDescent="0.3">
      <c r="A60" t="s">
        <v>73</v>
      </c>
      <c r="B60" t="s">
        <v>14</v>
      </c>
      <c r="C60" s="4">
        <f>VLOOKUP(Googleadssales[[#This Row],[Ad_ID]],'[1]pre processed data'!A:C,3,0)</f>
        <v>144</v>
      </c>
      <c r="D60" s="4">
        <f>VLOOKUP(Googleadssales[[#This Row],[Ad_ID]],'[1]pre processed data'!A:E,5,0)</f>
        <v>5140</v>
      </c>
      <c r="E60" s="5" t="str">
        <f>VLOOKUP(Googleadssales[[#This Row],[Ad_ID]],[1]!Table3[[Ad_ID]:[Cost-imputed]],7,0)</f>
        <v>$219.48</v>
      </c>
      <c r="F60" s="4">
        <f>VLOOKUP(Googleadssales[[#This Row],[Ad_ID]],'[1]pre processed data'!A:I,9,0)</f>
        <v>19</v>
      </c>
      <c r="G60" s="4">
        <f>VLOOKUP(Googleadssales[[#This Row],[Ad_ID]],'[1]pre processed data'!A:K,11,0)</f>
        <v>8</v>
      </c>
      <c r="H60" s="2">
        <f>Googleadssales[[#This Row],[Conversions]]/Googleadssales[[#This Row],[Clicks]]</f>
        <v>5.5555555555555552E-2</v>
      </c>
      <c r="I60" t="str">
        <f>VLOOKUP(Googleadssales[[#This Row],[Ad_ID]],'[1]pre processed data'!A:O,15,0)</f>
        <v>$1054</v>
      </c>
      <c r="J60" s="3">
        <f>VLOOKUP(Googleadssales[[#This Row],[Ad_ID]],'[1]pre processed data'!A:Q,17,0)</f>
        <v>45614</v>
      </c>
      <c r="K60" t="str">
        <f>VLOOKUP(Googleadssales[[#This Row],[Ad_ID]],'[1]pre processed data'!A:R,18,0)</f>
        <v>Chennai</v>
      </c>
      <c r="L60" t="str">
        <f>VLOOKUP(Googleadssales[[#This Row],[Ad_ID]],'[1]pre processed data'!A:S,19,0)</f>
        <v>Desktop</v>
      </c>
      <c r="M60" t="str">
        <f>VLOOKUP(Googleadssales[[#This Row],[Ad_ID]],'[1]pre processed data'!A:T,20,0)</f>
        <v>data analytics online</v>
      </c>
    </row>
    <row r="61" spans="1:13" x14ac:dyDescent="0.3">
      <c r="A61" t="s">
        <v>74</v>
      </c>
      <c r="B61" t="s">
        <v>14</v>
      </c>
      <c r="C61" s="4">
        <f>VLOOKUP(Googleadssales[[#This Row],[Ad_ID]],'[1]pre processed data'!A:C,3,0)</f>
        <v>179</v>
      </c>
      <c r="D61" s="4">
        <f>VLOOKUP(Googleadssales[[#This Row],[Ad_ID]],'[1]pre processed data'!A:E,5,0)</f>
        <v>3025</v>
      </c>
      <c r="E61" s="5" t="str">
        <f>VLOOKUP(Googleadssales[[#This Row],[Ad_ID]],[1]!Table3[[Ad_ID]:[Cost-imputed]],7,0)</f>
        <v>$238.81</v>
      </c>
      <c r="F61" s="4">
        <f>VLOOKUP(Googleadssales[[#This Row],[Ad_ID]],'[1]pre processed data'!A:I,9,0)</f>
        <v>17</v>
      </c>
      <c r="G61" s="4">
        <f>VLOOKUP(Googleadssales[[#This Row],[Ad_ID]],'[1]pre processed data'!A:K,11,0)</f>
        <v>3</v>
      </c>
      <c r="H61" s="2">
        <f>Googleadssales[[#This Row],[Conversions]]/Googleadssales[[#This Row],[Clicks]]</f>
        <v>1.6759776536312849E-2</v>
      </c>
      <c r="I61" t="str">
        <f>VLOOKUP(Googleadssales[[#This Row],[Ad_ID]],'[1]pre processed data'!A:O,15,0)</f>
        <v>$1500</v>
      </c>
      <c r="J61" s="3">
        <f>VLOOKUP(Googleadssales[[#This Row],[Ad_ID]],'[1]pre processed data'!A:Q,17,0)</f>
        <v>45607</v>
      </c>
      <c r="K61" t="str">
        <f>VLOOKUP(Googleadssales[[#This Row],[Ad_ID]],'[1]pre processed data'!A:R,18,0)</f>
        <v>Hyderabad</v>
      </c>
      <c r="L61" t="str">
        <f>VLOOKUP(Googleadssales[[#This Row],[Ad_ID]],'[1]pre processed data'!A:S,19,0)</f>
        <v>Mobile</v>
      </c>
      <c r="M61" t="str">
        <f>VLOOKUP(Googleadssales[[#This Row],[Ad_ID]],'[1]pre processed data'!A:T,20,0)</f>
        <v>data analytics online</v>
      </c>
    </row>
    <row r="62" spans="1:13" x14ac:dyDescent="0.3">
      <c r="A62" t="s">
        <v>75</v>
      </c>
      <c r="B62" t="s">
        <v>14</v>
      </c>
      <c r="C62" s="4">
        <f>VLOOKUP(Googleadssales[[#This Row],[Ad_ID]],'[1]pre processed data'!A:C,3,0)</f>
        <v>166</v>
      </c>
      <c r="D62" s="4">
        <f>VLOOKUP(Googleadssales[[#This Row],[Ad_ID]],'[1]pre processed data'!A:E,5,0)</f>
        <v>5223</v>
      </c>
      <c r="E62" s="5" t="str">
        <f>VLOOKUP(Googleadssales[[#This Row],[Ad_ID]],[1]!Table3[[Ad_ID]:[Cost-imputed]],7,0)</f>
        <v>$189.76</v>
      </c>
      <c r="F62" s="4">
        <f>VLOOKUP(Googleadssales[[#This Row],[Ad_ID]],'[1]pre processed data'!A:I,9,0)</f>
        <v>18</v>
      </c>
      <c r="G62" s="4">
        <f>VLOOKUP(Googleadssales[[#This Row],[Ad_ID]],'[1]pre processed data'!A:K,11,0)</f>
        <v>7</v>
      </c>
      <c r="H62" s="2">
        <f>Googleadssales[[#This Row],[Conversions]]/Googleadssales[[#This Row],[Clicks]]</f>
        <v>4.2168674698795178E-2</v>
      </c>
      <c r="I62" t="str">
        <f>VLOOKUP(Googleadssales[[#This Row],[Ad_ID]],'[1]pre processed data'!A:O,15,0)</f>
        <v>$1219</v>
      </c>
      <c r="J62" s="3">
        <f>VLOOKUP(Googleadssales[[#This Row],[Ad_ID]],'[1]pre processed data'!A:Q,17,0)</f>
        <v>45612</v>
      </c>
      <c r="K62" t="str">
        <f>VLOOKUP(Googleadssales[[#This Row],[Ad_ID]],'[1]pre processed data'!A:R,18,0)</f>
        <v>Chennai</v>
      </c>
      <c r="L62" t="str">
        <f>VLOOKUP(Googleadssales[[#This Row],[Ad_ID]],'[1]pre processed data'!A:S,19,0)</f>
        <v>Tablet</v>
      </c>
      <c r="M62" t="str">
        <f>VLOOKUP(Googleadssales[[#This Row],[Ad_ID]],'[1]pre processed data'!A:T,20,0)</f>
        <v>data analytics course</v>
      </c>
    </row>
    <row r="63" spans="1:13" x14ac:dyDescent="0.3">
      <c r="A63" t="s">
        <v>76</v>
      </c>
      <c r="B63" t="s">
        <v>18</v>
      </c>
      <c r="C63" s="4">
        <f>VLOOKUP(Googleadssales[[#This Row],[Ad_ID]],'[1]pre processed data'!A:C,3,0)</f>
        <v>166</v>
      </c>
      <c r="D63" s="4">
        <f>VLOOKUP(Googleadssales[[#This Row],[Ad_ID]],'[1]pre processed data'!A:E,5,0)</f>
        <v>5089</v>
      </c>
      <c r="E63" s="5" t="str">
        <f>VLOOKUP(Googleadssales[[#This Row],[Ad_ID]],[1]!Table3[[Ad_ID]:[Cost-imputed]],7,0)</f>
        <v>$200.00</v>
      </c>
      <c r="F63" s="4">
        <f>VLOOKUP(Googleadssales[[#This Row],[Ad_ID]],'[1]pre processed data'!A:I,9,0)</f>
        <v>26</v>
      </c>
      <c r="G63" s="4">
        <f>VLOOKUP(Googleadssales[[#This Row],[Ad_ID]],'[1]pre processed data'!A:K,11,0)</f>
        <v>7</v>
      </c>
      <c r="H63" s="2">
        <f>Googleadssales[[#This Row],[Conversions]]/Googleadssales[[#This Row],[Clicks]]</f>
        <v>4.2168674698795178E-2</v>
      </c>
      <c r="I63" t="str">
        <f>VLOOKUP(Googleadssales[[#This Row],[Ad_ID]],'[1]pre processed data'!A:O,15,0)</f>
        <v>$1946</v>
      </c>
      <c r="J63" s="3">
        <f>VLOOKUP(Googleadssales[[#This Row],[Ad_ID]],'[1]pre processed data'!A:Q,17,0)</f>
        <v>45607</v>
      </c>
      <c r="K63" t="str">
        <f>VLOOKUP(Googleadssales[[#This Row],[Ad_ID]],'[1]pre processed data'!A:R,18,0)</f>
        <v>Chennai</v>
      </c>
      <c r="L63" t="str">
        <f>VLOOKUP(Googleadssales[[#This Row],[Ad_ID]],'[1]pre processed data'!A:S,19,0)</f>
        <v>Tablet</v>
      </c>
      <c r="M63" t="str">
        <f>VLOOKUP(Googleadssales[[#This Row],[Ad_ID]],'[1]pre processed data'!A:T,20,0)</f>
        <v>analytics for data</v>
      </c>
    </row>
    <row r="64" spans="1:13" x14ac:dyDescent="0.3">
      <c r="A64" t="s">
        <v>77</v>
      </c>
      <c r="B64" t="s">
        <v>14</v>
      </c>
      <c r="C64" s="4">
        <f>VLOOKUP(Googleadssales[[#This Row],[Ad_ID]],'[1]pre processed data'!A:C,3,0)</f>
        <v>118</v>
      </c>
      <c r="D64" s="4">
        <f>VLOOKUP(Googleadssales[[#This Row],[Ad_ID]],'[1]pre processed data'!A:E,5,0)</f>
        <v>5016</v>
      </c>
      <c r="E64" s="5" t="str">
        <f>VLOOKUP(Googleadssales[[#This Row],[Ad_ID]],[1]!Table3[[Ad_ID]:[Cost-imputed]],7,0)</f>
        <v>$204.31</v>
      </c>
      <c r="F64" s="4">
        <f>VLOOKUP(Googleadssales[[#This Row],[Ad_ID]],'[1]pre processed data'!A:I,9,0)</f>
        <v>19</v>
      </c>
      <c r="G64" s="4">
        <f>VLOOKUP(Googleadssales[[#This Row],[Ad_ID]],'[1]pre processed data'!A:K,11,0)</f>
        <v>9</v>
      </c>
      <c r="H64" s="2">
        <f>Googleadssales[[#This Row],[Conversions]]/Googleadssales[[#This Row],[Clicks]]</f>
        <v>7.6271186440677971E-2</v>
      </c>
      <c r="I64" t="str">
        <f>VLOOKUP(Googleadssales[[#This Row],[Ad_ID]],'[1]pre processed data'!A:O,15,0)</f>
        <v>$1833</v>
      </c>
      <c r="J64" s="3">
        <f>VLOOKUP(Googleadssales[[#This Row],[Ad_ID]],'[1]pre processed data'!A:Q,17,0)</f>
        <v>45604</v>
      </c>
      <c r="K64" t="str">
        <f>VLOOKUP(Googleadssales[[#This Row],[Ad_ID]],'[1]pre processed data'!A:R,18,0)</f>
        <v>Hyderabad</v>
      </c>
      <c r="L64" t="str">
        <f>VLOOKUP(Googleadssales[[#This Row],[Ad_ID]],'[1]pre processed data'!A:S,19,0)</f>
        <v>Desktop</v>
      </c>
      <c r="M64" t="str">
        <f>VLOOKUP(Googleadssales[[#This Row],[Ad_ID]],'[1]pre processed data'!A:T,20,0)</f>
        <v>analytics for data</v>
      </c>
    </row>
    <row r="65" spans="1:13" x14ac:dyDescent="0.3">
      <c r="A65" t="s">
        <v>78</v>
      </c>
      <c r="B65" t="s">
        <v>14</v>
      </c>
      <c r="C65" s="4">
        <f>VLOOKUP(Googleadssales[[#This Row],[Ad_ID]],'[1]pre processed data'!A:C,3,0)</f>
        <v>185</v>
      </c>
      <c r="D65" s="4">
        <f>VLOOKUP(Googleadssales[[#This Row],[Ad_ID]],'[1]pre processed data'!A:E,5,0)</f>
        <v>3617</v>
      </c>
      <c r="E65" s="5" t="str">
        <f>VLOOKUP(Googleadssales[[#This Row],[Ad_ID]],[1]!Table3[[Ad_ID]:[Cost-imputed]],7,0)</f>
        <v>$222.32</v>
      </c>
      <c r="F65" s="4">
        <f>VLOOKUP(Googleadssales[[#This Row],[Ad_ID]],'[1]pre processed data'!A:I,9,0)</f>
        <v>24</v>
      </c>
      <c r="G65" s="4">
        <f>VLOOKUP(Googleadssales[[#This Row],[Ad_ID]],'[1]pre processed data'!A:K,11,0)</f>
        <v>7</v>
      </c>
      <c r="H65" s="2">
        <f>Googleadssales[[#This Row],[Conversions]]/Googleadssales[[#This Row],[Clicks]]</f>
        <v>3.783783783783784E-2</v>
      </c>
      <c r="I65" t="str">
        <f>VLOOKUP(Googleadssales[[#This Row],[Ad_ID]],'[1]pre processed data'!A:O,15,0)</f>
        <v>$1963</v>
      </c>
      <c r="J65" s="3">
        <f>VLOOKUP(Googleadssales[[#This Row],[Ad_ID]],'[1]pre processed data'!A:Q,17,0)</f>
        <v>45619</v>
      </c>
      <c r="K65" t="str">
        <f>VLOOKUP(Googleadssales[[#This Row],[Ad_ID]],'[1]pre processed data'!A:R,18,0)</f>
        <v>Hyderabad</v>
      </c>
      <c r="L65" t="str">
        <f>VLOOKUP(Googleadssales[[#This Row],[Ad_ID]],'[1]pre processed data'!A:S,19,0)</f>
        <v>Mobile</v>
      </c>
      <c r="M65" t="str">
        <f>VLOOKUP(Googleadssales[[#This Row],[Ad_ID]],'[1]pre processed data'!A:T,20,0)</f>
        <v>data analytics course</v>
      </c>
    </row>
    <row r="66" spans="1:13" x14ac:dyDescent="0.3">
      <c r="A66" t="s">
        <v>79</v>
      </c>
      <c r="B66" t="s">
        <v>18</v>
      </c>
      <c r="C66" s="4">
        <f>VLOOKUP(Googleadssales[[#This Row],[Ad_ID]],'[1]pre processed data'!A:C,3,0)</f>
        <v>116</v>
      </c>
      <c r="D66" s="4">
        <f>VLOOKUP(Googleadssales[[#This Row],[Ad_ID]],'[1]pre processed data'!A:E,5,0)</f>
        <v>3764</v>
      </c>
      <c r="E66" s="5" t="str">
        <f>VLOOKUP(Googleadssales[[#This Row],[Ad_ID]],[1]!Table3[[Ad_ID]:[Cost-imputed]],7,0)</f>
        <v>$232.03</v>
      </c>
      <c r="F66" s="4">
        <f>VLOOKUP(Googleadssales[[#This Row],[Ad_ID]],'[1]pre processed data'!A:I,9,0)</f>
        <v>28</v>
      </c>
      <c r="G66" s="4">
        <f>VLOOKUP(Googleadssales[[#This Row],[Ad_ID]],'[1]pre processed data'!A:K,11,0)</f>
        <v>10</v>
      </c>
      <c r="H66" s="2">
        <f>Googleadssales[[#This Row],[Conversions]]/Googleadssales[[#This Row],[Clicks]]</f>
        <v>8.6206896551724144E-2</v>
      </c>
      <c r="I66" t="str">
        <f>VLOOKUP(Googleadssales[[#This Row],[Ad_ID]],'[1]pre processed data'!A:O,15,0)</f>
        <v>$1348</v>
      </c>
      <c r="J66" s="3">
        <f>VLOOKUP(Googleadssales[[#This Row],[Ad_ID]],'[1]pre processed data'!A:Q,17,0)</f>
        <v>45616</v>
      </c>
      <c r="K66" t="str">
        <f>VLOOKUP(Googleadssales[[#This Row],[Ad_ID]],'[1]pre processed data'!A:R,18,0)</f>
        <v>Hyderabad</v>
      </c>
      <c r="L66" t="str">
        <f>VLOOKUP(Googleadssales[[#This Row],[Ad_ID]],'[1]pre processed data'!A:S,19,0)</f>
        <v>Tablet</v>
      </c>
      <c r="M66" t="str">
        <f>VLOOKUP(Googleadssales[[#This Row],[Ad_ID]],'[1]pre processed data'!A:T,20,0)</f>
        <v>data analytics course</v>
      </c>
    </row>
    <row r="67" spans="1:13" x14ac:dyDescent="0.3">
      <c r="A67" t="s">
        <v>80</v>
      </c>
      <c r="B67" t="s">
        <v>14</v>
      </c>
      <c r="C67" s="4">
        <f>VLOOKUP(Googleadssales[[#This Row],[Ad_ID]],'[1]pre processed data'!A:C,3,0)</f>
        <v>99</v>
      </c>
      <c r="D67" s="4">
        <f>VLOOKUP(Googleadssales[[#This Row],[Ad_ID]],'[1]pre processed data'!A:E,5,0)</f>
        <v>4489</v>
      </c>
      <c r="E67" s="5" t="str">
        <f>VLOOKUP(Googleadssales[[#This Row],[Ad_ID]],[1]!Table3[[Ad_ID]:[Cost-imputed]],7,0)</f>
        <v>$183.73</v>
      </c>
      <c r="F67" s="4">
        <f>VLOOKUP(Googleadssales[[#This Row],[Ad_ID]],'[1]pre processed data'!A:I,9,0)</f>
        <v>15</v>
      </c>
      <c r="G67" s="4">
        <f>VLOOKUP(Googleadssales[[#This Row],[Ad_ID]],'[1]pre processed data'!A:K,11,0)</f>
        <v>6</v>
      </c>
      <c r="H67" s="2">
        <f>Googleadssales[[#This Row],[Conversions]]/Googleadssales[[#This Row],[Clicks]]</f>
        <v>6.0606060606060608E-2</v>
      </c>
      <c r="I67" t="str">
        <f>VLOOKUP(Googleadssales[[#This Row],[Ad_ID]],'[1]pre processed data'!A:O,15,0)</f>
        <v>$1264</v>
      </c>
      <c r="J67" s="3">
        <f>VLOOKUP(Googleadssales[[#This Row],[Ad_ID]],'[1]pre processed data'!A:Q,17,0)</f>
        <v>45601</v>
      </c>
      <c r="K67" t="str">
        <f>VLOOKUP(Googleadssales[[#This Row],[Ad_ID]],'[1]pre processed data'!A:R,18,0)</f>
        <v>Hyderabad</v>
      </c>
      <c r="L67" t="str">
        <f>VLOOKUP(Googleadssales[[#This Row],[Ad_ID]],'[1]pre processed data'!A:S,19,0)</f>
        <v>Desktop</v>
      </c>
      <c r="M67" t="str">
        <f>VLOOKUP(Googleadssales[[#This Row],[Ad_ID]],'[1]pre processed data'!A:T,20,0)</f>
        <v>online data analytic</v>
      </c>
    </row>
    <row r="68" spans="1:13" x14ac:dyDescent="0.3">
      <c r="A68" t="s">
        <v>81</v>
      </c>
      <c r="B68" t="s">
        <v>14</v>
      </c>
      <c r="C68" s="4">
        <f>VLOOKUP(Googleadssales[[#This Row],[Ad_ID]],'[1]pre processed data'!A:C,3,0)</f>
        <v>172</v>
      </c>
      <c r="D68" s="4">
        <f>VLOOKUP(Googleadssales[[#This Row],[Ad_ID]],'[1]pre processed data'!A:E,5,0)</f>
        <v>4441</v>
      </c>
      <c r="E68" s="5" t="str">
        <f>VLOOKUP(Googleadssales[[#This Row],[Ad_ID]],[1]!Table3[[Ad_ID]:[Cost-imputed]],7,0)</f>
        <v>$221.18</v>
      </c>
      <c r="F68" s="4">
        <f>VLOOKUP(Googleadssales[[#This Row],[Ad_ID]],'[1]pre processed data'!A:I,9,0)</f>
        <v>14</v>
      </c>
      <c r="G68" s="4">
        <f>VLOOKUP(Googleadssales[[#This Row],[Ad_ID]],'[1]pre processed data'!A:K,11,0)</f>
        <v>8</v>
      </c>
      <c r="H68" s="2">
        <f>Googleadssales[[#This Row],[Conversions]]/Googleadssales[[#This Row],[Clicks]]</f>
        <v>4.6511627906976744E-2</v>
      </c>
      <c r="I68" t="str">
        <f>VLOOKUP(Googleadssales[[#This Row],[Ad_ID]],'[1]pre processed data'!A:O,15,0)</f>
        <v>$1771</v>
      </c>
      <c r="J68" s="3">
        <f>VLOOKUP(Googleadssales[[#This Row],[Ad_ID]],'[1]pre processed data'!A:Q,17,0)</f>
        <v>45623</v>
      </c>
      <c r="K68" t="str">
        <f>VLOOKUP(Googleadssales[[#This Row],[Ad_ID]],'[1]pre processed data'!A:R,18,0)</f>
        <v>Hyderabad</v>
      </c>
      <c r="L68" t="str">
        <f>VLOOKUP(Googleadssales[[#This Row],[Ad_ID]],'[1]pre processed data'!A:S,19,0)</f>
        <v>Mobile</v>
      </c>
      <c r="M68" t="str">
        <f>VLOOKUP(Googleadssales[[#This Row],[Ad_ID]],'[1]pre processed data'!A:T,20,0)</f>
        <v>analytics for data</v>
      </c>
    </row>
    <row r="69" spans="1:13" x14ac:dyDescent="0.3">
      <c r="A69" t="s">
        <v>82</v>
      </c>
      <c r="B69" t="s">
        <v>18</v>
      </c>
      <c r="C69" s="4">
        <f>VLOOKUP(Googleadssales[[#This Row],[Ad_ID]],'[1]pre processed data'!A:C,3,0)</f>
        <v>138</v>
      </c>
      <c r="D69" s="4">
        <f>VLOOKUP(Googleadssales[[#This Row],[Ad_ID]],'[1]pre processed data'!A:E,5,0)</f>
        <v>5751</v>
      </c>
      <c r="E69" s="5" t="str">
        <f>VLOOKUP(Googleadssales[[#This Row],[Ad_ID]],[1]!Table3[[Ad_ID]:[Cost-imputed]],7,0)</f>
        <v>$199.11</v>
      </c>
      <c r="F69" s="4">
        <f>VLOOKUP(Googleadssales[[#This Row],[Ad_ID]],'[1]pre processed data'!A:I,9,0)</f>
        <v>26</v>
      </c>
      <c r="G69" s="4">
        <f>VLOOKUP(Googleadssales[[#This Row],[Ad_ID]],'[1]pre processed data'!A:K,11,0)</f>
        <v>9</v>
      </c>
      <c r="H69" s="2">
        <f>Googleadssales[[#This Row],[Conversions]]/Googleadssales[[#This Row],[Clicks]]</f>
        <v>6.5217391304347824E-2</v>
      </c>
      <c r="I69" t="str">
        <f>VLOOKUP(Googleadssales[[#This Row],[Ad_ID]],'[1]pre processed data'!A:O,15,0)</f>
        <v>$1337</v>
      </c>
      <c r="J69" s="3">
        <f>VLOOKUP(Googleadssales[[#This Row],[Ad_ID]],'[1]pre processed data'!A:Q,17,0)</f>
        <v>45606</v>
      </c>
      <c r="K69" t="str">
        <f>VLOOKUP(Googleadssales[[#This Row],[Ad_ID]],'[1]pre processed data'!A:R,18,0)</f>
        <v>Chennai</v>
      </c>
      <c r="L69" t="str">
        <f>VLOOKUP(Googleadssales[[#This Row],[Ad_ID]],'[1]pre processed data'!A:S,19,0)</f>
        <v>Desktop</v>
      </c>
      <c r="M69" t="str">
        <f>VLOOKUP(Googleadssales[[#This Row],[Ad_ID]],'[1]pre processed data'!A:T,20,0)</f>
        <v>data analytics online</v>
      </c>
    </row>
    <row r="70" spans="1:13" x14ac:dyDescent="0.3">
      <c r="A70" t="s">
        <v>83</v>
      </c>
      <c r="B70" t="s">
        <v>18</v>
      </c>
      <c r="C70" s="4">
        <f>VLOOKUP(Googleadssales[[#This Row],[Ad_ID]],'[1]pre processed data'!A:C,3,0)</f>
        <v>84</v>
      </c>
      <c r="D70" s="4">
        <f>VLOOKUP(Googleadssales[[#This Row],[Ad_ID]],'[1]pre processed data'!A:E,5,0)</f>
        <v>4036</v>
      </c>
      <c r="E70" s="5" t="str">
        <f>VLOOKUP(Googleadssales[[#This Row],[Ad_ID]],[1]!Table3[[Ad_ID]:[Cost-imputed]],7,0)</f>
        <v>$234.22</v>
      </c>
      <c r="F70" s="4">
        <f>VLOOKUP(Googleadssales[[#This Row],[Ad_ID]],'[1]pre processed data'!A:I,9,0)</f>
        <v>23</v>
      </c>
      <c r="G70" s="4">
        <f>VLOOKUP(Googleadssales[[#This Row],[Ad_ID]],'[1]pre processed data'!A:K,11,0)</f>
        <v>10</v>
      </c>
      <c r="H70" s="2">
        <f>Googleadssales[[#This Row],[Conversions]]/Googleadssales[[#This Row],[Clicks]]</f>
        <v>0.11904761904761904</v>
      </c>
      <c r="I70" t="str">
        <f>VLOOKUP(Googleadssales[[#This Row],[Ad_ID]],'[1]pre processed data'!A:O,15,0)</f>
        <v>$1287</v>
      </c>
      <c r="J70" s="3">
        <f>VLOOKUP(Googleadssales[[#This Row],[Ad_ID]],'[1]pre processed data'!A:Q,17,0)</f>
        <v>45600</v>
      </c>
      <c r="K70" t="str">
        <f>VLOOKUP(Googleadssales[[#This Row],[Ad_ID]],'[1]pre processed data'!A:R,18,0)</f>
        <v>Chennai</v>
      </c>
      <c r="L70" t="str">
        <f>VLOOKUP(Googleadssales[[#This Row],[Ad_ID]],'[1]pre processed data'!A:S,19,0)</f>
        <v>Desktop</v>
      </c>
      <c r="M70" t="str">
        <f>VLOOKUP(Googleadssales[[#This Row],[Ad_ID]],'[1]pre processed data'!A:T,20,0)</f>
        <v>learn data analytics</v>
      </c>
    </row>
    <row r="71" spans="1:13" x14ac:dyDescent="0.3">
      <c r="A71" t="s">
        <v>84</v>
      </c>
      <c r="B71" t="s">
        <v>14</v>
      </c>
      <c r="C71" s="4">
        <f>VLOOKUP(Googleadssales[[#This Row],[Ad_ID]],'[1]pre processed data'!A:C,3,0)</f>
        <v>124</v>
      </c>
      <c r="D71" s="4">
        <f>VLOOKUP(Googleadssales[[#This Row],[Ad_ID]],'[1]pre processed data'!A:E,5,0)</f>
        <v>4942</v>
      </c>
      <c r="E71" s="5" t="str">
        <f>VLOOKUP(Googleadssales[[#This Row],[Ad_ID]],[1]!Table3[[Ad_ID]:[Cost-imputed]],7,0)</f>
        <v>$240.59</v>
      </c>
      <c r="F71" s="4">
        <f>VLOOKUP(Googleadssales[[#This Row],[Ad_ID]],'[1]pre processed data'!A:I,9,0)</f>
        <v>18</v>
      </c>
      <c r="G71" s="4">
        <f>VLOOKUP(Googleadssales[[#This Row],[Ad_ID]],'[1]pre processed data'!A:K,11,0)</f>
        <v>3</v>
      </c>
      <c r="H71" s="2">
        <f>Googleadssales[[#This Row],[Conversions]]/Googleadssales[[#This Row],[Clicks]]</f>
        <v>2.4193548387096774E-2</v>
      </c>
      <c r="I71" t="str">
        <f>VLOOKUP(Googleadssales[[#This Row],[Ad_ID]],'[1]pre processed data'!A:O,15,0)</f>
        <v>$1922</v>
      </c>
      <c r="J71" s="3">
        <f>VLOOKUP(Googleadssales[[#This Row],[Ad_ID]],'[1]pre processed data'!A:Q,17,0)</f>
        <v>45612</v>
      </c>
      <c r="K71" t="str">
        <f>VLOOKUP(Googleadssales[[#This Row],[Ad_ID]],'[1]pre processed data'!A:R,18,0)</f>
        <v>Bangaluru</v>
      </c>
      <c r="L71" t="str">
        <f>VLOOKUP(Googleadssales[[#This Row],[Ad_ID]],'[1]pre processed data'!A:S,19,0)</f>
        <v>Desktop</v>
      </c>
      <c r="M71" t="str">
        <f>VLOOKUP(Googleadssales[[#This Row],[Ad_ID]],'[1]pre processed data'!A:T,20,0)</f>
        <v>learn data analytics</v>
      </c>
    </row>
    <row r="72" spans="1:13" x14ac:dyDescent="0.3">
      <c r="A72" t="s">
        <v>85</v>
      </c>
      <c r="B72" t="s">
        <v>18</v>
      </c>
      <c r="C72" s="4">
        <f>VLOOKUP(Googleadssales[[#This Row],[Ad_ID]],'[1]pre processed data'!A:C,3,0)</f>
        <v>122</v>
      </c>
      <c r="D72" s="4">
        <f>VLOOKUP(Googleadssales[[#This Row],[Ad_ID]],'[1]pre processed data'!A:E,5,0)</f>
        <v>4989</v>
      </c>
      <c r="E72" s="5" t="str">
        <f>VLOOKUP(Googleadssales[[#This Row],[Ad_ID]],[1]!Table3[[Ad_ID]:[Cost-imputed]],7,0)</f>
        <v>$215.48</v>
      </c>
      <c r="F72" s="4">
        <f>VLOOKUP(Googleadssales[[#This Row],[Ad_ID]],'[1]pre processed data'!A:I,9,0)</f>
        <v>12</v>
      </c>
      <c r="G72" s="4">
        <f>VLOOKUP(Googleadssales[[#This Row],[Ad_ID]],'[1]pre processed data'!A:K,11,0)</f>
        <v>5</v>
      </c>
      <c r="H72" s="2">
        <f>Googleadssales[[#This Row],[Conversions]]/Googleadssales[[#This Row],[Clicks]]</f>
        <v>4.0983606557377046E-2</v>
      </c>
      <c r="I72" t="str">
        <f>VLOOKUP(Googleadssales[[#This Row],[Ad_ID]],'[1]pre processed data'!A:O,15,0)</f>
        <v>$1975</v>
      </c>
      <c r="J72" s="3">
        <f>VLOOKUP(Googleadssales[[#This Row],[Ad_ID]],'[1]pre processed data'!A:Q,17,0)</f>
        <v>45602</v>
      </c>
      <c r="K72" t="str">
        <f>VLOOKUP(Googleadssales[[#This Row],[Ad_ID]],'[1]pre processed data'!A:R,18,0)</f>
        <v>Hyderabad</v>
      </c>
      <c r="L72" t="str">
        <f>VLOOKUP(Googleadssales[[#This Row],[Ad_ID]],'[1]pre processed data'!A:S,19,0)</f>
        <v>Mobile</v>
      </c>
      <c r="M72" t="str">
        <f>VLOOKUP(Googleadssales[[#This Row],[Ad_ID]],'[1]pre processed data'!A:T,20,0)</f>
        <v>data analytics online</v>
      </c>
    </row>
    <row r="73" spans="1:13" x14ac:dyDescent="0.3">
      <c r="A73" t="s">
        <v>86</v>
      </c>
      <c r="B73" t="s">
        <v>14</v>
      </c>
      <c r="C73" s="4">
        <f>VLOOKUP(Googleadssales[[#This Row],[Ad_ID]],'[1]pre processed data'!A:C,3,0)</f>
        <v>180</v>
      </c>
      <c r="D73" s="4">
        <f>VLOOKUP(Googleadssales[[#This Row],[Ad_ID]],'[1]pre processed data'!A:E,5,0)</f>
        <v>3006</v>
      </c>
      <c r="E73" s="5" t="str">
        <f>VLOOKUP(Googleadssales[[#This Row],[Ad_ID]],[1]!Table3[[Ad_ID]:[Cost-imputed]],7,0)</f>
        <v>$228.14</v>
      </c>
      <c r="F73" s="4">
        <f>VLOOKUP(Googleadssales[[#This Row],[Ad_ID]],'[1]pre processed data'!A:I,9,0)</f>
        <v>22</v>
      </c>
      <c r="G73" s="4">
        <f>VLOOKUP(Googleadssales[[#This Row],[Ad_ID]],'[1]pre processed data'!A:K,11,0)</f>
        <v>7</v>
      </c>
      <c r="H73" s="2">
        <f>Googleadssales[[#This Row],[Conversions]]/Googleadssales[[#This Row],[Clicks]]</f>
        <v>3.888888888888889E-2</v>
      </c>
      <c r="I73" t="str">
        <f>VLOOKUP(Googleadssales[[#This Row],[Ad_ID]],'[1]pre processed data'!A:O,15,0)</f>
        <v>$1556</v>
      </c>
      <c r="J73" s="3">
        <f>VLOOKUP(Googleadssales[[#This Row],[Ad_ID]],'[1]pre processed data'!A:Q,17,0)</f>
        <v>45600</v>
      </c>
      <c r="K73" t="str">
        <f>VLOOKUP(Googleadssales[[#This Row],[Ad_ID]],'[1]pre processed data'!A:R,18,0)</f>
        <v>Hyderabad</v>
      </c>
      <c r="L73" t="str">
        <f>VLOOKUP(Googleadssales[[#This Row],[Ad_ID]],'[1]pre processed data'!A:S,19,0)</f>
        <v>Tablet</v>
      </c>
      <c r="M73" t="str">
        <f>VLOOKUP(Googleadssales[[#This Row],[Ad_ID]],'[1]pre processed data'!A:T,20,0)</f>
        <v>learn data analytics</v>
      </c>
    </row>
    <row r="74" spans="1:13" x14ac:dyDescent="0.3">
      <c r="A74" t="s">
        <v>87</v>
      </c>
      <c r="B74" t="s">
        <v>14</v>
      </c>
      <c r="C74" s="4">
        <f>VLOOKUP(Googleadssales[[#This Row],[Ad_ID]],'[1]pre processed data'!A:C,3,0)</f>
        <v>133</v>
      </c>
      <c r="D74" s="4">
        <f>VLOOKUP(Googleadssales[[#This Row],[Ad_ID]],'[1]pre processed data'!A:E,5,0)</f>
        <v>3728</v>
      </c>
      <c r="E74" s="5" t="str">
        <f>VLOOKUP(Googleadssales[[#This Row],[Ad_ID]],[1]!Table3[[Ad_ID]:[Cost-imputed]],7,0)</f>
        <v>$199.13</v>
      </c>
      <c r="F74" s="4">
        <f>VLOOKUP(Googleadssales[[#This Row],[Ad_ID]],'[1]pre processed data'!A:I,9,0)</f>
        <v>11</v>
      </c>
      <c r="G74" s="4">
        <f>VLOOKUP(Googleadssales[[#This Row],[Ad_ID]],'[1]pre processed data'!A:K,11,0)</f>
        <v>10</v>
      </c>
      <c r="H74" s="2">
        <f>Googleadssales[[#This Row],[Conversions]]/Googleadssales[[#This Row],[Clicks]]</f>
        <v>7.5187969924812026E-2</v>
      </c>
      <c r="I74" t="str">
        <f>VLOOKUP(Googleadssales[[#This Row],[Ad_ID]],'[1]pre processed data'!A:O,15,0)</f>
        <v>$1500</v>
      </c>
      <c r="J74" s="3">
        <f>VLOOKUP(Googleadssales[[#This Row],[Ad_ID]],'[1]pre processed data'!A:Q,17,0)</f>
        <v>45605</v>
      </c>
      <c r="K74" t="str">
        <f>VLOOKUP(Googleadssales[[#This Row],[Ad_ID]],'[1]pre processed data'!A:R,18,0)</f>
        <v>Hyderabad</v>
      </c>
      <c r="L74" t="str">
        <f>VLOOKUP(Googleadssales[[#This Row],[Ad_ID]],'[1]pre processed data'!A:S,19,0)</f>
        <v>Desktop</v>
      </c>
      <c r="M74" t="str">
        <f>VLOOKUP(Googleadssales[[#This Row],[Ad_ID]],'[1]pre processed data'!A:T,20,0)</f>
        <v>data analytics online</v>
      </c>
    </row>
    <row r="75" spans="1:13" x14ac:dyDescent="0.3">
      <c r="A75" t="s">
        <v>88</v>
      </c>
      <c r="B75" t="s">
        <v>14</v>
      </c>
      <c r="C75" s="4">
        <f>VLOOKUP(Googleadssales[[#This Row],[Ad_ID]],'[1]pre processed data'!A:C,3,0)</f>
        <v>164</v>
      </c>
      <c r="D75" s="4">
        <f>VLOOKUP(Googleadssales[[#This Row],[Ad_ID]],'[1]pre processed data'!A:E,5,0)</f>
        <v>3734</v>
      </c>
      <c r="E75" s="5" t="str">
        <f>VLOOKUP(Googleadssales[[#This Row],[Ad_ID]],[1]!Table3[[Ad_ID]:[Cost-imputed]],7,0)</f>
        <v>$225.39</v>
      </c>
      <c r="F75" s="4">
        <f>VLOOKUP(Googleadssales[[#This Row],[Ad_ID]],'[1]pre processed data'!A:I,9,0)</f>
        <v>27</v>
      </c>
      <c r="G75" s="4">
        <f>VLOOKUP(Googleadssales[[#This Row],[Ad_ID]],'[1]pre processed data'!A:K,11,0)</f>
        <v>8</v>
      </c>
      <c r="H75" s="2">
        <f>Googleadssales[[#This Row],[Conversions]]/Googleadssales[[#This Row],[Clicks]]</f>
        <v>4.878048780487805E-2</v>
      </c>
      <c r="I75" t="str">
        <f>VLOOKUP(Googleadssales[[#This Row],[Ad_ID]],'[1]pre processed data'!A:O,15,0)</f>
        <v>$1728</v>
      </c>
      <c r="J75" s="3">
        <f>VLOOKUP(Googleadssales[[#This Row],[Ad_ID]],'[1]pre processed data'!A:Q,17,0)</f>
        <v>45608</v>
      </c>
      <c r="K75" t="str">
        <f>VLOOKUP(Googleadssales[[#This Row],[Ad_ID]],'[1]pre processed data'!A:R,18,0)</f>
        <v>Hyderabad</v>
      </c>
      <c r="L75" t="str">
        <f>VLOOKUP(Googleadssales[[#This Row],[Ad_ID]],'[1]pre processed data'!A:S,19,0)</f>
        <v>Tablet</v>
      </c>
      <c r="M75" t="str">
        <f>VLOOKUP(Googleadssales[[#This Row],[Ad_ID]],'[1]pre processed data'!A:T,20,0)</f>
        <v>learn data analytics</v>
      </c>
    </row>
    <row r="76" spans="1:13" x14ac:dyDescent="0.3">
      <c r="A76" t="s">
        <v>89</v>
      </c>
      <c r="B76" t="s">
        <v>14</v>
      </c>
      <c r="C76" s="4">
        <f>VLOOKUP(Googleadssales[[#This Row],[Ad_ID]],'[1]pre processed data'!A:C,3,0)</f>
        <v>150</v>
      </c>
      <c r="D76" s="4">
        <f>VLOOKUP(Googleadssales[[#This Row],[Ad_ID]],'[1]pre processed data'!A:E,5,0)</f>
        <v>4621</v>
      </c>
      <c r="E76" s="5" t="str">
        <f>VLOOKUP(Googleadssales[[#This Row],[Ad_ID]],[1]!Table3[[Ad_ID]:[Cost-imputed]],7,0)</f>
        <v>$246.3</v>
      </c>
      <c r="F76" s="4">
        <f>VLOOKUP(Googleadssales[[#This Row],[Ad_ID]],'[1]pre processed data'!A:I,9,0)</f>
        <v>15</v>
      </c>
      <c r="G76" s="4">
        <f>VLOOKUP(Googleadssales[[#This Row],[Ad_ID]],'[1]pre processed data'!A:K,11,0)</f>
        <v>6</v>
      </c>
      <c r="H76" s="2">
        <f>Googleadssales[[#This Row],[Conversions]]/Googleadssales[[#This Row],[Clicks]]</f>
        <v>0.04</v>
      </c>
      <c r="I76" t="str">
        <f>VLOOKUP(Googleadssales[[#This Row],[Ad_ID]],'[1]pre processed data'!A:O,15,0)</f>
        <v>$1554</v>
      </c>
      <c r="J76" s="3">
        <f>VLOOKUP(Googleadssales[[#This Row],[Ad_ID]],'[1]pre processed data'!A:Q,17,0)</f>
        <v>45605</v>
      </c>
      <c r="K76" t="str">
        <f>VLOOKUP(Googleadssales[[#This Row],[Ad_ID]],'[1]pre processed data'!A:R,18,0)</f>
        <v>Hyderabad</v>
      </c>
      <c r="L76" t="str">
        <f>VLOOKUP(Googleadssales[[#This Row],[Ad_ID]],'[1]pre processed data'!A:S,19,0)</f>
        <v>Desktop</v>
      </c>
      <c r="M76" t="str">
        <f>VLOOKUP(Googleadssales[[#This Row],[Ad_ID]],'[1]pre processed data'!A:T,20,0)</f>
        <v>data analytics online</v>
      </c>
    </row>
    <row r="77" spans="1:13" x14ac:dyDescent="0.3">
      <c r="A77" t="s">
        <v>90</v>
      </c>
      <c r="B77" t="s">
        <v>18</v>
      </c>
      <c r="C77" s="4">
        <f>VLOOKUP(Googleadssales[[#This Row],[Ad_ID]],'[1]pre processed data'!A:C,3,0)</f>
        <v>97</v>
      </c>
      <c r="D77" s="4">
        <f>VLOOKUP(Googleadssales[[#This Row],[Ad_ID]],'[1]pre processed data'!A:E,5,0)</f>
        <v>3212</v>
      </c>
      <c r="E77" s="5" t="str">
        <f>VLOOKUP(Googleadssales[[#This Row],[Ad_ID]],[1]!Table3[[Ad_ID]:[Cost-imputed]],7,0)</f>
        <v>$212.55</v>
      </c>
      <c r="F77" s="4">
        <f>VLOOKUP(Googleadssales[[#This Row],[Ad_ID]],'[1]pre processed data'!A:I,9,0)</f>
        <v>27</v>
      </c>
      <c r="G77" s="4">
        <f>VLOOKUP(Googleadssales[[#This Row],[Ad_ID]],'[1]pre processed data'!A:K,11,0)</f>
        <v>10</v>
      </c>
      <c r="H77" s="2">
        <f>Googleadssales[[#This Row],[Conversions]]/Googleadssales[[#This Row],[Clicks]]</f>
        <v>0.10309278350515463</v>
      </c>
      <c r="I77" t="str">
        <f>VLOOKUP(Googleadssales[[#This Row],[Ad_ID]],'[1]pre processed data'!A:O,15,0)</f>
        <v>$1994</v>
      </c>
      <c r="J77" s="3">
        <f>VLOOKUP(Googleadssales[[#This Row],[Ad_ID]],'[1]pre processed data'!A:Q,17,0)</f>
        <v>45619</v>
      </c>
      <c r="K77" t="str">
        <f>VLOOKUP(Googleadssales[[#This Row],[Ad_ID]],'[1]pre processed data'!A:R,18,0)</f>
        <v>Hyderabad</v>
      </c>
      <c r="L77" t="str">
        <f>VLOOKUP(Googleadssales[[#This Row],[Ad_ID]],'[1]pre processed data'!A:S,19,0)</f>
        <v>Desktop</v>
      </c>
      <c r="M77" t="str">
        <f>VLOOKUP(Googleadssales[[#This Row],[Ad_ID]],'[1]pre processed data'!A:T,20,0)</f>
        <v>analytics for data</v>
      </c>
    </row>
    <row r="78" spans="1:13" x14ac:dyDescent="0.3">
      <c r="A78" t="s">
        <v>91</v>
      </c>
      <c r="B78" t="s">
        <v>14</v>
      </c>
      <c r="C78" s="4">
        <f>VLOOKUP(Googleadssales[[#This Row],[Ad_ID]],'[1]pre processed data'!A:C,3,0)</f>
        <v>128</v>
      </c>
      <c r="D78" s="4">
        <f>VLOOKUP(Googleadssales[[#This Row],[Ad_ID]],'[1]pre processed data'!A:E,5,0)</f>
        <v>4225</v>
      </c>
      <c r="E78" s="5" t="str">
        <f>VLOOKUP(Googleadssales[[#This Row],[Ad_ID]],[1]!Table3[[Ad_ID]:[Cost-imputed]],7,0)</f>
        <v>$228.24</v>
      </c>
      <c r="F78" s="4">
        <f>VLOOKUP(Googleadssales[[#This Row],[Ad_ID]],'[1]pre processed data'!A:I,9,0)</f>
        <v>30</v>
      </c>
      <c r="G78" s="4">
        <f>VLOOKUP(Googleadssales[[#This Row],[Ad_ID]],'[1]pre processed data'!A:K,11,0)</f>
        <v>4</v>
      </c>
      <c r="H78" s="2">
        <f>Googleadssales[[#This Row],[Conversions]]/Googleadssales[[#This Row],[Clicks]]</f>
        <v>3.125E-2</v>
      </c>
      <c r="I78" t="str">
        <f>VLOOKUP(Googleadssales[[#This Row],[Ad_ID]],'[1]pre processed data'!A:O,15,0)</f>
        <v>$1618</v>
      </c>
      <c r="J78" s="3">
        <f>VLOOKUP(Googleadssales[[#This Row],[Ad_ID]],'[1]pre processed data'!A:Q,17,0)</f>
        <v>45604</v>
      </c>
      <c r="K78" t="str">
        <f>VLOOKUP(Googleadssales[[#This Row],[Ad_ID]],'[1]pre processed data'!A:R,18,0)</f>
        <v>Chennai</v>
      </c>
      <c r="L78" t="str">
        <f>VLOOKUP(Googleadssales[[#This Row],[Ad_ID]],'[1]pre processed data'!A:S,19,0)</f>
        <v>Mobile</v>
      </c>
      <c r="M78" t="str">
        <f>VLOOKUP(Googleadssales[[#This Row],[Ad_ID]],'[1]pre processed data'!A:T,20,0)</f>
        <v>learn data analytics</v>
      </c>
    </row>
    <row r="79" spans="1:13" x14ac:dyDescent="0.3">
      <c r="A79" t="s">
        <v>92</v>
      </c>
      <c r="B79" t="s">
        <v>14</v>
      </c>
      <c r="C79" s="4">
        <f>VLOOKUP(Googleadssales[[#This Row],[Ad_ID]],'[1]pre processed data'!A:C,3,0)</f>
        <v>99</v>
      </c>
      <c r="D79" s="4">
        <f>VLOOKUP(Googleadssales[[#This Row],[Ad_ID]],'[1]pre processed data'!A:E,5,0)</f>
        <v>4779</v>
      </c>
      <c r="E79" s="5" t="str">
        <f>VLOOKUP(Googleadssales[[#This Row],[Ad_ID]],[1]!Table3[[Ad_ID]:[Cost-imputed]],7,0)</f>
        <v>$233.78</v>
      </c>
      <c r="F79" s="4">
        <f>VLOOKUP(Googleadssales[[#This Row],[Ad_ID]],'[1]pre processed data'!A:I,9,0)</f>
        <v>26</v>
      </c>
      <c r="G79" s="4">
        <f>VLOOKUP(Googleadssales[[#This Row],[Ad_ID]],'[1]pre processed data'!A:K,11,0)</f>
        <v>10</v>
      </c>
      <c r="H79" s="2">
        <f>Googleadssales[[#This Row],[Conversions]]/Googleadssales[[#This Row],[Clicks]]</f>
        <v>0.10101010101010101</v>
      </c>
      <c r="I79" t="str">
        <f>VLOOKUP(Googleadssales[[#This Row],[Ad_ID]],'[1]pre processed data'!A:O,15,0)</f>
        <v>$1086</v>
      </c>
      <c r="J79" s="3">
        <f>VLOOKUP(Googleadssales[[#This Row],[Ad_ID]],'[1]pre processed data'!A:Q,17,0)</f>
        <v>45601</v>
      </c>
      <c r="K79" t="str">
        <f>VLOOKUP(Googleadssales[[#This Row],[Ad_ID]],'[1]pre processed data'!A:R,18,0)</f>
        <v>Hyderabad</v>
      </c>
      <c r="L79" t="str">
        <f>VLOOKUP(Googleadssales[[#This Row],[Ad_ID]],'[1]pre processed data'!A:S,19,0)</f>
        <v>Desktop</v>
      </c>
      <c r="M79" t="str">
        <f>VLOOKUP(Googleadssales[[#This Row],[Ad_ID]],'[1]pre processed data'!A:T,20,0)</f>
        <v>online data analytic</v>
      </c>
    </row>
    <row r="80" spans="1:13" x14ac:dyDescent="0.3">
      <c r="A80" t="s">
        <v>93</v>
      </c>
      <c r="B80" t="s">
        <v>14</v>
      </c>
      <c r="C80" s="4">
        <f>VLOOKUP(Googleadssales[[#This Row],[Ad_ID]],'[1]pre processed data'!A:C,3,0)</f>
        <v>86</v>
      </c>
      <c r="D80" s="4">
        <f>VLOOKUP(Googleadssales[[#This Row],[Ad_ID]],'[1]pre processed data'!A:E,5,0)</f>
        <v>5352</v>
      </c>
      <c r="E80" s="5" t="str">
        <f>VLOOKUP(Googleadssales[[#This Row],[Ad_ID]],[1]!Table3[[Ad_ID]:[Cost-imputed]],7,0)</f>
        <v>$234.05</v>
      </c>
      <c r="F80" s="4">
        <f>VLOOKUP(Googleadssales[[#This Row],[Ad_ID]],'[1]pre processed data'!A:I,9,0)</f>
        <v>11</v>
      </c>
      <c r="G80" s="4">
        <f>VLOOKUP(Googleadssales[[#This Row],[Ad_ID]],'[1]pre processed data'!A:K,11,0)</f>
        <v>5</v>
      </c>
      <c r="H80" s="2">
        <f>Googleadssales[[#This Row],[Conversions]]/Googleadssales[[#This Row],[Clicks]]</f>
        <v>5.8139534883720929E-2</v>
      </c>
      <c r="I80" t="str">
        <f>VLOOKUP(Googleadssales[[#This Row],[Ad_ID]],'[1]pre processed data'!A:O,15,0)</f>
        <v>$1364</v>
      </c>
      <c r="J80" s="3">
        <f>VLOOKUP(Googleadssales[[#This Row],[Ad_ID]],'[1]pre processed data'!A:Q,17,0)</f>
        <v>45605</v>
      </c>
      <c r="K80" t="str">
        <f>VLOOKUP(Googleadssales[[#This Row],[Ad_ID]],'[1]pre processed data'!A:R,18,0)</f>
        <v>Bangaluru</v>
      </c>
      <c r="L80" t="str">
        <f>VLOOKUP(Googleadssales[[#This Row],[Ad_ID]],'[1]pre processed data'!A:S,19,0)</f>
        <v>Tablet</v>
      </c>
      <c r="M80" t="str">
        <f>VLOOKUP(Googleadssales[[#This Row],[Ad_ID]],'[1]pre processed data'!A:T,20,0)</f>
        <v>online data analytic</v>
      </c>
    </row>
    <row r="81" spans="1:13" x14ac:dyDescent="0.3">
      <c r="A81" t="s">
        <v>94</v>
      </c>
      <c r="B81" t="s">
        <v>18</v>
      </c>
      <c r="C81" s="4">
        <f>VLOOKUP(Googleadssales[[#This Row],[Ad_ID]],'[1]pre processed data'!A:C,3,0)</f>
        <v>118</v>
      </c>
      <c r="D81" s="4">
        <f>VLOOKUP(Googleadssales[[#This Row],[Ad_ID]],'[1]pre processed data'!A:E,5,0)</f>
        <v>5405</v>
      </c>
      <c r="E81" s="5" t="str">
        <f>VLOOKUP(Googleadssales[[#This Row],[Ad_ID]],[1]!Table3[[Ad_ID]:[Cost-imputed]],7,0)</f>
        <v>$187.28</v>
      </c>
      <c r="F81" s="4">
        <f>VLOOKUP(Googleadssales[[#This Row],[Ad_ID]],'[1]pre processed data'!A:I,9,0)</f>
        <v>25</v>
      </c>
      <c r="G81" s="4">
        <f>VLOOKUP(Googleadssales[[#This Row],[Ad_ID]],'[1]pre processed data'!A:K,11,0)</f>
        <v>7</v>
      </c>
      <c r="H81" s="2">
        <f>Googleadssales[[#This Row],[Conversions]]/Googleadssales[[#This Row],[Clicks]]</f>
        <v>5.9322033898305086E-2</v>
      </c>
      <c r="I81" t="str">
        <f>VLOOKUP(Googleadssales[[#This Row],[Ad_ID]],'[1]pre processed data'!A:O,15,0)</f>
        <v>$1836</v>
      </c>
      <c r="J81" s="3">
        <f>VLOOKUP(Googleadssales[[#This Row],[Ad_ID]],'[1]pre processed data'!A:Q,17,0)</f>
        <v>45601</v>
      </c>
      <c r="K81" t="str">
        <f>VLOOKUP(Googleadssales[[#This Row],[Ad_ID]],'[1]pre processed data'!A:R,18,0)</f>
        <v>Bangaluru</v>
      </c>
      <c r="L81" t="str">
        <f>VLOOKUP(Googleadssales[[#This Row],[Ad_ID]],'[1]pre processed data'!A:S,19,0)</f>
        <v>Tablet</v>
      </c>
      <c r="M81" t="str">
        <f>VLOOKUP(Googleadssales[[#This Row],[Ad_ID]],'[1]pre processed data'!A:T,20,0)</f>
        <v>analytics for data</v>
      </c>
    </row>
    <row r="82" spans="1:13" x14ac:dyDescent="0.3">
      <c r="A82" t="s">
        <v>95</v>
      </c>
      <c r="B82" t="s">
        <v>18</v>
      </c>
      <c r="C82" s="4">
        <f>VLOOKUP(Googleadssales[[#This Row],[Ad_ID]],'[1]pre processed data'!A:C,3,0)</f>
        <v>127</v>
      </c>
      <c r="D82" s="4">
        <f>VLOOKUP(Googleadssales[[#This Row],[Ad_ID]],'[1]pre processed data'!A:E,5,0)</f>
        <v>5430</v>
      </c>
      <c r="E82" s="5" t="str">
        <f>VLOOKUP(Googleadssales[[#This Row],[Ad_ID]],[1]!Table3[[Ad_ID]:[Cost-imputed]],7,0)</f>
        <v>$199.13</v>
      </c>
      <c r="F82" s="4">
        <f>VLOOKUP(Googleadssales[[#This Row],[Ad_ID]],'[1]pre processed data'!A:I,9,0)</f>
        <v>14</v>
      </c>
      <c r="G82" s="4">
        <f>VLOOKUP(Googleadssales[[#This Row],[Ad_ID]],'[1]pre processed data'!A:K,11,0)</f>
        <v>6</v>
      </c>
      <c r="H82" s="2">
        <f>Googleadssales[[#This Row],[Conversions]]/Googleadssales[[#This Row],[Clicks]]</f>
        <v>4.7244094488188976E-2</v>
      </c>
      <c r="I82" t="str">
        <f>VLOOKUP(Googleadssales[[#This Row],[Ad_ID]],'[1]pre processed data'!A:O,15,0)</f>
        <v>$1932</v>
      </c>
      <c r="J82" s="3">
        <f>VLOOKUP(Googleadssales[[#This Row],[Ad_ID]],'[1]pre processed data'!A:Q,17,0)</f>
        <v>45621</v>
      </c>
      <c r="K82" t="str">
        <f>VLOOKUP(Googleadssales[[#This Row],[Ad_ID]],'[1]pre processed data'!A:R,18,0)</f>
        <v>Bangaluru</v>
      </c>
      <c r="L82" t="str">
        <f>VLOOKUP(Googleadssales[[#This Row],[Ad_ID]],'[1]pre processed data'!A:S,19,0)</f>
        <v>Mobile</v>
      </c>
      <c r="M82" t="str">
        <f>VLOOKUP(Googleadssales[[#This Row],[Ad_ID]],'[1]pre processed data'!A:T,20,0)</f>
        <v>analytics for data</v>
      </c>
    </row>
    <row r="83" spans="1:13" x14ac:dyDescent="0.3">
      <c r="A83" t="s">
        <v>96</v>
      </c>
      <c r="B83" t="s">
        <v>14</v>
      </c>
      <c r="C83" s="4">
        <f>VLOOKUP(Googleadssales[[#This Row],[Ad_ID]],'[1]pre processed data'!A:C,3,0)</f>
        <v>83</v>
      </c>
      <c r="D83" s="4">
        <f>VLOOKUP(Googleadssales[[#This Row],[Ad_ID]],'[1]pre processed data'!A:E,5,0)</f>
        <v>4808</v>
      </c>
      <c r="E83" s="5" t="str">
        <f>VLOOKUP(Googleadssales[[#This Row],[Ad_ID]],[1]!Table3[[Ad_ID]:[Cost-imputed]],7,0)</f>
        <v>$241.35</v>
      </c>
      <c r="F83" s="4">
        <f>VLOOKUP(Googleadssales[[#This Row],[Ad_ID]],'[1]pre processed data'!A:I,9,0)</f>
        <v>20</v>
      </c>
      <c r="G83" s="4">
        <f>VLOOKUP(Googleadssales[[#This Row],[Ad_ID]],'[1]pre processed data'!A:K,11,0)</f>
        <v>7</v>
      </c>
      <c r="H83" s="2">
        <f>Googleadssales[[#This Row],[Conversions]]/Googleadssales[[#This Row],[Clicks]]</f>
        <v>8.4337349397590355E-2</v>
      </c>
      <c r="I83" t="str">
        <f>VLOOKUP(Googleadssales[[#This Row],[Ad_ID]],'[1]pre processed data'!A:O,15,0)</f>
        <v>$1038</v>
      </c>
      <c r="J83" s="3">
        <f>VLOOKUP(Googleadssales[[#This Row],[Ad_ID]],'[1]pre processed data'!A:Q,17,0)</f>
        <v>45626</v>
      </c>
      <c r="K83" t="str">
        <f>VLOOKUP(Googleadssales[[#This Row],[Ad_ID]],'[1]pre processed data'!A:R,18,0)</f>
        <v>Chennai</v>
      </c>
      <c r="L83" t="str">
        <f>VLOOKUP(Googleadssales[[#This Row],[Ad_ID]],'[1]pre processed data'!A:S,19,0)</f>
        <v>Mobile</v>
      </c>
      <c r="M83" t="str">
        <f>VLOOKUP(Googleadssales[[#This Row],[Ad_ID]],'[1]pre processed data'!A:T,20,0)</f>
        <v>learn data analytics</v>
      </c>
    </row>
    <row r="84" spans="1:13" x14ac:dyDescent="0.3">
      <c r="A84" t="s">
        <v>97</v>
      </c>
      <c r="B84" t="s">
        <v>18</v>
      </c>
      <c r="C84" s="4">
        <f>VLOOKUP(Googleadssales[[#This Row],[Ad_ID]],'[1]pre processed data'!A:C,3,0)</f>
        <v>149</v>
      </c>
      <c r="D84" s="4">
        <f>VLOOKUP(Googleadssales[[#This Row],[Ad_ID]],'[1]pre processed data'!A:E,5,0)</f>
        <v>3587</v>
      </c>
      <c r="E84" s="5" t="str">
        <f>VLOOKUP(Googleadssales[[#This Row],[Ad_ID]],[1]!Table3[[Ad_ID]:[Cost-imputed]],7,0)</f>
        <v>$217.53</v>
      </c>
      <c r="F84" s="4">
        <f>VLOOKUP(Googleadssales[[#This Row],[Ad_ID]],'[1]pre processed data'!A:I,9,0)</f>
        <v>23</v>
      </c>
      <c r="G84" s="4">
        <f>VLOOKUP(Googleadssales[[#This Row],[Ad_ID]],'[1]pre processed data'!A:K,11,0)</f>
        <v>8</v>
      </c>
      <c r="H84" s="2">
        <f>Googleadssales[[#This Row],[Conversions]]/Googleadssales[[#This Row],[Clicks]]</f>
        <v>5.3691275167785234E-2</v>
      </c>
      <c r="I84" t="str">
        <f>VLOOKUP(Googleadssales[[#This Row],[Ad_ID]],'[1]pre processed data'!A:O,15,0)</f>
        <v>$1500</v>
      </c>
      <c r="J84" s="3">
        <f>VLOOKUP(Googleadssales[[#This Row],[Ad_ID]],'[1]pre processed data'!A:Q,17,0)</f>
        <v>45613</v>
      </c>
      <c r="K84" t="str">
        <f>VLOOKUP(Googleadssales[[#This Row],[Ad_ID]],'[1]pre processed data'!A:R,18,0)</f>
        <v>Bangaluru</v>
      </c>
      <c r="L84" t="str">
        <f>VLOOKUP(Googleadssales[[#This Row],[Ad_ID]],'[1]pre processed data'!A:S,19,0)</f>
        <v>Mobile</v>
      </c>
      <c r="M84" t="str">
        <f>VLOOKUP(Googleadssales[[#This Row],[Ad_ID]],'[1]pre processed data'!A:T,20,0)</f>
        <v>data analytics online</v>
      </c>
    </row>
    <row r="85" spans="1:13" x14ac:dyDescent="0.3">
      <c r="A85" t="s">
        <v>98</v>
      </c>
      <c r="B85" t="s">
        <v>14</v>
      </c>
      <c r="C85" s="4">
        <f>VLOOKUP(Googleadssales[[#This Row],[Ad_ID]],'[1]pre processed data'!A:C,3,0)</f>
        <v>168</v>
      </c>
      <c r="D85" s="4">
        <f>VLOOKUP(Googleadssales[[#This Row],[Ad_ID]],'[1]pre processed data'!A:E,5,0)</f>
        <v>4683</v>
      </c>
      <c r="E85" s="5" t="str">
        <f>VLOOKUP(Googleadssales[[#This Row],[Ad_ID]],[1]!Table3[[Ad_ID]:[Cost-imputed]],7,0)</f>
        <v>$215.28</v>
      </c>
      <c r="F85" s="4">
        <f>VLOOKUP(Googleadssales[[#This Row],[Ad_ID]],'[1]pre processed data'!A:I,9,0)</f>
        <v>30</v>
      </c>
      <c r="G85" s="4">
        <f>VLOOKUP(Googleadssales[[#This Row],[Ad_ID]],'[1]pre processed data'!A:K,11,0)</f>
        <v>8</v>
      </c>
      <c r="H85" s="2">
        <f>Googleadssales[[#This Row],[Conversions]]/Googleadssales[[#This Row],[Clicks]]</f>
        <v>4.7619047619047616E-2</v>
      </c>
      <c r="I85" t="str">
        <f>VLOOKUP(Googleadssales[[#This Row],[Ad_ID]],'[1]pre processed data'!A:O,15,0)</f>
        <v>$1327</v>
      </c>
      <c r="J85" s="3">
        <f>VLOOKUP(Googleadssales[[#This Row],[Ad_ID]],'[1]pre processed data'!A:Q,17,0)</f>
        <v>45624</v>
      </c>
      <c r="K85" t="str">
        <f>VLOOKUP(Googleadssales[[#This Row],[Ad_ID]],'[1]pre processed data'!A:R,18,0)</f>
        <v>Hyderabad</v>
      </c>
      <c r="L85" t="str">
        <f>VLOOKUP(Googleadssales[[#This Row],[Ad_ID]],'[1]pre processed data'!A:S,19,0)</f>
        <v>Mobile</v>
      </c>
      <c r="M85" t="str">
        <f>VLOOKUP(Googleadssales[[#This Row],[Ad_ID]],'[1]pre processed data'!A:T,20,0)</f>
        <v>data analytics online</v>
      </c>
    </row>
    <row r="86" spans="1:13" x14ac:dyDescent="0.3">
      <c r="A86" t="s">
        <v>99</v>
      </c>
      <c r="B86" t="s">
        <v>14</v>
      </c>
      <c r="C86" s="4">
        <f>VLOOKUP(Googleadssales[[#This Row],[Ad_ID]],'[1]pre processed data'!A:C,3,0)</f>
        <v>112</v>
      </c>
      <c r="D86" s="4">
        <f>VLOOKUP(Googleadssales[[#This Row],[Ad_ID]],'[1]pre processed data'!A:E,5,0)</f>
        <v>5814</v>
      </c>
      <c r="E86" s="5" t="str">
        <f>VLOOKUP(Googleadssales[[#This Row],[Ad_ID]],[1]!Table3[[Ad_ID]:[Cost-imputed]],7,0)</f>
        <v>$227.38</v>
      </c>
      <c r="F86" s="4">
        <f>VLOOKUP(Googleadssales[[#This Row],[Ad_ID]],'[1]pre processed data'!A:I,9,0)</f>
        <v>11</v>
      </c>
      <c r="G86" s="4">
        <f>VLOOKUP(Googleadssales[[#This Row],[Ad_ID]],'[1]pre processed data'!A:K,11,0)</f>
        <v>8</v>
      </c>
      <c r="H86" s="2">
        <f>Googleadssales[[#This Row],[Conversions]]/Googleadssales[[#This Row],[Clicks]]</f>
        <v>7.1428571428571425E-2</v>
      </c>
      <c r="I86" t="str">
        <f>VLOOKUP(Googleadssales[[#This Row],[Ad_ID]],'[1]pre processed data'!A:O,15,0)</f>
        <v>$1467</v>
      </c>
      <c r="J86" s="3">
        <f>VLOOKUP(Googleadssales[[#This Row],[Ad_ID]],'[1]pre processed data'!A:Q,17,0)</f>
        <v>45599</v>
      </c>
      <c r="K86" t="str">
        <f>VLOOKUP(Googleadssales[[#This Row],[Ad_ID]],'[1]pre processed data'!A:R,18,0)</f>
        <v>Chennai</v>
      </c>
      <c r="L86" t="str">
        <f>VLOOKUP(Googleadssales[[#This Row],[Ad_ID]],'[1]pre processed data'!A:S,19,0)</f>
        <v>Tablet</v>
      </c>
      <c r="M86" t="str">
        <f>VLOOKUP(Googleadssales[[#This Row],[Ad_ID]],'[1]pre processed data'!A:T,20,0)</f>
        <v>analytics for data</v>
      </c>
    </row>
    <row r="87" spans="1:13" x14ac:dyDescent="0.3">
      <c r="A87" t="s">
        <v>100</v>
      </c>
      <c r="B87" t="s">
        <v>14</v>
      </c>
      <c r="C87" s="4">
        <f>VLOOKUP(Googleadssales[[#This Row],[Ad_ID]],'[1]pre processed data'!A:C,3,0)</f>
        <v>123</v>
      </c>
      <c r="D87" s="4">
        <f>VLOOKUP(Googleadssales[[#This Row],[Ad_ID]],'[1]pre processed data'!A:E,5,0)</f>
        <v>3292</v>
      </c>
      <c r="E87" s="5" t="str">
        <f>VLOOKUP(Googleadssales[[#This Row],[Ad_ID]],[1]!Table3[[Ad_ID]:[Cost-imputed]],7,0)</f>
        <v>$233.2</v>
      </c>
      <c r="F87" s="4">
        <f>VLOOKUP(Googleadssales[[#This Row],[Ad_ID]],'[1]pre processed data'!A:I,9,0)</f>
        <v>28</v>
      </c>
      <c r="G87" s="4">
        <f>VLOOKUP(Googleadssales[[#This Row],[Ad_ID]],'[1]pre processed data'!A:K,11,0)</f>
        <v>6</v>
      </c>
      <c r="H87" s="2">
        <f>Googleadssales[[#This Row],[Conversions]]/Googleadssales[[#This Row],[Clicks]]</f>
        <v>4.878048780487805E-2</v>
      </c>
      <c r="I87" t="str">
        <f>VLOOKUP(Googleadssales[[#This Row],[Ad_ID]],'[1]pre processed data'!A:O,15,0)</f>
        <v>$1174</v>
      </c>
      <c r="J87" s="3">
        <f>VLOOKUP(Googleadssales[[#This Row],[Ad_ID]],'[1]pre processed data'!A:Q,17,0)</f>
        <v>45615</v>
      </c>
      <c r="K87" t="str">
        <f>VLOOKUP(Googleadssales[[#This Row],[Ad_ID]],'[1]pre processed data'!A:R,18,0)</f>
        <v>Hyderabad</v>
      </c>
      <c r="L87" t="str">
        <f>VLOOKUP(Googleadssales[[#This Row],[Ad_ID]],'[1]pre processed data'!A:S,19,0)</f>
        <v>Desktop</v>
      </c>
      <c r="M87" t="str">
        <f>VLOOKUP(Googleadssales[[#This Row],[Ad_ID]],'[1]pre processed data'!A:T,20,0)</f>
        <v>data analytics training</v>
      </c>
    </row>
    <row r="88" spans="1:13" x14ac:dyDescent="0.3">
      <c r="A88" t="s">
        <v>101</v>
      </c>
      <c r="B88" t="s">
        <v>14</v>
      </c>
      <c r="C88" s="4">
        <f>VLOOKUP(Googleadssales[[#This Row],[Ad_ID]],'[1]pre processed data'!A:C,3,0)</f>
        <v>174</v>
      </c>
      <c r="D88" s="4">
        <f>VLOOKUP(Googleadssales[[#This Row],[Ad_ID]],'[1]pre processed data'!A:E,5,0)</f>
        <v>4305</v>
      </c>
      <c r="E88" s="5" t="str">
        <f>VLOOKUP(Googleadssales[[#This Row],[Ad_ID]],[1]!Table3[[Ad_ID]:[Cost-imputed]],7,0)</f>
        <v>$206.02</v>
      </c>
      <c r="F88" s="4">
        <f>VLOOKUP(Googleadssales[[#This Row],[Ad_ID]],'[1]pre processed data'!A:I,9,0)</f>
        <v>20</v>
      </c>
      <c r="G88" s="4">
        <f>VLOOKUP(Googleadssales[[#This Row],[Ad_ID]],'[1]pre processed data'!A:K,11,0)</f>
        <v>3</v>
      </c>
      <c r="H88" s="2">
        <f>Googleadssales[[#This Row],[Conversions]]/Googleadssales[[#This Row],[Clicks]]</f>
        <v>1.7241379310344827E-2</v>
      </c>
      <c r="I88" t="str">
        <f>VLOOKUP(Googleadssales[[#This Row],[Ad_ID]],'[1]pre processed data'!A:O,15,0)</f>
        <v>$1057</v>
      </c>
      <c r="J88" s="3">
        <f>VLOOKUP(Googleadssales[[#This Row],[Ad_ID]],'[1]pre processed data'!A:Q,17,0)</f>
        <v>45619</v>
      </c>
      <c r="K88" t="str">
        <f>VLOOKUP(Googleadssales[[#This Row],[Ad_ID]],'[1]pre processed data'!A:R,18,0)</f>
        <v>Hyderabad</v>
      </c>
      <c r="L88" t="str">
        <f>VLOOKUP(Googleadssales[[#This Row],[Ad_ID]],'[1]pre processed data'!A:S,19,0)</f>
        <v>Desktop</v>
      </c>
      <c r="M88" t="str">
        <f>VLOOKUP(Googleadssales[[#This Row],[Ad_ID]],'[1]pre processed data'!A:T,20,0)</f>
        <v>learn data analytics</v>
      </c>
    </row>
    <row r="89" spans="1:13" x14ac:dyDescent="0.3">
      <c r="A89" t="s">
        <v>102</v>
      </c>
      <c r="B89" t="s">
        <v>14</v>
      </c>
      <c r="C89" s="4">
        <f>VLOOKUP(Googleadssales[[#This Row],[Ad_ID]],'[1]pre processed data'!A:C,3,0)</f>
        <v>143</v>
      </c>
      <c r="D89" s="4">
        <f>VLOOKUP(Googleadssales[[#This Row],[Ad_ID]],'[1]pre processed data'!A:E,5,0)</f>
        <v>4368</v>
      </c>
      <c r="E89" s="5" t="str">
        <f>VLOOKUP(Googleadssales[[#This Row],[Ad_ID]],[1]!Table3[[Ad_ID]:[Cost-imputed]],7,0)</f>
        <v>$200.00</v>
      </c>
      <c r="F89" s="4">
        <f>VLOOKUP(Googleadssales[[#This Row],[Ad_ID]],'[1]pre processed data'!A:I,9,0)</f>
        <v>27</v>
      </c>
      <c r="G89" s="4">
        <f>VLOOKUP(Googleadssales[[#This Row],[Ad_ID]],'[1]pre processed data'!A:K,11,0)</f>
        <v>7</v>
      </c>
      <c r="H89" s="2">
        <f>Googleadssales[[#This Row],[Conversions]]/Googleadssales[[#This Row],[Clicks]]</f>
        <v>4.8951048951048952E-2</v>
      </c>
      <c r="I89" t="str">
        <f>VLOOKUP(Googleadssales[[#This Row],[Ad_ID]],'[1]pre processed data'!A:O,15,0)</f>
        <v>$1199</v>
      </c>
      <c r="J89" s="3">
        <f>VLOOKUP(Googleadssales[[#This Row],[Ad_ID]],'[1]pre processed data'!A:Q,17,0)</f>
        <v>45599</v>
      </c>
      <c r="K89" t="str">
        <f>VLOOKUP(Googleadssales[[#This Row],[Ad_ID]],'[1]pre processed data'!A:R,18,0)</f>
        <v>Bangaluru</v>
      </c>
      <c r="L89" t="str">
        <f>VLOOKUP(Googleadssales[[#This Row],[Ad_ID]],'[1]pre processed data'!A:S,19,0)</f>
        <v>Tablet</v>
      </c>
      <c r="M89" t="str">
        <f>VLOOKUP(Googleadssales[[#This Row],[Ad_ID]],'[1]pre processed data'!A:T,20,0)</f>
        <v>analytics for data</v>
      </c>
    </row>
    <row r="90" spans="1:13" x14ac:dyDescent="0.3">
      <c r="A90" t="s">
        <v>103</v>
      </c>
      <c r="B90" t="s">
        <v>18</v>
      </c>
      <c r="C90" s="4">
        <f>VLOOKUP(Googleadssales[[#This Row],[Ad_ID]],'[1]pre processed data'!A:C,3,0)</f>
        <v>195</v>
      </c>
      <c r="D90" s="4">
        <f>VLOOKUP(Googleadssales[[#This Row],[Ad_ID]],'[1]pre processed data'!A:E,5,0)</f>
        <v>5935</v>
      </c>
      <c r="E90" s="5" t="str">
        <f>VLOOKUP(Googleadssales[[#This Row],[Ad_ID]],[1]!Table3[[Ad_ID]:[Cost-imputed]],7,0)</f>
        <v>$209.68</v>
      </c>
      <c r="F90" s="4">
        <f>VLOOKUP(Googleadssales[[#This Row],[Ad_ID]],'[1]pre processed data'!A:I,9,0)</f>
        <v>23</v>
      </c>
      <c r="G90" s="4">
        <f>VLOOKUP(Googleadssales[[#This Row],[Ad_ID]],'[1]pre processed data'!A:K,11,0)</f>
        <v>9</v>
      </c>
      <c r="H90" s="2">
        <f>Googleadssales[[#This Row],[Conversions]]/Googleadssales[[#This Row],[Clicks]]</f>
        <v>4.6153846153846156E-2</v>
      </c>
      <c r="I90" t="str">
        <f>VLOOKUP(Googleadssales[[#This Row],[Ad_ID]],'[1]pre processed data'!A:O,15,0)</f>
        <v>$1966</v>
      </c>
      <c r="J90" s="3">
        <f>VLOOKUP(Googleadssales[[#This Row],[Ad_ID]],'[1]pre processed data'!A:Q,17,0)</f>
        <v>45603</v>
      </c>
      <c r="K90" t="str">
        <f>VLOOKUP(Googleadssales[[#This Row],[Ad_ID]],'[1]pre processed data'!A:R,18,0)</f>
        <v>Bangaluru</v>
      </c>
      <c r="L90" t="str">
        <f>VLOOKUP(Googleadssales[[#This Row],[Ad_ID]],'[1]pre processed data'!A:S,19,0)</f>
        <v>Tablet</v>
      </c>
      <c r="M90" t="str">
        <f>VLOOKUP(Googleadssales[[#This Row],[Ad_ID]],'[1]pre processed data'!A:T,20,0)</f>
        <v>online data analytic</v>
      </c>
    </row>
    <row r="91" spans="1:13" x14ac:dyDescent="0.3">
      <c r="A91" t="s">
        <v>104</v>
      </c>
      <c r="B91" t="s">
        <v>14</v>
      </c>
      <c r="C91" s="4">
        <f>VLOOKUP(Googleadssales[[#This Row],[Ad_ID]],'[1]pre processed data'!A:C,3,0)</f>
        <v>176</v>
      </c>
      <c r="D91" s="4">
        <f>VLOOKUP(Googleadssales[[#This Row],[Ad_ID]],'[1]pre processed data'!A:E,5,0)</f>
        <v>5847</v>
      </c>
      <c r="E91" s="5" t="str">
        <f>VLOOKUP(Googleadssales[[#This Row],[Ad_ID]],[1]!Table3[[Ad_ID]:[Cost-imputed]],7,0)</f>
        <v>$241.04</v>
      </c>
      <c r="F91" s="4">
        <f>VLOOKUP(Googleadssales[[#This Row],[Ad_ID]],'[1]pre processed data'!A:I,9,0)</f>
        <v>13</v>
      </c>
      <c r="G91" s="4">
        <f>VLOOKUP(Googleadssales[[#This Row],[Ad_ID]],'[1]pre processed data'!A:K,11,0)</f>
        <v>6</v>
      </c>
      <c r="H91" s="2">
        <f>Googleadssales[[#This Row],[Conversions]]/Googleadssales[[#This Row],[Clicks]]</f>
        <v>3.4090909090909088E-2</v>
      </c>
      <c r="I91" t="str">
        <f>VLOOKUP(Googleadssales[[#This Row],[Ad_ID]],'[1]pre processed data'!A:O,15,0)</f>
        <v>$1194</v>
      </c>
      <c r="J91" s="3">
        <f>VLOOKUP(Googleadssales[[#This Row],[Ad_ID]],'[1]pre processed data'!A:Q,17,0)</f>
        <v>45598</v>
      </c>
      <c r="K91" t="str">
        <f>VLOOKUP(Googleadssales[[#This Row],[Ad_ID]],'[1]pre processed data'!A:R,18,0)</f>
        <v>Hyderabad</v>
      </c>
      <c r="L91" t="str">
        <f>VLOOKUP(Googleadssales[[#This Row],[Ad_ID]],'[1]pre processed data'!A:S,19,0)</f>
        <v>Desktop</v>
      </c>
      <c r="M91" t="str">
        <f>VLOOKUP(Googleadssales[[#This Row],[Ad_ID]],'[1]pre processed data'!A:T,20,0)</f>
        <v>online data analytic</v>
      </c>
    </row>
    <row r="92" spans="1:13" x14ac:dyDescent="0.3">
      <c r="A92" t="s">
        <v>105</v>
      </c>
      <c r="B92" t="s">
        <v>14</v>
      </c>
      <c r="C92" s="4">
        <f>VLOOKUP(Googleadssales[[#This Row],[Ad_ID]],'[1]pre processed data'!A:C,3,0)</f>
        <v>141</v>
      </c>
      <c r="D92" s="4">
        <f>VLOOKUP(Googleadssales[[#This Row],[Ad_ID]],'[1]pre processed data'!A:E,5,0)</f>
        <v>4851</v>
      </c>
      <c r="E92" s="5" t="str">
        <f>VLOOKUP(Googleadssales[[#This Row],[Ad_ID]],[1]!Table3[[Ad_ID]:[Cost-imputed]],7,0)</f>
        <v>$227.39</v>
      </c>
      <c r="F92" s="4">
        <f>VLOOKUP(Googleadssales[[#This Row],[Ad_ID]],'[1]pre processed data'!A:I,9,0)</f>
        <v>28</v>
      </c>
      <c r="G92" s="4">
        <f>VLOOKUP(Googleadssales[[#This Row],[Ad_ID]],'[1]pre processed data'!A:K,11,0)</f>
        <v>5</v>
      </c>
      <c r="H92" s="2">
        <f>Googleadssales[[#This Row],[Conversions]]/Googleadssales[[#This Row],[Clicks]]</f>
        <v>3.5460992907801421E-2</v>
      </c>
      <c r="I92" t="str">
        <f>VLOOKUP(Googleadssales[[#This Row],[Ad_ID]],'[1]pre processed data'!A:O,15,0)</f>
        <v>$1821</v>
      </c>
      <c r="J92" s="3">
        <f>VLOOKUP(Googleadssales[[#This Row],[Ad_ID]],'[1]pre processed data'!A:Q,17,0)</f>
        <v>45611</v>
      </c>
      <c r="K92" t="str">
        <f>VLOOKUP(Googleadssales[[#This Row],[Ad_ID]],'[1]pre processed data'!A:R,18,0)</f>
        <v>Hyderabad</v>
      </c>
      <c r="L92" t="str">
        <f>VLOOKUP(Googleadssales[[#This Row],[Ad_ID]],'[1]pre processed data'!A:S,19,0)</f>
        <v>Desktop</v>
      </c>
      <c r="M92" t="str">
        <f>VLOOKUP(Googleadssales[[#This Row],[Ad_ID]],'[1]pre processed data'!A:T,20,0)</f>
        <v>analytics for data</v>
      </c>
    </row>
    <row r="93" spans="1:13" x14ac:dyDescent="0.3">
      <c r="A93" t="s">
        <v>106</v>
      </c>
      <c r="B93" t="s">
        <v>14</v>
      </c>
      <c r="C93" s="4">
        <f>VLOOKUP(Googleadssales[[#This Row],[Ad_ID]],'[1]pre processed data'!A:C,3,0)</f>
        <v>108</v>
      </c>
      <c r="D93" s="4">
        <f>VLOOKUP(Googleadssales[[#This Row],[Ad_ID]],'[1]pre processed data'!A:E,5,0)</f>
        <v>4710</v>
      </c>
      <c r="E93" s="5" t="str">
        <f>VLOOKUP(Googleadssales[[#This Row],[Ad_ID]],[1]!Table3[[Ad_ID]:[Cost-imputed]],7,0)</f>
        <v>$204.16</v>
      </c>
      <c r="F93" s="4">
        <f>VLOOKUP(Googleadssales[[#This Row],[Ad_ID]],'[1]pre processed data'!A:I,9,0)</f>
        <v>19</v>
      </c>
      <c r="G93" s="4">
        <f>VLOOKUP(Googleadssales[[#This Row],[Ad_ID]],'[1]pre processed data'!A:K,11,0)</f>
        <v>10</v>
      </c>
      <c r="H93" s="2">
        <f>Googleadssales[[#This Row],[Conversions]]/Googleadssales[[#This Row],[Clicks]]</f>
        <v>9.2592592592592587E-2</v>
      </c>
      <c r="I93" t="str">
        <f>VLOOKUP(Googleadssales[[#This Row],[Ad_ID]],'[1]pre processed data'!A:O,15,0)</f>
        <v>$1731</v>
      </c>
      <c r="J93" s="3">
        <f>VLOOKUP(Googleadssales[[#This Row],[Ad_ID]],'[1]pre processed data'!A:Q,17,0)</f>
        <v>45616</v>
      </c>
      <c r="K93" t="str">
        <f>VLOOKUP(Googleadssales[[#This Row],[Ad_ID]],'[1]pre processed data'!A:R,18,0)</f>
        <v>Chennai</v>
      </c>
      <c r="L93" t="str">
        <f>VLOOKUP(Googleadssales[[#This Row],[Ad_ID]],'[1]pre processed data'!A:S,19,0)</f>
        <v>Tablet</v>
      </c>
      <c r="M93" t="str">
        <f>VLOOKUP(Googleadssales[[#This Row],[Ad_ID]],'[1]pre processed data'!A:T,20,0)</f>
        <v>data analytics online</v>
      </c>
    </row>
    <row r="94" spans="1:13" x14ac:dyDescent="0.3">
      <c r="A94" t="s">
        <v>107</v>
      </c>
      <c r="B94" t="s">
        <v>14</v>
      </c>
      <c r="C94" s="4">
        <f>VLOOKUP(Googleadssales[[#This Row],[Ad_ID]],'[1]pre processed data'!A:C,3,0)</f>
        <v>112</v>
      </c>
      <c r="D94" s="4">
        <f>VLOOKUP(Googleadssales[[#This Row],[Ad_ID]],'[1]pre processed data'!A:E,5,0)</f>
        <v>3345</v>
      </c>
      <c r="E94" s="5" t="str">
        <f>VLOOKUP(Googleadssales[[#This Row],[Ad_ID]],[1]!Table3[[Ad_ID]:[Cost-imputed]],7,0)</f>
        <v>$200.00</v>
      </c>
      <c r="F94" s="4">
        <f>VLOOKUP(Googleadssales[[#This Row],[Ad_ID]],'[1]pre processed data'!A:I,9,0)</f>
        <v>11</v>
      </c>
      <c r="G94" s="4">
        <f>VLOOKUP(Googleadssales[[#This Row],[Ad_ID]],'[1]pre processed data'!A:K,11,0)</f>
        <v>6</v>
      </c>
      <c r="H94" s="2">
        <f>Googleadssales[[#This Row],[Conversions]]/Googleadssales[[#This Row],[Clicks]]</f>
        <v>5.3571428571428568E-2</v>
      </c>
      <c r="I94" t="str">
        <f>VLOOKUP(Googleadssales[[#This Row],[Ad_ID]],'[1]pre processed data'!A:O,15,0)</f>
        <v>$1859</v>
      </c>
      <c r="J94" s="3">
        <f>VLOOKUP(Googleadssales[[#This Row],[Ad_ID]],'[1]pre processed data'!A:Q,17,0)</f>
        <v>45619</v>
      </c>
      <c r="K94" t="str">
        <f>VLOOKUP(Googleadssales[[#This Row],[Ad_ID]],'[1]pre processed data'!A:R,18,0)</f>
        <v>Chennai</v>
      </c>
      <c r="L94" t="str">
        <f>VLOOKUP(Googleadssales[[#This Row],[Ad_ID]],'[1]pre processed data'!A:S,19,0)</f>
        <v>Tablet</v>
      </c>
      <c r="M94" t="str">
        <f>VLOOKUP(Googleadssales[[#This Row],[Ad_ID]],'[1]pre processed data'!A:T,20,0)</f>
        <v>analytics for data</v>
      </c>
    </row>
    <row r="95" spans="1:13" x14ac:dyDescent="0.3">
      <c r="A95" t="s">
        <v>108</v>
      </c>
      <c r="B95" t="s">
        <v>14</v>
      </c>
      <c r="C95" s="4">
        <f>VLOOKUP(Googleadssales[[#This Row],[Ad_ID]],'[1]pre processed data'!A:C,3,0)</f>
        <v>138.95699356913184</v>
      </c>
      <c r="D95" s="4">
        <f>VLOOKUP(Googleadssales[[#This Row],[Ad_ID]],'[1]pre processed data'!A:E,5,0)</f>
        <v>5903</v>
      </c>
      <c r="E95" s="5" t="str">
        <f>VLOOKUP(Googleadssales[[#This Row],[Ad_ID]],[1]!Table3[[Ad_ID]:[Cost-imputed]],7,0)</f>
        <v>$184.41</v>
      </c>
      <c r="F95" s="4">
        <f>VLOOKUP(Googleadssales[[#This Row],[Ad_ID]],'[1]pre processed data'!A:I,9,0)</f>
        <v>23</v>
      </c>
      <c r="G95" s="4">
        <f>VLOOKUP(Googleadssales[[#This Row],[Ad_ID]],'[1]pre processed data'!A:K,11,0)</f>
        <v>9</v>
      </c>
      <c r="H95" s="2">
        <f>Googleadssales[[#This Row],[Conversions]]/Googleadssales[[#This Row],[Clicks]]</f>
        <v>6.4768240653698753E-2</v>
      </c>
      <c r="I95" t="str">
        <f>VLOOKUP(Googleadssales[[#This Row],[Ad_ID]],'[1]pre processed data'!A:O,15,0)</f>
        <v>$1188</v>
      </c>
      <c r="J95" s="3">
        <f>VLOOKUP(Googleadssales[[#This Row],[Ad_ID]],'[1]pre processed data'!A:Q,17,0)</f>
        <v>45616</v>
      </c>
      <c r="K95" t="str">
        <f>VLOOKUP(Googleadssales[[#This Row],[Ad_ID]],'[1]pre processed data'!A:R,18,0)</f>
        <v>Chennai</v>
      </c>
      <c r="L95" t="str">
        <f>VLOOKUP(Googleadssales[[#This Row],[Ad_ID]],'[1]pre processed data'!A:S,19,0)</f>
        <v>Tablet</v>
      </c>
      <c r="M95" t="str">
        <f>VLOOKUP(Googleadssales[[#This Row],[Ad_ID]],'[1]pre processed data'!A:T,20,0)</f>
        <v>online data analytic</v>
      </c>
    </row>
    <row r="96" spans="1:13" x14ac:dyDescent="0.3">
      <c r="A96" t="s">
        <v>109</v>
      </c>
      <c r="B96" t="s">
        <v>18</v>
      </c>
      <c r="C96" s="4">
        <f>VLOOKUP(Googleadssales[[#This Row],[Ad_ID]],'[1]pre processed data'!A:C,3,0)</f>
        <v>145</v>
      </c>
      <c r="D96" s="4">
        <f>VLOOKUP(Googleadssales[[#This Row],[Ad_ID]],'[1]pre processed data'!A:E,5,0)</f>
        <v>5004</v>
      </c>
      <c r="E96" s="5" t="str">
        <f>VLOOKUP(Googleadssales[[#This Row],[Ad_ID]],[1]!Table3[[Ad_ID]:[Cost-imputed]],7,0)</f>
        <v>$216.45</v>
      </c>
      <c r="F96" s="4">
        <f>VLOOKUP(Googleadssales[[#This Row],[Ad_ID]],'[1]pre processed data'!A:I,9,0)</f>
        <v>22</v>
      </c>
      <c r="G96" s="4">
        <f>VLOOKUP(Googleadssales[[#This Row],[Ad_ID]],'[1]pre processed data'!A:K,11,0)</f>
        <v>5</v>
      </c>
      <c r="H96" s="2">
        <f>Googleadssales[[#This Row],[Conversions]]/Googleadssales[[#This Row],[Clicks]]</f>
        <v>3.4482758620689655E-2</v>
      </c>
      <c r="I96" t="str">
        <f>VLOOKUP(Googleadssales[[#This Row],[Ad_ID]],'[1]pre processed data'!A:O,15,0)</f>
        <v>$1496</v>
      </c>
      <c r="J96" s="3">
        <f>VLOOKUP(Googleadssales[[#This Row],[Ad_ID]],'[1]pre processed data'!A:Q,17,0)</f>
        <v>45597</v>
      </c>
      <c r="K96" t="str">
        <f>VLOOKUP(Googleadssales[[#This Row],[Ad_ID]],'[1]pre processed data'!A:R,18,0)</f>
        <v>Bangaluru</v>
      </c>
      <c r="L96" t="str">
        <f>VLOOKUP(Googleadssales[[#This Row],[Ad_ID]],'[1]pre processed data'!A:S,19,0)</f>
        <v>Tablet</v>
      </c>
      <c r="M96" t="str">
        <f>VLOOKUP(Googleadssales[[#This Row],[Ad_ID]],'[1]pre processed data'!A:T,20,0)</f>
        <v>data analytics online</v>
      </c>
    </row>
    <row r="97" spans="1:13" x14ac:dyDescent="0.3">
      <c r="A97" t="s">
        <v>110</v>
      </c>
      <c r="B97" t="s">
        <v>14</v>
      </c>
      <c r="C97" s="4">
        <f>VLOOKUP(Googleadssales[[#This Row],[Ad_ID]],'[1]pre processed data'!A:C,3,0)</f>
        <v>183</v>
      </c>
      <c r="D97" s="4">
        <f>VLOOKUP(Googleadssales[[#This Row],[Ad_ID]],'[1]pre processed data'!A:E,5,0)</f>
        <v>3947</v>
      </c>
      <c r="E97" s="5" t="str">
        <f>VLOOKUP(Googleadssales[[#This Row],[Ad_ID]],[1]!Table3[[Ad_ID]:[Cost-imputed]],7,0)</f>
        <v>$197.3</v>
      </c>
      <c r="F97" s="4">
        <f>VLOOKUP(Googleadssales[[#This Row],[Ad_ID]],'[1]pre processed data'!A:I,9,0)</f>
        <v>15</v>
      </c>
      <c r="G97" s="4">
        <f>VLOOKUP(Googleadssales[[#This Row],[Ad_ID]],'[1]pre processed data'!A:K,11,0)</f>
        <v>8</v>
      </c>
      <c r="H97" s="2">
        <f>Googleadssales[[#This Row],[Conversions]]/Googleadssales[[#This Row],[Clicks]]</f>
        <v>4.3715846994535519E-2</v>
      </c>
      <c r="I97" t="str">
        <f>VLOOKUP(Googleadssales[[#This Row],[Ad_ID]],'[1]pre processed data'!A:O,15,0)</f>
        <v>$1645</v>
      </c>
      <c r="J97" s="3">
        <f>VLOOKUP(Googleadssales[[#This Row],[Ad_ID]],'[1]pre processed data'!A:Q,17,0)</f>
        <v>45610</v>
      </c>
      <c r="K97" t="str">
        <f>VLOOKUP(Googleadssales[[#This Row],[Ad_ID]],'[1]pre processed data'!A:R,18,0)</f>
        <v>Chennai</v>
      </c>
      <c r="L97" t="str">
        <f>VLOOKUP(Googleadssales[[#This Row],[Ad_ID]],'[1]pre processed data'!A:S,19,0)</f>
        <v>Desktop</v>
      </c>
      <c r="M97" t="str">
        <f>VLOOKUP(Googleadssales[[#This Row],[Ad_ID]],'[1]pre processed data'!A:T,20,0)</f>
        <v>data analytics training</v>
      </c>
    </row>
    <row r="98" spans="1:13" x14ac:dyDescent="0.3">
      <c r="A98" t="s">
        <v>111</v>
      </c>
      <c r="B98" t="s">
        <v>14</v>
      </c>
      <c r="C98" s="4">
        <f>VLOOKUP(Googleadssales[[#This Row],[Ad_ID]],'[1]pre processed data'!A:C,3,0)</f>
        <v>113</v>
      </c>
      <c r="D98" s="4">
        <f>VLOOKUP(Googleadssales[[#This Row],[Ad_ID]],'[1]pre processed data'!A:E,5,0)</f>
        <v>3690</v>
      </c>
      <c r="E98" s="5" t="str">
        <f>VLOOKUP(Googleadssales[[#This Row],[Ad_ID]],[1]!Table3[[Ad_ID]:[Cost-imputed]],7,0)</f>
        <v>$229.42</v>
      </c>
      <c r="F98" s="4">
        <f>VLOOKUP(Googleadssales[[#This Row],[Ad_ID]],'[1]pre processed data'!A:I,9,0)</f>
        <v>20</v>
      </c>
      <c r="G98" s="4">
        <f>VLOOKUP(Googleadssales[[#This Row],[Ad_ID]],'[1]pre processed data'!A:K,11,0)</f>
        <v>5</v>
      </c>
      <c r="H98" s="2">
        <f>Googleadssales[[#This Row],[Conversions]]/Googleadssales[[#This Row],[Clicks]]</f>
        <v>4.4247787610619468E-2</v>
      </c>
      <c r="I98" t="str">
        <f>VLOOKUP(Googleadssales[[#This Row],[Ad_ID]],'[1]pre processed data'!A:O,15,0)</f>
        <v>$1915</v>
      </c>
      <c r="J98" s="3">
        <f>VLOOKUP(Googleadssales[[#This Row],[Ad_ID]],'[1]pre processed data'!A:Q,17,0)</f>
        <v>45624</v>
      </c>
      <c r="K98" t="str">
        <f>VLOOKUP(Googleadssales[[#This Row],[Ad_ID]],'[1]pre processed data'!A:R,18,0)</f>
        <v>Hyderabad</v>
      </c>
      <c r="L98" t="str">
        <f>VLOOKUP(Googleadssales[[#This Row],[Ad_ID]],'[1]pre processed data'!A:S,19,0)</f>
        <v>Tablet</v>
      </c>
      <c r="M98" t="str">
        <f>VLOOKUP(Googleadssales[[#This Row],[Ad_ID]],'[1]pre processed data'!A:T,20,0)</f>
        <v>learn data analytics</v>
      </c>
    </row>
    <row r="99" spans="1:13" x14ac:dyDescent="0.3">
      <c r="A99" t="s">
        <v>112</v>
      </c>
      <c r="B99" t="s">
        <v>18</v>
      </c>
      <c r="C99" s="4">
        <f>VLOOKUP(Googleadssales[[#This Row],[Ad_ID]],'[1]pre processed data'!A:C,3,0)</f>
        <v>101</v>
      </c>
      <c r="D99" s="4">
        <f>VLOOKUP(Googleadssales[[#This Row],[Ad_ID]],'[1]pre processed data'!A:E,5,0)</f>
        <v>5943</v>
      </c>
      <c r="E99" s="5" t="str">
        <f>VLOOKUP(Googleadssales[[#This Row],[Ad_ID]],[1]!Table3[[Ad_ID]:[Cost-imputed]],7,0)</f>
        <v>$187.32</v>
      </c>
      <c r="F99" s="4">
        <f>VLOOKUP(Googleadssales[[#This Row],[Ad_ID]],'[1]pre processed data'!A:I,9,0)</f>
        <v>27</v>
      </c>
      <c r="G99" s="4">
        <f>VLOOKUP(Googleadssales[[#This Row],[Ad_ID]],'[1]pre processed data'!A:K,11,0)</f>
        <v>6</v>
      </c>
      <c r="H99" s="2">
        <f>Googleadssales[[#This Row],[Conversions]]/Googleadssales[[#This Row],[Clicks]]</f>
        <v>5.9405940594059403E-2</v>
      </c>
      <c r="I99" t="str">
        <f>VLOOKUP(Googleadssales[[#This Row],[Ad_ID]],'[1]pre processed data'!A:O,15,0)</f>
        <v>$1614</v>
      </c>
      <c r="J99" s="3">
        <f>VLOOKUP(Googleadssales[[#This Row],[Ad_ID]],'[1]pre processed data'!A:Q,17,0)</f>
        <v>45611</v>
      </c>
      <c r="K99" t="str">
        <f>VLOOKUP(Googleadssales[[#This Row],[Ad_ID]],'[1]pre processed data'!A:R,18,0)</f>
        <v>Bangaluru</v>
      </c>
      <c r="L99" t="str">
        <f>VLOOKUP(Googleadssales[[#This Row],[Ad_ID]],'[1]pre processed data'!A:S,19,0)</f>
        <v>Tablet</v>
      </c>
      <c r="M99" t="str">
        <f>VLOOKUP(Googleadssales[[#This Row],[Ad_ID]],'[1]pre processed data'!A:T,20,0)</f>
        <v>data analytics online</v>
      </c>
    </row>
    <row r="100" spans="1:13" x14ac:dyDescent="0.3">
      <c r="A100" t="s">
        <v>113</v>
      </c>
      <c r="B100" t="s">
        <v>14</v>
      </c>
      <c r="C100" s="4">
        <f>VLOOKUP(Googleadssales[[#This Row],[Ad_ID]],'[1]pre processed data'!A:C,3,0)</f>
        <v>189</v>
      </c>
      <c r="D100" s="4">
        <f>VLOOKUP(Googleadssales[[#This Row],[Ad_ID]],'[1]pre processed data'!A:E,5,0)</f>
        <v>5357</v>
      </c>
      <c r="E100" s="5" t="str">
        <f>VLOOKUP(Googleadssales[[#This Row],[Ad_ID]],[1]!Table3[[Ad_ID]:[Cost-imputed]],7,0)</f>
        <v>$222.5</v>
      </c>
      <c r="F100" s="4">
        <f>VLOOKUP(Googleadssales[[#This Row],[Ad_ID]],'[1]pre processed data'!A:I,9,0)</f>
        <v>24</v>
      </c>
      <c r="G100" s="4">
        <f>VLOOKUP(Googleadssales[[#This Row],[Ad_ID]],'[1]pre processed data'!A:K,11,0)</f>
        <v>3</v>
      </c>
      <c r="H100" s="2">
        <f>Googleadssales[[#This Row],[Conversions]]/Googleadssales[[#This Row],[Clicks]]</f>
        <v>1.5873015873015872E-2</v>
      </c>
      <c r="I100" t="str">
        <f>VLOOKUP(Googleadssales[[#This Row],[Ad_ID]],'[1]pre processed data'!A:O,15,0)</f>
        <v>$1839</v>
      </c>
      <c r="J100" s="3">
        <f>VLOOKUP(Googleadssales[[#This Row],[Ad_ID]],'[1]pre processed data'!A:Q,17,0)</f>
        <v>45621</v>
      </c>
      <c r="K100" t="str">
        <f>VLOOKUP(Googleadssales[[#This Row],[Ad_ID]],'[1]pre processed data'!A:R,18,0)</f>
        <v>Bangaluru</v>
      </c>
      <c r="L100" t="str">
        <f>VLOOKUP(Googleadssales[[#This Row],[Ad_ID]],'[1]pre processed data'!A:S,19,0)</f>
        <v>Tablet</v>
      </c>
      <c r="M100" t="str">
        <f>VLOOKUP(Googleadssales[[#This Row],[Ad_ID]],'[1]pre processed data'!A:T,20,0)</f>
        <v>data analytics course</v>
      </c>
    </row>
    <row r="101" spans="1:13" x14ac:dyDescent="0.3">
      <c r="A101" t="s">
        <v>114</v>
      </c>
      <c r="B101" t="s">
        <v>14</v>
      </c>
      <c r="C101" s="4">
        <f>VLOOKUP(Googleadssales[[#This Row],[Ad_ID]],'[1]pre processed data'!A:C,3,0)</f>
        <v>154</v>
      </c>
      <c r="D101" s="4">
        <f>VLOOKUP(Googleadssales[[#This Row],[Ad_ID]],'[1]pre processed data'!A:E,5,0)</f>
        <v>3596</v>
      </c>
      <c r="E101" s="5" t="str">
        <f>VLOOKUP(Googleadssales[[#This Row],[Ad_ID]],[1]!Table3[[Ad_ID]:[Cost-imputed]],7,0)</f>
        <v>$236.14</v>
      </c>
      <c r="F101" s="4">
        <f>VLOOKUP(Googleadssales[[#This Row],[Ad_ID]],'[1]pre processed data'!A:I,9,0)</f>
        <v>30</v>
      </c>
      <c r="G101" s="4">
        <f>VLOOKUP(Googleadssales[[#This Row],[Ad_ID]],'[1]pre processed data'!A:K,11,0)</f>
        <v>9</v>
      </c>
      <c r="H101" s="2">
        <f>Googleadssales[[#This Row],[Conversions]]/Googleadssales[[#This Row],[Clicks]]</f>
        <v>5.844155844155844E-2</v>
      </c>
      <c r="I101" t="str">
        <f>VLOOKUP(Googleadssales[[#This Row],[Ad_ID]],'[1]pre processed data'!A:O,15,0)</f>
        <v>$1036</v>
      </c>
      <c r="J101" s="3">
        <f>VLOOKUP(Googleadssales[[#This Row],[Ad_ID]],'[1]pre processed data'!A:Q,17,0)</f>
        <v>45602</v>
      </c>
      <c r="K101" t="str">
        <f>VLOOKUP(Googleadssales[[#This Row],[Ad_ID]],'[1]pre processed data'!A:R,18,0)</f>
        <v>Hyderabad</v>
      </c>
      <c r="L101" t="str">
        <f>VLOOKUP(Googleadssales[[#This Row],[Ad_ID]],'[1]pre processed data'!A:S,19,0)</f>
        <v>Tablet</v>
      </c>
      <c r="M101" t="str">
        <f>VLOOKUP(Googleadssales[[#This Row],[Ad_ID]],'[1]pre processed data'!A:T,20,0)</f>
        <v>online data analytic</v>
      </c>
    </row>
    <row r="102" spans="1:13" x14ac:dyDescent="0.3">
      <c r="A102" t="s">
        <v>115</v>
      </c>
      <c r="B102" t="s">
        <v>14</v>
      </c>
      <c r="C102" s="4">
        <f>VLOOKUP(Googleadssales[[#This Row],[Ad_ID]],'[1]pre processed data'!A:C,3,0)</f>
        <v>179</v>
      </c>
      <c r="D102" s="4">
        <f>VLOOKUP(Googleadssales[[#This Row],[Ad_ID]],'[1]pre processed data'!A:E,5,0)</f>
        <v>5162</v>
      </c>
      <c r="E102" s="5" t="str">
        <f>VLOOKUP(Googleadssales[[#This Row],[Ad_ID]],[1]!Table3[[Ad_ID]:[Cost-imputed]],7,0)</f>
        <v>$246.76</v>
      </c>
      <c r="F102" s="4">
        <f>VLOOKUP(Googleadssales[[#This Row],[Ad_ID]],'[1]pre processed data'!A:I,9,0)</f>
        <v>16</v>
      </c>
      <c r="G102" s="4">
        <f>VLOOKUP(Googleadssales[[#This Row],[Ad_ID]],'[1]pre processed data'!A:K,11,0)</f>
        <v>5</v>
      </c>
      <c r="H102" s="2">
        <f>Googleadssales[[#This Row],[Conversions]]/Googleadssales[[#This Row],[Clicks]]</f>
        <v>2.7932960893854747E-2</v>
      </c>
      <c r="I102" t="str">
        <f>VLOOKUP(Googleadssales[[#This Row],[Ad_ID]],'[1]pre processed data'!A:O,15,0)</f>
        <v>$1052</v>
      </c>
      <c r="J102" s="3">
        <f>VLOOKUP(Googleadssales[[#This Row],[Ad_ID]],'[1]pre processed data'!A:Q,17,0)</f>
        <v>45625</v>
      </c>
      <c r="K102" t="str">
        <f>VLOOKUP(Googleadssales[[#This Row],[Ad_ID]],'[1]pre processed data'!A:R,18,0)</f>
        <v>Chennai</v>
      </c>
      <c r="L102" t="str">
        <f>VLOOKUP(Googleadssales[[#This Row],[Ad_ID]],'[1]pre processed data'!A:S,19,0)</f>
        <v>Desktop</v>
      </c>
      <c r="M102" t="str">
        <f>VLOOKUP(Googleadssales[[#This Row],[Ad_ID]],'[1]pre processed data'!A:T,20,0)</f>
        <v>online data analytic</v>
      </c>
    </row>
    <row r="103" spans="1:13" x14ac:dyDescent="0.3">
      <c r="A103" t="s">
        <v>116</v>
      </c>
      <c r="B103" t="s">
        <v>14</v>
      </c>
      <c r="C103" s="4">
        <f>VLOOKUP(Googleadssales[[#This Row],[Ad_ID]],'[1]pre processed data'!A:C,3,0)</f>
        <v>148</v>
      </c>
      <c r="D103" s="4">
        <f>VLOOKUP(Googleadssales[[#This Row],[Ad_ID]],'[1]pre processed data'!A:E,5,0)</f>
        <v>3747</v>
      </c>
      <c r="E103" s="5" t="str">
        <f>VLOOKUP(Googleadssales[[#This Row],[Ad_ID]],[1]!Table3[[Ad_ID]:[Cost-imputed]],7,0)</f>
        <v>$244.41</v>
      </c>
      <c r="F103" s="4">
        <f>VLOOKUP(Googleadssales[[#This Row],[Ad_ID]],'[1]pre processed data'!A:I,9,0)</f>
        <v>18</v>
      </c>
      <c r="G103" s="4">
        <f>VLOOKUP(Googleadssales[[#This Row],[Ad_ID]],'[1]pre processed data'!A:K,11,0)</f>
        <v>8</v>
      </c>
      <c r="H103" s="2">
        <f>Googleadssales[[#This Row],[Conversions]]/Googleadssales[[#This Row],[Clicks]]</f>
        <v>5.4054054054054057E-2</v>
      </c>
      <c r="I103" t="str">
        <f>VLOOKUP(Googleadssales[[#This Row],[Ad_ID]],'[1]pre processed data'!A:O,15,0)</f>
        <v>$1092</v>
      </c>
      <c r="J103" s="3">
        <f>VLOOKUP(Googleadssales[[#This Row],[Ad_ID]],'[1]pre processed data'!A:Q,17,0)</f>
        <v>45613</v>
      </c>
      <c r="K103" t="str">
        <f>VLOOKUP(Googleadssales[[#This Row],[Ad_ID]],'[1]pre processed data'!A:R,18,0)</f>
        <v>Hyderabad</v>
      </c>
      <c r="L103" t="str">
        <f>VLOOKUP(Googleadssales[[#This Row],[Ad_ID]],'[1]pre processed data'!A:S,19,0)</f>
        <v>Tablet</v>
      </c>
      <c r="M103" t="str">
        <f>VLOOKUP(Googleadssales[[#This Row],[Ad_ID]],'[1]pre processed data'!A:T,20,0)</f>
        <v>learn data analytics</v>
      </c>
    </row>
    <row r="104" spans="1:13" x14ac:dyDescent="0.3">
      <c r="A104" t="s">
        <v>117</v>
      </c>
      <c r="B104" t="s">
        <v>14</v>
      </c>
      <c r="C104" s="4">
        <f>VLOOKUP(Googleadssales[[#This Row],[Ad_ID]],'[1]pre processed data'!A:C,3,0)</f>
        <v>177</v>
      </c>
      <c r="D104" s="4">
        <f>VLOOKUP(Googleadssales[[#This Row],[Ad_ID]],'[1]pre processed data'!A:E,5,0)</f>
        <v>4822</v>
      </c>
      <c r="E104" s="5" t="str">
        <f>VLOOKUP(Googleadssales[[#This Row],[Ad_ID]],[1]!Table3[[Ad_ID]:[Cost-imputed]],7,0)</f>
        <v>$197.03</v>
      </c>
      <c r="F104" s="4">
        <f>VLOOKUP(Googleadssales[[#This Row],[Ad_ID]],'[1]pre processed data'!A:I,9,0)</f>
        <v>26</v>
      </c>
      <c r="G104" s="4">
        <f>VLOOKUP(Googleadssales[[#This Row],[Ad_ID]],'[1]pre processed data'!A:K,11,0)</f>
        <v>9</v>
      </c>
      <c r="H104" s="2">
        <f>Googleadssales[[#This Row],[Conversions]]/Googleadssales[[#This Row],[Clicks]]</f>
        <v>5.0847457627118647E-2</v>
      </c>
      <c r="I104" t="str">
        <f>VLOOKUP(Googleadssales[[#This Row],[Ad_ID]],'[1]pre processed data'!A:O,15,0)</f>
        <v>$1909</v>
      </c>
      <c r="J104" s="3">
        <f>VLOOKUP(Googleadssales[[#This Row],[Ad_ID]],'[1]pre processed data'!A:Q,17,0)</f>
        <v>45600</v>
      </c>
      <c r="K104" t="str">
        <f>VLOOKUP(Googleadssales[[#This Row],[Ad_ID]],'[1]pre processed data'!A:R,18,0)</f>
        <v>Chennai</v>
      </c>
      <c r="L104" t="str">
        <f>VLOOKUP(Googleadssales[[#This Row],[Ad_ID]],'[1]pre processed data'!A:S,19,0)</f>
        <v>Mobile</v>
      </c>
      <c r="M104" t="str">
        <f>VLOOKUP(Googleadssales[[#This Row],[Ad_ID]],'[1]pre processed data'!A:T,20,0)</f>
        <v>online data analytic</v>
      </c>
    </row>
    <row r="105" spans="1:13" x14ac:dyDescent="0.3">
      <c r="A105" t="s">
        <v>118</v>
      </c>
      <c r="B105" t="s">
        <v>18</v>
      </c>
      <c r="C105" s="4">
        <f>VLOOKUP(Googleadssales[[#This Row],[Ad_ID]],'[1]pre processed data'!A:C,3,0)</f>
        <v>119</v>
      </c>
      <c r="D105" s="4">
        <f>VLOOKUP(Googleadssales[[#This Row],[Ad_ID]],'[1]pre processed data'!A:E,5,0)</f>
        <v>5800</v>
      </c>
      <c r="E105" s="5" t="str">
        <f>VLOOKUP(Googleadssales[[#This Row],[Ad_ID]],[1]!Table3[[Ad_ID]:[Cost-imputed]],7,0)</f>
        <v>$221.36</v>
      </c>
      <c r="F105" s="4">
        <f>VLOOKUP(Googleadssales[[#This Row],[Ad_ID]],'[1]pre processed data'!A:I,9,0)</f>
        <v>11</v>
      </c>
      <c r="G105" s="4">
        <f>VLOOKUP(Googleadssales[[#This Row],[Ad_ID]],'[1]pre processed data'!A:K,11,0)</f>
        <v>8</v>
      </c>
      <c r="H105" s="2">
        <f>Googleadssales[[#This Row],[Conversions]]/Googleadssales[[#This Row],[Clicks]]</f>
        <v>6.7226890756302518E-2</v>
      </c>
      <c r="I105" t="str">
        <f>VLOOKUP(Googleadssales[[#This Row],[Ad_ID]],'[1]pre processed data'!A:O,15,0)</f>
        <v>$1500</v>
      </c>
      <c r="J105" s="3">
        <f>VLOOKUP(Googleadssales[[#This Row],[Ad_ID]],'[1]pre processed data'!A:Q,17,0)</f>
        <v>45625</v>
      </c>
      <c r="K105" t="str">
        <f>VLOOKUP(Googleadssales[[#This Row],[Ad_ID]],'[1]pre processed data'!A:R,18,0)</f>
        <v>Bangaluru</v>
      </c>
      <c r="L105" t="str">
        <f>VLOOKUP(Googleadssales[[#This Row],[Ad_ID]],'[1]pre processed data'!A:S,19,0)</f>
        <v>Desktop</v>
      </c>
      <c r="M105" t="str">
        <f>VLOOKUP(Googleadssales[[#This Row],[Ad_ID]],'[1]pre processed data'!A:T,20,0)</f>
        <v>analytics for data</v>
      </c>
    </row>
    <row r="106" spans="1:13" x14ac:dyDescent="0.3">
      <c r="A106" t="s">
        <v>119</v>
      </c>
      <c r="B106" t="s">
        <v>18</v>
      </c>
      <c r="C106" s="4">
        <f>VLOOKUP(Googleadssales[[#This Row],[Ad_ID]],'[1]pre processed data'!A:C,3,0)</f>
        <v>89</v>
      </c>
      <c r="D106" s="4">
        <f>VLOOKUP(Googleadssales[[#This Row],[Ad_ID]],'[1]pre processed data'!A:E,5,0)</f>
        <v>3594</v>
      </c>
      <c r="E106" s="5" t="str">
        <f>VLOOKUP(Googleadssales[[#This Row],[Ad_ID]],[1]!Table3[[Ad_ID]:[Cost-imputed]],7,0)</f>
        <v>$200.00</v>
      </c>
      <c r="F106" s="4">
        <f>VLOOKUP(Googleadssales[[#This Row],[Ad_ID]],'[1]pre processed data'!A:I,9,0)</f>
        <v>14</v>
      </c>
      <c r="G106" s="4">
        <f>VLOOKUP(Googleadssales[[#This Row],[Ad_ID]],'[1]pre processed data'!A:K,11,0)</f>
        <v>6</v>
      </c>
      <c r="H106" s="2">
        <f>Googleadssales[[#This Row],[Conversions]]/Googleadssales[[#This Row],[Clicks]]</f>
        <v>6.741573033707865E-2</v>
      </c>
      <c r="I106" t="str">
        <f>VLOOKUP(Googleadssales[[#This Row],[Ad_ID]],'[1]pre processed data'!A:O,15,0)</f>
        <v>$1026</v>
      </c>
      <c r="J106" s="3">
        <f>VLOOKUP(Googleadssales[[#This Row],[Ad_ID]],'[1]pre processed data'!A:Q,17,0)</f>
        <v>45611</v>
      </c>
      <c r="K106" t="str">
        <f>VLOOKUP(Googleadssales[[#This Row],[Ad_ID]],'[1]pre processed data'!A:R,18,0)</f>
        <v>Hyderabad</v>
      </c>
      <c r="L106" t="str">
        <f>VLOOKUP(Googleadssales[[#This Row],[Ad_ID]],'[1]pre processed data'!A:S,19,0)</f>
        <v>Tablet</v>
      </c>
      <c r="M106" t="str">
        <f>VLOOKUP(Googleadssales[[#This Row],[Ad_ID]],'[1]pre processed data'!A:T,20,0)</f>
        <v>data analytics course</v>
      </c>
    </row>
    <row r="107" spans="1:13" x14ac:dyDescent="0.3">
      <c r="A107" t="s">
        <v>120</v>
      </c>
      <c r="B107" t="s">
        <v>18</v>
      </c>
      <c r="C107" s="4">
        <f>VLOOKUP(Googleadssales[[#This Row],[Ad_ID]],'[1]pre processed data'!A:C,3,0)</f>
        <v>146</v>
      </c>
      <c r="D107" s="4">
        <f>VLOOKUP(Googleadssales[[#This Row],[Ad_ID]],'[1]pre processed data'!A:E,5,0)</f>
        <v>4765</v>
      </c>
      <c r="E107" s="5" t="str">
        <f>VLOOKUP(Googleadssales[[#This Row],[Ad_ID]],[1]!Table3[[Ad_ID]:[Cost-imputed]],7,0)</f>
        <v>$230.22</v>
      </c>
      <c r="F107" s="4">
        <f>VLOOKUP(Googleadssales[[#This Row],[Ad_ID]],'[1]pre processed data'!A:I,9,0)</f>
        <v>23</v>
      </c>
      <c r="G107" s="4">
        <f>VLOOKUP(Googleadssales[[#This Row],[Ad_ID]],'[1]pre processed data'!A:K,11,0)</f>
        <v>5</v>
      </c>
      <c r="H107" s="2">
        <f>Googleadssales[[#This Row],[Conversions]]/Googleadssales[[#This Row],[Clicks]]</f>
        <v>3.4246575342465752E-2</v>
      </c>
      <c r="I107" t="str">
        <f>VLOOKUP(Googleadssales[[#This Row],[Ad_ID]],'[1]pre processed data'!A:O,15,0)</f>
        <v>$1944</v>
      </c>
      <c r="J107" s="3">
        <f>VLOOKUP(Googleadssales[[#This Row],[Ad_ID]],'[1]pre processed data'!A:Q,17,0)</f>
        <v>45624</v>
      </c>
      <c r="K107" t="str">
        <f>VLOOKUP(Googleadssales[[#This Row],[Ad_ID]],'[1]pre processed data'!A:R,18,0)</f>
        <v>Hyderabad</v>
      </c>
      <c r="L107" t="str">
        <f>VLOOKUP(Googleadssales[[#This Row],[Ad_ID]],'[1]pre processed data'!A:S,19,0)</f>
        <v>Tablet</v>
      </c>
      <c r="M107" t="str">
        <f>VLOOKUP(Googleadssales[[#This Row],[Ad_ID]],'[1]pre processed data'!A:T,20,0)</f>
        <v>analytics for data</v>
      </c>
    </row>
    <row r="108" spans="1:13" x14ac:dyDescent="0.3">
      <c r="A108" t="s">
        <v>121</v>
      </c>
      <c r="B108" t="s">
        <v>14</v>
      </c>
      <c r="C108" s="4">
        <f>VLOOKUP(Googleadssales[[#This Row],[Ad_ID]],'[1]pre processed data'!A:C,3,0)</f>
        <v>109</v>
      </c>
      <c r="D108" s="4">
        <f>VLOOKUP(Googleadssales[[#This Row],[Ad_ID]],'[1]pre processed data'!A:E,5,0)</f>
        <v>4128</v>
      </c>
      <c r="E108" s="5" t="str">
        <f>VLOOKUP(Googleadssales[[#This Row],[Ad_ID]],[1]!Table3[[Ad_ID]:[Cost-imputed]],7,0)</f>
        <v>$183.65</v>
      </c>
      <c r="F108" s="4">
        <f>VLOOKUP(Googleadssales[[#This Row],[Ad_ID]],'[1]pre processed data'!A:I,9,0)</f>
        <v>12</v>
      </c>
      <c r="G108" s="4">
        <f>VLOOKUP(Googleadssales[[#This Row],[Ad_ID]],'[1]pre processed data'!A:K,11,0)</f>
        <v>5</v>
      </c>
      <c r="H108" s="2">
        <f>Googleadssales[[#This Row],[Conversions]]/Googleadssales[[#This Row],[Clicks]]</f>
        <v>4.5871559633027525E-2</v>
      </c>
      <c r="I108" t="str">
        <f>VLOOKUP(Googleadssales[[#This Row],[Ad_ID]],'[1]pre processed data'!A:O,15,0)</f>
        <v>$1500</v>
      </c>
      <c r="J108" s="3">
        <f>VLOOKUP(Googleadssales[[#This Row],[Ad_ID]],'[1]pre processed data'!A:Q,17,0)</f>
        <v>45626</v>
      </c>
      <c r="K108" t="str">
        <f>VLOOKUP(Googleadssales[[#This Row],[Ad_ID]],'[1]pre processed data'!A:R,18,0)</f>
        <v>Hyderabad</v>
      </c>
      <c r="L108" t="str">
        <f>VLOOKUP(Googleadssales[[#This Row],[Ad_ID]],'[1]pre processed data'!A:S,19,0)</f>
        <v>Desktop</v>
      </c>
      <c r="M108" t="str">
        <f>VLOOKUP(Googleadssales[[#This Row],[Ad_ID]],'[1]pre processed data'!A:T,20,0)</f>
        <v>data analytics online</v>
      </c>
    </row>
    <row r="109" spans="1:13" x14ac:dyDescent="0.3">
      <c r="A109" t="s">
        <v>122</v>
      </c>
      <c r="B109" t="s">
        <v>14</v>
      </c>
      <c r="C109" s="4">
        <f>VLOOKUP(Googleadssales[[#This Row],[Ad_ID]],'[1]pre processed data'!A:C,3,0)</f>
        <v>159</v>
      </c>
      <c r="D109" s="4">
        <f>VLOOKUP(Googleadssales[[#This Row],[Ad_ID]],'[1]pre processed data'!A:E,5,0)</f>
        <v>5127</v>
      </c>
      <c r="E109" s="5" t="str">
        <f>VLOOKUP(Googleadssales[[#This Row],[Ad_ID]],[1]!Table3[[Ad_ID]:[Cost-imputed]],7,0)</f>
        <v>$197.16</v>
      </c>
      <c r="F109" s="4">
        <f>VLOOKUP(Googleadssales[[#This Row],[Ad_ID]],'[1]pre processed data'!A:I,9,0)</f>
        <v>21</v>
      </c>
      <c r="G109" s="4">
        <f>VLOOKUP(Googleadssales[[#This Row],[Ad_ID]],'[1]pre processed data'!A:K,11,0)</f>
        <v>4</v>
      </c>
      <c r="H109" s="2">
        <f>Googleadssales[[#This Row],[Conversions]]/Googleadssales[[#This Row],[Clicks]]</f>
        <v>2.5157232704402517E-2</v>
      </c>
      <c r="I109" t="str">
        <f>VLOOKUP(Googleadssales[[#This Row],[Ad_ID]],'[1]pre processed data'!A:O,15,0)</f>
        <v>$1867</v>
      </c>
      <c r="J109" s="3">
        <f>VLOOKUP(Googleadssales[[#This Row],[Ad_ID]],'[1]pre processed data'!A:Q,17,0)</f>
        <v>45599</v>
      </c>
      <c r="K109" t="str">
        <f>VLOOKUP(Googleadssales[[#This Row],[Ad_ID]],'[1]pre processed data'!A:R,18,0)</f>
        <v>Hyderabad</v>
      </c>
      <c r="L109" t="str">
        <f>VLOOKUP(Googleadssales[[#This Row],[Ad_ID]],'[1]pre processed data'!A:S,19,0)</f>
        <v>Tablet</v>
      </c>
      <c r="M109" t="str">
        <f>VLOOKUP(Googleadssales[[#This Row],[Ad_ID]],'[1]pre processed data'!A:T,20,0)</f>
        <v>learn data analytics</v>
      </c>
    </row>
    <row r="110" spans="1:13" x14ac:dyDescent="0.3">
      <c r="A110" t="s">
        <v>123</v>
      </c>
      <c r="B110" t="s">
        <v>14</v>
      </c>
      <c r="C110" s="4">
        <f>VLOOKUP(Googleadssales[[#This Row],[Ad_ID]],'[1]pre processed data'!A:C,3,0)</f>
        <v>144</v>
      </c>
      <c r="D110" s="4">
        <f>VLOOKUP(Googleadssales[[#This Row],[Ad_ID]],'[1]pre processed data'!A:E,5,0)</f>
        <v>5674</v>
      </c>
      <c r="E110" s="5" t="str">
        <f>VLOOKUP(Googleadssales[[#This Row],[Ad_ID]],[1]!Table3[[Ad_ID]:[Cost-imputed]],7,0)</f>
        <v>$235.36</v>
      </c>
      <c r="F110" s="4">
        <f>VLOOKUP(Googleadssales[[#This Row],[Ad_ID]],'[1]pre processed data'!A:I,9,0)</f>
        <v>12</v>
      </c>
      <c r="G110" s="4">
        <f>VLOOKUP(Googleadssales[[#This Row],[Ad_ID]],'[1]pre processed data'!A:K,11,0)</f>
        <v>3</v>
      </c>
      <c r="H110" s="2">
        <f>Googleadssales[[#This Row],[Conversions]]/Googleadssales[[#This Row],[Clicks]]</f>
        <v>2.0833333333333332E-2</v>
      </c>
      <c r="I110" t="str">
        <f>VLOOKUP(Googleadssales[[#This Row],[Ad_ID]],'[1]pre processed data'!A:O,15,0)</f>
        <v>$1505</v>
      </c>
      <c r="J110" s="3">
        <f>VLOOKUP(Googleadssales[[#This Row],[Ad_ID]],'[1]pre processed data'!A:Q,17,0)</f>
        <v>45618</v>
      </c>
      <c r="K110" t="str">
        <f>VLOOKUP(Googleadssales[[#This Row],[Ad_ID]],'[1]pre processed data'!A:R,18,0)</f>
        <v>Hyderabad</v>
      </c>
      <c r="L110" t="str">
        <f>VLOOKUP(Googleadssales[[#This Row],[Ad_ID]],'[1]pre processed data'!A:S,19,0)</f>
        <v>Desktop</v>
      </c>
      <c r="M110" t="str">
        <f>VLOOKUP(Googleadssales[[#This Row],[Ad_ID]],'[1]pre processed data'!A:T,20,0)</f>
        <v>analytics for data</v>
      </c>
    </row>
    <row r="111" spans="1:13" x14ac:dyDescent="0.3">
      <c r="A111" t="s">
        <v>124</v>
      </c>
      <c r="B111" t="s">
        <v>14</v>
      </c>
      <c r="C111" s="4">
        <f>VLOOKUP(Googleadssales[[#This Row],[Ad_ID]],'[1]pre processed data'!A:C,3,0)</f>
        <v>122</v>
      </c>
      <c r="D111" s="4">
        <f>VLOOKUP(Googleadssales[[#This Row],[Ad_ID]],'[1]pre processed data'!A:E,5,0)</f>
        <v>3793</v>
      </c>
      <c r="E111" s="5" t="str">
        <f>VLOOKUP(Googleadssales[[#This Row],[Ad_ID]],[1]!Table3[[Ad_ID]:[Cost-imputed]],7,0)</f>
        <v>$237.22</v>
      </c>
      <c r="F111" s="4">
        <f>VLOOKUP(Googleadssales[[#This Row],[Ad_ID]],'[1]pre processed data'!A:I,9,0)</f>
        <v>19</v>
      </c>
      <c r="G111" s="4">
        <f>VLOOKUP(Googleadssales[[#This Row],[Ad_ID]],'[1]pre processed data'!A:K,11,0)</f>
        <v>8</v>
      </c>
      <c r="H111" s="2">
        <f>Googleadssales[[#This Row],[Conversions]]/Googleadssales[[#This Row],[Clicks]]</f>
        <v>6.5573770491803282E-2</v>
      </c>
      <c r="I111" t="str">
        <f>VLOOKUP(Googleadssales[[#This Row],[Ad_ID]],'[1]pre processed data'!A:O,15,0)</f>
        <v>$1842</v>
      </c>
      <c r="J111" s="3">
        <f>VLOOKUP(Googleadssales[[#This Row],[Ad_ID]],'[1]pre processed data'!A:Q,17,0)</f>
        <v>45616</v>
      </c>
      <c r="K111" t="str">
        <f>VLOOKUP(Googleadssales[[#This Row],[Ad_ID]],'[1]pre processed data'!A:R,18,0)</f>
        <v>Hyderabad</v>
      </c>
      <c r="L111" t="str">
        <f>VLOOKUP(Googleadssales[[#This Row],[Ad_ID]],'[1]pre processed data'!A:S,19,0)</f>
        <v>Tablet</v>
      </c>
      <c r="M111" t="str">
        <f>VLOOKUP(Googleadssales[[#This Row],[Ad_ID]],'[1]pre processed data'!A:T,20,0)</f>
        <v>online data analytic</v>
      </c>
    </row>
    <row r="112" spans="1:13" x14ac:dyDescent="0.3">
      <c r="A112" t="s">
        <v>125</v>
      </c>
      <c r="B112" t="s">
        <v>14</v>
      </c>
      <c r="C112" s="4">
        <f>VLOOKUP(Googleadssales[[#This Row],[Ad_ID]],'[1]pre processed data'!A:C,3,0)</f>
        <v>112</v>
      </c>
      <c r="D112" s="4">
        <f>VLOOKUP(Googleadssales[[#This Row],[Ad_ID]],'[1]pre processed data'!A:E,5,0)</f>
        <v>4315</v>
      </c>
      <c r="E112" s="5" t="str">
        <f>VLOOKUP(Googleadssales[[#This Row],[Ad_ID]],[1]!Table3[[Ad_ID]:[Cost-imputed]],7,0)</f>
        <v>$235.33</v>
      </c>
      <c r="F112" s="4">
        <f>VLOOKUP(Googleadssales[[#This Row],[Ad_ID]],'[1]pre processed data'!A:I,9,0)</f>
        <v>28</v>
      </c>
      <c r="G112" s="4">
        <f>VLOOKUP(Googleadssales[[#This Row],[Ad_ID]],'[1]pre processed data'!A:K,11,0)</f>
        <v>9</v>
      </c>
      <c r="H112" s="2">
        <f>Googleadssales[[#This Row],[Conversions]]/Googleadssales[[#This Row],[Clicks]]</f>
        <v>8.0357142857142863E-2</v>
      </c>
      <c r="I112" t="str">
        <f>VLOOKUP(Googleadssales[[#This Row],[Ad_ID]],'[1]pre processed data'!A:O,15,0)</f>
        <v>$1116</v>
      </c>
      <c r="J112" s="3">
        <f>VLOOKUP(Googleadssales[[#This Row],[Ad_ID]],'[1]pre processed data'!A:Q,17,0)</f>
        <v>45604</v>
      </c>
      <c r="K112" t="str">
        <f>VLOOKUP(Googleadssales[[#This Row],[Ad_ID]],'[1]pre processed data'!A:R,18,0)</f>
        <v>Hyderabad</v>
      </c>
      <c r="L112" t="str">
        <f>VLOOKUP(Googleadssales[[#This Row],[Ad_ID]],'[1]pre processed data'!A:S,19,0)</f>
        <v>Mobile</v>
      </c>
      <c r="M112" t="str">
        <f>VLOOKUP(Googleadssales[[#This Row],[Ad_ID]],'[1]pre processed data'!A:T,20,0)</f>
        <v>data analytics course</v>
      </c>
    </row>
    <row r="113" spans="1:13" x14ac:dyDescent="0.3">
      <c r="A113" t="s">
        <v>126</v>
      </c>
      <c r="B113" t="s">
        <v>14</v>
      </c>
      <c r="C113" s="4">
        <f>VLOOKUP(Googleadssales[[#This Row],[Ad_ID]],'[1]pre processed data'!A:C,3,0)</f>
        <v>174</v>
      </c>
      <c r="D113" s="4">
        <f>VLOOKUP(Googleadssales[[#This Row],[Ad_ID]],'[1]pre processed data'!A:E,5,0)</f>
        <v>4704</v>
      </c>
      <c r="E113" s="5" t="str">
        <f>VLOOKUP(Googleadssales[[#This Row],[Ad_ID]],[1]!Table3[[Ad_ID]:[Cost-imputed]],7,0)</f>
        <v>$192.32</v>
      </c>
      <c r="F113" s="4">
        <f>VLOOKUP(Googleadssales[[#This Row],[Ad_ID]],'[1]pre processed data'!A:I,9,0)</f>
        <v>21</v>
      </c>
      <c r="G113" s="4">
        <f>VLOOKUP(Googleadssales[[#This Row],[Ad_ID]],'[1]pre processed data'!A:K,11,0)</f>
        <v>10</v>
      </c>
      <c r="H113" s="2">
        <f>Googleadssales[[#This Row],[Conversions]]/Googleadssales[[#This Row],[Clicks]]</f>
        <v>5.7471264367816091E-2</v>
      </c>
      <c r="I113" t="str">
        <f>VLOOKUP(Googleadssales[[#This Row],[Ad_ID]],'[1]pre processed data'!A:O,15,0)</f>
        <v>$1501</v>
      </c>
      <c r="J113" s="3">
        <f>VLOOKUP(Googleadssales[[#This Row],[Ad_ID]],'[1]pre processed data'!A:Q,17,0)</f>
        <v>45620</v>
      </c>
      <c r="K113" t="str">
        <f>VLOOKUP(Googleadssales[[#This Row],[Ad_ID]],'[1]pre processed data'!A:R,18,0)</f>
        <v>Hyderabad</v>
      </c>
      <c r="L113" t="str">
        <f>VLOOKUP(Googleadssales[[#This Row],[Ad_ID]],'[1]pre processed data'!A:S,19,0)</f>
        <v>Mobile</v>
      </c>
      <c r="M113" t="str">
        <f>VLOOKUP(Googleadssales[[#This Row],[Ad_ID]],'[1]pre processed data'!A:T,20,0)</f>
        <v>learn data analytics</v>
      </c>
    </row>
    <row r="114" spans="1:13" x14ac:dyDescent="0.3">
      <c r="A114" t="s">
        <v>127</v>
      </c>
      <c r="B114" t="s">
        <v>14</v>
      </c>
      <c r="C114" s="4">
        <f>VLOOKUP(Googleadssales[[#This Row],[Ad_ID]],'[1]pre processed data'!A:C,3,0)</f>
        <v>168</v>
      </c>
      <c r="D114" s="4">
        <f>VLOOKUP(Googleadssales[[#This Row],[Ad_ID]],'[1]pre processed data'!A:E,5,0)</f>
        <v>3349</v>
      </c>
      <c r="E114" s="5" t="str">
        <f>VLOOKUP(Googleadssales[[#This Row],[Ad_ID]],[1]!Table3[[Ad_ID]:[Cost-imputed]],7,0)</f>
        <v>$235.6</v>
      </c>
      <c r="F114" s="4">
        <f>VLOOKUP(Googleadssales[[#This Row],[Ad_ID]],'[1]pre processed data'!A:I,9,0)</f>
        <v>23</v>
      </c>
      <c r="G114" s="4">
        <f>VLOOKUP(Googleadssales[[#This Row],[Ad_ID]],'[1]pre processed data'!A:K,11,0)</f>
        <v>9</v>
      </c>
      <c r="H114" s="2">
        <f>Googleadssales[[#This Row],[Conversions]]/Googleadssales[[#This Row],[Clicks]]</f>
        <v>5.3571428571428568E-2</v>
      </c>
      <c r="I114" t="str">
        <f>VLOOKUP(Googleadssales[[#This Row],[Ad_ID]],'[1]pre processed data'!A:O,15,0)</f>
        <v>$1894</v>
      </c>
      <c r="J114" s="3">
        <f>VLOOKUP(Googleadssales[[#This Row],[Ad_ID]],'[1]pre processed data'!A:Q,17,0)</f>
        <v>45605</v>
      </c>
      <c r="K114" t="str">
        <f>VLOOKUP(Googleadssales[[#This Row],[Ad_ID]],'[1]pre processed data'!A:R,18,0)</f>
        <v>Hyderabad</v>
      </c>
      <c r="L114" t="str">
        <f>VLOOKUP(Googleadssales[[#This Row],[Ad_ID]],'[1]pre processed data'!A:S,19,0)</f>
        <v>Mobile</v>
      </c>
      <c r="M114" t="str">
        <f>VLOOKUP(Googleadssales[[#This Row],[Ad_ID]],'[1]pre processed data'!A:T,20,0)</f>
        <v>online data analytic</v>
      </c>
    </row>
    <row r="115" spans="1:13" x14ac:dyDescent="0.3">
      <c r="A115" t="s">
        <v>128</v>
      </c>
      <c r="B115" t="s">
        <v>14</v>
      </c>
      <c r="C115" s="4">
        <f>VLOOKUP(Googleadssales[[#This Row],[Ad_ID]],'[1]pre processed data'!A:C,3,0)</f>
        <v>173</v>
      </c>
      <c r="D115" s="4">
        <f>VLOOKUP(Googleadssales[[#This Row],[Ad_ID]],'[1]pre processed data'!A:E,5,0)</f>
        <v>3501</v>
      </c>
      <c r="E115" s="5" t="str">
        <f>VLOOKUP(Googleadssales[[#This Row],[Ad_ID]],[1]!Table3[[Ad_ID]:[Cost-imputed]],7,0)</f>
        <v>$223.9</v>
      </c>
      <c r="F115" s="4">
        <f>VLOOKUP(Googleadssales[[#This Row],[Ad_ID]],'[1]pre processed data'!A:I,9,0)</f>
        <v>28</v>
      </c>
      <c r="G115" s="4">
        <f>VLOOKUP(Googleadssales[[#This Row],[Ad_ID]],'[1]pre processed data'!A:K,11,0)</f>
        <v>10</v>
      </c>
      <c r="H115" s="2">
        <f>Googleadssales[[#This Row],[Conversions]]/Googleadssales[[#This Row],[Clicks]]</f>
        <v>5.7803468208092484E-2</v>
      </c>
      <c r="I115" t="str">
        <f>VLOOKUP(Googleadssales[[#This Row],[Ad_ID]],'[1]pre processed data'!A:O,15,0)</f>
        <v>$1179</v>
      </c>
      <c r="J115" s="3">
        <f>VLOOKUP(Googleadssales[[#This Row],[Ad_ID]],'[1]pre processed data'!A:Q,17,0)</f>
        <v>45621</v>
      </c>
      <c r="K115" t="str">
        <f>VLOOKUP(Googleadssales[[#This Row],[Ad_ID]],'[1]pre processed data'!A:R,18,0)</f>
        <v>Chennai</v>
      </c>
      <c r="L115" t="str">
        <f>VLOOKUP(Googleadssales[[#This Row],[Ad_ID]],'[1]pre processed data'!A:S,19,0)</f>
        <v>Mobile</v>
      </c>
      <c r="M115" t="str">
        <f>VLOOKUP(Googleadssales[[#This Row],[Ad_ID]],'[1]pre processed data'!A:T,20,0)</f>
        <v>data analytics course</v>
      </c>
    </row>
    <row r="116" spans="1:13" x14ac:dyDescent="0.3">
      <c r="A116" t="s">
        <v>129</v>
      </c>
      <c r="B116" t="s">
        <v>14</v>
      </c>
      <c r="C116" s="4">
        <f>VLOOKUP(Googleadssales[[#This Row],[Ad_ID]],'[1]pre processed data'!A:C,3,0)</f>
        <v>91</v>
      </c>
      <c r="D116" s="4">
        <f>VLOOKUP(Googleadssales[[#This Row],[Ad_ID]],'[1]pre processed data'!A:E,5,0)</f>
        <v>4523.2808326787117</v>
      </c>
      <c r="E116" s="5" t="str">
        <f>VLOOKUP(Googleadssales[[#This Row],[Ad_ID]],[1]!Table3[[Ad_ID]:[Cost-imputed]],7,0)</f>
        <v>$203.52</v>
      </c>
      <c r="F116" s="4">
        <f>VLOOKUP(Googleadssales[[#This Row],[Ad_ID]],'[1]pre processed data'!A:I,9,0)</f>
        <v>20.000410172272353</v>
      </c>
      <c r="G116" s="4">
        <f>VLOOKUP(Googleadssales[[#This Row],[Ad_ID]],'[1]pre processed data'!A:K,11,0)</f>
        <v>9</v>
      </c>
      <c r="H116" s="2">
        <f>Googleadssales[[#This Row],[Conversions]]/Googleadssales[[#This Row],[Clicks]]</f>
        <v>9.8901098901098897E-2</v>
      </c>
      <c r="I116" t="str">
        <f>VLOOKUP(Googleadssales[[#This Row],[Ad_ID]],'[1]pre processed data'!A:O,15,0)</f>
        <v>$1838</v>
      </c>
      <c r="J116" s="3">
        <f>VLOOKUP(Googleadssales[[#This Row],[Ad_ID]],'[1]pre processed data'!A:Q,17,0)</f>
        <v>45616</v>
      </c>
      <c r="K116" t="str">
        <f>VLOOKUP(Googleadssales[[#This Row],[Ad_ID]],'[1]pre processed data'!A:R,18,0)</f>
        <v>Bangaluru</v>
      </c>
      <c r="L116" t="str">
        <f>VLOOKUP(Googleadssales[[#This Row],[Ad_ID]],'[1]pre processed data'!A:S,19,0)</f>
        <v>Desktop</v>
      </c>
      <c r="M116" t="str">
        <f>VLOOKUP(Googleadssales[[#This Row],[Ad_ID]],'[1]pre processed data'!A:T,20,0)</f>
        <v>data analytics course</v>
      </c>
    </row>
    <row r="117" spans="1:13" x14ac:dyDescent="0.3">
      <c r="A117" t="s">
        <v>130</v>
      </c>
      <c r="B117" t="s">
        <v>18</v>
      </c>
      <c r="C117" s="4">
        <f>VLOOKUP(Googleadssales[[#This Row],[Ad_ID]],'[1]pre processed data'!A:C,3,0)</f>
        <v>140</v>
      </c>
      <c r="D117" s="4">
        <f>VLOOKUP(Googleadssales[[#This Row],[Ad_ID]],'[1]pre processed data'!A:E,5,0)</f>
        <v>5405</v>
      </c>
      <c r="E117" s="5" t="str">
        <f>VLOOKUP(Googleadssales[[#This Row],[Ad_ID]],[1]!Table3[[Ad_ID]:[Cost-imputed]],7,0)</f>
        <v>$195.69</v>
      </c>
      <c r="F117" s="4">
        <f>VLOOKUP(Googleadssales[[#This Row],[Ad_ID]],'[1]pre processed data'!A:I,9,0)</f>
        <v>21</v>
      </c>
      <c r="G117" s="4">
        <f>VLOOKUP(Googleadssales[[#This Row],[Ad_ID]],'[1]pre processed data'!A:K,11,0)</f>
        <v>8</v>
      </c>
      <c r="H117" s="2">
        <f>Googleadssales[[#This Row],[Conversions]]/Googleadssales[[#This Row],[Clicks]]</f>
        <v>5.7142857142857141E-2</v>
      </c>
      <c r="I117" t="str">
        <f>VLOOKUP(Googleadssales[[#This Row],[Ad_ID]],'[1]pre processed data'!A:O,15,0)</f>
        <v>$1094</v>
      </c>
      <c r="J117" s="3">
        <f>VLOOKUP(Googleadssales[[#This Row],[Ad_ID]],'[1]pre processed data'!A:Q,17,0)</f>
        <v>45617</v>
      </c>
      <c r="K117" t="str">
        <f>VLOOKUP(Googleadssales[[#This Row],[Ad_ID]],'[1]pre processed data'!A:R,18,0)</f>
        <v>Hyderabad</v>
      </c>
      <c r="L117" t="str">
        <f>VLOOKUP(Googleadssales[[#This Row],[Ad_ID]],'[1]pre processed data'!A:S,19,0)</f>
        <v>Desktop</v>
      </c>
      <c r="M117" t="str">
        <f>VLOOKUP(Googleadssales[[#This Row],[Ad_ID]],'[1]pre processed data'!A:T,20,0)</f>
        <v>data analytics training</v>
      </c>
    </row>
    <row r="118" spans="1:13" x14ac:dyDescent="0.3">
      <c r="A118" t="s">
        <v>131</v>
      </c>
      <c r="B118" t="s">
        <v>14</v>
      </c>
      <c r="C118" s="4">
        <f>VLOOKUP(Googleadssales[[#This Row],[Ad_ID]],'[1]pre processed data'!A:C,3,0)</f>
        <v>93</v>
      </c>
      <c r="D118" s="4">
        <f>VLOOKUP(Googleadssales[[#This Row],[Ad_ID]],'[1]pre processed data'!A:E,5,0)</f>
        <v>3425</v>
      </c>
      <c r="E118" s="5" t="str">
        <f>VLOOKUP(Googleadssales[[#This Row],[Ad_ID]],[1]!Table3[[Ad_ID]:[Cost-imputed]],7,0)</f>
        <v>$229.76</v>
      </c>
      <c r="F118" s="4">
        <f>VLOOKUP(Googleadssales[[#This Row],[Ad_ID]],'[1]pre processed data'!A:I,9,0)</f>
        <v>26</v>
      </c>
      <c r="G118" s="4">
        <f>VLOOKUP(Googleadssales[[#This Row],[Ad_ID]],'[1]pre processed data'!A:K,11,0)</f>
        <v>4</v>
      </c>
      <c r="H118" s="2">
        <f>Googleadssales[[#This Row],[Conversions]]/Googleadssales[[#This Row],[Clicks]]</f>
        <v>4.3010752688172046E-2</v>
      </c>
      <c r="I118" t="str">
        <f>VLOOKUP(Googleadssales[[#This Row],[Ad_ID]],'[1]pre processed data'!A:O,15,0)</f>
        <v>$1344</v>
      </c>
      <c r="J118" s="3">
        <f>VLOOKUP(Googleadssales[[#This Row],[Ad_ID]],'[1]pre processed data'!A:Q,17,0)</f>
        <v>45620</v>
      </c>
      <c r="K118" t="str">
        <f>VLOOKUP(Googleadssales[[#This Row],[Ad_ID]],'[1]pre processed data'!A:R,18,0)</f>
        <v>Chennai</v>
      </c>
      <c r="L118" t="str">
        <f>VLOOKUP(Googleadssales[[#This Row],[Ad_ID]],'[1]pre processed data'!A:S,19,0)</f>
        <v>Mobile</v>
      </c>
      <c r="M118" t="str">
        <f>VLOOKUP(Googleadssales[[#This Row],[Ad_ID]],'[1]pre processed data'!A:T,20,0)</f>
        <v>online data analytic</v>
      </c>
    </row>
    <row r="119" spans="1:13" x14ac:dyDescent="0.3">
      <c r="A119" t="s">
        <v>132</v>
      </c>
      <c r="B119" t="s">
        <v>18</v>
      </c>
      <c r="C119" s="4">
        <f>VLOOKUP(Googleadssales[[#This Row],[Ad_ID]],'[1]pre processed data'!A:C,3,0)</f>
        <v>114</v>
      </c>
      <c r="D119" s="4">
        <f>VLOOKUP(Googleadssales[[#This Row],[Ad_ID]],'[1]pre processed data'!A:E,5,0)</f>
        <v>5263</v>
      </c>
      <c r="E119" s="5" t="str">
        <f>VLOOKUP(Googleadssales[[#This Row],[Ad_ID]],[1]!Table3[[Ad_ID]:[Cost-imputed]],7,0)</f>
        <v>$189.13</v>
      </c>
      <c r="F119" s="4">
        <f>VLOOKUP(Googleadssales[[#This Row],[Ad_ID]],'[1]pre processed data'!A:I,9,0)</f>
        <v>23</v>
      </c>
      <c r="G119" s="4">
        <f>VLOOKUP(Googleadssales[[#This Row],[Ad_ID]],'[1]pre processed data'!A:K,11,0)</f>
        <v>5</v>
      </c>
      <c r="H119" s="2">
        <f>Googleadssales[[#This Row],[Conversions]]/Googleadssales[[#This Row],[Clicks]]</f>
        <v>4.3859649122807015E-2</v>
      </c>
      <c r="I119" t="str">
        <f>VLOOKUP(Googleadssales[[#This Row],[Ad_ID]],'[1]pre processed data'!A:O,15,0)</f>
        <v>$1434</v>
      </c>
      <c r="J119" s="3">
        <f>VLOOKUP(Googleadssales[[#This Row],[Ad_ID]],'[1]pre processed data'!A:Q,17,0)</f>
        <v>45601</v>
      </c>
      <c r="K119" t="str">
        <f>VLOOKUP(Googleadssales[[#This Row],[Ad_ID]],'[1]pre processed data'!A:R,18,0)</f>
        <v>Hyderabad</v>
      </c>
      <c r="L119" t="str">
        <f>VLOOKUP(Googleadssales[[#This Row],[Ad_ID]],'[1]pre processed data'!A:S,19,0)</f>
        <v>Mobile</v>
      </c>
      <c r="M119" t="str">
        <f>VLOOKUP(Googleadssales[[#This Row],[Ad_ID]],'[1]pre processed data'!A:T,20,0)</f>
        <v>data analytics course</v>
      </c>
    </row>
    <row r="120" spans="1:13" x14ac:dyDescent="0.3">
      <c r="A120" t="s">
        <v>133</v>
      </c>
      <c r="B120" t="s">
        <v>14</v>
      </c>
      <c r="C120" s="4">
        <f>VLOOKUP(Googleadssales[[#This Row],[Ad_ID]],'[1]pre processed data'!A:C,3,0)</f>
        <v>172</v>
      </c>
      <c r="D120" s="4">
        <f>VLOOKUP(Googleadssales[[#This Row],[Ad_ID]],'[1]pre processed data'!A:E,5,0)</f>
        <v>3889</v>
      </c>
      <c r="E120" s="5" t="str">
        <f>VLOOKUP(Googleadssales[[#This Row],[Ad_ID]],[1]!Table3[[Ad_ID]:[Cost-imputed]],7,0)</f>
        <v>$200.00</v>
      </c>
      <c r="F120" s="4">
        <f>VLOOKUP(Googleadssales[[#This Row],[Ad_ID]],'[1]pre processed data'!A:I,9,0)</f>
        <v>21</v>
      </c>
      <c r="G120" s="4">
        <f>VLOOKUP(Googleadssales[[#This Row],[Ad_ID]],'[1]pre processed data'!A:K,11,0)</f>
        <v>10</v>
      </c>
      <c r="H120" s="2">
        <f>Googleadssales[[#This Row],[Conversions]]/Googleadssales[[#This Row],[Clicks]]</f>
        <v>5.8139534883720929E-2</v>
      </c>
      <c r="I120" t="str">
        <f>VLOOKUP(Googleadssales[[#This Row],[Ad_ID]],'[1]pre processed data'!A:O,15,0)</f>
        <v>$1766</v>
      </c>
      <c r="J120" s="3">
        <f>VLOOKUP(Googleadssales[[#This Row],[Ad_ID]],'[1]pre processed data'!A:Q,17,0)</f>
        <v>45612</v>
      </c>
      <c r="K120" t="str">
        <f>VLOOKUP(Googleadssales[[#This Row],[Ad_ID]],'[1]pre processed data'!A:R,18,0)</f>
        <v>Hyderabad</v>
      </c>
      <c r="L120" t="str">
        <f>VLOOKUP(Googleadssales[[#This Row],[Ad_ID]],'[1]pre processed data'!A:S,19,0)</f>
        <v>Tablet</v>
      </c>
      <c r="M120" t="str">
        <f>VLOOKUP(Googleadssales[[#This Row],[Ad_ID]],'[1]pre processed data'!A:T,20,0)</f>
        <v>online data analytic</v>
      </c>
    </row>
    <row r="121" spans="1:13" x14ac:dyDescent="0.3">
      <c r="A121" t="s">
        <v>134</v>
      </c>
      <c r="B121" t="s">
        <v>18</v>
      </c>
      <c r="C121" s="4">
        <f>VLOOKUP(Googleadssales[[#This Row],[Ad_ID]],'[1]pre processed data'!A:C,3,0)</f>
        <v>188</v>
      </c>
      <c r="D121" s="4">
        <f>VLOOKUP(Googleadssales[[#This Row],[Ad_ID]],'[1]pre processed data'!A:E,5,0)</f>
        <v>3327</v>
      </c>
      <c r="E121" s="5" t="str">
        <f>VLOOKUP(Googleadssales[[#This Row],[Ad_ID]],[1]!Table3[[Ad_ID]:[Cost-imputed]],7,0)</f>
        <v>$193.76</v>
      </c>
      <c r="F121" s="4">
        <f>VLOOKUP(Googleadssales[[#This Row],[Ad_ID]],'[1]pre processed data'!A:I,9,0)</f>
        <v>24</v>
      </c>
      <c r="G121" s="4">
        <f>VLOOKUP(Googleadssales[[#This Row],[Ad_ID]],'[1]pre processed data'!A:K,11,0)</f>
        <v>6</v>
      </c>
      <c r="H121" s="2">
        <f>Googleadssales[[#This Row],[Conversions]]/Googleadssales[[#This Row],[Clicks]]</f>
        <v>3.1914893617021274E-2</v>
      </c>
      <c r="I121" t="str">
        <f>VLOOKUP(Googleadssales[[#This Row],[Ad_ID]],'[1]pre processed data'!A:O,15,0)</f>
        <v>$1220</v>
      </c>
      <c r="J121" s="3">
        <f>VLOOKUP(Googleadssales[[#This Row],[Ad_ID]],'[1]pre processed data'!A:Q,17,0)</f>
        <v>45599</v>
      </c>
      <c r="K121" t="str">
        <f>VLOOKUP(Googleadssales[[#This Row],[Ad_ID]],'[1]pre processed data'!A:R,18,0)</f>
        <v>Bangaluru</v>
      </c>
      <c r="L121" t="str">
        <f>VLOOKUP(Googleadssales[[#This Row],[Ad_ID]],'[1]pre processed data'!A:S,19,0)</f>
        <v>Tablet</v>
      </c>
      <c r="M121" t="str">
        <f>VLOOKUP(Googleadssales[[#This Row],[Ad_ID]],'[1]pre processed data'!A:T,20,0)</f>
        <v>online data analytic</v>
      </c>
    </row>
    <row r="122" spans="1:13" x14ac:dyDescent="0.3">
      <c r="A122" t="s">
        <v>135</v>
      </c>
      <c r="B122" t="s">
        <v>14</v>
      </c>
      <c r="C122" s="4">
        <f>VLOOKUP(Googleadssales[[#This Row],[Ad_ID]],'[1]pre processed data'!A:C,3,0)</f>
        <v>117</v>
      </c>
      <c r="D122" s="4">
        <f>VLOOKUP(Googleadssales[[#This Row],[Ad_ID]],'[1]pre processed data'!A:E,5,0)</f>
        <v>4523.2808326787117</v>
      </c>
      <c r="E122" s="5" t="str">
        <f>VLOOKUP(Googleadssales[[#This Row],[Ad_ID]],[1]!Table3[[Ad_ID]:[Cost-imputed]],7,0)</f>
        <v>$214.18</v>
      </c>
      <c r="F122" s="4">
        <f>VLOOKUP(Googleadssales[[#This Row],[Ad_ID]],'[1]pre processed data'!A:I,9,0)</f>
        <v>29</v>
      </c>
      <c r="G122" s="4">
        <f>VLOOKUP(Googleadssales[[#This Row],[Ad_ID]],'[1]pre processed data'!A:K,11,0)</f>
        <v>4</v>
      </c>
      <c r="H122" s="2">
        <f>Googleadssales[[#This Row],[Conversions]]/Googleadssales[[#This Row],[Clicks]]</f>
        <v>3.4188034188034191E-2</v>
      </c>
      <c r="I122" t="str">
        <f>VLOOKUP(Googleadssales[[#This Row],[Ad_ID]],'[1]pre processed data'!A:O,15,0)</f>
        <v>$1348</v>
      </c>
      <c r="J122" s="3">
        <f>VLOOKUP(Googleadssales[[#This Row],[Ad_ID]],'[1]pre processed data'!A:Q,17,0)</f>
        <v>45619</v>
      </c>
      <c r="K122" t="str">
        <f>VLOOKUP(Googleadssales[[#This Row],[Ad_ID]],'[1]pre processed data'!A:R,18,0)</f>
        <v>Hyderabad</v>
      </c>
      <c r="L122" t="str">
        <f>VLOOKUP(Googleadssales[[#This Row],[Ad_ID]],'[1]pre processed data'!A:S,19,0)</f>
        <v>Mobile</v>
      </c>
      <c r="M122" t="str">
        <f>VLOOKUP(Googleadssales[[#This Row],[Ad_ID]],'[1]pre processed data'!A:T,20,0)</f>
        <v>learn data analytics</v>
      </c>
    </row>
    <row r="123" spans="1:13" x14ac:dyDescent="0.3">
      <c r="A123" t="s">
        <v>136</v>
      </c>
      <c r="B123" t="s">
        <v>14</v>
      </c>
      <c r="C123" s="4">
        <f>VLOOKUP(Googleadssales[[#This Row],[Ad_ID]],'[1]pre processed data'!A:C,3,0)</f>
        <v>113</v>
      </c>
      <c r="D123" s="4">
        <f>VLOOKUP(Googleadssales[[#This Row],[Ad_ID]],'[1]pre processed data'!A:E,5,0)</f>
        <v>5471</v>
      </c>
      <c r="E123" s="5" t="str">
        <f>VLOOKUP(Googleadssales[[#This Row],[Ad_ID]],[1]!Table3[[Ad_ID]:[Cost-imputed]],7,0)</f>
        <v>$215.57</v>
      </c>
      <c r="F123" s="4">
        <f>VLOOKUP(Googleadssales[[#This Row],[Ad_ID]],'[1]pre processed data'!A:I,9,0)</f>
        <v>27</v>
      </c>
      <c r="G123" s="4">
        <f>VLOOKUP(Googleadssales[[#This Row],[Ad_ID]],'[1]pre processed data'!A:K,11,0)</f>
        <v>9</v>
      </c>
      <c r="H123" s="2">
        <f>Googleadssales[[#This Row],[Conversions]]/Googleadssales[[#This Row],[Clicks]]</f>
        <v>7.9646017699115043E-2</v>
      </c>
      <c r="I123" t="str">
        <f>VLOOKUP(Googleadssales[[#This Row],[Ad_ID]],'[1]pre processed data'!A:O,15,0)</f>
        <v>$1123</v>
      </c>
      <c r="J123" s="3">
        <f>VLOOKUP(Googleadssales[[#This Row],[Ad_ID]],'[1]pre processed data'!A:Q,17,0)</f>
        <v>45619</v>
      </c>
      <c r="K123" t="str">
        <f>VLOOKUP(Googleadssales[[#This Row],[Ad_ID]],'[1]pre processed data'!A:R,18,0)</f>
        <v>Hyderabad</v>
      </c>
      <c r="L123" t="str">
        <f>VLOOKUP(Googleadssales[[#This Row],[Ad_ID]],'[1]pre processed data'!A:S,19,0)</f>
        <v>Mobile</v>
      </c>
      <c r="M123" t="str">
        <f>VLOOKUP(Googleadssales[[#This Row],[Ad_ID]],'[1]pre processed data'!A:T,20,0)</f>
        <v>analytics for data</v>
      </c>
    </row>
    <row r="124" spans="1:13" x14ac:dyDescent="0.3">
      <c r="A124" t="s">
        <v>137</v>
      </c>
      <c r="B124" t="s">
        <v>14</v>
      </c>
      <c r="C124" s="4">
        <f>VLOOKUP(Googleadssales[[#This Row],[Ad_ID]],'[1]pre processed data'!A:C,3,0)</f>
        <v>109</v>
      </c>
      <c r="D124" s="4">
        <f>VLOOKUP(Googleadssales[[#This Row],[Ad_ID]],'[1]pre processed data'!A:E,5,0)</f>
        <v>3550</v>
      </c>
      <c r="E124" s="5" t="str">
        <f>VLOOKUP(Googleadssales[[#This Row],[Ad_ID]],[1]!Table3[[Ad_ID]:[Cost-imputed]],7,0)</f>
        <v>$240.33</v>
      </c>
      <c r="F124" s="4">
        <f>VLOOKUP(Googleadssales[[#This Row],[Ad_ID]],'[1]pre processed data'!A:I,9,0)</f>
        <v>14</v>
      </c>
      <c r="G124" s="4">
        <f>VLOOKUP(Googleadssales[[#This Row],[Ad_ID]],'[1]pre processed data'!A:K,11,0)</f>
        <v>8</v>
      </c>
      <c r="H124" s="2">
        <f>Googleadssales[[#This Row],[Conversions]]/Googleadssales[[#This Row],[Clicks]]</f>
        <v>7.3394495412844041E-2</v>
      </c>
      <c r="I124" t="str">
        <f>VLOOKUP(Googleadssales[[#This Row],[Ad_ID]],'[1]pre processed data'!A:O,15,0)</f>
        <v>$1982</v>
      </c>
      <c r="J124" s="3">
        <f>VLOOKUP(Googleadssales[[#This Row],[Ad_ID]],'[1]pre processed data'!A:Q,17,0)</f>
        <v>45620</v>
      </c>
      <c r="K124" t="str">
        <f>VLOOKUP(Googleadssales[[#This Row],[Ad_ID]],'[1]pre processed data'!A:R,18,0)</f>
        <v>Hyderabad</v>
      </c>
      <c r="L124" t="str">
        <f>VLOOKUP(Googleadssales[[#This Row],[Ad_ID]],'[1]pre processed data'!A:S,19,0)</f>
        <v>Tablet</v>
      </c>
      <c r="M124" t="str">
        <f>VLOOKUP(Googleadssales[[#This Row],[Ad_ID]],'[1]pre processed data'!A:T,20,0)</f>
        <v>learn data analytics</v>
      </c>
    </row>
    <row r="125" spans="1:13" x14ac:dyDescent="0.3">
      <c r="A125" t="s">
        <v>138</v>
      </c>
      <c r="B125" t="s">
        <v>14</v>
      </c>
      <c r="C125" s="4">
        <f>VLOOKUP(Googleadssales[[#This Row],[Ad_ID]],'[1]pre processed data'!A:C,3,0)</f>
        <v>174</v>
      </c>
      <c r="D125" s="4">
        <f>VLOOKUP(Googleadssales[[#This Row],[Ad_ID]],'[1]pre processed data'!A:E,5,0)</f>
        <v>3178</v>
      </c>
      <c r="E125" s="5" t="str">
        <f>VLOOKUP(Googleadssales[[#This Row],[Ad_ID]],[1]!Table3[[Ad_ID]:[Cost-imputed]],7,0)</f>
        <v>$225.67</v>
      </c>
      <c r="F125" s="4">
        <f>VLOOKUP(Googleadssales[[#This Row],[Ad_ID]],'[1]pre processed data'!A:I,9,0)</f>
        <v>18</v>
      </c>
      <c r="G125" s="4">
        <f>VLOOKUP(Googleadssales[[#This Row],[Ad_ID]],'[1]pre processed data'!A:K,11,0)</f>
        <v>10</v>
      </c>
      <c r="H125" s="2">
        <f>Googleadssales[[#This Row],[Conversions]]/Googleadssales[[#This Row],[Clicks]]</f>
        <v>5.7471264367816091E-2</v>
      </c>
      <c r="I125" t="str">
        <f>VLOOKUP(Googleadssales[[#This Row],[Ad_ID]],'[1]pre processed data'!A:O,15,0)</f>
        <v>$1140</v>
      </c>
      <c r="J125" s="3">
        <f>VLOOKUP(Googleadssales[[#This Row],[Ad_ID]],'[1]pre processed data'!A:Q,17,0)</f>
        <v>45616</v>
      </c>
      <c r="K125" t="str">
        <f>VLOOKUP(Googleadssales[[#This Row],[Ad_ID]],'[1]pre processed data'!A:R,18,0)</f>
        <v>Hyderabad</v>
      </c>
      <c r="L125" t="str">
        <f>VLOOKUP(Googleadssales[[#This Row],[Ad_ID]],'[1]pre processed data'!A:S,19,0)</f>
        <v>Desktop</v>
      </c>
      <c r="M125" t="str">
        <f>VLOOKUP(Googleadssales[[#This Row],[Ad_ID]],'[1]pre processed data'!A:T,20,0)</f>
        <v>data analytics online</v>
      </c>
    </row>
    <row r="126" spans="1:13" x14ac:dyDescent="0.3">
      <c r="A126" t="s">
        <v>139</v>
      </c>
      <c r="B126" t="s">
        <v>14</v>
      </c>
      <c r="C126" s="4">
        <f>VLOOKUP(Googleadssales[[#This Row],[Ad_ID]],'[1]pre processed data'!A:C,3,0)</f>
        <v>96</v>
      </c>
      <c r="D126" s="4">
        <f>VLOOKUP(Googleadssales[[#This Row],[Ad_ID]],'[1]pre processed data'!A:E,5,0)</f>
        <v>4673</v>
      </c>
      <c r="E126" s="5" t="str">
        <f>VLOOKUP(Googleadssales[[#This Row],[Ad_ID]],[1]!Table3[[Ad_ID]:[Cost-imputed]],7,0)</f>
        <v>$192.88</v>
      </c>
      <c r="F126" s="4">
        <f>VLOOKUP(Googleadssales[[#This Row],[Ad_ID]],'[1]pre processed data'!A:I,9,0)</f>
        <v>24</v>
      </c>
      <c r="G126" s="4">
        <f>VLOOKUP(Googleadssales[[#This Row],[Ad_ID]],'[1]pre processed data'!A:K,11,0)</f>
        <v>5</v>
      </c>
      <c r="H126" s="2">
        <f>Googleadssales[[#This Row],[Conversions]]/Googleadssales[[#This Row],[Clicks]]</f>
        <v>5.2083333333333336E-2</v>
      </c>
      <c r="I126" t="str">
        <f>VLOOKUP(Googleadssales[[#This Row],[Ad_ID]],'[1]pre processed data'!A:O,15,0)</f>
        <v>$1962</v>
      </c>
      <c r="J126" s="3">
        <f>VLOOKUP(Googleadssales[[#This Row],[Ad_ID]],'[1]pre processed data'!A:Q,17,0)</f>
        <v>45606</v>
      </c>
      <c r="K126" t="str">
        <f>VLOOKUP(Googleadssales[[#This Row],[Ad_ID]],'[1]pre processed data'!A:R,18,0)</f>
        <v>Hyderabad</v>
      </c>
      <c r="L126" t="str">
        <f>VLOOKUP(Googleadssales[[#This Row],[Ad_ID]],'[1]pre processed data'!A:S,19,0)</f>
        <v>Mobile</v>
      </c>
      <c r="M126" t="str">
        <f>VLOOKUP(Googleadssales[[#This Row],[Ad_ID]],'[1]pre processed data'!A:T,20,0)</f>
        <v>learn data analytics</v>
      </c>
    </row>
    <row r="127" spans="1:13" x14ac:dyDescent="0.3">
      <c r="A127" t="s">
        <v>140</v>
      </c>
      <c r="B127" t="s">
        <v>18</v>
      </c>
      <c r="C127" s="4">
        <f>VLOOKUP(Googleadssales[[#This Row],[Ad_ID]],'[1]pre processed data'!A:C,3,0)</f>
        <v>110</v>
      </c>
      <c r="D127" s="4">
        <f>VLOOKUP(Googleadssales[[#This Row],[Ad_ID]],'[1]pre processed data'!A:E,5,0)</f>
        <v>4254</v>
      </c>
      <c r="E127" s="5" t="str">
        <f>VLOOKUP(Googleadssales[[#This Row],[Ad_ID]],[1]!Table3[[Ad_ID]:[Cost-imputed]],7,0)</f>
        <v>$187.87</v>
      </c>
      <c r="F127" s="4">
        <f>VLOOKUP(Googleadssales[[#This Row],[Ad_ID]],'[1]pre processed data'!A:I,9,0)</f>
        <v>11</v>
      </c>
      <c r="G127" s="4">
        <f>VLOOKUP(Googleadssales[[#This Row],[Ad_ID]],'[1]pre processed data'!A:K,11,0)</f>
        <v>4</v>
      </c>
      <c r="H127" s="2">
        <f>Googleadssales[[#This Row],[Conversions]]/Googleadssales[[#This Row],[Clicks]]</f>
        <v>3.6363636363636362E-2</v>
      </c>
      <c r="I127" t="str">
        <f>VLOOKUP(Googleadssales[[#This Row],[Ad_ID]],'[1]pre processed data'!A:O,15,0)</f>
        <v>$1172</v>
      </c>
      <c r="J127" s="3">
        <f>VLOOKUP(Googleadssales[[#This Row],[Ad_ID]],'[1]pre processed data'!A:Q,17,0)</f>
        <v>45600</v>
      </c>
      <c r="K127" t="str">
        <f>VLOOKUP(Googleadssales[[#This Row],[Ad_ID]],'[1]pre processed data'!A:R,18,0)</f>
        <v>Hyderabad</v>
      </c>
      <c r="L127" t="str">
        <f>VLOOKUP(Googleadssales[[#This Row],[Ad_ID]],'[1]pre processed data'!A:S,19,0)</f>
        <v>Mobile</v>
      </c>
      <c r="M127" t="str">
        <f>VLOOKUP(Googleadssales[[#This Row],[Ad_ID]],'[1]pre processed data'!A:T,20,0)</f>
        <v>data analytics training</v>
      </c>
    </row>
    <row r="128" spans="1:13" x14ac:dyDescent="0.3">
      <c r="A128" t="s">
        <v>141</v>
      </c>
      <c r="B128" t="s">
        <v>14</v>
      </c>
      <c r="C128" s="4">
        <f>VLOOKUP(Googleadssales[[#This Row],[Ad_ID]],'[1]pre processed data'!A:C,3,0)</f>
        <v>163</v>
      </c>
      <c r="D128" s="4">
        <f>VLOOKUP(Googleadssales[[#This Row],[Ad_ID]],'[1]pre processed data'!A:E,5,0)</f>
        <v>3658</v>
      </c>
      <c r="E128" s="5" t="str">
        <f>VLOOKUP(Googleadssales[[#This Row],[Ad_ID]],[1]!Table3[[Ad_ID]:[Cost-imputed]],7,0)</f>
        <v>$237.63</v>
      </c>
      <c r="F128" s="4">
        <f>VLOOKUP(Googleadssales[[#This Row],[Ad_ID]],'[1]pre processed data'!A:I,9,0)</f>
        <v>23</v>
      </c>
      <c r="G128" s="4">
        <f>VLOOKUP(Googleadssales[[#This Row],[Ad_ID]],'[1]pre processed data'!A:K,11,0)</f>
        <v>7</v>
      </c>
      <c r="H128" s="2">
        <f>Googleadssales[[#This Row],[Conversions]]/Googleadssales[[#This Row],[Clicks]]</f>
        <v>4.2944785276073622E-2</v>
      </c>
      <c r="I128" t="str">
        <f>VLOOKUP(Googleadssales[[#This Row],[Ad_ID]],'[1]pre processed data'!A:O,15,0)</f>
        <v>$1699</v>
      </c>
      <c r="J128" s="3">
        <f>VLOOKUP(Googleadssales[[#This Row],[Ad_ID]],'[1]pre processed data'!A:Q,17,0)</f>
        <v>45619</v>
      </c>
      <c r="K128" t="str">
        <f>VLOOKUP(Googleadssales[[#This Row],[Ad_ID]],'[1]pre processed data'!A:R,18,0)</f>
        <v>Chennai</v>
      </c>
      <c r="L128" t="str">
        <f>VLOOKUP(Googleadssales[[#This Row],[Ad_ID]],'[1]pre processed data'!A:S,19,0)</f>
        <v>Tablet</v>
      </c>
      <c r="M128" t="str">
        <f>VLOOKUP(Googleadssales[[#This Row],[Ad_ID]],'[1]pre processed data'!A:T,20,0)</f>
        <v>online data analytic</v>
      </c>
    </row>
    <row r="129" spans="1:13" x14ac:dyDescent="0.3">
      <c r="A129" t="s">
        <v>142</v>
      </c>
      <c r="B129" t="s">
        <v>14</v>
      </c>
      <c r="C129" s="4">
        <f>VLOOKUP(Googleadssales[[#This Row],[Ad_ID]],'[1]pre processed data'!A:C,3,0)</f>
        <v>161</v>
      </c>
      <c r="D129" s="4">
        <f>VLOOKUP(Googleadssales[[#This Row],[Ad_ID]],'[1]pre processed data'!A:E,5,0)</f>
        <v>5319</v>
      </c>
      <c r="E129" s="5" t="str">
        <f>VLOOKUP(Googleadssales[[#This Row],[Ad_ID]],[1]!Table3[[Ad_ID]:[Cost-imputed]],7,0)</f>
        <v>$235.98</v>
      </c>
      <c r="F129" s="4">
        <f>VLOOKUP(Googleadssales[[#This Row],[Ad_ID]],'[1]pre processed data'!A:I,9,0)</f>
        <v>13</v>
      </c>
      <c r="G129" s="4">
        <f>VLOOKUP(Googleadssales[[#This Row],[Ad_ID]],'[1]pre processed data'!A:K,11,0)</f>
        <v>4</v>
      </c>
      <c r="H129" s="2">
        <f>Googleadssales[[#This Row],[Conversions]]/Googleadssales[[#This Row],[Clicks]]</f>
        <v>2.4844720496894408E-2</v>
      </c>
      <c r="I129" t="str">
        <f>VLOOKUP(Googleadssales[[#This Row],[Ad_ID]],'[1]pre processed data'!A:O,15,0)</f>
        <v>$1423</v>
      </c>
      <c r="J129" s="3">
        <f>VLOOKUP(Googleadssales[[#This Row],[Ad_ID]],'[1]pre processed data'!A:Q,17,0)</f>
        <v>45614</v>
      </c>
      <c r="K129" t="str">
        <f>VLOOKUP(Googleadssales[[#This Row],[Ad_ID]],'[1]pre processed data'!A:R,18,0)</f>
        <v>Chennai</v>
      </c>
      <c r="L129" t="str">
        <f>VLOOKUP(Googleadssales[[#This Row],[Ad_ID]],'[1]pre processed data'!A:S,19,0)</f>
        <v>Mobile</v>
      </c>
      <c r="M129" t="str">
        <f>VLOOKUP(Googleadssales[[#This Row],[Ad_ID]],'[1]pre processed data'!A:T,20,0)</f>
        <v>learn data analytics</v>
      </c>
    </row>
    <row r="130" spans="1:13" x14ac:dyDescent="0.3">
      <c r="A130" t="s">
        <v>143</v>
      </c>
      <c r="B130" t="s">
        <v>14</v>
      </c>
      <c r="C130" s="4">
        <f>VLOOKUP(Googleadssales[[#This Row],[Ad_ID]],'[1]pre processed data'!A:C,3,0)</f>
        <v>195</v>
      </c>
      <c r="D130" s="4">
        <f>VLOOKUP(Googleadssales[[#This Row],[Ad_ID]],'[1]pre processed data'!A:E,5,0)</f>
        <v>5278</v>
      </c>
      <c r="E130" s="5" t="str">
        <f>VLOOKUP(Googleadssales[[#This Row],[Ad_ID]],[1]!Table3[[Ad_ID]:[Cost-imputed]],7,0)</f>
        <v>$193.49</v>
      </c>
      <c r="F130" s="4">
        <f>VLOOKUP(Googleadssales[[#This Row],[Ad_ID]],'[1]pre processed data'!A:I,9,0)</f>
        <v>30</v>
      </c>
      <c r="G130" s="4">
        <f>VLOOKUP(Googleadssales[[#This Row],[Ad_ID]],'[1]pre processed data'!A:K,11,0)</f>
        <v>7</v>
      </c>
      <c r="H130" s="2">
        <f>Googleadssales[[#This Row],[Conversions]]/Googleadssales[[#This Row],[Clicks]]</f>
        <v>3.5897435897435895E-2</v>
      </c>
      <c r="I130" t="str">
        <f>VLOOKUP(Googleadssales[[#This Row],[Ad_ID]],'[1]pre processed data'!A:O,15,0)</f>
        <v>$1456</v>
      </c>
      <c r="J130" s="3">
        <f>VLOOKUP(Googleadssales[[#This Row],[Ad_ID]],'[1]pre processed data'!A:Q,17,0)</f>
        <v>45600</v>
      </c>
      <c r="K130" t="str">
        <f>VLOOKUP(Googleadssales[[#This Row],[Ad_ID]],'[1]pre processed data'!A:R,18,0)</f>
        <v>Hyderabad</v>
      </c>
      <c r="L130" t="str">
        <f>VLOOKUP(Googleadssales[[#This Row],[Ad_ID]],'[1]pre processed data'!A:S,19,0)</f>
        <v>Mobile</v>
      </c>
      <c r="M130" t="str">
        <f>VLOOKUP(Googleadssales[[#This Row],[Ad_ID]],'[1]pre processed data'!A:T,20,0)</f>
        <v>data analytics course</v>
      </c>
    </row>
    <row r="131" spans="1:13" x14ac:dyDescent="0.3">
      <c r="A131" t="s">
        <v>144</v>
      </c>
      <c r="B131" t="s">
        <v>14</v>
      </c>
      <c r="C131" s="4">
        <f>VLOOKUP(Googleadssales[[#This Row],[Ad_ID]],'[1]pre processed data'!A:C,3,0)</f>
        <v>84</v>
      </c>
      <c r="D131" s="4">
        <f>VLOOKUP(Googleadssales[[#This Row],[Ad_ID]],'[1]pre processed data'!A:E,5,0)</f>
        <v>3755</v>
      </c>
      <c r="E131" s="5" t="str">
        <f>VLOOKUP(Googleadssales[[#This Row],[Ad_ID]],[1]!Table3[[Ad_ID]:[Cost-imputed]],7,0)</f>
        <v>$218.88</v>
      </c>
      <c r="F131" s="4">
        <f>VLOOKUP(Googleadssales[[#This Row],[Ad_ID]],'[1]pre processed data'!A:I,9,0)</f>
        <v>14</v>
      </c>
      <c r="G131" s="4">
        <f>VLOOKUP(Googleadssales[[#This Row],[Ad_ID]],'[1]pre processed data'!A:K,11,0)</f>
        <v>9</v>
      </c>
      <c r="H131" s="2">
        <f>Googleadssales[[#This Row],[Conversions]]/Googleadssales[[#This Row],[Clicks]]</f>
        <v>0.10714285714285714</v>
      </c>
      <c r="I131" t="str">
        <f>VLOOKUP(Googleadssales[[#This Row],[Ad_ID]],'[1]pre processed data'!A:O,15,0)</f>
        <v>$1299</v>
      </c>
      <c r="J131" s="3">
        <f>VLOOKUP(Googleadssales[[#This Row],[Ad_ID]],'[1]pre processed data'!A:Q,17,0)</f>
        <v>45601</v>
      </c>
      <c r="K131" t="str">
        <f>VLOOKUP(Googleadssales[[#This Row],[Ad_ID]],'[1]pre processed data'!A:R,18,0)</f>
        <v>Chennai</v>
      </c>
      <c r="L131" t="str">
        <f>VLOOKUP(Googleadssales[[#This Row],[Ad_ID]],'[1]pre processed data'!A:S,19,0)</f>
        <v>Tablet</v>
      </c>
      <c r="M131" t="str">
        <f>VLOOKUP(Googleadssales[[#This Row],[Ad_ID]],'[1]pre processed data'!A:T,20,0)</f>
        <v>analytics for data</v>
      </c>
    </row>
    <row r="132" spans="1:13" x14ac:dyDescent="0.3">
      <c r="A132" t="s">
        <v>145</v>
      </c>
      <c r="B132" t="s">
        <v>14</v>
      </c>
      <c r="C132" s="4">
        <f>VLOOKUP(Googleadssales[[#This Row],[Ad_ID]],'[1]pre processed data'!A:C,3,0)</f>
        <v>113</v>
      </c>
      <c r="D132" s="4">
        <f>VLOOKUP(Googleadssales[[#This Row],[Ad_ID]],'[1]pre processed data'!A:E,5,0)</f>
        <v>4580</v>
      </c>
      <c r="E132" s="5" t="str">
        <f>VLOOKUP(Googleadssales[[#This Row],[Ad_ID]],[1]!Table3[[Ad_ID]:[Cost-imputed]],7,0)</f>
        <v>$194.82</v>
      </c>
      <c r="F132" s="4">
        <f>VLOOKUP(Googleadssales[[#This Row],[Ad_ID]],'[1]pre processed data'!A:I,9,0)</f>
        <v>11</v>
      </c>
      <c r="G132" s="4">
        <f>VLOOKUP(Googleadssales[[#This Row],[Ad_ID]],'[1]pre processed data'!A:K,11,0)</f>
        <v>6</v>
      </c>
      <c r="H132" s="2">
        <f>Googleadssales[[#This Row],[Conversions]]/Googleadssales[[#This Row],[Clicks]]</f>
        <v>5.3097345132743362E-2</v>
      </c>
      <c r="I132" t="str">
        <f>VLOOKUP(Googleadssales[[#This Row],[Ad_ID]],'[1]pre processed data'!A:O,15,0)</f>
        <v>$1248</v>
      </c>
      <c r="J132" s="3">
        <f>VLOOKUP(Googleadssales[[#This Row],[Ad_ID]],'[1]pre processed data'!A:Q,17,0)</f>
        <v>45624</v>
      </c>
      <c r="K132" t="str">
        <f>VLOOKUP(Googleadssales[[#This Row],[Ad_ID]],'[1]pre processed data'!A:R,18,0)</f>
        <v>Chennai</v>
      </c>
      <c r="L132" t="str">
        <f>VLOOKUP(Googleadssales[[#This Row],[Ad_ID]],'[1]pre processed data'!A:S,19,0)</f>
        <v>Tablet</v>
      </c>
      <c r="M132" t="str">
        <f>VLOOKUP(Googleadssales[[#This Row],[Ad_ID]],'[1]pre processed data'!A:T,20,0)</f>
        <v>data analytics course</v>
      </c>
    </row>
    <row r="133" spans="1:13" x14ac:dyDescent="0.3">
      <c r="A133" t="s">
        <v>146</v>
      </c>
      <c r="B133" t="s">
        <v>14</v>
      </c>
      <c r="C133" s="4">
        <f>VLOOKUP(Googleadssales[[#This Row],[Ad_ID]],'[1]pre processed data'!A:C,3,0)</f>
        <v>117</v>
      </c>
      <c r="D133" s="4">
        <f>VLOOKUP(Googleadssales[[#This Row],[Ad_ID]],'[1]pre processed data'!A:E,5,0)</f>
        <v>3809</v>
      </c>
      <c r="E133" s="5" t="str">
        <f>VLOOKUP(Googleadssales[[#This Row],[Ad_ID]],[1]!Table3[[Ad_ID]:[Cost-imputed]],7,0)</f>
        <v>$225.14</v>
      </c>
      <c r="F133" s="4">
        <f>VLOOKUP(Googleadssales[[#This Row],[Ad_ID]],'[1]pre processed data'!A:I,9,0)</f>
        <v>12</v>
      </c>
      <c r="G133" s="4">
        <f>VLOOKUP(Googleadssales[[#This Row],[Ad_ID]],'[1]pre processed data'!A:K,11,0)</f>
        <v>5</v>
      </c>
      <c r="H133" s="2">
        <f>Googleadssales[[#This Row],[Conversions]]/Googleadssales[[#This Row],[Clicks]]</f>
        <v>4.2735042735042736E-2</v>
      </c>
      <c r="I133" t="str">
        <f>VLOOKUP(Googleadssales[[#This Row],[Ad_ID]],'[1]pre processed data'!A:O,15,0)</f>
        <v>$1495</v>
      </c>
      <c r="J133" s="3">
        <f>VLOOKUP(Googleadssales[[#This Row],[Ad_ID]],'[1]pre processed data'!A:Q,17,0)</f>
        <v>45605</v>
      </c>
      <c r="K133" t="str">
        <f>VLOOKUP(Googleadssales[[#This Row],[Ad_ID]],'[1]pre processed data'!A:R,18,0)</f>
        <v>Bangaluru</v>
      </c>
      <c r="L133" t="str">
        <f>VLOOKUP(Googleadssales[[#This Row],[Ad_ID]],'[1]pre processed data'!A:S,19,0)</f>
        <v>Desktop</v>
      </c>
      <c r="M133" t="str">
        <f>VLOOKUP(Googleadssales[[#This Row],[Ad_ID]],'[1]pre processed data'!A:T,20,0)</f>
        <v>data analytics training</v>
      </c>
    </row>
    <row r="134" spans="1:13" x14ac:dyDescent="0.3">
      <c r="A134" t="s">
        <v>147</v>
      </c>
      <c r="B134" t="s">
        <v>14</v>
      </c>
      <c r="C134" s="4">
        <f>VLOOKUP(Googleadssales[[#This Row],[Ad_ID]],'[1]pre processed data'!A:C,3,0)</f>
        <v>135</v>
      </c>
      <c r="D134" s="4">
        <f>VLOOKUP(Googleadssales[[#This Row],[Ad_ID]],'[1]pre processed data'!A:E,5,0)</f>
        <v>5118</v>
      </c>
      <c r="E134" s="5" t="str">
        <f>VLOOKUP(Googleadssales[[#This Row],[Ad_ID]],[1]!Table3[[Ad_ID]:[Cost-imputed]],7,0)</f>
        <v>$219.99</v>
      </c>
      <c r="F134" s="4">
        <f>VLOOKUP(Googleadssales[[#This Row],[Ad_ID]],'[1]pre processed data'!A:I,9,0)</f>
        <v>27</v>
      </c>
      <c r="G134" s="4">
        <f>VLOOKUP(Googleadssales[[#This Row],[Ad_ID]],'[1]pre processed data'!A:K,11,0)</f>
        <v>6</v>
      </c>
      <c r="H134" s="2">
        <f>Googleadssales[[#This Row],[Conversions]]/Googleadssales[[#This Row],[Clicks]]</f>
        <v>4.4444444444444446E-2</v>
      </c>
      <c r="I134" t="str">
        <f>VLOOKUP(Googleadssales[[#This Row],[Ad_ID]],'[1]pre processed data'!A:O,15,0)</f>
        <v>$1089</v>
      </c>
      <c r="J134" s="3">
        <f>VLOOKUP(Googleadssales[[#This Row],[Ad_ID]],'[1]pre processed data'!A:Q,17,0)</f>
        <v>45616</v>
      </c>
      <c r="K134" t="str">
        <f>VLOOKUP(Googleadssales[[#This Row],[Ad_ID]],'[1]pre processed data'!A:R,18,0)</f>
        <v>Hyderabad</v>
      </c>
      <c r="L134" t="str">
        <f>VLOOKUP(Googleadssales[[#This Row],[Ad_ID]],'[1]pre processed data'!A:S,19,0)</f>
        <v>Mobile</v>
      </c>
      <c r="M134" t="str">
        <f>VLOOKUP(Googleadssales[[#This Row],[Ad_ID]],'[1]pre processed data'!A:T,20,0)</f>
        <v>online data analytic</v>
      </c>
    </row>
    <row r="135" spans="1:13" x14ac:dyDescent="0.3">
      <c r="A135" t="s">
        <v>148</v>
      </c>
      <c r="B135" t="s">
        <v>14</v>
      </c>
      <c r="C135" s="4">
        <f>VLOOKUP(Googleadssales[[#This Row],[Ad_ID]],'[1]pre processed data'!A:C,3,0)</f>
        <v>92</v>
      </c>
      <c r="D135" s="4">
        <f>VLOOKUP(Googleadssales[[#This Row],[Ad_ID]],'[1]pre processed data'!A:E,5,0)</f>
        <v>5766</v>
      </c>
      <c r="E135" s="5" t="str">
        <f>VLOOKUP(Googleadssales[[#This Row],[Ad_ID]],[1]!Table3[[Ad_ID]:[Cost-imputed]],7,0)</f>
        <v>$186.14</v>
      </c>
      <c r="F135" s="4">
        <f>VLOOKUP(Googleadssales[[#This Row],[Ad_ID]],'[1]pre processed data'!A:I,9,0)</f>
        <v>28</v>
      </c>
      <c r="G135" s="4">
        <f>VLOOKUP(Googleadssales[[#This Row],[Ad_ID]],'[1]pre processed data'!A:K,11,0)</f>
        <v>7</v>
      </c>
      <c r="H135" s="2">
        <f>Googleadssales[[#This Row],[Conversions]]/Googleadssales[[#This Row],[Clicks]]</f>
        <v>7.6086956521739135E-2</v>
      </c>
      <c r="I135" t="str">
        <f>VLOOKUP(Googleadssales[[#This Row],[Ad_ID]],'[1]pre processed data'!A:O,15,0)</f>
        <v>$1013</v>
      </c>
      <c r="J135" s="3">
        <f>VLOOKUP(Googleadssales[[#This Row],[Ad_ID]],'[1]pre processed data'!A:Q,17,0)</f>
        <v>45623</v>
      </c>
      <c r="K135" t="str">
        <f>VLOOKUP(Googleadssales[[#This Row],[Ad_ID]],'[1]pre processed data'!A:R,18,0)</f>
        <v>Hyderabad</v>
      </c>
      <c r="L135" t="str">
        <f>VLOOKUP(Googleadssales[[#This Row],[Ad_ID]],'[1]pre processed data'!A:S,19,0)</f>
        <v>Tablet</v>
      </c>
      <c r="M135" t="str">
        <f>VLOOKUP(Googleadssales[[#This Row],[Ad_ID]],'[1]pre processed data'!A:T,20,0)</f>
        <v>data analytics training</v>
      </c>
    </row>
    <row r="136" spans="1:13" x14ac:dyDescent="0.3">
      <c r="A136" t="s">
        <v>149</v>
      </c>
      <c r="B136" t="s">
        <v>18</v>
      </c>
      <c r="C136" s="4">
        <f>VLOOKUP(Googleadssales[[#This Row],[Ad_ID]],'[1]pre processed data'!A:C,3,0)</f>
        <v>188</v>
      </c>
      <c r="D136" s="4">
        <f>VLOOKUP(Googleadssales[[#This Row],[Ad_ID]],'[1]pre processed data'!A:E,5,0)</f>
        <v>3934</v>
      </c>
      <c r="E136" s="5" t="str">
        <f>VLOOKUP(Googleadssales[[#This Row],[Ad_ID]],[1]!Table3[[Ad_ID]:[Cost-imputed]],7,0)</f>
        <v>$206.21</v>
      </c>
      <c r="F136" s="4">
        <f>VLOOKUP(Googleadssales[[#This Row],[Ad_ID]],'[1]pre processed data'!A:I,9,0)</f>
        <v>16</v>
      </c>
      <c r="G136" s="4">
        <f>VLOOKUP(Googleadssales[[#This Row],[Ad_ID]],'[1]pre processed data'!A:K,11,0)</f>
        <v>9</v>
      </c>
      <c r="H136" s="2">
        <f>Googleadssales[[#This Row],[Conversions]]/Googleadssales[[#This Row],[Clicks]]</f>
        <v>4.7872340425531915E-2</v>
      </c>
      <c r="I136" t="str">
        <f>VLOOKUP(Googleadssales[[#This Row],[Ad_ID]],'[1]pre processed data'!A:O,15,0)</f>
        <v>$1500</v>
      </c>
      <c r="J136" s="3">
        <f>VLOOKUP(Googleadssales[[#This Row],[Ad_ID]],'[1]pre processed data'!A:Q,17,0)</f>
        <v>45600</v>
      </c>
      <c r="K136" t="str">
        <f>VLOOKUP(Googleadssales[[#This Row],[Ad_ID]],'[1]pre processed data'!A:R,18,0)</f>
        <v>Bangaluru</v>
      </c>
      <c r="L136" t="str">
        <f>VLOOKUP(Googleadssales[[#This Row],[Ad_ID]],'[1]pre processed data'!A:S,19,0)</f>
        <v>Desktop</v>
      </c>
      <c r="M136" t="str">
        <f>VLOOKUP(Googleadssales[[#This Row],[Ad_ID]],'[1]pre processed data'!A:T,20,0)</f>
        <v>data analytics course</v>
      </c>
    </row>
    <row r="137" spans="1:13" x14ac:dyDescent="0.3">
      <c r="A137" t="s">
        <v>150</v>
      </c>
      <c r="B137" t="s">
        <v>18</v>
      </c>
      <c r="C137" s="4">
        <f>VLOOKUP(Googleadssales[[#This Row],[Ad_ID]],'[1]pre processed data'!A:C,3,0)</f>
        <v>101</v>
      </c>
      <c r="D137" s="4">
        <f>VLOOKUP(Googleadssales[[#This Row],[Ad_ID]],'[1]pre processed data'!A:E,5,0)</f>
        <v>4724</v>
      </c>
      <c r="E137" s="5" t="str">
        <f>VLOOKUP(Googleadssales[[#This Row],[Ad_ID]],[1]!Table3[[Ad_ID]:[Cost-imputed]],7,0)</f>
        <v>$228.38</v>
      </c>
      <c r="F137" s="4">
        <f>VLOOKUP(Googleadssales[[#This Row],[Ad_ID]],'[1]pre processed data'!A:I,9,0)</f>
        <v>13</v>
      </c>
      <c r="G137" s="4">
        <f>VLOOKUP(Googleadssales[[#This Row],[Ad_ID]],'[1]pre processed data'!A:K,11,0)</f>
        <v>7</v>
      </c>
      <c r="H137" s="2">
        <f>Googleadssales[[#This Row],[Conversions]]/Googleadssales[[#This Row],[Clicks]]</f>
        <v>6.9306930693069313E-2</v>
      </c>
      <c r="I137" t="str">
        <f>VLOOKUP(Googleadssales[[#This Row],[Ad_ID]],'[1]pre processed data'!A:O,15,0)</f>
        <v>$1243</v>
      </c>
      <c r="J137" s="3">
        <f>VLOOKUP(Googleadssales[[#This Row],[Ad_ID]],'[1]pre processed data'!A:Q,17,0)</f>
        <v>45616</v>
      </c>
      <c r="K137" t="str">
        <f>VLOOKUP(Googleadssales[[#This Row],[Ad_ID]],'[1]pre processed data'!A:R,18,0)</f>
        <v>Hyderabad</v>
      </c>
      <c r="L137" t="str">
        <f>VLOOKUP(Googleadssales[[#This Row],[Ad_ID]],'[1]pre processed data'!A:S,19,0)</f>
        <v>Desktop</v>
      </c>
      <c r="M137" t="str">
        <f>VLOOKUP(Googleadssales[[#This Row],[Ad_ID]],'[1]pre processed data'!A:T,20,0)</f>
        <v>learn data analytics</v>
      </c>
    </row>
    <row r="138" spans="1:13" x14ac:dyDescent="0.3">
      <c r="A138" t="s">
        <v>151</v>
      </c>
      <c r="B138" t="s">
        <v>14</v>
      </c>
      <c r="C138" s="4">
        <f>VLOOKUP(Googleadssales[[#This Row],[Ad_ID]],'[1]pre processed data'!A:C,3,0)</f>
        <v>111</v>
      </c>
      <c r="D138" s="4">
        <f>VLOOKUP(Googleadssales[[#This Row],[Ad_ID]],'[1]pre processed data'!A:E,5,0)</f>
        <v>5895</v>
      </c>
      <c r="E138" s="5" t="str">
        <f>VLOOKUP(Googleadssales[[#This Row],[Ad_ID]],[1]!Table3[[Ad_ID]:[Cost-imputed]],7,0)</f>
        <v>$205.25</v>
      </c>
      <c r="F138" s="4">
        <f>VLOOKUP(Googleadssales[[#This Row],[Ad_ID]],'[1]pre processed data'!A:I,9,0)</f>
        <v>29</v>
      </c>
      <c r="G138" s="4">
        <f>VLOOKUP(Googleadssales[[#This Row],[Ad_ID]],'[1]pre processed data'!A:K,11,0)</f>
        <v>4</v>
      </c>
      <c r="H138" s="2">
        <f>Googleadssales[[#This Row],[Conversions]]/Googleadssales[[#This Row],[Clicks]]</f>
        <v>3.6036036036036036E-2</v>
      </c>
      <c r="I138" t="str">
        <f>VLOOKUP(Googleadssales[[#This Row],[Ad_ID]],'[1]pre processed data'!A:O,15,0)</f>
        <v>$1693</v>
      </c>
      <c r="J138" s="3">
        <f>VLOOKUP(Googleadssales[[#This Row],[Ad_ID]],'[1]pre processed data'!A:Q,17,0)</f>
        <v>45600</v>
      </c>
      <c r="K138" t="str">
        <f>VLOOKUP(Googleadssales[[#This Row],[Ad_ID]],'[1]pre processed data'!A:R,18,0)</f>
        <v>Hyderabad</v>
      </c>
      <c r="L138" t="str">
        <f>VLOOKUP(Googleadssales[[#This Row],[Ad_ID]],'[1]pre processed data'!A:S,19,0)</f>
        <v>Mobile</v>
      </c>
      <c r="M138" t="str">
        <f>VLOOKUP(Googleadssales[[#This Row],[Ad_ID]],'[1]pre processed data'!A:T,20,0)</f>
        <v>data analytics course</v>
      </c>
    </row>
    <row r="139" spans="1:13" x14ac:dyDescent="0.3">
      <c r="A139" t="s">
        <v>152</v>
      </c>
      <c r="B139" t="s">
        <v>14</v>
      </c>
      <c r="C139" s="4">
        <f>VLOOKUP(Googleadssales[[#This Row],[Ad_ID]],'[1]pre processed data'!A:C,3,0)</f>
        <v>122</v>
      </c>
      <c r="D139" s="4">
        <f>VLOOKUP(Googleadssales[[#This Row],[Ad_ID]],'[1]pre processed data'!A:E,5,0)</f>
        <v>4048</v>
      </c>
      <c r="E139" s="5" t="str">
        <f>VLOOKUP(Googleadssales[[#This Row],[Ad_ID]],[1]!Table3[[Ad_ID]:[Cost-imputed]],7,0)</f>
        <v>$202.23</v>
      </c>
      <c r="F139" s="4">
        <f>VLOOKUP(Googleadssales[[#This Row],[Ad_ID]],'[1]pre processed data'!A:I,9,0)</f>
        <v>28</v>
      </c>
      <c r="G139" s="4">
        <f>VLOOKUP(Googleadssales[[#This Row],[Ad_ID]],'[1]pre processed data'!A:K,11,0)</f>
        <v>10</v>
      </c>
      <c r="H139" s="2">
        <f>Googleadssales[[#This Row],[Conversions]]/Googleadssales[[#This Row],[Clicks]]</f>
        <v>8.1967213114754092E-2</v>
      </c>
      <c r="I139" t="str">
        <f>VLOOKUP(Googleadssales[[#This Row],[Ad_ID]],'[1]pre processed data'!A:O,15,0)</f>
        <v>$1500</v>
      </c>
      <c r="J139" s="3">
        <f>VLOOKUP(Googleadssales[[#This Row],[Ad_ID]],'[1]pre processed data'!A:Q,17,0)</f>
        <v>45622</v>
      </c>
      <c r="K139" t="str">
        <f>VLOOKUP(Googleadssales[[#This Row],[Ad_ID]],'[1]pre processed data'!A:R,18,0)</f>
        <v>Hyderabad</v>
      </c>
      <c r="L139" t="str">
        <f>VLOOKUP(Googleadssales[[#This Row],[Ad_ID]],'[1]pre processed data'!A:S,19,0)</f>
        <v>Mobile</v>
      </c>
      <c r="M139" t="str">
        <f>VLOOKUP(Googleadssales[[#This Row],[Ad_ID]],'[1]pre processed data'!A:T,20,0)</f>
        <v>online data analytic</v>
      </c>
    </row>
    <row r="140" spans="1:13" x14ac:dyDescent="0.3">
      <c r="A140" t="s">
        <v>153</v>
      </c>
      <c r="B140" t="s">
        <v>18</v>
      </c>
      <c r="C140" s="4">
        <f>VLOOKUP(Googleadssales[[#This Row],[Ad_ID]],'[1]pre processed data'!A:C,3,0)</f>
        <v>99</v>
      </c>
      <c r="D140" s="4">
        <f>VLOOKUP(Googleadssales[[#This Row],[Ad_ID]],'[1]pre processed data'!A:E,5,0)</f>
        <v>3169</v>
      </c>
      <c r="E140" s="5" t="str">
        <f>VLOOKUP(Googleadssales[[#This Row],[Ad_ID]],[1]!Table3[[Ad_ID]:[Cost-imputed]],7,0)</f>
        <v>$237.68</v>
      </c>
      <c r="F140" s="4">
        <f>VLOOKUP(Googleadssales[[#This Row],[Ad_ID]],'[1]pre processed data'!A:I,9,0)</f>
        <v>21</v>
      </c>
      <c r="G140" s="4">
        <f>VLOOKUP(Googleadssales[[#This Row],[Ad_ID]],'[1]pre processed data'!A:K,11,0)</f>
        <v>6</v>
      </c>
      <c r="H140" s="2">
        <f>Googleadssales[[#This Row],[Conversions]]/Googleadssales[[#This Row],[Clicks]]</f>
        <v>6.0606060606060608E-2</v>
      </c>
      <c r="I140" t="str">
        <f>VLOOKUP(Googleadssales[[#This Row],[Ad_ID]],'[1]pre processed data'!A:O,15,0)</f>
        <v>$1509</v>
      </c>
      <c r="J140" s="3">
        <f>VLOOKUP(Googleadssales[[#This Row],[Ad_ID]],'[1]pre processed data'!A:Q,17,0)</f>
        <v>45618</v>
      </c>
      <c r="K140" t="str">
        <f>VLOOKUP(Googleadssales[[#This Row],[Ad_ID]],'[1]pre processed data'!A:R,18,0)</f>
        <v>Bangaluru</v>
      </c>
      <c r="L140" t="str">
        <f>VLOOKUP(Googleadssales[[#This Row],[Ad_ID]],'[1]pre processed data'!A:S,19,0)</f>
        <v>Mobile</v>
      </c>
      <c r="M140" t="str">
        <f>VLOOKUP(Googleadssales[[#This Row],[Ad_ID]],'[1]pre processed data'!A:T,20,0)</f>
        <v>online data analytic</v>
      </c>
    </row>
    <row r="141" spans="1:13" x14ac:dyDescent="0.3">
      <c r="A141" t="s">
        <v>154</v>
      </c>
      <c r="B141" t="s">
        <v>14</v>
      </c>
      <c r="C141" s="4">
        <f>VLOOKUP(Googleadssales[[#This Row],[Ad_ID]],'[1]pre processed data'!A:C,3,0)</f>
        <v>154</v>
      </c>
      <c r="D141" s="4">
        <f>VLOOKUP(Googleadssales[[#This Row],[Ad_ID]],'[1]pre processed data'!A:E,5,0)</f>
        <v>4535</v>
      </c>
      <c r="E141" s="5" t="str">
        <f>VLOOKUP(Googleadssales[[#This Row],[Ad_ID]],[1]!Table3[[Ad_ID]:[Cost-imputed]],7,0)</f>
        <v>$229.29</v>
      </c>
      <c r="F141" s="4">
        <f>VLOOKUP(Googleadssales[[#This Row],[Ad_ID]],'[1]pre processed data'!A:I,9,0)</f>
        <v>11</v>
      </c>
      <c r="G141" s="4">
        <f>VLOOKUP(Googleadssales[[#This Row],[Ad_ID]],'[1]pre processed data'!A:K,11,0)</f>
        <v>3</v>
      </c>
      <c r="H141" s="2">
        <f>Googleadssales[[#This Row],[Conversions]]/Googleadssales[[#This Row],[Clicks]]</f>
        <v>1.948051948051948E-2</v>
      </c>
      <c r="I141" t="str">
        <f>VLOOKUP(Googleadssales[[#This Row],[Ad_ID]],'[1]pre processed data'!A:O,15,0)</f>
        <v>$1434</v>
      </c>
      <c r="J141" s="3">
        <f>VLOOKUP(Googleadssales[[#This Row],[Ad_ID]],'[1]pre processed data'!A:Q,17,0)</f>
        <v>45597</v>
      </c>
      <c r="K141" t="str">
        <f>VLOOKUP(Googleadssales[[#This Row],[Ad_ID]],'[1]pre processed data'!A:R,18,0)</f>
        <v>Hyderabad</v>
      </c>
      <c r="L141" t="str">
        <f>VLOOKUP(Googleadssales[[#This Row],[Ad_ID]],'[1]pre processed data'!A:S,19,0)</f>
        <v>Tablet</v>
      </c>
      <c r="M141" t="str">
        <f>VLOOKUP(Googleadssales[[#This Row],[Ad_ID]],'[1]pre processed data'!A:T,20,0)</f>
        <v>data analytics training</v>
      </c>
    </row>
    <row r="142" spans="1:13" x14ac:dyDescent="0.3">
      <c r="A142" t="s">
        <v>155</v>
      </c>
      <c r="B142" t="s">
        <v>14</v>
      </c>
      <c r="C142" s="4">
        <f>VLOOKUP(Googleadssales[[#This Row],[Ad_ID]],'[1]pre processed data'!A:C,3,0)</f>
        <v>129</v>
      </c>
      <c r="D142" s="4">
        <f>VLOOKUP(Googleadssales[[#This Row],[Ad_ID]],'[1]pre processed data'!A:E,5,0)</f>
        <v>3849</v>
      </c>
      <c r="E142" s="5" t="str">
        <f>VLOOKUP(Googleadssales[[#This Row],[Ad_ID]],[1]!Table3[[Ad_ID]:[Cost-imputed]],7,0)</f>
        <v>$249.29</v>
      </c>
      <c r="F142" s="4">
        <f>VLOOKUP(Googleadssales[[#This Row],[Ad_ID]],'[1]pre processed data'!A:I,9,0)</f>
        <v>22</v>
      </c>
      <c r="G142" s="4">
        <f>VLOOKUP(Googleadssales[[#This Row],[Ad_ID]],'[1]pre processed data'!A:K,11,0)</f>
        <v>10</v>
      </c>
      <c r="H142" s="2">
        <f>Googleadssales[[#This Row],[Conversions]]/Googleadssales[[#This Row],[Clicks]]</f>
        <v>7.7519379844961239E-2</v>
      </c>
      <c r="I142" t="str">
        <f>VLOOKUP(Googleadssales[[#This Row],[Ad_ID]],'[1]pre processed data'!A:O,15,0)</f>
        <v>$1767</v>
      </c>
      <c r="J142" s="3">
        <f>VLOOKUP(Googleadssales[[#This Row],[Ad_ID]],'[1]pre processed data'!A:Q,17,0)</f>
        <v>45607</v>
      </c>
      <c r="K142" t="str">
        <f>VLOOKUP(Googleadssales[[#This Row],[Ad_ID]],'[1]pre processed data'!A:R,18,0)</f>
        <v>Hyderabad</v>
      </c>
      <c r="L142" t="str">
        <f>VLOOKUP(Googleadssales[[#This Row],[Ad_ID]],'[1]pre processed data'!A:S,19,0)</f>
        <v>Desktop</v>
      </c>
      <c r="M142" t="str">
        <f>VLOOKUP(Googleadssales[[#This Row],[Ad_ID]],'[1]pre processed data'!A:T,20,0)</f>
        <v>analytics for data</v>
      </c>
    </row>
    <row r="143" spans="1:13" x14ac:dyDescent="0.3">
      <c r="A143" t="s">
        <v>156</v>
      </c>
      <c r="B143" t="s">
        <v>18</v>
      </c>
      <c r="C143" s="4">
        <f>VLOOKUP(Googleadssales[[#This Row],[Ad_ID]],'[1]pre processed data'!A:C,3,0)</f>
        <v>138.95699356913184</v>
      </c>
      <c r="D143" s="4">
        <f>VLOOKUP(Googleadssales[[#This Row],[Ad_ID]],'[1]pre processed data'!A:E,5,0)</f>
        <v>4259</v>
      </c>
      <c r="E143" s="5" t="str">
        <f>VLOOKUP(Googleadssales[[#This Row],[Ad_ID]],[1]!Table3[[Ad_ID]:[Cost-imputed]],7,0)</f>
        <v>$182.98</v>
      </c>
      <c r="F143" s="4">
        <f>VLOOKUP(Googleadssales[[#This Row],[Ad_ID]],'[1]pre processed data'!A:I,9,0)</f>
        <v>10</v>
      </c>
      <c r="G143" s="4">
        <f>VLOOKUP(Googleadssales[[#This Row],[Ad_ID]],'[1]pre processed data'!A:K,11,0)</f>
        <v>10</v>
      </c>
      <c r="H143" s="2">
        <f>Googleadssales[[#This Row],[Conversions]]/Googleadssales[[#This Row],[Clicks]]</f>
        <v>7.1964711837443046E-2</v>
      </c>
      <c r="I143" t="str">
        <f>VLOOKUP(Googleadssales[[#This Row],[Ad_ID]],'[1]pre processed data'!A:O,15,0)</f>
        <v>$1048</v>
      </c>
      <c r="J143" s="3">
        <f>VLOOKUP(Googleadssales[[#This Row],[Ad_ID]],'[1]pre processed data'!A:Q,17,0)</f>
        <v>45612</v>
      </c>
      <c r="K143" t="str">
        <f>VLOOKUP(Googleadssales[[#This Row],[Ad_ID]],'[1]pre processed data'!A:R,18,0)</f>
        <v>Hyderabad</v>
      </c>
      <c r="L143" t="str">
        <f>VLOOKUP(Googleadssales[[#This Row],[Ad_ID]],'[1]pre processed data'!A:S,19,0)</f>
        <v>Mobile</v>
      </c>
      <c r="M143" t="str">
        <f>VLOOKUP(Googleadssales[[#This Row],[Ad_ID]],'[1]pre processed data'!A:T,20,0)</f>
        <v>analytics for data</v>
      </c>
    </row>
    <row r="144" spans="1:13" x14ac:dyDescent="0.3">
      <c r="A144" t="s">
        <v>157</v>
      </c>
      <c r="B144" t="s">
        <v>14</v>
      </c>
      <c r="C144" s="4">
        <f>VLOOKUP(Googleadssales[[#This Row],[Ad_ID]],'[1]pre processed data'!A:C,3,0)</f>
        <v>143</v>
      </c>
      <c r="D144" s="4">
        <f>VLOOKUP(Googleadssales[[#This Row],[Ad_ID]],'[1]pre processed data'!A:E,5,0)</f>
        <v>3628</v>
      </c>
      <c r="E144" s="5" t="str">
        <f>VLOOKUP(Googleadssales[[#This Row],[Ad_ID]],[1]!Table3[[Ad_ID]:[Cost-imputed]],7,0)</f>
        <v>$200.00</v>
      </c>
      <c r="F144" s="4">
        <f>VLOOKUP(Googleadssales[[#This Row],[Ad_ID]],'[1]pre processed data'!A:I,9,0)</f>
        <v>18</v>
      </c>
      <c r="G144" s="4">
        <f>VLOOKUP(Googleadssales[[#This Row],[Ad_ID]],'[1]pre processed data'!A:K,11,0)</f>
        <v>9</v>
      </c>
      <c r="H144" s="2">
        <f>Googleadssales[[#This Row],[Conversions]]/Googleadssales[[#This Row],[Clicks]]</f>
        <v>6.2937062937062943E-2</v>
      </c>
      <c r="I144" t="str">
        <f>VLOOKUP(Googleadssales[[#This Row],[Ad_ID]],'[1]pre processed data'!A:O,15,0)</f>
        <v>$1566</v>
      </c>
      <c r="J144" s="3">
        <f>VLOOKUP(Googleadssales[[#This Row],[Ad_ID]],'[1]pre processed data'!A:Q,17,0)</f>
        <v>45613</v>
      </c>
      <c r="K144" t="str">
        <f>VLOOKUP(Googleadssales[[#This Row],[Ad_ID]],'[1]pre processed data'!A:R,18,0)</f>
        <v>Bangaluru</v>
      </c>
      <c r="L144" t="str">
        <f>VLOOKUP(Googleadssales[[#This Row],[Ad_ID]],'[1]pre processed data'!A:S,19,0)</f>
        <v>Tablet</v>
      </c>
      <c r="M144" t="str">
        <f>VLOOKUP(Googleadssales[[#This Row],[Ad_ID]],'[1]pre processed data'!A:T,20,0)</f>
        <v>data analytics course</v>
      </c>
    </row>
    <row r="145" spans="1:13" x14ac:dyDescent="0.3">
      <c r="A145" t="s">
        <v>158</v>
      </c>
      <c r="B145" t="s">
        <v>14</v>
      </c>
      <c r="C145" s="4">
        <f>VLOOKUP(Googleadssales[[#This Row],[Ad_ID]],'[1]pre processed data'!A:C,3,0)</f>
        <v>80</v>
      </c>
      <c r="D145" s="4">
        <f>VLOOKUP(Googleadssales[[#This Row],[Ad_ID]],'[1]pre processed data'!A:E,5,0)</f>
        <v>3269</v>
      </c>
      <c r="E145" s="5" t="str">
        <f>VLOOKUP(Googleadssales[[#This Row],[Ad_ID]],[1]!Table3[[Ad_ID]:[Cost-imputed]],7,0)</f>
        <v>$200.00</v>
      </c>
      <c r="F145" s="4">
        <f>VLOOKUP(Googleadssales[[#This Row],[Ad_ID]],'[1]pre processed data'!A:I,9,0)</f>
        <v>12</v>
      </c>
      <c r="G145" s="4">
        <f>VLOOKUP(Googleadssales[[#This Row],[Ad_ID]],'[1]pre processed data'!A:K,11,0)</f>
        <v>4</v>
      </c>
      <c r="H145" s="2">
        <f>Googleadssales[[#This Row],[Conversions]]/Googleadssales[[#This Row],[Clicks]]</f>
        <v>0.05</v>
      </c>
      <c r="I145" t="str">
        <f>VLOOKUP(Googleadssales[[#This Row],[Ad_ID]],'[1]pre processed data'!A:O,15,0)</f>
        <v>$1753</v>
      </c>
      <c r="J145" s="3">
        <f>VLOOKUP(Googleadssales[[#This Row],[Ad_ID]],'[1]pre processed data'!A:Q,17,0)</f>
        <v>45619</v>
      </c>
      <c r="K145" t="str">
        <f>VLOOKUP(Googleadssales[[#This Row],[Ad_ID]],'[1]pre processed data'!A:R,18,0)</f>
        <v>Chennai</v>
      </c>
      <c r="L145" t="str">
        <f>VLOOKUP(Googleadssales[[#This Row],[Ad_ID]],'[1]pre processed data'!A:S,19,0)</f>
        <v>Desktop</v>
      </c>
      <c r="M145" t="str">
        <f>VLOOKUP(Googleadssales[[#This Row],[Ad_ID]],'[1]pre processed data'!A:T,20,0)</f>
        <v>data analytics online</v>
      </c>
    </row>
    <row r="146" spans="1:13" x14ac:dyDescent="0.3">
      <c r="A146" t="s">
        <v>159</v>
      </c>
      <c r="B146" t="s">
        <v>14</v>
      </c>
      <c r="C146" s="4">
        <f>VLOOKUP(Googleadssales[[#This Row],[Ad_ID]],'[1]pre processed data'!A:C,3,0)</f>
        <v>134</v>
      </c>
      <c r="D146" s="4">
        <f>VLOOKUP(Googleadssales[[#This Row],[Ad_ID]],'[1]pre processed data'!A:E,5,0)</f>
        <v>3724</v>
      </c>
      <c r="E146" s="5" t="str">
        <f>VLOOKUP(Googleadssales[[#This Row],[Ad_ID]],[1]!Table3[[Ad_ID]:[Cost-imputed]],7,0)</f>
        <v>$188.02</v>
      </c>
      <c r="F146" s="4">
        <f>VLOOKUP(Googleadssales[[#This Row],[Ad_ID]],'[1]pre processed data'!A:I,9,0)</f>
        <v>26</v>
      </c>
      <c r="G146" s="4">
        <f>VLOOKUP(Googleadssales[[#This Row],[Ad_ID]],'[1]pre processed data'!A:K,11,0)</f>
        <v>9</v>
      </c>
      <c r="H146" s="2">
        <f>Googleadssales[[#This Row],[Conversions]]/Googleadssales[[#This Row],[Clicks]]</f>
        <v>6.7164179104477612E-2</v>
      </c>
      <c r="I146" t="str">
        <f>VLOOKUP(Googleadssales[[#This Row],[Ad_ID]],'[1]pre processed data'!A:O,15,0)</f>
        <v>$1891</v>
      </c>
      <c r="J146" s="3">
        <f>VLOOKUP(Googleadssales[[#This Row],[Ad_ID]],'[1]pre processed data'!A:Q,17,0)</f>
        <v>45603</v>
      </c>
      <c r="K146" t="str">
        <f>VLOOKUP(Googleadssales[[#This Row],[Ad_ID]],'[1]pre processed data'!A:R,18,0)</f>
        <v>Bangaluru</v>
      </c>
      <c r="L146" t="str">
        <f>VLOOKUP(Googleadssales[[#This Row],[Ad_ID]],'[1]pre processed data'!A:S,19,0)</f>
        <v>Desktop</v>
      </c>
      <c r="M146" t="str">
        <f>VLOOKUP(Googleadssales[[#This Row],[Ad_ID]],'[1]pre processed data'!A:T,20,0)</f>
        <v>online data analytic</v>
      </c>
    </row>
    <row r="147" spans="1:13" x14ac:dyDescent="0.3">
      <c r="A147" t="s">
        <v>160</v>
      </c>
      <c r="B147" t="s">
        <v>14</v>
      </c>
      <c r="C147" s="4">
        <f>VLOOKUP(Googleadssales[[#This Row],[Ad_ID]],'[1]pre processed data'!A:C,3,0)</f>
        <v>174</v>
      </c>
      <c r="D147" s="4">
        <f>VLOOKUP(Googleadssales[[#This Row],[Ad_ID]],'[1]pre processed data'!A:E,5,0)</f>
        <v>4838</v>
      </c>
      <c r="E147" s="5" t="str">
        <f>VLOOKUP(Googleadssales[[#This Row],[Ad_ID]],[1]!Table3[[Ad_ID]:[Cost-imputed]],7,0)</f>
        <v>$242.35</v>
      </c>
      <c r="F147" s="4">
        <f>VLOOKUP(Googleadssales[[#This Row],[Ad_ID]],'[1]pre processed data'!A:I,9,0)</f>
        <v>21</v>
      </c>
      <c r="G147" s="4">
        <f>VLOOKUP(Googleadssales[[#This Row],[Ad_ID]],'[1]pre processed data'!A:K,11,0)</f>
        <v>3</v>
      </c>
      <c r="H147" s="2">
        <f>Googleadssales[[#This Row],[Conversions]]/Googleadssales[[#This Row],[Clicks]]</f>
        <v>1.7241379310344827E-2</v>
      </c>
      <c r="I147" t="str">
        <f>VLOOKUP(Googleadssales[[#This Row],[Ad_ID]],'[1]pre processed data'!A:O,15,0)</f>
        <v>$1599</v>
      </c>
      <c r="J147" s="3">
        <f>VLOOKUP(Googleadssales[[#This Row],[Ad_ID]],'[1]pre processed data'!A:Q,17,0)</f>
        <v>45618</v>
      </c>
      <c r="K147" t="str">
        <f>VLOOKUP(Googleadssales[[#This Row],[Ad_ID]],'[1]pre processed data'!A:R,18,0)</f>
        <v>Hyderabad</v>
      </c>
      <c r="L147" t="str">
        <f>VLOOKUP(Googleadssales[[#This Row],[Ad_ID]],'[1]pre processed data'!A:S,19,0)</f>
        <v>Desktop</v>
      </c>
      <c r="M147" t="str">
        <f>VLOOKUP(Googleadssales[[#This Row],[Ad_ID]],'[1]pre processed data'!A:T,20,0)</f>
        <v>data analytics online</v>
      </c>
    </row>
    <row r="148" spans="1:13" x14ac:dyDescent="0.3">
      <c r="A148" t="s">
        <v>161</v>
      </c>
      <c r="B148" t="s">
        <v>14</v>
      </c>
      <c r="C148" s="4">
        <f>VLOOKUP(Googleadssales[[#This Row],[Ad_ID]],'[1]pre processed data'!A:C,3,0)</f>
        <v>196</v>
      </c>
      <c r="D148" s="4">
        <f>VLOOKUP(Googleadssales[[#This Row],[Ad_ID]],'[1]pre processed data'!A:E,5,0)</f>
        <v>4524</v>
      </c>
      <c r="E148" s="5" t="str">
        <f>VLOOKUP(Googleadssales[[#This Row],[Ad_ID]],[1]!Table3[[Ad_ID]:[Cost-imputed]],7,0)</f>
        <v>$192.01</v>
      </c>
      <c r="F148" s="4">
        <f>VLOOKUP(Googleadssales[[#This Row],[Ad_ID]],'[1]pre processed data'!A:I,9,0)</f>
        <v>15</v>
      </c>
      <c r="G148" s="4">
        <f>VLOOKUP(Googleadssales[[#This Row],[Ad_ID]],'[1]pre processed data'!A:K,11,0)</f>
        <v>8</v>
      </c>
      <c r="H148" s="2">
        <f>Googleadssales[[#This Row],[Conversions]]/Googleadssales[[#This Row],[Clicks]]</f>
        <v>4.0816326530612242E-2</v>
      </c>
      <c r="I148" t="str">
        <f>VLOOKUP(Googleadssales[[#This Row],[Ad_ID]],'[1]pre processed data'!A:O,15,0)</f>
        <v>$1048</v>
      </c>
      <c r="J148" s="3">
        <f>VLOOKUP(Googleadssales[[#This Row],[Ad_ID]],'[1]pre processed data'!A:Q,17,0)</f>
        <v>45609</v>
      </c>
      <c r="K148" t="str">
        <f>VLOOKUP(Googleadssales[[#This Row],[Ad_ID]],'[1]pre processed data'!A:R,18,0)</f>
        <v>Hyderabad</v>
      </c>
      <c r="L148" t="str">
        <f>VLOOKUP(Googleadssales[[#This Row],[Ad_ID]],'[1]pre processed data'!A:S,19,0)</f>
        <v>Desktop</v>
      </c>
      <c r="M148" t="str">
        <f>VLOOKUP(Googleadssales[[#This Row],[Ad_ID]],'[1]pre processed data'!A:T,20,0)</f>
        <v>data analytics course</v>
      </c>
    </row>
    <row r="149" spans="1:13" x14ac:dyDescent="0.3">
      <c r="A149" t="s">
        <v>162</v>
      </c>
      <c r="B149" t="s">
        <v>14</v>
      </c>
      <c r="C149" s="4">
        <f>VLOOKUP(Googleadssales[[#This Row],[Ad_ID]],'[1]pre processed data'!A:C,3,0)</f>
        <v>194</v>
      </c>
      <c r="D149" s="4">
        <f>VLOOKUP(Googleadssales[[#This Row],[Ad_ID]],'[1]pre processed data'!A:E,5,0)</f>
        <v>4694</v>
      </c>
      <c r="E149" s="5" t="str">
        <f>VLOOKUP(Googleadssales[[#This Row],[Ad_ID]],[1]!Table3[[Ad_ID]:[Cost-imputed]],7,0)</f>
        <v>$228.15</v>
      </c>
      <c r="F149" s="4">
        <f>VLOOKUP(Googleadssales[[#This Row],[Ad_ID]],'[1]pre processed data'!A:I,9,0)</f>
        <v>17</v>
      </c>
      <c r="G149" s="4">
        <f>VLOOKUP(Googleadssales[[#This Row],[Ad_ID]],'[1]pre processed data'!A:K,11,0)</f>
        <v>7</v>
      </c>
      <c r="H149" s="2">
        <f>Googleadssales[[#This Row],[Conversions]]/Googleadssales[[#This Row],[Clicks]]</f>
        <v>3.608247422680412E-2</v>
      </c>
      <c r="I149" t="str">
        <f>VLOOKUP(Googleadssales[[#This Row],[Ad_ID]],'[1]pre processed data'!A:O,15,0)</f>
        <v>$1874</v>
      </c>
      <c r="J149" s="3">
        <f>VLOOKUP(Googleadssales[[#This Row],[Ad_ID]],'[1]pre processed data'!A:Q,17,0)</f>
        <v>45610</v>
      </c>
      <c r="K149" t="str">
        <f>VLOOKUP(Googleadssales[[#This Row],[Ad_ID]],'[1]pre processed data'!A:R,18,0)</f>
        <v>Hyderabad</v>
      </c>
      <c r="L149" t="str">
        <f>VLOOKUP(Googleadssales[[#This Row],[Ad_ID]],'[1]pre processed data'!A:S,19,0)</f>
        <v>Tablet</v>
      </c>
      <c r="M149" t="str">
        <f>VLOOKUP(Googleadssales[[#This Row],[Ad_ID]],'[1]pre processed data'!A:T,20,0)</f>
        <v>learn data analytics</v>
      </c>
    </row>
    <row r="150" spans="1:13" x14ac:dyDescent="0.3">
      <c r="A150" t="s">
        <v>163</v>
      </c>
      <c r="B150" t="s">
        <v>14</v>
      </c>
      <c r="C150" s="4">
        <f>VLOOKUP(Googleadssales[[#This Row],[Ad_ID]],'[1]pre processed data'!A:C,3,0)</f>
        <v>180</v>
      </c>
      <c r="D150" s="4">
        <f>VLOOKUP(Googleadssales[[#This Row],[Ad_ID]],'[1]pre processed data'!A:E,5,0)</f>
        <v>4326</v>
      </c>
      <c r="E150" s="5" t="str">
        <f>VLOOKUP(Googleadssales[[#This Row],[Ad_ID]],[1]!Table3[[Ad_ID]:[Cost-imputed]],7,0)</f>
        <v>$221.67</v>
      </c>
      <c r="F150" s="4">
        <f>VLOOKUP(Googleadssales[[#This Row],[Ad_ID]],'[1]pre processed data'!A:I,9,0)</f>
        <v>13</v>
      </c>
      <c r="G150" s="4">
        <f>VLOOKUP(Googleadssales[[#This Row],[Ad_ID]],'[1]pre processed data'!A:K,11,0)</f>
        <v>6.4974768713204369</v>
      </c>
      <c r="H150" s="2">
        <f>Googleadssales[[#This Row],[Conversions]]/Googleadssales[[#This Row],[Clicks]]</f>
        <v>3.609709372955798E-2</v>
      </c>
      <c r="I150" t="str">
        <f>VLOOKUP(Googleadssales[[#This Row],[Ad_ID]],'[1]pre processed data'!A:O,15,0)</f>
        <v>$1427</v>
      </c>
      <c r="J150" s="3">
        <f>VLOOKUP(Googleadssales[[#This Row],[Ad_ID]],'[1]pre processed data'!A:Q,17,0)</f>
        <v>45602</v>
      </c>
      <c r="K150" t="str">
        <f>VLOOKUP(Googleadssales[[#This Row],[Ad_ID]],'[1]pre processed data'!A:R,18,0)</f>
        <v>Chennai</v>
      </c>
      <c r="L150" t="str">
        <f>VLOOKUP(Googleadssales[[#This Row],[Ad_ID]],'[1]pre processed data'!A:S,19,0)</f>
        <v>Tablet</v>
      </c>
      <c r="M150" t="str">
        <f>VLOOKUP(Googleadssales[[#This Row],[Ad_ID]],'[1]pre processed data'!A:T,20,0)</f>
        <v>online data analytic</v>
      </c>
    </row>
    <row r="151" spans="1:13" x14ac:dyDescent="0.3">
      <c r="A151" t="s">
        <v>164</v>
      </c>
      <c r="B151" t="s">
        <v>18</v>
      </c>
      <c r="C151" s="4">
        <f>VLOOKUP(Googleadssales[[#This Row],[Ad_ID]],'[1]pre processed data'!A:C,3,0)</f>
        <v>100</v>
      </c>
      <c r="D151" s="4">
        <f>VLOOKUP(Googleadssales[[#This Row],[Ad_ID]],'[1]pre processed data'!A:E,5,0)</f>
        <v>4235</v>
      </c>
      <c r="E151" s="5" t="str">
        <f>VLOOKUP(Googleadssales[[#This Row],[Ad_ID]],[1]!Table3[[Ad_ID]:[Cost-imputed]],7,0)</f>
        <v>$222.61</v>
      </c>
      <c r="F151" s="4">
        <f>VLOOKUP(Googleadssales[[#This Row],[Ad_ID]],'[1]pre processed data'!A:I,9,0)</f>
        <v>10</v>
      </c>
      <c r="G151" s="4">
        <f>VLOOKUP(Googleadssales[[#This Row],[Ad_ID]],'[1]pre processed data'!A:K,11,0)</f>
        <v>8</v>
      </c>
      <c r="H151" s="2">
        <f>Googleadssales[[#This Row],[Conversions]]/Googleadssales[[#This Row],[Clicks]]</f>
        <v>0.08</v>
      </c>
      <c r="I151" t="str">
        <f>VLOOKUP(Googleadssales[[#This Row],[Ad_ID]],'[1]pre processed data'!A:O,15,0)</f>
        <v>$1814</v>
      </c>
      <c r="J151" s="3">
        <f>VLOOKUP(Googleadssales[[#This Row],[Ad_ID]],'[1]pre processed data'!A:Q,17,0)</f>
        <v>45597</v>
      </c>
      <c r="K151" t="str">
        <f>VLOOKUP(Googleadssales[[#This Row],[Ad_ID]],'[1]pre processed data'!A:R,18,0)</f>
        <v>Hyderabad</v>
      </c>
      <c r="L151" t="str">
        <f>VLOOKUP(Googleadssales[[#This Row],[Ad_ID]],'[1]pre processed data'!A:S,19,0)</f>
        <v>Desktop</v>
      </c>
      <c r="M151" t="str">
        <f>VLOOKUP(Googleadssales[[#This Row],[Ad_ID]],'[1]pre processed data'!A:T,20,0)</f>
        <v>data analytics training</v>
      </c>
    </row>
    <row r="152" spans="1:13" x14ac:dyDescent="0.3">
      <c r="A152" t="s">
        <v>165</v>
      </c>
      <c r="B152" t="s">
        <v>14</v>
      </c>
      <c r="C152" s="4">
        <f>VLOOKUP(Googleadssales[[#This Row],[Ad_ID]],'[1]pre processed data'!A:C,3,0)</f>
        <v>153</v>
      </c>
      <c r="D152" s="4">
        <f>VLOOKUP(Googleadssales[[#This Row],[Ad_ID]],'[1]pre processed data'!A:E,5,0)</f>
        <v>4367</v>
      </c>
      <c r="E152" s="5" t="str">
        <f>VLOOKUP(Googleadssales[[#This Row],[Ad_ID]],[1]!Table3[[Ad_ID]:[Cost-imputed]],7,0)</f>
        <v>$184.51</v>
      </c>
      <c r="F152" s="4">
        <f>VLOOKUP(Googleadssales[[#This Row],[Ad_ID]],'[1]pre processed data'!A:I,9,0)</f>
        <v>29</v>
      </c>
      <c r="G152" s="4">
        <f>VLOOKUP(Googleadssales[[#This Row],[Ad_ID]],'[1]pre processed data'!A:K,11,0)</f>
        <v>9</v>
      </c>
      <c r="H152" s="2">
        <f>Googleadssales[[#This Row],[Conversions]]/Googleadssales[[#This Row],[Clicks]]</f>
        <v>5.8823529411764705E-2</v>
      </c>
      <c r="I152" t="str">
        <f>VLOOKUP(Googleadssales[[#This Row],[Ad_ID]],'[1]pre processed data'!A:O,15,0)</f>
        <v>$1507</v>
      </c>
      <c r="J152" s="3">
        <f>VLOOKUP(Googleadssales[[#This Row],[Ad_ID]],'[1]pre processed data'!A:Q,17,0)</f>
        <v>45609</v>
      </c>
      <c r="K152" t="str">
        <f>VLOOKUP(Googleadssales[[#This Row],[Ad_ID]],'[1]pre processed data'!A:R,18,0)</f>
        <v>Hyderabad</v>
      </c>
      <c r="L152" t="str">
        <f>VLOOKUP(Googleadssales[[#This Row],[Ad_ID]],'[1]pre processed data'!A:S,19,0)</f>
        <v>Mobile</v>
      </c>
      <c r="M152" t="str">
        <f>VLOOKUP(Googleadssales[[#This Row],[Ad_ID]],'[1]pre processed data'!A:T,20,0)</f>
        <v>analytics for data</v>
      </c>
    </row>
    <row r="153" spans="1:13" x14ac:dyDescent="0.3">
      <c r="A153" t="s">
        <v>166</v>
      </c>
      <c r="B153" t="s">
        <v>14</v>
      </c>
      <c r="C153" s="4">
        <f>VLOOKUP(Googleadssales[[#This Row],[Ad_ID]],'[1]pre processed data'!A:C,3,0)</f>
        <v>110</v>
      </c>
      <c r="D153" s="4">
        <f>VLOOKUP(Googleadssales[[#This Row],[Ad_ID]],'[1]pre processed data'!A:E,5,0)</f>
        <v>3748</v>
      </c>
      <c r="E153" s="5" t="str">
        <f>VLOOKUP(Googleadssales[[#This Row],[Ad_ID]],[1]!Table3[[Ad_ID]:[Cost-imputed]],7,0)</f>
        <v>$198.68</v>
      </c>
      <c r="F153" s="4">
        <f>VLOOKUP(Googleadssales[[#This Row],[Ad_ID]],'[1]pre processed data'!A:I,9,0)</f>
        <v>24</v>
      </c>
      <c r="G153" s="4">
        <f>VLOOKUP(Googleadssales[[#This Row],[Ad_ID]],'[1]pre processed data'!A:K,11,0)</f>
        <v>9</v>
      </c>
      <c r="H153" s="2">
        <f>Googleadssales[[#This Row],[Conversions]]/Googleadssales[[#This Row],[Clicks]]</f>
        <v>8.1818181818181818E-2</v>
      </c>
      <c r="I153" t="str">
        <f>VLOOKUP(Googleadssales[[#This Row],[Ad_ID]],'[1]pre processed data'!A:O,15,0)</f>
        <v>$1041</v>
      </c>
      <c r="J153" s="3">
        <f>VLOOKUP(Googleadssales[[#This Row],[Ad_ID]],'[1]pre processed data'!A:Q,17,0)</f>
        <v>45601</v>
      </c>
      <c r="K153" t="str">
        <f>VLOOKUP(Googleadssales[[#This Row],[Ad_ID]],'[1]pre processed data'!A:R,18,0)</f>
        <v>Chennai</v>
      </c>
      <c r="L153" t="str">
        <f>VLOOKUP(Googleadssales[[#This Row],[Ad_ID]],'[1]pre processed data'!A:S,19,0)</f>
        <v>Tablet</v>
      </c>
      <c r="M153" t="str">
        <f>VLOOKUP(Googleadssales[[#This Row],[Ad_ID]],'[1]pre processed data'!A:T,20,0)</f>
        <v>data analytics training</v>
      </c>
    </row>
    <row r="154" spans="1:13" x14ac:dyDescent="0.3">
      <c r="A154" t="s">
        <v>167</v>
      </c>
      <c r="B154" t="s">
        <v>14</v>
      </c>
      <c r="C154" s="4">
        <f>VLOOKUP(Googleadssales[[#This Row],[Ad_ID]],'[1]pre processed data'!A:C,3,0)</f>
        <v>116</v>
      </c>
      <c r="D154" s="4">
        <f>VLOOKUP(Googleadssales[[#This Row],[Ad_ID]],'[1]pre processed data'!A:E,5,0)</f>
        <v>3901</v>
      </c>
      <c r="E154" s="5" t="str">
        <f>VLOOKUP(Googleadssales[[#This Row],[Ad_ID]],[1]!Table3[[Ad_ID]:[Cost-imputed]],7,0)</f>
        <v>$200.00</v>
      </c>
      <c r="F154" s="4">
        <f>VLOOKUP(Googleadssales[[#This Row],[Ad_ID]],'[1]pre processed data'!A:I,9,0)</f>
        <v>21</v>
      </c>
      <c r="G154" s="4">
        <f>VLOOKUP(Googleadssales[[#This Row],[Ad_ID]],'[1]pre processed data'!A:K,11,0)</f>
        <v>4</v>
      </c>
      <c r="H154" s="2">
        <f>Googleadssales[[#This Row],[Conversions]]/Googleadssales[[#This Row],[Clicks]]</f>
        <v>3.4482758620689655E-2</v>
      </c>
      <c r="I154" t="str">
        <f>VLOOKUP(Googleadssales[[#This Row],[Ad_ID]],'[1]pre processed data'!A:O,15,0)</f>
        <v>$1483</v>
      </c>
      <c r="J154" s="3">
        <f>VLOOKUP(Googleadssales[[#This Row],[Ad_ID]],'[1]pre processed data'!A:Q,17,0)</f>
        <v>45609</v>
      </c>
      <c r="K154" t="str">
        <f>VLOOKUP(Googleadssales[[#This Row],[Ad_ID]],'[1]pre processed data'!A:R,18,0)</f>
        <v>Hyderabad</v>
      </c>
      <c r="L154" t="str">
        <f>VLOOKUP(Googleadssales[[#This Row],[Ad_ID]],'[1]pre processed data'!A:S,19,0)</f>
        <v>Tablet</v>
      </c>
      <c r="M154" t="str">
        <f>VLOOKUP(Googleadssales[[#This Row],[Ad_ID]],'[1]pre processed data'!A:T,20,0)</f>
        <v>online data analytic</v>
      </c>
    </row>
    <row r="155" spans="1:13" x14ac:dyDescent="0.3">
      <c r="A155" t="s">
        <v>168</v>
      </c>
      <c r="B155" t="s">
        <v>14</v>
      </c>
      <c r="C155" s="4">
        <f>VLOOKUP(Googleadssales[[#This Row],[Ad_ID]],'[1]pre processed data'!A:C,3,0)</f>
        <v>156</v>
      </c>
      <c r="D155" s="4">
        <f>VLOOKUP(Googleadssales[[#This Row],[Ad_ID]],'[1]pre processed data'!A:E,5,0)</f>
        <v>3335</v>
      </c>
      <c r="E155" s="5" t="str">
        <f>VLOOKUP(Googleadssales[[#This Row],[Ad_ID]],[1]!Table3[[Ad_ID]:[Cost-imputed]],7,0)</f>
        <v>$236.98</v>
      </c>
      <c r="F155" s="4">
        <f>VLOOKUP(Googleadssales[[#This Row],[Ad_ID]],'[1]pre processed data'!A:I,9,0)</f>
        <v>29</v>
      </c>
      <c r="G155" s="4">
        <f>VLOOKUP(Googleadssales[[#This Row],[Ad_ID]],'[1]pre processed data'!A:K,11,0)</f>
        <v>7</v>
      </c>
      <c r="H155" s="2">
        <f>Googleadssales[[#This Row],[Conversions]]/Googleadssales[[#This Row],[Clicks]]</f>
        <v>4.4871794871794872E-2</v>
      </c>
      <c r="I155" t="str">
        <f>VLOOKUP(Googleadssales[[#This Row],[Ad_ID]],'[1]pre processed data'!A:O,15,0)</f>
        <v>$1143</v>
      </c>
      <c r="J155" s="3">
        <f>VLOOKUP(Googleadssales[[#This Row],[Ad_ID]],'[1]pre processed data'!A:Q,17,0)</f>
        <v>45610</v>
      </c>
      <c r="K155" t="str">
        <f>VLOOKUP(Googleadssales[[#This Row],[Ad_ID]],'[1]pre processed data'!A:R,18,0)</f>
        <v>Chennai</v>
      </c>
      <c r="L155" t="str">
        <f>VLOOKUP(Googleadssales[[#This Row],[Ad_ID]],'[1]pre processed data'!A:S,19,0)</f>
        <v>Desktop</v>
      </c>
      <c r="M155" t="str">
        <f>VLOOKUP(Googleadssales[[#This Row],[Ad_ID]],'[1]pre processed data'!A:T,20,0)</f>
        <v>data analytics course</v>
      </c>
    </row>
    <row r="156" spans="1:13" x14ac:dyDescent="0.3">
      <c r="A156" t="s">
        <v>169</v>
      </c>
      <c r="B156" t="s">
        <v>14</v>
      </c>
      <c r="C156" s="4">
        <f>VLOOKUP(Googleadssales[[#This Row],[Ad_ID]],'[1]pre processed data'!A:C,3,0)</f>
        <v>177</v>
      </c>
      <c r="D156" s="4">
        <f>VLOOKUP(Googleadssales[[#This Row],[Ad_ID]],'[1]pre processed data'!A:E,5,0)</f>
        <v>5671</v>
      </c>
      <c r="E156" s="5" t="str">
        <f>VLOOKUP(Googleadssales[[#This Row],[Ad_ID]],[1]!Table3[[Ad_ID]:[Cost-imputed]],7,0)</f>
        <v>$210.74</v>
      </c>
      <c r="F156" s="4">
        <f>VLOOKUP(Googleadssales[[#This Row],[Ad_ID]],'[1]pre processed data'!A:I,9,0)</f>
        <v>19</v>
      </c>
      <c r="G156" s="4">
        <f>VLOOKUP(Googleadssales[[#This Row],[Ad_ID]],'[1]pre processed data'!A:K,11,0)</f>
        <v>6</v>
      </c>
      <c r="H156" s="2">
        <f>Googleadssales[[#This Row],[Conversions]]/Googleadssales[[#This Row],[Clicks]]</f>
        <v>3.3898305084745763E-2</v>
      </c>
      <c r="I156" t="str">
        <f>VLOOKUP(Googleadssales[[#This Row],[Ad_ID]],'[1]pre processed data'!A:O,15,0)</f>
        <v>$1172</v>
      </c>
      <c r="J156" s="3">
        <f>VLOOKUP(Googleadssales[[#This Row],[Ad_ID]],'[1]pre processed data'!A:Q,17,0)</f>
        <v>45621</v>
      </c>
      <c r="K156" t="str">
        <f>VLOOKUP(Googleadssales[[#This Row],[Ad_ID]],'[1]pre processed data'!A:R,18,0)</f>
        <v>Hyderabad</v>
      </c>
      <c r="L156" t="str">
        <f>VLOOKUP(Googleadssales[[#This Row],[Ad_ID]],'[1]pre processed data'!A:S,19,0)</f>
        <v>Tablet</v>
      </c>
      <c r="M156" t="str">
        <f>VLOOKUP(Googleadssales[[#This Row],[Ad_ID]],'[1]pre processed data'!A:T,20,0)</f>
        <v>data analytics course</v>
      </c>
    </row>
    <row r="157" spans="1:13" x14ac:dyDescent="0.3">
      <c r="A157" t="s">
        <v>170</v>
      </c>
      <c r="B157" t="s">
        <v>14</v>
      </c>
      <c r="C157" s="4">
        <f>VLOOKUP(Googleadssales[[#This Row],[Ad_ID]],'[1]pre processed data'!A:C,3,0)</f>
        <v>89</v>
      </c>
      <c r="D157" s="4">
        <f>VLOOKUP(Googleadssales[[#This Row],[Ad_ID]],'[1]pre processed data'!A:E,5,0)</f>
        <v>3408</v>
      </c>
      <c r="E157" s="5" t="str">
        <f>VLOOKUP(Googleadssales[[#This Row],[Ad_ID]],[1]!Table3[[Ad_ID]:[Cost-imputed]],7,0)</f>
        <v>$214.78</v>
      </c>
      <c r="F157" s="4">
        <f>VLOOKUP(Googleadssales[[#This Row],[Ad_ID]],'[1]pre processed data'!A:I,9,0)</f>
        <v>25</v>
      </c>
      <c r="G157" s="4">
        <f>VLOOKUP(Googleadssales[[#This Row],[Ad_ID]],'[1]pre processed data'!A:K,11,0)</f>
        <v>9</v>
      </c>
      <c r="H157" s="2">
        <f>Googleadssales[[#This Row],[Conversions]]/Googleadssales[[#This Row],[Clicks]]</f>
        <v>0.10112359550561797</v>
      </c>
      <c r="I157" t="str">
        <f>VLOOKUP(Googleadssales[[#This Row],[Ad_ID]],'[1]pre processed data'!A:O,15,0)</f>
        <v>$1898</v>
      </c>
      <c r="J157" s="3">
        <f>VLOOKUP(Googleadssales[[#This Row],[Ad_ID]],'[1]pre processed data'!A:Q,17,0)</f>
        <v>45611</v>
      </c>
      <c r="K157" t="str">
        <f>VLOOKUP(Googleadssales[[#This Row],[Ad_ID]],'[1]pre processed data'!A:R,18,0)</f>
        <v>Bangaluru</v>
      </c>
      <c r="L157" t="str">
        <f>VLOOKUP(Googleadssales[[#This Row],[Ad_ID]],'[1]pre processed data'!A:S,19,0)</f>
        <v>Mobile</v>
      </c>
      <c r="M157" t="str">
        <f>VLOOKUP(Googleadssales[[#This Row],[Ad_ID]],'[1]pre processed data'!A:T,20,0)</f>
        <v>data analytics course</v>
      </c>
    </row>
    <row r="158" spans="1:13" x14ac:dyDescent="0.3">
      <c r="A158" t="s">
        <v>171</v>
      </c>
      <c r="B158" t="s">
        <v>14</v>
      </c>
      <c r="C158" s="4">
        <f>VLOOKUP(Googleadssales[[#This Row],[Ad_ID]],'[1]pre processed data'!A:C,3,0)</f>
        <v>155</v>
      </c>
      <c r="D158" s="4">
        <f>VLOOKUP(Googleadssales[[#This Row],[Ad_ID]],'[1]pre processed data'!A:E,5,0)</f>
        <v>4422</v>
      </c>
      <c r="E158" s="5" t="str">
        <f>VLOOKUP(Googleadssales[[#This Row],[Ad_ID]],[1]!Table3[[Ad_ID]:[Cost-imputed]],7,0)</f>
        <v>$183.96</v>
      </c>
      <c r="F158" s="4">
        <f>VLOOKUP(Googleadssales[[#This Row],[Ad_ID]],'[1]pre processed data'!A:I,9,0)</f>
        <v>14</v>
      </c>
      <c r="G158" s="4">
        <f>VLOOKUP(Googleadssales[[#This Row],[Ad_ID]],'[1]pre processed data'!A:K,11,0)</f>
        <v>8</v>
      </c>
      <c r="H158" s="2">
        <f>Googleadssales[[#This Row],[Conversions]]/Googleadssales[[#This Row],[Clicks]]</f>
        <v>5.1612903225806452E-2</v>
      </c>
      <c r="I158" t="str">
        <f>VLOOKUP(Googleadssales[[#This Row],[Ad_ID]],'[1]pre processed data'!A:O,15,0)</f>
        <v>$1143</v>
      </c>
      <c r="J158" s="3">
        <f>VLOOKUP(Googleadssales[[#This Row],[Ad_ID]],'[1]pre processed data'!A:Q,17,0)</f>
        <v>45611</v>
      </c>
      <c r="K158" t="str">
        <f>VLOOKUP(Googleadssales[[#This Row],[Ad_ID]],'[1]pre processed data'!A:R,18,0)</f>
        <v>Bangaluru</v>
      </c>
      <c r="L158" t="str">
        <f>VLOOKUP(Googleadssales[[#This Row],[Ad_ID]],'[1]pre processed data'!A:S,19,0)</f>
        <v>Mobile</v>
      </c>
      <c r="M158" t="str">
        <f>VLOOKUP(Googleadssales[[#This Row],[Ad_ID]],'[1]pre processed data'!A:T,20,0)</f>
        <v>analytics for data</v>
      </c>
    </row>
    <row r="159" spans="1:13" x14ac:dyDescent="0.3">
      <c r="A159" t="s">
        <v>172</v>
      </c>
      <c r="B159" t="s">
        <v>18</v>
      </c>
      <c r="C159" s="4">
        <f>VLOOKUP(Googleadssales[[#This Row],[Ad_ID]],'[1]pre processed data'!A:C,3,0)</f>
        <v>123</v>
      </c>
      <c r="D159" s="4">
        <f>VLOOKUP(Googleadssales[[#This Row],[Ad_ID]],'[1]pre processed data'!A:E,5,0)</f>
        <v>3097</v>
      </c>
      <c r="E159" s="5" t="str">
        <f>VLOOKUP(Googleadssales[[#This Row],[Ad_ID]],[1]!Table3[[Ad_ID]:[Cost-imputed]],7,0)</f>
        <v>$190.55</v>
      </c>
      <c r="F159" s="4">
        <f>VLOOKUP(Googleadssales[[#This Row],[Ad_ID]],'[1]pre processed data'!A:I,9,0)</f>
        <v>20</v>
      </c>
      <c r="G159" s="4">
        <f>VLOOKUP(Googleadssales[[#This Row],[Ad_ID]],'[1]pre processed data'!A:K,11,0)</f>
        <v>8</v>
      </c>
      <c r="H159" s="2">
        <f>Googleadssales[[#This Row],[Conversions]]/Googleadssales[[#This Row],[Clicks]]</f>
        <v>6.5040650406504072E-2</v>
      </c>
      <c r="I159" t="str">
        <f>VLOOKUP(Googleadssales[[#This Row],[Ad_ID]],'[1]pre processed data'!A:O,15,0)</f>
        <v>$1640</v>
      </c>
      <c r="J159" s="3">
        <f>VLOOKUP(Googleadssales[[#This Row],[Ad_ID]],'[1]pre processed data'!A:Q,17,0)</f>
        <v>45618</v>
      </c>
      <c r="K159" t="str">
        <f>VLOOKUP(Googleadssales[[#This Row],[Ad_ID]],'[1]pre processed data'!A:R,18,0)</f>
        <v>Chennai</v>
      </c>
      <c r="L159" t="str">
        <f>VLOOKUP(Googleadssales[[#This Row],[Ad_ID]],'[1]pre processed data'!A:S,19,0)</f>
        <v>Tablet</v>
      </c>
      <c r="M159" t="str">
        <f>VLOOKUP(Googleadssales[[#This Row],[Ad_ID]],'[1]pre processed data'!A:T,20,0)</f>
        <v>data analytics course</v>
      </c>
    </row>
    <row r="160" spans="1:13" x14ac:dyDescent="0.3">
      <c r="A160" t="s">
        <v>173</v>
      </c>
      <c r="B160" t="s">
        <v>14</v>
      </c>
      <c r="C160" s="4">
        <f>VLOOKUP(Googleadssales[[#This Row],[Ad_ID]],'[1]pre processed data'!A:C,3,0)</f>
        <v>102</v>
      </c>
      <c r="D160" s="4">
        <f>VLOOKUP(Googleadssales[[#This Row],[Ad_ID]],'[1]pre processed data'!A:E,5,0)</f>
        <v>3621</v>
      </c>
      <c r="E160" s="5" t="str">
        <f>VLOOKUP(Googleadssales[[#This Row],[Ad_ID]],[1]!Table3[[Ad_ID]:[Cost-imputed]],7,0)</f>
        <v>$244.82</v>
      </c>
      <c r="F160" s="4">
        <f>VLOOKUP(Googleadssales[[#This Row],[Ad_ID]],'[1]pre processed data'!A:I,9,0)</f>
        <v>10</v>
      </c>
      <c r="G160" s="4">
        <f>VLOOKUP(Googleadssales[[#This Row],[Ad_ID]],'[1]pre processed data'!A:K,11,0)</f>
        <v>5</v>
      </c>
      <c r="H160" s="2">
        <f>Googleadssales[[#This Row],[Conversions]]/Googleadssales[[#This Row],[Clicks]]</f>
        <v>4.9019607843137254E-2</v>
      </c>
      <c r="I160" t="str">
        <f>VLOOKUP(Googleadssales[[#This Row],[Ad_ID]],'[1]pre processed data'!A:O,15,0)</f>
        <v>$1375</v>
      </c>
      <c r="J160" s="3">
        <f>VLOOKUP(Googleadssales[[#This Row],[Ad_ID]],'[1]pre processed data'!A:Q,17,0)</f>
        <v>45608</v>
      </c>
      <c r="K160" t="str">
        <f>VLOOKUP(Googleadssales[[#This Row],[Ad_ID]],'[1]pre processed data'!A:R,18,0)</f>
        <v>Bangaluru</v>
      </c>
      <c r="L160" t="str">
        <f>VLOOKUP(Googleadssales[[#This Row],[Ad_ID]],'[1]pre processed data'!A:S,19,0)</f>
        <v>Mobile</v>
      </c>
      <c r="M160" t="str">
        <f>VLOOKUP(Googleadssales[[#This Row],[Ad_ID]],'[1]pre processed data'!A:T,20,0)</f>
        <v>learn data analytics</v>
      </c>
    </row>
    <row r="161" spans="1:13" x14ac:dyDescent="0.3">
      <c r="A161" t="s">
        <v>174</v>
      </c>
      <c r="B161" t="s">
        <v>14</v>
      </c>
      <c r="C161" s="4">
        <f>VLOOKUP(Googleadssales[[#This Row],[Ad_ID]],'[1]pre processed data'!A:C,3,0)</f>
        <v>150</v>
      </c>
      <c r="D161" s="4">
        <f>VLOOKUP(Googleadssales[[#This Row],[Ad_ID]],'[1]pre processed data'!A:E,5,0)</f>
        <v>4806</v>
      </c>
      <c r="E161" s="5" t="str">
        <f>VLOOKUP(Googleadssales[[#This Row],[Ad_ID]],[1]!Table3[[Ad_ID]:[Cost-imputed]],7,0)</f>
        <v>$244.53</v>
      </c>
      <c r="F161" s="4">
        <f>VLOOKUP(Googleadssales[[#This Row],[Ad_ID]],'[1]pre processed data'!A:I,9,0)</f>
        <v>15</v>
      </c>
      <c r="G161" s="4">
        <f>VLOOKUP(Googleadssales[[#This Row],[Ad_ID]],'[1]pre processed data'!A:K,11,0)</f>
        <v>9</v>
      </c>
      <c r="H161" s="2">
        <f>Googleadssales[[#This Row],[Conversions]]/Googleadssales[[#This Row],[Clicks]]</f>
        <v>0.06</v>
      </c>
      <c r="I161" t="str">
        <f>VLOOKUP(Googleadssales[[#This Row],[Ad_ID]],'[1]pre processed data'!A:O,15,0)</f>
        <v>$1602</v>
      </c>
      <c r="J161" s="3">
        <f>VLOOKUP(Googleadssales[[#This Row],[Ad_ID]],'[1]pre processed data'!A:Q,17,0)</f>
        <v>45603</v>
      </c>
      <c r="K161" t="str">
        <f>VLOOKUP(Googleadssales[[#This Row],[Ad_ID]],'[1]pre processed data'!A:R,18,0)</f>
        <v>Bangaluru</v>
      </c>
      <c r="L161" t="str">
        <f>VLOOKUP(Googleadssales[[#This Row],[Ad_ID]],'[1]pre processed data'!A:S,19,0)</f>
        <v>Mobile</v>
      </c>
      <c r="M161" t="str">
        <f>VLOOKUP(Googleadssales[[#This Row],[Ad_ID]],'[1]pre processed data'!A:T,20,0)</f>
        <v>data analytics online</v>
      </c>
    </row>
    <row r="162" spans="1:13" x14ac:dyDescent="0.3">
      <c r="A162" t="s">
        <v>175</v>
      </c>
      <c r="B162" t="s">
        <v>14</v>
      </c>
      <c r="C162" s="4">
        <f>VLOOKUP(Googleadssales[[#This Row],[Ad_ID]],'[1]pre processed data'!A:C,3,0)</f>
        <v>160</v>
      </c>
      <c r="D162" s="4">
        <f>VLOOKUP(Googleadssales[[#This Row],[Ad_ID]],'[1]pre processed data'!A:E,5,0)</f>
        <v>4523.2808326787117</v>
      </c>
      <c r="E162" s="5" t="str">
        <f>VLOOKUP(Googleadssales[[#This Row],[Ad_ID]],[1]!Table3[[Ad_ID]:[Cost-imputed]],7,0)</f>
        <v>$245.87</v>
      </c>
      <c r="F162" s="4">
        <f>VLOOKUP(Googleadssales[[#This Row],[Ad_ID]],'[1]pre processed data'!A:I,9,0)</f>
        <v>11</v>
      </c>
      <c r="G162" s="4">
        <f>VLOOKUP(Googleadssales[[#This Row],[Ad_ID]],'[1]pre processed data'!A:K,11,0)</f>
        <v>6</v>
      </c>
      <c r="H162" s="2">
        <f>Googleadssales[[#This Row],[Conversions]]/Googleadssales[[#This Row],[Clicks]]</f>
        <v>3.7499999999999999E-2</v>
      </c>
      <c r="I162" t="str">
        <f>VLOOKUP(Googleadssales[[#This Row],[Ad_ID]],'[1]pre processed data'!A:O,15,0)</f>
        <v>$1500</v>
      </c>
      <c r="J162" s="3">
        <f>VLOOKUP(Googleadssales[[#This Row],[Ad_ID]],'[1]pre processed data'!A:Q,17,0)</f>
        <v>45601</v>
      </c>
      <c r="K162" t="str">
        <f>VLOOKUP(Googleadssales[[#This Row],[Ad_ID]],'[1]pre processed data'!A:R,18,0)</f>
        <v>Chennai</v>
      </c>
      <c r="L162" t="str">
        <f>VLOOKUP(Googleadssales[[#This Row],[Ad_ID]],'[1]pre processed data'!A:S,19,0)</f>
        <v>Desktop</v>
      </c>
      <c r="M162" t="str">
        <f>VLOOKUP(Googleadssales[[#This Row],[Ad_ID]],'[1]pre processed data'!A:T,20,0)</f>
        <v>analytics for data</v>
      </c>
    </row>
    <row r="163" spans="1:13" x14ac:dyDescent="0.3">
      <c r="A163" t="s">
        <v>176</v>
      </c>
      <c r="B163" t="s">
        <v>14</v>
      </c>
      <c r="C163" s="4">
        <f>VLOOKUP(Googleadssales[[#This Row],[Ad_ID]],'[1]pre processed data'!A:C,3,0)</f>
        <v>143</v>
      </c>
      <c r="D163" s="4">
        <f>VLOOKUP(Googleadssales[[#This Row],[Ad_ID]],'[1]pre processed data'!A:E,5,0)</f>
        <v>3901</v>
      </c>
      <c r="E163" s="5" t="str">
        <f>VLOOKUP(Googleadssales[[#This Row],[Ad_ID]],[1]!Table3[[Ad_ID]:[Cost-imputed]],7,0)</f>
        <v>$191.38</v>
      </c>
      <c r="F163" s="4">
        <f>VLOOKUP(Googleadssales[[#This Row],[Ad_ID]],'[1]pre processed data'!A:I,9,0)</f>
        <v>29</v>
      </c>
      <c r="G163" s="4">
        <f>VLOOKUP(Googleadssales[[#This Row],[Ad_ID]],'[1]pre processed data'!A:K,11,0)</f>
        <v>4</v>
      </c>
      <c r="H163" s="2">
        <f>Googleadssales[[#This Row],[Conversions]]/Googleadssales[[#This Row],[Clicks]]</f>
        <v>2.7972027972027972E-2</v>
      </c>
      <c r="I163" t="str">
        <f>VLOOKUP(Googleadssales[[#This Row],[Ad_ID]],'[1]pre processed data'!A:O,15,0)</f>
        <v>$1786</v>
      </c>
      <c r="J163" s="3">
        <f>VLOOKUP(Googleadssales[[#This Row],[Ad_ID]],'[1]pre processed data'!A:Q,17,0)</f>
        <v>45620</v>
      </c>
      <c r="K163" t="str">
        <f>VLOOKUP(Googleadssales[[#This Row],[Ad_ID]],'[1]pre processed data'!A:R,18,0)</f>
        <v>Hyderabad</v>
      </c>
      <c r="L163" t="str">
        <f>VLOOKUP(Googleadssales[[#This Row],[Ad_ID]],'[1]pre processed data'!A:S,19,0)</f>
        <v>Mobile</v>
      </c>
      <c r="M163" t="str">
        <f>VLOOKUP(Googleadssales[[#This Row],[Ad_ID]],'[1]pre processed data'!A:T,20,0)</f>
        <v>learn data analytics</v>
      </c>
    </row>
    <row r="164" spans="1:13" x14ac:dyDescent="0.3">
      <c r="A164" t="s">
        <v>177</v>
      </c>
      <c r="B164" t="s">
        <v>14</v>
      </c>
      <c r="C164" s="4">
        <f>VLOOKUP(Googleadssales[[#This Row],[Ad_ID]],'[1]pre processed data'!A:C,3,0)</f>
        <v>178</v>
      </c>
      <c r="D164" s="4">
        <f>VLOOKUP(Googleadssales[[#This Row],[Ad_ID]],'[1]pre processed data'!A:E,5,0)</f>
        <v>4673</v>
      </c>
      <c r="E164" s="5" t="str">
        <f>VLOOKUP(Googleadssales[[#This Row],[Ad_ID]],[1]!Table3[[Ad_ID]:[Cost-imputed]],7,0)</f>
        <v>$222.46</v>
      </c>
      <c r="F164" s="4">
        <f>VLOOKUP(Googleadssales[[#This Row],[Ad_ID]],'[1]pre processed data'!A:I,9,0)</f>
        <v>29</v>
      </c>
      <c r="G164" s="4">
        <f>VLOOKUP(Googleadssales[[#This Row],[Ad_ID]],'[1]pre processed data'!A:K,11,0)</f>
        <v>6</v>
      </c>
      <c r="H164" s="2">
        <f>Googleadssales[[#This Row],[Conversions]]/Googleadssales[[#This Row],[Clicks]]</f>
        <v>3.3707865168539325E-2</v>
      </c>
      <c r="I164" t="str">
        <f>VLOOKUP(Googleadssales[[#This Row],[Ad_ID]],'[1]pre processed data'!A:O,15,0)</f>
        <v>$1219</v>
      </c>
      <c r="J164" s="3">
        <f>VLOOKUP(Googleadssales[[#This Row],[Ad_ID]],'[1]pre processed data'!A:Q,17,0)</f>
        <v>45600</v>
      </c>
      <c r="K164" t="str">
        <f>VLOOKUP(Googleadssales[[#This Row],[Ad_ID]],'[1]pre processed data'!A:R,18,0)</f>
        <v>Bangaluru</v>
      </c>
      <c r="L164" t="str">
        <f>VLOOKUP(Googleadssales[[#This Row],[Ad_ID]],'[1]pre processed data'!A:S,19,0)</f>
        <v>Tablet</v>
      </c>
      <c r="M164" t="str">
        <f>VLOOKUP(Googleadssales[[#This Row],[Ad_ID]],'[1]pre processed data'!A:T,20,0)</f>
        <v>online data analytic</v>
      </c>
    </row>
    <row r="165" spans="1:13" x14ac:dyDescent="0.3">
      <c r="A165" t="s">
        <v>178</v>
      </c>
      <c r="B165" t="s">
        <v>14</v>
      </c>
      <c r="C165" s="4">
        <f>VLOOKUP(Googleadssales[[#This Row],[Ad_ID]],'[1]pre processed data'!A:C,3,0)</f>
        <v>152</v>
      </c>
      <c r="D165" s="4">
        <f>VLOOKUP(Googleadssales[[#This Row],[Ad_ID]],'[1]pre processed data'!A:E,5,0)</f>
        <v>3542</v>
      </c>
      <c r="E165" s="5" t="str">
        <f>VLOOKUP(Googleadssales[[#This Row],[Ad_ID]],[1]!Table3[[Ad_ID]:[Cost-imputed]],7,0)</f>
        <v>$208.96</v>
      </c>
      <c r="F165" s="4">
        <f>VLOOKUP(Googleadssales[[#This Row],[Ad_ID]],'[1]pre processed data'!A:I,9,0)</f>
        <v>13</v>
      </c>
      <c r="G165" s="4">
        <f>VLOOKUP(Googleadssales[[#This Row],[Ad_ID]],'[1]pre processed data'!A:K,11,0)</f>
        <v>9</v>
      </c>
      <c r="H165" s="2">
        <f>Googleadssales[[#This Row],[Conversions]]/Googleadssales[[#This Row],[Clicks]]</f>
        <v>5.921052631578947E-2</v>
      </c>
      <c r="I165" t="str">
        <f>VLOOKUP(Googleadssales[[#This Row],[Ad_ID]],'[1]pre processed data'!A:O,15,0)</f>
        <v>$1735</v>
      </c>
      <c r="J165" s="3">
        <f>VLOOKUP(Googleadssales[[#This Row],[Ad_ID]],'[1]pre processed data'!A:Q,17,0)</f>
        <v>45609</v>
      </c>
      <c r="K165" t="str">
        <f>VLOOKUP(Googleadssales[[#This Row],[Ad_ID]],'[1]pre processed data'!A:R,18,0)</f>
        <v>Chennai</v>
      </c>
      <c r="L165" t="str">
        <f>VLOOKUP(Googleadssales[[#This Row],[Ad_ID]],'[1]pre processed data'!A:S,19,0)</f>
        <v>Desktop</v>
      </c>
      <c r="M165" t="str">
        <f>VLOOKUP(Googleadssales[[#This Row],[Ad_ID]],'[1]pre processed data'!A:T,20,0)</f>
        <v>data analytics course</v>
      </c>
    </row>
    <row r="166" spans="1:13" x14ac:dyDescent="0.3">
      <c r="A166" t="s">
        <v>179</v>
      </c>
      <c r="B166" t="s">
        <v>14</v>
      </c>
      <c r="C166" s="4">
        <f>VLOOKUP(Googleadssales[[#This Row],[Ad_ID]],'[1]pre processed data'!A:C,3,0)</f>
        <v>139</v>
      </c>
      <c r="D166" s="4">
        <f>VLOOKUP(Googleadssales[[#This Row],[Ad_ID]],'[1]pre processed data'!A:E,5,0)</f>
        <v>4347</v>
      </c>
      <c r="E166" s="5" t="str">
        <f>VLOOKUP(Googleadssales[[#This Row],[Ad_ID]],[1]!Table3[[Ad_ID]:[Cost-imputed]],7,0)</f>
        <v>$238.19</v>
      </c>
      <c r="F166" s="4">
        <f>VLOOKUP(Googleadssales[[#This Row],[Ad_ID]],'[1]pre processed data'!A:I,9,0)</f>
        <v>26</v>
      </c>
      <c r="G166" s="4">
        <f>VLOOKUP(Googleadssales[[#This Row],[Ad_ID]],'[1]pre processed data'!A:K,11,0)</f>
        <v>5</v>
      </c>
      <c r="H166" s="2">
        <f>Googleadssales[[#This Row],[Conversions]]/Googleadssales[[#This Row],[Clicks]]</f>
        <v>3.5971223021582732E-2</v>
      </c>
      <c r="I166" t="str">
        <f>VLOOKUP(Googleadssales[[#This Row],[Ad_ID]],'[1]pre processed data'!A:O,15,0)</f>
        <v>$1384</v>
      </c>
      <c r="J166" s="3">
        <f>VLOOKUP(Googleadssales[[#This Row],[Ad_ID]],'[1]pre processed data'!A:Q,17,0)</f>
        <v>45609</v>
      </c>
      <c r="K166" t="str">
        <f>VLOOKUP(Googleadssales[[#This Row],[Ad_ID]],'[1]pre processed data'!A:R,18,0)</f>
        <v>Bangaluru</v>
      </c>
      <c r="L166" t="str">
        <f>VLOOKUP(Googleadssales[[#This Row],[Ad_ID]],'[1]pre processed data'!A:S,19,0)</f>
        <v>Tablet</v>
      </c>
      <c r="M166" t="str">
        <f>VLOOKUP(Googleadssales[[#This Row],[Ad_ID]],'[1]pre processed data'!A:T,20,0)</f>
        <v>analytics for data</v>
      </c>
    </row>
    <row r="167" spans="1:13" x14ac:dyDescent="0.3">
      <c r="A167" t="s">
        <v>180</v>
      </c>
      <c r="B167" t="s">
        <v>18</v>
      </c>
      <c r="C167" s="4">
        <f>VLOOKUP(Googleadssales[[#This Row],[Ad_ID]],'[1]pre processed data'!A:C,3,0)</f>
        <v>175</v>
      </c>
      <c r="D167" s="4">
        <f>VLOOKUP(Googleadssales[[#This Row],[Ad_ID]],'[1]pre processed data'!A:E,5,0)</f>
        <v>5014</v>
      </c>
      <c r="E167" s="5" t="str">
        <f>VLOOKUP(Googleadssales[[#This Row],[Ad_ID]],[1]!Table3[[Ad_ID]:[Cost-imputed]],7,0)</f>
        <v>$247.24</v>
      </c>
      <c r="F167" s="4">
        <f>VLOOKUP(Googleadssales[[#This Row],[Ad_ID]],'[1]pre processed data'!A:I,9,0)</f>
        <v>25</v>
      </c>
      <c r="G167" s="4">
        <f>VLOOKUP(Googleadssales[[#This Row],[Ad_ID]],'[1]pre processed data'!A:K,11,0)</f>
        <v>7</v>
      </c>
      <c r="H167" s="2">
        <f>Googleadssales[[#This Row],[Conversions]]/Googleadssales[[#This Row],[Clicks]]</f>
        <v>0.04</v>
      </c>
      <c r="I167" t="str">
        <f>VLOOKUP(Googleadssales[[#This Row],[Ad_ID]],'[1]pre processed data'!A:O,15,0)</f>
        <v>$1499</v>
      </c>
      <c r="J167" s="3">
        <f>VLOOKUP(Googleadssales[[#This Row],[Ad_ID]],'[1]pre processed data'!A:Q,17,0)</f>
        <v>45611</v>
      </c>
      <c r="K167" t="str">
        <f>VLOOKUP(Googleadssales[[#This Row],[Ad_ID]],'[1]pre processed data'!A:R,18,0)</f>
        <v>Bangaluru</v>
      </c>
      <c r="L167" t="str">
        <f>VLOOKUP(Googleadssales[[#This Row],[Ad_ID]],'[1]pre processed data'!A:S,19,0)</f>
        <v>Mobile</v>
      </c>
      <c r="M167" t="str">
        <f>VLOOKUP(Googleadssales[[#This Row],[Ad_ID]],'[1]pre processed data'!A:T,20,0)</f>
        <v>learn data analytics</v>
      </c>
    </row>
    <row r="168" spans="1:13" x14ac:dyDescent="0.3">
      <c r="A168" t="s">
        <v>181</v>
      </c>
      <c r="B168" t="s">
        <v>14</v>
      </c>
      <c r="C168" s="4">
        <f>VLOOKUP(Googleadssales[[#This Row],[Ad_ID]],'[1]pre processed data'!A:C,3,0)</f>
        <v>92</v>
      </c>
      <c r="D168" s="4">
        <f>VLOOKUP(Googleadssales[[#This Row],[Ad_ID]],'[1]pre processed data'!A:E,5,0)</f>
        <v>4185</v>
      </c>
      <c r="E168" s="5" t="str">
        <f>VLOOKUP(Googleadssales[[#This Row],[Ad_ID]],[1]!Table3[[Ad_ID]:[Cost-imputed]],7,0)</f>
        <v>$218.46</v>
      </c>
      <c r="F168" s="4">
        <f>VLOOKUP(Googleadssales[[#This Row],[Ad_ID]],'[1]pre processed data'!A:I,9,0)</f>
        <v>21</v>
      </c>
      <c r="G168" s="4">
        <f>VLOOKUP(Googleadssales[[#This Row],[Ad_ID]],'[1]pre processed data'!A:K,11,0)</f>
        <v>9</v>
      </c>
      <c r="H168" s="2">
        <f>Googleadssales[[#This Row],[Conversions]]/Googleadssales[[#This Row],[Clicks]]</f>
        <v>9.7826086956521743E-2</v>
      </c>
      <c r="I168" t="str">
        <f>VLOOKUP(Googleadssales[[#This Row],[Ad_ID]],'[1]pre processed data'!A:O,15,0)</f>
        <v>$1567</v>
      </c>
      <c r="J168" s="3">
        <f>VLOOKUP(Googleadssales[[#This Row],[Ad_ID]],'[1]pre processed data'!A:Q,17,0)</f>
        <v>45599</v>
      </c>
      <c r="K168" t="str">
        <f>VLOOKUP(Googleadssales[[#This Row],[Ad_ID]],'[1]pre processed data'!A:R,18,0)</f>
        <v>Chennai</v>
      </c>
      <c r="L168" t="str">
        <f>VLOOKUP(Googleadssales[[#This Row],[Ad_ID]],'[1]pre processed data'!A:S,19,0)</f>
        <v>Mobile</v>
      </c>
      <c r="M168" t="str">
        <f>VLOOKUP(Googleadssales[[#This Row],[Ad_ID]],'[1]pre processed data'!A:T,20,0)</f>
        <v>data analytics online</v>
      </c>
    </row>
    <row r="169" spans="1:13" x14ac:dyDescent="0.3">
      <c r="A169" t="s">
        <v>182</v>
      </c>
      <c r="B169" t="s">
        <v>14</v>
      </c>
      <c r="C169" s="4">
        <f>VLOOKUP(Googleadssales[[#This Row],[Ad_ID]],'[1]pre processed data'!A:C,3,0)</f>
        <v>123</v>
      </c>
      <c r="D169" s="4">
        <f>VLOOKUP(Googleadssales[[#This Row],[Ad_ID]],'[1]pre processed data'!A:E,5,0)</f>
        <v>5964</v>
      </c>
      <c r="E169" s="5" t="str">
        <f>VLOOKUP(Googleadssales[[#This Row],[Ad_ID]],[1]!Table3[[Ad_ID]:[Cost-imputed]],7,0)</f>
        <v>$200.00</v>
      </c>
      <c r="F169" s="4">
        <f>VLOOKUP(Googleadssales[[#This Row],[Ad_ID]],'[1]pre processed data'!A:I,9,0)</f>
        <v>17</v>
      </c>
      <c r="G169" s="4">
        <f>VLOOKUP(Googleadssales[[#This Row],[Ad_ID]],'[1]pre processed data'!A:K,11,0)</f>
        <v>6</v>
      </c>
      <c r="H169" s="2">
        <f>Googleadssales[[#This Row],[Conversions]]/Googleadssales[[#This Row],[Clicks]]</f>
        <v>4.878048780487805E-2</v>
      </c>
      <c r="I169" t="str">
        <f>VLOOKUP(Googleadssales[[#This Row],[Ad_ID]],'[1]pre processed data'!A:O,15,0)</f>
        <v>$1363</v>
      </c>
      <c r="J169" s="3">
        <f>VLOOKUP(Googleadssales[[#This Row],[Ad_ID]],'[1]pre processed data'!A:Q,17,0)</f>
        <v>45599</v>
      </c>
      <c r="K169" t="str">
        <f>VLOOKUP(Googleadssales[[#This Row],[Ad_ID]],'[1]pre processed data'!A:R,18,0)</f>
        <v>Bangaluru</v>
      </c>
      <c r="L169" t="str">
        <f>VLOOKUP(Googleadssales[[#This Row],[Ad_ID]],'[1]pre processed data'!A:S,19,0)</f>
        <v>Desktop</v>
      </c>
      <c r="M169" t="str">
        <f>VLOOKUP(Googleadssales[[#This Row],[Ad_ID]],'[1]pre processed data'!A:T,20,0)</f>
        <v>data analytics training</v>
      </c>
    </row>
    <row r="170" spans="1:13" x14ac:dyDescent="0.3">
      <c r="A170" t="s">
        <v>183</v>
      </c>
      <c r="B170" t="s">
        <v>18</v>
      </c>
      <c r="C170" s="4">
        <f>VLOOKUP(Googleadssales[[#This Row],[Ad_ID]],'[1]pre processed data'!A:C,3,0)</f>
        <v>86</v>
      </c>
      <c r="D170" s="4">
        <f>VLOOKUP(Googleadssales[[#This Row],[Ad_ID]],'[1]pre processed data'!A:E,5,0)</f>
        <v>5124</v>
      </c>
      <c r="E170" s="5" t="str">
        <f>VLOOKUP(Googleadssales[[#This Row],[Ad_ID]],[1]!Table3[[Ad_ID]:[Cost-imputed]],7,0)</f>
        <v>$183.71</v>
      </c>
      <c r="F170" s="4">
        <f>VLOOKUP(Googleadssales[[#This Row],[Ad_ID]],'[1]pre processed data'!A:I,9,0)</f>
        <v>13</v>
      </c>
      <c r="G170" s="4">
        <f>VLOOKUP(Googleadssales[[#This Row],[Ad_ID]],'[1]pre processed data'!A:K,11,0)</f>
        <v>10</v>
      </c>
      <c r="H170" s="2">
        <f>Googleadssales[[#This Row],[Conversions]]/Googleadssales[[#This Row],[Clicks]]</f>
        <v>0.11627906976744186</v>
      </c>
      <c r="I170" t="str">
        <f>VLOOKUP(Googleadssales[[#This Row],[Ad_ID]],'[1]pre processed data'!A:O,15,0)</f>
        <v>$1137</v>
      </c>
      <c r="J170" s="3">
        <f>VLOOKUP(Googleadssales[[#This Row],[Ad_ID]],'[1]pre processed data'!A:Q,17,0)</f>
        <v>45616</v>
      </c>
      <c r="K170" t="str">
        <f>VLOOKUP(Googleadssales[[#This Row],[Ad_ID]],'[1]pre processed data'!A:R,18,0)</f>
        <v>Hyderabad</v>
      </c>
      <c r="L170" t="str">
        <f>VLOOKUP(Googleadssales[[#This Row],[Ad_ID]],'[1]pre processed data'!A:S,19,0)</f>
        <v>Mobile</v>
      </c>
      <c r="M170" t="str">
        <f>VLOOKUP(Googleadssales[[#This Row],[Ad_ID]],'[1]pre processed data'!A:T,20,0)</f>
        <v>data analytics training</v>
      </c>
    </row>
    <row r="171" spans="1:13" x14ac:dyDescent="0.3">
      <c r="A171" t="s">
        <v>184</v>
      </c>
      <c r="B171" t="s">
        <v>14</v>
      </c>
      <c r="C171" s="4">
        <f>VLOOKUP(Googleadssales[[#This Row],[Ad_ID]],'[1]pre processed data'!A:C,3,0)</f>
        <v>117</v>
      </c>
      <c r="D171" s="4">
        <f>VLOOKUP(Googleadssales[[#This Row],[Ad_ID]],'[1]pre processed data'!A:E,5,0)</f>
        <v>4162</v>
      </c>
      <c r="E171" s="5" t="str">
        <f>VLOOKUP(Googleadssales[[#This Row],[Ad_ID]],[1]!Table3[[Ad_ID]:[Cost-imputed]],7,0)</f>
        <v>$238.08</v>
      </c>
      <c r="F171" s="4">
        <f>VLOOKUP(Googleadssales[[#This Row],[Ad_ID]],'[1]pre processed data'!A:I,9,0)</f>
        <v>28</v>
      </c>
      <c r="G171" s="4">
        <f>VLOOKUP(Googleadssales[[#This Row],[Ad_ID]],'[1]pre processed data'!A:K,11,0)</f>
        <v>10</v>
      </c>
      <c r="H171" s="2">
        <f>Googleadssales[[#This Row],[Conversions]]/Googleadssales[[#This Row],[Clicks]]</f>
        <v>8.5470085470085472E-2</v>
      </c>
      <c r="I171" t="str">
        <f>VLOOKUP(Googleadssales[[#This Row],[Ad_ID]],'[1]pre processed data'!A:O,15,0)</f>
        <v>$1186</v>
      </c>
      <c r="J171" s="3">
        <f>VLOOKUP(Googleadssales[[#This Row],[Ad_ID]],'[1]pre processed data'!A:Q,17,0)</f>
        <v>45618</v>
      </c>
      <c r="K171" t="str">
        <f>VLOOKUP(Googleadssales[[#This Row],[Ad_ID]],'[1]pre processed data'!A:R,18,0)</f>
        <v>Bangaluru</v>
      </c>
      <c r="L171" t="str">
        <f>VLOOKUP(Googleadssales[[#This Row],[Ad_ID]],'[1]pre processed data'!A:S,19,0)</f>
        <v>Mobile</v>
      </c>
      <c r="M171" t="str">
        <f>VLOOKUP(Googleadssales[[#This Row],[Ad_ID]],'[1]pre processed data'!A:T,20,0)</f>
        <v>online data analytic</v>
      </c>
    </row>
    <row r="172" spans="1:13" x14ac:dyDescent="0.3">
      <c r="A172" t="s">
        <v>185</v>
      </c>
      <c r="B172" t="s">
        <v>18</v>
      </c>
      <c r="C172" s="4">
        <f>VLOOKUP(Googleadssales[[#This Row],[Ad_ID]],'[1]pre processed data'!A:C,3,0)</f>
        <v>146</v>
      </c>
      <c r="D172" s="4">
        <f>VLOOKUP(Googleadssales[[#This Row],[Ad_ID]],'[1]pre processed data'!A:E,5,0)</f>
        <v>4330</v>
      </c>
      <c r="E172" s="5" t="str">
        <f>VLOOKUP(Googleadssales[[#This Row],[Ad_ID]],[1]!Table3[[Ad_ID]:[Cost-imputed]],7,0)</f>
        <v>$191.9</v>
      </c>
      <c r="F172" s="4">
        <f>VLOOKUP(Googleadssales[[#This Row],[Ad_ID]],'[1]pre processed data'!A:I,9,0)</f>
        <v>20</v>
      </c>
      <c r="G172" s="4">
        <f>VLOOKUP(Googleadssales[[#This Row],[Ad_ID]],'[1]pre processed data'!A:K,11,0)</f>
        <v>3</v>
      </c>
      <c r="H172" s="2">
        <f>Googleadssales[[#This Row],[Conversions]]/Googleadssales[[#This Row],[Clicks]]</f>
        <v>2.0547945205479451E-2</v>
      </c>
      <c r="I172" t="str">
        <f>VLOOKUP(Googleadssales[[#This Row],[Ad_ID]],'[1]pre processed data'!A:O,15,0)</f>
        <v>$1748</v>
      </c>
      <c r="J172" s="3">
        <f>VLOOKUP(Googleadssales[[#This Row],[Ad_ID]],'[1]pre processed data'!A:Q,17,0)</f>
        <v>45605</v>
      </c>
      <c r="K172" t="str">
        <f>VLOOKUP(Googleadssales[[#This Row],[Ad_ID]],'[1]pre processed data'!A:R,18,0)</f>
        <v>Hyderabad</v>
      </c>
      <c r="L172" t="str">
        <f>VLOOKUP(Googleadssales[[#This Row],[Ad_ID]],'[1]pre processed data'!A:S,19,0)</f>
        <v>Mobile</v>
      </c>
      <c r="M172" t="str">
        <f>VLOOKUP(Googleadssales[[#This Row],[Ad_ID]],'[1]pre processed data'!A:T,20,0)</f>
        <v>online data analytic</v>
      </c>
    </row>
    <row r="173" spans="1:13" x14ac:dyDescent="0.3">
      <c r="A173" t="s">
        <v>186</v>
      </c>
      <c r="B173" t="s">
        <v>18</v>
      </c>
      <c r="C173" s="4">
        <f>VLOOKUP(Googleadssales[[#This Row],[Ad_ID]],'[1]pre processed data'!A:C,3,0)</f>
        <v>89</v>
      </c>
      <c r="D173" s="4">
        <f>VLOOKUP(Googleadssales[[#This Row],[Ad_ID]],'[1]pre processed data'!A:E,5,0)</f>
        <v>3268</v>
      </c>
      <c r="E173" s="5" t="str">
        <f>VLOOKUP(Googleadssales[[#This Row],[Ad_ID]],[1]!Table3[[Ad_ID]:[Cost-imputed]],7,0)</f>
        <v>$200.00</v>
      </c>
      <c r="F173" s="4">
        <f>VLOOKUP(Googleadssales[[#This Row],[Ad_ID]],'[1]pre processed data'!A:I,9,0)</f>
        <v>17</v>
      </c>
      <c r="G173" s="4">
        <f>VLOOKUP(Googleadssales[[#This Row],[Ad_ID]],'[1]pre processed data'!A:K,11,0)</f>
        <v>4</v>
      </c>
      <c r="H173" s="2">
        <f>Googleadssales[[#This Row],[Conversions]]/Googleadssales[[#This Row],[Clicks]]</f>
        <v>4.49438202247191E-2</v>
      </c>
      <c r="I173" t="str">
        <f>VLOOKUP(Googleadssales[[#This Row],[Ad_ID]],'[1]pre processed data'!A:O,15,0)</f>
        <v>$1233</v>
      </c>
      <c r="J173" s="3">
        <f>VLOOKUP(Googleadssales[[#This Row],[Ad_ID]],'[1]pre processed data'!A:Q,17,0)</f>
        <v>45609</v>
      </c>
      <c r="K173" t="str">
        <f>VLOOKUP(Googleadssales[[#This Row],[Ad_ID]],'[1]pre processed data'!A:R,18,0)</f>
        <v>Hyderabad</v>
      </c>
      <c r="L173" t="str">
        <f>VLOOKUP(Googleadssales[[#This Row],[Ad_ID]],'[1]pre processed data'!A:S,19,0)</f>
        <v>Desktop</v>
      </c>
      <c r="M173" t="str">
        <f>VLOOKUP(Googleadssales[[#This Row],[Ad_ID]],'[1]pre processed data'!A:T,20,0)</f>
        <v>online data analytic</v>
      </c>
    </row>
    <row r="174" spans="1:13" x14ac:dyDescent="0.3">
      <c r="A174" t="s">
        <v>187</v>
      </c>
      <c r="B174" t="s">
        <v>14</v>
      </c>
      <c r="C174" s="4">
        <f>VLOOKUP(Googleadssales[[#This Row],[Ad_ID]],'[1]pre processed data'!A:C,3,0)</f>
        <v>195</v>
      </c>
      <c r="D174" s="4">
        <f>VLOOKUP(Googleadssales[[#This Row],[Ad_ID]],'[1]pre processed data'!A:E,5,0)</f>
        <v>3483</v>
      </c>
      <c r="E174" s="5" t="str">
        <f>VLOOKUP(Googleadssales[[#This Row],[Ad_ID]],[1]!Table3[[Ad_ID]:[Cost-imputed]],7,0)</f>
        <v>$213.99</v>
      </c>
      <c r="F174" s="4">
        <f>VLOOKUP(Googleadssales[[#This Row],[Ad_ID]],'[1]pre processed data'!A:I,9,0)</f>
        <v>27</v>
      </c>
      <c r="G174" s="4">
        <f>VLOOKUP(Googleadssales[[#This Row],[Ad_ID]],'[1]pre processed data'!A:K,11,0)</f>
        <v>7</v>
      </c>
      <c r="H174" s="2">
        <f>Googleadssales[[#This Row],[Conversions]]/Googleadssales[[#This Row],[Clicks]]</f>
        <v>3.5897435897435895E-2</v>
      </c>
      <c r="I174" t="str">
        <f>VLOOKUP(Googleadssales[[#This Row],[Ad_ID]],'[1]pre processed data'!A:O,15,0)</f>
        <v>$1796</v>
      </c>
      <c r="J174" s="3">
        <f>VLOOKUP(Googleadssales[[#This Row],[Ad_ID]],'[1]pre processed data'!A:Q,17,0)</f>
        <v>45619</v>
      </c>
      <c r="K174" t="str">
        <f>VLOOKUP(Googleadssales[[#This Row],[Ad_ID]],'[1]pre processed data'!A:R,18,0)</f>
        <v>Hyderabad</v>
      </c>
      <c r="L174" t="str">
        <f>VLOOKUP(Googleadssales[[#This Row],[Ad_ID]],'[1]pre processed data'!A:S,19,0)</f>
        <v>Desktop</v>
      </c>
      <c r="M174" t="str">
        <f>VLOOKUP(Googleadssales[[#This Row],[Ad_ID]],'[1]pre processed data'!A:T,20,0)</f>
        <v>learn data analytics</v>
      </c>
    </row>
    <row r="175" spans="1:13" x14ac:dyDescent="0.3">
      <c r="A175" t="s">
        <v>188</v>
      </c>
      <c r="B175" t="s">
        <v>18</v>
      </c>
      <c r="C175" s="4">
        <f>VLOOKUP(Googleadssales[[#This Row],[Ad_ID]],'[1]pre processed data'!A:C,3,0)</f>
        <v>170</v>
      </c>
      <c r="D175" s="4">
        <f>VLOOKUP(Googleadssales[[#This Row],[Ad_ID]],'[1]pre processed data'!A:E,5,0)</f>
        <v>4519</v>
      </c>
      <c r="E175" s="5" t="str">
        <f>VLOOKUP(Googleadssales[[#This Row],[Ad_ID]],[1]!Table3[[Ad_ID]:[Cost-imputed]],7,0)</f>
        <v>$240.63</v>
      </c>
      <c r="F175" s="4">
        <f>VLOOKUP(Googleadssales[[#This Row],[Ad_ID]],'[1]pre processed data'!A:I,9,0)</f>
        <v>22</v>
      </c>
      <c r="G175" s="4">
        <f>VLOOKUP(Googleadssales[[#This Row],[Ad_ID]],'[1]pre processed data'!A:K,11,0)</f>
        <v>7</v>
      </c>
      <c r="H175" s="2">
        <f>Googleadssales[[#This Row],[Conversions]]/Googleadssales[[#This Row],[Clicks]]</f>
        <v>4.1176470588235294E-2</v>
      </c>
      <c r="I175" t="str">
        <f>VLOOKUP(Googleadssales[[#This Row],[Ad_ID]],'[1]pre processed data'!A:O,15,0)</f>
        <v>$1012</v>
      </c>
      <c r="J175" s="3">
        <f>VLOOKUP(Googleadssales[[#This Row],[Ad_ID]],'[1]pre processed data'!A:Q,17,0)</f>
        <v>45623</v>
      </c>
      <c r="K175" t="str">
        <f>VLOOKUP(Googleadssales[[#This Row],[Ad_ID]],'[1]pre processed data'!A:R,18,0)</f>
        <v>Chennai</v>
      </c>
      <c r="L175" t="str">
        <f>VLOOKUP(Googleadssales[[#This Row],[Ad_ID]],'[1]pre processed data'!A:S,19,0)</f>
        <v>Mobile</v>
      </c>
      <c r="M175" t="str">
        <f>VLOOKUP(Googleadssales[[#This Row],[Ad_ID]],'[1]pre processed data'!A:T,20,0)</f>
        <v>analytics for data</v>
      </c>
    </row>
    <row r="176" spans="1:13" x14ac:dyDescent="0.3">
      <c r="A176" t="s">
        <v>189</v>
      </c>
      <c r="B176" t="s">
        <v>18</v>
      </c>
      <c r="C176" s="4">
        <f>VLOOKUP(Googleadssales[[#This Row],[Ad_ID]],'[1]pre processed data'!A:C,3,0)</f>
        <v>97</v>
      </c>
      <c r="D176" s="4">
        <f>VLOOKUP(Googleadssales[[#This Row],[Ad_ID]],'[1]pre processed data'!A:E,5,0)</f>
        <v>3605</v>
      </c>
      <c r="E176" s="5" t="str">
        <f>VLOOKUP(Googleadssales[[#This Row],[Ad_ID]],[1]!Table3[[Ad_ID]:[Cost-imputed]],7,0)</f>
        <v>$240.29</v>
      </c>
      <c r="F176" s="4">
        <f>VLOOKUP(Googleadssales[[#This Row],[Ad_ID]],'[1]pre processed data'!A:I,9,0)</f>
        <v>21</v>
      </c>
      <c r="G176" s="4">
        <f>VLOOKUP(Googleadssales[[#This Row],[Ad_ID]],'[1]pre processed data'!A:K,11,0)</f>
        <v>7</v>
      </c>
      <c r="H176" s="2">
        <f>Googleadssales[[#This Row],[Conversions]]/Googleadssales[[#This Row],[Clicks]]</f>
        <v>7.2164948453608241E-2</v>
      </c>
      <c r="I176" t="str">
        <f>VLOOKUP(Googleadssales[[#This Row],[Ad_ID]],'[1]pre processed data'!A:O,15,0)</f>
        <v>$1682</v>
      </c>
      <c r="J176" s="3">
        <f>VLOOKUP(Googleadssales[[#This Row],[Ad_ID]],'[1]pre processed data'!A:Q,17,0)</f>
        <v>45606</v>
      </c>
      <c r="K176" t="str">
        <f>VLOOKUP(Googleadssales[[#This Row],[Ad_ID]],'[1]pre processed data'!A:R,18,0)</f>
        <v>Hyderabad</v>
      </c>
      <c r="L176" t="str">
        <f>VLOOKUP(Googleadssales[[#This Row],[Ad_ID]],'[1]pre processed data'!A:S,19,0)</f>
        <v>Desktop</v>
      </c>
      <c r="M176" t="str">
        <f>VLOOKUP(Googleadssales[[#This Row],[Ad_ID]],'[1]pre processed data'!A:T,20,0)</f>
        <v>data analytics online</v>
      </c>
    </row>
    <row r="177" spans="1:13" x14ac:dyDescent="0.3">
      <c r="A177" t="s">
        <v>190</v>
      </c>
      <c r="B177" t="s">
        <v>14</v>
      </c>
      <c r="C177" s="4">
        <f>VLOOKUP(Googleadssales[[#This Row],[Ad_ID]],'[1]pre processed data'!A:C,3,0)</f>
        <v>159</v>
      </c>
      <c r="D177" s="4">
        <f>VLOOKUP(Googleadssales[[#This Row],[Ad_ID]],'[1]pre processed data'!A:E,5,0)</f>
        <v>5076</v>
      </c>
      <c r="E177" s="5" t="str">
        <f>VLOOKUP(Googleadssales[[#This Row],[Ad_ID]],[1]!Table3[[Ad_ID]:[Cost-imputed]],7,0)</f>
        <v>$204.97</v>
      </c>
      <c r="F177" s="4">
        <f>VLOOKUP(Googleadssales[[#This Row],[Ad_ID]],'[1]pre processed data'!A:I,9,0)</f>
        <v>15</v>
      </c>
      <c r="G177" s="4">
        <f>VLOOKUP(Googleadssales[[#This Row],[Ad_ID]],'[1]pre processed data'!A:K,11,0)</f>
        <v>10</v>
      </c>
      <c r="H177" s="2">
        <f>Googleadssales[[#This Row],[Conversions]]/Googleadssales[[#This Row],[Clicks]]</f>
        <v>6.2893081761006289E-2</v>
      </c>
      <c r="I177" t="str">
        <f>VLOOKUP(Googleadssales[[#This Row],[Ad_ID]],'[1]pre processed data'!A:O,15,0)</f>
        <v>$1638</v>
      </c>
      <c r="J177" s="3">
        <f>VLOOKUP(Googleadssales[[#This Row],[Ad_ID]],'[1]pre processed data'!A:Q,17,0)</f>
        <v>45613</v>
      </c>
      <c r="K177" t="str">
        <f>VLOOKUP(Googleadssales[[#This Row],[Ad_ID]],'[1]pre processed data'!A:R,18,0)</f>
        <v>Chennai</v>
      </c>
      <c r="L177" t="str">
        <f>VLOOKUP(Googleadssales[[#This Row],[Ad_ID]],'[1]pre processed data'!A:S,19,0)</f>
        <v>Tablet</v>
      </c>
      <c r="M177" t="str">
        <f>VLOOKUP(Googleadssales[[#This Row],[Ad_ID]],'[1]pre processed data'!A:T,20,0)</f>
        <v>data analytics course</v>
      </c>
    </row>
    <row r="178" spans="1:13" x14ac:dyDescent="0.3">
      <c r="A178" t="s">
        <v>191</v>
      </c>
      <c r="B178" t="s">
        <v>14</v>
      </c>
      <c r="C178" s="4">
        <f>VLOOKUP(Googleadssales[[#This Row],[Ad_ID]],'[1]pre processed data'!A:C,3,0)</f>
        <v>131</v>
      </c>
      <c r="D178" s="4">
        <f>VLOOKUP(Googleadssales[[#This Row],[Ad_ID]],'[1]pre processed data'!A:E,5,0)</f>
        <v>5352</v>
      </c>
      <c r="E178" s="5" t="str">
        <f>VLOOKUP(Googleadssales[[#This Row],[Ad_ID]],[1]!Table3[[Ad_ID]:[Cost-imputed]],7,0)</f>
        <v>$225.86</v>
      </c>
      <c r="F178" s="4">
        <f>VLOOKUP(Googleadssales[[#This Row],[Ad_ID]],'[1]pre processed data'!A:I,9,0)</f>
        <v>24</v>
      </c>
      <c r="G178" s="4">
        <f>VLOOKUP(Googleadssales[[#This Row],[Ad_ID]],'[1]pre processed data'!A:K,11,0)</f>
        <v>10</v>
      </c>
      <c r="H178" s="2">
        <f>Googleadssales[[#This Row],[Conversions]]/Googleadssales[[#This Row],[Clicks]]</f>
        <v>7.6335877862595422E-2</v>
      </c>
      <c r="I178" t="str">
        <f>VLOOKUP(Googleadssales[[#This Row],[Ad_ID]],'[1]pre processed data'!A:O,15,0)</f>
        <v>$1961</v>
      </c>
      <c r="J178" s="3">
        <f>VLOOKUP(Googleadssales[[#This Row],[Ad_ID]],'[1]pre processed data'!A:Q,17,0)</f>
        <v>45616</v>
      </c>
      <c r="K178" t="str">
        <f>VLOOKUP(Googleadssales[[#This Row],[Ad_ID]],'[1]pre processed data'!A:R,18,0)</f>
        <v>Hyderabad</v>
      </c>
      <c r="L178" t="str">
        <f>VLOOKUP(Googleadssales[[#This Row],[Ad_ID]],'[1]pre processed data'!A:S,19,0)</f>
        <v>Mobile</v>
      </c>
      <c r="M178" t="str">
        <f>VLOOKUP(Googleadssales[[#This Row],[Ad_ID]],'[1]pre processed data'!A:T,20,0)</f>
        <v>online data analytic</v>
      </c>
    </row>
    <row r="179" spans="1:13" x14ac:dyDescent="0.3">
      <c r="A179" t="s">
        <v>192</v>
      </c>
      <c r="B179" t="s">
        <v>14</v>
      </c>
      <c r="C179" s="4">
        <f>VLOOKUP(Googleadssales[[#This Row],[Ad_ID]],'[1]pre processed data'!A:C,3,0)</f>
        <v>108</v>
      </c>
      <c r="D179" s="4">
        <f>VLOOKUP(Googleadssales[[#This Row],[Ad_ID]],'[1]pre processed data'!A:E,5,0)</f>
        <v>5503</v>
      </c>
      <c r="E179" s="5" t="str">
        <f>VLOOKUP(Googleadssales[[#This Row],[Ad_ID]],[1]!Table3[[Ad_ID]:[Cost-imputed]],7,0)</f>
        <v>$185.26</v>
      </c>
      <c r="F179" s="4">
        <f>VLOOKUP(Googleadssales[[#This Row],[Ad_ID]],'[1]pre processed data'!A:I,9,0)</f>
        <v>11</v>
      </c>
      <c r="G179" s="4">
        <f>VLOOKUP(Googleadssales[[#This Row],[Ad_ID]],'[1]pre processed data'!A:K,11,0)</f>
        <v>7</v>
      </c>
      <c r="H179" s="2">
        <f>Googleadssales[[#This Row],[Conversions]]/Googleadssales[[#This Row],[Clicks]]</f>
        <v>6.4814814814814811E-2</v>
      </c>
      <c r="I179" t="str">
        <f>VLOOKUP(Googleadssales[[#This Row],[Ad_ID]],'[1]pre processed data'!A:O,15,0)</f>
        <v>$1921</v>
      </c>
      <c r="J179" s="3">
        <f>VLOOKUP(Googleadssales[[#This Row],[Ad_ID]],'[1]pre processed data'!A:Q,17,0)</f>
        <v>45602</v>
      </c>
      <c r="K179" t="str">
        <f>VLOOKUP(Googleadssales[[#This Row],[Ad_ID]],'[1]pre processed data'!A:R,18,0)</f>
        <v>Bangaluru</v>
      </c>
      <c r="L179" t="str">
        <f>VLOOKUP(Googleadssales[[#This Row],[Ad_ID]],'[1]pre processed data'!A:S,19,0)</f>
        <v>Mobile</v>
      </c>
      <c r="M179" t="str">
        <f>VLOOKUP(Googleadssales[[#This Row],[Ad_ID]],'[1]pre processed data'!A:T,20,0)</f>
        <v>data analytics online</v>
      </c>
    </row>
    <row r="180" spans="1:13" x14ac:dyDescent="0.3">
      <c r="A180" t="s">
        <v>193</v>
      </c>
      <c r="B180" t="s">
        <v>14</v>
      </c>
      <c r="C180" s="4">
        <f>VLOOKUP(Googleadssales[[#This Row],[Ad_ID]],'[1]pre processed data'!A:C,3,0)</f>
        <v>93</v>
      </c>
      <c r="D180" s="4">
        <f>VLOOKUP(Googleadssales[[#This Row],[Ad_ID]],'[1]pre processed data'!A:E,5,0)</f>
        <v>4308</v>
      </c>
      <c r="E180" s="5" t="str">
        <f>VLOOKUP(Googleadssales[[#This Row],[Ad_ID]],[1]!Table3[[Ad_ID]:[Cost-imputed]],7,0)</f>
        <v>$209.83</v>
      </c>
      <c r="F180" s="4">
        <f>VLOOKUP(Googleadssales[[#This Row],[Ad_ID]],'[1]pre processed data'!A:I,9,0)</f>
        <v>19</v>
      </c>
      <c r="G180" s="4">
        <f>VLOOKUP(Googleadssales[[#This Row],[Ad_ID]],'[1]pre processed data'!A:K,11,0)</f>
        <v>9</v>
      </c>
      <c r="H180" s="2">
        <f>Googleadssales[[#This Row],[Conversions]]/Googleadssales[[#This Row],[Clicks]]</f>
        <v>9.6774193548387094E-2</v>
      </c>
      <c r="I180" t="str">
        <f>VLOOKUP(Googleadssales[[#This Row],[Ad_ID]],'[1]pre processed data'!A:O,15,0)</f>
        <v>$1694</v>
      </c>
      <c r="J180" s="3">
        <f>VLOOKUP(Googleadssales[[#This Row],[Ad_ID]],'[1]pre processed data'!A:Q,17,0)</f>
        <v>45616</v>
      </c>
      <c r="K180" t="str">
        <f>VLOOKUP(Googleadssales[[#This Row],[Ad_ID]],'[1]pre processed data'!A:R,18,0)</f>
        <v>Hyderabad</v>
      </c>
      <c r="L180" t="str">
        <f>VLOOKUP(Googleadssales[[#This Row],[Ad_ID]],'[1]pre processed data'!A:S,19,0)</f>
        <v>Mobile</v>
      </c>
      <c r="M180" t="str">
        <f>VLOOKUP(Googleadssales[[#This Row],[Ad_ID]],'[1]pre processed data'!A:T,20,0)</f>
        <v>data analytics course</v>
      </c>
    </row>
    <row r="181" spans="1:13" x14ac:dyDescent="0.3">
      <c r="A181" t="s">
        <v>194</v>
      </c>
      <c r="B181" t="s">
        <v>18</v>
      </c>
      <c r="C181" s="4">
        <f>VLOOKUP(Googleadssales[[#This Row],[Ad_ID]],'[1]pre processed data'!A:C,3,0)</f>
        <v>137</v>
      </c>
      <c r="D181" s="4">
        <f>VLOOKUP(Googleadssales[[#This Row],[Ad_ID]],'[1]pre processed data'!A:E,5,0)</f>
        <v>3555</v>
      </c>
      <c r="E181" s="5" t="str">
        <f>VLOOKUP(Googleadssales[[#This Row],[Ad_ID]],[1]!Table3[[Ad_ID]:[Cost-imputed]],7,0)</f>
        <v>$213.5</v>
      </c>
      <c r="F181" s="4">
        <f>VLOOKUP(Googleadssales[[#This Row],[Ad_ID]],'[1]pre processed data'!A:I,9,0)</f>
        <v>29</v>
      </c>
      <c r="G181" s="4">
        <f>VLOOKUP(Googleadssales[[#This Row],[Ad_ID]],'[1]pre processed data'!A:K,11,0)</f>
        <v>3</v>
      </c>
      <c r="H181" s="2">
        <f>Googleadssales[[#This Row],[Conversions]]/Googleadssales[[#This Row],[Clicks]]</f>
        <v>2.1897810218978103E-2</v>
      </c>
      <c r="I181" t="str">
        <f>VLOOKUP(Googleadssales[[#This Row],[Ad_ID]],'[1]pre processed data'!A:O,15,0)</f>
        <v>$1500</v>
      </c>
      <c r="J181" s="3">
        <f>VLOOKUP(Googleadssales[[#This Row],[Ad_ID]],'[1]pre processed data'!A:Q,17,0)</f>
        <v>45602</v>
      </c>
      <c r="K181" t="str">
        <f>VLOOKUP(Googleadssales[[#This Row],[Ad_ID]],'[1]pre processed data'!A:R,18,0)</f>
        <v>Hyderabad</v>
      </c>
      <c r="L181" t="str">
        <f>VLOOKUP(Googleadssales[[#This Row],[Ad_ID]],'[1]pre processed data'!A:S,19,0)</f>
        <v>Desktop</v>
      </c>
      <c r="M181" t="str">
        <f>VLOOKUP(Googleadssales[[#This Row],[Ad_ID]],'[1]pre processed data'!A:T,20,0)</f>
        <v>data analytics course</v>
      </c>
    </row>
    <row r="182" spans="1:13" x14ac:dyDescent="0.3">
      <c r="A182" t="s">
        <v>195</v>
      </c>
      <c r="B182" t="s">
        <v>14</v>
      </c>
      <c r="C182" s="4">
        <f>VLOOKUP(Googleadssales[[#This Row],[Ad_ID]],'[1]pre processed data'!A:C,3,0)</f>
        <v>81</v>
      </c>
      <c r="D182" s="4">
        <f>VLOOKUP(Googleadssales[[#This Row],[Ad_ID]],'[1]pre processed data'!A:E,5,0)</f>
        <v>5615</v>
      </c>
      <c r="E182" s="5" t="str">
        <f>VLOOKUP(Googleadssales[[#This Row],[Ad_ID]],[1]!Table3[[Ad_ID]:[Cost-imputed]],7,0)</f>
        <v>$193.14</v>
      </c>
      <c r="F182" s="4">
        <f>VLOOKUP(Googleadssales[[#This Row],[Ad_ID]],'[1]pre processed data'!A:I,9,0)</f>
        <v>30</v>
      </c>
      <c r="G182" s="4">
        <f>VLOOKUP(Googleadssales[[#This Row],[Ad_ID]],'[1]pre processed data'!A:K,11,0)</f>
        <v>6</v>
      </c>
      <c r="H182" s="2">
        <f>Googleadssales[[#This Row],[Conversions]]/Googleadssales[[#This Row],[Clicks]]</f>
        <v>7.407407407407407E-2</v>
      </c>
      <c r="I182" t="str">
        <f>VLOOKUP(Googleadssales[[#This Row],[Ad_ID]],'[1]pre processed data'!A:O,15,0)</f>
        <v>$1255</v>
      </c>
      <c r="J182" s="3">
        <f>VLOOKUP(Googleadssales[[#This Row],[Ad_ID]],'[1]pre processed data'!A:Q,17,0)</f>
        <v>45624</v>
      </c>
      <c r="K182" t="str">
        <f>VLOOKUP(Googleadssales[[#This Row],[Ad_ID]],'[1]pre processed data'!A:R,18,0)</f>
        <v>Hyderabad</v>
      </c>
      <c r="L182" t="str">
        <f>VLOOKUP(Googleadssales[[#This Row],[Ad_ID]],'[1]pre processed data'!A:S,19,0)</f>
        <v>Mobile</v>
      </c>
      <c r="M182" t="str">
        <f>VLOOKUP(Googleadssales[[#This Row],[Ad_ID]],'[1]pre processed data'!A:T,20,0)</f>
        <v>analytics for data</v>
      </c>
    </row>
    <row r="183" spans="1:13" x14ac:dyDescent="0.3">
      <c r="A183" t="s">
        <v>196</v>
      </c>
      <c r="B183" t="s">
        <v>18</v>
      </c>
      <c r="C183" s="4">
        <f>VLOOKUP(Googleadssales[[#This Row],[Ad_ID]],'[1]pre processed data'!A:C,3,0)</f>
        <v>160</v>
      </c>
      <c r="D183" s="4">
        <f>VLOOKUP(Googleadssales[[#This Row],[Ad_ID]],'[1]pre processed data'!A:E,5,0)</f>
        <v>4743</v>
      </c>
      <c r="E183" s="5" t="str">
        <f>VLOOKUP(Googleadssales[[#This Row],[Ad_ID]],[1]!Table3[[Ad_ID]:[Cost-imputed]],7,0)</f>
        <v>$206.22</v>
      </c>
      <c r="F183" s="4">
        <f>VLOOKUP(Googleadssales[[#This Row],[Ad_ID]],'[1]pre processed data'!A:I,9,0)</f>
        <v>23</v>
      </c>
      <c r="G183" s="4">
        <f>VLOOKUP(Googleadssales[[#This Row],[Ad_ID]],'[1]pre processed data'!A:K,11,0)</f>
        <v>10</v>
      </c>
      <c r="H183" s="2">
        <f>Googleadssales[[#This Row],[Conversions]]/Googleadssales[[#This Row],[Clicks]]</f>
        <v>6.25E-2</v>
      </c>
      <c r="I183" t="str">
        <f>VLOOKUP(Googleadssales[[#This Row],[Ad_ID]],'[1]pre processed data'!A:O,15,0)</f>
        <v>$1825</v>
      </c>
      <c r="J183" s="3">
        <f>VLOOKUP(Googleadssales[[#This Row],[Ad_ID]],'[1]pre processed data'!A:Q,17,0)</f>
        <v>45616</v>
      </c>
      <c r="K183" t="str">
        <f>VLOOKUP(Googleadssales[[#This Row],[Ad_ID]],'[1]pre processed data'!A:R,18,0)</f>
        <v>Bangaluru</v>
      </c>
      <c r="L183" t="str">
        <f>VLOOKUP(Googleadssales[[#This Row],[Ad_ID]],'[1]pre processed data'!A:S,19,0)</f>
        <v>Mobile</v>
      </c>
      <c r="M183" t="str">
        <f>VLOOKUP(Googleadssales[[#This Row],[Ad_ID]],'[1]pre processed data'!A:T,20,0)</f>
        <v>learn data analytics</v>
      </c>
    </row>
    <row r="184" spans="1:13" x14ac:dyDescent="0.3">
      <c r="A184" t="s">
        <v>197</v>
      </c>
      <c r="B184" t="s">
        <v>14</v>
      </c>
      <c r="C184" s="4">
        <f>VLOOKUP(Googleadssales[[#This Row],[Ad_ID]],'[1]pre processed data'!A:C,3,0)</f>
        <v>186</v>
      </c>
      <c r="D184" s="4">
        <f>VLOOKUP(Googleadssales[[#This Row],[Ad_ID]],'[1]pre processed data'!A:E,5,0)</f>
        <v>3337</v>
      </c>
      <c r="E184" s="5" t="str">
        <f>VLOOKUP(Googleadssales[[#This Row],[Ad_ID]],[1]!Table3[[Ad_ID]:[Cost-imputed]],7,0)</f>
        <v>$183.58</v>
      </c>
      <c r="F184" s="4">
        <f>VLOOKUP(Googleadssales[[#This Row],[Ad_ID]],'[1]pre processed data'!A:I,9,0)</f>
        <v>16</v>
      </c>
      <c r="G184" s="4">
        <f>VLOOKUP(Googleadssales[[#This Row],[Ad_ID]],'[1]pre processed data'!A:K,11,0)</f>
        <v>8</v>
      </c>
      <c r="H184" s="2">
        <f>Googleadssales[[#This Row],[Conversions]]/Googleadssales[[#This Row],[Clicks]]</f>
        <v>4.3010752688172046E-2</v>
      </c>
      <c r="I184" t="str">
        <f>VLOOKUP(Googleadssales[[#This Row],[Ad_ID]],'[1]pre processed data'!A:O,15,0)</f>
        <v>$1045</v>
      </c>
      <c r="J184" s="3">
        <f>VLOOKUP(Googleadssales[[#This Row],[Ad_ID]],'[1]pre processed data'!A:Q,17,0)</f>
        <v>45626</v>
      </c>
      <c r="K184" t="str">
        <f>VLOOKUP(Googleadssales[[#This Row],[Ad_ID]],'[1]pre processed data'!A:R,18,0)</f>
        <v>Hyderabad</v>
      </c>
      <c r="L184" t="str">
        <f>VLOOKUP(Googleadssales[[#This Row],[Ad_ID]],'[1]pre processed data'!A:S,19,0)</f>
        <v>Desktop</v>
      </c>
      <c r="M184" t="str">
        <f>VLOOKUP(Googleadssales[[#This Row],[Ad_ID]],'[1]pre processed data'!A:T,20,0)</f>
        <v>online data analytic</v>
      </c>
    </row>
    <row r="185" spans="1:13" x14ac:dyDescent="0.3">
      <c r="A185" t="s">
        <v>198</v>
      </c>
      <c r="B185" t="s">
        <v>18</v>
      </c>
      <c r="C185" s="4">
        <f>VLOOKUP(Googleadssales[[#This Row],[Ad_ID]],'[1]pre processed data'!A:C,3,0)</f>
        <v>105</v>
      </c>
      <c r="D185" s="4">
        <f>VLOOKUP(Googleadssales[[#This Row],[Ad_ID]],'[1]pre processed data'!A:E,5,0)</f>
        <v>3234</v>
      </c>
      <c r="E185" s="5" t="str">
        <f>VLOOKUP(Googleadssales[[#This Row],[Ad_ID]],[1]!Table3[[Ad_ID]:[Cost-imputed]],7,0)</f>
        <v>$238.8</v>
      </c>
      <c r="F185" s="4">
        <f>VLOOKUP(Googleadssales[[#This Row],[Ad_ID]],'[1]pre processed data'!A:I,9,0)</f>
        <v>27</v>
      </c>
      <c r="G185" s="4">
        <f>VLOOKUP(Googleadssales[[#This Row],[Ad_ID]],'[1]pre processed data'!A:K,11,0)</f>
        <v>10</v>
      </c>
      <c r="H185" s="2">
        <f>Googleadssales[[#This Row],[Conversions]]/Googleadssales[[#This Row],[Clicks]]</f>
        <v>9.5238095238095233E-2</v>
      </c>
      <c r="I185" t="str">
        <f>VLOOKUP(Googleadssales[[#This Row],[Ad_ID]],'[1]pre processed data'!A:O,15,0)</f>
        <v>$1248</v>
      </c>
      <c r="J185" s="3">
        <f>VLOOKUP(Googleadssales[[#This Row],[Ad_ID]],'[1]pre processed data'!A:Q,17,0)</f>
        <v>45602</v>
      </c>
      <c r="K185" t="str">
        <f>VLOOKUP(Googleadssales[[#This Row],[Ad_ID]],'[1]pre processed data'!A:R,18,0)</f>
        <v>Chennai</v>
      </c>
      <c r="L185" t="str">
        <f>VLOOKUP(Googleadssales[[#This Row],[Ad_ID]],'[1]pre processed data'!A:S,19,0)</f>
        <v>Desktop</v>
      </c>
      <c r="M185" t="str">
        <f>VLOOKUP(Googleadssales[[#This Row],[Ad_ID]],'[1]pre processed data'!A:T,20,0)</f>
        <v>online data analytic</v>
      </c>
    </row>
    <row r="186" spans="1:13" x14ac:dyDescent="0.3">
      <c r="A186" t="s">
        <v>199</v>
      </c>
      <c r="B186" t="s">
        <v>18</v>
      </c>
      <c r="C186" s="4">
        <f>VLOOKUP(Googleadssales[[#This Row],[Ad_ID]],'[1]pre processed data'!A:C,3,0)</f>
        <v>131</v>
      </c>
      <c r="D186" s="4">
        <f>VLOOKUP(Googleadssales[[#This Row],[Ad_ID]],'[1]pre processed data'!A:E,5,0)</f>
        <v>3913</v>
      </c>
      <c r="E186" s="5" t="str">
        <f>VLOOKUP(Googleadssales[[#This Row],[Ad_ID]],[1]!Table3[[Ad_ID]:[Cost-imputed]],7,0)</f>
        <v>$203.69</v>
      </c>
      <c r="F186" s="4">
        <f>VLOOKUP(Googleadssales[[#This Row],[Ad_ID]],'[1]pre processed data'!A:I,9,0)</f>
        <v>14</v>
      </c>
      <c r="G186" s="4">
        <f>VLOOKUP(Googleadssales[[#This Row],[Ad_ID]],'[1]pre processed data'!A:K,11,0)</f>
        <v>10</v>
      </c>
      <c r="H186" s="2">
        <f>Googleadssales[[#This Row],[Conversions]]/Googleadssales[[#This Row],[Clicks]]</f>
        <v>7.6335877862595422E-2</v>
      </c>
      <c r="I186" t="str">
        <f>VLOOKUP(Googleadssales[[#This Row],[Ad_ID]],'[1]pre processed data'!A:O,15,0)</f>
        <v>$1079</v>
      </c>
      <c r="J186" s="3">
        <f>VLOOKUP(Googleadssales[[#This Row],[Ad_ID]],'[1]pre processed data'!A:Q,17,0)</f>
        <v>45621</v>
      </c>
      <c r="K186" t="str">
        <f>VLOOKUP(Googleadssales[[#This Row],[Ad_ID]],'[1]pre processed data'!A:R,18,0)</f>
        <v>Chennai</v>
      </c>
      <c r="L186" t="str">
        <f>VLOOKUP(Googleadssales[[#This Row],[Ad_ID]],'[1]pre processed data'!A:S,19,0)</f>
        <v>Desktop</v>
      </c>
      <c r="M186" t="str">
        <f>VLOOKUP(Googleadssales[[#This Row],[Ad_ID]],'[1]pre processed data'!A:T,20,0)</f>
        <v>data analytics training</v>
      </c>
    </row>
    <row r="187" spans="1:13" x14ac:dyDescent="0.3">
      <c r="A187" t="s">
        <v>200</v>
      </c>
      <c r="B187" t="s">
        <v>18</v>
      </c>
      <c r="C187" s="4">
        <f>VLOOKUP(Googleadssales[[#This Row],[Ad_ID]],'[1]pre processed data'!A:C,3,0)</f>
        <v>129</v>
      </c>
      <c r="D187" s="4">
        <f>VLOOKUP(Googleadssales[[#This Row],[Ad_ID]],'[1]pre processed data'!A:E,5,0)</f>
        <v>3208</v>
      </c>
      <c r="E187" s="5" t="str">
        <f>VLOOKUP(Googleadssales[[#This Row],[Ad_ID]],[1]!Table3[[Ad_ID]:[Cost-imputed]],7,0)</f>
        <v>$204.2</v>
      </c>
      <c r="F187" s="4">
        <f>VLOOKUP(Googleadssales[[#This Row],[Ad_ID]],'[1]pre processed data'!A:I,9,0)</f>
        <v>18</v>
      </c>
      <c r="G187" s="4">
        <f>VLOOKUP(Googleadssales[[#This Row],[Ad_ID]],'[1]pre processed data'!A:K,11,0)</f>
        <v>8</v>
      </c>
      <c r="H187" s="2">
        <f>Googleadssales[[#This Row],[Conversions]]/Googleadssales[[#This Row],[Clicks]]</f>
        <v>6.2015503875968991E-2</v>
      </c>
      <c r="I187" t="str">
        <f>VLOOKUP(Googleadssales[[#This Row],[Ad_ID]],'[1]pre processed data'!A:O,15,0)</f>
        <v>$1456</v>
      </c>
      <c r="J187" s="3">
        <f>VLOOKUP(Googleadssales[[#This Row],[Ad_ID]],'[1]pre processed data'!A:Q,17,0)</f>
        <v>45625</v>
      </c>
      <c r="K187" t="str">
        <f>VLOOKUP(Googleadssales[[#This Row],[Ad_ID]],'[1]pre processed data'!A:R,18,0)</f>
        <v>Hyderabad</v>
      </c>
      <c r="L187" t="str">
        <f>VLOOKUP(Googleadssales[[#This Row],[Ad_ID]],'[1]pre processed data'!A:S,19,0)</f>
        <v>Desktop</v>
      </c>
      <c r="M187" t="str">
        <f>VLOOKUP(Googleadssales[[#This Row],[Ad_ID]],'[1]pre processed data'!A:T,20,0)</f>
        <v>learn data analytics</v>
      </c>
    </row>
    <row r="188" spans="1:13" x14ac:dyDescent="0.3">
      <c r="A188" t="s">
        <v>201</v>
      </c>
      <c r="B188" t="s">
        <v>14</v>
      </c>
      <c r="C188" s="4">
        <f>VLOOKUP(Googleadssales[[#This Row],[Ad_ID]],'[1]pre processed data'!A:C,3,0)</f>
        <v>187</v>
      </c>
      <c r="D188" s="4">
        <f>VLOOKUP(Googleadssales[[#This Row],[Ad_ID]],'[1]pre processed data'!A:E,5,0)</f>
        <v>5972</v>
      </c>
      <c r="E188" s="5" t="str">
        <f>VLOOKUP(Googleadssales[[#This Row],[Ad_ID]],[1]!Table3[[Ad_ID]:[Cost-imputed]],7,0)</f>
        <v>$220.64</v>
      </c>
      <c r="F188" s="4">
        <f>VLOOKUP(Googleadssales[[#This Row],[Ad_ID]],'[1]pre processed data'!A:I,9,0)</f>
        <v>30</v>
      </c>
      <c r="G188" s="4">
        <f>VLOOKUP(Googleadssales[[#This Row],[Ad_ID]],'[1]pre processed data'!A:K,11,0)</f>
        <v>7</v>
      </c>
      <c r="H188" s="2">
        <f>Googleadssales[[#This Row],[Conversions]]/Googleadssales[[#This Row],[Clicks]]</f>
        <v>3.7433155080213901E-2</v>
      </c>
      <c r="I188" t="str">
        <f>VLOOKUP(Googleadssales[[#This Row],[Ad_ID]],'[1]pre processed data'!A:O,15,0)</f>
        <v>$1980</v>
      </c>
      <c r="J188" s="3">
        <f>VLOOKUP(Googleadssales[[#This Row],[Ad_ID]],'[1]pre processed data'!A:Q,17,0)</f>
        <v>45610</v>
      </c>
      <c r="K188" t="str">
        <f>VLOOKUP(Googleadssales[[#This Row],[Ad_ID]],'[1]pre processed data'!A:R,18,0)</f>
        <v>Chennai</v>
      </c>
      <c r="L188" t="str">
        <f>VLOOKUP(Googleadssales[[#This Row],[Ad_ID]],'[1]pre processed data'!A:S,19,0)</f>
        <v>Desktop</v>
      </c>
      <c r="M188" t="str">
        <f>VLOOKUP(Googleadssales[[#This Row],[Ad_ID]],'[1]pre processed data'!A:T,20,0)</f>
        <v>data analytics course</v>
      </c>
    </row>
    <row r="189" spans="1:13" x14ac:dyDescent="0.3">
      <c r="A189" t="s">
        <v>202</v>
      </c>
      <c r="B189" t="s">
        <v>14</v>
      </c>
      <c r="C189" s="4">
        <f>VLOOKUP(Googleadssales[[#This Row],[Ad_ID]],'[1]pre processed data'!A:C,3,0)</f>
        <v>167</v>
      </c>
      <c r="D189" s="4">
        <f>VLOOKUP(Googleadssales[[#This Row],[Ad_ID]],'[1]pre processed data'!A:E,5,0)</f>
        <v>3662</v>
      </c>
      <c r="E189" s="5" t="str">
        <f>VLOOKUP(Googleadssales[[#This Row],[Ad_ID]],[1]!Table3[[Ad_ID]:[Cost-imputed]],7,0)</f>
        <v>$235.43</v>
      </c>
      <c r="F189" s="4">
        <f>VLOOKUP(Googleadssales[[#This Row],[Ad_ID]],'[1]pre processed data'!A:I,9,0)</f>
        <v>10</v>
      </c>
      <c r="G189" s="4">
        <f>VLOOKUP(Googleadssales[[#This Row],[Ad_ID]],'[1]pre processed data'!A:K,11,0)</f>
        <v>7</v>
      </c>
      <c r="H189" s="2">
        <f>Googleadssales[[#This Row],[Conversions]]/Googleadssales[[#This Row],[Clicks]]</f>
        <v>4.1916167664670656E-2</v>
      </c>
      <c r="I189" t="str">
        <f>VLOOKUP(Googleadssales[[#This Row],[Ad_ID]],'[1]pre processed data'!A:O,15,0)</f>
        <v>$1684</v>
      </c>
      <c r="J189" s="3">
        <f>VLOOKUP(Googleadssales[[#This Row],[Ad_ID]],'[1]pre processed data'!A:Q,17,0)</f>
        <v>45621</v>
      </c>
      <c r="K189" t="str">
        <f>VLOOKUP(Googleadssales[[#This Row],[Ad_ID]],'[1]pre processed data'!A:R,18,0)</f>
        <v>Chennai</v>
      </c>
      <c r="L189" t="str">
        <f>VLOOKUP(Googleadssales[[#This Row],[Ad_ID]],'[1]pre processed data'!A:S,19,0)</f>
        <v>Mobile</v>
      </c>
      <c r="M189" t="str">
        <f>VLOOKUP(Googleadssales[[#This Row],[Ad_ID]],'[1]pre processed data'!A:T,20,0)</f>
        <v>data analytics training</v>
      </c>
    </row>
    <row r="190" spans="1:13" x14ac:dyDescent="0.3">
      <c r="A190" t="s">
        <v>203</v>
      </c>
      <c r="B190" t="s">
        <v>14</v>
      </c>
      <c r="C190" s="4">
        <f>VLOOKUP(Googleadssales[[#This Row],[Ad_ID]],'[1]pre processed data'!A:C,3,0)</f>
        <v>140</v>
      </c>
      <c r="D190" s="4">
        <f>VLOOKUP(Googleadssales[[#This Row],[Ad_ID]],'[1]pre processed data'!A:E,5,0)</f>
        <v>3359</v>
      </c>
      <c r="E190" s="5" t="str">
        <f>VLOOKUP(Googleadssales[[#This Row],[Ad_ID]],[1]!Table3[[Ad_ID]:[Cost-imputed]],7,0)</f>
        <v>$182.13</v>
      </c>
      <c r="F190" s="4">
        <f>VLOOKUP(Googleadssales[[#This Row],[Ad_ID]],'[1]pre processed data'!A:I,9,0)</f>
        <v>29</v>
      </c>
      <c r="G190" s="4">
        <f>VLOOKUP(Googleadssales[[#This Row],[Ad_ID]],'[1]pre processed data'!A:K,11,0)</f>
        <v>7</v>
      </c>
      <c r="H190" s="2">
        <f>Googleadssales[[#This Row],[Conversions]]/Googleadssales[[#This Row],[Clicks]]</f>
        <v>0.05</v>
      </c>
      <c r="I190" t="str">
        <f>VLOOKUP(Googleadssales[[#This Row],[Ad_ID]],'[1]pre processed data'!A:O,15,0)</f>
        <v>$1973</v>
      </c>
      <c r="J190" s="3">
        <f>VLOOKUP(Googleadssales[[#This Row],[Ad_ID]],'[1]pre processed data'!A:Q,17,0)</f>
        <v>45624</v>
      </c>
      <c r="K190" t="str">
        <f>VLOOKUP(Googleadssales[[#This Row],[Ad_ID]],'[1]pre processed data'!A:R,18,0)</f>
        <v>Bangaluru</v>
      </c>
      <c r="L190" t="str">
        <f>VLOOKUP(Googleadssales[[#This Row],[Ad_ID]],'[1]pre processed data'!A:S,19,0)</f>
        <v>Desktop</v>
      </c>
      <c r="M190" t="str">
        <f>VLOOKUP(Googleadssales[[#This Row],[Ad_ID]],'[1]pre processed data'!A:T,20,0)</f>
        <v>data analytics online</v>
      </c>
    </row>
    <row r="191" spans="1:13" x14ac:dyDescent="0.3">
      <c r="A191" t="s">
        <v>204</v>
      </c>
      <c r="B191" t="s">
        <v>14</v>
      </c>
      <c r="C191" s="4">
        <f>VLOOKUP(Googleadssales[[#This Row],[Ad_ID]],'[1]pre processed data'!A:C,3,0)</f>
        <v>198</v>
      </c>
      <c r="D191" s="4">
        <f>VLOOKUP(Googleadssales[[#This Row],[Ad_ID]],'[1]pre processed data'!A:E,5,0)</f>
        <v>3700</v>
      </c>
      <c r="E191" s="5" t="str">
        <f>VLOOKUP(Googleadssales[[#This Row],[Ad_ID]],[1]!Table3[[Ad_ID]:[Cost-imputed]],7,0)</f>
        <v>$220.67</v>
      </c>
      <c r="F191" s="4">
        <f>VLOOKUP(Googleadssales[[#This Row],[Ad_ID]],'[1]pre processed data'!A:I,9,0)</f>
        <v>14</v>
      </c>
      <c r="G191" s="4">
        <f>VLOOKUP(Googleadssales[[#This Row],[Ad_ID]],'[1]pre processed data'!A:K,11,0)</f>
        <v>5</v>
      </c>
      <c r="H191" s="2">
        <f>Googleadssales[[#This Row],[Conversions]]/Googleadssales[[#This Row],[Clicks]]</f>
        <v>2.5252525252525252E-2</v>
      </c>
      <c r="I191" t="str">
        <f>VLOOKUP(Googleadssales[[#This Row],[Ad_ID]],'[1]pre processed data'!A:O,15,0)</f>
        <v>$1531</v>
      </c>
      <c r="J191" s="3">
        <f>VLOOKUP(Googleadssales[[#This Row],[Ad_ID]],'[1]pre processed data'!A:Q,17,0)</f>
        <v>45606</v>
      </c>
      <c r="K191" t="str">
        <f>VLOOKUP(Googleadssales[[#This Row],[Ad_ID]],'[1]pre processed data'!A:R,18,0)</f>
        <v>Hyderabad</v>
      </c>
      <c r="L191" t="str">
        <f>VLOOKUP(Googleadssales[[#This Row],[Ad_ID]],'[1]pre processed data'!A:S,19,0)</f>
        <v>Mobile</v>
      </c>
      <c r="M191" t="str">
        <f>VLOOKUP(Googleadssales[[#This Row],[Ad_ID]],'[1]pre processed data'!A:T,20,0)</f>
        <v>analytics for data</v>
      </c>
    </row>
    <row r="192" spans="1:13" x14ac:dyDescent="0.3">
      <c r="A192" t="s">
        <v>205</v>
      </c>
      <c r="B192" t="s">
        <v>14</v>
      </c>
      <c r="C192" s="4">
        <f>VLOOKUP(Googleadssales[[#This Row],[Ad_ID]],'[1]pre processed data'!A:C,3,0)</f>
        <v>196</v>
      </c>
      <c r="D192" s="4">
        <f>VLOOKUP(Googleadssales[[#This Row],[Ad_ID]],'[1]pre processed data'!A:E,5,0)</f>
        <v>3835</v>
      </c>
      <c r="E192" s="5" t="str">
        <f>VLOOKUP(Googleadssales[[#This Row],[Ad_ID]],[1]!Table3[[Ad_ID]:[Cost-imputed]],7,0)</f>
        <v>$218.07</v>
      </c>
      <c r="F192" s="4">
        <f>VLOOKUP(Googleadssales[[#This Row],[Ad_ID]],'[1]pre processed data'!A:I,9,0)</f>
        <v>10</v>
      </c>
      <c r="G192" s="4">
        <f>VLOOKUP(Googleadssales[[#This Row],[Ad_ID]],'[1]pre processed data'!A:K,11,0)</f>
        <v>9</v>
      </c>
      <c r="H192" s="2">
        <f>Googleadssales[[#This Row],[Conversions]]/Googleadssales[[#This Row],[Clicks]]</f>
        <v>4.5918367346938778E-2</v>
      </c>
      <c r="I192" t="str">
        <f>VLOOKUP(Googleadssales[[#This Row],[Ad_ID]],'[1]pre processed data'!A:O,15,0)</f>
        <v>$1871</v>
      </c>
      <c r="J192" s="3">
        <f>VLOOKUP(Googleadssales[[#This Row],[Ad_ID]],'[1]pre processed data'!A:Q,17,0)</f>
        <v>45600</v>
      </c>
      <c r="K192" t="str">
        <f>VLOOKUP(Googleadssales[[#This Row],[Ad_ID]],'[1]pre processed data'!A:R,18,0)</f>
        <v>Hyderabad</v>
      </c>
      <c r="L192" t="str">
        <f>VLOOKUP(Googleadssales[[#This Row],[Ad_ID]],'[1]pre processed data'!A:S,19,0)</f>
        <v>Tablet</v>
      </c>
      <c r="M192" t="str">
        <f>VLOOKUP(Googleadssales[[#This Row],[Ad_ID]],'[1]pre processed data'!A:T,20,0)</f>
        <v>online data analytic</v>
      </c>
    </row>
    <row r="193" spans="1:13" x14ac:dyDescent="0.3">
      <c r="A193" t="s">
        <v>206</v>
      </c>
      <c r="B193" t="s">
        <v>14</v>
      </c>
      <c r="C193" s="4">
        <f>VLOOKUP(Googleadssales[[#This Row],[Ad_ID]],'[1]pre processed data'!A:C,3,0)</f>
        <v>140</v>
      </c>
      <c r="D193" s="4">
        <f>VLOOKUP(Googleadssales[[#This Row],[Ad_ID]],'[1]pre processed data'!A:E,5,0)</f>
        <v>5638</v>
      </c>
      <c r="E193" s="5" t="str">
        <f>VLOOKUP(Googleadssales[[#This Row],[Ad_ID]],[1]!Table3[[Ad_ID]:[Cost-imputed]],7,0)</f>
        <v>$208.02</v>
      </c>
      <c r="F193" s="4">
        <f>VLOOKUP(Googleadssales[[#This Row],[Ad_ID]],'[1]pre processed data'!A:I,9,0)</f>
        <v>22</v>
      </c>
      <c r="G193" s="4">
        <f>VLOOKUP(Googleadssales[[#This Row],[Ad_ID]],'[1]pre processed data'!A:K,11,0)</f>
        <v>5</v>
      </c>
      <c r="H193" s="2">
        <f>Googleadssales[[#This Row],[Conversions]]/Googleadssales[[#This Row],[Clicks]]</f>
        <v>3.5714285714285712E-2</v>
      </c>
      <c r="I193" t="str">
        <f>VLOOKUP(Googleadssales[[#This Row],[Ad_ID]],'[1]pre processed data'!A:O,15,0)</f>
        <v>$1652</v>
      </c>
      <c r="J193" s="3">
        <f>VLOOKUP(Googleadssales[[#This Row],[Ad_ID]],'[1]pre processed data'!A:Q,17,0)</f>
        <v>45614</v>
      </c>
      <c r="K193" t="str">
        <f>VLOOKUP(Googleadssales[[#This Row],[Ad_ID]],'[1]pre processed data'!A:R,18,0)</f>
        <v>Chennai</v>
      </c>
      <c r="L193" t="str">
        <f>VLOOKUP(Googleadssales[[#This Row],[Ad_ID]],'[1]pre processed data'!A:S,19,0)</f>
        <v>Desktop</v>
      </c>
      <c r="M193" t="str">
        <f>VLOOKUP(Googleadssales[[#This Row],[Ad_ID]],'[1]pre processed data'!A:T,20,0)</f>
        <v>data analytics training</v>
      </c>
    </row>
    <row r="194" spans="1:13" x14ac:dyDescent="0.3">
      <c r="A194" t="s">
        <v>207</v>
      </c>
      <c r="B194" t="s">
        <v>14</v>
      </c>
      <c r="C194" s="4">
        <f>VLOOKUP(Googleadssales[[#This Row],[Ad_ID]],'[1]pre processed data'!A:C,3,0)</f>
        <v>157</v>
      </c>
      <c r="D194" s="4">
        <f>VLOOKUP(Googleadssales[[#This Row],[Ad_ID]],'[1]pre processed data'!A:E,5,0)</f>
        <v>5825</v>
      </c>
      <c r="E194" s="5" t="str">
        <f>VLOOKUP(Googleadssales[[#This Row],[Ad_ID]],[1]!Table3[[Ad_ID]:[Cost-imputed]],7,0)</f>
        <v>$230.6</v>
      </c>
      <c r="F194" s="4">
        <f>VLOOKUP(Googleadssales[[#This Row],[Ad_ID]],'[1]pre processed data'!A:I,9,0)</f>
        <v>16</v>
      </c>
      <c r="G194" s="4">
        <f>VLOOKUP(Googleadssales[[#This Row],[Ad_ID]],'[1]pre processed data'!A:K,11,0)</f>
        <v>3</v>
      </c>
      <c r="H194" s="2">
        <f>Googleadssales[[#This Row],[Conversions]]/Googleadssales[[#This Row],[Clicks]]</f>
        <v>1.9108280254777069E-2</v>
      </c>
      <c r="I194" t="str">
        <f>VLOOKUP(Googleadssales[[#This Row],[Ad_ID]],'[1]pre processed data'!A:O,15,0)</f>
        <v>$1041</v>
      </c>
      <c r="J194" s="3">
        <f>VLOOKUP(Googleadssales[[#This Row],[Ad_ID]],'[1]pre processed data'!A:Q,17,0)</f>
        <v>45612</v>
      </c>
      <c r="K194" t="str">
        <f>VLOOKUP(Googleadssales[[#This Row],[Ad_ID]],'[1]pre processed data'!A:R,18,0)</f>
        <v>Bangaluru</v>
      </c>
      <c r="L194" t="str">
        <f>VLOOKUP(Googleadssales[[#This Row],[Ad_ID]],'[1]pre processed data'!A:S,19,0)</f>
        <v>Desktop</v>
      </c>
      <c r="M194" t="str">
        <f>VLOOKUP(Googleadssales[[#This Row],[Ad_ID]],'[1]pre processed data'!A:T,20,0)</f>
        <v>data analytics training</v>
      </c>
    </row>
    <row r="195" spans="1:13" x14ac:dyDescent="0.3">
      <c r="A195" t="s">
        <v>208</v>
      </c>
      <c r="B195" t="s">
        <v>14</v>
      </c>
      <c r="C195" s="4">
        <f>VLOOKUP(Googleadssales[[#This Row],[Ad_ID]],'[1]pre processed data'!A:C,3,0)</f>
        <v>91</v>
      </c>
      <c r="D195" s="4">
        <f>VLOOKUP(Googleadssales[[#This Row],[Ad_ID]],'[1]pre processed data'!A:E,5,0)</f>
        <v>5428</v>
      </c>
      <c r="E195" s="5" t="str">
        <f>VLOOKUP(Googleadssales[[#This Row],[Ad_ID]],[1]!Table3[[Ad_ID]:[Cost-imputed]],7,0)</f>
        <v>$248.38</v>
      </c>
      <c r="F195" s="4">
        <f>VLOOKUP(Googleadssales[[#This Row],[Ad_ID]],'[1]pre processed data'!A:I,9,0)</f>
        <v>11</v>
      </c>
      <c r="G195" s="4">
        <f>VLOOKUP(Googleadssales[[#This Row],[Ad_ID]],'[1]pre processed data'!A:K,11,0)</f>
        <v>3</v>
      </c>
      <c r="H195" s="2">
        <f>Googleadssales[[#This Row],[Conversions]]/Googleadssales[[#This Row],[Clicks]]</f>
        <v>3.2967032967032968E-2</v>
      </c>
      <c r="I195" t="str">
        <f>VLOOKUP(Googleadssales[[#This Row],[Ad_ID]],'[1]pre processed data'!A:O,15,0)</f>
        <v>$1835</v>
      </c>
      <c r="J195" s="3">
        <f>VLOOKUP(Googleadssales[[#This Row],[Ad_ID]],'[1]pre processed data'!A:Q,17,0)</f>
        <v>45618</v>
      </c>
      <c r="K195" t="str">
        <f>VLOOKUP(Googleadssales[[#This Row],[Ad_ID]],'[1]pre processed data'!A:R,18,0)</f>
        <v>Hyderabad</v>
      </c>
      <c r="L195" t="str">
        <f>VLOOKUP(Googleadssales[[#This Row],[Ad_ID]],'[1]pre processed data'!A:S,19,0)</f>
        <v>Tablet</v>
      </c>
      <c r="M195" t="str">
        <f>VLOOKUP(Googleadssales[[#This Row],[Ad_ID]],'[1]pre processed data'!A:T,20,0)</f>
        <v>learn data analytics</v>
      </c>
    </row>
    <row r="196" spans="1:13" x14ac:dyDescent="0.3">
      <c r="A196" t="s">
        <v>209</v>
      </c>
      <c r="B196" t="s">
        <v>18</v>
      </c>
      <c r="C196" s="4">
        <f>VLOOKUP(Googleadssales[[#This Row],[Ad_ID]],'[1]pre processed data'!A:C,3,0)</f>
        <v>140</v>
      </c>
      <c r="D196" s="4">
        <f>VLOOKUP(Googleadssales[[#This Row],[Ad_ID]],'[1]pre processed data'!A:E,5,0)</f>
        <v>3571</v>
      </c>
      <c r="E196" s="5" t="str">
        <f>VLOOKUP(Googleadssales[[#This Row],[Ad_ID]],[1]!Table3[[Ad_ID]:[Cost-imputed]],7,0)</f>
        <v>$238.12</v>
      </c>
      <c r="F196" s="4">
        <f>VLOOKUP(Googleadssales[[#This Row],[Ad_ID]],'[1]pre processed data'!A:I,9,0)</f>
        <v>21</v>
      </c>
      <c r="G196" s="4">
        <f>VLOOKUP(Googleadssales[[#This Row],[Ad_ID]],'[1]pre processed data'!A:K,11,0)</f>
        <v>9</v>
      </c>
      <c r="H196" s="2">
        <f>Googleadssales[[#This Row],[Conversions]]/Googleadssales[[#This Row],[Clicks]]</f>
        <v>6.4285714285714279E-2</v>
      </c>
      <c r="I196" t="str">
        <f>VLOOKUP(Googleadssales[[#This Row],[Ad_ID]],'[1]pre processed data'!A:O,15,0)</f>
        <v>$1762</v>
      </c>
      <c r="J196" s="3">
        <f>VLOOKUP(Googleadssales[[#This Row],[Ad_ID]],'[1]pre processed data'!A:Q,17,0)</f>
        <v>45612</v>
      </c>
      <c r="K196" t="str">
        <f>VLOOKUP(Googleadssales[[#This Row],[Ad_ID]],'[1]pre processed data'!A:R,18,0)</f>
        <v>Hyderabad</v>
      </c>
      <c r="L196" t="str">
        <f>VLOOKUP(Googleadssales[[#This Row],[Ad_ID]],'[1]pre processed data'!A:S,19,0)</f>
        <v>Desktop</v>
      </c>
      <c r="M196" t="str">
        <f>VLOOKUP(Googleadssales[[#This Row],[Ad_ID]],'[1]pre processed data'!A:T,20,0)</f>
        <v>learn data analytics</v>
      </c>
    </row>
    <row r="197" spans="1:13" x14ac:dyDescent="0.3">
      <c r="A197" t="s">
        <v>210</v>
      </c>
      <c r="B197" t="s">
        <v>14</v>
      </c>
      <c r="C197" s="4">
        <f>VLOOKUP(Googleadssales[[#This Row],[Ad_ID]],'[1]pre processed data'!A:C,3,0)</f>
        <v>154</v>
      </c>
      <c r="D197" s="4">
        <f>VLOOKUP(Googleadssales[[#This Row],[Ad_ID]],'[1]pre processed data'!A:E,5,0)</f>
        <v>3638</v>
      </c>
      <c r="E197" s="5" t="str">
        <f>VLOOKUP(Googleadssales[[#This Row],[Ad_ID]],[1]!Table3[[Ad_ID]:[Cost-imputed]],7,0)</f>
        <v>$182.17</v>
      </c>
      <c r="F197" s="4">
        <f>VLOOKUP(Googleadssales[[#This Row],[Ad_ID]],'[1]pre processed data'!A:I,9,0)</f>
        <v>11</v>
      </c>
      <c r="G197" s="4">
        <f>VLOOKUP(Googleadssales[[#This Row],[Ad_ID]],'[1]pre processed data'!A:K,11,0)</f>
        <v>8</v>
      </c>
      <c r="H197" s="2">
        <f>Googleadssales[[#This Row],[Conversions]]/Googleadssales[[#This Row],[Clicks]]</f>
        <v>5.1948051948051951E-2</v>
      </c>
      <c r="I197" t="str">
        <f>VLOOKUP(Googleadssales[[#This Row],[Ad_ID]],'[1]pre processed data'!A:O,15,0)</f>
        <v>$1413</v>
      </c>
      <c r="J197" s="3">
        <f>VLOOKUP(Googleadssales[[#This Row],[Ad_ID]],'[1]pre processed data'!A:Q,17,0)</f>
        <v>45600</v>
      </c>
      <c r="K197" t="str">
        <f>VLOOKUP(Googleadssales[[#This Row],[Ad_ID]],'[1]pre processed data'!A:R,18,0)</f>
        <v>Hyderabad</v>
      </c>
      <c r="L197" t="str">
        <f>VLOOKUP(Googleadssales[[#This Row],[Ad_ID]],'[1]pre processed data'!A:S,19,0)</f>
        <v>Mobile</v>
      </c>
      <c r="M197" t="str">
        <f>VLOOKUP(Googleadssales[[#This Row],[Ad_ID]],'[1]pre processed data'!A:T,20,0)</f>
        <v>online data analytic</v>
      </c>
    </row>
    <row r="198" spans="1:13" x14ac:dyDescent="0.3">
      <c r="A198" t="s">
        <v>211</v>
      </c>
      <c r="B198" t="s">
        <v>14</v>
      </c>
      <c r="C198" s="4">
        <f>VLOOKUP(Googleadssales[[#This Row],[Ad_ID]],'[1]pre processed data'!A:C,3,0)</f>
        <v>133</v>
      </c>
      <c r="D198" s="4">
        <f>VLOOKUP(Googleadssales[[#This Row],[Ad_ID]],'[1]pre processed data'!A:E,5,0)</f>
        <v>4505</v>
      </c>
      <c r="E198" s="5" t="str">
        <f>VLOOKUP(Googleadssales[[#This Row],[Ad_ID]],[1]!Table3[[Ad_ID]:[Cost-imputed]],7,0)</f>
        <v>$200.52</v>
      </c>
      <c r="F198" s="4">
        <f>VLOOKUP(Googleadssales[[#This Row],[Ad_ID]],'[1]pre processed data'!A:I,9,0)</f>
        <v>23</v>
      </c>
      <c r="G198" s="4">
        <f>VLOOKUP(Googleadssales[[#This Row],[Ad_ID]],'[1]pre processed data'!A:K,11,0)</f>
        <v>3</v>
      </c>
      <c r="H198" s="2">
        <f>Googleadssales[[#This Row],[Conversions]]/Googleadssales[[#This Row],[Clicks]]</f>
        <v>2.2556390977443608E-2</v>
      </c>
      <c r="I198" t="str">
        <f>VLOOKUP(Googleadssales[[#This Row],[Ad_ID]],'[1]pre processed data'!A:O,15,0)</f>
        <v>$1562</v>
      </c>
      <c r="J198" s="3">
        <f>VLOOKUP(Googleadssales[[#This Row],[Ad_ID]],'[1]pre processed data'!A:Q,17,0)</f>
        <v>45622</v>
      </c>
      <c r="K198" t="str">
        <f>VLOOKUP(Googleadssales[[#This Row],[Ad_ID]],'[1]pre processed data'!A:R,18,0)</f>
        <v>Hyderabad</v>
      </c>
      <c r="L198" t="str">
        <f>VLOOKUP(Googleadssales[[#This Row],[Ad_ID]],'[1]pre processed data'!A:S,19,0)</f>
        <v>Tablet</v>
      </c>
      <c r="M198" t="str">
        <f>VLOOKUP(Googleadssales[[#This Row],[Ad_ID]],'[1]pre processed data'!A:T,20,0)</f>
        <v>analytics for data</v>
      </c>
    </row>
    <row r="199" spans="1:13" x14ac:dyDescent="0.3">
      <c r="A199" t="s">
        <v>212</v>
      </c>
      <c r="B199" t="s">
        <v>18</v>
      </c>
      <c r="C199" s="4">
        <f>VLOOKUP(Googleadssales[[#This Row],[Ad_ID]],'[1]pre processed data'!A:C,3,0)</f>
        <v>138.95699356913184</v>
      </c>
      <c r="D199" s="4">
        <f>VLOOKUP(Googleadssales[[#This Row],[Ad_ID]],'[1]pre processed data'!A:E,5,0)</f>
        <v>5016</v>
      </c>
      <c r="E199" s="5" t="str">
        <f>VLOOKUP(Googleadssales[[#This Row],[Ad_ID]],[1]!Table3[[Ad_ID]:[Cost-imputed]],7,0)</f>
        <v>$238.59</v>
      </c>
      <c r="F199" s="4">
        <f>VLOOKUP(Googleadssales[[#This Row],[Ad_ID]],'[1]pre processed data'!A:I,9,0)</f>
        <v>26</v>
      </c>
      <c r="G199" s="4">
        <f>VLOOKUP(Googleadssales[[#This Row],[Ad_ID]],'[1]pre processed data'!A:K,11,0)</f>
        <v>9</v>
      </c>
      <c r="H199" s="2">
        <f>Googleadssales[[#This Row],[Conversions]]/Googleadssales[[#This Row],[Clicks]]</f>
        <v>6.4768240653698753E-2</v>
      </c>
      <c r="I199" t="str">
        <f>VLOOKUP(Googleadssales[[#This Row],[Ad_ID]],'[1]pre processed data'!A:O,15,0)</f>
        <v>$1620</v>
      </c>
      <c r="J199" s="3">
        <f>VLOOKUP(Googleadssales[[#This Row],[Ad_ID]],'[1]pre processed data'!A:Q,17,0)</f>
        <v>45616</v>
      </c>
      <c r="K199" t="str">
        <f>VLOOKUP(Googleadssales[[#This Row],[Ad_ID]],'[1]pre processed data'!A:R,18,0)</f>
        <v>Chennai</v>
      </c>
      <c r="L199" t="str">
        <f>VLOOKUP(Googleadssales[[#This Row],[Ad_ID]],'[1]pre processed data'!A:S,19,0)</f>
        <v>Mobile</v>
      </c>
      <c r="M199" t="str">
        <f>VLOOKUP(Googleadssales[[#This Row],[Ad_ID]],'[1]pre processed data'!A:T,20,0)</f>
        <v>data analytics online</v>
      </c>
    </row>
    <row r="200" spans="1:13" x14ac:dyDescent="0.3">
      <c r="A200" t="s">
        <v>213</v>
      </c>
      <c r="B200" t="s">
        <v>14</v>
      </c>
      <c r="C200" s="4">
        <f>VLOOKUP(Googleadssales[[#This Row],[Ad_ID]],'[1]pre processed data'!A:C,3,0)</f>
        <v>141</v>
      </c>
      <c r="D200" s="4">
        <f>VLOOKUP(Googleadssales[[#This Row],[Ad_ID]],'[1]pre processed data'!A:E,5,0)</f>
        <v>3071</v>
      </c>
      <c r="E200" s="5" t="str">
        <f>VLOOKUP(Googleadssales[[#This Row],[Ad_ID]],[1]!Table3[[Ad_ID]:[Cost-imputed]],7,0)</f>
        <v>$208.2</v>
      </c>
      <c r="F200" s="4">
        <f>VLOOKUP(Googleadssales[[#This Row],[Ad_ID]],'[1]pre processed data'!A:I,9,0)</f>
        <v>10</v>
      </c>
      <c r="G200" s="4">
        <f>VLOOKUP(Googleadssales[[#This Row],[Ad_ID]],'[1]pre processed data'!A:K,11,0)</f>
        <v>6</v>
      </c>
      <c r="H200" s="2">
        <f>Googleadssales[[#This Row],[Conversions]]/Googleadssales[[#This Row],[Clicks]]</f>
        <v>4.2553191489361701E-2</v>
      </c>
      <c r="I200" t="str">
        <f>VLOOKUP(Googleadssales[[#This Row],[Ad_ID]],'[1]pre processed data'!A:O,15,0)</f>
        <v>$1647</v>
      </c>
      <c r="J200" s="3">
        <f>VLOOKUP(Googleadssales[[#This Row],[Ad_ID]],'[1]pre processed data'!A:Q,17,0)</f>
        <v>45614</v>
      </c>
      <c r="K200" t="str">
        <f>VLOOKUP(Googleadssales[[#This Row],[Ad_ID]],'[1]pre processed data'!A:R,18,0)</f>
        <v>Bangaluru</v>
      </c>
      <c r="L200" t="str">
        <f>VLOOKUP(Googleadssales[[#This Row],[Ad_ID]],'[1]pre processed data'!A:S,19,0)</f>
        <v>Tablet</v>
      </c>
      <c r="M200" t="str">
        <f>VLOOKUP(Googleadssales[[#This Row],[Ad_ID]],'[1]pre processed data'!A:T,20,0)</f>
        <v>data analytics online</v>
      </c>
    </row>
    <row r="201" spans="1:13" x14ac:dyDescent="0.3">
      <c r="A201" t="s">
        <v>214</v>
      </c>
      <c r="B201" t="s">
        <v>14</v>
      </c>
      <c r="C201" s="4">
        <f>VLOOKUP(Googleadssales[[#This Row],[Ad_ID]],'[1]pre processed data'!A:C,3,0)</f>
        <v>135</v>
      </c>
      <c r="D201" s="4">
        <f>VLOOKUP(Googleadssales[[#This Row],[Ad_ID]],'[1]pre processed data'!A:E,5,0)</f>
        <v>5682</v>
      </c>
      <c r="E201" s="5" t="str">
        <f>VLOOKUP(Googleadssales[[#This Row],[Ad_ID]],[1]!Table3[[Ad_ID]:[Cost-imputed]],7,0)</f>
        <v>$200.00</v>
      </c>
      <c r="F201" s="4">
        <f>VLOOKUP(Googleadssales[[#This Row],[Ad_ID]],'[1]pre processed data'!A:I,9,0)</f>
        <v>30</v>
      </c>
      <c r="G201" s="4">
        <f>VLOOKUP(Googleadssales[[#This Row],[Ad_ID]],'[1]pre processed data'!A:K,11,0)</f>
        <v>3</v>
      </c>
      <c r="H201" s="2">
        <f>Googleadssales[[#This Row],[Conversions]]/Googleadssales[[#This Row],[Clicks]]</f>
        <v>2.2222222222222223E-2</v>
      </c>
      <c r="I201" t="str">
        <f>VLOOKUP(Googleadssales[[#This Row],[Ad_ID]],'[1]pre processed data'!A:O,15,0)</f>
        <v>$1445</v>
      </c>
      <c r="J201" s="3">
        <f>VLOOKUP(Googleadssales[[#This Row],[Ad_ID]],'[1]pre processed data'!A:Q,17,0)</f>
        <v>45611</v>
      </c>
      <c r="K201" t="str">
        <f>VLOOKUP(Googleadssales[[#This Row],[Ad_ID]],'[1]pre processed data'!A:R,18,0)</f>
        <v>Chennai</v>
      </c>
      <c r="L201" t="str">
        <f>VLOOKUP(Googleadssales[[#This Row],[Ad_ID]],'[1]pre processed data'!A:S,19,0)</f>
        <v>Tablet</v>
      </c>
      <c r="M201" t="str">
        <f>VLOOKUP(Googleadssales[[#This Row],[Ad_ID]],'[1]pre processed data'!A:T,20,0)</f>
        <v>data analytics training</v>
      </c>
    </row>
    <row r="202" spans="1:13" x14ac:dyDescent="0.3">
      <c r="A202" t="s">
        <v>215</v>
      </c>
      <c r="B202" t="s">
        <v>14</v>
      </c>
      <c r="C202" s="4">
        <f>VLOOKUP(Googleadssales[[#This Row],[Ad_ID]],'[1]pre processed data'!A:C,3,0)</f>
        <v>199</v>
      </c>
      <c r="D202" s="4">
        <f>VLOOKUP(Googleadssales[[#This Row],[Ad_ID]],'[1]pre processed data'!A:E,5,0)</f>
        <v>5067</v>
      </c>
      <c r="E202" s="5" t="str">
        <f>VLOOKUP(Googleadssales[[#This Row],[Ad_ID]],[1]!Table3[[Ad_ID]:[Cost-imputed]],7,0)</f>
        <v>$247.38</v>
      </c>
      <c r="F202" s="4">
        <f>VLOOKUP(Googleadssales[[#This Row],[Ad_ID]],'[1]pre processed data'!A:I,9,0)</f>
        <v>24</v>
      </c>
      <c r="G202" s="4">
        <f>VLOOKUP(Googleadssales[[#This Row],[Ad_ID]],'[1]pre processed data'!A:K,11,0)</f>
        <v>8</v>
      </c>
      <c r="H202" s="2">
        <f>Googleadssales[[#This Row],[Conversions]]/Googleadssales[[#This Row],[Clicks]]</f>
        <v>4.0201005025125629E-2</v>
      </c>
      <c r="I202" t="str">
        <f>VLOOKUP(Googleadssales[[#This Row],[Ad_ID]],'[1]pre processed data'!A:O,15,0)</f>
        <v>$1365</v>
      </c>
      <c r="J202" s="3">
        <f>VLOOKUP(Googleadssales[[#This Row],[Ad_ID]],'[1]pre processed data'!A:Q,17,0)</f>
        <v>45615</v>
      </c>
      <c r="K202" t="str">
        <f>VLOOKUP(Googleadssales[[#This Row],[Ad_ID]],'[1]pre processed data'!A:R,18,0)</f>
        <v>Chennai</v>
      </c>
      <c r="L202" t="str">
        <f>VLOOKUP(Googleadssales[[#This Row],[Ad_ID]],'[1]pre processed data'!A:S,19,0)</f>
        <v>Mobile</v>
      </c>
      <c r="M202" t="str">
        <f>VLOOKUP(Googleadssales[[#This Row],[Ad_ID]],'[1]pre processed data'!A:T,20,0)</f>
        <v>analytics for data</v>
      </c>
    </row>
    <row r="203" spans="1:13" x14ac:dyDescent="0.3">
      <c r="A203" t="s">
        <v>216</v>
      </c>
      <c r="B203" t="s">
        <v>18</v>
      </c>
      <c r="C203" s="4">
        <f>VLOOKUP(Googleadssales[[#This Row],[Ad_ID]],'[1]pre processed data'!A:C,3,0)</f>
        <v>138</v>
      </c>
      <c r="D203" s="4">
        <f>VLOOKUP(Googleadssales[[#This Row],[Ad_ID]],'[1]pre processed data'!A:E,5,0)</f>
        <v>3971</v>
      </c>
      <c r="E203" s="5" t="str">
        <f>VLOOKUP(Googleadssales[[#This Row],[Ad_ID]],[1]!Table3[[Ad_ID]:[Cost-imputed]],7,0)</f>
        <v>$184.87</v>
      </c>
      <c r="F203" s="4">
        <f>VLOOKUP(Googleadssales[[#This Row],[Ad_ID]],'[1]pre processed data'!A:I,9,0)</f>
        <v>28</v>
      </c>
      <c r="G203" s="4">
        <f>VLOOKUP(Googleadssales[[#This Row],[Ad_ID]],'[1]pre processed data'!A:K,11,0)</f>
        <v>3</v>
      </c>
      <c r="H203" s="2">
        <f>Googleadssales[[#This Row],[Conversions]]/Googleadssales[[#This Row],[Clicks]]</f>
        <v>2.1739130434782608E-2</v>
      </c>
      <c r="I203" t="str">
        <f>VLOOKUP(Googleadssales[[#This Row],[Ad_ID]],'[1]pre processed data'!A:O,15,0)</f>
        <v>$1718</v>
      </c>
      <c r="J203" s="3">
        <f>VLOOKUP(Googleadssales[[#This Row],[Ad_ID]],'[1]pre processed data'!A:Q,17,0)</f>
        <v>45603</v>
      </c>
      <c r="K203" t="str">
        <f>VLOOKUP(Googleadssales[[#This Row],[Ad_ID]],'[1]pre processed data'!A:R,18,0)</f>
        <v>Chennai</v>
      </c>
      <c r="L203" t="str">
        <f>VLOOKUP(Googleadssales[[#This Row],[Ad_ID]],'[1]pre processed data'!A:S,19,0)</f>
        <v>Tablet</v>
      </c>
      <c r="M203" t="str">
        <f>VLOOKUP(Googleadssales[[#This Row],[Ad_ID]],'[1]pre processed data'!A:T,20,0)</f>
        <v>learn data analytics</v>
      </c>
    </row>
    <row r="204" spans="1:13" x14ac:dyDescent="0.3">
      <c r="A204" t="s">
        <v>217</v>
      </c>
      <c r="B204" t="s">
        <v>18</v>
      </c>
      <c r="C204" s="4">
        <f>VLOOKUP(Googleadssales[[#This Row],[Ad_ID]],'[1]pre processed data'!A:C,3,0)</f>
        <v>175</v>
      </c>
      <c r="D204" s="4">
        <f>VLOOKUP(Googleadssales[[#This Row],[Ad_ID]],'[1]pre processed data'!A:E,5,0)</f>
        <v>4481</v>
      </c>
      <c r="E204" s="5" t="str">
        <f>VLOOKUP(Googleadssales[[#This Row],[Ad_ID]],[1]!Table3[[Ad_ID]:[Cost-imputed]],7,0)</f>
        <v>$236.38</v>
      </c>
      <c r="F204" s="4">
        <f>VLOOKUP(Googleadssales[[#This Row],[Ad_ID]],'[1]pre processed data'!A:I,9,0)</f>
        <v>21</v>
      </c>
      <c r="G204" s="4">
        <f>VLOOKUP(Googleadssales[[#This Row],[Ad_ID]],'[1]pre processed data'!A:K,11,0)</f>
        <v>10</v>
      </c>
      <c r="H204" s="2">
        <f>Googleadssales[[#This Row],[Conversions]]/Googleadssales[[#This Row],[Clicks]]</f>
        <v>5.7142857142857141E-2</v>
      </c>
      <c r="I204" t="str">
        <f>VLOOKUP(Googleadssales[[#This Row],[Ad_ID]],'[1]pre processed data'!A:O,15,0)</f>
        <v>$1257</v>
      </c>
      <c r="J204" s="3">
        <f>VLOOKUP(Googleadssales[[#This Row],[Ad_ID]],'[1]pre processed data'!A:Q,17,0)</f>
        <v>45616</v>
      </c>
      <c r="K204" t="str">
        <f>VLOOKUP(Googleadssales[[#This Row],[Ad_ID]],'[1]pre processed data'!A:R,18,0)</f>
        <v>Hyderabad</v>
      </c>
      <c r="L204" t="str">
        <f>VLOOKUP(Googleadssales[[#This Row],[Ad_ID]],'[1]pre processed data'!A:S,19,0)</f>
        <v>Desktop</v>
      </c>
      <c r="M204" t="str">
        <f>VLOOKUP(Googleadssales[[#This Row],[Ad_ID]],'[1]pre processed data'!A:T,20,0)</f>
        <v>data analytics course</v>
      </c>
    </row>
    <row r="205" spans="1:13" x14ac:dyDescent="0.3">
      <c r="A205" t="s">
        <v>218</v>
      </c>
      <c r="B205" t="s">
        <v>14</v>
      </c>
      <c r="C205" s="4">
        <f>VLOOKUP(Googleadssales[[#This Row],[Ad_ID]],'[1]pre processed data'!A:C,3,0)</f>
        <v>170</v>
      </c>
      <c r="D205" s="4">
        <f>VLOOKUP(Googleadssales[[#This Row],[Ad_ID]],'[1]pre processed data'!A:E,5,0)</f>
        <v>5476</v>
      </c>
      <c r="E205" s="5" t="str">
        <f>VLOOKUP(Googleadssales[[#This Row],[Ad_ID]],[1]!Table3[[Ad_ID]:[Cost-imputed]],7,0)</f>
        <v>$186.29</v>
      </c>
      <c r="F205" s="4">
        <f>VLOOKUP(Googleadssales[[#This Row],[Ad_ID]],'[1]pre processed data'!A:I,9,0)</f>
        <v>25</v>
      </c>
      <c r="G205" s="4">
        <f>VLOOKUP(Googleadssales[[#This Row],[Ad_ID]],'[1]pre processed data'!A:K,11,0)</f>
        <v>4</v>
      </c>
      <c r="H205" s="2">
        <f>Googleadssales[[#This Row],[Conversions]]/Googleadssales[[#This Row],[Clicks]]</f>
        <v>2.3529411764705882E-2</v>
      </c>
      <c r="I205" t="str">
        <f>VLOOKUP(Googleadssales[[#This Row],[Ad_ID]],'[1]pre processed data'!A:O,15,0)</f>
        <v>$1731</v>
      </c>
      <c r="J205" s="3">
        <f>VLOOKUP(Googleadssales[[#This Row],[Ad_ID]],'[1]pre processed data'!A:Q,17,0)</f>
        <v>45604</v>
      </c>
      <c r="K205" t="str">
        <f>VLOOKUP(Googleadssales[[#This Row],[Ad_ID]],'[1]pre processed data'!A:R,18,0)</f>
        <v>Hyderabad</v>
      </c>
      <c r="L205" t="str">
        <f>VLOOKUP(Googleadssales[[#This Row],[Ad_ID]],'[1]pre processed data'!A:S,19,0)</f>
        <v>Mobile</v>
      </c>
      <c r="M205" t="str">
        <f>VLOOKUP(Googleadssales[[#This Row],[Ad_ID]],'[1]pre processed data'!A:T,20,0)</f>
        <v>analytics for data</v>
      </c>
    </row>
    <row r="206" spans="1:13" x14ac:dyDescent="0.3">
      <c r="A206" t="s">
        <v>219</v>
      </c>
      <c r="B206" t="s">
        <v>18</v>
      </c>
      <c r="C206" s="4">
        <f>VLOOKUP(Googleadssales[[#This Row],[Ad_ID]],'[1]pre processed data'!A:C,3,0)</f>
        <v>138</v>
      </c>
      <c r="D206" s="4">
        <f>VLOOKUP(Googleadssales[[#This Row],[Ad_ID]],'[1]pre processed data'!A:E,5,0)</f>
        <v>4426</v>
      </c>
      <c r="E206" s="5" t="str">
        <f>VLOOKUP(Googleadssales[[#This Row],[Ad_ID]],[1]!Table3[[Ad_ID]:[Cost-imputed]],7,0)</f>
        <v>$203.75</v>
      </c>
      <c r="F206" s="4">
        <f>VLOOKUP(Googleadssales[[#This Row],[Ad_ID]],'[1]pre processed data'!A:I,9,0)</f>
        <v>24</v>
      </c>
      <c r="G206" s="4">
        <f>VLOOKUP(Googleadssales[[#This Row],[Ad_ID]],'[1]pre processed data'!A:K,11,0)</f>
        <v>10</v>
      </c>
      <c r="H206" s="2">
        <f>Googleadssales[[#This Row],[Conversions]]/Googleadssales[[#This Row],[Clicks]]</f>
        <v>7.2463768115942032E-2</v>
      </c>
      <c r="I206" t="str">
        <f>VLOOKUP(Googleadssales[[#This Row],[Ad_ID]],'[1]pre processed data'!A:O,15,0)</f>
        <v>$1838</v>
      </c>
      <c r="J206" s="3">
        <f>VLOOKUP(Googleadssales[[#This Row],[Ad_ID]],'[1]pre processed data'!A:Q,17,0)</f>
        <v>45601</v>
      </c>
      <c r="K206" t="str">
        <f>VLOOKUP(Googleadssales[[#This Row],[Ad_ID]],'[1]pre processed data'!A:R,18,0)</f>
        <v>Hyderabad</v>
      </c>
      <c r="L206" t="str">
        <f>VLOOKUP(Googleadssales[[#This Row],[Ad_ID]],'[1]pre processed data'!A:S,19,0)</f>
        <v>Mobile</v>
      </c>
      <c r="M206" t="str">
        <f>VLOOKUP(Googleadssales[[#This Row],[Ad_ID]],'[1]pre processed data'!A:T,20,0)</f>
        <v>data analytics course</v>
      </c>
    </row>
    <row r="207" spans="1:13" x14ac:dyDescent="0.3">
      <c r="A207" t="s">
        <v>220</v>
      </c>
      <c r="B207" t="s">
        <v>14</v>
      </c>
      <c r="C207" s="4">
        <f>VLOOKUP(Googleadssales[[#This Row],[Ad_ID]],'[1]pre processed data'!A:C,3,0)</f>
        <v>108</v>
      </c>
      <c r="D207" s="4">
        <f>VLOOKUP(Googleadssales[[#This Row],[Ad_ID]],'[1]pre processed data'!A:E,5,0)</f>
        <v>4080</v>
      </c>
      <c r="E207" s="5" t="str">
        <f>VLOOKUP(Googleadssales[[#This Row],[Ad_ID]],[1]!Table3[[Ad_ID]:[Cost-imputed]],7,0)</f>
        <v>$247.8</v>
      </c>
      <c r="F207" s="4">
        <f>VLOOKUP(Googleadssales[[#This Row],[Ad_ID]],'[1]pre processed data'!A:I,9,0)</f>
        <v>18</v>
      </c>
      <c r="G207" s="4">
        <f>VLOOKUP(Googleadssales[[#This Row],[Ad_ID]],'[1]pre processed data'!A:K,11,0)</f>
        <v>4</v>
      </c>
      <c r="H207" s="2">
        <f>Googleadssales[[#This Row],[Conversions]]/Googleadssales[[#This Row],[Clicks]]</f>
        <v>3.7037037037037035E-2</v>
      </c>
      <c r="I207" t="str">
        <f>VLOOKUP(Googleadssales[[#This Row],[Ad_ID]],'[1]pre processed data'!A:O,15,0)</f>
        <v>$1363</v>
      </c>
      <c r="J207" s="3">
        <f>VLOOKUP(Googleadssales[[#This Row],[Ad_ID]],'[1]pre processed data'!A:Q,17,0)</f>
        <v>45626</v>
      </c>
      <c r="K207" t="str">
        <f>VLOOKUP(Googleadssales[[#This Row],[Ad_ID]],'[1]pre processed data'!A:R,18,0)</f>
        <v>Chennai</v>
      </c>
      <c r="L207" t="str">
        <f>VLOOKUP(Googleadssales[[#This Row],[Ad_ID]],'[1]pre processed data'!A:S,19,0)</f>
        <v>Tablet</v>
      </c>
      <c r="M207" t="str">
        <f>VLOOKUP(Googleadssales[[#This Row],[Ad_ID]],'[1]pre processed data'!A:T,20,0)</f>
        <v>online data analytic</v>
      </c>
    </row>
    <row r="208" spans="1:13" x14ac:dyDescent="0.3">
      <c r="A208" t="s">
        <v>221</v>
      </c>
      <c r="B208" t="s">
        <v>14</v>
      </c>
      <c r="C208" s="4">
        <f>VLOOKUP(Googleadssales[[#This Row],[Ad_ID]],'[1]pre processed data'!A:C,3,0)</f>
        <v>150</v>
      </c>
      <c r="D208" s="4">
        <f>VLOOKUP(Googleadssales[[#This Row],[Ad_ID]],'[1]pre processed data'!A:E,5,0)</f>
        <v>4113</v>
      </c>
      <c r="E208" s="5" t="str">
        <f>VLOOKUP(Googleadssales[[#This Row],[Ad_ID]],[1]!Table3[[Ad_ID]:[Cost-imputed]],7,0)</f>
        <v>$219.67</v>
      </c>
      <c r="F208" s="4">
        <f>VLOOKUP(Googleadssales[[#This Row],[Ad_ID]],'[1]pre processed data'!A:I,9,0)</f>
        <v>12</v>
      </c>
      <c r="G208" s="4">
        <f>VLOOKUP(Googleadssales[[#This Row],[Ad_ID]],'[1]pre processed data'!A:K,11,0)</f>
        <v>7</v>
      </c>
      <c r="H208" s="2">
        <f>Googleadssales[[#This Row],[Conversions]]/Googleadssales[[#This Row],[Clicks]]</f>
        <v>4.6666666666666669E-2</v>
      </c>
      <c r="I208" t="str">
        <f>VLOOKUP(Googleadssales[[#This Row],[Ad_ID]],'[1]pre processed data'!A:O,15,0)</f>
        <v>$1196</v>
      </c>
      <c r="J208" s="3">
        <f>VLOOKUP(Googleadssales[[#This Row],[Ad_ID]],'[1]pre processed data'!A:Q,17,0)</f>
        <v>45618</v>
      </c>
      <c r="K208" t="str">
        <f>VLOOKUP(Googleadssales[[#This Row],[Ad_ID]],'[1]pre processed data'!A:R,18,0)</f>
        <v>Hyderabad</v>
      </c>
      <c r="L208" t="str">
        <f>VLOOKUP(Googleadssales[[#This Row],[Ad_ID]],'[1]pre processed data'!A:S,19,0)</f>
        <v>Mobile</v>
      </c>
      <c r="M208" t="str">
        <f>VLOOKUP(Googleadssales[[#This Row],[Ad_ID]],'[1]pre processed data'!A:T,20,0)</f>
        <v>learn data analytics</v>
      </c>
    </row>
    <row r="209" spans="1:13" x14ac:dyDescent="0.3">
      <c r="A209" t="s">
        <v>222</v>
      </c>
      <c r="B209" t="s">
        <v>14</v>
      </c>
      <c r="C209" s="4">
        <f>VLOOKUP(Googleadssales[[#This Row],[Ad_ID]],'[1]pre processed data'!A:C,3,0)</f>
        <v>90</v>
      </c>
      <c r="D209" s="4">
        <f>VLOOKUP(Googleadssales[[#This Row],[Ad_ID]],'[1]pre processed data'!A:E,5,0)</f>
        <v>5119</v>
      </c>
      <c r="E209" s="5" t="str">
        <f>VLOOKUP(Googleadssales[[#This Row],[Ad_ID]],[1]!Table3[[Ad_ID]:[Cost-imputed]],7,0)</f>
        <v>$226.58</v>
      </c>
      <c r="F209" s="4">
        <f>VLOOKUP(Googleadssales[[#This Row],[Ad_ID]],'[1]pre processed data'!A:I,9,0)</f>
        <v>14</v>
      </c>
      <c r="G209" s="4">
        <f>VLOOKUP(Googleadssales[[#This Row],[Ad_ID]],'[1]pre processed data'!A:K,11,0)</f>
        <v>10</v>
      </c>
      <c r="H209" s="2">
        <f>Googleadssales[[#This Row],[Conversions]]/Googleadssales[[#This Row],[Clicks]]</f>
        <v>0.1111111111111111</v>
      </c>
      <c r="I209" t="str">
        <f>VLOOKUP(Googleadssales[[#This Row],[Ad_ID]],'[1]pre processed data'!A:O,15,0)</f>
        <v>$1348</v>
      </c>
      <c r="J209" s="3">
        <f>VLOOKUP(Googleadssales[[#This Row],[Ad_ID]],'[1]pre processed data'!A:Q,17,0)</f>
        <v>45603</v>
      </c>
      <c r="K209" t="str">
        <f>VLOOKUP(Googleadssales[[#This Row],[Ad_ID]],'[1]pre processed data'!A:R,18,0)</f>
        <v>Bangaluru</v>
      </c>
      <c r="L209" t="str">
        <f>VLOOKUP(Googleadssales[[#This Row],[Ad_ID]],'[1]pre processed data'!A:S,19,0)</f>
        <v>Desktop</v>
      </c>
      <c r="M209" t="str">
        <f>VLOOKUP(Googleadssales[[#This Row],[Ad_ID]],'[1]pre processed data'!A:T,20,0)</f>
        <v>analytics for data</v>
      </c>
    </row>
    <row r="210" spans="1:13" x14ac:dyDescent="0.3">
      <c r="A210" t="s">
        <v>223</v>
      </c>
      <c r="B210" t="s">
        <v>14</v>
      </c>
      <c r="C210" s="4">
        <f>VLOOKUP(Googleadssales[[#This Row],[Ad_ID]],'[1]pre processed data'!A:C,3,0)</f>
        <v>98</v>
      </c>
      <c r="D210" s="4">
        <f>VLOOKUP(Googleadssales[[#This Row],[Ad_ID]],'[1]pre processed data'!A:E,5,0)</f>
        <v>3422</v>
      </c>
      <c r="E210" s="5" t="str">
        <f>VLOOKUP(Googleadssales[[#This Row],[Ad_ID]],[1]!Table3[[Ad_ID]:[Cost-imputed]],7,0)</f>
        <v>$223.55</v>
      </c>
      <c r="F210" s="4">
        <f>VLOOKUP(Googleadssales[[#This Row],[Ad_ID]],'[1]pre processed data'!A:I,9,0)</f>
        <v>17</v>
      </c>
      <c r="G210" s="4">
        <f>VLOOKUP(Googleadssales[[#This Row],[Ad_ID]],'[1]pre processed data'!A:K,11,0)</f>
        <v>7</v>
      </c>
      <c r="H210" s="2">
        <f>Googleadssales[[#This Row],[Conversions]]/Googleadssales[[#This Row],[Clicks]]</f>
        <v>7.1428571428571425E-2</v>
      </c>
      <c r="I210" t="str">
        <f>VLOOKUP(Googleadssales[[#This Row],[Ad_ID]],'[1]pre processed data'!A:O,15,0)</f>
        <v>$1414</v>
      </c>
      <c r="J210" s="3">
        <f>VLOOKUP(Googleadssales[[#This Row],[Ad_ID]],'[1]pre processed data'!A:Q,17,0)</f>
        <v>45615</v>
      </c>
      <c r="K210" t="str">
        <f>VLOOKUP(Googleadssales[[#This Row],[Ad_ID]],'[1]pre processed data'!A:R,18,0)</f>
        <v>Bangaluru</v>
      </c>
      <c r="L210" t="str">
        <f>VLOOKUP(Googleadssales[[#This Row],[Ad_ID]],'[1]pre processed data'!A:S,19,0)</f>
        <v>Tablet</v>
      </c>
      <c r="M210" t="str">
        <f>VLOOKUP(Googleadssales[[#This Row],[Ad_ID]],'[1]pre processed data'!A:T,20,0)</f>
        <v>online data analytic</v>
      </c>
    </row>
    <row r="211" spans="1:13" x14ac:dyDescent="0.3">
      <c r="A211" t="s">
        <v>224</v>
      </c>
      <c r="B211" t="s">
        <v>18</v>
      </c>
      <c r="C211" s="4">
        <f>VLOOKUP(Googleadssales[[#This Row],[Ad_ID]],'[1]pre processed data'!A:C,3,0)</f>
        <v>130</v>
      </c>
      <c r="D211" s="4">
        <f>VLOOKUP(Googleadssales[[#This Row],[Ad_ID]],'[1]pre processed data'!A:E,5,0)</f>
        <v>3327</v>
      </c>
      <c r="E211" s="5" t="str">
        <f>VLOOKUP(Googleadssales[[#This Row],[Ad_ID]],[1]!Table3[[Ad_ID]:[Cost-imputed]],7,0)</f>
        <v>$224.83</v>
      </c>
      <c r="F211" s="4">
        <f>VLOOKUP(Googleadssales[[#This Row],[Ad_ID]],'[1]pre processed data'!A:I,9,0)</f>
        <v>13</v>
      </c>
      <c r="G211" s="4">
        <f>VLOOKUP(Googleadssales[[#This Row],[Ad_ID]],'[1]pre processed data'!A:K,11,0)</f>
        <v>3</v>
      </c>
      <c r="H211" s="2">
        <f>Googleadssales[[#This Row],[Conversions]]/Googleadssales[[#This Row],[Clicks]]</f>
        <v>2.3076923076923078E-2</v>
      </c>
      <c r="I211" t="str">
        <f>VLOOKUP(Googleadssales[[#This Row],[Ad_ID]],'[1]pre processed data'!A:O,15,0)</f>
        <v>$1668</v>
      </c>
      <c r="J211" s="3">
        <f>VLOOKUP(Googleadssales[[#This Row],[Ad_ID]],'[1]pre processed data'!A:Q,17,0)</f>
        <v>45612</v>
      </c>
      <c r="K211" t="str">
        <f>VLOOKUP(Googleadssales[[#This Row],[Ad_ID]],'[1]pre processed data'!A:R,18,0)</f>
        <v>Bangaluru</v>
      </c>
      <c r="L211" t="str">
        <f>VLOOKUP(Googleadssales[[#This Row],[Ad_ID]],'[1]pre processed data'!A:S,19,0)</f>
        <v>Mobile</v>
      </c>
      <c r="M211" t="str">
        <f>VLOOKUP(Googleadssales[[#This Row],[Ad_ID]],'[1]pre processed data'!A:T,20,0)</f>
        <v>online data analytic</v>
      </c>
    </row>
    <row r="212" spans="1:13" x14ac:dyDescent="0.3">
      <c r="A212" t="s">
        <v>225</v>
      </c>
      <c r="B212" t="s">
        <v>18</v>
      </c>
      <c r="C212" s="4">
        <f>VLOOKUP(Googleadssales[[#This Row],[Ad_ID]],'[1]pre processed data'!A:C,3,0)</f>
        <v>199</v>
      </c>
      <c r="D212" s="4">
        <f>VLOOKUP(Googleadssales[[#This Row],[Ad_ID]],'[1]pre processed data'!A:E,5,0)</f>
        <v>4523.2808326787117</v>
      </c>
      <c r="E212" s="5" t="str">
        <f>VLOOKUP(Googleadssales[[#This Row],[Ad_ID]],[1]!Table3[[Ad_ID]:[Cost-imputed]],7,0)</f>
        <v>$199.98</v>
      </c>
      <c r="F212" s="4">
        <f>VLOOKUP(Googleadssales[[#This Row],[Ad_ID]],'[1]pre processed data'!A:I,9,0)</f>
        <v>15</v>
      </c>
      <c r="G212" s="4">
        <f>VLOOKUP(Googleadssales[[#This Row],[Ad_ID]],'[1]pre processed data'!A:K,11,0)</f>
        <v>8</v>
      </c>
      <c r="H212" s="2">
        <f>Googleadssales[[#This Row],[Conversions]]/Googleadssales[[#This Row],[Clicks]]</f>
        <v>4.0201005025125629E-2</v>
      </c>
      <c r="I212" t="str">
        <f>VLOOKUP(Googleadssales[[#This Row],[Ad_ID]],'[1]pre processed data'!A:O,15,0)</f>
        <v>$1467</v>
      </c>
      <c r="J212" s="3">
        <f>VLOOKUP(Googleadssales[[#This Row],[Ad_ID]],'[1]pre processed data'!A:Q,17,0)</f>
        <v>45604</v>
      </c>
      <c r="K212" t="str">
        <f>VLOOKUP(Googleadssales[[#This Row],[Ad_ID]],'[1]pre processed data'!A:R,18,0)</f>
        <v>Hyderabad</v>
      </c>
      <c r="L212" t="str">
        <f>VLOOKUP(Googleadssales[[#This Row],[Ad_ID]],'[1]pre processed data'!A:S,19,0)</f>
        <v>Tablet</v>
      </c>
      <c r="M212" t="str">
        <f>VLOOKUP(Googleadssales[[#This Row],[Ad_ID]],'[1]pre processed data'!A:T,20,0)</f>
        <v>data analytics training</v>
      </c>
    </row>
    <row r="213" spans="1:13" x14ac:dyDescent="0.3">
      <c r="A213" t="s">
        <v>226</v>
      </c>
      <c r="B213" t="s">
        <v>14</v>
      </c>
      <c r="C213" s="4">
        <f>VLOOKUP(Googleadssales[[#This Row],[Ad_ID]],'[1]pre processed data'!A:C,3,0)</f>
        <v>101</v>
      </c>
      <c r="D213" s="4">
        <f>VLOOKUP(Googleadssales[[#This Row],[Ad_ID]],'[1]pre processed data'!A:E,5,0)</f>
        <v>3241</v>
      </c>
      <c r="E213" s="5" t="str">
        <f>VLOOKUP(Googleadssales[[#This Row],[Ad_ID]],[1]!Table3[[Ad_ID]:[Cost-imputed]],7,0)</f>
        <v>$183.34</v>
      </c>
      <c r="F213" s="4">
        <f>VLOOKUP(Googleadssales[[#This Row],[Ad_ID]],'[1]pre processed data'!A:I,9,0)</f>
        <v>24</v>
      </c>
      <c r="G213" s="4">
        <f>VLOOKUP(Googleadssales[[#This Row],[Ad_ID]],'[1]pre processed data'!A:K,11,0)</f>
        <v>6.485319516407599</v>
      </c>
      <c r="H213" s="2">
        <f>Googleadssales[[#This Row],[Conversions]]/Googleadssales[[#This Row],[Clicks]]</f>
        <v>6.421108432086732E-2</v>
      </c>
      <c r="I213" t="str">
        <f>VLOOKUP(Googleadssales[[#This Row],[Ad_ID]],'[1]pre processed data'!A:O,15,0)</f>
        <v>$1483</v>
      </c>
      <c r="J213" s="3">
        <f>VLOOKUP(Googleadssales[[#This Row],[Ad_ID]],'[1]pre processed data'!A:Q,17,0)</f>
        <v>45606</v>
      </c>
      <c r="K213" t="str">
        <f>VLOOKUP(Googleadssales[[#This Row],[Ad_ID]],'[1]pre processed data'!A:R,18,0)</f>
        <v>Chennai</v>
      </c>
      <c r="L213" t="str">
        <f>VLOOKUP(Googleadssales[[#This Row],[Ad_ID]],'[1]pre processed data'!A:S,19,0)</f>
        <v>Tablet</v>
      </c>
      <c r="M213" t="str">
        <f>VLOOKUP(Googleadssales[[#This Row],[Ad_ID]],'[1]pre processed data'!A:T,20,0)</f>
        <v>data analytics training</v>
      </c>
    </row>
    <row r="214" spans="1:13" x14ac:dyDescent="0.3">
      <c r="A214" t="s">
        <v>227</v>
      </c>
      <c r="B214" t="s">
        <v>14</v>
      </c>
      <c r="C214" s="4">
        <f>VLOOKUP(Googleadssales[[#This Row],[Ad_ID]],'[1]pre processed data'!A:C,3,0)</f>
        <v>118</v>
      </c>
      <c r="D214" s="4">
        <f>VLOOKUP(Googleadssales[[#This Row],[Ad_ID]],'[1]pre processed data'!A:E,5,0)</f>
        <v>3970</v>
      </c>
      <c r="E214" s="5" t="str">
        <f>VLOOKUP(Googleadssales[[#This Row],[Ad_ID]],[1]!Table3[[Ad_ID]:[Cost-imputed]],7,0)</f>
        <v>$200.00</v>
      </c>
      <c r="F214" s="4">
        <f>VLOOKUP(Googleadssales[[#This Row],[Ad_ID]],'[1]pre processed data'!A:I,9,0)</f>
        <v>27</v>
      </c>
      <c r="G214" s="4">
        <f>VLOOKUP(Googleadssales[[#This Row],[Ad_ID]],'[1]pre processed data'!A:K,11,0)</f>
        <v>9</v>
      </c>
      <c r="H214" s="2">
        <f>Googleadssales[[#This Row],[Conversions]]/Googleadssales[[#This Row],[Clicks]]</f>
        <v>7.6271186440677971E-2</v>
      </c>
      <c r="I214" t="str">
        <f>VLOOKUP(Googleadssales[[#This Row],[Ad_ID]],'[1]pre processed data'!A:O,15,0)</f>
        <v>$1036</v>
      </c>
      <c r="J214" s="3">
        <f>VLOOKUP(Googleadssales[[#This Row],[Ad_ID]],'[1]pre processed data'!A:Q,17,0)</f>
        <v>45615</v>
      </c>
      <c r="K214" t="str">
        <f>VLOOKUP(Googleadssales[[#This Row],[Ad_ID]],'[1]pre processed data'!A:R,18,0)</f>
        <v>Bangaluru</v>
      </c>
      <c r="L214" t="str">
        <f>VLOOKUP(Googleadssales[[#This Row],[Ad_ID]],'[1]pre processed data'!A:S,19,0)</f>
        <v>Desktop</v>
      </c>
      <c r="M214" t="str">
        <f>VLOOKUP(Googleadssales[[#This Row],[Ad_ID]],'[1]pre processed data'!A:T,20,0)</f>
        <v>data analytics course</v>
      </c>
    </row>
    <row r="215" spans="1:13" x14ac:dyDescent="0.3">
      <c r="A215" t="s">
        <v>228</v>
      </c>
      <c r="B215" t="s">
        <v>14</v>
      </c>
      <c r="C215" s="4">
        <f>VLOOKUP(Googleadssales[[#This Row],[Ad_ID]],'[1]pre processed data'!A:C,3,0)</f>
        <v>199</v>
      </c>
      <c r="D215" s="4">
        <f>VLOOKUP(Googleadssales[[#This Row],[Ad_ID]],'[1]pre processed data'!A:E,5,0)</f>
        <v>5734</v>
      </c>
      <c r="E215" s="5" t="str">
        <f>VLOOKUP(Googleadssales[[#This Row],[Ad_ID]],[1]!Table3[[Ad_ID]:[Cost-imputed]],7,0)</f>
        <v>$247.99</v>
      </c>
      <c r="F215" s="4">
        <f>VLOOKUP(Googleadssales[[#This Row],[Ad_ID]],'[1]pre processed data'!A:I,9,0)</f>
        <v>18</v>
      </c>
      <c r="G215" s="4">
        <f>VLOOKUP(Googleadssales[[#This Row],[Ad_ID]],'[1]pre processed data'!A:K,11,0)</f>
        <v>6.4842332613390932</v>
      </c>
      <c r="H215" s="2">
        <f>Googleadssales[[#This Row],[Conversions]]/Googleadssales[[#This Row],[Clicks]]</f>
        <v>3.258408674039745E-2</v>
      </c>
      <c r="I215" t="str">
        <f>VLOOKUP(Googleadssales[[#This Row],[Ad_ID]],'[1]pre processed data'!A:O,15,0)</f>
        <v>$1455</v>
      </c>
      <c r="J215" s="3">
        <f>VLOOKUP(Googleadssales[[#This Row],[Ad_ID]],'[1]pre processed data'!A:Q,17,0)</f>
        <v>45607</v>
      </c>
      <c r="K215" t="str">
        <f>VLOOKUP(Googleadssales[[#This Row],[Ad_ID]],'[1]pre processed data'!A:R,18,0)</f>
        <v>Bangaluru</v>
      </c>
      <c r="L215" t="str">
        <f>VLOOKUP(Googleadssales[[#This Row],[Ad_ID]],'[1]pre processed data'!A:S,19,0)</f>
        <v>Desktop</v>
      </c>
      <c r="M215" t="str">
        <f>VLOOKUP(Googleadssales[[#This Row],[Ad_ID]],'[1]pre processed data'!A:T,20,0)</f>
        <v>data analytics online</v>
      </c>
    </row>
    <row r="216" spans="1:13" x14ac:dyDescent="0.3">
      <c r="A216" t="s">
        <v>229</v>
      </c>
      <c r="B216" t="s">
        <v>14</v>
      </c>
      <c r="C216" s="4">
        <f>VLOOKUP(Googleadssales[[#This Row],[Ad_ID]],'[1]pre processed data'!A:C,3,0)</f>
        <v>183</v>
      </c>
      <c r="D216" s="4">
        <f>VLOOKUP(Googleadssales[[#This Row],[Ad_ID]],'[1]pre processed data'!A:E,5,0)</f>
        <v>4001</v>
      </c>
      <c r="E216" s="5" t="str">
        <f>VLOOKUP(Googleadssales[[#This Row],[Ad_ID]],[1]!Table3[[Ad_ID]:[Cost-imputed]],7,0)</f>
        <v>$237.85</v>
      </c>
      <c r="F216" s="4">
        <f>VLOOKUP(Googleadssales[[#This Row],[Ad_ID]],'[1]pre processed data'!A:I,9,0)</f>
        <v>23</v>
      </c>
      <c r="G216" s="4">
        <f>VLOOKUP(Googleadssales[[#This Row],[Ad_ID]],'[1]pre processed data'!A:K,11,0)</f>
        <v>4</v>
      </c>
      <c r="H216" s="2">
        <f>Googleadssales[[#This Row],[Conversions]]/Googleadssales[[#This Row],[Clicks]]</f>
        <v>2.185792349726776E-2</v>
      </c>
      <c r="I216" t="str">
        <f>VLOOKUP(Googleadssales[[#This Row],[Ad_ID]],'[1]pre processed data'!A:O,15,0)</f>
        <v>$1430</v>
      </c>
      <c r="J216" s="3">
        <f>VLOOKUP(Googleadssales[[#This Row],[Ad_ID]],'[1]pre processed data'!A:Q,17,0)</f>
        <v>45617</v>
      </c>
      <c r="K216" t="str">
        <f>VLOOKUP(Googleadssales[[#This Row],[Ad_ID]],'[1]pre processed data'!A:R,18,0)</f>
        <v>Chennai</v>
      </c>
      <c r="L216" t="str">
        <f>VLOOKUP(Googleadssales[[#This Row],[Ad_ID]],'[1]pre processed data'!A:S,19,0)</f>
        <v>Mobile</v>
      </c>
      <c r="M216" t="str">
        <f>VLOOKUP(Googleadssales[[#This Row],[Ad_ID]],'[1]pre processed data'!A:T,20,0)</f>
        <v>online data analytic</v>
      </c>
    </row>
    <row r="217" spans="1:13" x14ac:dyDescent="0.3">
      <c r="A217" t="s">
        <v>230</v>
      </c>
      <c r="B217" t="s">
        <v>14</v>
      </c>
      <c r="C217" s="4">
        <f>VLOOKUP(Googleadssales[[#This Row],[Ad_ID]],'[1]pre processed data'!A:C,3,0)</f>
        <v>126</v>
      </c>
      <c r="D217" s="4">
        <f>VLOOKUP(Googleadssales[[#This Row],[Ad_ID]],'[1]pre processed data'!A:E,5,0)</f>
        <v>4206</v>
      </c>
      <c r="E217" s="5" t="str">
        <f>VLOOKUP(Googleadssales[[#This Row],[Ad_ID]],[1]!Table3[[Ad_ID]:[Cost-imputed]],7,0)</f>
        <v>$233.76</v>
      </c>
      <c r="F217" s="4">
        <f>VLOOKUP(Googleadssales[[#This Row],[Ad_ID]],'[1]pre processed data'!A:I,9,0)</f>
        <v>29</v>
      </c>
      <c r="G217" s="4">
        <f>VLOOKUP(Googleadssales[[#This Row],[Ad_ID]],'[1]pre processed data'!A:K,11,0)</f>
        <v>10</v>
      </c>
      <c r="H217" s="2">
        <f>Googleadssales[[#This Row],[Conversions]]/Googleadssales[[#This Row],[Clicks]]</f>
        <v>7.9365079365079361E-2</v>
      </c>
      <c r="I217" t="str">
        <f>VLOOKUP(Googleadssales[[#This Row],[Ad_ID]],'[1]pre processed data'!A:O,15,0)</f>
        <v>$1998</v>
      </c>
      <c r="J217" s="3">
        <f>VLOOKUP(Googleadssales[[#This Row],[Ad_ID]],'[1]pre processed data'!A:Q,17,0)</f>
        <v>45602</v>
      </c>
      <c r="K217" t="str">
        <f>VLOOKUP(Googleadssales[[#This Row],[Ad_ID]],'[1]pre processed data'!A:R,18,0)</f>
        <v>Hyderabad</v>
      </c>
      <c r="L217" t="str">
        <f>VLOOKUP(Googleadssales[[#This Row],[Ad_ID]],'[1]pre processed data'!A:S,19,0)</f>
        <v>Tablet</v>
      </c>
      <c r="M217" t="str">
        <f>VLOOKUP(Googleadssales[[#This Row],[Ad_ID]],'[1]pre processed data'!A:T,20,0)</f>
        <v>online data analytic</v>
      </c>
    </row>
    <row r="218" spans="1:13" x14ac:dyDescent="0.3">
      <c r="A218" t="s">
        <v>231</v>
      </c>
      <c r="B218" t="s">
        <v>14</v>
      </c>
      <c r="C218" s="4">
        <f>VLOOKUP(Googleadssales[[#This Row],[Ad_ID]],'[1]pre processed data'!A:C,3,0)</f>
        <v>199</v>
      </c>
      <c r="D218" s="4">
        <f>VLOOKUP(Googleadssales[[#This Row],[Ad_ID]],'[1]pre processed data'!A:E,5,0)</f>
        <v>4745</v>
      </c>
      <c r="E218" s="5" t="str">
        <f>VLOOKUP(Googleadssales[[#This Row],[Ad_ID]],[1]!Table3[[Ad_ID]:[Cost-imputed]],7,0)</f>
        <v>$200.00</v>
      </c>
      <c r="F218" s="4">
        <f>VLOOKUP(Googleadssales[[#This Row],[Ad_ID]],'[1]pre processed data'!A:I,9,0)</f>
        <v>13</v>
      </c>
      <c r="G218" s="4">
        <f>VLOOKUP(Googleadssales[[#This Row],[Ad_ID]],'[1]pre processed data'!A:K,11,0)</f>
        <v>9</v>
      </c>
      <c r="H218" s="2">
        <f>Googleadssales[[#This Row],[Conversions]]/Googleadssales[[#This Row],[Clicks]]</f>
        <v>4.5226130653266333E-2</v>
      </c>
      <c r="I218" t="str">
        <f>VLOOKUP(Googleadssales[[#This Row],[Ad_ID]],'[1]pre processed data'!A:O,15,0)</f>
        <v>$1800</v>
      </c>
      <c r="J218" s="3">
        <f>VLOOKUP(Googleadssales[[#This Row],[Ad_ID]],'[1]pre processed data'!A:Q,17,0)</f>
        <v>45624</v>
      </c>
      <c r="K218" t="str">
        <f>VLOOKUP(Googleadssales[[#This Row],[Ad_ID]],'[1]pre processed data'!A:R,18,0)</f>
        <v>Hyderabad</v>
      </c>
      <c r="L218" t="str">
        <f>VLOOKUP(Googleadssales[[#This Row],[Ad_ID]],'[1]pre processed data'!A:S,19,0)</f>
        <v>Tablet</v>
      </c>
      <c r="M218" t="str">
        <f>VLOOKUP(Googleadssales[[#This Row],[Ad_ID]],'[1]pre processed data'!A:T,20,0)</f>
        <v>analytics for data</v>
      </c>
    </row>
    <row r="219" spans="1:13" x14ac:dyDescent="0.3">
      <c r="A219" t="s">
        <v>232</v>
      </c>
      <c r="B219" t="s">
        <v>14</v>
      </c>
      <c r="C219" s="4">
        <f>VLOOKUP(Googleadssales[[#This Row],[Ad_ID]],'[1]pre processed data'!A:C,3,0)</f>
        <v>92</v>
      </c>
      <c r="D219" s="4">
        <f>VLOOKUP(Googleadssales[[#This Row],[Ad_ID]],'[1]pre processed data'!A:E,5,0)</f>
        <v>4042</v>
      </c>
      <c r="E219" s="5" t="str">
        <f>VLOOKUP(Googleadssales[[#This Row],[Ad_ID]],[1]!Table3[[Ad_ID]:[Cost-imputed]],7,0)</f>
        <v>$200.75</v>
      </c>
      <c r="F219" s="4">
        <f>VLOOKUP(Googleadssales[[#This Row],[Ad_ID]],'[1]pre processed data'!A:I,9,0)</f>
        <v>15</v>
      </c>
      <c r="G219" s="4">
        <f>VLOOKUP(Googleadssales[[#This Row],[Ad_ID]],'[1]pre processed data'!A:K,11,0)</f>
        <v>7</v>
      </c>
      <c r="H219" s="2">
        <f>Googleadssales[[#This Row],[Conversions]]/Googleadssales[[#This Row],[Clicks]]</f>
        <v>7.6086956521739135E-2</v>
      </c>
      <c r="I219" t="str">
        <f>VLOOKUP(Googleadssales[[#This Row],[Ad_ID]],'[1]pre processed data'!A:O,15,0)</f>
        <v>$1234</v>
      </c>
      <c r="J219" s="3">
        <f>VLOOKUP(Googleadssales[[#This Row],[Ad_ID]],'[1]pre processed data'!A:Q,17,0)</f>
        <v>45620</v>
      </c>
      <c r="K219" t="str">
        <f>VLOOKUP(Googleadssales[[#This Row],[Ad_ID]],'[1]pre processed data'!A:R,18,0)</f>
        <v>Hyderabad</v>
      </c>
      <c r="L219" t="str">
        <f>VLOOKUP(Googleadssales[[#This Row],[Ad_ID]],'[1]pre processed data'!A:S,19,0)</f>
        <v>Tablet</v>
      </c>
      <c r="M219" t="str">
        <f>VLOOKUP(Googleadssales[[#This Row],[Ad_ID]],'[1]pre processed data'!A:T,20,0)</f>
        <v>learn data analytics</v>
      </c>
    </row>
    <row r="220" spans="1:13" x14ac:dyDescent="0.3">
      <c r="A220" t="s">
        <v>233</v>
      </c>
      <c r="B220" t="s">
        <v>14</v>
      </c>
      <c r="C220" s="4">
        <f>VLOOKUP(Googleadssales[[#This Row],[Ad_ID]],'[1]pre processed data'!A:C,3,0)</f>
        <v>138.95699356913184</v>
      </c>
      <c r="D220" s="4">
        <f>VLOOKUP(Googleadssales[[#This Row],[Ad_ID]],'[1]pre processed data'!A:E,5,0)</f>
        <v>4883</v>
      </c>
      <c r="E220" s="5" t="str">
        <f>VLOOKUP(Googleadssales[[#This Row],[Ad_ID]],[1]!Table3[[Ad_ID]:[Cost-imputed]],7,0)</f>
        <v>$249.61</v>
      </c>
      <c r="F220" s="4">
        <f>VLOOKUP(Googleadssales[[#This Row],[Ad_ID]],'[1]pre processed data'!A:I,9,0)</f>
        <v>10</v>
      </c>
      <c r="G220" s="4">
        <f>VLOOKUP(Googleadssales[[#This Row],[Ad_ID]],'[1]pre processed data'!A:K,11,0)</f>
        <v>3</v>
      </c>
      <c r="H220" s="2">
        <f>Googleadssales[[#This Row],[Conversions]]/Googleadssales[[#This Row],[Clicks]]</f>
        <v>2.1589413551232915E-2</v>
      </c>
      <c r="I220" t="str">
        <f>VLOOKUP(Googleadssales[[#This Row],[Ad_ID]],'[1]pre processed data'!A:O,15,0)</f>
        <v>$1464</v>
      </c>
      <c r="J220" s="3">
        <f>VLOOKUP(Googleadssales[[#This Row],[Ad_ID]],'[1]pre processed data'!A:Q,17,0)</f>
        <v>45608</v>
      </c>
      <c r="K220" t="str">
        <f>VLOOKUP(Googleadssales[[#This Row],[Ad_ID]],'[1]pre processed data'!A:R,18,0)</f>
        <v>Hyderabad</v>
      </c>
      <c r="L220" t="str">
        <f>VLOOKUP(Googleadssales[[#This Row],[Ad_ID]],'[1]pre processed data'!A:S,19,0)</f>
        <v>Tablet</v>
      </c>
      <c r="M220" t="str">
        <f>VLOOKUP(Googleadssales[[#This Row],[Ad_ID]],'[1]pre processed data'!A:T,20,0)</f>
        <v>online data analytic</v>
      </c>
    </row>
    <row r="221" spans="1:13" x14ac:dyDescent="0.3">
      <c r="A221" t="s">
        <v>234</v>
      </c>
      <c r="B221" t="s">
        <v>14</v>
      </c>
      <c r="C221" s="4">
        <f>VLOOKUP(Googleadssales[[#This Row],[Ad_ID]],'[1]pre processed data'!A:C,3,0)</f>
        <v>92</v>
      </c>
      <c r="D221" s="4">
        <f>VLOOKUP(Googleadssales[[#This Row],[Ad_ID]],'[1]pre processed data'!A:E,5,0)</f>
        <v>3748</v>
      </c>
      <c r="E221" s="5" t="str">
        <f>VLOOKUP(Googleadssales[[#This Row],[Ad_ID]],[1]!Table3[[Ad_ID]:[Cost-imputed]],7,0)</f>
        <v>$208.15</v>
      </c>
      <c r="F221" s="4">
        <f>VLOOKUP(Googleadssales[[#This Row],[Ad_ID]],'[1]pre processed data'!A:I,9,0)</f>
        <v>14</v>
      </c>
      <c r="G221" s="4">
        <f>VLOOKUP(Googleadssales[[#This Row],[Ad_ID]],'[1]pre processed data'!A:K,11,0)</f>
        <v>8</v>
      </c>
      <c r="H221" s="2">
        <f>Googleadssales[[#This Row],[Conversions]]/Googleadssales[[#This Row],[Clicks]]</f>
        <v>8.6956521739130432E-2</v>
      </c>
      <c r="I221" t="str">
        <f>VLOOKUP(Googleadssales[[#This Row],[Ad_ID]],'[1]pre processed data'!A:O,15,0)</f>
        <v>$1297</v>
      </c>
      <c r="J221" s="3">
        <f>VLOOKUP(Googleadssales[[#This Row],[Ad_ID]],'[1]pre processed data'!A:Q,17,0)</f>
        <v>45598</v>
      </c>
      <c r="K221" t="str">
        <f>VLOOKUP(Googleadssales[[#This Row],[Ad_ID]],'[1]pre processed data'!A:R,18,0)</f>
        <v>Hyderabad</v>
      </c>
      <c r="L221" t="str">
        <f>VLOOKUP(Googleadssales[[#This Row],[Ad_ID]],'[1]pre processed data'!A:S,19,0)</f>
        <v>Desktop</v>
      </c>
      <c r="M221" t="str">
        <f>VLOOKUP(Googleadssales[[#This Row],[Ad_ID]],'[1]pre processed data'!A:T,20,0)</f>
        <v>analytics for data</v>
      </c>
    </row>
    <row r="222" spans="1:13" x14ac:dyDescent="0.3">
      <c r="A222" t="s">
        <v>235</v>
      </c>
      <c r="B222" t="s">
        <v>14</v>
      </c>
      <c r="C222" s="4">
        <f>VLOOKUP(Googleadssales[[#This Row],[Ad_ID]],'[1]pre processed data'!A:C,3,0)</f>
        <v>135</v>
      </c>
      <c r="D222" s="4">
        <f>VLOOKUP(Googleadssales[[#This Row],[Ad_ID]],'[1]pre processed data'!A:E,5,0)</f>
        <v>3480</v>
      </c>
      <c r="E222" s="5" t="str">
        <f>VLOOKUP(Googleadssales[[#This Row],[Ad_ID]],[1]!Table3[[Ad_ID]:[Cost-imputed]],7,0)</f>
        <v>$224.94</v>
      </c>
      <c r="F222" s="4">
        <f>VLOOKUP(Googleadssales[[#This Row],[Ad_ID]],'[1]pre processed data'!A:I,9,0)</f>
        <v>11</v>
      </c>
      <c r="G222" s="4">
        <f>VLOOKUP(Googleadssales[[#This Row],[Ad_ID]],'[1]pre processed data'!A:K,11,0)</f>
        <v>4</v>
      </c>
      <c r="H222" s="2">
        <f>Googleadssales[[#This Row],[Conversions]]/Googleadssales[[#This Row],[Clicks]]</f>
        <v>2.9629629629629631E-2</v>
      </c>
      <c r="I222" t="str">
        <f>VLOOKUP(Googleadssales[[#This Row],[Ad_ID]],'[1]pre processed data'!A:O,15,0)</f>
        <v>$1398</v>
      </c>
      <c r="J222" s="3">
        <f>VLOOKUP(Googleadssales[[#This Row],[Ad_ID]],'[1]pre processed data'!A:Q,17,0)</f>
        <v>45619</v>
      </c>
      <c r="K222" t="str">
        <f>VLOOKUP(Googleadssales[[#This Row],[Ad_ID]],'[1]pre processed data'!A:R,18,0)</f>
        <v>Chennai</v>
      </c>
      <c r="L222" t="str">
        <f>VLOOKUP(Googleadssales[[#This Row],[Ad_ID]],'[1]pre processed data'!A:S,19,0)</f>
        <v>Tablet</v>
      </c>
      <c r="M222" t="str">
        <f>VLOOKUP(Googleadssales[[#This Row],[Ad_ID]],'[1]pre processed data'!A:T,20,0)</f>
        <v>data analytics online</v>
      </c>
    </row>
    <row r="223" spans="1:13" x14ac:dyDescent="0.3">
      <c r="A223" t="s">
        <v>236</v>
      </c>
      <c r="B223" t="s">
        <v>14</v>
      </c>
      <c r="C223" s="4">
        <f>VLOOKUP(Googleadssales[[#This Row],[Ad_ID]],'[1]pre processed data'!A:C,3,0)</f>
        <v>177</v>
      </c>
      <c r="D223" s="4">
        <f>VLOOKUP(Googleadssales[[#This Row],[Ad_ID]],'[1]pre processed data'!A:E,5,0)</f>
        <v>3007</v>
      </c>
      <c r="E223" s="5" t="str">
        <f>VLOOKUP(Googleadssales[[#This Row],[Ad_ID]],[1]!Table3[[Ad_ID]:[Cost-imputed]],7,0)</f>
        <v>$223.22</v>
      </c>
      <c r="F223" s="4">
        <f>VLOOKUP(Googleadssales[[#This Row],[Ad_ID]],'[1]pre processed data'!A:I,9,0)</f>
        <v>30</v>
      </c>
      <c r="G223" s="4">
        <f>VLOOKUP(Googleadssales[[#This Row],[Ad_ID]],'[1]pre processed data'!A:K,11,0)</f>
        <v>8</v>
      </c>
      <c r="H223" s="2">
        <f>Googleadssales[[#This Row],[Conversions]]/Googleadssales[[#This Row],[Clicks]]</f>
        <v>4.519774011299435E-2</v>
      </c>
      <c r="I223" t="str">
        <f>VLOOKUP(Googleadssales[[#This Row],[Ad_ID]],'[1]pre processed data'!A:O,15,0)</f>
        <v>$1766</v>
      </c>
      <c r="J223" s="3">
        <f>VLOOKUP(Googleadssales[[#This Row],[Ad_ID]],'[1]pre processed data'!A:Q,17,0)</f>
        <v>45598</v>
      </c>
      <c r="K223" t="str">
        <f>VLOOKUP(Googleadssales[[#This Row],[Ad_ID]],'[1]pre processed data'!A:R,18,0)</f>
        <v>Bangaluru</v>
      </c>
      <c r="L223" t="str">
        <f>VLOOKUP(Googleadssales[[#This Row],[Ad_ID]],'[1]pre processed data'!A:S,19,0)</f>
        <v>Mobile</v>
      </c>
      <c r="M223" t="str">
        <f>VLOOKUP(Googleadssales[[#This Row],[Ad_ID]],'[1]pre processed data'!A:T,20,0)</f>
        <v>data analytics online</v>
      </c>
    </row>
    <row r="224" spans="1:13" x14ac:dyDescent="0.3">
      <c r="A224" t="s">
        <v>237</v>
      </c>
      <c r="B224" t="s">
        <v>14</v>
      </c>
      <c r="C224" s="4">
        <f>VLOOKUP(Googleadssales[[#This Row],[Ad_ID]],'[1]pre processed data'!A:C,3,0)</f>
        <v>117</v>
      </c>
      <c r="D224" s="4">
        <f>VLOOKUP(Googleadssales[[#This Row],[Ad_ID]],'[1]pre processed data'!A:E,5,0)</f>
        <v>3380</v>
      </c>
      <c r="E224" s="5" t="str">
        <f>VLOOKUP(Googleadssales[[#This Row],[Ad_ID]],[1]!Table3[[Ad_ID]:[Cost-imputed]],7,0)</f>
        <v>$186.73</v>
      </c>
      <c r="F224" s="4">
        <f>VLOOKUP(Googleadssales[[#This Row],[Ad_ID]],'[1]pre processed data'!A:I,9,0)</f>
        <v>21</v>
      </c>
      <c r="G224" s="4">
        <f>VLOOKUP(Googleadssales[[#This Row],[Ad_ID]],'[1]pre processed data'!A:K,11,0)</f>
        <v>10</v>
      </c>
      <c r="H224" s="2">
        <f>Googleadssales[[#This Row],[Conversions]]/Googleadssales[[#This Row],[Clicks]]</f>
        <v>8.5470085470085472E-2</v>
      </c>
      <c r="I224" t="str">
        <f>VLOOKUP(Googleadssales[[#This Row],[Ad_ID]],'[1]pre processed data'!A:O,15,0)</f>
        <v>$1958</v>
      </c>
      <c r="J224" s="3">
        <f>VLOOKUP(Googleadssales[[#This Row],[Ad_ID]],'[1]pre processed data'!A:Q,17,0)</f>
        <v>45615</v>
      </c>
      <c r="K224" t="str">
        <f>VLOOKUP(Googleadssales[[#This Row],[Ad_ID]],'[1]pre processed data'!A:R,18,0)</f>
        <v>Hyderabad</v>
      </c>
      <c r="L224" t="str">
        <f>VLOOKUP(Googleadssales[[#This Row],[Ad_ID]],'[1]pre processed data'!A:S,19,0)</f>
        <v>Desktop</v>
      </c>
      <c r="M224" t="str">
        <f>VLOOKUP(Googleadssales[[#This Row],[Ad_ID]],'[1]pre processed data'!A:T,20,0)</f>
        <v>data analytics training</v>
      </c>
    </row>
    <row r="225" spans="1:13" x14ac:dyDescent="0.3">
      <c r="A225" t="s">
        <v>238</v>
      </c>
      <c r="B225" t="s">
        <v>14</v>
      </c>
      <c r="C225" s="4">
        <f>VLOOKUP(Googleadssales[[#This Row],[Ad_ID]],'[1]pre processed data'!A:C,3,0)</f>
        <v>127</v>
      </c>
      <c r="D225" s="4">
        <f>VLOOKUP(Googleadssales[[#This Row],[Ad_ID]],'[1]pre processed data'!A:E,5,0)</f>
        <v>4823</v>
      </c>
      <c r="E225" s="5" t="str">
        <f>VLOOKUP(Googleadssales[[#This Row],[Ad_ID]],[1]!Table3[[Ad_ID]:[Cost-imputed]],7,0)</f>
        <v>$194.69</v>
      </c>
      <c r="F225" s="4">
        <f>VLOOKUP(Googleadssales[[#This Row],[Ad_ID]],'[1]pre processed data'!A:I,9,0)</f>
        <v>11</v>
      </c>
      <c r="G225" s="4">
        <f>VLOOKUP(Googleadssales[[#This Row],[Ad_ID]],'[1]pre processed data'!A:K,11,0)</f>
        <v>10</v>
      </c>
      <c r="H225" s="2">
        <f>Googleadssales[[#This Row],[Conversions]]/Googleadssales[[#This Row],[Clicks]]</f>
        <v>7.874015748031496E-2</v>
      </c>
      <c r="I225" t="str">
        <f>VLOOKUP(Googleadssales[[#This Row],[Ad_ID]],'[1]pre processed data'!A:O,15,0)</f>
        <v>$1496</v>
      </c>
      <c r="J225" s="3">
        <f>VLOOKUP(Googleadssales[[#This Row],[Ad_ID]],'[1]pre processed data'!A:Q,17,0)</f>
        <v>45611</v>
      </c>
      <c r="K225" t="str">
        <f>VLOOKUP(Googleadssales[[#This Row],[Ad_ID]],'[1]pre processed data'!A:R,18,0)</f>
        <v>Bangaluru</v>
      </c>
      <c r="L225" t="str">
        <f>VLOOKUP(Googleadssales[[#This Row],[Ad_ID]],'[1]pre processed data'!A:S,19,0)</f>
        <v>Desktop</v>
      </c>
      <c r="M225" t="str">
        <f>VLOOKUP(Googleadssales[[#This Row],[Ad_ID]],'[1]pre processed data'!A:T,20,0)</f>
        <v>data analytics course</v>
      </c>
    </row>
    <row r="226" spans="1:13" x14ac:dyDescent="0.3">
      <c r="A226" t="s">
        <v>239</v>
      </c>
      <c r="B226" t="s">
        <v>18</v>
      </c>
      <c r="C226" s="4">
        <f>VLOOKUP(Googleadssales[[#This Row],[Ad_ID]],'[1]pre processed data'!A:C,3,0)</f>
        <v>132</v>
      </c>
      <c r="D226" s="4">
        <f>VLOOKUP(Googleadssales[[#This Row],[Ad_ID]],'[1]pre processed data'!A:E,5,0)</f>
        <v>4490</v>
      </c>
      <c r="E226" s="5" t="str">
        <f>VLOOKUP(Googleadssales[[#This Row],[Ad_ID]],[1]!Table3[[Ad_ID]:[Cost-imputed]],7,0)</f>
        <v>$202.45</v>
      </c>
      <c r="F226" s="4">
        <f>VLOOKUP(Googleadssales[[#This Row],[Ad_ID]],'[1]pre processed data'!A:I,9,0)</f>
        <v>10</v>
      </c>
      <c r="G226" s="4">
        <f>VLOOKUP(Googleadssales[[#This Row],[Ad_ID]],'[1]pre processed data'!A:K,11,0)</f>
        <v>7</v>
      </c>
      <c r="H226" s="2">
        <f>Googleadssales[[#This Row],[Conversions]]/Googleadssales[[#This Row],[Clicks]]</f>
        <v>5.3030303030303032E-2</v>
      </c>
      <c r="I226" t="str">
        <f>VLOOKUP(Googleadssales[[#This Row],[Ad_ID]],'[1]pre processed data'!A:O,15,0)</f>
        <v>$1441</v>
      </c>
      <c r="J226" s="3">
        <f>VLOOKUP(Googleadssales[[#This Row],[Ad_ID]],'[1]pre processed data'!A:Q,17,0)</f>
        <v>45606</v>
      </c>
      <c r="K226" t="str">
        <f>VLOOKUP(Googleadssales[[#This Row],[Ad_ID]],'[1]pre processed data'!A:R,18,0)</f>
        <v>Chennai</v>
      </c>
      <c r="L226" t="str">
        <f>VLOOKUP(Googleadssales[[#This Row],[Ad_ID]],'[1]pre processed data'!A:S,19,0)</f>
        <v>Mobile</v>
      </c>
      <c r="M226" t="str">
        <f>VLOOKUP(Googleadssales[[#This Row],[Ad_ID]],'[1]pre processed data'!A:T,20,0)</f>
        <v>data analytics online</v>
      </c>
    </row>
    <row r="227" spans="1:13" x14ac:dyDescent="0.3">
      <c r="A227" t="s">
        <v>240</v>
      </c>
      <c r="B227" t="s">
        <v>14</v>
      </c>
      <c r="C227" s="4">
        <f>VLOOKUP(Googleadssales[[#This Row],[Ad_ID]],'[1]pre processed data'!A:C,3,0)</f>
        <v>102</v>
      </c>
      <c r="D227" s="4">
        <f>VLOOKUP(Googleadssales[[#This Row],[Ad_ID]],'[1]pre processed data'!A:E,5,0)</f>
        <v>5149</v>
      </c>
      <c r="E227" s="5" t="str">
        <f>VLOOKUP(Googleadssales[[#This Row],[Ad_ID]],[1]!Table3[[Ad_ID]:[Cost-imputed]],7,0)</f>
        <v>$229.48</v>
      </c>
      <c r="F227" s="4">
        <f>VLOOKUP(Googleadssales[[#This Row],[Ad_ID]],'[1]pre processed data'!A:I,9,0)</f>
        <v>27</v>
      </c>
      <c r="G227" s="4">
        <f>VLOOKUP(Googleadssales[[#This Row],[Ad_ID]],'[1]pre processed data'!A:K,11,0)</f>
        <v>9</v>
      </c>
      <c r="H227" s="2">
        <f>Googleadssales[[#This Row],[Conversions]]/Googleadssales[[#This Row],[Clicks]]</f>
        <v>8.8235294117647065E-2</v>
      </c>
      <c r="I227" t="str">
        <f>VLOOKUP(Googleadssales[[#This Row],[Ad_ID]],'[1]pre processed data'!A:O,15,0)</f>
        <v>$1137</v>
      </c>
      <c r="J227" s="3">
        <f>VLOOKUP(Googleadssales[[#This Row],[Ad_ID]],'[1]pre processed data'!A:Q,17,0)</f>
        <v>45622</v>
      </c>
      <c r="K227" t="str">
        <f>VLOOKUP(Googleadssales[[#This Row],[Ad_ID]],'[1]pre processed data'!A:R,18,0)</f>
        <v>Hyderabad</v>
      </c>
      <c r="L227" t="str">
        <f>VLOOKUP(Googleadssales[[#This Row],[Ad_ID]],'[1]pre processed data'!A:S,19,0)</f>
        <v>Desktop</v>
      </c>
      <c r="M227" t="str">
        <f>VLOOKUP(Googleadssales[[#This Row],[Ad_ID]],'[1]pre processed data'!A:T,20,0)</f>
        <v>learn data analytics</v>
      </c>
    </row>
    <row r="228" spans="1:13" x14ac:dyDescent="0.3">
      <c r="A228" t="s">
        <v>241</v>
      </c>
      <c r="B228" t="s">
        <v>14</v>
      </c>
      <c r="C228" s="4">
        <f>VLOOKUP(Googleadssales[[#This Row],[Ad_ID]],'[1]pre processed data'!A:C,3,0)</f>
        <v>91</v>
      </c>
      <c r="D228" s="4">
        <f>VLOOKUP(Googleadssales[[#This Row],[Ad_ID]],'[1]pre processed data'!A:E,5,0)</f>
        <v>4290</v>
      </c>
      <c r="E228" s="5" t="str">
        <f>VLOOKUP(Googleadssales[[#This Row],[Ad_ID]],[1]!Table3[[Ad_ID]:[Cost-imputed]],7,0)</f>
        <v>$213.74</v>
      </c>
      <c r="F228" s="4">
        <f>VLOOKUP(Googleadssales[[#This Row],[Ad_ID]],'[1]pre processed data'!A:I,9,0)</f>
        <v>20.01504082509669</v>
      </c>
      <c r="G228" s="4">
        <f>VLOOKUP(Googleadssales[[#This Row],[Ad_ID]],'[1]pre processed data'!A:K,11,0)</f>
        <v>10</v>
      </c>
      <c r="H228" s="2">
        <f>Googleadssales[[#This Row],[Conversions]]/Googleadssales[[#This Row],[Clicks]]</f>
        <v>0.10989010989010989</v>
      </c>
      <c r="I228" t="str">
        <f>VLOOKUP(Googleadssales[[#This Row],[Ad_ID]],'[1]pre processed data'!A:O,15,0)</f>
        <v>$1797</v>
      </c>
      <c r="J228" s="3">
        <f>VLOOKUP(Googleadssales[[#This Row],[Ad_ID]],'[1]pre processed data'!A:Q,17,0)</f>
        <v>45612</v>
      </c>
      <c r="K228" t="str">
        <f>VLOOKUP(Googleadssales[[#This Row],[Ad_ID]],'[1]pre processed data'!A:R,18,0)</f>
        <v>Bangaluru</v>
      </c>
      <c r="L228" t="str">
        <f>VLOOKUP(Googleadssales[[#This Row],[Ad_ID]],'[1]pre processed data'!A:S,19,0)</f>
        <v>Mobile</v>
      </c>
      <c r="M228" t="str">
        <f>VLOOKUP(Googleadssales[[#This Row],[Ad_ID]],'[1]pre processed data'!A:T,20,0)</f>
        <v>online data analytic</v>
      </c>
    </row>
    <row r="229" spans="1:13" x14ac:dyDescent="0.3">
      <c r="A229" t="s">
        <v>242</v>
      </c>
      <c r="B229" t="s">
        <v>14</v>
      </c>
      <c r="C229" s="4">
        <f>VLOOKUP(Googleadssales[[#This Row],[Ad_ID]],'[1]pre processed data'!A:C,3,0)</f>
        <v>163</v>
      </c>
      <c r="D229" s="4">
        <f>VLOOKUP(Googleadssales[[#This Row],[Ad_ID]],'[1]pre processed data'!A:E,5,0)</f>
        <v>5643</v>
      </c>
      <c r="E229" s="5" t="str">
        <f>VLOOKUP(Googleadssales[[#This Row],[Ad_ID]],[1]!Table3[[Ad_ID]:[Cost-imputed]],7,0)</f>
        <v>$217.4</v>
      </c>
      <c r="F229" s="4">
        <f>VLOOKUP(Googleadssales[[#This Row],[Ad_ID]],'[1]pre processed data'!A:I,9,0)</f>
        <v>30</v>
      </c>
      <c r="G229" s="4">
        <f>VLOOKUP(Googleadssales[[#This Row],[Ad_ID]],'[1]pre processed data'!A:K,11,0)</f>
        <v>6</v>
      </c>
      <c r="H229" s="2">
        <f>Googleadssales[[#This Row],[Conversions]]/Googleadssales[[#This Row],[Clicks]]</f>
        <v>3.6809815950920248E-2</v>
      </c>
      <c r="I229" t="str">
        <f>VLOOKUP(Googleadssales[[#This Row],[Ad_ID]],'[1]pre processed data'!A:O,15,0)</f>
        <v>$1678</v>
      </c>
      <c r="J229" s="3">
        <f>VLOOKUP(Googleadssales[[#This Row],[Ad_ID]],'[1]pre processed data'!A:Q,17,0)</f>
        <v>45597</v>
      </c>
      <c r="K229" t="str">
        <f>VLOOKUP(Googleadssales[[#This Row],[Ad_ID]],'[1]pre processed data'!A:R,18,0)</f>
        <v>Bangaluru</v>
      </c>
      <c r="L229" t="str">
        <f>VLOOKUP(Googleadssales[[#This Row],[Ad_ID]],'[1]pre processed data'!A:S,19,0)</f>
        <v>Desktop</v>
      </c>
      <c r="M229" t="str">
        <f>VLOOKUP(Googleadssales[[#This Row],[Ad_ID]],'[1]pre processed data'!A:T,20,0)</f>
        <v>data analytics online</v>
      </c>
    </row>
    <row r="230" spans="1:13" x14ac:dyDescent="0.3">
      <c r="A230" t="s">
        <v>243</v>
      </c>
      <c r="B230" t="s">
        <v>14</v>
      </c>
      <c r="C230" s="4">
        <f>VLOOKUP(Googleadssales[[#This Row],[Ad_ID]],'[1]pre processed data'!A:C,3,0)</f>
        <v>92</v>
      </c>
      <c r="D230" s="4">
        <f>VLOOKUP(Googleadssales[[#This Row],[Ad_ID]],'[1]pre processed data'!A:E,5,0)</f>
        <v>3916</v>
      </c>
      <c r="E230" s="5" t="str">
        <f>VLOOKUP(Googleadssales[[#This Row],[Ad_ID]],[1]!Table3[[Ad_ID]:[Cost-imputed]],7,0)</f>
        <v>$188.1</v>
      </c>
      <c r="F230" s="4">
        <f>VLOOKUP(Googleadssales[[#This Row],[Ad_ID]],'[1]pre processed data'!A:I,9,0)</f>
        <v>20.010748065348238</v>
      </c>
      <c r="G230" s="4">
        <f>VLOOKUP(Googleadssales[[#This Row],[Ad_ID]],'[1]pre processed data'!A:K,11,0)</f>
        <v>6</v>
      </c>
      <c r="H230" s="2">
        <f>Googleadssales[[#This Row],[Conversions]]/Googleadssales[[#This Row],[Clicks]]</f>
        <v>6.5217391304347824E-2</v>
      </c>
      <c r="I230" t="str">
        <f>VLOOKUP(Googleadssales[[#This Row],[Ad_ID]],'[1]pre processed data'!A:O,15,0)</f>
        <v>$1005</v>
      </c>
      <c r="J230" s="3">
        <f>VLOOKUP(Googleadssales[[#This Row],[Ad_ID]],'[1]pre processed data'!A:Q,17,0)</f>
        <v>45610</v>
      </c>
      <c r="K230" t="str">
        <f>VLOOKUP(Googleadssales[[#This Row],[Ad_ID]],'[1]pre processed data'!A:R,18,0)</f>
        <v>Hyderabad</v>
      </c>
      <c r="L230" t="str">
        <f>VLOOKUP(Googleadssales[[#This Row],[Ad_ID]],'[1]pre processed data'!A:S,19,0)</f>
        <v>Desktop</v>
      </c>
      <c r="M230" t="str">
        <f>VLOOKUP(Googleadssales[[#This Row],[Ad_ID]],'[1]pre processed data'!A:T,20,0)</f>
        <v>online data analytic</v>
      </c>
    </row>
    <row r="231" spans="1:13" x14ac:dyDescent="0.3">
      <c r="A231" t="s">
        <v>244</v>
      </c>
      <c r="B231" t="s">
        <v>14</v>
      </c>
      <c r="C231" s="4">
        <f>VLOOKUP(Googleadssales[[#This Row],[Ad_ID]],'[1]pre processed data'!A:C,3,0)</f>
        <v>165</v>
      </c>
      <c r="D231" s="4">
        <f>VLOOKUP(Googleadssales[[#This Row],[Ad_ID]],'[1]pre processed data'!A:E,5,0)</f>
        <v>4551</v>
      </c>
      <c r="E231" s="5" t="str">
        <f>VLOOKUP(Googleadssales[[#This Row],[Ad_ID]],[1]!Table3[[Ad_ID]:[Cost-imputed]],7,0)</f>
        <v>$185.35</v>
      </c>
      <c r="F231" s="4">
        <f>VLOOKUP(Googleadssales[[#This Row],[Ad_ID]],'[1]pre processed data'!A:I,9,0)</f>
        <v>30</v>
      </c>
      <c r="G231" s="4">
        <f>VLOOKUP(Googleadssales[[#This Row],[Ad_ID]],'[1]pre processed data'!A:K,11,0)</f>
        <v>6.4782608695652177</v>
      </c>
      <c r="H231" s="2">
        <f>Googleadssales[[#This Row],[Conversions]]/Googleadssales[[#This Row],[Clicks]]</f>
        <v>3.9262187088274045E-2</v>
      </c>
      <c r="I231" t="str">
        <f>VLOOKUP(Googleadssales[[#This Row],[Ad_ID]],'[1]pre processed data'!A:O,15,0)</f>
        <v>$1662</v>
      </c>
      <c r="J231" s="3">
        <f>VLOOKUP(Googleadssales[[#This Row],[Ad_ID]],'[1]pre processed data'!A:Q,17,0)</f>
        <v>45602</v>
      </c>
      <c r="K231" t="str">
        <f>VLOOKUP(Googleadssales[[#This Row],[Ad_ID]],'[1]pre processed data'!A:R,18,0)</f>
        <v>Chennai</v>
      </c>
      <c r="L231" t="str">
        <f>VLOOKUP(Googleadssales[[#This Row],[Ad_ID]],'[1]pre processed data'!A:S,19,0)</f>
        <v>Desktop</v>
      </c>
      <c r="M231" t="str">
        <f>VLOOKUP(Googleadssales[[#This Row],[Ad_ID]],'[1]pre processed data'!A:T,20,0)</f>
        <v>data analytics online</v>
      </c>
    </row>
    <row r="232" spans="1:13" x14ac:dyDescent="0.3">
      <c r="A232" t="s">
        <v>245</v>
      </c>
      <c r="B232" t="s">
        <v>14</v>
      </c>
      <c r="C232" s="4">
        <f>VLOOKUP(Googleadssales[[#This Row],[Ad_ID]],'[1]pre processed data'!A:C,3,0)</f>
        <v>127</v>
      </c>
      <c r="D232" s="4">
        <f>VLOOKUP(Googleadssales[[#This Row],[Ad_ID]],'[1]pre processed data'!A:E,5,0)</f>
        <v>3344</v>
      </c>
      <c r="E232" s="5" t="str">
        <f>VLOOKUP(Googleadssales[[#This Row],[Ad_ID]],[1]!Table3[[Ad_ID]:[Cost-imputed]],7,0)</f>
        <v>$201.7</v>
      </c>
      <c r="F232" s="4">
        <f>VLOOKUP(Googleadssales[[#This Row],[Ad_ID]],'[1]pre processed data'!A:I,9,0)</f>
        <v>10</v>
      </c>
      <c r="G232" s="4">
        <f>VLOOKUP(Googleadssales[[#This Row],[Ad_ID]],'[1]pre processed data'!A:K,11,0)</f>
        <v>8</v>
      </c>
      <c r="H232" s="2">
        <f>Googleadssales[[#This Row],[Conversions]]/Googleadssales[[#This Row],[Clicks]]</f>
        <v>6.2992125984251968E-2</v>
      </c>
      <c r="I232" t="str">
        <f>VLOOKUP(Googleadssales[[#This Row],[Ad_ID]],'[1]pre processed data'!A:O,15,0)</f>
        <v>$1190</v>
      </c>
      <c r="J232" s="3">
        <f>VLOOKUP(Googleadssales[[#This Row],[Ad_ID]],'[1]pre processed data'!A:Q,17,0)</f>
        <v>45607</v>
      </c>
      <c r="K232" t="str">
        <f>VLOOKUP(Googleadssales[[#This Row],[Ad_ID]],'[1]pre processed data'!A:R,18,0)</f>
        <v>Hyderabad</v>
      </c>
      <c r="L232" t="str">
        <f>VLOOKUP(Googleadssales[[#This Row],[Ad_ID]],'[1]pre processed data'!A:S,19,0)</f>
        <v>Desktop</v>
      </c>
      <c r="M232" t="str">
        <f>VLOOKUP(Googleadssales[[#This Row],[Ad_ID]],'[1]pre processed data'!A:T,20,0)</f>
        <v>analytics for data</v>
      </c>
    </row>
    <row r="233" spans="1:13" x14ac:dyDescent="0.3">
      <c r="A233" t="s">
        <v>246</v>
      </c>
      <c r="B233" t="s">
        <v>14</v>
      </c>
      <c r="C233" s="4">
        <f>VLOOKUP(Googleadssales[[#This Row],[Ad_ID]],'[1]pre processed data'!A:C,3,0)</f>
        <v>178</v>
      </c>
      <c r="D233" s="4">
        <f>VLOOKUP(Googleadssales[[#This Row],[Ad_ID]],'[1]pre processed data'!A:E,5,0)</f>
        <v>4441</v>
      </c>
      <c r="E233" s="5" t="str">
        <f>VLOOKUP(Googleadssales[[#This Row],[Ad_ID]],[1]!Table3[[Ad_ID]:[Cost-imputed]],7,0)</f>
        <v>$231.97</v>
      </c>
      <c r="F233" s="4">
        <f>VLOOKUP(Googleadssales[[#This Row],[Ad_ID]],'[1]pre processed data'!A:I,9,0)</f>
        <v>22</v>
      </c>
      <c r="G233" s="4">
        <f>VLOOKUP(Googleadssales[[#This Row],[Ad_ID]],'[1]pre processed data'!A:K,11,0)</f>
        <v>4</v>
      </c>
      <c r="H233" s="2">
        <f>Googleadssales[[#This Row],[Conversions]]/Googleadssales[[#This Row],[Clicks]]</f>
        <v>2.247191011235955E-2</v>
      </c>
      <c r="I233" t="str">
        <f>VLOOKUP(Googleadssales[[#This Row],[Ad_ID]],'[1]pre processed data'!A:O,15,0)</f>
        <v>$1886</v>
      </c>
      <c r="J233" s="3">
        <f>VLOOKUP(Googleadssales[[#This Row],[Ad_ID]],'[1]pre processed data'!A:Q,17,0)</f>
        <v>45620</v>
      </c>
      <c r="K233" t="str">
        <f>VLOOKUP(Googleadssales[[#This Row],[Ad_ID]],'[1]pre processed data'!A:R,18,0)</f>
        <v>Hyderabad</v>
      </c>
      <c r="L233" t="str">
        <f>VLOOKUP(Googleadssales[[#This Row],[Ad_ID]],'[1]pre processed data'!A:S,19,0)</f>
        <v>Mobile</v>
      </c>
      <c r="M233" t="str">
        <f>VLOOKUP(Googleadssales[[#This Row],[Ad_ID]],'[1]pre processed data'!A:T,20,0)</f>
        <v>analytics for data</v>
      </c>
    </row>
    <row r="234" spans="1:13" x14ac:dyDescent="0.3">
      <c r="A234" t="s">
        <v>247</v>
      </c>
      <c r="B234" t="s">
        <v>14</v>
      </c>
      <c r="C234" s="4">
        <f>VLOOKUP(Googleadssales[[#This Row],[Ad_ID]],'[1]pre processed data'!A:C,3,0)</f>
        <v>101</v>
      </c>
      <c r="D234" s="4">
        <f>VLOOKUP(Googleadssales[[#This Row],[Ad_ID]],'[1]pre processed data'!A:E,5,0)</f>
        <v>4523.2808326787117</v>
      </c>
      <c r="E234" s="5" t="str">
        <f>VLOOKUP(Googleadssales[[#This Row],[Ad_ID]],[1]!Table3[[Ad_ID]:[Cost-imputed]],7,0)</f>
        <v>$234.17</v>
      </c>
      <c r="F234" s="4">
        <f>VLOOKUP(Googleadssales[[#This Row],[Ad_ID]],'[1]pre processed data'!A:I,9,0)</f>
        <v>29</v>
      </c>
      <c r="G234" s="4">
        <f>VLOOKUP(Googleadssales[[#This Row],[Ad_ID]],'[1]pre processed data'!A:K,11,0)</f>
        <v>5</v>
      </c>
      <c r="H234" s="2">
        <f>Googleadssales[[#This Row],[Conversions]]/Googleadssales[[#This Row],[Clicks]]</f>
        <v>4.9504950495049507E-2</v>
      </c>
      <c r="I234" t="str">
        <f>VLOOKUP(Googleadssales[[#This Row],[Ad_ID]],'[1]pre processed data'!A:O,15,0)</f>
        <v>$1568</v>
      </c>
      <c r="J234" s="3">
        <f>VLOOKUP(Googleadssales[[#This Row],[Ad_ID]],'[1]pre processed data'!A:Q,17,0)</f>
        <v>45623</v>
      </c>
      <c r="K234" t="str">
        <f>VLOOKUP(Googleadssales[[#This Row],[Ad_ID]],'[1]pre processed data'!A:R,18,0)</f>
        <v>Hyderabad</v>
      </c>
      <c r="L234" t="str">
        <f>VLOOKUP(Googleadssales[[#This Row],[Ad_ID]],'[1]pre processed data'!A:S,19,0)</f>
        <v>Mobile</v>
      </c>
      <c r="M234" t="str">
        <f>VLOOKUP(Googleadssales[[#This Row],[Ad_ID]],'[1]pre processed data'!A:T,20,0)</f>
        <v>data analytics training</v>
      </c>
    </row>
    <row r="235" spans="1:13" x14ac:dyDescent="0.3">
      <c r="A235" t="s">
        <v>248</v>
      </c>
      <c r="B235" t="s">
        <v>14</v>
      </c>
      <c r="C235" s="4">
        <f>VLOOKUP(Googleadssales[[#This Row],[Ad_ID]],'[1]pre processed data'!A:C,3,0)</f>
        <v>161</v>
      </c>
      <c r="D235" s="4">
        <f>VLOOKUP(Googleadssales[[#This Row],[Ad_ID]],'[1]pre processed data'!A:E,5,0)</f>
        <v>5977</v>
      </c>
      <c r="E235" s="5" t="str">
        <f>VLOOKUP(Googleadssales[[#This Row],[Ad_ID]],[1]!Table3[[Ad_ID]:[Cost-imputed]],7,0)</f>
        <v>$193.27</v>
      </c>
      <c r="F235" s="4">
        <f>VLOOKUP(Googleadssales[[#This Row],[Ad_ID]],'[1]pre processed data'!A:I,9,0)</f>
        <v>24</v>
      </c>
      <c r="G235" s="4">
        <f>VLOOKUP(Googleadssales[[#This Row],[Ad_ID]],'[1]pre processed data'!A:K,11,0)</f>
        <v>6.4793208532868958</v>
      </c>
      <c r="H235" s="2">
        <f>Googleadssales[[#This Row],[Conversions]]/Googleadssales[[#This Row],[Clicks]]</f>
        <v>4.0244228902403083E-2</v>
      </c>
      <c r="I235" t="str">
        <f>VLOOKUP(Googleadssales[[#This Row],[Ad_ID]],'[1]pre processed data'!A:O,15,0)</f>
        <v>$1366</v>
      </c>
      <c r="J235" s="3">
        <f>VLOOKUP(Googleadssales[[#This Row],[Ad_ID]],'[1]pre processed data'!A:Q,17,0)</f>
        <v>45609</v>
      </c>
      <c r="K235" t="str">
        <f>VLOOKUP(Googleadssales[[#This Row],[Ad_ID]],'[1]pre processed data'!A:R,18,0)</f>
        <v>Chennai</v>
      </c>
      <c r="L235" t="str">
        <f>VLOOKUP(Googleadssales[[#This Row],[Ad_ID]],'[1]pre processed data'!A:S,19,0)</f>
        <v>Desktop</v>
      </c>
      <c r="M235" t="str">
        <f>VLOOKUP(Googleadssales[[#This Row],[Ad_ID]],'[1]pre processed data'!A:T,20,0)</f>
        <v>online data analytic</v>
      </c>
    </row>
    <row r="236" spans="1:13" x14ac:dyDescent="0.3">
      <c r="A236" t="s">
        <v>249</v>
      </c>
      <c r="B236" t="s">
        <v>14</v>
      </c>
      <c r="C236" s="4">
        <f>VLOOKUP(Googleadssales[[#This Row],[Ad_ID]],'[1]pre processed data'!A:C,3,0)</f>
        <v>95</v>
      </c>
      <c r="D236" s="4">
        <f>VLOOKUP(Googleadssales[[#This Row],[Ad_ID]],'[1]pre processed data'!A:E,5,0)</f>
        <v>4562</v>
      </c>
      <c r="E236" s="5" t="str">
        <f>VLOOKUP(Googleadssales[[#This Row],[Ad_ID]],[1]!Table3[[Ad_ID]:[Cost-imputed]],7,0)</f>
        <v>$187.62</v>
      </c>
      <c r="F236" s="4">
        <f>VLOOKUP(Googleadssales[[#This Row],[Ad_ID]],'[1]pre processed data'!A:I,9,0)</f>
        <v>24</v>
      </c>
      <c r="G236" s="4">
        <f>VLOOKUP(Googleadssales[[#This Row],[Ad_ID]],'[1]pre processed data'!A:K,11,0)</f>
        <v>9</v>
      </c>
      <c r="H236" s="2">
        <f>Googleadssales[[#This Row],[Conversions]]/Googleadssales[[#This Row],[Clicks]]</f>
        <v>9.4736842105263161E-2</v>
      </c>
      <c r="I236" t="str">
        <f>VLOOKUP(Googleadssales[[#This Row],[Ad_ID]],'[1]pre processed data'!A:O,15,0)</f>
        <v>$1239</v>
      </c>
      <c r="J236" s="3">
        <f>VLOOKUP(Googleadssales[[#This Row],[Ad_ID]],'[1]pre processed data'!A:Q,17,0)</f>
        <v>45622</v>
      </c>
      <c r="K236" t="str">
        <f>VLOOKUP(Googleadssales[[#This Row],[Ad_ID]],'[1]pre processed data'!A:R,18,0)</f>
        <v>Bangaluru</v>
      </c>
      <c r="L236" t="str">
        <f>VLOOKUP(Googleadssales[[#This Row],[Ad_ID]],'[1]pre processed data'!A:S,19,0)</f>
        <v>Desktop</v>
      </c>
      <c r="M236" t="str">
        <f>VLOOKUP(Googleadssales[[#This Row],[Ad_ID]],'[1]pre processed data'!A:T,20,0)</f>
        <v>data analytics training</v>
      </c>
    </row>
    <row r="237" spans="1:13" x14ac:dyDescent="0.3">
      <c r="A237" t="s">
        <v>250</v>
      </c>
      <c r="B237" t="s">
        <v>18</v>
      </c>
      <c r="C237" s="4">
        <f>VLOOKUP(Googleadssales[[#This Row],[Ad_ID]],'[1]pre processed data'!A:C,3,0)</f>
        <v>85</v>
      </c>
      <c r="D237" s="4">
        <f>VLOOKUP(Googleadssales[[#This Row],[Ad_ID]],'[1]pre processed data'!A:E,5,0)</f>
        <v>5099</v>
      </c>
      <c r="E237" s="5" t="str">
        <f>VLOOKUP(Googleadssales[[#This Row],[Ad_ID]],[1]!Table3[[Ad_ID]:[Cost-imputed]],7,0)</f>
        <v>$232.56</v>
      </c>
      <c r="F237" s="4">
        <f>VLOOKUP(Googleadssales[[#This Row],[Ad_ID]],'[1]pre processed data'!A:I,9,0)</f>
        <v>28</v>
      </c>
      <c r="G237" s="4">
        <f>VLOOKUP(Googleadssales[[#This Row],[Ad_ID]],'[1]pre processed data'!A:K,11,0)</f>
        <v>9</v>
      </c>
      <c r="H237" s="2">
        <f>Googleadssales[[#This Row],[Conversions]]/Googleadssales[[#This Row],[Clicks]]</f>
        <v>0.10588235294117647</v>
      </c>
      <c r="I237" t="str">
        <f>VLOOKUP(Googleadssales[[#This Row],[Ad_ID]],'[1]pre processed data'!A:O,15,0)</f>
        <v>$1526</v>
      </c>
      <c r="J237" s="3">
        <f>VLOOKUP(Googleadssales[[#This Row],[Ad_ID]],'[1]pre processed data'!A:Q,17,0)</f>
        <v>45598</v>
      </c>
      <c r="K237" t="str">
        <f>VLOOKUP(Googleadssales[[#This Row],[Ad_ID]],'[1]pre processed data'!A:R,18,0)</f>
        <v>Bangaluru</v>
      </c>
      <c r="L237" t="str">
        <f>VLOOKUP(Googleadssales[[#This Row],[Ad_ID]],'[1]pre processed data'!A:S,19,0)</f>
        <v>Mobile</v>
      </c>
      <c r="M237" t="str">
        <f>VLOOKUP(Googleadssales[[#This Row],[Ad_ID]],'[1]pre processed data'!A:T,20,0)</f>
        <v>data analytics training</v>
      </c>
    </row>
    <row r="238" spans="1:13" x14ac:dyDescent="0.3">
      <c r="A238" t="s">
        <v>251</v>
      </c>
      <c r="B238" t="s">
        <v>14</v>
      </c>
      <c r="C238" s="4">
        <f>VLOOKUP(Googleadssales[[#This Row],[Ad_ID]],'[1]pre processed data'!A:C,3,0)</f>
        <v>192</v>
      </c>
      <c r="D238" s="4">
        <f>VLOOKUP(Googleadssales[[#This Row],[Ad_ID]],'[1]pre processed data'!A:E,5,0)</f>
        <v>5852</v>
      </c>
      <c r="E238" s="5" t="str">
        <f>VLOOKUP(Googleadssales[[#This Row],[Ad_ID]],[1]!Table3[[Ad_ID]:[Cost-imputed]],7,0)</f>
        <v>$181.05</v>
      </c>
      <c r="F238" s="4">
        <f>VLOOKUP(Googleadssales[[#This Row],[Ad_ID]],'[1]pre processed data'!A:I,9,0)</f>
        <v>16</v>
      </c>
      <c r="G238" s="4">
        <f>VLOOKUP(Googleadssales[[#This Row],[Ad_ID]],'[1]pre processed data'!A:K,11,0)</f>
        <v>8</v>
      </c>
      <c r="H238" s="2">
        <f>Googleadssales[[#This Row],[Conversions]]/Googleadssales[[#This Row],[Clicks]]</f>
        <v>4.1666666666666664E-2</v>
      </c>
      <c r="I238" t="str">
        <f>VLOOKUP(Googleadssales[[#This Row],[Ad_ID]],'[1]pre processed data'!A:O,15,0)</f>
        <v>$1600</v>
      </c>
      <c r="J238" s="3">
        <f>VLOOKUP(Googleadssales[[#This Row],[Ad_ID]],'[1]pre processed data'!A:Q,17,0)</f>
        <v>45617</v>
      </c>
      <c r="K238" t="str">
        <f>VLOOKUP(Googleadssales[[#This Row],[Ad_ID]],'[1]pre processed data'!A:R,18,0)</f>
        <v>Hyderabad</v>
      </c>
      <c r="L238" t="str">
        <f>VLOOKUP(Googleadssales[[#This Row],[Ad_ID]],'[1]pre processed data'!A:S,19,0)</f>
        <v>Desktop</v>
      </c>
      <c r="M238" t="str">
        <f>VLOOKUP(Googleadssales[[#This Row],[Ad_ID]],'[1]pre processed data'!A:T,20,0)</f>
        <v>analytics for data</v>
      </c>
    </row>
    <row r="239" spans="1:13" x14ac:dyDescent="0.3">
      <c r="A239" t="s">
        <v>252</v>
      </c>
      <c r="B239" t="s">
        <v>14</v>
      </c>
      <c r="C239" s="4">
        <f>VLOOKUP(Googleadssales[[#This Row],[Ad_ID]],'[1]pre processed data'!A:C,3,0)</f>
        <v>80</v>
      </c>
      <c r="D239" s="4">
        <f>VLOOKUP(Googleadssales[[#This Row],[Ad_ID]],'[1]pre processed data'!A:E,5,0)</f>
        <v>3823</v>
      </c>
      <c r="E239" s="5" t="str">
        <f>VLOOKUP(Googleadssales[[#This Row],[Ad_ID]],[1]!Table3[[Ad_ID]:[Cost-imputed]],7,0)</f>
        <v>$181.57</v>
      </c>
      <c r="F239" s="4">
        <f>VLOOKUP(Googleadssales[[#This Row],[Ad_ID]],'[1]pre processed data'!A:I,9,0)</f>
        <v>13</v>
      </c>
      <c r="G239" s="4">
        <f>VLOOKUP(Googleadssales[[#This Row],[Ad_ID]],'[1]pre processed data'!A:K,11,0)</f>
        <v>4</v>
      </c>
      <c r="H239" s="2">
        <f>Googleadssales[[#This Row],[Conversions]]/Googleadssales[[#This Row],[Clicks]]</f>
        <v>0.05</v>
      </c>
      <c r="I239" t="str">
        <f>VLOOKUP(Googleadssales[[#This Row],[Ad_ID]],'[1]pre processed data'!A:O,15,0)</f>
        <v>$1564</v>
      </c>
      <c r="J239" s="3">
        <f>VLOOKUP(Googleadssales[[#This Row],[Ad_ID]],'[1]pre processed data'!A:Q,17,0)</f>
        <v>45609</v>
      </c>
      <c r="K239" t="str">
        <f>VLOOKUP(Googleadssales[[#This Row],[Ad_ID]],'[1]pre processed data'!A:R,18,0)</f>
        <v>Bangaluru</v>
      </c>
      <c r="L239" t="str">
        <f>VLOOKUP(Googleadssales[[#This Row],[Ad_ID]],'[1]pre processed data'!A:S,19,0)</f>
        <v>Desktop</v>
      </c>
      <c r="M239" t="str">
        <f>VLOOKUP(Googleadssales[[#This Row],[Ad_ID]],'[1]pre processed data'!A:T,20,0)</f>
        <v>online data analytic</v>
      </c>
    </row>
    <row r="240" spans="1:13" x14ac:dyDescent="0.3">
      <c r="A240" t="s">
        <v>253</v>
      </c>
      <c r="B240" t="s">
        <v>14</v>
      </c>
      <c r="C240" s="4">
        <f>VLOOKUP(Googleadssales[[#This Row],[Ad_ID]],'[1]pre processed data'!A:C,3,0)</f>
        <v>191</v>
      </c>
      <c r="D240" s="4">
        <f>VLOOKUP(Googleadssales[[#This Row],[Ad_ID]],'[1]pre processed data'!A:E,5,0)</f>
        <v>4612</v>
      </c>
      <c r="E240" s="5" t="str">
        <f>VLOOKUP(Googleadssales[[#This Row],[Ad_ID]],[1]!Table3[[Ad_ID]:[Cost-imputed]],7,0)</f>
        <v>$238.23</v>
      </c>
      <c r="F240" s="4">
        <f>VLOOKUP(Googleadssales[[#This Row],[Ad_ID]],'[1]pre processed data'!A:I,9,0)</f>
        <v>20</v>
      </c>
      <c r="G240" s="4">
        <f>VLOOKUP(Googleadssales[[#This Row],[Ad_ID]],'[1]pre processed data'!A:K,11,0)</f>
        <v>10</v>
      </c>
      <c r="H240" s="2">
        <f>Googleadssales[[#This Row],[Conversions]]/Googleadssales[[#This Row],[Clicks]]</f>
        <v>5.2356020942408377E-2</v>
      </c>
      <c r="I240" t="str">
        <f>VLOOKUP(Googleadssales[[#This Row],[Ad_ID]],'[1]pre processed data'!A:O,15,0)</f>
        <v>$1531</v>
      </c>
      <c r="J240" s="3">
        <f>VLOOKUP(Googleadssales[[#This Row],[Ad_ID]],'[1]pre processed data'!A:Q,17,0)</f>
        <v>45597</v>
      </c>
      <c r="K240" t="str">
        <f>VLOOKUP(Googleadssales[[#This Row],[Ad_ID]],'[1]pre processed data'!A:R,18,0)</f>
        <v>Chennai</v>
      </c>
      <c r="L240" t="str">
        <f>VLOOKUP(Googleadssales[[#This Row],[Ad_ID]],'[1]pre processed data'!A:S,19,0)</f>
        <v>Mobile</v>
      </c>
      <c r="M240" t="str">
        <f>VLOOKUP(Googleadssales[[#This Row],[Ad_ID]],'[1]pre processed data'!A:T,20,0)</f>
        <v>learn data analytics</v>
      </c>
    </row>
    <row r="241" spans="1:13" x14ac:dyDescent="0.3">
      <c r="A241" t="s">
        <v>254</v>
      </c>
      <c r="B241" t="s">
        <v>14</v>
      </c>
      <c r="C241" s="4">
        <f>VLOOKUP(Googleadssales[[#This Row],[Ad_ID]],'[1]pre processed data'!A:C,3,0)</f>
        <v>147</v>
      </c>
      <c r="D241" s="4">
        <f>VLOOKUP(Googleadssales[[#This Row],[Ad_ID]],'[1]pre processed data'!A:E,5,0)</f>
        <v>5881</v>
      </c>
      <c r="E241" s="5" t="str">
        <f>VLOOKUP(Googleadssales[[#This Row],[Ad_ID]],[1]!Table3[[Ad_ID]:[Cost-imputed]],7,0)</f>
        <v>$196.34</v>
      </c>
      <c r="F241" s="4">
        <f>VLOOKUP(Googleadssales[[#This Row],[Ad_ID]],'[1]pre processed data'!A:I,9,0)</f>
        <v>23</v>
      </c>
      <c r="G241" s="4">
        <f>VLOOKUP(Googleadssales[[#This Row],[Ad_ID]],'[1]pre processed data'!A:K,11,0)</f>
        <v>7</v>
      </c>
      <c r="H241" s="2">
        <f>Googleadssales[[#This Row],[Conversions]]/Googleadssales[[#This Row],[Clicks]]</f>
        <v>4.7619047619047616E-2</v>
      </c>
      <c r="I241" t="str">
        <f>VLOOKUP(Googleadssales[[#This Row],[Ad_ID]],'[1]pre processed data'!A:O,15,0)</f>
        <v>$1614</v>
      </c>
      <c r="J241" s="3">
        <f>VLOOKUP(Googleadssales[[#This Row],[Ad_ID]],'[1]pre processed data'!A:Q,17,0)</f>
        <v>45614</v>
      </c>
      <c r="K241" t="str">
        <f>VLOOKUP(Googleadssales[[#This Row],[Ad_ID]],'[1]pre processed data'!A:R,18,0)</f>
        <v>Hyderabad</v>
      </c>
      <c r="L241" t="str">
        <f>VLOOKUP(Googleadssales[[#This Row],[Ad_ID]],'[1]pre processed data'!A:S,19,0)</f>
        <v>Desktop</v>
      </c>
      <c r="M241" t="str">
        <f>VLOOKUP(Googleadssales[[#This Row],[Ad_ID]],'[1]pre processed data'!A:T,20,0)</f>
        <v>data analytics training</v>
      </c>
    </row>
    <row r="242" spans="1:13" x14ac:dyDescent="0.3">
      <c r="A242" t="s">
        <v>255</v>
      </c>
      <c r="B242" t="s">
        <v>14</v>
      </c>
      <c r="C242" s="4">
        <f>VLOOKUP(Googleadssales[[#This Row],[Ad_ID]],'[1]pre processed data'!A:C,3,0)</f>
        <v>100</v>
      </c>
      <c r="D242" s="4">
        <f>VLOOKUP(Googleadssales[[#This Row],[Ad_ID]],'[1]pre processed data'!A:E,5,0)</f>
        <v>5204</v>
      </c>
      <c r="E242" s="5" t="str">
        <f>VLOOKUP(Googleadssales[[#This Row],[Ad_ID]],[1]!Table3[[Ad_ID]:[Cost-imputed]],7,0)</f>
        <v>$197.53</v>
      </c>
      <c r="F242" s="4">
        <f>VLOOKUP(Googleadssales[[#This Row],[Ad_ID]],'[1]pre processed data'!A:I,9,0)</f>
        <v>26</v>
      </c>
      <c r="G242" s="4">
        <f>VLOOKUP(Googleadssales[[#This Row],[Ad_ID]],'[1]pre processed data'!A:K,11,0)</f>
        <v>4</v>
      </c>
      <c r="H242" s="2">
        <f>Googleadssales[[#This Row],[Conversions]]/Googleadssales[[#This Row],[Clicks]]</f>
        <v>0.04</v>
      </c>
      <c r="I242" t="str">
        <f>VLOOKUP(Googleadssales[[#This Row],[Ad_ID]],'[1]pre processed data'!A:O,15,0)</f>
        <v>$1675</v>
      </c>
      <c r="J242" s="3">
        <f>VLOOKUP(Googleadssales[[#This Row],[Ad_ID]],'[1]pre processed data'!A:Q,17,0)</f>
        <v>45620</v>
      </c>
      <c r="K242" t="str">
        <f>VLOOKUP(Googleadssales[[#This Row],[Ad_ID]],'[1]pre processed data'!A:R,18,0)</f>
        <v>Bangaluru</v>
      </c>
      <c r="L242" t="str">
        <f>VLOOKUP(Googleadssales[[#This Row],[Ad_ID]],'[1]pre processed data'!A:S,19,0)</f>
        <v>Tablet</v>
      </c>
      <c r="M242" t="str">
        <f>VLOOKUP(Googleadssales[[#This Row],[Ad_ID]],'[1]pre processed data'!A:T,20,0)</f>
        <v>data analytics course</v>
      </c>
    </row>
    <row r="243" spans="1:13" x14ac:dyDescent="0.3">
      <c r="A243" t="s">
        <v>256</v>
      </c>
      <c r="B243" t="s">
        <v>18</v>
      </c>
      <c r="C243" s="4">
        <f>VLOOKUP(Googleadssales[[#This Row],[Ad_ID]],'[1]pre processed data'!A:C,3,0)</f>
        <v>82</v>
      </c>
      <c r="D243" s="4">
        <f>VLOOKUP(Googleadssales[[#This Row],[Ad_ID]],'[1]pre processed data'!A:E,5,0)</f>
        <v>5130</v>
      </c>
      <c r="E243" s="5" t="str">
        <f>VLOOKUP(Googleadssales[[#This Row],[Ad_ID]],[1]!Table3[[Ad_ID]:[Cost-imputed]],7,0)</f>
        <v>$233.75</v>
      </c>
      <c r="F243" s="4">
        <f>VLOOKUP(Googleadssales[[#This Row],[Ad_ID]],'[1]pre processed data'!A:I,9,0)</f>
        <v>20</v>
      </c>
      <c r="G243" s="4">
        <f>VLOOKUP(Googleadssales[[#This Row],[Ad_ID]],'[1]pre processed data'!A:K,11,0)</f>
        <v>9</v>
      </c>
      <c r="H243" s="2">
        <f>Googleadssales[[#This Row],[Conversions]]/Googleadssales[[#This Row],[Clicks]]</f>
        <v>0.10975609756097561</v>
      </c>
      <c r="I243" t="str">
        <f>VLOOKUP(Googleadssales[[#This Row],[Ad_ID]],'[1]pre processed data'!A:O,15,0)</f>
        <v>$1500</v>
      </c>
      <c r="J243" s="3">
        <f>VLOOKUP(Googleadssales[[#This Row],[Ad_ID]],'[1]pre processed data'!A:Q,17,0)</f>
        <v>45611</v>
      </c>
      <c r="K243" t="str">
        <f>VLOOKUP(Googleadssales[[#This Row],[Ad_ID]],'[1]pre processed data'!A:R,18,0)</f>
        <v>Chennai</v>
      </c>
      <c r="L243" t="str">
        <f>VLOOKUP(Googleadssales[[#This Row],[Ad_ID]],'[1]pre processed data'!A:S,19,0)</f>
        <v>Mobile</v>
      </c>
      <c r="M243" t="str">
        <f>VLOOKUP(Googleadssales[[#This Row],[Ad_ID]],'[1]pre processed data'!A:T,20,0)</f>
        <v>data analytics online</v>
      </c>
    </row>
    <row r="244" spans="1:13" x14ac:dyDescent="0.3">
      <c r="A244" t="s">
        <v>257</v>
      </c>
      <c r="B244" t="s">
        <v>14</v>
      </c>
      <c r="C244" s="4">
        <f>VLOOKUP(Googleadssales[[#This Row],[Ad_ID]],'[1]pre processed data'!A:C,3,0)</f>
        <v>123</v>
      </c>
      <c r="D244" s="4">
        <f>VLOOKUP(Googleadssales[[#This Row],[Ad_ID]],'[1]pre processed data'!A:E,5,0)</f>
        <v>5231</v>
      </c>
      <c r="E244" s="5" t="str">
        <f>VLOOKUP(Googleadssales[[#This Row],[Ad_ID]],[1]!Table3[[Ad_ID]:[Cost-imputed]],7,0)</f>
        <v>$202.93</v>
      </c>
      <c r="F244" s="4">
        <f>VLOOKUP(Googleadssales[[#This Row],[Ad_ID]],'[1]pre processed data'!A:I,9,0)</f>
        <v>30</v>
      </c>
      <c r="G244" s="4">
        <f>VLOOKUP(Googleadssales[[#This Row],[Ad_ID]],'[1]pre processed data'!A:K,11,0)</f>
        <v>10</v>
      </c>
      <c r="H244" s="2">
        <f>Googleadssales[[#This Row],[Conversions]]/Googleadssales[[#This Row],[Clicks]]</f>
        <v>8.1300813008130079E-2</v>
      </c>
      <c r="I244" t="str">
        <f>VLOOKUP(Googleadssales[[#This Row],[Ad_ID]],'[1]pre processed data'!A:O,15,0)</f>
        <v>$1551</v>
      </c>
      <c r="J244" s="3">
        <f>VLOOKUP(Googleadssales[[#This Row],[Ad_ID]],'[1]pre processed data'!A:Q,17,0)</f>
        <v>45619</v>
      </c>
      <c r="K244" t="str">
        <f>VLOOKUP(Googleadssales[[#This Row],[Ad_ID]],'[1]pre processed data'!A:R,18,0)</f>
        <v>Hyderabad</v>
      </c>
      <c r="L244" t="str">
        <f>VLOOKUP(Googleadssales[[#This Row],[Ad_ID]],'[1]pre processed data'!A:S,19,0)</f>
        <v>Desktop</v>
      </c>
      <c r="M244" t="str">
        <f>VLOOKUP(Googleadssales[[#This Row],[Ad_ID]],'[1]pre processed data'!A:T,20,0)</f>
        <v>online data analytic</v>
      </c>
    </row>
    <row r="245" spans="1:13" x14ac:dyDescent="0.3">
      <c r="A245" t="s">
        <v>258</v>
      </c>
      <c r="B245" t="s">
        <v>14</v>
      </c>
      <c r="C245" s="4">
        <f>VLOOKUP(Googleadssales[[#This Row],[Ad_ID]],'[1]pre processed data'!A:C,3,0)</f>
        <v>165</v>
      </c>
      <c r="D245" s="4">
        <f>VLOOKUP(Googleadssales[[#This Row],[Ad_ID]],'[1]pre processed data'!A:E,5,0)</f>
        <v>5980</v>
      </c>
      <c r="E245" s="5" t="str">
        <f>VLOOKUP(Googleadssales[[#This Row],[Ad_ID]],[1]!Table3[[Ad_ID]:[Cost-imputed]],7,0)</f>
        <v>$248.41</v>
      </c>
      <c r="F245" s="4">
        <f>VLOOKUP(Googleadssales[[#This Row],[Ad_ID]],'[1]pre processed data'!A:I,9,0)</f>
        <v>17</v>
      </c>
      <c r="G245" s="4">
        <f>VLOOKUP(Googleadssales[[#This Row],[Ad_ID]],'[1]pre processed data'!A:K,11,0)</f>
        <v>3</v>
      </c>
      <c r="H245" s="2">
        <f>Googleadssales[[#This Row],[Conversions]]/Googleadssales[[#This Row],[Clicks]]</f>
        <v>1.8181818181818181E-2</v>
      </c>
      <c r="I245" t="str">
        <f>VLOOKUP(Googleadssales[[#This Row],[Ad_ID]],'[1]pre processed data'!A:O,15,0)</f>
        <v>$1803</v>
      </c>
      <c r="J245" s="3">
        <f>VLOOKUP(Googleadssales[[#This Row],[Ad_ID]],'[1]pre processed data'!A:Q,17,0)</f>
        <v>45602</v>
      </c>
      <c r="K245" t="str">
        <f>VLOOKUP(Googleadssales[[#This Row],[Ad_ID]],'[1]pre processed data'!A:R,18,0)</f>
        <v>Chennai</v>
      </c>
      <c r="L245" t="str">
        <f>VLOOKUP(Googleadssales[[#This Row],[Ad_ID]],'[1]pre processed data'!A:S,19,0)</f>
        <v>Tablet</v>
      </c>
      <c r="M245" t="str">
        <f>VLOOKUP(Googleadssales[[#This Row],[Ad_ID]],'[1]pre processed data'!A:T,20,0)</f>
        <v>online data analytic</v>
      </c>
    </row>
    <row r="246" spans="1:13" x14ac:dyDescent="0.3">
      <c r="A246" t="s">
        <v>259</v>
      </c>
      <c r="B246" t="s">
        <v>14</v>
      </c>
      <c r="C246" s="4">
        <f>VLOOKUP(Googleadssales[[#This Row],[Ad_ID]],'[1]pre processed data'!A:C,3,0)</f>
        <v>167</v>
      </c>
      <c r="D246" s="4">
        <f>VLOOKUP(Googleadssales[[#This Row],[Ad_ID]],'[1]pre processed data'!A:E,5,0)</f>
        <v>3202</v>
      </c>
      <c r="E246" s="5" t="str">
        <f>VLOOKUP(Googleadssales[[#This Row],[Ad_ID]],[1]!Table3[[Ad_ID]:[Cost-imputed]],7,0)</f>
        <v>$214.87</v>
      </c>
      <c r="F246" s="4">
        <f>VLOOKUP(Googleadssales[[#This Row],[Ad_ID]],'[1]pre processed data'!A:I,9,0)</f>
        <v>26</v>
      </c>
      <c r="G246" s="4">
        <f>VLOOKUP(Googleadssales[[#This Row],[Ad_ID]],'[1]pre processed data'!A:K,11,0)</f>
        <v>6</v>
      </c>
      <c r="H246" s="2">
        <f>Googleadssales[[#This Row],[Conversions]]/Googleadssales[[#This Row],[Clicks]]</f>
        <v>3.5928143712574849E-2</v>
      </c>
      <c r="I246" t="str">
        <f>VLOOKUP(Googleadssales[[#This Row],[Ad_ID]],'[1]pre processed data'!A:O,15,0)</f>
        <v>$1571</v>
      </c>
      <c r="J246" s="3">
        <f>VLOOKUP(Googleadssales[[#This Row],[Ad_ID]],'[1]pre processed data'!A:Q,17,0)</f>
        <v>45608</v>
      </c>
      <c r="K246" t="str">
        <f>VLOOKUP(Googleadssales[[#This Row],[Ad_ID]],'[1]pre processed data'!A:R,18,0)</f>
        <v>Hyderabad</v>
      </c>
      <c r="L246" t="str">
        <f>VLOOKUP(Googleadssales[[#This Row],[Ad_ID]],'[1]pre processed data'!A:S,19,0)</f>
        <v>Desktop</v>
      </c>
      <c r="M246" t="str">
        <f>VLOOKUP(Googleadssales[[#This Row],[Ad_ID]],'[1]pre processed data'!A:T,20,0)</f>
        <v>data analytics online</v>
      </c>
    </row>
    <row r="247" spans="1:13" x14ac:dyDescent="0.3">
      <c r="A247" t="s">
        <v>260</v>
      </c>
      <c r="B247" t="s">
        <v>14</v>
      </c>
      <c r="C247" s="4">
        <f>VLOOKUP(Googleadssales[[#This Row],[Ad_ID]],'[1]pre processed data'!A:C,3,0)</f>
        <v>111</v>
      </c>
      <c r="D247" s="4">
        <f>VLOOKUP(Googleadssales[[#This Row],[Ad_ID]],'[1]pre processed data'!A:E,5,0)</f>
        <v>5847</v>
      </c>
      <c r="E247" s="5" t="str">
        <f>VLOOKUP(Googleadssales[[#This Row],[Ad_ID]],[1]!Table3[[Ad_ID]:[Cost-imputed]],7,0)</f>
        <v>$196.71</v>
      </c>
      <c r="F247" s="4">
        <f>VLOOKUP(Googleadssales[[#This Row],[Ad_ID]],'[1]pre processed data'!A:I,9,0)</f>
        <v>21</v>
      </c>
      <c r="G247" s="4">
        <f>VLOOKUP(Googleadssales[[#This Row],[Ad_ID]],'[1]pre processed data'!A:K,11,0)</f>
        <v>9</v>
      </c>
      <c r="H247" s="2">
        <f>Googleadssales[[#This Row],[Conversions]]/Googleadssales[[#This Row],[Clicks]]</f>
        <v>8.1081081081081086E-2</v>
      </c>
      <c r="I247" t="str">
        <f>VLOOKUP(Googleadssales[[#This Row],[Ad_ID]],'[1]pre processed data'!A:O,15,0)</f>
        <v>$1445</v>
      </c>
      <c r="J247" s="3">
        <f>VLOOKUP(Googleadssales[[#This Row],[Ad_ID]],'[1]pre processed data'!A:Q,17,0)</f>
        <v>45626</v>
      </c>
      <c r="K247" t="str">
        <f>VLOOKUP(Googleadssales[[#This Row],[Ad_ID]],'[1]pre processed data'!A:R,18,0)</f>
        <v>Hyderabad</v>
      </c>
      <c r="L247" t="str">
        <f>VLOOKUP(Googleadssales[[#This Row],[Ad_ID]],'[1]pre processed data'!A:S,19,0)</f>
        <v>Mobile</v>
      </c>
      <c r="M247" t="str">
        <f>VLOOKUP(Googleadssales[[#This Row],[Ad_ID]],'[1]pre processed data'!A:T,20,0)</f>
        <v>online data analytic</v>
      </c>
    </row>
    <row r="248" spans="1:13" x14ac:dyDescent="0.3">
      <c r="A248" t="s">
        <v>261</v>
      </c>
      <c r="B248" t="s">
        <v>18</v>
      </c>
      <c r="C248" s="4">
        <f>VLOOKUP(Googleadssales[[#This Row],[Ad_ID]],'[1]pre processed data'!A:C,3,0)</f>
        <v>94</v>
      </c>
      <c r="D248" s="4">
        <f>VLOOKUP(Googleadssales[[#This Row],[Ad_ID]],'[1]pre processed data'!A:E,5,0)</f>
        <v>4359</v>
      </c>
      <c r="E248" s="5" t="str">
        <f>VLOOKUP(Googleadssales[[#This Row],[Ad_ID]],[1]!Table3[[Ad_ID]:[Cost-imputed]],7,0)</f>
        <v>$200.00</v>
      </c>
      <c r="F248" s="4">
        <f>VLOOKUP(Googleadssales[[#This Row],[Ad_ID]],'[1]pre processed data'!A:I,9,0)</f>
        <v>28</v>
      </c>
      <c r="G248" s="4">
        <f>VLOOKUP(Googleadssales[[#This Row],[Ad_ID]],'[1]pre processed data'!A:K,11,0)</f>
        <v>5</v>
      </c>
      <c r="H248" s="2">
        <f>Googleadssales[[#This Row],[Conversions]]/Googleadssales[[#This Row],[Clicks]]</f>
        <v>5.3191489361702128E-2</v>
      </c>
      <c r="I248" t="str">
        <f>VLOOKUP(Googleadssales[[#This Row],[Ad_ID]],'[1]pre processed data'!A:O,15,0)</f>
        <v>$1920</v>
      </c>
      <c r="J248" s="3">
        <f>VLOOKUP(Googleadssales[[#This Row],[Ad_ID]],'[1]pre processed data'!A:Q,17,0)</f>
        <v>45603</v>
      </c>
      <c r="K248" t="str">
        <f>VLOOKUP(Googleadssales[[#This Row],[Ad_ID]],'[1]pre processed data'!A:R,18,0)</f>
        <v>Bangaluru</v>
      </c>
      <c r="L248" t="str">
        <f>VLOOKUP(Googleadssales[[#This Row],[Ad_ID]],'[1]pre processed data'!A:S,19,0)</f>
        <v>Tablet</v>
      </c>
      <c r="M248" t="str">
        <f>VLOOKUP(Googleadssales[[#This Row],[Ad_ID]],'[1]pre processed data'!A:T,20,0)</f>
        <v>learn data analytics</v>
      </c>
    </row>
    <row r="249" spans="1:13" x14ac:dyDescent="0.3">
      <c r="A249" t="s">
        <v>262</v>
      </c>
      <c r="B249" t="s">
        <v>14</v>
      </c>
      <c r="C249" s="4">
        <f>VLOOKUP(Googleadssales[[#This Row],[Ad_ID]],'[1]pre processed data'!A:C,3,0)</f>
        <v>179</v>
      </c>
      <c r="D249" s="4">
        <f>VLOOKUP(Googleadssales[[#This Row],[Ad_ID]],'[1]pre processed data'!A:E,5,0)</f>
        <v>3185</v>
      </c>
      <c r="E249" s="5" t="str">
        <f>VLOOKUP(Googleadssales[[#This Row],[Ad_ID]],[1]!Table3[[Ad_ID]:[Cost-imputed]],7,0)</f>
        <v>$236.74</v>
      </c>
      <c r="F249" s="4">
        <f>VLOOKUP(Googleadssales[[#This Row],[Ad_ID]],'[1]pre processed data'!A:I,9,0)</f>
        <v>29</v>
      </c>
      <c r="G249" s="4">
        <f>VLOOKUP(Googleadssales[[#This Row],[Ad_ID]],'[1]pre processed data'!A:K,11,0)</f>
        <v>5</v>
      </c>
      <c r="H249" s="2">
        <f>Googleadssales[[#This Row],[Conversions]]/Googleadssales[[#This Row],[Clicks]]</f>
        <v>2.7932960893854747E-2</v>
      </c>
      <c r="I249" t="str">
        <f>VLOOKUP(Googleadssales[[#This Row],[Ad_ID]],'[1]pre processed data'!A:O,15,0)</f>
        <v>$1156</v>
      </c>
      <c r="J249" s="3">
        <f>VLOOKUP(Googleadssales[[#This Row],[Ad_ID]],'[1]pre processed data'!A:Q,17,0)</f>
        <v>45607</v>
      </c>
      <c r="K249" t="str">
        <f>VLOOKUP(Googleadssales[[#This Row],[Ad_ID]],'[1]pre processed data'!A:R,18,0)</f>
        <v>Hyderabad</v>
      </c>
      <c r="L249" t="str">
        <f>VLOOKUP(Googleadssales[[#This Row],[Ad_ID]],'[1]pre processed data'!A:S,19,0)</f>
        <v>Desktop</v>
      </c>
      <c r="M249" t="str">
        <f>VLOOKUP(Googleadssales[[#This Row],[Ad_ID]],'[1]pre processed data'!A:T,20,0)</f>
        <v>data analytics course</v>
      </c>
    </row>
    <row r="250" spans="1:13" x14ac:dyDescent="0.3">
      <c r="A250" t="s">
        <v>263</v>
      </c>
      <c r="B250" t="s">
        <v>14</v>
      </c>
      <c r="C250" s="4">
        <f>VLOOKUP(Googleadssales[[#This Row],[Ad_ID]],'[1]pre processed data'!A:C,3,0)</f>
        <v>166</v>
      </c>
      <c r="D250" s="4">
        <f>VLOOKUP(Googleadssales[[#This Row],[Ad_ID]],'[1]pre processed data'!A:E,5,0)</f>
        <v>5592</v>
      </c>
      <c r="E250" s="5" t="str">
        <f>VLOOKUP(Googleadssales[[#This Row],[Ad_ID]],[1]!Table3[[Ad_ID]:[Cost-imputed]],7,0)</f>
        <v>$183.03</v>
      </c>
      <c r="F250" s="4">
        <f>VLOOKUP(Googleadssales[[#This Row],[Ad_ID]],'[1]pre processed data'!A:I,9,0)</f>
        <v>22</v>
      </c>
      <c r="G250" s="4">
        <f>VLOOKUP(Googleadssales[[#This Row],[Ad_ID]],'[1]pre processed data'!A:K,11,0)</f>
        <v>4</v>
      </c>
      <c r="H250" s="2">
        <f>Googleadssales[[#This Row],[Conversions]]/Googleadssales[[#This Row],[Clicks]]</f>
        <v>2.4096385542168676E-2</v>
      </c>
      <c r="I250" t="str">
        <f>VLOOKUP(Googleadssales[[#This Row],[Ad_ID]],'[1]pre processed data'!A:O,15,0)</f>
        <v>$1636</v>
      </c>
      <c r="J250" s="3">
        <f>VLOOKUP(Googleadssales[[#This Row],[Ad_ID]],'[1]pre processed data'!A:Q,17,0)</f>
        <v>45618</v>
      </c>
      <c r="K250" t="str">
        <f>VLOOKUP(Googleadssales[[#This Row],[Ad_ID]],'[1]pre processed data'!A:R,18,0)</f>
        <v>Hyderabad</v>
      </c>
      <c r="L250" t="str">
        <f>VLOOKUP(Googleadssales[[#This Row],[Ad_ID]],'[1]pre processed data'!A:S,19,0)</f>
        <v>Tablet</v>
      </c>
      <c r="M250" t="str">
        <f>VLOOKUP(Googleadssales[[#This Row],[Ad_ID]],'[1]pre processed data'!A:T,20,0)</f>
        <v>online data analytic</v>
      </c>
    </row>
    <row r="251" spans="1:13" x14ac:dyDescent="0.3">
      <c r="A251" t="s">
        <v>264</v>
      </c>
      <c r="B251" t="s">
        <v>18</v>
      </c>
      <c r="C251" s="4">
        <f>VLOOKUP(Googleadssales[[#This Row],[Ad_ID]],'[1]pre processed data'!A:C,3,0)</f>
        <v>90</v>
      </c>
      <c r="D251" s="4">
        <f>VLOOKUP(Googleadssales[[#This Row],[Ad_ID]],'[1]pre processed data'!A:E,5,0)</f>
        <v>5062</v>
      </c>
      <c r="E251" s="5" t="str">
        <f>VLOOKUP(Googleadssales[[#This Row],[Ad_ID]],[1]!Table3[[Ad_ID]:[Cost-imputed]],7,0)</f>
        <v>$191.4</v>
      </c>
      <c r="F251" s="4">
        <f>VLOOKUP(Googleadssales[[#This Row],[Ad_ID]],'[1]pre processed data'!A:I,9,0)</f>
        <v>23</v>
      </c>
      <c r="G251" s="4">
        <f>VLOOKUP(Googleadssales[[#This Row],[Ad_ID]],'[1]pre processed data'!A:K,11,0)</f>
        <v>6</v>
      </c>
      <c r="H251" s="2">
        <f>Googleadssales[[#This Row],[Conversions]]/Googleadssales[[#This Row],[Clicks]]</f>
        <v>6.6666666666666666E-2</v>
      </c>
      <c r="I251" t="str">
        <f>VLOOKUP(Googleadssales[[#This Row],[Ad_ID]],'[1]pre processed data'!A:O,15,0)</f>
        <v>$1775</v>
      </c>
      <c r="J251" s="3">
        <f>VLOOKUP(Googleadssales[[#This Row],[Ad_ID]],'[1]pre processed data'!A:Q,17,0)</f>
        <v>45615</v>
      </c>
      <c r="K251" t="str">
        <f>VLOOKUP(Googleadssales[[#This Row],[Ad_ID]],'[1]pre processed data'!A:R,18,0)</f>
        <v>Hyderabad</v>
      </c>
      <c r="L251" t="str">
        <f>VLOOKUP(Googleadssales[[#This Row],[Ad_ID]],'[1]pre processed data'!A:S,19,0)</f>
        <v>Tablet</v>
      </c>
      <c r="M251" t="str">
        <f>VLOOKUP(Googleadssales[[#This Row],[Ad_ID]],'[1]pre processed data'!A:T,20,0)</f>
        <v>data analytics course</v>
      </c>
    </row>
    <row r="252" spans="1:13" x14ac:dyDescent="0.3">
      <c r="A252" t="s">
        <v>265</v>
      </c>
      <c r="B252" t="s">
        <v>18</v>
      </c>
      <c r="C252" s="4">
        <f>VLOOKUP(Googleadssales[[#This Row],[Ad_ID]],'[1]pre processed data'!A:C,3,0)</f>
        <v>106</v>
      </c>
      <c r="D252" s="4">
        <f>VLOOKUP(Googleadssales[[#This Row],[Ad_ID]],'[1]pre processed data'!A:E,5,0)</f>
        <v>5830</v>
      </c>
      <c r="E252" s="5" t="str">
        <f>VLOOKUP(Googleadssales[[#This Row],[Ad_ID]],[1]!Table3[[Ad_ID]:[Cost-imputed]],7,0)</f>
        <v>$241.9</v>
      </c>
      <c r="F252" s="4">
        <f>VLOOKUP(Googleadssales[[#This Row],[Ad_ID]],'[1]pre processed data'!A:I,9,0)</f>
        <v>29</v>
      </c>
      <c r="G252" s="4">
        <f>VLOOKUP(Googleadssales[[#This Row],[Ad_ID]],'[1]pre processed data'!A:K,11,0)</f>
        <v>10</v>
      </c>
      <c r="H252" s="2">
        <f>Googleadssales[[#This Row],[Conversions]]/Googleadssales[[#This Row],[Clicks]]</f>
        <v>9.4339622641509441E-2</v>
      </c>
      <c r="I252" t="str">
        <f>VLOOKUP(Googleadssales[[#This Row],[Ad_ID]],'[1]pre processed data'!A:O,15,0)</f>
        <v>$1897</v>
      </c>
      <c r="J252" s="3">
        <f>VLOOKUP(Googleadssales[[#This Row],[Ad_ID]],'[1]pre processed data'!A:Q,17,0)</f>
        <v>45598</v>
      </c>
      <c r="K252" t="str">
        <f>VLOOKUP(Googleadssales[[#This Row],[Ad_ID]],'[1]pre processed data'!A:R,18,0)</f>
        <v>Hyderabad</v>
      </c>
      <c r="L252" t="str">
        <f>VLOOKUP(Googleadssales[[#This Row],[Ad_ID]],'[1]pre processed data'!A:S,19,0)</f>
        <v>Desktop</v>
      </c>
      <c r="M252" t="str">
        <f>VLOOKUP(Googleadssales[[#This Row],[Ad_ID]],'[1]pre processed data'!A:T,20,0)</f>
        <v>data analytics training</v>
      </c>
    </row>
    <row r="253" spans="1:13" x14ac:dyDescent="0.3">
      <c r="A253" t="s">
        <v>266</v>
      </c>
      <c r="B253" t="s">
        <v>14</v>
      </c>
      <c r="C253" s="4">
        <f>VLOOKUP(Googleadssales[[#This Row],[Ad_ID]],'[1]pre processed data'!A:C,3,0)</f>
        <v>138.95699356913184</v>
      </c>
      <c r="D253" s="4">
        <f>VLOOKUP(Googleadssales[[#This Row],[Ad_ID]],'[1]pre processed data'!A:E,5,0)</f>
        <v>4629</v>
      </c>
      <c r="E253" s="5" t="str">
        <f>VLOOKUP(Googleadssales[[#This Row],[Ad_ID]],[1]!Table3[[Ad_ID]:[Cost-imputed]],7,0)</f>
        <v>$236.96</v>
      </c>
      <c r="F253" s="4">
        <f>VLOOKUP(Googleadssales[[#This Row],[Ad_ID]],'[1]pre processed data'!A:I,9,0)</f>
        <v>10</v>
      </c>
      <c r="G253" s="4">
        <f>VLOOKUP(Googleadssales[[#This Row],[Ad_ID]],'[1]pre processed data'!A:K,11,0)</f>
        <v>6</v>
      </c>
      <c r="H253" s="2">
        <f>Googleadssales[[#This Row],[Conversions]]/Googleadssales[[#This Row],[Clicks]]</f>
        <v>4.317882710246583E-2</v>
      </c>
      <c r="I253" t="str">
        <f>VLOOKUP(Googleadssales[[#This Row],[Ad_ID]],'[1]pre processed data'!A:O,15,0)</f>
        <v>$1183</v>
      </c>
      <c r="J253" s="3">
        <f>VLOOKUP(Googleadssales[[#This Row],[Ad_ID]],'[1]pre processed data'!A:Q,17,0)</f>
        <v>45602</v>
      </c>
      <c r="K253" t="str">
        <f>VLOOKUP(Googleadssales[[#This Row],[Ad_ID]],'[1]pre processed data'!A:R,18,0)</f>
        <v>Hyderabad</v>
      </c>
      <c r="L253" t="str">
        <f>VLOOKUP(Googleadssales[[#This Row],[Ad_ID]],'[1]pre processed data'!A:S,19,0)</f>
        <v>Desktop</v>
      </c>
      <c r="M253" t="str">
        <f>VLOOKUP(Googleadssales[[#This Row],[Ad_ID]],'[1]pre processed data'!A:T,20,0)</f>
        <v>data analytics training</v>
      </c>
    </row>
    <row r="254" spans="1:13" x14ac:dyDescent="0.3">
      <c r="A254" t="s">
        <v>267</v>
      </c>
      <c r="B254" t="s">
        <v>14</v>
      </c>
      <c r="C254" s="4">
        <f>VLOOKUP(Googleadssales[[#This Row],[Ad_ID]],'[1]pre processed data'!A:C,3,0)</f>
        <v>158</v>
      </c>
      <c r="D254" s="4">
        <f>VLOOKUP(Googleadssales[[#This Row],[Ad_ID]],'[1]pre processed data'!A:E,5,0)</f>
        <v>4780</v>
      </c>
      <c r="E254" s="5" t="str">
        <f>VLOOKUP(Googleadssales[[#This Row],[Ad_ID]],[1]!Table3[[Ad_ID]:[Cost-imputed]],7,0)</f>
        <v>$247.2</v>
      </c>
      <c r="F254" s="4">
        <f>VLOOKUP(Googleadssales[[#This Row],[Ad_ID]],'[1]pre processed data'!A:I,9,0)</f>
        <v>23</v>
      </c>
      <c r="G254" s="4">
        <f>VLOOKUP(Googleadssales[[#This Row],[Ad_ID]],'[1]pre processed data'!A:K,11,0)</f>
        <v>9</v>
      </c>
      <c r="H254" s="2">
        <f>Googleadssales[[#This Row],[Conversions]]/Googleadssales[[#This Row],[Clicks]]</f>
        <v>5.6962025316455694E-2</v>
      </c>
      <c r="I254" t="str">
        <f>VLOOKUP(Googleadssales[[#This Row],[Ad_ID]],'[1]pre processed data'!A:O,15,0)</f>
        <v>$1005</v>
      </c>
      <c r="J254" s="3">
        <f>VLOOKUP(Googleadssales[[#This Row],[Ad_ID]],'[1]pre processed data'!A:Q,17,0)</f>
        <v>45620</v>
      </c>
      <c r="K254" t="str">
        <f>VLOOKUP(Googleadssales[[#This Row],[Ad_ID]],'[1]pre processed data'!A:R,18,0)</f>
        <v>Chennai</v>
      </c>
      <c r="L254" t="str">
        <f>VLOOKUP(Googleadssales[[#This Row],[Ad_ID]],'[1]pre processed data'!A:S,19,0)</f>
        <v>Desktop</v>
      </c>
      <c r="M254" t="str">
        <f>VLOOKUP(Googleadssales[[#This Row],[Ad_ID]],'[1]pre processed data'!A:T,20,0)</f>
        <v>learn data analytics</v>
      </c>
    </row>
    <row r="255" spans="1:13" x14ac:dyDescent="0.3">
      <c r="A255" t="s">
        <v>268</v>
      </c>
      <c r="B255" t="s">
        <v>14</v>
      </c>
      <c r="C255" s="4">
        <f>VLOOKUP(Googleadssales[[#This Row],[Ad_ID]],'[1]pre processed data'!A:C,3,0)</f>
        <v>187</v>
      </c>
      <c r="D255" s="4">
        <f>VLOOKUP(Googleadssales[[#This Row],[Ad_ID]],'[1]pre processed data'!A:E,5,0)</f>
        <v>3800</v>
      </c>
      <c r="E255" s="5" t="str">
        <f>VLOOKUP(Googleadssales[[#This Row],[Ad_ID]],[1]!Table3[[Ad_ID]:[Cost-imputed]],7,0)</f>
        <v>$241.0</v>
      </c>
      <c r="F255" s="4">
        <f>VLOOKUP(Googleadssales[[#This Row],[Ad_ID]],'[1]pre processed data'!A:I,9,0)</f>
        <v>16</v>
      </c>
      <c r="G255" s="4">
        <f>VLOOKUP(Googleadssales[[#This Row],[Ad_ID]],'[1]pre processed data'!A:K,11,0)</f>
        <v>8</v>
      </c>
      <c r="H255" s="2">
        <f>Googleadssales[[#This Row],[Conversions]]/Googleadssales[[#This Row],[Clicks]]</f>
        <v>4.2780748663101602E-2</v>
      </c>
      <c r="I255" t="str">
        <f>VLOOKUP(Googleadssales[[#This Row],[Ad_ID]],'[1]pre processed data'!A:O,15,0)</f>
        <v>$1842</v>
      </c>
      <c r="J255" s="3">
        <f>VLOOKUP(Googleadssales[[#This Row],[Ad_ID]],'[1]pre processed data'!A:Q,17,0)</f>
        <v>45605</v>
      </c>
      <c r="K255" t="str">
        <f>VLOOKUP(Googleadssales[[#This Row],[Ad_ID]],'[1]pre processed data'!A:R,18,0)</f>
        <v>Chennai</v>
      </c>
      <c r="L255" t="str">
        <f>VLOOKUP(Googleadssales[[#This Row],[Ad_ID]],'[1]pre processed data'!A:S,19,0)</f>
        <v>Mobile</v>
      </c>
      <c r="M255" t="str">
        <f>VLOOKUP(Googleadssales[[#This Row],[Ad_ID]],'[1]pre processed data'!A:T,20,0)</f>
        <v>analytics for data</v>
      </c>
    </row>
    <row r="256" spans="1:13" x14ac:dyDescent="0.3">
      <c r="A256" t="s">
        <v>269</v>
      </c>
      <c r="B256" t="s">
        <v>14</v>
      </c>
      <c r="C256" s="4">
        <f>VLOOKUP(Googleadssales[[#This Row],[Ad_ID]],'[1]pre processed data'!A:C,3,0)</f>
        <v>95</v>
      </c>
      <c r="D256" s="4">
        <f>VLOOKUP(Googleadssales[[#This Row],[Ad_ID]],'[1]pre processed data'!A:E,5,0)</f>
        <v>4096</v>
      </c>
      <c r="E256" s="5" t="str">
        <f>VLOOKUP(Googleadssales[[#This Row],[Ad_ID]],[1]!Table3[[Ad_ID]:[Cost-imputed]],7,0)</f>
        <v>$242.69</v>
      </c>
      <c r="F256" s="4">
        <f>VLOOKUP(Googleadssales[[#This Row],[Ad_ID]],'[1]pre processed data'!A:I,9,0)</f>
        <v>26</v>
      </c>
      <c r="G256" s="4">
        <f>VLOOKUP(Googleadssales[[#This Row],[Ad_ID]],'[1]pre processed data'!A:K,11,0)</f>
        <v>9</v>
      </c>
      <c r="H256" s="2">
        <f>Googleadssales[[#This Row],[Conversions]]/Googleadssales[[#This Row],[Clicks]]</f>
        <v>9.4736842105263161E-2</v>
      </c>
      <c r="I256" t="str">
        <f>VLOOKUP(Googleadssales[[#This Row],[Ad_ID]],'[1]pre processed data'!A:O,15,0)</f>
        <v>$1550</v>
      </c>
      <c r="J256" s="3">
        <f>VLOOKUP(Googleadssales[[#This Row],[Ad_ID]],'[1]pre processed data'!A:Q,17,0)</f>
        <v>45618</v>
      </c>
      <c r="K256" t="str">
        <f>VLOOKUP(Googleadssales[[#This Row],[Ad_ID]],'[1]pre processed data'!A:R,18,0)</f>
        <v>Chennai</v>
      </c>
      <c r="L256" t="str">
        <f>VLOOKUP(Googleadssales[[#This Row],[Ad_ID]],'[1]pre processed data'!A:S,19,0)</f>
        <v>Tablet</v>
      </c>
      <c r="M256" t="str">
        <f>VLOOKUP(Googleadssales[[#This Row],[Ad_ID]],'[1]pre processed data'!A:T,20,0)</f>
        <v>online data analytic</v>
      </c>
    </row>
    <row r="257" spans="1:13" x14ac:dyDescent="0.3">
      <c r="A257" t="s">
        <v>270</v>
      </c>
      <c r="B257" t="s">
        <v>18</v>
      </c>
      <c r="C257" s="4">
        <f>VLOOKUP(Googleadssales[[#This Row],[Ad_ID]],'[1]pre processed data'!A:C,3,0)</f>
        <v>118</v>
      </c>
      <c r="D257" s="4">
        <f>VLOOKUP(Googleadssales[[#This Row],[Ad_ID]],'[1]pre processed data'!A:E,5,0)</f>
        <v>3562</v>
      </c>
      <c r="E257" s="5" t="str">
        <f>VLOOKUP(Googleadssales[[#This Row],[Ad_ID]],[1]!Table3[[Ad_ID]:[Cost-imputed]],7,0)</f>
        <v>$231.5</v>
      </c>
      <c r="F257" s="4">
        <f>VLOOKUP(Googleadssales[[#This Row],[Ad_ID]],'[1]pre processed data'!A:I,9,0)</f>
        <v>12</v>
      </c>
      <c r="G257" s="4">
        <f>VLOOKUP(Googleadssales[[#This Row],[Ad_ID]],'[1]pre processed data'!A:K,11,0)</f>
        <v>3</v>
      </c>
      <c r="H257" s="2">
        <f>Googleadssales[[#This Row],[Conversions]]/Googleadssales[[#This Row],[Clicks]]</f>
        <v>2.5423728813559324E-2</v>
      </c>
      <c r="I257" t="str">
        <f>VLOOKUP(Googleadssales[[#This Row],[Ad_ID]],'[1]pre processed data'!A:O,15,0)</f>
        <v>$1856</v>
      </c>
      <c r="J257" s="3">
        <f>VLOOKUP(Googleadssales[[#This Row],[Ad_ID]],'[1]pre processed data'!A:Q,17,0)</f>
        <v>45615</v>
      </c>
      <c r="K257" t="str">
        <f>VLOOKUP(Googleadssales[[#This Row],[Ad_ID]],'[1]pre processed data'!A:R,18,0)</f>
        <v>Bangaluru</v>
      </c>
      <c r="L257" t="str">
        <f>VLOOKUP(Googleadssales[[#This Row],[Ad_ID]],'[1]pre processed data'!A:S,19,0)</f>
        <v>Desktop</v>
      </c>
      <c r="M257" t="str">
        <f>VLOOKUP(Googleadssales[[#This Row],[Ad_ID]],'[1]pre processed data'!A:T,20,0)</f>
        <v>data analytics course</v>
      </c>
    </row>
    <row r="258" spans="1:13" x14ac:dyDescent="0.3">
      <c r="A258" t="s">
        <v>271</v>
      </c>
      <c r="B258" t="s">
        <v>14</v>
      </c>
      <c r="C258" s="4">
        <f>VLOOKUP(Googleadssales[[#This Row],[Ad_ID]],'[1]pre processed data'!A:C,3,0)</f>
        <v>166</v>
      </c>
      <c r="D258" s="4">
        <f>VLOOKUP(Googleadssales[[#This Row],[Ad_ID]],'[1]pre processed data'!A:E,5,0)</f>
        <v>3910</v>
      </c>
      <c r="E258" s="5" t="str">
        <f>VLOOKUP(Googleadssales[[#This Row],[Ad_ID]],[1]!Table3[[Ad_ID]:[Cost-imputed]],7,0)</f>
        <v>$191.32</v>
      </c>
      <c r="F258" s="4">
        <f>VLOOKUP(Googleadssales[[#This Row],[Ad_ID]],'[1]pre processed data'!A:I,9,0)</f>
        <v>27</v>
      </c>
      <c r="G258" s="4">
        <f>VLOOKUP(Googleadssales[[#This Row],[Ad_ID]],'[1]pre processed data'!A:K,11,0)</f>
        <v>7</v>
      </c>
      <c r="H258" s="2">
        <f>Googleadssales[[#This Row],[Conversions]]/Googleadssales[[#This Row],[Clicks]]</f>
        <v>4.2168674698795178E-2</v>
      </c>
      <c r="I258" t="str">
        <f>VLOOKUP(Googleadssales[[#This Row],[Ad_ID]],'[1]pre processed data'!A:O,15,0)</f>
        <v>$1500</v>
      </c>
      <c r="J258" s="3">
        <f>VLOOKUP(Googleadssales[[#This Row],[Ad_ID]],'[1]pre processed data'!A:Q,17,0)</f>
        <v>45611</v>
      </c>
      <c r="K258" t="str">
        <f>VLOOKUP(Googleadssales[[#This Row],[Ad_ID]],'[1]pre processed data'!A:R,18,0)</f>
        <v>Bangaluru</v>
      </c>
      <c r="L258" t="str">
        <f>VLOOKUP(Googleadssales[[#This Row],[Ad_ID]],'[1]pre processed data'!A:S,19,0)</f>
        <v>Mobile</v>
      </c>
      <c r="M258" t="str">
        <f>VLOOKUP(Googleadssales[[#This Row],[Ad_ID]],'[1]pre processed data'!A:T,20,0)</f>
        <v>analytics for data</v>
      </c>
    </row>
    <row r="259" spans="1:13" x14ac:dyDescent="0.3">
      <c r="A259" t="s">
        <v>272</v>
      </c>
      <c r="B259" t="s">
        <v>14</v>
      </c>
      <c r="C259" s="4">
        <f>VLOOKUP(Googleadssales[[#This Row],[Ad_ID]],'[1]pre processed data'!A:C,3,0)</f>
        <v>146</v>
      </c>
      <c r="D259" s="4">
        <f>VLOOKUP(Googleadssales[[#This Row],[Ad_ID]],'[1]pre processed data'!A:E,5,0)</f>
        <v>5411</v>
      </c>
      <c r="E259" s="5" t="str">
        <f>VLOOKUP(Googleadssales[[#This Row],[Ad_ID]],[1]!Table3[[Ad_ID]:[Cost-imputed]],7,0)</f>
        <v>$201.76</v>
      </c>
      <c r="F259" s="4">
        <f>VLOOKUP(Googleadssales[[#This Row],[Ad_ID]],'[1]pre processed data'!A:I,9,0)</f>
        <v>28</v>
      </c>
      <c r="G259" s="4">
        <f>VLOOKUP(Googleadssales[[#This Row],[Ad_ID]],'[1]pre processed data'!A:K,11,0)</f>
        <v>7</v>
      </c>
      <c r="H259" s="2">
        <f>Googleadssales[[#This Row],[Conversions]]/Googleadssales[[#This Row],[Clicks]]</f>
        <v>4.7945205479452052E-2</v>
      </c>
      <c r="I259" t="str">
        <f>VLOOKUP(Googleadssales[[#This Row],[Ad_ID]],'[1]pre processed data'!A:O,15,0)</f>
        <v>$1393</v>
      </c>
      <c r="J259" s="3">
        <f>VLOOKUP(Googleadssales[[#This Row],[Ad_ID]],'[1]pre processed data'!A:Q,17,0)</f>
        <v>45610</v>
      </c>
      <c r="K259" t="str">
        <f>VLOOKUP(Googleadssales[[#This Row],[Ad_ID]],'[1]pre processed data'!A:R,18,0)</f>
        <v>Bangaluru</v>
      </c>
      <c r="L259" t="str">
        <f>VLOOKUP(Googleadssales[[#This Row],[Ad_ID]],'[1]pre processed data'!A:S,19,0)</f>
        <v>Desktop</v>
      </c>
      <c r="M259" t="str">
        <f>VLOOKUP(Googleadssales[[#This Row],[Ad_ID]],'[1]pre processed data'!A:T,20,0)</f>
        <v>data analytics online</v>
      </c>
    </row>
    <row r="260" spans="1:13" x14ac:dyDescent="0.3">
      <c r="A260" t="s">
        <v>273</v>
      </c>
      <c r="B260" t="s">
        <v>14</v>
      </c>
      <c r="C260" s="4">
        <f>VLOOKUP(Googleadssales[[#This Row],[Ad_ID]],'[1]pre processed data'!A:C,3,0)</f>
        <v>101</v>
      </c>
      <c r="D260" s="4">
        <f>VLOOKUP(Googleadssales[[#This Row],[Ad_ID]],'[1]pre processed data'!A:E,5,0)</f>
        <v>4026</v>
      </c>
      <c r="E260" s="5" t="str">
        <f>VLOOKUP(Googleadssales[[#This Row],[Ad_ID]],[1]!Table3[[Ad_ID]:[Cost-imputed]],7,0)</f>
        <v>$219.68</v>
      </c>
      <c r="F260" s="4">
        <f>VLOOKUP(Googleadssales[[#This Row],[Ad_ID]],'[1]pre processed data'!A:I,9,0)</f>
        <v>22</v>
      </c>
      <c r="G260" s="4">
        <f>VLOOKUP(Googleadssales[[#This Row],[Ad_ID]],'[1]pre processed data'!A:K,11,0)</f>
        <v>9</v>
      </c>
      <c r="H260" s="2">
        <f>Googleadssales[[#This Row],[Conversions]]/Googleadssales[[#This Row],[Clicks]]</f>
        <v>8.9108910891089105E-2</v>
      </c>
      <c r="I260" t="str">
        <f>VLOOKUP(Googleadssales[[#This Row],[Ad_ID]],'[1]pre processed data'!A:O,15,0)</f>
        <v>$1149</v>
      </c>
      <c r="J260" s="3">
        <f>VLOOKUP(Googleadssales[[#This Row],[Ad_ID]],'[1]pre processed data'!A:Q,17,0)</f>
        <v>45611</v>
      </c>
      <c r="K260" t="str">
        <f>VLOOKUP(Googleadssales[[#This Row],[Ad_ID]],'[1]pre processed data'!A:R,18,0)</f>
        <v>Hyderabad</v>
      </c>
      <c r="L260" t="str">
        <f>VLOOKUP(Googleadssales[[#This Row],[Ad_ID]],'[1]pre processed data'!A:S,19,0)</f>
        <v>Desktop</v>
      </c>
      <c r="M260" t="str">
        <f>VLOOKUP(Googleadssales[[#This Row],[Ad_ID]],'[1]pre processed data'!A:T,20,0)</f>
        <v>analytics for data</v>
      </c>
    </row>
    <row r="261" spans="1:13" x14ac:dyDescent="0.3">
      <c r="A261" t="s">
        <v>274</v>
      </c>
      <c r="B261" t="s">
        <v>14</v>
      </c>
      <c r="C261" s="4">
        <f>VLOOKUP(Googleadssales[[#This Row],[Ad_ID]],'[1]pre processed data'!A:C,3,0)</f>
        <v>185</v>
      </c>
      <c r="D261" s="4">
        <f>VLOOKUP(Googleadssales[[#This Row],[Ad_ID]],'[1]pre processed data'!A:E,5,0)</f>
        <v>3716</v>
      </c>
      <c r="E261" s="5" t="str">
        <f>VLOOKUP(Googleadssales[[#This Row],[Ad_ID]],[1]!Table3[[Ad_ID]:[Cost-imputed]],7,0)</f>
        <v>$218.23</v>
      </c>
      <c r="F261" s="4">
        <f>VLOOKUP(Googleadssales[[#This Row],[Ad_ID]],'[1]pre processed data'!A:I,9,0)</f>
        <v>27</v>
      </c>
      <c r="G261" s="4">
        <f>VLOOKUP(Googleadssales[[#This Row],[Ad_ID]],'[1]pre processed data'!A:K,11,0)</f>
        <v>7</v>
      </c>
      <c r="H261" s="2">
        <f>Googleadssales[[#This Row],[Conversions]]/Googleadssales[[#This Row],[Clicks]]</f>
        <v>3.783783783783784E-2</v>
      </c>
      <c r="I261" t="str">
        <f>VLOOKUP(Googleadssales[[#This Row],[Ad_ID]],'[1]pre processed data'!A:O,15,0)</f>
        <v>$1015</v>
      </c>
      <c r="J261" s="3">
        <f>VLOOKUP(Googleadssales[[#This Row],[Ad_ID]],'[1]pre processed data'!A:Q,17,0)</f>
        <v>45599</v>
      </c>
      <c r="K261" t="str">
        <f>VLOOKUP(Googleadssales[[#This Row],[Ad_ID]],'[1]pre processed data'!A:R,18,0)</f>
        <v>Bangaluru</v>
      </c>
      <c r="L261" t="str">
        <f>VLOOKUP(Googleadssales[[#This Row],[Ad_ID]],'[1]pre processed data'!A:S,19,0)</f>
        <v>Desktop</v>
      </c>
      <c r="M261" t="str">
        <f>VLOOKUP(Googleadssales[[#This Row],[Ad_ID]],'[1]pre processed data'!A:T,20,0)</f>
        <v>online data analytic</v>
      </c>
    </row>
    <row r="262" spans="1:13" x14ac:dyDescent="0.3">
      <c r="A262" t="s">
        <v>275</v>
      </c>
      <c r="B262" t="s">
        <v>18</v>
      </c>
      <c r="C262" s="4">
        <f>VLOOKUP(Googleadssales[[#This Row],[Ad_ID]],'[1]pre processed data'!A:C,3,0)</f>
        <v>147</v>
      </c>
      <c r="D262" s="4">
        <f>VLOOKUP(Googleadssales[[#This Row],[Ad_ID]],'[1]pre processed data'!A:E,5,0)</f>
        <v>5162</v>
      </c>
      <c r="E262" s="5" t="str">
        <f>VLOOKUP(Googleadssales[[#This Row],[Ad_ID]],[1]!Table3[[Ad_ID]:[Cost-imputed]],7,0)</f>
        <v>$186.79</v>
      </c>
      <c r="F262" s="4">
        <f>VLOOKUP(Googleadssales[[#This Row],[Ad_ID]],'[1]pre processed data'!A:I,9,0)</f>
        <v>30</v>
      </c>
      <c r="G262" s="4">
        <f>VLOOKUP(Googleadssales[[#This Row],[Ad_ID]],'[1]pre processed data'!A:K,11,0)</f>
        <v>7</v>
      </c>
      <c r="H262" s="2">
        <f>Googleadssales[[#This Row],[Conversions]]/Googleadssales[[#This Row],[Clicks]]</f>
        <v>4.7619047619047616E-2</v>
      </c>
      <c r="I262" t="str">
        <f>VLOOKUP(Googleadssales[[#This Row],[Ad_ID]],'[1]pre processed data'!A:O,15,0)</f>
        <v>$1733</v>
      </c>
      <c r="J262" s="3">
        <f>VLOOKUP(Googleadssales[[#This Row],[Ad_ID]],'[1]pre processed data'!A:Q,17,0)</f>
        <v>45621</v>
      </c>
      <c r="K262" t="str">
        <f>VLOOKUP(Googleadssales[[#This Row],[Ad_ID]],'[1]pre processed data'!A:R,18,0)</f>
        <v>Hyderabad</v>
      </c>
      <c r="L262" t="str">
        <f>VLOOKUP(Googleadssales[[#This Row],[Ad_ID]],'[1]pre processed data'!A:S,19,0)</f>
        <v>Desktop</v>
      </c>
      <c r="M262" t="str">
        <f>VLOOKUP(Googleadssales[[#This Row],[Ad_ID]],'[1]pre processed data'!A:T,20,0)</f>
        <v>analytics for data</v>
      </c>
    </row>
    <row r="263" spans="1:13" x14ac:dyDescent="0.3">
      <c r="A263" t="s">
        <v>276</v>
      </c>
      <c r="B263" t="s">
        <v>18</v>
      </c>
      <c r="C263" s="4">
        <f>VLOOKUP(Googleadssales[[#This Row],[Ad_ID]],'[1]pre processed data'!A:C,3,0)</f>
        <v>188</v>
      </c>
      <c r="D263" s="4">
        <f>VLOOKUP(Googleadssales[[#This Row],[Ad_ID]],'[1]pre processed data'!A:E,5,0)</f>
        <v>3859</v>
      </c>
      <c r="E263" s="5" t="str">
        <f>VLOOKUP(Googleadssales[[#This Row],[Ad_ID]],[1]!Table3[[Ad_ID]:[Cost-imputed]],7,0)</f>
        <v>$211.83</v>
      </c>
      <c r="F263" s="4">
        <f>VLOOKUP(Googleadssales[[#This Row],[Ad_ID]],'[1]pre processed data'!A:I,9,0)</f>
        <v>30</v>
      </c>
      <c r="G263" s="4">
        <f>VLOOKUP(Googleadssales[[#This Row],[Ad_ID]],'[1]pre processed data'!A:K,11,0)</f>
        <v>9</v>
      </c>
      <c r="H263" s="2">
        <f>Googleadssales[[#This Row],[Conversions]]/Googleadssales[[#This Row],[Clicks]]</f>
        <v>4.7872340425531915E-2</v>
      </c>
      <c r="I263" t="str">
        <f>VLOOKUP(Googleadssales[[#This Row],[Ad_ID]],'[1]pre processed data'!A:O,15,0)</f>
        <v>$1719</v>
      </c>
      <c r="J263" s="3">
        <f>VLOOKUP(Googleadssales[[#This Row],[Ad_ID]],'[1]pre processed data'!A:Q,17,0)</f>
        <v>45624</v>
      </c>
      <c r="K263" t="str">
        <f>VLOOKUP(Googleadssales[[#This Row],[Ad_ID]],'[1]pre processed data'!A:R,18,0)</f>
        <v>Hyderabad</v>
      </c>
      <c r="L263" t="str">
        <f>VLOOKUP(Googleadssales[[#This Row],[Ad_ID]],'[1]pre processed data'!A:S,19,0)</f>
        <v>Mobile</v>
      </c>
      <c r="M263" t="str">
        <f>VLOOKUP(Googleadssales[[#This Row],[Ad_ID]],'[1]pre processed data'!A:T,20,0)</f>
        <v>online data analytic</v>
      </c>
    </row>
    <row r="264" spans="1:13" x14ac:dyDescent="0.3">
      <c r="A264" t="s">
        <v>277</v>
      </c>
      <c r="B264" t="s">
        <v>14</v>
      </c>
      <c r="C264" s="4">
        <f>VLOOKUP(Googleadssales[[#This Row],[Ad_ID]],'[1]pre processed data'!A:C,3,0)</f>
        <v>122</v>
      </c>
      <c r="D264" s="4">
        <f>VLOOKUP(Googleadssales[[#This Row],[Ad_ID]],'[1]pre processed data'!A:E,5,0)</f>
        <v>3350</v>
      </c>
      <c r="E264" s="5" t="str">
        <f>VLOOKUP(Googleadssales[[#This Row],[Ad_ID]],[1]!Table3[[Ad_ID]:[Cost-imputed]],7,0)</f>
        <v>$225.89</v>
      </c>
      <c r="F264" s="4">
        <f>VLOOKUP(Googleadssales[[#This Row],[Ad_ID]],'[1]pre processed data'!A:I,9,0)</f>
        <v>28</v>
      </c>
      <c r="G264" s="4">
        <f>VLOOKUP(Googleadssales[[#This Row],[Ad_ID]],'[1]pre processed data'!A:K,11,0)</f>
        <v>3</v>
      </c>
      <c r="H264" s="2">
        <f>Googleadssales[[#This Row],[Conversions]]/Googleadssales[[#This Row],[Clicks]]</f>
        <v>2.4590163934426229E-2</v>
      </c>
      <c r="I264" t="str">
        <f>VLOOKUP(Googleadssales[[#This Row],[Ad_ID]],'[1]pre processed data'!A:O,15,0)</f>
        <v>$1509</v>
      </c>
      <c r="J264" s="3">
        <f>VLOOKUP(Googleadssales[[#This Row],[Ad_ID]],'[1]pre processed data'!A:Q,17,0)</f>
        <v>45620</v>
      </c>
      <c r="K264" t="str">
        <f>VLOOKUP(Googleadssales[[#This Row],[Ad_ID]],'[1]pre processed data'!A:R,18,0)</f>
        <v>Hyderabad</v>
      </c>
      <c r="L264" t="str">
        <f>VLOOKUP(Googleadssales[[#This Row],[Ad_ID]],'[1]pre processed data'!A:S,19,0)</f>
        <v>Desktop</v>
      </c>
      <c r="M264" t="str">
        <f>VLOOKUP(Googleadssales[[#This Row],[Ad_ID]],'[1]pre processed data'!A:T,20,0)</f>
        <v>data analytics online</v>
      </c>
    </row>
    <row r="265" spans="1:13" x14ac:dyDescent="0.3">
      <c r="A265" t="s">
        <v>278</v>
      </c>
      <c r="B265" t="s">
        <v>14</v>
      </c>
      <c r="C265" s="4">
        <f>VLOOKUP(Googleadssales[[#This Row],[Ad_ID]],'[1]pre processed data'!A:C,3,0)</f>
        <v>143</v>
      </c>
      <c r="D265" s="4">
        <f>VLOOKUP(Googleadssales[[#This Row],[Ad_ID]],'[1]pre processed data'!A:E,5,0)</f>
        <v>5340</v>
      </c>
      <c r="E265" s="5" t="str">
        <f>VLOOKUP(Googleadssales[[#This Row],[Ad_ID]],[1]!Table3[[Ad_ID]:[Cost-imputed]],7,0)</f>
        <v>$200.00</v>
      </c>
      <c r="F265" s="4">
        <f>VLOOKUP(Googleadssales[[#This Row],[Ad_ID]],'[1]pre processed data'!A:I,9,0)</f>
        <v>20</v>
      </c>
      <c r="G265" s="4">
        <f>VLOOKUP(Googleadssales[[#This Row],[Ad_ID]],'[1]pre processed data'!A:K,11,0)</f>
        <v>9</v>
      </c>
      <c r="H265" s="2">
        <f>Googleadssales[[#This Row],[Conversions]]/Googleadssales[[#This Row],[Clicks]]</f>
        <v>6.2937062937062943E-2</v>
      </c>
      <c r="I265" t="str">
        <f>VLOOKUP(Googleadssales[[#This Row],[Ad_ID]],'[1]pre processed data'!A:O,15,0)</f>
        <v>$1223</v>
      </c>
      <c r="J265" s="3">
        <f>VLOOKUP(Googleadssales[[#This Row],[Ad_ID]],'[1]pre processed data'!A:Q,17,0)</f>
        <v>45601</v>
      </c>
      <c r="K265" t="str">
        <f>VLOOKUP(Googleadssales[[#This Row],[Ad_ID]],'[1]pre processed data'!A:R,18,0)</f>
        <v>Chennai</v>
      </c>
      <c r="L265" t="str">
        <f>VLOOKUP(Googleadssales[[#This Row],[Ad_ID]],'[1]pre processed data'!A:S,19,0)</f>
        <v>Tablet</v>
      </c>
      <c r="M265" t="str">
        <f>VLOOKUP(Googleadssales[[#This Row],[Ad_ID]],'[1]pre processed data'!A:T,20,0)</f>
        <v>online data analytic</v>
      </c>
    </row>
    <row r="266" spans="1:13" x14ac:dyDescent="0.3">
      <c r="A266" t="s">
        <v>279</v>
      </c>
      <c r="B266" t="s">
        <v>14</v>
      </c>
      <c r="C266" s="4">
        <f>VLOOKUP(Googleadssales[[#This Row],[Ad_ID]],'[1]pre processed data'!A:C,3,0)</f>
        <v>170</v>
      </c>
      <c r="D266" s="4">
        <f>VLOOKUP(Googleadssales[[#This Row],[Ad_ID]],'[1]pre processed data'!A:E,5,0)</f>
        <v>3124</v>
      </c>
      <c r="E266" s="5" t="str">
        <f>VLOOKUP(Googleadssales[[#This Row],[Ad_ID]],[1]!Table3[[Ad_ID]:[Cost-imputed]],7,0)</f>
        <v>$234.92</v>
      </c>
      <c r="F266" s="4">
        <f>VLOOKUP(Googleadssales[[#This Row],[Ad_ID]],'[1]pre processed data'!A:I,9,0)</f>
        <v>17</v>
      </c>
      <c r="G266" s="4">
        <f>VLOOKUP(Googleadssales[[#This Row],[Ad_ID]],'[1]pre processed data'!A:K,11,0)</f>
        <v>3</v>
      </c>
      <c r="H266" s="2">
        <f>Googleadssales[[#This Row],[Conversions]]/Googleadssales[[#This Row],[Clicks]]</f>
        <v>1.7647058823529412E-2</v>
      </c>
      <c r="I266" t="str">
        <f>VLOOKUP(Googleadssales[[#This Row],[Ad_ID]],'[1]pre processed data'!A:O,15,0)</f>
        <v>$1232</v>
      </c>
      <c r="J266" s="3">
        <f>VLOOKUP(Googleadssales[[#This Row],[Ad_ID]],'[1]pre processed data'!A:Q,17,0)</f>
        <v>45607</v>
      </c>
      <c r="K266" t="str">
        <f>VLOOKUP(Googleadssales[[#This Row],[Ad_ID]],'[1]pre processed data'!A:R,18,0)</f>
        <v>Bangaluru</v>
      </c>
      <c r="L266" t="str">
        <f>VLOOKUP(Googleadssales[[#This Row],[Ad_ID]],'[1]pre processed data'!A:S,19,0)</f>
        <v>Desktop</v>
      </c>
      <c r="M266" t="str">
        <f>VLOOKUP(Googleadssales[[#This Row],[Ad_ID]],'[1]pre processed data'!A:T,20,0)</f>
        <v>data analytics training</v>
      </c>
    </row>
    <row r="267" spans="1:13" x14ac:dyDescent="0.3">
      <c r="A267" t="s">
        <v>280</v>
      </c>
      <c r="B267" t="s">
        <v>14</v>
      </c>
      <c r="C267" s="4">
        <f>VLOOKUP(Googleadssales[[#This Row],[Ad_ID]],'[1]pre processed data'!A:C,3,0)</f>
        <v>114</v>
      </c>
      <c r="D267" s="4">
        <f>VLOOKUP(Googleadssales[[#This Row],[Ad_ID]],'[1]pre processed data'!A:E,5,0)</f>
        <v>5017</v>
      </c>
      <c r="E267" s="5" t="str">
        <f>VLOOKUP(Googleadssales[[#This Row],[Ad_ID]],[1]!Table3[[Ad_ID]:[Cost-imputed]],7,0)</f>
        <v>$242.62</v>
      </c>
      <c r="F267" s="4">
        <f>VLOOKUP(Googleadssales[[#This Row],[Ad_ID]],'[1]pre processed data'!A:I,9,0)</f>
        <v>11</v>
      </c>
      <c r="G267" s="4">
        <f>VLOOKUP(Googleadssales[[#This Row],[Ad_ID]],'[1]pre processed data'!A:K,11,0)</f>
        <v>6</v>
      </c>
      <c r="H267" s="2">
        <f>Googleadssales[[#This Row],[Conversions]]/Googleadssales[[#This Row],[Clicks]]</f>
        <v>5.2631578947368418E-2</v>
      </c>
      <c r="I267" t="str">
        <f>VLOOKUP(Googleadssales[[#This Row],[Ad_ID]],'[1]pre processed data'!A:O,15,0)</f>
        <v>$1303</v>
      </c>
      <c r="J267" s="3">
        <f>VLOOKUP(Googleadssales[[#This Row],[Ad_ID]],'[1]pre processed data'!A:Q,17,0)</f>
        <v>45613</v>
      </c>
      <c r="K267" t="str">
        <f>VLOOKUP(Googleadssales[[#This Row],[Ad_ID]],'[1]pre processed data'!A:R,18,0)</f>
        <v>Bangaluru</v>
      </c>
      <c r="L267" t="str">
        <f>VLOOKUP(Googleadssales[[#This Row],[Ad_ID]],'[1]pre processed data'!A:S,19,0)</f>
        <v>Mobile</v>
      </c>
      <c r="M267" t="str">
        <f>VLOOKUP(Googleadssales[[#This Row],[Ad_ID]],'[1]pre processed data'!A:T,20,0)</f>
        <v>data analytics online</v>
      </c>
    </row>
    <row r="268" spans="1:13" x14ac:dyDescent="0.3">
      <c r="A268" t="s">
        <v>281</v>
      </c>
      <c r="B268" t="s">
        <v>14</v>
      </c>
      <c r="C268" s="4">
        <f>VLOOKUP(Googleadssales[[#This Row],[Ad_ID]],'[1]pre processed data'!A:C,3,0)</f>
        <v>186</v>
      </c>
      <c r="D268" s="4">
        <f>VLOOKUP(Googleadssales[[#This Row],[Ad_ID]],'[1]pre processed data'!A:E,5,0)</f>
        <v>3424</v>
      </c>
      <c r="E268" s="5" t="str">
        <f>VLOOKUP(Googleadssales[[#This Row],[Ad_ID]],[1]!Table3[[Ad_ID]:[Cost-imputed]],7,0)</f>
        <v>$201.81</v>
      </c>
      <c r="F268" s="4">
        <f>VLOOKUP(Googleadssales[[#This Row],[Ad_ID]],'[1]pre processed data'!A:I,9,0)</f>
        <v>27</v>
      </c>
      <c r="G268" s="4">
        <f>VLOOKUP(Googleadssales[[#This Row],[Ad_ID]],'[1]pre processed data'!A:K,11,0)</f>
        <v>3</v>
      </c>
      <c r="H268" s="2">
        <f>Googleadssales[[#This Row],[Conversions]]/Googleadssales[[#This Row],[Clicks]]</f>
        <v>1.6129032258064516E-2</v>
      </c>
      <c r="I268" t="str">
        <f>VLOOKUP(Googleadssales[[#This Row],[Ad_ID]],'[1]pre processed data'!A:O,15,0)</f>
        <v>$1337</v>
      </c>
      <c r="J268" s="3">
        <f>VLOOKUP(Googleadssales[[#This Row],[Ad_ID]],'[1]pre processed data'!A:Q,17,0)</f>
        <v>45622</v>
      </c>
      <c r="K268" t="str">
        <f>VLOOKUP(Googleadssales[[#This Row],[Ad_ID]],'[1]pre processed data'!A:R,18,0)</f>
        <v>Bangaluru</v>
      </c>
      <c r="L268" t="str">
        <f>VLOOKUP(Googleadssales[[#This Row],[Ad_ID]],'[1]pre processed data'!A:S,19,0)</f>
        <v>Desktop</v>
      </c>
      <c r="M268" t="str">
        <f>VLOOKUP(Googleadssales[[#This Row],[Ad_ID]],'[1]pre processed data'!A:T,20,0)</f>
        <v>data analytics training</v>
      </c>
    </row>
    <row r="269" spans="1:13" x14ac:dyDescent="0.3">
      <c r="A269" t="s">
        <v>282</v>
      </c>
      <c r="B269" t="s">
        <v>18</v>
      </c>
      <c r="C269" s="4">
        <f>VLOOKUP(Googleadssales[[#This Row],[Ad_ID]],'[1]pre processed data'!A:C,3,0)</f>
        <v>120</v>
      </c>
      <c r="D269" s="4">
        <f>VLOOKUP(Googleadssales[[#This Row],[Ad_ID]],'[1]pre processed data'!A:E,5,0)</f>
        <v>4060</v>
      </c>
      <c r="E269" s="5" t="str">
        <f>VLOOKUP(Googleadssales[[#This Row],[Ad_ID]],[1]!Table3[[Ad_ID]:[Cost-imputed]],7,0)</f>
        <v>$210.95</v>
      </c>
      <c r="F269" s="4">
        <f>VLOOKUP(Googleadssales[[#This Row],[Ad_ID]],'[1]pre processed data'!A:I,9,0)</f>
        <v>24</v>
      </c>
      <c r="G269" s="4">
        <f>VLOOKUP(Googleadssales[[#This Row],[Ad_ID]],'[1]pre processed data'!A:K,11,0)</f>
        <v>9</v>
      </c>
      <c r="H269" s="2">
        <f>Googleadssales[[#This Row],[Conversions]]/Googleadssales[[#This Row],[Clicks]]</f>
        <v>7.4999999999999997E-2</v>
      </c>
      <c r="I269" t="str">
        <f>VLOOKUP(Googleadssales[[#This Row],[Ad_ID]],'[1]pre processed data'!A:O,15,0)</f>
        <v>$1376</v>
      </c>
      <c r="J269" s="3">
        <f>VLOOKUP(Googleadssales[[#This Row],[Ad_ID]],'[1]pre processed data'!A:Q,17,0)</f>
        <v>45601</v>
      </c>
      <c r="K269" t="str">
        <f>VLOOKUP(Googleadssales[[#This Row],[Ad_ID]],'[1]pre processed data'!A:R,18,0)</f>
        <v>Bangaluru</v>
      </c>
      <c r="L269" t="str">
        <f>VLOOKUP(Googleadssales[[#This Row],[Ad_ID]],'[1]pre processed data'!A:S,19,0)</f>
        <v>Tablet</v>
      </c>
      <c r="M269" t="str">
        <f>VLOOKUP(Googleadssales[[#This Row],[Ad_ID]],'[1]pre processed data'!A:T,20,0)</f>
        <v>data analytics online</v>
      </c>
    </row>
    <row r="270" spans="1:13" x14ac:dyDescent="0.3">
      <c r="A270" t="s">
        <v>283</v>
      </c>
      <c r="B270" t="s">
        <v>18</v>
      </c>
      <c r="C270" s="4">
        <f>VLOOKUP(Googleadssales[[#This Row],[Ad_ID]],'[1]pre processed data'!A:C,3,0)</f>
        <v>130</v>
      </c>
      <c r="D270" s="4">
        <f>VLOOKUP(Googleadssales[[#This Row],[Ad_ID]],'[1]pre processed data'!A:E,5,0)</f>
        <v>5688</v>
      </c>
      <c r="E270" s="5" t="str">
        <f>VLOOKUP(Googleadssales[[#This Row],[Ad_ID]],[1]!Table3[[Ad_ID]:[Cost-imputed]],7,0)</f>
        <v>$212.05</v>
      </c>
      <c r="F270" s="4">
        <f>VLOOKUP(Googleadssales[[#This Row],[Ad_ID]],'[1]pre processed data'!A:I,9,0)</f>
        <v>21</v>
      </c>
      <c r="G270" s="4">
        <f>VLOOKUP(Googleadssales[[#This Row],[Ad_ID]],'[1]pre processed data'!A:K,11,0)</f>
        <v>5</v>
      </c>
      <c r="H270" s="2">
        <f>Googleadssales[[#This Row],[Conversions]]/Googleadssales[[#This Row],[Clicks]]</f>
        <v>3.8461538461538464E-2</v>
      </c>
      <c r="I270" t="str">
        <f>VLOOKUP(Googleadssales[[#This Row],[Ad_ID]],'[1]pre processed data'!A:O,15,0)</f>
        <v>$1454</v>
      </c>
      <c r="J270" s="3">
        <f>VLOOKUP(Googleadssales[[#This Row],[Ad_ID]],'[1]pre processed data'!A:Q,17,0)</f>
        <v>45613</v>
      </c>
      <c r="K270" t="str">
        <f>VLOOKUP(Googleadssales[[#This Row],[Ad_ID]],'[1]pre processed data'!A:R,18,0)</f>
        <v>Chennai</v>
      </c>
      <c r="L270" t="str">
        <f>VLOOKUP(Googleadssales[[#This Row],[Ad_ID]],'[1]pre processed data'!A:S,19,0)</f>
        <v>Desktop</v>
      </c>
      <c r="M270" t="str">
        <f>VLOOKUP(Googleadssales[[#This Row],[Ad_ID]],'[1]pre processed data'!A:T,20,0)</f>
        <v>learn data analytics</v>
      </c>
    </row>
    <row r="271" spans="1:13" x14ac:dyDescent="0.3">
      <c r="A271" t="s">
        <v>284</v>
      </c>
      <c r="B271" t="s">
        <v>14</v>
      </c>
      <c r="C271" s="4">
        <f>VLOOKUP(Googleadssales[[#This Row],[Ad_ID]],'[1]pre processed data'!A:C,3,0)</f>
        <v>178</v>
      </c>
      <c r="D271" s="4">
        <f>VLOOKUP(Googleadssales[[#This Row],[Ad_ID]],'[1]pre processed data'!A:E,5,0)</f>
        <v>5029</v>
      </c>
      <c r="E271" s="5" t="str">
        <f>VLOOKUP(Googleadssales[[#This Row],[Ad_ID]],[1]!Table3[[Ad_ID]:[Cost-imputed]],7,0)</f>
        <v>$189.79</v>
      </c>
      <c r="F271" s="4">
        <f>VLOOKUP(Googleadssales[[#This Row],[Ad_ID]],'[1]pre processed data'!A:I,9,0)</f>
        <v>25</v>
      </c>
      <c r="G271" s="4">
        <f>VLOOKUP(Googleadssales[[#This Row],[Ad_ID]],'[1]pre processed data'!A:K,11,0)</f>
        <v>8</v>
      </c>
      <c r="H271" s="2">
        <f>Googleadssales[[#This Row],[Conversions]]/Googleadssales[[#This Row],[Clicks]]</f>
        <v>4.49438202247191E-2</v>
      </c>
      <c r="I271" t="str">
        <f>VLOOKUP(Googleadssales[[#This Row],[Ad_ID]],'[1]pre processed data'!A:O,15,0)</f>
        <v>$1510</v>
      </c>
      <c r="J271" s="3">
        <f>VLOOKUP(Googleadssales[[#This Row],[Ad_ID]],'[1]pre processed data'!A:Q,17,0)</f>
        <v>45605</v>
      </c>
      <c r="K271" t="str">
        <f>VLOOKUP(Googleadssales[[#This Row],[Ad_ID]],'[1]pre processed data'!A:R,18,0)</f>
        <v>Hyderabad</v>
      </c>
      <c r="L271" t="str">
        <f>VLOOKUP(Googleadssales[[#This Row],[Ad_ID]],'[1]pre processed data'!A:S,19,0)</f>
        <v>Desktop</v>
      </c>
      <c r="M271" t="str">
        <f>VLOOKUP(Googleadssales[[#This Row],[Ad_ID]],'[1]pre processed data'!A:T,20,0)</f>
        <v>data analytics training</v>
      </c>
    </row>
    <row r="272" spans="1:13" x14ac:dyDescent="0.3">
      <c r="A272" t="s">
        <v>285</v>
      </c>
      <c r="B272" t="s">
        <v>14</v>
      </c>
      <c r="C272" s="4">
        <f>VLOOKUP(Googleadssales[[#This Row],[Ad_ID]],'[1]pre processed data'!A:C,3,0)</f>
        <v>196</v>
      </c>
      <c r="D272" s="4">
        <f>VLOOKUP(Googleadssales[[#This Row],[Ad_ID]],'[1]pre processed data'!A:E,5,0)</f>
        <v>5476</v>
      </c>
      <c r="E272" s="5" t="str">
        <f>VLOOKUP(Googleadssales[[#This Row],[Ad_ID]],[1]!Table3[[Ad_ID]:[Cost-imputed]],7,0)</f>
        <v>$204.63</v>
      </c>
      <c r="F272" s="4">
        <f>VLOOKUP(Googleadssales[[#This Row],[Ad_ID]],'[1]pre processed data'!A:I,9,0)</f>
        <v>19</v>
      </c>
      <c r="G272" s="4">
        <f>VLOOKUP(Googleadssales[[#This Row],[Ad_ID]],'[1]pre processed data'!A:K,11,0)</f>
        <v>4</v>
      </c>
      <c r="H272" s="2">
        <f>Googleadssales[[#This Row],[Conversions]]/Googleadssales[[#This Row],[Clicks]]</f>
        <v>2.0408163265306121E-2</v>
      </c>
      <c r="I272" t="str">
        <f>VLOOKUP(Googleadssales[[#This Row],[Ad_ID]],'[1]pre processed data'!A:O,15,0)</f>
        <v>$1288</v>
      </c>
      <c r="J272" s="3">
        <f>VLOOKUP(Googleadssales[[#This Row],[Ad_ID]],'[1]pre processed data'!A:Q,17,0)</f>
        <v>45622</v>
      </c>
      <c r="K272" t="str">
        <f>VLOOKUP(Googleadssales[[#This Row],[Ad_ID]],'[1]pre processed data'!A:R,18,0)</f>
        <v>Hyderabad</v>
      </c>
      <c r="L272" t="str">
        <f>VLOOKUP(Googleadssales[[#This Row],[Ad_ID]],'[1]pre processed data'!A:S,19,0)</f>
        <v>Desktop</v>
      </c>
      <c r="M272" t="str">
        <f>VLOOKUP(Googleadssales[[#This Row],[Ad_ID]],'[1]pre processed data'!A:T,20,0)</f>
        <v>data analytics training</v>
      </c>
    </row>
    <row r="273" spans="1:13" x14ac:dyDescent="0.3">
      <c r="A273" t="s">
        <v>286</v>
      </c>
      <c r="B273" t="s">
        <v>18</v>
      </c>
      <c r="C273" s="4">
        <f>VLOOKUP(Googleadssales[[#This Row],[Ad_ID]],'[1]pre processed data'!A:C,3,0)</f>
        <v>110</v>
      </c>
      <c r="D273" s="4">
        <f>VLOOKUP(Googleadssales[[#This Row],[Ad_ID]],'[1]pre processed data'!A:E,5,0)</f>
        <v>5000</v>
      </c>
      <c r="E273" s="5" t="str">
        <f>VLOOKUP(Googleadssales[[#This Row],[Ad_ID]],[1]!Table3[[Ad_ID]:[Cost-imputed]],7,0)</f>
        <v>$197.89</v>
      </c>
      <c r="F273" s="4">
        <f>VLOOKUP(Googleadssales[[#This Row],[Ad_ID]],'[1]pre processed data'!A:I,9,0)</f>
        <v>18</v>
      </c>
      <c r="G273" s="4">
        <f>VLOOKUP(Googleadssales[[#This Row],[Ad_ID]],'[1]pre processed data'!A:K,11,0)</f>
        <v>3</v>
      </c>
      <c r="H273" s="2">
        <f>Googleadssales[[#This Row],[Conversions]]/Googleadssales[[#This Row],[Clicks]]</f>
        <v>2.7272727272727271E-2</v>
      </c>
      <c r="I273" t="str">
        <f>VLOOKUP(Googleadssales[[#This Row],[Ad_ID]],'[1]pre processed data'!A:O,15,0)</f>
        <v>$1110</v>
      </c>
      <c r="J273" s="3">
        <f>VLOOKUP(Googleadssales[[#This Row],[Ad_ID]],'[1]pre processed data'!A:Q,17,0)</f>
        <v>45608</v>
      </c>
      <c r="K273" t="str">
        <f>VLOOKUP(Googleadssales[[#This Row],[Ad_ID]],'[1]pre processed data'!A:R,18,0)</f>
        <v>Hyderabad</v>
      </c>
      <c r="L273" t="str">
        <f>VLOOKUP(Googleadssales[[#This Row],[Ad_ID]],'[1]pre processed data'!A:S,19,0)</f>
        <v>Desktop</v>
      </c>
      <c r="M273" t="str">
        <f>VLOOKUP(Googleadssales[[#This Row],[Ad_ID]],'[1]pre processed data'!A:T,20,0)</f>
        <v>online data analytic</v>
      </c>
    </row>
    <row r="274" spans="1:13" x14ac:dyDescent="0.3">
      <c r="A274" t="s">
        <v>287</v>
      </c>
      <c r="B274" t="s">
        <v>18</v>
      </c>
      <c r="C274" s="4">
        <f>VLOOKUP(Googleadssales[[#This Row],[Ad_ID]],'[1]pre processed data'!A:C,3,0)</f>
        <v>95</v>
      </c>
      <c r="D274" s="4">
        <f>VLOOKUP(Googleadssales[[#This Row],[Ad_ID]],'[1]pre processed data'!A:E,5,0)</f>
        <v>4141</v>
      </c>
      <c r="E274" s="5" t="str">
        <f>VLOOKUP(Googleadssales[[#This Row],[Ad_ID]],[1]!Table3[[Ad_ID]:[Cost-imputed]],7,0)</f>
        <v>$207.14</v>
      </c>
      <c r="F274" s="4">
        <f>VLOOKUP(Googleadssales[[#This Row],[Ad_ID]],'[1]pre processed data'!A:I,9,0)</f>
        <v>22</v>
      </c>
      <c r="G274" s="4">
        <f>VLOOKUP(Googleadssales[[#This Row],[Ad_ID]],'[1]pre processed data'!A:K,11,0)</f>
        <v>3</v>
      </c>
      <c r="H274" s="2">
        <f>Googleadssales[[#This Row],[Conversions]]/Googleadssales[[#This Row],[Clicks]]</f>
        <v>3.1578947368421054E-2</v>
      </c>
      <c r="I274" t="str">
        <f>VLOOKUP(Googleadssales[[#This Row],[Ad_ID]],'[1]pre processed data'!A:O,15,0)</f>
        <v>$1929</v>
      </c>
      <c r="J274" s="3">
        <f>VLOOKUP(Googleadssales[[#This Row],[Ad_ID]],'[1]pre processed data'!A:Q,17,0)</f>
        <v>45607</v>
      </c>
      <c r="K274" t="str">
        <f>VLOOKUP(Googleadssales[[#This Row],[Ad_ID]],'[1]pre processed data'!A:R,18,0)</f>
        <v>Hyderabad</v>
      </c>
      <c r="L274" t="str">
        <f>VLOOKUP(Googleadssales[[#This Row],[Ad_ID]],'[1]pre processed data'!A:S,19,0)</f>
        <v>Tablet</v>
      </c>
      <c r="M274" t="str">
        <f>VLOOKUP(Googleadssales[[#This Row],[Ad_ID]],'[1]pre processed data'!A:T,20,0)</f>
        <v>learn data analytics</v>
      </c>
    </row>
    <row r="275" spans="1:13" x14ac:dyDescent="0.3">
      <c r="A275" t="s">
        <v>288</v>
      </c>
      <c r="B275" t="s">
        <v>14</v>
      </c>
      <c r="C275" s="4">
        <f>VLOOKUP(Googleadssales[[#This Row],[Ad_ID]],'[1]pre processed data'!A:C,3,0)</f>
        <v>183</v>
      </c>
      <c r="D275" s="4">
        <f>VLOOKUP(Googleadssales[[#This Row],[Ad_ID]],'[1]pre processed data'!A:E,5,0)</f>
        <v>4791</v>
      </c>
      <c r="E275" s="5" t="str">
        <f>VLOOKUP(Googleadssales[[#This Row],[Ad_ID]],[1]!Table3[[Ad_ID]:[Cost-imputed]],7,0)</f>
        <v>$232.97</v>
      </c>
      <c r="F275" s="4">
        <f>VLOOKUP(Googleadssales[[#This Row],[Ad_ID]],'[1]pre processed data'!A:I,9,0)</f>
        <v>27</v>
      </c>
      <c r="G275" s="4">
        <f>VLOOKUP(Googleadssales[[#This Row],[Ad_ID]],'[1]pre processed data'!A:K,11,0)</f>
        <v>5</v>
      </c>
      <c r="H275" s="2">
        <f>Googleadssales[[#This Row],[Conversions]]/Googleadssales[[#This Row],[Clicks]]</f>
        <v>2.7322404371584699E-2</v>
      </c>
      <c r="I275" t="str">
        <f>VLOOKUP(Googleadssales[[#This Row],[Ad_ID]],'[1]pre processed data'!A:O,15,0)</f>
        <v>$1476</v>
      </c>
      <c r="J275" s="3">
        <f>VLOOKUP(Googleadssales[[#This Row],[Ad_ID]],'[1]pre processed data'!A:Q,17,0)</f>
        <v>45617</v>
      </c>
      <c r="K275" t="str">
        <f>VLOOKUP(Googleadssales[[#This Row],[Ad_ID]],'[1]pre processed data'!A:R,18,0)</f>
        <v>Bangaluru</v>
      </c>
      <c r="L275" t="str">
        <f>VLOOKUP(Googleadssales[[#This Row],[Ad_ID]],'[1]pre processed data'!A:S,19,0)</f>
        <v>Desktop</v>
      </c>
      <c r="M275" t="str">
        <f>VLOOKUP(Googleadssales[[#This Row],[Ad_ID]],'[1]pre processed data'!A:T,20,0)</f>
        <v>data analytics online</v>
      </c>
    </row>
    <row r="276" spans="1:13" x14ac:dyDescent="0.3">
      <c r="A276" t="s">
        <v>289</v>
      </c>
      <c r="B276" t="s">
        <v>14</v>
      </c>
      <c r="C276" s="4">
        <f>VLOOKUP(Googleadssales[[#This Row],[Ad_ID]],'[1]pre processed data'!A:C,3,0)</f>
        <v>100</v>
      </c>
      <c r="D276" s="4">
        <f>VLOOKUP(Googleadssales[[#This Row],[Ad_ID]],'[1]pre processed data'!A:E,5,0)</f>
        <v>4168</v>
      </c>
      <c r="E276" s="5" t="str">
        <f>VLOOKUP(Googleadssales[[#This Row],[Ad_ID]],[1]!Table3[[Ad_ID]:[Cost-imputed]],7,0)</f>
        <v>$193.6</v>
      </c>
      <c r="F276" s="4">
        <f>VLOOKUP(Googleadssales[[#This Row],[Ad_ID]],'[1]pre processed data'!A:I,9,0)</f>
        <v>30</v>
      </c>
      <c r="G276" s="4">
        <f>VLOOKUP(Googleadssales[[#This Row],[Ad_ID]],'[1]pre processed data'!A:K,11,0)</f>
        <v>3</v>
      </c>
      <c r="H276" s="2">
        <f>Googleadssales[[#This Row],[Conversions]]/Googleadssales[[#This Row],[Clicks]]</f>
        <v>0.03</v>
      </c>
      <c r="I276" t="str">
        <f>VLOOKUP(Googleadssales[[#This Row],[Ad_ID]],'[1]pre processed data'!A:O,15,0)</f>
        <v>$1692</v>
      </c>
      <c r="J276" s="3">
        <f>VLOOKUP(Googleadssales[[#This Row],[Ad_ID]],'[1]pre processed data'!A:Q,17,0)</f>
        <v>45621</v>
      </c>
      <c r="K276" t="str">
        <f>VLOOKUP(Googleadssales[[#This Row],[Ad_ID]],'[1]pre processed data'!A:R,18,0)</f>
        <v>Hyderabad</v>
      </c>
      <c r="L276" t="str">
        <f>VLOOKUP(Googleadssales[[#This Row],[Ad_ID]],'[1]pre processed data'!A:S,19,0)</f>
        <v>Desktop</v>
      </c>
      <c r="M276" t="str">
        <f>VLOOKUP(Googleadssales[[#This Row],[Ad_ID]],'[1]pre processed data'!A:T,20,0)</f>
        <v>online data analytic</v>
      </c>
    </row>
    <row r="277" spans="1:13" x14ac:dyDescent="0.3">
      <c r="A277" t="s">
        <v>290</v>
      </c>
      <c r="B277" t="s">
        <v>18</v>
      </c>
      <c r="C277" s="4">
        <f>VLOOKUP(Googleadssales[[#This Row],[Ad_ID]],'[1]pre processed data'!A:C,3,0)</f>
        <v>187</v>
      </c>
      <c r="D277" s="4">
        <f>VLOOKUP(Googleadssales[[#This Row],[Ad_ID]],'[1]pre processed data'!A:E,5,0)</f>
        <v>3741</v>
      </c>
      <c r="E277" s="5" t="str">
        <f>VLOOKUP(Googleadssales[[#This Row],[Ad_ID]],[1]!Table3[[Ad_ID]:[Cost-imputed]],7,0)</f>
        <v>$226.11</v>
      </c>
      <c r="F277" s="4">
        <f>VLOOKUP(Googleadssales[[#This Row],[Ad_ID]],'[1]pre processed data'!A:I,9,0)</f>
        <v>27</v>
      </c>
      <c r="G277" s="4">
        <f>VLOOKUP(Googleadssales[[#This Row],[Ad_ID]],'[1]pre processed data'!A:K,11,0)</f>
        <v>10</v>
      </c>
      <c r="H277" s="2">
        <f>Googleadssales[[#This Row],[Conversions]]/Googleadssales[[#This Row],[Clicks]]</f>
        <v>5.3475935828877004E-2</v>
      </c>
      <c r="I277" t="str">
        <f>VLOOKUP(Googleadssales[[#This Row],[Ad_ID]],'[1]pre processed data'!A:O,15,0)</f>
        <v>$1342</v>
      </c>
      <c r="J277" s="3">
        <f>VLOOKUP(Googleadssales[[#This Row],[Ad_ID]],'[1]pre processed data'!A:Q,17,0)</f>
        <v>45610</v>
      </c>
      <c r="K277" t="str">
        <f>VLOOKUP(Googleadssales[[#This Row],[Ad_ID]],'[1]pre processed data'!A:R,18,0)</f>
        <v>Chennai</v>
      </c>
      <c r="L277" t="str">
        <f>VLOOKUP(Googleadssales[[#This Row],[Ad_ID]],'[1]pre processed data'!A:S,19,0)</f>
        <v>Tablet</v>
      </c>
      <c r="M277" t="str">
        <f>VLOOKUP(Googleadssales[[#This Row],[Ad_ID]],'[1]pre processed data'!A:T,20,0)</f>
        <v>learn data analytics</v>
      </c>
    </row>
    <row r="278" spans="1:13" x14ac:dyDescent="0.3">
      <c r="A278" t="s">
        <v>291</v>
      </c>
      <c r="B278" t="s">
        <v>18</v>
      </c>
      <c r="C278" s="4">
        <f>VLOOKUP(Googleadssales[[#This Row],[Ad_ID]],'[1]pre processed data'!A:C,3,0)</f>
        <v>90</v>
      </c>
      <c r="D278" s="4">
        <f>VLOOKUP(Googleadssales[[#This Row],[Ad_ID]],'[1]pre processed data'!A:E,5,0)</f>
        <v>3577</v>
      </c>
      <c r="E278" s="5" t="str">
        <f>VLOOKUP(Googleadssales[[#This Row],[Ad_ID]],[1]!Table3[[Ad_ID]:[Cost-imputed]],7,0)</f>
        <v>$233.54</v>
      </c>
      <c r="F278" s="4">
        <f>VLOOKUP(Googleadssales[[#This Row],[Ad_ID]],'[1]pre processed data'!A:I,9,0)</f>
        <v>24</v>
      </c>
      <c r="G278" s="4">
        <f>VLOOKUP(Googleadssales[[#This Row],[Ad_ID]],'[1]pre processed data'!A:K,11,0)</f>
        <v>5</v>
      </c>
      <c r="H278" s="2">
        <f>Googleadssales[[#This Row],[Conversions]]/Googleadssales[[#This Row],[Clicks]]</f>
        <v>5.5555555555555552E-2</v>
      </c>
      <c r="I278" t="str">
        <f>VLOOKUP(Googleadssales[[#This Row],[Ad_ID]],'[1]pre processed data'!A:O,15,0)</f>
        <v>$1175</v>
      </c>
      <c r="J278" s="3">
        <f>VLOOKUP(Googleadssales[[#This Row],[Ad_ID]],'[1]pre processed data'!A:Q,17,0)</f>
        <v>45610</v>
      </c>
      <c r="K278" t="str">
        <f>VLOOKUP(Googleadssales[[#This Row],[Ad_ID]],'[1]pre processed data'!A:R,18,0)</f>
        <v>Hyderabad</v>
      </c>
      <c r="L278" t="str">
        <f>VLOOKUP(Googleadssales[[#This Row],[Ad_ID]],'[1]pre processed data'!A:S,19,0)</f>
        <v>Tablet</v>
      </c>
      <c r="M278" t="str">
        <f>VLOOKUP(Googleadssales[[#This Row],[Ad_ID]],'[1]pre processed data'!A:T,20,0)</f>
        <v>analytics for data</v>
      </c>
    </row>
    <row r="279" spans="1:13" x14ac:dyDescent="0.3">
      <c r="A279" t="s">
        <v>292</v>
      </c>
      <c r="B279" t="s">
        <v>14</v>
      </c>
      <c r="C279" s="4">
        <f>VLOOKUP(Googleadssales[[#This Row],[Ad_ID]],'[1]pre processed data'!A:C,3,0)</f>
        <v>148</v>
      </c>
      <c r="D279" s="4">
        <f>VLOOKUP(Googleadssales[[#This Row],[Ad_ID]],'[1]pre processed data'!A:E,5,0)</f>
        <v>4469</v>
      </c>
      <c r="E279" s="5" t="str">
        <f>VLOOKUP(Googleadssales[[#This Row],[Ad_ID]],[1]!Table3[[Ad_ID]:[Cost-imputed]],7,0)</f>
        <v>$209.76</v>
      </c>
      <c r="F279" s="4">
        <f>VLOOKUP(Googleadssales[[#This Row],[Ad_ID]],'[1]pre processed data'!A:I,9,0)</f>
        <v>25</v>
      </c>
      <c r="G279" s="4">
        <f>VLOOKUP(Googleadssales[[#This Row],[Ad_ID]],'[1]pre processed data'!A:K,11,0)</f>
        <v>8</v>
      </c>
      <c r="H279" s="2">
        <f>Googleadssales[[#This Row],[Conversions]]/Googleadssales[[#This Row],[Clicks]]</f>
        <v>5.4054054054054057E-2</v>
      </c>
      <c r="I279" t="str">
        <f>VLOOKUP(Googleadssales[[#This Row],[Ad_ID]],'[1]pre processed data'!A:O,15,0)</f>
        <v>$1500</v>
      </c>
      <c r="J279" s="3">
        <f>VLOOKUP(Googleadssales[[#This Row],[Ad_ID]],'[1]pre processed data'!A:Q,17,0)</f>
        <v>45621</v>
      </c>
      <c r="K279" t="str">
        <f>VLOOKUP(Googleadssales[[#This Row],[Ad_ID]],'[1]pre processed data'!A:R,18,0)</f>
        <v>Chennai</v>
      </c>
      <c r="L279" t="str">
        <f>VLOOKUP(Googleadssales[[#This Row],[Ad_ID]],'[1]pre processed data'!A:S,19,0)</f>
        <v>Tablet</v>
      </c>
      <c r="M279" t="str">
        <f>VLOOKUP(Googleadssales[[#This Row],[Ad_ID]],'[1]pre processed data'!A:T,20,0)</f>
        <v>data analytics course</v>
      </c>
    </row>
    <row r="280" spans="1:13" x14ac:dyDescent="0.3">
      <c r="A280" t="s">
        <v>293</v>
      </c>
      <c r="B280" t="s">
        <v>18</v>
      </c>
      <c r="C280" s="4">
        <f>VLOOKUP(Googleadssales[[#This Row],[Ad_ID]],'[1]pre processed data'!A:C,3,0)</f>
        <v>129</v>
      </c>
      <c r="D280" s="4">
        <f>VLOOKUP(Googleadssales[[#This Row],[Ad_ID]],'[1]pre processed data'!A:E,5,0)</f>
        <v>3611</v>
      </c>
      <c r="E280" s="5" t="str">
        <f>VLOOKUP(Googleadssales[[#This Row],[Ad_ID]],[1]!Table3[[Ad_ID]:[Cost-imputed]],7,0)</f>
        <v>$227.82</v>
      </c>
      <c r="F280" s="4">
        <f>VLOOKUP(Googleadssales[[#This Row],[Ad_ID]],'[1]pre processed data'!A:I,9,0)</f>
        <v>11</v>
      </c>
      <c r="G280" s="4">
        <f>VLOOKUP(Googleadssales[[#This Row],[Ad_ID]],'[1]pre processed data'!A:K,11,0)</f>
        <v>7</v>
      </c>
      <c r="H280" s="2">
        <f>Googleadssales[[#This Row],[Conversions]]/Googleadssales[[#This Row],[Clicks]]</f>
        <v>5.4263565891472867E-2</v>
      </c>
      <c r="I280" t="str">
        <f>VLOOKUP(Googleadssales[[#This Row],[Ad_ID]],'[1]pre processed data'!A:O,15,0)</f>
        <v>$1250</v>
      </c>
      <c r="J280" s="3">
        <f>VLOOKUP(Googleadssales[[#This Row],[Ad_ID]],'[1]pre processed data'!A:Q,17,0)</f>
        <v>45618</v>
      </c>
      <c r="K280" t="str">
        <f>VLOOKUP(Googleadssales[[#This Row],[Ad_ID]],'[1]pre processed data'!A:R,18,0)</f>
        <v>Hyderabad</v>
      </c>
      <c r="L280" t="str">
        <f>VLOOKUP(Googleadssales[[#This Row],[Ad_ID]],'[1]pre processed data'!A:S,19,0)</f>
        <v>Tablet</v>
      </c>
      <c r="M280" t="str">
        <f>VLOOKUP(Googleadssales[[#This Row],[Ad_ID]],'[1]pre processed data'!A:T,20,0)</f>
        <v>data analytics training</v>
      </c>
    </row>
    <row r="281" spans="1:13" x14ac:dyDescent="0.3">
      <c r="A281" t="s">
        <v>294</v>
      </c>
      <c r="B281" t="s">
        <v>18</v>
      </c>
      <c r="C281" s="4">
        <f>VLOOKUP(Googleadssales[[#This Row],[Ad_ID]],'[1]pre processed data'!A:C,3,0)</f>
        <v>120</v>
      </c>
      <c r="D281" s="4">
        <f>VLOOKUP(Googleadssales[[#This Row],[Ad_ID]],'[1]pre processed data'!A:E,5,0)</f>
        <v>3947</v>
      </c>
      <c r="E281" s="5" t="str">
        <f>VLOOKUP(Googleadssales[[#This Row],[Ad_ID]],[1]!Table3[[Ad_ID]:[Cost-imputed]],7,0)</f>
        <v>$193.49</v>
      </c>
      <c r="F281" s="4">
        <f>VLOOKUP(Googleadssales[[#This Row],[Ad_ID]],'[1]pre processed data'!A:I,9,0)</f>
        <v>15</v>
      </c>
      <c r="G281" s="4">
        <f>VLOOKUP(Googleadssales[[#This Row],[Ad_ID]],'[1]pre processed data'!A:K,11,0)</f>
        <v>6</v>
      </c>
      <c r="H281" s="2">
        <f>Googleadssales[[#This Row],[Conversions]]/Googleadssales[[#This Row],[Clicks]]</f>
        <v>0.05</v>
      </c>
      <c r="I281" t="str">
        <f>VLOOKUP(Googleadssales[[#This Row],[Ad_ID]],'[1]pre processed data'!A:O,15,0)</f>
        <v>$1305</v>
      </c>
      <c r="J281" s="3">
        <f>VLOOKUP(Googleadssales[[#This Row],[Ad_ID]],'[1]pre processed data'!A:Q,17,0)</f>
        <v>45608</v>
      </c>
      <c r="K281" t="str">
        <f>VLOOKUP(Googleadssales[[#This Row],[Ad_ID]],'[1]pre processed data'!A:R,18,0)</f>
        <v>Bangaluru</v>
      </c>
      <c r="L281" t="str">
        <f>VLOOKUP(Googleadssales[[#This Row],[Ad_ID]],'[1]pre processed data'!A:S,19,0)</f>
        <v>Mobile</v>
      </c>
      <c r="M281" t="str">
        <f>VLOOKUP(Googleadssales[[#This Row],[Ad_ID]],'[1]pre processed data'!A:T,20,0)</f>
        <v>data analytics training</v>
      </c>
    </row>
    <row r="282" spans="1:13" x14ac:dyDescent="0.3">
      <c r="A282" t="s">
        <v>295</v>
      </c>
      <c r="B282" t="s">
        <v>18</v>
      </c>
      <c r="C282" s="4">
        <f>VLOOKUP(Googleadssales[[#This Row],[Ad_ID]],'[1]pre processed data'!A:C,3,0)</f>
        <v>82</v>
      </c>
      <c r="D282" s="4">
        <f>VLOOKUP(Googleadssales[[#This Row],[Ad_ID]],'[1]pre processed data'!A:E,5,0)</f>
        <v>4239</v>
      </c>
      <c r="E282" s="5" t="str">
        <f>VLOOKUP(Googleadssales[[#This Row],[Ad_ID]],[1]!Table3[[Ad_ID]:[Cost-imputed]],7,0)</f>
        <v>$191.75</v>
      </c>
      <c r="F282" s="4">
        <f>VLOOKUP(Googleadssales[[#This Row],[Ad_ID]],'[1]pre processed data'!A:I,9,0)</f>
        <v>23</v>
      </c>
      <c r="G282" s="4">
        <f>VLOOKUP(Googleadssales[[#This Row],[Ad_ID]],'[1]pre processed data'!A:K,11,0)</f>
        <v>8</v>
      </c>
      <c r="H282" s="2">
        <f>Googleadssales[[#This Row],[Conversions]]/Googleadssales[[#This Row],[Clicks]]</f>
        <v>9.7560975609756101E-2</v>
      </c>
      <c r="I282" t="str">
        <f>VLOOKUP(Googleadssales[[#This Row],[Ad_ID]],'[1]pre processed data'!A:O,15,0)</f>
        <v>$1062</v>
      </c>
      <c r="J282" s="3">
        <f>VLOOKUP(Googleadssales[[#This Row],[Ad_ID]],'[1]pre processed data'!A:Q,17,0)</f>
        <v>45618</v>
      </c>
      <c r="K282" t="str">
        <f>VLOOKUP(Googleadssales[[#This Row],[Ad_ID]],'[1]pre processed data'!A:R,18,0)</f>
        <v>Chennai</v>
      </c>
      <c r="L282" t="str">
        <f>VLOOKUP(Googleadssales[[#This Row],[Ad_ID]],'[1]pre processed data'!A:S,19,0)</f>
        <v>Mobile</v>
      </c>
      <c r="M282" t="str">
        <f>VLOOKUP(Googleadssales[[#This Row],[Ad_ID]],'[1]pre processed data'!A:T,20,0)</f>
        <v>learn data analytics</v>
      </c>
    </row>
    <row r="283" spans="1:13" x14ac:dyDescent="0.3">
      <c r="A283" t="s">
        <v>296</v>
      </c>
      <c r="B283" t="s">
        <v>14</v>
      </c>
      <c r="C283" s="4">
        <f>VLOOKUP(Googleadssales[[#This Row],[Ad_ID]],'[1]pre processed data'!A:C,3,0)</f>
        <v>145</v>
      </c>
      <c r="D283" s="4">
        <f>VLOOKUP(Googleadssales[[#This Row],[Ad_ID]],'[1]pre processed data'!A:E,5,0)</f>
        <v>5973</v>
      </c>
      <c r="E283" s="5" t="str">
        <f>VLOOKUP(Googleadssales[[#This Row],[Ad_ID]],[1]!Table3[[Ad_ID]:[Cost-imputed]],7,0)</f>
        <v>$242.16</v>
      </c>
      <c r="F283" s="4">
        <f>VLOOKUP(Googleadssales[[#This Row],[Ad_ID]],'[1]pre processed data'!A:I,9,0)</f>
        <v>12</v>
      </c>
      <c r="G283" s="4">
        <f>VLOOKUP(Googleadssales[[#This Row],[Ad_ID]],'[1]pre processed data'!A:K,11,0)</f>
        <v>7</v>
      </c>
      <c r="H283" s="2">
        <f>Googleadssales[[#This Row],[Conversions]]/Googleadssales[[#This Row],[Clicks]]</f>
        <v>4.8275862068965517E-2</v>
      </c>
      <c r="I283" t="str">
        <f>VLOOKUP(Googleadssales[[#This Row],[Ad_ID]],'[1]pre processed data'!A:O,15,0)</f>
        <v>$1508</v>
      </c>
      <c r="J283" s="3">
        <f>VLOOKUP(Googleadssales[[#This Row],[Ad_ID]],'[1]pre processed data'!A:Q,17,0)</f>
        <v>45610</v>
      </c>
      <c r="K283" t="str">
        <f>VLOOKUP(Googleadssales[[#This Row],[Ad_ID]],'[1]pre processed data'!A:R,18,0)</f>
        <v>Hyderabad</v>
      </c>
      <c r="L283" t="str">
        <f>VLOOKUP(Googleadssales[[#This Row],[Ad_ID]],'[1]pre processed data'!A:S,19,0)</f>
        <v>Tablet</v>
      </c>
      <c r="M283" t="str">
        <f>VLOOKUP(Googleadssales[[#This Row],[Ad_ID]],'[1]pre processed data'!A:T,20,0)</f>
        <v>online data analytic</v>
      </c>
    </row>
    <row r="284" spans="1:13" x14ac:dyDescent="0.3">
      <c r="A284" t="s">
        <v>297</v>
      </c>
      <c r="B284" t="s">
        <v>14</v>
      </c>
      <c r="C284" s="4">
        <f>VLOOKUP(Googleadssales[[#This Row],[Ad_ID]],'[1]pre processed data'!A:C,3,0)</f>
        <v>190</v>
      </c>
      <c r="D284" s="4">
        <f>VLOOKUP(Googleadssales[[#This Row],[Ad_ID]],'[1]pre processed data'!A:E,5,0)</f>
        <v>4525</v>
      </c>
      <c r="E284" s="5" t="str">
        <f>VLOOKUP(Googleadssales[[#This Row],[Ad_ID]],[1]!Table3[[Ad_ID]:[Cost-imputed]],7,0)</f>
        <v>$188.85</v>
      </c>
      <c r="F284" s="4">
        <f>VLOOKUP(Googleadssales[[#This Row],[Ad_ID]],'[1]pre processed data'!A:I,9,0)</f>
        <v>10</v>
      </c>
      <c r="G284" s="4">
        <f>VLOOKUP(Googleadssales[[#This Row],[Ad_ID]],'[1]pre processed data'!A:K,11,0)</f>
        <v>5</v>
      </c>
      <c r="H284" s="2">
        <f>Googleadssales[[#This Row],[Conversions]]/Googleadssales[[#This Row],[Clicks]]</f>
        <v>2.6315789473684209E-2</v>
      </c>
      <c r="I284" t="str">
        <f>VLOOKUP(Googleadssales[[#This Row],[Ad_ID]],'[1]pre processed data'!A:O,15,0)</f>
        <v>$1875</v>
      </c>
      <c r="J284" s="3">
        <f>VLOOKUP(Googleadssales[[#This Row],[Ad_ID]],'[1]pre processed data'!A:Q,17,0)</f>
        <v>45597</v>
      </c>
      <c r="K284" t="str">
        <f>VLOOKUP(Googleadssales[[#This Row],[Ad_ID]],'[1]pre processed data'!A:R,18,0)</f>
        <v>Chennai</v>
      </c>
      <c r="L284" t="str">
        <f>VLOOKUP(Googleadssales[[#This Row],[Ad_ID]],'[1]pre processed data'!A:S,19,0)</f>
        <v>Tablet</v>
      </c>
      <c r="M284" t="str">
        <f>VLOOKUP(Googleadssales[[#This Row],[Ad_ID]],'[1]pre processed data'!A:T,20,0)</f>
        <v>data analytics training</v>
      </c>
    </row>
    <row r="285" spans="1:13" x14ac:dyDescent="0.3">
      <c r="A285" t="s">
        <v>298</v>
      </c>
      <c r="B285" t="s">
        <v>14</v>
      </c>
      <c r="C285" s="4">
        <f>VLOOKUP(Googleadssales[[#This Row],[Ad_ID]],'[1]pre processed data'!A:C,3,0)</f>
        <v>137</v>
      </c>
      <c r="D285" s="4">
        <f>VLOOKUP(Googleadssales[[#This Row],[Ad_ID]],'[1]pre processed data'!A:E,5,0)</f>
        <v>4395</v>
      </c>
      <c r="E285" s="5" t="str">
        <f>VLOOKUP(Googleadssales[[#This Row],[Ad_ID]],[1]!Table3[[Ad_ID]:[Cost-imputed]],7,0)</f>
        <v>$241.58</v>
      </c>
      <c r="F285" s="4">
        <f>VLOOKUP(Googleadssales[[#This Row],[Ad_ID]],'[1]pre processed data'!A:I,9,0)</f>
        <v>24</v>
      </c>
      <c r="G285" s="4">
        <f>VLOOKUP(Googleadssales[[#This Row],[Ad_ID]],'[1]pre processed data'!A:K,11,0)</f>
        <v>4</v>
      </c>
      <c r="H285" s="2">
        <f>Googleadssales[[#This Row],[Conversions]]/Googleadssales[[#This Row],[Clicks]]</f>
        <v>2.9197080291970802E-2</v>
      </c>
      <c r="I285" t="str">
        <f>VLOOKUP(Googleadssales[[#This Row],[Ad_ID]],'[1]pre processed data'!A:O,15,0)</f>
        <v>$1512</v>
      </c>
      <c r="J285" s="3">
        <f>VLOOKUP(Googleadssales[[#This Row],[Ad_ID]],'[1]pre processed data'!A:Q,17,0)</f>
        <v>45602</v>
      </c>
      <c r="K285" t="str">
        <f>VLOOKUP(Googleadssales[[#This Row],[Ad_ID]],'[1]pre processed data'!A:R,18,0)</f>
        <v>Hyderabad</v>
      </c>
      <c r="L285" t="str">
        <f>VLOOKUP(Googleadssales[[#This Row],[Ad_ID]],'[1]pre processed data'!A:S,19,0)</f>
        <v>Desktop</v>
      </c>
      <c r="M285" t="str">
        <f>VLOOKUP(Googleadssales[[#This Row],[Ad_ID]],'[1]pre processed data'!A:T,20,0)</f>
        <v>online data analytic</v>
      </c>
    </row>
    <row r="286" spans="1:13" x14ac:dyDescent="0.3">
      <c r="A286" t="s">
        <v>299</v>
      </c>
      <c r="B286" t="s">
        <v>14</v>
      </c>
      <c r="C286" s="4">
        <f>VLOOKUP(Googleadssales[[#This Row],[Ad_ID]],'[1]pre processed data'!A:C,3,0)</f>
        <v>157</v>
      </c>
      <c r="D286" s="4">
        <f>VLOOKUP(Googleadssales[[#This Row],[Ad_ID]],'[1]pre processed data'!A:E,5,0)</f>
        <v>3047</v>
      </c>
      <c r="E286" s="5" t="str">
        <f>VLOOKUP(Googleadssales[[#This Row],[Ad_ID]],[1]!Table3[[Ad_ID]:[Cost-imputed]],7,0)</f>
        <v>$222.66</v>
      </c>
      <c r="F286" s="4">
        <f>VLOOKUP(Googleadssales[[#This Row],[Ad_ID]],'[1]pre processed data'!A:I,9,0)</f>
        <v>19</v>
      </c>
      <c r="G286" s="4">
        <f>VLOOKUP(Googleadssales[[#This Row],[Ad_ID]],'[1]pre processed data'!A:K,11,0)</f>
        <v>3</v>
      </c>
      <c r="H286" s="2">
        <f>Googleadssales[[#This Row],[Conversions]]/Googleadssales[[#This Row],[Clicks]]</f>
        <v>1.9108280254777069E-2</v>
      </c>
      <c r="I286" t="str">
        <f>VLOOKUP(Googleadssales[[#This Row],[Ad_ID]],'[1]pre processed data'!A:O,15,0)</f>
        <v>$1964</v>
      </c>
      <c r="J286" s="3">
        <f>VLOOKUP(Googleadssales[[#This Row],[Ad_ID]],'[1]pre processed data'!A:Q,17,0)</f>
        <v>45597</v>
      </c>
      <c r="K286" t="str">
        <f>VLOOKUP(Googleadssales[[#This Row],[Ad_ID]],'[1]pre processed data'!A:R,18,0)</f>
        <v>Bangaluru</v>
      </c>
      <c r="L286" t="str">
        <f>VLOOKUP(Googleadssales[[#This Row],[Ad_ID]],'[1]pre processed data'!A:S,19,0)</f>
        <v>Mobile</v>
      </c>
      <c r="M286" t="str">
        <f>VLOOKUP(Googleadssales[[#This Row],[Ad_ID]],'[1]pre processed data'!A:T,20,0)</f>
        <v>data analytics online</v>
      </c>
    </row>
    <row r="287" spans="1:13" x14ac:dyDescent="0.3">
      <c r="A287" t="s">
        <v>300</v>
      </c>
      <c r="B287" t="s">
        <v>14</v>
      </c>
      <c r="C287" s="4">
        <f>VLOOKUP(Googleadssales[[#This Row],[Ad_ID]],'[1]pre processed data'!A:C,3,0)</f>
        <v>105</v>
      </c>
      <c r="D287" s="4">
        <f>VLOOKUP(Googleadssales[[#This Row],[Ad_ID]],'[1]pre processed data'!A:E,5,0)</f>
        <v>5348</v>
      </c>
      <c r="E287" s="5" t="str">
        <f>VLOOKUP(Googleadssales[[#This Row],[Ad_ID]],[1]!Table3[[Ad_ID]:[Cost-imputed]],7,0)</f>
        <v>$226.1</v>
      </c>
      <c r="F287" s="4">
        <f>VLOOKUP(Googleadssales[[#This Row],[Ad_ID]],'[1]pre processed data'!A:I,9,0)</f>
        <v>27</v>
      </c>
      <c r="G287" s="4">
        <f>VLOOKUP(Googleadssales[[#This Row],[Ad_ID]],'[1]pre processed data'!A:K,11,0)</f>
        <v>5</v>
      </c>
      <c r="H287" s="2">
        <f>Googleadssales[[#This Row],[Conversions]]/Googleadssales[[#This Row],[Clicks]]</f>
        <v>4.7619047619047616E-2</v>
      </c>
      <c r="I287" t="str">
        <f>VLOOKUP(Googleadssales[[#This Row],[Ad_ID]],'[1]pre processed data'!A:O,15,0)</f>
        <v>$1003</v>
      </c>
      <c r="J287" s="3">
        <f>VLOOKUP(Googleadssales[[#This Row],[Ad_ID]],'[1]pre processed data'!A:Q,17,0)</f>
        <v>45608</v>
      </c>
      <c r="K287" t="str">
        <f>VLOOKUP(Googleadssales[[#This Row],[Ad_ID]],'[1]pre processed data'!A:R,18,0)</f>
        <v>Hyderabad</v>
      </c>
      <c r="L287" t="str">
        <f>VLOOKUP(Googleadssales[[#This Row],[Ad_ID]],'[1]pre processed data'!A:S,19,0)</f>
        <v>Tablet</v>
      </c>
      <c r="M287" t="str">
        <f>VLOOKUP(Googleadssales[[#This Row],[Ad_ID]],'[1]pre processed data'!A:T,20,0)</f>
        <v>learn data analytics</v>
      </c>
    </row>
    <row r="288" spans="1:13" x14ac:dyDescent="0.3">
      <c r="A288" t="s">
        <v>301</v>
      </c>
      <c r="B288" t="s">
        <v>14</v>
      </c>
      <c r="C288" s="4">
        <f>VLOOKUP(Googleadssales[[#This Row],[Ad_ID]],'[1]pre processed data'!A:C,3,0)</f>
        <v>149</v>
      </c>
      <c r="D288" s="4">
        <f>VLOOKUP(Googleadssales[[#This Row],[Ad_ID]],'[1]pre processed data'!A:E,5,0)</f>
        <v>3101</v>
      </c>
      <c r="E288" s="5" t="str">
        <f>VLOOKUP(Googleadssales[[#This Row],[Ad_ID]],[1]!Table3[[Ad_ID]:[Cost-imputed]],7,0)</f>
        <v>$231.44</v>
      </c>
      <c r="F288" s="4">
        <f>VLOOKUP(Googleadssales[[#This Row],[Ad_ID]],'[1]pre processed data'!A:I,9,0)</f>
        <v>15</v>
      </c>
      <c r="G288" s="4">
        <f>VLOOKUP(Googleadssales[[#This Row],[Ad_ID]],'[1]pre processed data'!A:K,11,0)</f>
        <v>9</v>
      </c>
      <c r="H288" s="2">
        <f>Googleadssales[[#This Row],[Conversions]]/Googleadssales[[#This Row],[Clicks]]</f>
        <v>6.0402684563758392E-2</v>
      </c>
      <c r="I288" t="str">
        <f>VLOOKUP(Googleadssales[[#This Row],[Ad_ID]],'[1]pre processed data'!A:O,15,0)</f>
        <v>$1126</v>
      </c>
      <c r="J288" s="3">
        <f>VLOOKUP(Googleadssales[[#This Row],[Ad_ID]],'[1]pre processed data'!A:Q,17,0)</f>
        <v>45602</v>
      </c>
      <c r="K288" t="str">
        <f>VLOOKUP(Googleadssales[[#This Row],[Ad_ID]],'[1]pre processed data'!A:R,18,0)</f>
        <v>Hyderabad</v>
      </c>
      <c r="L288" t="str">
        <f>VLOOKUP(Googleadssales[[#This Row],[Ad_ID]],'[1]pre processed data'!A:S,19,0)</f>
        <v>Tablet</v>
      </c>
      <c r="M288" t="str">
        <f>VLOOKUP(Googleadssales[[#This Row],[Ad_ID]],'[1]pre processed data'!A:T,20,0)</f>
        <v>data analytics training</v>
      </c>
    </row>
    <row r="289" spans="1:13" x14ac:dyDescent="0.3">
      <c r="A289" t="s">
        <v>302</v>
      </c>
      <c r="B289" t="s">
        <v>14</v>
      </c>
      <c r="C289" s="4">
        <f>VLOOKUP(Googleadssales[[#This Row],[Ad_ID]],'[1]pre processed data'!A:C,3,0)</f>
        <v>159</v>
      </c>
      <c r="D289" s="4">
        <f>VLOOKUP(Googleadssales[[#This Row],[Ad_ID]],'[1]pre processed data'!A:E,5,0)</f>
        <v>3693</v>
      </c>
      <c r="E289" s="5" t="str">
        <f>VLOOKUP(Googleadssales[[#This Row],[Ad_ID]],[1]!Table3[[Ad_ID]:[Cost-imputed]],7,0)</f>
        <v>$187.09</v>
      </c>
      <c r="F289" s="4">
        <f>VLOOKUP(Googleadssales[[#This Row],[Ad_ID]],'[1]pre processed data'!A:I,9,0)</f>
        <v>24</v>
      </c>
      <c r="G289" s="4">
        <f>VLOOKUP(Googleadssales[[#This Row],[Ad_ID]],'[1]pre processed data'!A:K,11,0)</f>
        <v>6</v>
      </c>
      <c r="H289" s="2">
        <f>Googleadssales[[#This Row],[Conversions]]/Googleadssales[[#This Row],[Clicks]]</f>
        <v>3.7735849056603772E-2</v>
      </c>
      <c r="I289" t="str">
        <f>VLOOKUP(Googleadssales[[#This Row],[Ad_ID]],'[1]pre processed data'!A:O,15,0)</f>
        <v>$1256</v>
      </c>
      <c r="J289" s="3">
        <f>VLOOKUP(Googleadssales[[#This Row],[Ad_ID]],'[1]pre processed data'!A:Q,17,0)</f>
        <v>45620</v>
      </c>
      <c r="K289" t="str">
        <f>VLOOKUP(Googleadssales[[#This Row],[Ad_ID]],'[1]pre processed data'!A:R,18,0)</f>
        <v>Hyderabad</v>
      </c>
      <c r="L289" t="str">
        <f>VLOOKUP(Googleadssales[[#This Row],[Ad_ID]],'[1]pre processed data'!A:S,19,0)</f>
        <v>Desktop</v>
      </c>
      <c r="M289" t="str">
        <f>VLOOKUP(Googleadssales[[#This Row],[Ad_ID]],'[1]pre processed data'!A:T,20,0)</f>
        <v>learn data analytics</v>
      </c>
    </row>
    <row r="290" spans="1:13" x14ac:dyDescent="0.3">
      <c r="A290" t="s">
        <v>303</v>
      </c>
      <c r="B290" t="s">
        <v>14</v>
      </c>
      <c r="C290" s="4">
        <f>VLOOKUP(Googleadssales[[#This Row],[Ad_ID]],'[1]pre processed data'!A:C,3,0)</f>
        <v>150</v>
      </c>
      <c r="D290" s="4">
        <f>VLOOKUP(Googleadssales[[#This Row],[Ad_ID]],'[1]pre processed data'!A:E,5,0)</f>
        <v>5590</v>
      </c>
      <c r="E290" s="5" t="str">
        <f>VLOOKUP(Googleadssales[[#This Row],[Ad_ID]],[1]!Table3[[Ad_ID]:[Cost-imputed]],7,0)</f>
        <v>$200.00</v>
      </c>
      <c r="F290" s="4">
        <f>VLOOKUP(Googleadssales[[#This Row],[Ad_ID]],'[1]pre processed data'!A:I,9,0)</f>
        <v>20</v>
      </c>
      <c r="G290" s="4">
        <f>VLOOKUP(Googleadssales[[#This Row],[Ad_ID]],'[1]pre processed data'!A:K,11,0)</f>
        <v>8</v>
      </c>
      <c r="H290" s="2">
        <f>Googleadssales[[#This Row],[Conversions]]/Googleadssales[[#This Row],[Clicks]]</f>
        <v>5.3333333333333337E-2</v>
      </c>
      <c r="I290" t="str">
        <f>VLOOKUP(Googleadssales[[#This Row],[Ad_ID]],'[1]pre processed data'!A:O,15,0)</f>
        <v>$1286</v>
      </c>
      <c r="J290" s="3">
        <f>VLOOKUP(Googleadssales[[#This Row],[Ad_ID]],'[1]pre processed data'!A:Q,17,0)</f>
        <v>45598</v>
      </c>
      <c r="K290" t="str">
        <f>VLOOKUP(Googleadssales[[#This Row],[Ad_ID]],'[1]pre processed data'!A:R,18,0)</f>
        <v>Bangaluru</v>
      </c>
      <c r="L290" t="str">
        <f>VLOOKUP(Googleadssales[[#This Row],[Ad_ID]],'[1]pre processed data'!A:S,19,0)</f>
        <v>Mobile</v>
      </c>
      <c r="M290" t="str">
        <f>VLOOKUP(Googleadssales[[#This Row],[Ad_ID]],'[1]pre processed data'!A:T,20,0)</f>
        <v>data analytics course</v>
      </c>
    </row>
    <row r="291" spans="1:13" x14ac:dyDescent="0.3">
      <c r="A291" t="s">
        <v>304</v>
      </c>
      <c r="B291" t="s">
        <v>14</v>
      </c>
      <c r="C291" s="4">
        <f>VLOOKUP(Googleadssales[[#This Row],[Ad_ID]],'[1]pre processed data'!A:C,3,0)</f>
        <v>138.95699356913184</v>
      </c>
      <c r="D291" s="4">
        <f>VLOOKUP(Googleadssales[[#This Row],[Ad_ID]],'[1]pre processed data'!A:E,5,0)</f>
        <v>5277</v>
      </c>
      <c r="E291" s="5" t="str">
        <f>VLOOKUP(Googleadssales[[#This Row],[Ad_ID]],[1]!Table3[[Ad_ID]:[Cost-imputed]],7,0)</f>
        <v>$227.46</v>
      </c>
      <c r="F291" s="4">
        <f>VLOOKUP(Googleadssales[[#This Row],[Ad_ID]],'[1]pre processed data'!A:I,9,0)</f>
        <v>10</v>
      </c>
      <c r="G291" s="4">
        <f>VLOOKUP(Googleadssales[[#This Row],[Ad_ID]],'[1]pre processed data'!A:K,11,0)</f>
        <v>5</v>
      </c>
      <c r="H291" s="2">
        <f>Googleadssales[[#This Row],[Conversions]]/Googleadssales[[#This Row],[Clicks]]</f>
        <v>3.5982355918721523E-2</v>
      </c>
      <c r="I291" t="str">
        <f>VLOOKUP(Googleadssales[[#This Row],[Ad_ID]],'[1]pre processed data'!A:O,15,0)</f>
        <v>$1541</v>
      </c>
      <c r="J291" s="3">
        <f>VLOOKUP(Googleadssales[[#This Row],[Ad_ID]],'[1]pre processed data'!A:Q,17,0)</f>
        <v>45611</v>
      </c>
      <c r="K291" t="str">
        <f>VLOOKUP(Googleadssales[[#This Row],[Ad_ID]],'[1]pre processed data'!A:R,18,0)</f>
        <v>Hyderabad</v>
      </c>
      <c r="L291" t="str">
        <f>VLOOKUP(Googleadssales[[#This Row],[Ad_ID]],'[1]pre processed data'!A:S,19,0)</f>
        <v>Tablet</v>
      </c>
      <c r="M291" t="str">
        <f>VLOOKUP(Googleadssales[[#This Row],[Ad_ID]],'[1]pre processed data'!A:T,20,0)</f>
        <v>data analytics online</v>
      </c>
    </row>
    <row r="292" spans="1:13" x14ac:dyDescent="0.3">
      <c r="A292" t="s">
        <v>305</v>
      </c>
      <c r="B292" t="s">
        <v>14</v>
      </c>
      <c r="C292" s="4">
        <f>VLOOKUP(Googleadssales[[#This Row],[Ad_ID]],'[1]pre processed data'!A:C,3,0)</f>
        <v>98</v>
      </c>
      <c r="D292" s="4">
        <f>VLOOKUP(Googleadssales[[#This Row],[Ad_ID]],'[1]pre processed data'!A:E,5,0)</f>
        <v>4653</v>
      </c>
      <c r="E292" s="5" t="str">
        <f>VLOOKUP(Googleadssales[[#This Row],[Ad_ID]],[1]!Table3[[Ad_ID]:[Cost-imputed]],7,0)</f>
        <v>$205.84</v>
      </c>
      <c r="F292" s="4">
        <f>VLOOKUP(Googleadssales[[#This Row],[Ad_ID]],'[1]pre processed data'!A:I,9,0)</f>
        <v>29</v>
      </c>
      <c r="G292" s="4">
        <f>VLOOKUP(Googleadssales[[#This Row],[Ad_ID]],'[1]pre processed data'!A:K,11,0)</f>
        <v>5</v>
      </c>
      <c r="H292" s="2">
        <f>Googleadssales[[#This Row],[Conversions]]/Googleadssales[[#This Row],[Clicks]]</f>
        <v>5.1020408163265307E-2</v>
      </c>
      <c r="I292" t="str">
        <f>VLOOKUP(Googleadssales[[#This Row],[Ad_ID]],'[1]pre processed data'!A:O,15,0)</f>
        <v>$1866</v>
      </c>
      <c r="J292" s="3">
        <f>VLOOKUP(Googleadssales[[#This Row],[Ad_ID]],'[1]pre processed data'!A:Q,17,0)</f>
        <v>45598</v>
      </c>
      <c r="K292" t="str">
        <f>VLOOKUP(Googleadssales[[#This Row],[Ad_ID]],'[1]pre processed data'!A:R,18,0)</f>
        <v>Chennai</v>
      </c>
      <c r="L292" t="str">
        <f>VLOOKUP(Googleadssales[[#This Row],[Ad_ID]],'[1]pre processed data'!A:S,19,0)</f>
        <v>Mobile</v>
      </c>
      <c r="M292" t="str">
        <f>VLOOKUP(Googleadssales[[#This Row],[Ad_ID]],'[1]pre processed data'!A:T,20,0)</f>
        <v>data analytics online</v>
      </c>
    </row>
    <row r="293" spans="1:13" x14ac:dyDescent="0.3">
      <c r="A293" t="s">
        <v>306</v>
      </c>
      <c r="B293" t="s">
        <v>14</v>
      </c>
      <c r="C293" s="4">
        <f>VLOOKUP(Googleadssales[[#This Row],[Ad_ID]],'[1]pre processed data'!A:C,3,0)</f>
        <v>86</v>
      </c>
      <c r="D293" s="4">
        <f>VLOOKUP(Googleadssales[[#This Row],[Ad_ID]],'[1]pre processed data'!A:E,5,0)</f>
        <v>3513</v>
      </c>
      <c r="E293" s="5" t="str">
        <f>VLOOKUP(Googleadssales[[#This Row],[Ad_ID]],[1]!Table3[[Ad_ID]:[Cost-imputed]],7,0)</f>
        <v>$211.16</v>
      </c>
      <c r="F293" s="4">
        <f>VLOOKUP(Googleadssales[[#This Row],[Ad_ID]],'[1]pre processed data'!A:I,9,0)</f>
        <v>22</v>
      </c>
      <c r="G293" s="4">
        <f>VLOOKUP(Googleadssales[[#This Row],[Ad_ID]],'[1]pre processed data'!A:K,11,0)</f>
        <v>7</v>
      </c>
      <c r="H293" s="2">
        <f>Googleadssales[[#This Row],[Conversions]]/Googleadssales[[#This Row],[Clicks]]</f>
        <v>8.1395348837209308E-2</v>
      </c>
      <c r="I293" t="str">
        <f>VLOOKUP(Googleadssales[[#This Row],[Ad_ID]],'[1]pre processed data'!A:O,15,0)</f>
        <v>$1917</v>
      </c>
      <c r="J293" s="3">
        <f>VLOOKUP(Googleadssales[[#This Row],[Ad_ID]],'[1]pre processed data'!A:Q,17,0)</f>
        <v>45606</v>
      </c>
      <c r="K293" t="str">
        <f>VLOOKUP(Googleadssales[[#This Row],[Ad_ID]],'[1]pre processed data'!A:R,18,0)</f>
        <v>Hyderabad</v>
      </c>
      <c r="L293" t="str">
        <f>VLOOKUP(Googleadssales[[#This Row],[Ad_ID]],'[1]pre processed data'!A:S,19,0)</f>
        <v>Desktop</v>
      </c>
      <c r="M293" t="str">
        <f>VLOOKUP(Googleadssales[[#This Row],[Ad_ID]],'[1]pre processed data'!A:T,20,0)</f>
        <v>data analytics course</v>
      </c>
    </row>
    <row r="294" spans="1:13" x14ac:dyDescent="0.3">
      <c r="A294" t="s">
        <v>307</v>
      </c>
      <c r="B294" t="s">
        <v>14</v>
      </c>
      <c r="C294" s="4">
        <f>VLOOKUP(Googleadssales[[#This Row],[Ad_ID]],'[1]pre processed data'!A:C,3,0)</f>
        <v>128</v>
      </c>
      <c r="D294" s="4">
        <f>VLOOKUP(Googleadssales[[#This Row],[Ad_ID]],'[1]pre processed data'!A:E,5,0)</f>
        <v>5772</v>
      </c>
      <c r="E294" s="5" t="str">
        <f>VLOOKUP(Googleadssales[[#This Row],[Ad_ID]],[1]!Table3[[Ad_ID]:[Cost-imputed]],7,0)</f>
        <v>$235.54</v>
      </c>
      <c r="F294" s="4">
        <f>VLOOKUP(Googleadssales[[#This Row],[Ad_ID]],'[1]pre processed data'!A:I,9,0)</f>
        <v>20</v>
      </c>
      <c r="G294" s="4">
        <f>VLOOKUP(Googleadssales[[#This Row],[Ad_ID]],'[1]pre processed data'!A:K,11,0)</f>
        <v>10</v>
      </c>
      <c r="H294" s="2">
        <f>Googleadssales[[#This Row],[Conversions]]/Googleadssales[[#This Row],[Clicks]]</f>
        <v>7.8125E-2</v>
      </c>
      <c r="I294" t="str">
        <f>VLOOKUP(Googleadssales[[#This Row],[Ad_ID]],'[1]pre processed data'!A:O,15,0)</f>
        <v>$1215</v>
      </c>
      <c r="J294" s="3">
        <f>VLOOKUP(Googleadssales[[#This Row],[Ad_ID]],'[1]pre processed data'!A:Q,17,0)</f>
        <v>45600</v>
      </c>
      <c r="K294" t="str">
        <f>VLOOKUP(Googleadssales[[#This Row],[Ad_ID]],'[1]pre processed data'!A:R,18,0)</f>
        <v>Hyderabad</v>
      </c>
      <c r="L294" t="str">
        <f>VLOOKUP(Googleadssales[[#This Row],[Ad_ID]],'[1]pre processed data'!A:S,19,0)</f>
        <v>Desktop</v>
      </c>
      <c r="M294" t="str">
        <f>VLOOKUP(Googleadssales[[#This Row],[Ad_ID]],'[1]pre processed data'!A:T,20,0)</f>
        <v>data analytics training</v>
      </c>
    </row>
    <row r="295" spans="1:13" x14ac:dyDescent="0.3">
      <c r="A295" t="s">
        <v>308</v>
      </c>
      <c r="B295" t="s">
        <v>14</v>
      </c>
      <c r="C295" s="4">
        <f>VLOOKUP(Googleadssales[[#This Row],[Ad_ID]],'[1]pre processed data'!A:C,3,0)</f>
        <v>105</v>
      </c>
      <c r="D295" s="4">
        <f>VLOOKUP(Googleadssales[[#This Row],[Ad_ID]],'[1]pre processed data'!A:E,5,0)</f>
        <v>5840</v>
      </c>
      <c r="E295" s="5" t="str">
        <f>VLOOKUP(Googleadssales[[#This Row],[Ad_ID]],[1]!Table3[[Ad_ID]:[Cost-imputed]],7,0)</f>
        <v>$236.56</v>
      </c>
      <c r="F295" s="4">
        <f>VLOOKUP(Googleadssales[[#This Row],[Ad_ID]],'[1]pre processed data'!A:I,9,0)</f>
        <v>22</v>
      </c>
      <c r="G295" s="4">
        <f>VLOOKUP(Googleadssales[[#This Row],[Ad_ID]],'[1]pre processed data'!A:K,11,0)</f>
        <v>8</v>
      </c>
      <c r="H295" s="2">
        <f>Googleadssales[[#This Row],[Conversions]]/Googleadssales[[#This Row],[Clicks]]</f>
        <v>7.6190476190476197E-2</v>
      </c>
      <c r="I295" t="str">
        <f>VLOOKUP(Googleadssales[[#This Row],[Ad_ID]],'[1]pre processed data'!A:O,15,0)</f>
        <v>$1811</v>
      </c>
      <c r="J295" s="3">
        <f>VLOOKUP(Googleadssales[[#This Row],[Ad_ID]],'[1]pre processed data'!A:Q,17,0)</f>
        <v>45620</v>
      </c>
      <c r="K295" t="str">
        <f>VLOOKUP(Googleadssales[[#This Row],[Ad_ID]],'[1]pre processed data'!A:R,18,0)</f>
        <v>Bangaluru</v>
      </c>
      <c r="L295" t="str">
        <f>VLOOKUP(Googleadssales[[#This Row],[Ad_ID]],'[1]pre processed data'!A:S,19,0)</f>
        <v>Tablet</v>
      </c>
      <c r="M295" t="str">
        <f>VLOOKUP(Googleadssales[[#This Row],[Ad_ID]],'[1]pre processed data'!A:T,20,0)</f>
        <v>data analytics course</v>
      </c>
    </row>
    <row r="296" spans="1:13" x14ac:dyDescent="0.3">
      <c r="A296" t="s">
        <v>309</v>
      </c>
      <c r="B296" t="s">
        <v>14</v>
      </c>
      <c r="C296" s="4">
        <f>VLOOKUP(Googleadssales[[#This Row],[Ad_ID]],'[1]pre processed data'!A:C,3,0)</f>
        <v>90</v>
      </c>
      <c r="D296" s="4">
        <f>VLOOKUP(Googleadssales[[#This Row],[Ad_ID]],'[1]pre processed data'!A:E,5,0)</f>
        <v>4523.2808326787117</v>
      </c>
      <c r="E296" s="5" t="str">
        <f>VLOOKUP(Googleadssales[[#This Row],[Ad_ID]],[1]!Table3[[Ad_ID]:[Cost-imputed]],7,0)</f>
        <v>$249.0</v>
      </c>
      <c r="F296" s="4">
        <f>VLOOKUP(Googleadssales[[#This Row],[Ad_ID]],'[1]pre processed data'!A:I,9,0)</f>
        <v>21</v>
      </c>
      <c r="G296" s="4">
        <f>VLOOKUP(Googleadssales[[#This Row],[Ad_ID]],'[1]pre processed data'!A:K,11,0)</f>
        <v>10</v>
      </c>
      <c r="H296" s="2">
        <f>Googleadssales[[#This Row],[Conversions]]/Googleadssales[[#This Row],[Clicks]]</f>
        <v>0.1111111111111111</v>
      </c>
      <c r="I296" t="str">
        <f>VLOOKUP(Googleadssales[[#This Row],[Ad_ID]],'[1]pre processed data'!A:O,15,0)</f>
        <v>$1245</v>
      </c>
      <c r="J296" s="3">
        <f>VLOOKUP(Googleadssales[[#This Row],[Ad_ID]],'[1]pre processed data'!A:Q,17,0)</f>
        <v>45615</v>
      </c>
      <c r="K296" t="str">
        <f>VLOOKUP(Googleadssales[[#This Row],[Ad_ID]],'[1]pre processed data'!A:R,18,0)</f>
        <v>Hyderabad</v>
      </c>
      <c r="L296" t="str">
        <f>VLOOKUP(Googleadssales[[#This Row],[Ad_ID]],'[1]pre processed data'!A:S,19,0)</f>
        <v>Mobile</v>
      </c>
      <c r="M296" t="str">
        <f>VLOOKUP(Googleadssales[[#This Row],[Ad_ID]],'[1]pre processed data'!A:T,20,0)</f>
        <v>data analytics course</v>
      </c>
    </row>
    <row r="297" spans="1:13" x14ac:dyDescent="0.3">
      <c r="A297" t="s">
        <v>310</v>
      </c>
      <c r="B297" t="s">
        <v>14</v>
      </c>
      <c r="C297" s="4">
        <f>VLOOKUP(Googleadssales[[#This Row],[Ad_ID]],'[1]pre processed data'!A:C,3,0)</f>
        <v>89</v>
      </c>
      <c r="D297" s="4">
        <f>VLOOKUP(Googleadssales[[#This Row],[Ad_ID]],'[1]pre processed data'!A:E,5,0)</f>
        <v>5158</v>
      </c>
      <c r="E297" s="5" t="str">
        <f>VLOOKUP(Googleadssales[[#This Row],[Ad_ID]],[1]!Table3[[Ad_ID]:[Cost-imputed]],7,0)</f>
        <v>$211.76</v>
      </c>
      <c r="F297" s="4">
        <f>VLOOKUP(Googleadssales[[#This Row],[Ad_ID]],'[1]pre processed data'!A:I,9,0)</f>
        <v>20</v>
      </c>
      <c r="G297" s="4">
        <f>VLOOKUP(Googleadssales[[#This Row],[Ad_ID]],'[1]pre processed data'!A:K,11,0)</f>
        <v>5</v>
      </c>
      <c r="H297" s="2">
        <f>Googleadssales[[#This Row],[Conversions]]/Googleadssales[[#This Row],[Clicks]]</f>
        <v>5.6179775280898875E-2</v>
      </c>
      <c r="I297" t="str">
        <f>VLOOKUP(Googleadssales[[#This Row],[Ad_ID]],'[1]pre processed data'!A:O,15,0)</f>
        <v>$1119</v>
      </c>
      <c r="J297" s="3">
        <f>VLOOKUP(Googleadssales[[#This Row],[Ad_ID]],'[1]pre processed data'!A:Q,17,0)</f>
        <v>45617</v>
      </c>
      <c r="K297" t="str">
        <f>VLOOKUP(Googleadssales[[#This Row],[Ad_ID]],'[1]pre processed data'!A:R,18,0)</f>
        <v>Hyderabad</v>
      </c>
      <c r="L297" t="str">
        <f>VLOOKUP(Googleadssales[[#This Row],[Ad_ID]],'[1]pre processed data'!A:S,19,0)</f>
        <v>Desktop</v>
      </c>
      <c r="M297" t="str">
        <f>VLOOKUP(Googleadssales[[#This Row],[Ad_ID]],'[1]pre processed data'!A:T,20,0)</f>
        <v>online data analytic</v>
      </c>
    </row>
    <row r="298" spans="1:13" x14ac:dyDescent="0.3">
      <c r="A298" t="s">
        <v>311</v>
      </c>
      <c r="B298" t="s">
        <v>14</v>
      </c>
      <c r="C298" s="4">
        <f>VLOOKUP(Googleadssales[[#This Row],[Ad_ID]],'[1]pre processed data'!A:C,3,0)</f>
        <v>119</v>
      </c>
      <c r="D298" s="4">
        <f>VLOOKUP(Googleadssales[[#This Row],[Ad_ID]],'[1]pre processed data'!A:E,5,0)</f>
        <v>3489</v>
      </c>
      <c r="E298" s="5" t="str">
        <f>VLOOKUP(Googleadssales[[#This Row],[Ad_ID]],[1]!Table3[[Ad_ID]:[Cost-imputed]],7,0)</f>
        <v>$194.36</v>
      </c>
      <c r="F298" s="4">
        <f>VLOOKUP(Googleadssales[[#This Row],[Ad_ID]],'[1]pre processed data'!A:I,9,0)</f>
        <v>14</v>
      </c>
      <c r="G298" s="4">
        <f>VLOOKUP(Googleadssales[[#This Row],[Ad_ID]],'[1]pre processed data'!A:K,11,0)</f>
        <v>3</v>
      </c>
      <c r="H298" s="2">
        <f>Googleadssales[[#This Row],[Conversions]]/Googleadssales[[#This Row],[Clicks]]</f>
        <v>2.5210084033613446E-2</v>
      </c>
      <c r="I298" t="str">
        <f>VLOOKUP(Googleadssales[[#This Row],[Ad_ID]],'[1]pre processed data'!A:O,15,0)</f>
        <v>$1633</v>
      </c>
      <c r="J298" s="3">
        <f>VLOOKUP(Googleadssales[[#This Row],[Ad_ID]],'[1]pre processed data'!A:Q,17,0)</f>
        <v>45606</v>
      </c>
      <c r="K298" t="str">
        <f>VLOOKUP(Googleadssales[[#This Row],[Ad_ID]],'[1]pre processed data'!A:R,18,0)</f>
        <v>Hyderabad</v>
      </c>
      <c r="L298" t="str">
        <f>VLOOKUP(Googleadssales[[#This Row],[Ad_ID]],'[1]pre processed data'!A:S,19,0)</f>
        <v>Mobile</v>
      </c>
      <c r="M298" t="str">
        <f>VLOOKUP(Googleadssales[[#This Row],[Ad_ID]],'[1]pre processed data'!A:T,20,0)</f>
        <v>data analytics course</v>
      </c>
    </row>
    <row r="299" spans="1:13" x14ac:dyDescent="0.3">
      <c r="A299" t="s">
        <v>312</v>
      </c>
      <c r="B299" t="s">
        <v>14</v>
      </c>
      <c r="C299" s="4">
        <f>VLOOKUP(Googleadssales[[#This Row],[Ad_ID]],'[1]pre processed data'!A:C,3,0)</f>
        <v>173</v>
      </c>
      <c r="D299" s="4">
        <f>VLOOKUP(Googleadssales[[#This Row],[Ad_ID]],'[1]pre processed data'!A:E,5,0)</f>
        <v>3977</v>
      </c>
      <c r="E299" s="5" t="str">
        <f>VLOOKUP(Googleadssales[[#This Row],[Ad_ID]],[1]!Table3[[Ad_ID]:[Cost-imputed]],7,0)</f>
        <v>$229.82</v>
      </c>
      <c r="F299" s="4">
        <f>VLOOKUP(Googleadssales[[#This Row],[Ad_ID]],'[1]pre processed data'!A:I,9,0)</f>
        <v>30</v>
      </c>
      <c r="G299" s="4">
        <f>VLOOKUP(Googleadssales[[#This Row],[Ad_ID]],'[1]pre processed data'!A:K,11,0)</f>
        <v>5</v>
      </c>
      <c r="H299" s="2">
        <f>Googleadssales[[#This Row],[Conversions]]/Googleadssales[[#This Row],[Clicks]]</f>
        <v>2.8901734104046242E-2</v>
      </c>
      <c r="I299" t="str">
        <f>VLOOKUP(Googleadssales[[#This Row],[Ad_ID]],'[1]pre processed data'!A:O,15,0)</f>
        <v>$1584</v>
      </c>
      <c r="J299" s="3">
        <f>VLOOKUP(Googleadssales[[#This Row],[Ad_ID]],'[1]pre processed data'!A:Q,17,0)</f>
        <v>45618</v>
      </c>
      <c r="K299" t="str">
        <f>VLOOKUP(Googleadssales[[#This Row],[Ad_ID]],'[1]pre processed data'!A:R,18,0)</f>
        <v>Hyderabad</v>
      </c>
      <c r="L299" t="str">
        <f>VLOOKUP(Googleadssales[[#This Row],[Ad_ID]],'[1]pre processed data'!A:S,19,0)</f>
        <v>Desktop</v>
      </c>
      <c r="M299" t="str">
        <f>VLOOKUP(Googleadssales[[#This Row],[Ad_ID]],'[1]pre processed data'!A:T,20,0)</f>
        <v>learn data analytics</v>
      </c>
    </row>
    <row r="300" spans="1:13" x14ac:dyDescent="0.3">
      <c r="A300" t="s">
        <v>313</v>
      </c>
      <c r="B300" t="s">
        <v>14</v>
      </c>
      <c r="C300" s="4">
        <f>VLOOKUP(Googleadssales[[#This Row],[Ad_ID]],'[1]pre processed data'!A:C,3,0)</f>
        <v>95</v>
      </c>
      <c r="D300" s="4">
        <f>VLOOKUP(Googleadssales[[#This Row],[Ad_ID]],'[1]pre processed data'!A:E,5,0)</f>
        <v>3397</v>
      </c>
      <c r="E300" s="5" t="str">
        <f>VLOOKUP(Googleadssales[[#This Row],[Ad_ID]],[1]!Table3[[Ad_ID]:[Cost-imputed]],7,0)</f>
        <v>$181.89</v>
      </c>
      <c r="F300" s="4">
        <f>VLOOKUP(Googleadssales[[#This Row],[Ad_ID]],'[1]pre processed data'!A:I,9,0)</f>
        <v>19.951727192205492</v>
      </c>
      <c r="G300" s="4">
        <f>VLOOKUP(Googleadssales[[#This Row],[Ad_ID]],'[1]pre processed data'!A:K,11,0)</f>
        <v>7</v>
      </c>
      <c r="H300" s="2">
        <f>Googleadssales[[#This Row],[Conversions]]/Googleadssales[[#This Row],[Clicks]]</f>
        <v>7.3684210526315783E-2</v>
      </c>
      <c r="I300" t="str">
        <f>VLOOKUP(Googleadssales[[#This Row],[Ad_ID]],'[1]pre processed data'!A:O,15,0)</f>
        <v>$1560</v>
      </c>
      <c r="J300" s="3">
        <f>VLOOKUP(Googleadssales[[#This Row],[Ad_ID]],'[1]pre processed data'!A:Q,17,0)</f>
        <v>45623</v>
      </c>
      <c r="K300" t="str">
        <f>VLOOKUP(Googleadssales[[#This Row],[Ad_ID]],'[1]pre processed data'!A:R,18,0)</f>
        <v>Hyderabad</v>
      </c>
      <c r="L300" t="str">
        <f>VLOOKUP(Googleadssales[[#This Row],[Ad_ID]],'[1]pre processed data'!A:S,19,0)</f>
        <v>Tablet</v>
      </c>
      <c r="M300" t="str">
        <f>VLOOKUP(Googleadssales[[#This Row],[Ad_ID]],'[1]pre processed data'!A:T,20,0)</f>
        <v>data analytics course</v>
      </c>
    </row>
    <row r="301" spans="1:13" x14ac:dyDescent="0.3">
      <c r="A301" t="s">
        <v>314</v>
      </c>
      <c r="B301" t="s">
        <v>14</v>
      </c>
      <c r="C301" s="4">
        <f>VLOOKUP(Googleadssales[[#This Row],[Ad_ID]],'[1]pre processed data'!A:C,3,0)</f>
        <v>112</v>
      </c>
      <c r="D301" s="4">
        <f>VLOOKUP(Googleadssales[[#This Row],[Ad_ID]],'[1]pre processed data'!A:E,5,0)</f>
        <v>5194</v>
      </c>
      <c r="E301" s="5" t="str">
        <f>VLOOKUP(Googleadssales[[#This Row],[Ad_ID]],[1]!Table3[[Ad_ID]:[Cost-imputed]],7,0)</f>
        <v>$245.97</v>
      </c>
      <c r="F301" s="4">
        <f>VLOOKUP(Googleadssales[[#This Row],[Ad_ID]],'[1]pre processed data'!A:I,9,0)</f>
        <v>10</v>
      </c>
      <c r="G301" s="4">
        <f>VLOOKUP(Googleadssales[[#This Row],[Ad_ID]],'[1]pre processed data'!A:K,11,0)</f>
        <v>5</v>
      </c>
      <c r="H301" s="2">
        <f>Googleadssales[[#This Row],[Conversions]]/Googleadssales[[#This Row],[Clicks]]</f>
        <v>4.4642857142857144E-2</v>
      </c>
      <c r="I301" t="str">
        <f>VLOOKUP(Googleadssales[[#This Row],[Ad_ID]],'[1]pre processed data'!A:O,15,0)</f>
        <v>$1016</v>
      </c>
      <c r="J301" s="3">
        <f>VLOOKUP(Googleadssales[[#This Row],[Ad_ID]],'[1]pre processed data'!A:Q,17,0)</f>
        <v>45617</v>
      </c>
      <c r="K301" t="str">
        <f>VLOOKUP(Googleadssales[[#This Row],[Ad_ID]],'[1]pre processed data'!A:R,18,0)</f>
        <v>Bangaluru</v>
      </c>
      <c r="L301" t="str">
        <f>VLOOKUP(Googleadssales[[#This Row],[Ad_ID]],'[1]pre processed data'!A:S,19,0)</f>
        <v>Tablet</v>
      </c>
      <c r="M301" t="str">
        <f>VLOOKUP(Googleadssales[[#This Row],[Ad_ID]],'[1]pre processed data'!A:T,20,0)</f>
        <v>data analytics training</v>
      </c>
    </row>
    <row r="302" spans="1:13" x14ac:dyDescent="0.3">
      <c r="A302" t="s">
        <v>315</v>
      </c>
      <c r="B302" t="s">
        <v>18</v>
      </c>
      <c r="C302" s="4">
        <f>VLOOKUP(Googleadssales[[#This Row],[Ad_ID]],'[1]pre processed data'!A:C,3,0)</f>
        <v>134</v>
      </c>
      <c r="D302" s="4">
        <f>VLOOKUP(Googleadssales[[#This Row],[Ad_ID]],'[1]pre processed data'!A:E,5,0)</f>
        <v>3007</v>
      </c>
      <c r="E302" s="5" t="str">
        <f>VLOOKUP(Googleadssales[[#This Row],[Ad_ID]],[1]!Table3[[Ad_ID]:[Cost-imputed]],7,0)</f>
        <v>$217.53</v>
      </c>
      <c r="F302" s="4">
        <f>VLOOKUP(Googleadssales[[#This Row],[Ad_ID]],'[1]pre processed data'!A:I,9,0)</f>
        <v>10</v>
      </c>
      <c r="G302" s="4">
        <f>VLOOKUP(Googleadssales[[#This Row],[Ad_ID]],'[1]pre processed data'!A:K,11,0)</f>
        <v>5</v>
      </c>
      <c r="H302" s="2">
        <f>Googleadssales[[#This Row],[Conversions]]/Googleadssales[[#This Row],[Clicks]]</f>
        <v>3.7313432835820892E-2</v>
      </c>
      <c r="I302" t="str">
        <f>VLOOKUP(Googleadssales[[#This Row],[Ad_ID]],'[1]pre processed data'!A:O,15,0)</f>
        <v>$1371</v>
      </c>
      <c r="J302" s="3">
        <f>VLOOKUP(Googleadssales[[#This Row],[Ad_ID]],'[1]pre processed data'!A:Q,17,0)</f>
        <v>45626</v>
      </c>
      <c r="K302" t="str">
        <f>VLOOKUP(Googleadssales[[#This Row],[Ad_ID]],'[1]pre processed data'!A:R,18,0)</f>
        <v>Bangaluru</v>
      </c>
      <c r="L302" t="str">
        <f>VLOOKUP(Googleadssales[[#This Row],[Ad_ID]],'[1]pre processed data'!A:S,19,0)</f>
        <v>Mobile</v>
      </c>
      <c r="M302" t="str">
        <f>VLOOKUP(Googleadssales[[#This Row],[Ad_ID]],'[1]pre processed data'!A:T,20,0)</f>
        <v>data analytics training</v>
      </c>
    </row>
    <row r="303" spans="1:13" x14ac:dyDescent="0.3">
      <c r="A303" t="s">
        <v>316</v>
      </c>
      <c r="B303" t="s">
        <v>18</v>
      </c>
      <c r="C303" s="4">
        <f>VLOOKUP(Googleadssales[[#This Row],[Ad_ID]],'[1]pre processed data'!A:C,3,0)</f>
        <v>113</v>
      </c>
      <c r="D303" s="4">
        <f>VLOOKUP(Googleadssales[[#This Row],[Ad_ID]],'[1]pre processed data'!A:E,5,0)</f>
        <v>5721</v>
      </c>
      <c r="E303" s="5" t="str">
        <f>VLOOKUP(Googleadssales[[#This Row],[Ad_ID]],[1]!Table3[[Ad_ID]:[Cost-imputed]],7,0)</f>
        <v>$216.7</v>
      </c>
      <c r="F303" s="4">
        <f>VLOOKUP(Googleadssales[[#This Row],[Ad_ID]],'[1]pre processed data'!A:I,9,0)</f>
        <v>11</v>
      </c>
      <c r="G303" s="4">
        <f>VLOOKUP(Googleadssales[[#This Row],[Ad_ID]],'[1]pre processed data'!A:K,11,0)</f>
        <v>6</v>
      </c>
      <c r="H303" s="2">
        <f>Googleadssales[[#This Row],[Conversions]]/Googleadssales[[#This Row],[Clicks]]</f>
        <v>5.3097345132743362E-2</v>
      </c>
      <c r="I303" t="str">
        <f>VLOOKUP(Googleadssales[[#This Row],[Ad_ID]],'[1]pre processed data'!A:O,15,0)</f>
        <v>$1743</v>
      </c>
      <c r="J303" s="3">
        <f>VLOOKUP(Googleadssales[[#This Row],[Ad_ID]],'[1]pre processed data'!A:Q,17,0)</f>
        <v>45613</v>
      </c>
      <c r="K303" t="str">
        <f>VLOOKUP(Googleadssales[[#This Row],[Ad_ID]],'[1]pre processed data'!A:R,18,0)</f>
        <v>Chennai</v>
      </c>
      <c r="L303" t="str">
        <f>VLOOKUP(Googleadssales[[#This Row],[Ad_ID]],'[1]pre processed data'!A:S,19,0)</f>
        <v>Desktop</v>
      </c>
      <c r="M303" t="str">
        <f>VLOOKUP(Googleadssales[[#This Row],[Ad_ID]],'[1]pre processed data'!A:T,20,0)</f>
        <v>data analytics training</v>
      </c>
    </row>
    <row r="304" spans="1:13" x14ac:dyDescent="0.3">
      <c r="A304" t="s">
        <v>317</v>
      </c>
      <c r="B304" t="s">
        <v>14</v>
      </c>
      <c r="C304" s="4">
        <f>VLOOKUP(Googleadssales[[#This Row],[Ad_ID]],'[1]pre processed data'!A:C,3,0)</f>
        <v>157</v>
      </c>
      <c r="D304" s="4">
        <f>VLOOKUP(Googleadssales[[#This Row],[Ad_ID]],'[1]pre processed data'!A:E,5,0)</f>
        <v>3546</v>
      </c>
      <c r="E304" s="5" t="str">
        <f>VLOOKUP(Googleadssales[[#This Row],[Ad_ID]],[1]!Table3[[Ad_ID]:[Cost-imputed]],7,0)</f>
        <v>$189.11</v>
      </c>
      <c r="F304" s="4">
        <f>VLOOKUP(Googleadssales[[#This Row],[Ad_ID]],'[1]pre processed data'!A:I,9,0)</f>
        <v>16</v>
      </c>
      <c r="G304" s="4">
        <f>VLOOKUP(Googleadssales[[#This Row],[Ad_ID]],'[1]pre processed data'!A:K,11,0)</f>
        <v>5</v>
      </c>
      <c r="H304" s="2">
        <f>Googleadssales[[#This Row],[Conversions]]/Googleadssales[[#This Row],[Clicks]]</f>
        <v>3.1847133757961783E-2</v>
      </c>
      <c r="I304" t="str">
        <f>VLOOKUP(Googleadssales[[#This Row],[Ad_ID]],'[1]pre processed data'!A:O,15,0)</f>
        <v>$1333</v>
      </c>
      <c r="J304" s="3">
        <f>VLOOKUP(Googleadssales[[#This Row],[Ad_ID]],'[1]pre processed data'!A:Q,17,0)</f>
        <v>45624</v>
      </c>
      <c r="K304" t="str">
        <f>VLOOKUP(Googleadssales[[#This Row],[Ad_ID]],'[1]pre processed data'!A:R,18,0)</f>
        <v>Bangaluru</v>
      </c>
      <c r="L304" t="str">
        <f>VLOOKUP(Googleadssales[[#This Row],[Ad_ID]],'[1]pre processed data'!A:S,19,0)</f>
        <v>Mobile</v>
      </c>
      <c r="M304" t="str">
        <f>VLOOKUP(Googleadssales[[#This Row],[Ad_ID]],'[1]pre processed data'!A:T,20,0)</f>
        <v>data analytics online</v>
      </c>
    </row>
    <row r="305" spans="1:13" x14ac:dyDescent="0.3">
      <c r="A305" t="s">
        <v>318</v>
      </c>
      <c r="B305" t="s">
        <v>14</v>
      </c>
      <c r="C305" s="4">
        <f>VLOOKUP(Googleadssales[[#This Row],[Ad_ID]],'[1]pre processed data'!A:C,3,0)</f>
        <v>105</v>
      </c>
      <c r="D305" s="4">
        <f>VLOOKUP(Googleadssales[[#This Row],[Ad_ID]],'[1]pre processed data'!A:E,5,0)</f>
        <v>3670</v>
      </c>
      <c r="E305" s="5" t="str">
        <f>VLOOKUP(Googleadssales[[#This Row],[Ad_ID]],[1]!Table3[[Ad_ID]:[Cost-imputed]],7,0)</f>
        <v>$245.85</v>
      </c>
      <c r="F305" s="4">
        <f>VLOOKUP(Googleadssales[[#This Row],[Ad_ID]],'[1]pre processed data'!A:I,9,0)</f>
        <v>24</v>
      </c>
      <c r="G305" s="4">
        <f>VLOOKUP(Googleadssales[[#This Row],[Ad_ID]],'[1]pre processed data'!A:K,11,0)</f>
        <v>9</v>
      </c>
      <c r="H305" s="2">
        <f>Googleadssales[[#This Row],[Conversions]]/Googleadssales[[#This Row],[Clicks]]</f>
        <v>8.5714285714285715E-2</v>
      </c>
      <c r="I305" t="str">
        <f>VLOOKUP(Googleadssales[[#This Row],[Ad_ID]],'[1]pre processed data'!A:O,15,0)</f>
        <v>$1653</v>
      </c>
      <c r="J305" s="3">
        <f>VLOOKUP(Googleadssales[[#This Row],[Ad_ID]],'[1]pre processed data'!A:Q,17,0)</f>
        <v>45620</v>
      </c>
      <c r="K305" t="str">
        <f>VLOOKUP(Googleadssales[[#This Row],[Ad_ID]],'[1]pre processed data'!A:R,18,0)</f>
        <v>Bangaluru</v>
      </c>
      <c r="L305" t="str">
        <f>VLOOKUP(Googleadssales[[#This Row],[Ad_ID]],'[1]pre processed data'!A:S,19,0)</f>
        <v>Tablet</v>
      </c>
      <c r="M305" t="str">
        <f>VLOOKUP(Googleadssales[[#This Row],[Ad_ID]],'[1]pre processed data'!A:T,20,0)</f>
        <v>data analytics course</v>
      </c>
    </row>
    <row r="306" spans="1:13" x14ac:dyDescent="0.3">
      <c r="A306" t="s">
        <v>319</v>
      </c>
      <c r="B306" t="s">
        <v>14</v>
      </c>
      <c r="C306" s="4">
        <f>VLOOKUP(Googleadssales[[#This Row],[Ad_ID]],'[1]pre processed data'!A:C,3,0)</f>
        <v>162</v>
      </c>
      <c r="D306" s="4">
        <f>VLOOKUP(Googleadssales[[#This Row],[Ad_ID]],'[1]pre processed data'!A:E,5,0)</f>
        <v>5915</v>
      </c>
      <c r="E306" s="5" t="str">
        <f>VLOOKUP(Googleadssales[[#This Row],[Ad_ID]],[1]!Table3[[Ad_ID]:[Cost-imputed]],7,0)</f>
        <v>$211.96</v>
      </c>
      <c r="F306" s="4">
        <f>VLOOKUP(Googleadssales[[#This Row],[Ad_ID]],'[1]pre processed data'!A:I,9,0)</f>
        <v>11</v>
      </c>
      <c r="G306" s="4">
        <f>VLOOKUP(Googleadssales[[#This Row],[Ad_ID]],'[1]pre processed data'!A:K,11,0)</f>
        <v>6.4813650651100136</v>
      </c>
      <c r="H306" s="2">
        <f>Googleadssales[[#This Row],[Conversions]]/Googleadssales[[#This Row],[Clicks]]</f>
        <v>4.0008426327839589E-2</v>
      </c>
      <c r="I306" t="str">
        <f>VLOOKUP(Googleadssales[[#This Row],[Ad_ID]],'[1]pre processed data'!A:O,15,0)</f>
        <v>$1394</v>
      </c>
      <c r="J306" s="3">
        <f>VLOOKUP(Googleadssales[[#This Row],[Ad_ID]],'[1]pre processed data'!A:Q,17,0)</f>
        <v>45616</v>
      </c>
      <c r="K306" t="str">
        <f>VLOOKUP(Googleadssales[[#This Row],[Ad_ID]],'[1]pre processed data'!A:R,18,0)</f>
        <v>Hyderabad</v>
      </c>
      <c r="L306" t="str">
        <f>VLOOKUP(Googleadssales[[#This Row],[Ad_ID]],'[1]pre processed data'!A:S,19,0)</f>
        <v>Tablet</v>
      </c>
      <c r="M306" t="str">
        <f>VLOOKUP(Googleadssales[[#This Row],[Ad_ID]],'[1]pre processed data'!A:T,20,0)</f>
        <v>analytics for data</v>
      </c>
    </row>
    <row r="307" spans="1:13" x14ac:dyDescent="0.3">
      <c r="A307" t="s">
        <v>320</v>
      </c>
      <c r="B307" t="s">
        <v>18</v>
      </c>
      <c r="C307" s="4">
        <f>VLOOKUP(Googleadssales[[#This Row],[Ad_ID]],'[1]pre processed data'!A:C,3,0)</f>
        <v>138.95699356913184</v>
      </c>
      <c r="D307" s="4">
        <f>VLOOKUP(Googleadssales[[#This Row],[Ad_ID]],'[1]pre processed data'!A:E,5,0)</f>
        <v>4450</v>
      </c>
      <c r="E307" s="5" t="str">
        <f>VLOOKUP(Googleadssales[[#This Row],[Ad_ID]],[1]!Table3[[Ad_ID]:[Cost-imputed]],7,0)</f>
        <v>$219.21</v>
      </c>
      <c r="F307" s="4">
        <f>VLOOKUP(Googleadssales[[#This Row],[Ad_ID]],'[1]pre processed data'!A:I,9,0)</f>
        <v>16</v>
      </c>
      <c r="G307" s="4">
        <f>VLOOKUP(Googleadssales[[#This Row],[Ad_ID]],'[1]pre processed data'!A:K,11,0)</f>
        <v>10</v>
      </c>
      <c r="H307" s="2">
        <f>Googleadssales[[#This Row],[Conversions]]/Googleadssales[[#This Row],[Clicks]]</f>
        <v>7.1964711837443046E-2</v>
      </c>
      <c r="I307" t="str">
        <f>VLOOKUP(Googleadssales[[#This Row],[Ad_ID]],'[1]pre processed data'!A:O,15,0)</f>
        <v>$1917</v>
      </c>
      <c r="J307" s="3">
        <f>VLOOKUP(Googleadssales[[#This Row],[Ad_ID]],'[1]pre processed data'!A:Q,17,0)</f>
        <v>45606</v>
      </c>
      <c r="K307" t="str">
        <f>VLOOKUP(Googleadssales[[#This Row],[Ad_ID]],'[1]pre processed data'!A:R,18,0)</f>
        <v>Hyderabad</v>
      </c>
      <c r="L307" t="str">
        <f>VLOOKUP(Googleadssales[[#This Row],[Ad_ID]],'[1]pre processed data'!A:S,19,0)</f>
        <v>Mobile</v>
      </c>
      <c r="M307" t="str">
        <f>VLOOKUP(Googleadssales[[#This Row],[Ad_ID]],'[1]pre processed data'!A:T,20,0)</f>
        <v>learn data analytics</v>
      </c>
    </row>
    <row r="308" spans="1:13" x14ac:dyDescent="0.3">
      <c r="A308" t="s">
        <v>321</v>
      </c>
      <c r="B308" t="s">
        <v>14</v>
      </c>
      <c r="C308" s="4">
        <f>VLOOKUP(Googleadssales[[#This Row],[Ad_ID]],'[1]pre processed data'!A:C,3,0)</f>
        <v>136</v>
      </c>
      <c r="D308" s="4">
        <f>VLOOKUP(Googleadssales[[#This Row],[Ad_ID]],'[1]pre processed data'!A:E,5,0)</f>
        <v>5782</v>
      </c>
      <c r="E308" s="5" t="str">
        <f>VLOOKUP(Googleadssales[[#This Row],[Ad_ID]],[1]!Table3[[Ad_ID]:[Cost-imputed]],7,0)</f>
        <v>$189.65</v>
      </c>
      <c r="F308" s="4">
        <f>VLOOKUP(Googleadssales[[#This Row],[Ad_ID]],'[1]pre processed data'!A:I,9,0)</f>
        <v>23</v>
      </c>
      <c r="G308" s="4">
        <f>VLOOKUP(Googleadssales[[#This Row],[Ad_ID]],'[1]pre processed data'!A:K,11,0)</f>
        <v>6</v>
      </c>
      <c r="H308" s="2">
        <f>Googleadssales[[#This Row],[Conversions]]/Googleadssales[[#This Row],[Clicks]]</f>
        <v>4.4117647058823532E-2</v>
      </c>
      <c r="I308" t="str">
        <f>VLOOKUP(Googleadssales[[#This Row],[Ad_ID]],'[1]pre processed data'!A:O,15,0)</f>
        <v>$1951</v>
      </c>
      <c r="J308" s="3">
        <f>VLOOKUP(Googleadssales[[#This Row],[Ad_ID]],'[1]pre processed data'!A:Q,17,0)</f>
        <v>45607</v>
      </c>
      <c r="K308" t="str">
        <f>VLOOKUP(Googleadssales[[#This Row],[Ad_ID]],'[1]pre processed data'!A:R,18,0)</f>
        <v>Hyderabad</v>
      </c>
      <c r="L308" t="str">
        <f>VLOOKUP(Googleadssales[[#This Row],[Ad_ID]],'[1]pre processed data'!A:S,19,0)</f>
        <v>Tablet</v>
      </c>
      <c r="M308" t="str">
        <f>VLOOKUP(Googleadssales[[#This Row],[Ad_ID]],'[1]pre processed data'!A:T,20,0)</f>
        <v>data analytics training</v>
      </c>
    </row>
    <row r="309" spans="1:13" x14ac:dyDescent="0.3">
      <c r="A309" t="s">
        <v>322</v>
      </c>
      <c r="B309" t="s">
        <v>14</v>
      </c>
      <c r="C309" s="4">
        <f>VLOOKUP(Googleadssales[[#This Row],[Ad_ID]],'[1]pre processed data'!A:C,3,0)</f>
        <v>192</v>
      </c>
      <c r="D309" s="4">
        <f>VLOOKUP(Googleadssales[[#This Row],[Ad_ID]],'[1]pre processed data'!A:E,5,0)</f>
        <v>4339</v>
      </c>
      <c r="E309" s="5" t="str">
        <f>VLOOKUP(Googleadssales[[#This Row],[Ad_ID]],[1]!Table3[[Ad_ID]:[Cost-imputed]],7,0)</f>
        <v>$245.57</v>
      </c>
      <c r="F309" s="4">
        <f>VLOOKUP(Googleadssales[[#This Row],[Ad_ID]],'[1]pre processed data'!A:I,9,0)</f>
        <v>24</v>
      </c>
      <c r="G309" s="4">
        <f>VLOOKUP(Googleadssales[[#This Row],[Ad_ID]],'[1]pre processed data'!A:K,11,0)</f>
        <v>8</v>
      </c>
      <c r="H309" s="2">
        <f>Googleadssales[[#This Row],[Conversions]]/Googleadssales[[#This Row],[Clicks]]</f>
        <v>4.1666666666666664E-2</v>
      </c>
      <c r="I309" t="str">
        <f>VLOOKUP(Googleadssales[[#This Row],[Ad_ID]],'[1]pre processed data'!A:O,15,0)</f>
        <v>$1284</v>
      </c>
      <c r="J309" s="3">
        <f>VLOOKUP(Googleadssales[[#This Row],[Ad_ID]],'[1]pre processed data'!A:Q,17,0)</f>
        <v>45614</v>
      </c>
      <c r="K309" t="str">
        <f>VLOOKUP(Googleadssales[[#This Row],[Ad_ID]],'[1]pre processed data'!A:R,18,0)</f>
        <v>Hyderabad</v>
      </c>
      <c r="L309" t="str">
        <f>VLOOKUP(Googleadssales[[#This Row],[Ad_ID]],'[1]pre processed data'!A:S,19,0)</f>
        <v>Mobile</v>
      </c>
      <c r="M309" t="str">
        <f>VLOOKUP(Googleadssales[[#This Row],[Ad_ID]],'[1]pre processed data'!A:T,20,0)</f>
        <v>learn data analytics</v>
      </c>
    </row>
    <row r="310" spans="1:13" x14ac:dyDescent="0.3">
      <c r="A310" t="s">
        <v>323</v>
      </c>
      <c r="B310" t="s">
        <v>14</v>
      </c>
      <c r="C310" s="4">
        <f>VLOOKUP(Googleadssales[[#This Row],[Ad_ID]],'[1]pre processed data'!A:C,3,0)</f>
        <v>147</v>
      </c>
      <c r="D310" s="4">
        <f>VLOOKUP(Googleadssales[[#This Row],[Ad_ID]],'[1]pre processed data'!A:E,5,0)</f>
        <v>5870</v>
      </c>
      <c r="E310" s="5" t="str">
        <f>VLOOKUP(Googleadssales[[#This Row],[Ad_ID]],[1]!Table3[[Ad_ID]:[Cost-imputed]],7,0)</f>
        <v>$200.00</v>
      </c>
      <c r="F310" s="4">
        <f>VLOOKUP(Googleadssales[[#This Row],[Ad_ID]],'[1]pre processed data'!A:I,9,0)</f>
        <v>14</v>
      </c>
      <c r="G310" s="4">
        <f>VLOOKUP(Googleadssales[[#This Row],[Ad_ID]],'[1]pre processed data'!A:K,11,0)</f>
        <v>8</v>
      </c>
      <c r="H310" s="2">
        <f>Googleadssales[[#This Row],[Conversions]]/Googleadssales[[#This Row],[Clicks]]</f>
        <v>5.4421768707482991E-2</v>
      </c>
      <c r="I310" t="str">
        <f>VLOOKUP(Googleadssales[[#This Row],[Ad_ID]],'[1]pre processed data'!A:O,15,0)</f>
        <v>$1748</v>
      </c>
      <c r="J310" s="3">
        <f>VLOOKUP(Googleadssales[[#This Row],[Ad_ID]],'[1]pre processed data'!A:Q,17,0)</f>
        <v>45598</v>
      </c>
      <c r="K310" t="str">
        <f>VLOOKUP(Googleadssales[[#This Row],[Ad_ID]],'[1]pre processed data'!A:R,18,0)</f>
        <v>Hyderabad</v>
      </c>
      <c r="L310" t="str">
        <f>VLOOKUP(Googleadssales[[#This Row],[Ad_ID]],'[1]pre processed data'!A:S,19,0)</f>
        <v>Mobile</v>
      </c>
      <c r="M310" t="str">
        <f>VLOOKUP(Googleadssales[[#This Row],[Ad_ID]],'[1]pre processed data'!A:T,20,0)</f>
        <v>data analytics training</v>
      </c>
    </row>
    <row r="311" spans="1:13" x14ac:dyDescent="0.3">
      <c r="A311" t="s">
        <v>324</v>
      </c>
      <c r="B311" t="s">
        <v>14</v>
      </c>
      <c r="C311" s="4">
        <f>VLOOKUP(Googleadssales[[#This Row],[Ad_ID]],'[1]pre processed data'!A:C,3,0)</f>
        <v>164</v>
      </c>
      <c r="D311" s="4">
        <f>VLOOKUP(Googleadssales[[#This Row],[Ad_ID]],'[1]pre processed data'!A:E,5,0)</f>
        <v>5662</v>
      </c>
      <c r="E311" s="5" t="str">
        <f>VLOOKUP(Googleadssales[[#This Row],[Ad_ID]],[1]!Table3[[Ad_ID]:[Cost-imputed]],7,0)</f>
        <v>$186.41</v>
      </c>
      <c r="F311" s="4">
        <f>VLOOKUP(Googleadssales[[#This Row],[Ad_ID]],'[1]pre processed data'!A:I,9,0)</f>
        <v>11</v>
      </c>
      <c r="G311" s="4">
        <f>VLOOKUP(Googleadssales[[#This Row],[Ad_ID]],'[1]pre processed data'!A:K,11,0)</f>
        <v>9</v>
      </c>
      <c r="H311" s="2">
        <f>Googleadssales[[#This Row],[Conversions]]/Googleadssales[[#This Row],[Clicks]]</f>
        <v>5.4878048780487805E-2</v>
      </c>
      <c r="I311" t="str">
        <f>VLOOKUP(Googleadssales[[#This Row],[Ad_ID]],'[1]pre processed data'!A:O,15,0)</f>
        <v>$1020</v>
      </c>
      <c r="J311" s="3">
        <f>VLOOKUP(Googleadssales[[#This Row],[Ad_ID]],'[1]pre processed data'!A:Q,17,0)</f>
        <v>45613</v>
      </c>
      <c r="K311" t="str">
        <f>VLOOKUP(Googleadssales[[#This Row],[Ad_ID]],'[1]pre processed data'!A:R,18,0)</f>
        <v>Bangaluru</v>
      </c>
      <c r="L311" t="str">
        <f>VLOOKUP(Googleadssales[[#This Row],[Ad_ID]],'[1]pre processed data'!A:S,19,0)</f>
        <v>Tablet</v>
      </c>
      <c r="M311" t="str">
        <f>VLOOKUP(Googleadssales[[#This Row],[Ad_ID]],'[1]pre processed data'!A:T,20,0)</f>
        <v>data analytics course</v>
      </c>
    </row>
    <row r="312" spans="1:13" x14ac:dyDescent="0.3">
      <c r="A312" t="s">
        <v>325</v>
      </c>
      <c r="B312" t="s">
        <v>14</v>
      </c>
      <c r="C312" s="4">
        <f>VLOOKUP(Googleadssales[[#This Row],[Ad_ID]],'[1]pre processed data'!A:C,3,0)</f>
        <v>192</v>
      </c>
      <c r="D312" s="4">
        <f>VLOOKUP(Googleadssales[[#This Row],[Ad_ID]],'[1]pre processed data'!A:E,5,0)</f>
        <v>5130</v>
      </c>
      <c r="E312" s="5" t="str">
        <f>VLOOKUP(Googleadssales[[#This Row],[Ad_ID]],[1]!Table3[[Ad_ID]:[Cost-imputed]],7,0)</f>
        <v>$184.63</v>
      </c>
      <c r="F312" s="4">
        <f>VLOOKUP(Googleadssales[[#This Row],[Ad_ID]],'[1]pre processed data'!A:I,9,0)</f>
        <v>19</v>
      </c>
      <c r="G312" s="4">
        <f>VLOOKUP(Googleadssales[[#This Row],[Ad_ID]],'[1]pre processed data'!A:K,11,0)</f>
        <v>4</v>
      </c>
      <c r="H312" s="2">
        <f>Googleadssales[[#This Row],[Conversions]]/Googleadssales[[#This Row],[Clicks]]</f>
        <v>2.0833333333333332E-2</v>
      </c>
      <c r="I312" t="str">
        <f>VLOOKUP(Googleadssales[[#This Row],[Ad_ID]],'[1]pre processed data'!A:O,15,0)</f>
        <v>$1087</v>
      </c>
      <c r="J312" s="3">
        <f>VLOOKUP(Googleadssales[[#This Row],[Ad_ID]],'[1]pre processed data'!A:Q,17,0)</f>
        <v>45603</v>
      </c>
      <c r="K312" t="str">
        <f>VLOOKUP(Googleadssales[[#This Row],[Ad_ID]],'[1]pre processed data'!A:R,18,0)</f>
        <v>Hyderabad</v>
      </c>
      <c r="L312" t="str">
        <f>VLOOKUP(Googleadssales[[#This Row],[Ad_ID]],'[1]pre processed data'!A:S,19,0)</f>
        <v>Desktop</v>
      </c>
      <c r="M312" t="str">
        <f>VLOOKUP(Googleadssales[[#This Row],[Ad_ID]],'[1]pre processed data'!A:T,20,0)</f>
        <v>data analytics course</v>
      </c>
    </row>
    <row r="313" spans="1:13" x14ac:dyDescent="0.3">
      <c r="A313" t="s">
        <v>326</v>
      </c>
      <c r="B313" t="s">
        <v>18</v>
      </c>
      <c r="C313" s="4">
        <f>VLOOKUP(Googleadssales[[#This Row],[Ad_ID]],'[1]pre processed data'!A:C,3,0)</f>
        <v>139</v>
      </c>
      <c r="D313" s="4">
        <f>VLOOKUP(Googleadssales[[#This Row],[Ad_ID]],'[1]pre processed data'!A:E,5,0)</f>
        <v>4608</v>
      </c>
      <c r="E313" s="5" t="str">
        <f>VLOOKUP(Googleadssales[[#This Row],[Ad_ID]],[1]!Table3[[Ad_ID]:[Cost-imputed]],7,0)</f>
        <v>$224.99</v>
      </c>
      <c r="F313" s="4">
        <f>VLOOKUP(Googleadssales[[#This Row],[Ad_ID]],'[1]pre processed data'!A:I,9,0)</f>
        <v>12</v>
      </c>
      <c r="G313" s="4">
        <f>VLOOKUP(Googleadssales[[#This Row],[Ad_ID]],'[1]pre processed data'!A:K,11,0)</f>
        <v>8</v>
      </c>
      <c r="H313" s="2">
        <f>Googleadssales[[#This Row],[Conversions]]/Googleadssales[[#This Row],[Clicks]]</f>
        <v>5.7553956834532377E-2</v>
      </c>
      <c r="I313" t="str">
        <f>VLOOKUP(Googleadssales[[#This Row],[Ad_ID]],'[1]pre processed data'!A:O,15,0)</f>
        <v>$1095</v>
      </c>
      <c r="J313" s="3">
        <f>VLOOKUP(Googleadssales[[#This Row],[Ad_ID]],'[1]pre processed data'!A:Q,17,0)</f>
        <v>45608</v>
      </c>
      <c r="K313" t="str">
        <f>VLOOKUP(Googleadssales[[#This Row],[Ad_ID]],'[1]pre processed data'!A:R,18,0)</f>
        <v>Chennai</v>
      </c>
      <c r="L313" t="str">
        <f>VLOOKUP(Googleadssales[[#This Row],[Ad_ID]],'[1]pre processed data'!A:S,19,0)</f>
        <v>Desktop</v>
      </c>
      <c r="M313" t="str">
        <f>VLOOKUP(Googleadssales[[#This Row],[Ad_ID]],'[1]pre processed data'!A:T,20,0)</f>
        <v>data analytics training</v>
      </c>
    </row>
    <row r="314" spans="1:13" x14ac:dyDescent="0.3">
      <c r="A314" t="s">
        <v>327</v>
      </c>
      <c r="B314" t="s">
        <v>14</v>
      </c>
      <c r="C314" s="4">
        <f>VLOOKUP(Googleadssales[[#This Row],[Ad_ID]],'[1]pre processed data'!A:C,3,0)</f>
        <v>199</v>
      </c>
      <c r="D314" s="4">
        <f>VLOOKUP(Googleadssales[[#This Row],[Ad_ID]],'[1]pre processed data'!A:E,5,0)</f>
        <v>5290</v>
      </c>
      <c r="E314" s="5" t="str">
        <f>VLOOKUP(Googleadssales[[#This Row],[Ad_ID]],[1]!Table3[[Ad_ID]:[Cost-imputed]],7,0)</f>
        <v>$218.55</v>
      </c>
      <c r="F314" s="4">
        <f>VLOOKUP(Googleadssales[[#This Row],[Ad_ID]],'[1]pre processed data'!A:I,9,0)</f>
        <v>20</v>
      </c>
      <c r="G314" s="4">
        <f>VLOOKUP(Googleadssales[[#This Row],[Ad_ID]],'[1]pre processed data'!A:K,11,0)</f>
        <v>7</v>
      </c>
      <c r="H314" s="2">
        <f>Googleadssales[[#This Row],[Conversions]]/Googleadssales[[#This Row],[Clicks]]</f>
        <v>3.5175879396984924E-2</v>
      </c>
      <c r="I314" t="str">
        <f>VLOOKUP(Googleadssales[[#This Row],[Ad_ID]],'[1]pre processed data'!A:O,15,0)</f>
        <v>$1234</v>
      </c>
      <c r="J314" s="3">
        <f>VLOOKUP(Googleadssales[[#This Row],[Ad_ID]],'[1]pre processed data'!A:Q,17,0)</f>
        <v>45626</v>
      </c>
      <c r="K314" t="str">
        <f>VLOOKUP(Googleadssales[[#This Row],[Ad_ID]],'[1]pre processed data'!A:R,18,0)</f>
        <v>Hyderabad</v>
      </c>
      <c r="L314" t="str">
        <f>VLOOKUP(Googleadssales[[#This Row],[Ad_ID]],'[1]pre processed data'!A:S,19,0)</f>
        <v>Tablet</v>
      </c>
      <c r="M314" t="str">
        <f>VLOOKUP(Googleadssales[[#This Row],[Ad_ID]],'[1]pre processed data'!A:T,20,0)</f>
        <v>learn data analytics</v>
      </c>
    </row>
    <row r="315" spans="1:13" x14ac:dyDescent="0.3">
      <c r="A315" t="s">
        <v>328</v>
      </c>
      <c r="B315" t="s">
        <v>18</v>
      </c>
      <c r="C315" s="4">
        <f>VLOOKUP(Googleadssales[[#This Row],[Ad_ID]],'[1]pre processed data'!A:C,3,0)</f>
        <v>82</v>
      </c>
      <c r="D315" s="4">
        <f>VLOOKUP(Googleadssales[[#This Row],[Ad_ID]],'[1]pre processed data'!A:E,5,0)</f>
        <v>4961</v>
      </c>
      <c r="E315" s="5" t="str">
        <f>VLOOKUP(Googleadssales[[#This Row],[Ad_ID]],[1]!Table3[[Ad_ID]:[Cost-imputed]],7,0)</f>
        <v>$220.29</v>
      </c>
      <c r="F315" s="4">
        <f>VLOOKUP(Googleadssales[[#This Row],[Ad_ID]],'[1]pre processed data'!A:I,9,0)</f>
        <v>27</v>
      </c>
      <c r="G315" s="4">
        <f>VLOOKUP(Googleadssales[[#This Row],[Ad_ID]],'[1]pre processed data'!A:K,11,0)</f>
        <v>7</v>
      </c>
      <c r="H315" s="2">
        <f>Googleadssales[[#This Row],[Conversions]]/Googleadssales[[#This Row],[Clicks]]</f>
        <v>8.5365853658536592E-2</v>
      </c>
      <c r="I315" t="str">
        <f>VLOOKUP(Googleadssales[[#This Row],[Ad_ID]],'[1]pre processed data'!A:O,15,0)</f>
        <v>$1149</v>
      </c>
      <c r="J315" s="3">
        <f>VLOOKUP(Googleadssales[[#This Row],[Ad_ID]],'[1]pre processed data'!A:Q,17,0)</f>
        <v>45598</v>
      </c>
      <c r="K315" t="str">
        <f>VLOOKUP(Googleadssales[[#This Row],[Ad_ID]],'[1]pre processed data'!A:R,18,0)</f>
        <v>Hyderabad</v>
      </c>
      <c r="L315" t="str">
        <f>VLOOKUP(Googleadssales[[#This Row],[Ad_ID]],'[1]pre processed data'!A:S,19,0)</f>
        <v>Tablet</v>
      </c>
      <c r="M315" t="str">
        <f>VLOOKUP(Googleadssales[[#This Row],[Ad_ID]],'[1]pre processed data'!A:T,20,0)</f>
        <v>data analytics course</v>
      </c>
    </row>
    <row r="316" spans="1:13" x14ac:dyDescent="0.3">
      <c r="A316" t="s">
        <v>329</v>
      </c>
      <c r="B316" t="s">
        <v>14</v>
      </c>
      <c r="C316" s="4">
        <f>VLOOKUP(Googleadssales[[#This Row],[Ad_ID]],'[1]pre processed data'!A:C,3,0)</f>
        <v>175</v>
      </c>
      <c r="D316" s="4">
        <f>VLOOKUP(Googleadssales[[#This Row],[Ad_ID]],'[1]pre processed data'!A:E,5,0)</f>
        <v>4347</v>
      </c>
      <c r="E316" s="5" t="str">
        <f>VLOOKUP(Googleadssales[[#This Row],[Ad_ID]],[1]!Table3[[Ad_ID]:[Cost-imputed]],7,0)</f>
        <v>$242.06</v>
      </c>
      <c r="F316" s="4">
        <f>VLOOKUP(Googleadssales[[#This Row],[Ad_ID]],'[1]pre processed data'!A:I,9,0)</f>
        <v>17</v>
      </c>
      <c r="G316" s="4">
        <f>VLOOKUP(Googleadssales[[#This Row],[Ad_ID]],'[1]pre processed data'!A:K,11,0)</f>
        <v>3</v>
      </c>
      <c r="H316" s="2">
        <f>Googleadssales[[#This Row],[Conversions]]/Googleadssales[[#This Row],[Clicks]]</f>
        <v>1.7142857142857144E-2</v>
      </c>
      <c r="I316" t="str">
        <f>VLOOKUP(Googleadssales[[#This Row],[Ad_ID]],'[1]pre processed data'!A:O,15,0)</f>
        <v>$1617</v>
      </c>
      <c r="J316" s="3">
        <f>VLOOKUP(Googleadssales[[#This Row],[Ad_ID]],'[1]pre processed data'!A:Q,17,0)</f>
        <v>45618</v>
      </c>
      <c r="K316" t="str">
        <f>VLOOKUP(Googleadssales[[#This Row],[Ad_ID]],'[1]pre processed data'!A:R,18,0)</f>
        <v>Hyderabad</v>
      </c>
      <c r="L316" t="str">
        <f>VLOOKUP(Googleadssales[[#This Row],[Ad_ID]],'[1]pre processed data'!A:S,19,0)</f>
        <v>Desktop</v>
      </c>
      <c r="M316" t="str">
        <f>VLOOKUP(Googleadssales[[#This Row],[Ad_ID]],'[1]pre processed data'!A:T,20,0)</f>
        <v>data analytics training</v>
      </c>
    </row>
    <row r="317" spans="1:13" x14ac:dyDescent="0.3">
      <c r="A317" t="s">
        <v>330</v>
      </c>
      <c r="B317" t="s">
        <v>14</v>
      </c>
      <c r="C317" s="4">
        <f>VLOOKUP(Googleadssales[[#This Row],[Ad_ID]],'[1]pre processed data'!A:C,3,0)</f>
        <v>181</v>
      </c>
      <c r="D317" s="4">
        <f>VLOOKUP(Googleadssales[[#This Row],[Ad_ID]],'[1]pre processed data'!A:E,5,0)</f>
        <v>5664</v>
      </c>
      <c r="E317" s="5" t="str">
        <f>VLOOKUP(Googleadssales[[#This Row],[Ad_ID]],[1]!Table3[[Ad_ID]:[Cost-imputed]],7,0)</f>
        <v>$204.74</v>
      </c>
      <c r="F317" s="4">
        <f>VLOOKUP(Googleadssales[[#This Row],[Ad_ID]],'[1]pre processed data'!A:I,9,0)</f>
        <v>22</v>
      </c>
      <c r="G317" s="4">
        <f>VLOOKUP(Googleadssales[[#This Row],[Ad_ID]],'[1]pre processed data'!A:K,11,0)</f>
        <v>5</v>
      </c>
      <c r="H317" s="2">
        <f>Googleadssales[[#This Row],[Conversions]]/Googleadssales[[#This Row],[Clicks]]</f>
        <v>2.7624309392265192E-2</v>
      </c>
      <c r="I317" t="str">
        <f>VLOOKUP(Googleadssales[[#This Row],[Ad_ID]],'[1]pre processed data'!A:O,15,0)</f>
        <v>$1719</v>
      </c>
      <c r="J317" s="3">
        <f>VLOOKUP(Googleadssales[[#This Row],[Ad_ID]],'[1]pre processed data'!A:Q,17,0)</f>
        <v>45618</v>
      </c>
      <c r="K317" t="str">
        <f>VLOOKUP(Googleadssales[[#This Row],[Ad_ID]],'[1]pre processed data'!A:R,18,0)</f>
        <v>Hyderabad</v>
      </c>
      <c r="L317" t="str">
        <f>VLOOKUP(Googleadssales[[#This Row],[Ad_ID]],'[1]pre processed data'!A:S,19,0)</f>
        <v>Desktop</v>
      </c>
      <c r="M317" t="str">
        <f>VLOOKUP(Googleadssales[[#This Row],[Ad_ID]],'[1]pre processed data'!A:T,20,0)</f>
        <v>data analytics course</v>
      </c>
    </row>
    <row r="318" spans="1:13" x14ac:dyDescent="0.3">
      <c r="A318" t="s">
        <v>331</v>
      </c>
      <c r="B318" t="s">
        <v>14</v>
      </c>
      <c r="C318" s="4">
        <f>VLOOKUP(Googleadssales[[#This Row],[Ad_ID]],'[1]pre processed data'!A:C,3,0)</f>
        <v>146</v>
      </c>
      <c r="D318" s="4">
        <f>VLOOKUP(Googleadssales[[#This Row],[Ad_ID]],'[1]pre processed data'!A:E,5,0)</f>
        <v>3757</v>
      </c>
      <c r="E318" s="5" t="str">
        <f>VLOOKUP(Googleadssales[[#This Row],[Ad_ID]],[1]!Table3[[Ad_ID]:[Cost-imputed]],7,0)</f>
        <v>$192.59</v>
      </c>
      <c r="F318" s="4">
        <f>VLOOKUP(Googleadssales[[#This Row],[Ad_ID]],'[1]pre processed data'!A:I,9,0)</f>
        <v>25</v>
      </c>
      <c r="G318" s="4">
        <f>VLOOKUP(Googleadssales[[#This Row],[Ad_ID]],'[1]pre processed data'!A:K,11,0)</f>
        <v>9</v>
      </c>
      <c r="H318" s="2">
        <f>Googleadssales[[#This Row],[Conversions]]/Googleadssales[[#This Row],[Clicks]]</f>
        <v>6.1643835616438353E-2</v>
      </c>
      <c r="I318" t="str">
        <f>VLOOKUP(Googleadssales[[#This Row],[Ad_ID]],'[1]pre processed data'!A:O,15,0)</f>
        <v>$1169</v>
      </c>
      <c r="J318" s="3">
        <f>VLOOKUP(Googleadssales[[#This Row],[Ad_ID]],'[1]pre processed data'!A:Q,17,0)</f>
        <v>45605</v>
      </c>
      <c r="K318" t="str">
        <f>VLOOKUP(Googleadssales[[#This Row],[Ad_ID]],'[1]pre processed data'!A:R,18,0)</f>
        <v>Hyderabad</v>
      </c>
      <c r="L318" t="str">
        <f>VLOOKUP(Googleadssales[[#This Row],[Ad_ID]],'[1]pre processed data'!A:S,19,0)</f>
        <v>Desktop</v>
      </c>
      <c r="M318" t="str">
        <f>VLOOKUP(Googleadssales[[#This Row],[Ad_ID]],'[1]pre processed data'!A:T,20,0)</f>
        <v>online data analytic</v>
      </c>
    </row>
    <row r="319" spans="1:13" x14ac:dyDescent="0.3">
      <c r="A319" t="s">
        <v>332</v>
      </c>
      <c r="B319" t="s">
        <v>18</v>
      </c>
      <c r="C319" s="4">
        <f>VLOOKUP(Googleadssales[[#This Row],[Ad_ID]],'[1]pre processed data'!A:C,3,0)</f>
        <v>192</v>
      </c>
      <c r="D319" s="4">
        <f>VLOOKUP(Googleadssales[[#This Row],[Ad_ID]],'[1]pre processed data'!A:E,5,0)</f>
        <v>4225</v>
      </c>
      <c r="E319" s="5" t="str">
        <f>VLOOKUP(Googleadssales[[#This Row],[Ad_ID]],[1]!Table3[[Ad_ID]:[Cost-imputed]],7,0)</f>
        <v>$242.0</v>
      </c>
      <c r="F319" s="4">
        <f>VLOOKUP(Googleadssales[[#This Row],[Ad_ID]],'[1]pre processed data'!A:I,9,0)</f>
        <v>24</v>
      </c>
      <c r="G319" s="4">
        <f>VLOOKUP(Googleadssales[[#This Row],[Ad_ID]],'[1]pre processed data'!A:K,11,0)</f>
        <v>6</v>
      </c>
      <c r="H319" s="2">
        <f>Googleadssales[[#This Row],[Conversions]]/Googleadssales[[#This Row],[Clicks]]</f>
        <v>3.125E-2</v>
      </c>
      <c r="I319" t="str">
        <f>VLOOKUP(Googleadssales[[#This Row],[Ad_ID]],'[1]pre processed data'!A:O,15,0)</f>
        <v>$1032</v>
      </c>
      <c r="J319" s="3">
        <f>VLOOKUP(Googleadssales[[#This Row],[Ad_ID]],'[1]pre processed data'!A:Q,17,0)</f>
        <v>45597</v>
      </c>
      <c r="K319" t="str">
        <f>VLOOKUP(Googleadssales[[#This Row],[Ad_ID]],'[1]pre processed data'!A:R,18,0)</f>
        <v>Bangaluru</v>
      </c>
      <c r="L319" t="str">
        <f>VLOOKUP(Googleadssales[[#This Row],[Ad_ID]],'[1]pre processed data'!A:S,19,0)</f>
        <v>Mobile</v>
      </c>
      <c r="M319" t="str">
        <f>VLOOKUP(Googleadssales[[#This Row],[Ad_ID]],'[1]pre processed data'!A:T,20,0)</f>
        <v>data analytics online</v>
      </c>
    </row>
    <row r="320" spans="1:13" x14ac:dyDescent="0.3">
      <c r="A320" t="s">
        <v>333</v>
      </c>
      <c r="B320" t="s">
        <v>14</v>
      </c>
      <c r="C320" s="4">
        <f>VLOOKUP(Googleadssales[[#This Row],[Ad_ID]],'[1]pre processed data'!A:C,3,0)</f>
        <v>149</v>
      </c>
      <c r="D320" s="4">
        <f>VLOOKUP(Googleadssales[[#This Row],[Ad_ID]],'[1]pre processed data'!A:E,5,0)</f>
        <v>3410</v>
      </c>
      <c r="E320" s="5" t="str">
        <f>VLOOKUP(Googleadssales[[#This Row],[Ad_ID]],[1]!Table3[[Ad_ID]:[Cost-imputed]],7,0)</f>
        <v>$181.12</v>
      </c>
      <c r="F320" s="4">
        <f>VLOOKUP(Googleadssales[[#This Row],[Ad_ID]],'[1]pre processed data'!A:I,9,0)</f>
        <v>20</v>
      </c>
      <c r="G320" s="4">
        <f>VLOOKUP(Googleadssales[[#This Row],[Ad_ID]],'[1]pre processed data'!A:K,11,0)</f>
        <v>4</v>
      </c>
      <c r="H320" s="2">
        <f>Googleadssales[[#This Row],[Conversions]]/Googleadssales[[#This Row],[Clicks]]</f>
        <v>2.6845637583892617E-2</v>
      </c>
      <c r="I320" t="str">
        <f>VLOOKUP(Googleadssales[[#This Row],[Ad_ID]],'[1]pre processed data'!A:O,15,0)</f>
        <v>$1806</v>
      </c>
      <c r="J320" s="3">
        <f>VLOOKUP(Googleadssales[[#This Row],[Ad_ID]],'[1]pre processed data'!A:Q,17,0)</f>
        <v>45613</v>
      </c>
      <c r="K320" t="str">
        <f>VLOOKUP(Googleadssales[[#This Row],[Ad_ID]],'[1]pre processed data'!A:R,18,0)</f>
        <v>Chennai</v>
      </c>
      <c r="L320" t="str">
        <f>VLOOKUP(Googleadssales[[#This Row],[Ad_ID]],'[1]pre processed data'!A:S,19,0)</f>
        <v>Desktop</v>
      </c>
      <c r="M320" t="str">
        <f>VLOOKUP(Googleadssales[[#This Row],[Ad_ID]],'[1]pre processed data'!A:T,20,0)</f>
        <v>learn data analytics</v>
      </c>
    </row>
    <row r="321" spans="1:13" x14ac:dyDescent="0.3">
      <c r="A321" t="s">
        <v>334</v>
      </c>
      <c r="B321" t="s">
        <v>18</v>
      </c>
      <c r="C321" s="4">
        <f>VLOOKUP(Googleadssales[[#This Row],[Ad_ID]],'[1]pre processed data'!A:C,3,0)</f>
        <v>93</v>
      </c>
      <c r="D321" s="4">
        <f>VLOOKUP(Googleadssales[[#This Row],[Ad_ID]],'[1]pre processed data'!A:E,5,0)</f>
        <v>3934</v>
      </c>
      <c r="E321" s="5" t="str">
        <f>VLOOKUP(Googleadssales[[#This Row],[Ad_ID]],[1]!Table3[[Ad_ID]:[Cost-imputed]],7,0)</f>
        <v>$226.84</v>
      </c>
      <c r="F321" s="4">
        <f>VLOOKUP(Googleadssales[[#This Row],[Ad_ID]],'[1]pre processed data'!A:I,9,0)</f>
        <v>20</v>
      </c>
      <c r="G321" s="4">
        <f>VLOOKUP(Googleadssales[[#This Row],[Ad_ID]],'[1]pre processed data'!A:K,11,0)</f>
        <v>6</v>
      </c>
      <c r="H321" s="2">
        <f>Googleadssales[[#This Row],[Conversions]]/Googleadssales[[#This Row],[Clicks]]</f>
        <v>6.4516129032258063E-2</v>
      </c>
      <c r="I321" t="str">
        <f>VLOOKUP(Googleadssales[[#This Row],[Ad_ID]],'[1]pre processed data'!A:O,15,0)</f>
        <v>$1964</v>
      </c>
      <c r="J321" s="3">
        <f>VLOOKUP(Googleadssales[[#This Row],[Ad_ID]],'[1]pre processed data'!A:Q,17,0)</f>
        <v>45614</v>
      </c>
      <c r="K321" t="str">
        <f>VLOOKUP(Googleadssales[[#This Row],[Ad_ID]],'[1]pre processed data'!A:R,18,0)</f>
        <v>Hyderabad</v>
      </c>
      <c r="L321" t="str">
        <f>VLOOKUP(Googleadssales[[#This Row],[Ad_ID]],'[1]pre processed data'!A:S,19,0)</f>
        <v>Mobile</v>
      </c>
      <c r="M321" t="str">
        <f>VLOOKUP(Googleadssales[[#This Row],[Ad_ID]],'[1]pre processed data'!A:T,20,0)</f>
        <v>data analytics online</v>
      </c>
    </row>
    <row r="322" spans="1:13" x14ac:dyDescent="0.3">
      <c r="A322" t="s">
        <v>335</v>
      </c>
      <c r="B322" t="s">
        <v>18</v>
      </c>
      <c r="C322" s="4">
        <f>VLOOKUP(Googleadssales[[#This Row],[Ad_ID]],'[1]pre processed data'!A:C,3,0)</f>
        <v>182</v>
      </c>
      <c r="D322" s="4">
        <f>VLOOKUP(Googleadssales[[#This Row],[Ad_ID]],'[1]pre processed data'!A:E,5,0)</f>
        <v>3384</v>
      </c>
      <c r="E322" s="5" t="str">
        <f>VLOOKUP(Googleadssales[[#This Row],[Ad_ID]],[1]!Table3[[Ad_ID]:[Cost-imputed]],7,0)</f>
        <v>$187.67</v>
      </c>
      <c r="F322" s="4">
        <f>VLOOKUP(Googleadssales[[#This Row],[Ad_ID]],'[1]pre processed data'!A:I,9,0)</f>
        <v>18</v>
      </c>
      <c r="G322" s="4">
        <f>VLOOKUP(Googleadssales[[#This Row],[Ad_ID]],'[1]pre processed data'!A:K,11,0)</f>
        <v>8</v>
      </c>
      <c r="H322" s="2">
        <f>Googleadssales[[#This Row],[Conversions]]/Googleadssales[[#This Row],[Clicks]]</f>
        <v>4.3956043956043959E-2</v>
      </c>
      <c r="I322" t="str">
        <f>VLOOKUP(Googleadssales[[#This Row],[Ad_ID]],'[1]pre processed data'!A:O,15,0)</f>
        <v>$1769</v>
      </c>
      <c r="J322" s="3">
        <f>VLOOKUP(Googleadssales[[#This Row],[Ad_ID]],'[1]pre processed data'!A:Q,17,0)</f>
        <v>45597</v>
      </c>
      <c r="K322" t="str">
        <f>VLOOKUP(Googleadssales[[#This Row],[Ad_ID]],'[1]pre processed data'!A:R,18,0)</f>
        <v>Bangaluru</v>
      </c>
      <c r="L322" t="str">
        <f>VLOOKUP(Googleadssales[[#This Row],[Ad_ID]],'[1]pre processed data'!A:S,19,0)</f>
        <v>Desktop</v>
      </c>
      <c r="M322" t="str">
        <f>VLOOKUP(Googleadssales[[#This Row],[Ad_ID]],'[1]pre processed data'!A:T,20,0)</f>
        <v>analytics for data</v>
      </c>
    </row>
    <row r="323" spans="1:13" x14ac:dyDescent="0.3">
      <c r="A323" t="s">
        <v>336</v>
      </c>
      <c r="B323" t="s">
        <v>14</v>
      </c>
      <c r="C323" s="4">
        <f>VLOOKUP(Googleadssales[[#This Row],[Ad_ID]],'[1]pre processed data'!A:C,3,0)</f>
        <v>99</v>
      </c>
      <c r="D323" s="4">
        <f>VLOOKUP(Googleadssales[[#This Row],[Ad_ID]],'[1]pre processed data'!A:E,5,0)</f>
        <v>3842</v>
      </c>
      <c r="E323" s="5" t="str">
        <f>VLOOKUP(Googleadssales[[#This Row],[Ad_ID]],[1]!Table3[[Ad_ID]:[Cost-imputed]],7,0)</f>
        <v>$246.3</v>
      </c>
      <c r="F323" s="4">
        <f>VLOOKUP(Googleadssales[[#This Row],[Ad_ID]],'[1]pre processed data'!A:I,9,0)</f>
        <v>23</v>
      </c>
      <c r="G323" s="4">
        <f>VLOOKUP(Googleadssales[[#This Row],[Ad_ID]],'[1]pre processed data'!A:K,11,0)</f>
        <v>8</v>
      </c>
      <c r="H323" s="2">
        <f>Googleadssales[[#This Row],[Conversions]]/Googleadssales[[#This Row],[Clicks]]</f>
        <v>8.0808080808080815E-2</v>
      </c>
      <c r="I323" t="str">
        <f>VLOOKUP(Googleadssales[[#This Row],[Ad_ID]],'[1]pre processed data'!A:O,15,0)</f>
        <v>$1452</v>
      </c>
      <c r="J323" s="3">
        <f>VLOOKUP(Googleadssales[[#This Row],[Ad_ID]],'[1]pre processed data'!A:Q,17,0)</f>
        <v>45606</v>
      </c>
      <c r="K323" t="str">
        <f>VLOOKUP(Googleadssales[[#This Row],[Ad_ID]],'[1]pre processed data'!A:R,18,0)</f>
        <v>Hyderabad</v>
      </c>
      <c r="L323" t="str">
        <f>VLOOKUP(Googleadssales[[#This Row],[Ad_ID]],'[1]pre processed data'!A:S,19,0)</f>
        <v>Tablet</v>
      </c>
      <c r="M323" t="str">
        <f>VLOOKUP(Googleadssales[[#This Row],[Ad_ID]],'[1]pre processed data'!A:T,20,0)</f>
        <v>online data analytic</v>
      </c>
    </row>
    <row r="324" spans="1:13" x14ac:dyDescent="0.3">
      <c r="A324" t="s">
        <v>337</v>
      </c>
      <c r="B324" t="s">
        <v>14</v>
      </c>
      <c r="C324" s="4">
        <f>VLOOKUP(Googleadssales[[#This Row],[Ad_ID]],'[1]pre processed data'!A:C,3,0)</f>
        <v>188</v>
      </c>
      <c r="D324" s="4">
        <f>VLOOKUP(Googleadssales[[#This Row],[Ad_ID]],'[1]pre processed data'!A:E,5,0)</f>
        <v>4022</v>
      </c>
      <c r="E324" s="5" t="str">
        <f>VLOOKUP(Googleadssales[[#This Row],[Ad_ID]],[1]!Table3[[Ad_ID]:[Cost-imputed]],7,0)</f>
        <v>$238.61</v>
      </c>
      <c r="F324" s="4">
        <f>VLOOKUP(Googleadssales[[#This Row],[Ad_ID]],'[1]pre processed data'!A:I,9,0)</f>
        <v>20</v>
      </c>
      <c r="G324" s="4">
        <f>VLOOKUP(Googleadssales[[#This Row],[Ad_ID]],'[1]pre processed data'!A:K,11,0)</f>
        <v>8</v>
      </c>
      <c r="H324" s="2">
        <f>Googleadssales[[#This Row],[Conversions]]/Googleadssales[[#This Row],[Clicks]]</f>
        <v>4.2553191489361701E-2</v>
      </c>
      <c r="I324" t="str">
        <f>VLOOKUP(Googleadssales[[#This Row],[Ad_ID]],'[1]pre processed data'!A:O,15,0)</f>
        <v>$1500</v>
      </c>
      <c r="J324" s="3">
        <f>VLOOKUP(Googleadssales[[#This Row],[Ad_ID]],'[1]pre processed data'!A:Q,17,0)</f>
        <v>45602</v>
      </c>
      <c r="K324" t="str">
        <f>VLOOKUP(Googleadssales[[#This Row],[Ad_ID]],'[1]pre processed data'!A:R,18,0)</f>
        <v>Hyderabad</v>
      </c>
      <c r="L324" t="str">
        <f>VLOOKUP(Googleadssales[[#This Row],[Ad_ID]],'[1]pre processed data'!A:S,19,0)</f>
        <v>Mobile</v>
      </c>
      <c r="M324" t="str">
        <f>VLOOKUP(Googleadssales[[#This Row],[Ad_ID]],'[1]pre processed data'!A:T,20,0)</f>
        <v>data analytics online</v>
      </c>
    </row>
    <row r="325" spans="1:13" x14ac:dyDescent="0.3">
      <c r="A325" t="s">
        <v>338</v>
      </c>
      <c r="B325" t="s">
        <v>14</v>
      </c>
      <c r="C325" s="4">
        <f>VLOOKUP(Googleadssales[[#This Row],[Ad_ID]],'[1]pre processed data'!A:C,3,0)</f>
        <v>193</v>
      </c>
      <c r="D325" s="4">
        <f>VLOOKUP(Googleadssales[[#This Row],[Ad_ID]],'[1]pre processed data'!A:E,5,0)</f>
        <v>5786</v>
      </c>
      <c r="E325" s="5" t="str">
        <f>VLOOKUP(Googleadssales[[#This Row],[Ad_ID]],[1]!Table3[[Ad_ID]:[Cost-imputed]],7,0)</f>
        <v>$201.51</v>
      </c>
      <c r="F325" s="4">
        <f>VLOOKUP(Googleadssales[[#This Row],[Ad_ID]],'[1]pre processed data'!A:I,9,0)</f>
        <v>16</v>
      </c>
      <c r="G325" s="4">
        <f>VLOOKUP(Googleadssales[[#This Row],[Ad_ID]],'[1]pre processed data'!A:K,11,0)</f>
        <v>10</v>
      </c>
      <c r="H325" s="2">
        <f>Googleadssales[[#This Row],[Conversions]]/Googleadssales[[#This Row],[Clicks]]</f>
        <v>5.181347150259067E-2</v>
      </c>
      <c r="I325" t="str">
        <f>VLOOKUP(Googleadssales[[#This Row],[Ad_ID]],'[1]pre processed data'!A:O,15,0)</f>
        <v>$1617</v>
      </c>
      <c r="J325" s="3">
        <f>VLOOKUP(Googleadssales[[#This Row],[Ad_ID]],'[1]pre processed data'!A:Q,17,0)</f>
        <v>45601</v>
      </c>
      <c r="K325" t="str">
        <f>VLOOKUP(Googleadssales[[#This Row],[Ad_ID]],'[1]pre processed data'!A:R,18,0)</f>
        <v>Hyderabad</v>
      </c>
      <c r="L325" t="str">
        <f>VLOOKUP(Googleadssales[[#This Row],[Ad_ID]],'[1]pre processed data'!A:S,19,0)</f>
        <v>Tablet</v>
      </c>
      <c r="M325" t="str">
        <f>VLOOKUP(Googleadssales[[#This Row],[Ad_ID]],'[1]pre processed data'!A:T,20,0)</f>
        <v>data analytics training</v>
      </c>
    </row>
    <row r="326" spans="1:13" x14ac:dyDescent="0.3">
      <c r="A326" t="s">
        <v>339</v>
      </c>
      <c r="B326" t="s">
        <v>18</v>
      </c>
      <c r="C326" s="4">
        <f>VLOOKUP(Googleadssales[[#This Row],[Ad_ID]],'[1]pre processed data'!A:C,3,0)</f>
        <v>107</v>
      </c>
      <c r="D326" s="4">
        <f>VLOOKUP(Googleadssales[[#This Row],[Ad_ID]],'[1]pre processed data'!A:E,5,0)</f>
        <v>4423</v>
      </c>
      <c r="E326" s="5" t="str">
        <f>VLOOKUP(Googleadssales[[#This Row],[Ad_ID]],[1]!Table3[[Ad_ID]:[Cost-imputed]],7,0)</f>
        <v>$239.47</v>
      </c>
      <c r="F326" s="4">
        <f>VLOOKUP(Googleadssales[[#This Row],[Ad_ID]],'[1]pre processed data'!A:I,9,0)</f>
        <v>25</v>
      </c>
      <c r="G326" s="4">
        <f>VLOOKUP(Googleadssales[[#This Row],[Ad_ID]],'[1]pre processed data'!A:K,11,0)</f>
        <v>9</v>
      </c>
      <c r="H326" s="2">
        <f>Googleadssales[[#This Row],[Conversions]]/Googleadssales[[#This Row],[Clicks]]</f>
        <v>8.4112149532710276E-2</v>
      </c>
      <c r="I326" t="str">
        <f>VLOOKUP(Googleadssales[[#This Row],[Ad_ID]],'[1]pre processed data'!A:O,15,0)</f>
        <v>$1370</v>
      </c>
      <c r="J326" s="3">
        <f>VLOOKUP(Googleadssales[[#This Row],[Ad_ID]],'[1]pre processed data'!A:Q,17,0)</f>
        <v>45619</v>
      </c>
      <c r="K326" t="str">
        <f>VLOOKUP(Googleadssales[[#This Row],[Ad_ID]],'[1]pre processed data'!A:R,18,0)</f>
        <v>Hyderabad</v>
      </c>
      <c r="L326" t="str">
        <f>VLOOKUP(Googleadssales[[#This Row],[Ad_ID]],'[1]pre processed data'!A:S,19,0)</f>
        <v>Desktop</v>
      </c>
      <c r="M326" t="str">
        <f>VLOOKUP(Googleadssales[[#This Row],[Ad_ID]],'[1]pre processed data'!A:T,20,0)</f>
        <v>analytics for data</v>
      </c>
    </row>
    <row r="327" spans="1:13" x14ac:dyDescent="0.3">
      <c r="A327" t="s">
        <v>340</v>
      </c>
      <c r="B327" t="s">
        <v>14</v>
      </c>
      <c r="C327" s="4">
        <f>VLOOKUP(Googleadssales[[#This Row],[Ad_ID]],'[1]pre processed data'!A:C,3,0)</f>
        <v>131</v>
      </c>
      <c r="D327" s="4">
        <f>VLOOKUP(Googleadssales[[#This Row],[Ad_ID]],'[1]pre processed data'!A:E,5,0)</f>
        <v>4228</v>
      </c>
      <c r="E327" s="5" t="str">
        <f>VLOOKUP(Googleadssales[[#This Row],[Ad_ID]],[1]!Table3[[Ad_ID]:[Cost-imputed]],7,0)</f>
        <v>$230.18</v>
      </c>
      <c r="F327" s="4">
        <f>VLOOKUP(Googleadssales[[#This Row],[Ad_ID]],'[1]pre processed data'!A:I,9,0)</f>
        <v>16</v>
      </c>
      <c r="G327" s="4">
        <f>VLOOKUP(Googleadssales[[#This Row],[Ad_ID]],'[1]pre processed data'!A:K,11,0)</f>
        <v>9</v>
      </c>
      <c r="H327" s="2">
        <f>Googleadssales[[#This Row],[Conversions]]/Googleadssales[[#This Row],[Clicks]]</f>
        <v>6.8702290076335881E-2</v>
      </c>
      <c r="I327" t="str">
        <f>VLOOKUP(Googleadssales[[#This Row],[Ad_ID]],'[1]pre processed data'!A:O,15,0)</f>
        <v>$1393</v>
      </c>
      <c r="J327" s="3">
        <f>VLOOKUP(Googleadssales[[#This Row],[Ad_ID]],'[1]pre processed data'!A:Q,17,0)</f>
        <v>45603</v>
      </c>
      <c r="K327" t="str">
        <f>VLOOKUP(Googleadssales[[#This Row],[Ad_ID]],'[1]pre processed data'!A:R,18,0)</f>
        <v>Bangaluru</v>
      </c>
      <c r="L327" t="str">
        <f>VLOOKUP(Googleadssales[[#This Row],[Ad_ID]],'[1]pre processed data'!A:S,19,0)</f>
        <v>Desktop</v>
      </c>
      <c r="M327" t="str">
        <f>VLOOKUP(Googleadssales[[#This Row],[Ad_ID]],'[1]pre processed data'!A:T,20,0)</f>
        <v>data analytics training</v>
      </c>
    </row>
    <row r="328" spans="1:13" x14ac:dyDescent="0.3">
      <c r="A328" t="s">
        <v>341</v>
      </c>
      <c r="B328" t="s">
        <v>14</v>
      </c>
      <c r="C328" s="4">
        <f>VLOOKUP(Googleadssales[[#This Row],[Ad_ID]],'[1]pre processed data'!A:C,3,0)</f>
        <v>139</v>
      </c>
      <c r="D328" s="4">
        <f>VLOOKUP(Googleadssales[[#This Row],[Ad_ID]],'[1]pre processed data'!A:E,5,0)</f>
        <v>5120</v>
      </c>
      <c r="E328" s="5" t="str">
        <f>VLOOKUP(Googleadssales[[#This Row],[Ad_ID]],[1]!Table3[[Ad_ID]:[Cost-imputed]],7,0)</f>
        <v>$199.3</v>
      </c>
      <c r="F328" s="4">
        <f>VLOOKUP(Googleadssales[[#This Row],[Ad_ID]],'[1]pre processed data'!A:I,9,0)</f>
        <v>24</v>
      </c>
      <c r="G328" s="4">
        <f>VLOOKUP(Googleadssales[[#This Row],[Ad_ID]],'[1]pre processed data'!A:K,11,0)</f>
        <v>5</v>
      </c>
      <c r="H328" s="2">
        <f>Googleadssales[[#This Row],[Conversions]]/Googleadssales[[#This Row],[Clicks]]</f>
        <v>3.5971223021582732E-2</v>
      </c>
      <c r="I328" t="str">
        <f>VLOOKUP(Googleadssales[[#This Row],[Ad_ID]],'[1]pre processed data'!A:O,15,0)</f>
        <v>$1835</v>
      </c>
      <c r="J328" s="3">
        <f>VLOOKUP(Googleadssales[[#This Row],[Ad_ID]],'[1]pre processed data'!A:Q,17,0)</f>
        <v>45619</v>
      </c>
      <c r="K328" t="str">
        <f>VLOOKUP(Googleadssales[[#This Row],[Ad_ID]],'[1]pre processed data'!A:R,18,0)</f>
        <v>Bangaluru</v>
      </c>
      <c r="L328" t="str">
        <f>VLOOKUP(Googleadssales[[#This Row],[Ad_ID]],'[1]pre processed data'!A:S,19,0)</f>
        <v>Mobile</v>
      </c>
      <c r="M328" t="str">
        <f>VLOOKUP(Googleadssales[[#This Row],[Ad_ID]],'[1]pre processed data'!A:T,20,0)</f>
        <v>data analytics course</v>
      </c>
    </row>
    <row r="329" spans="1:13" x14ac:dyDescent="0.3">
      <c r="A329" t="s">
        <v>342</v>
      </c>
      <c r="B329" t="s">
        <v>14</v>
      </c>
      <c r="C329" s="4">
        <f>VLOOKUP(Googleadssales[[#This Row],[Ad_ID]],'[1]pre processed data'!A:C,3,0)</f>
        <v>141</v>
      </c>
      <c r="D329" s="4">
        <f>VLOOKUP(Googleadssales[[#This Row],[Ad_ID]],'[1]pre processed data'!A:E,5,0)</f>
        <v>3600</v>
      </c>
      <c r="E329" s="5" t="str">
        <f>VLOOKUP(Googleadssales[[#This Row],[Ad_ID]],[1]!Table3[[Ad_ID]:[Cost-imputed]],7,0)</f>
        <v>$227.54</v>
      </c>
      <c r="F329" s="4">
        <f>VLOOKUP(Googleadssales[[#This Row],[Ad_ID]],'[1]pre processed data'!A:I,9,0)</f>
        <v>20</v>
      </c>
      <c r="G329" s="4">
        <f>VLOOKUP(Googleadssales[[#This Row],[Ad_ID]],'[1]pre processed data'!A:K,11,0)</f>
        <v>6</v>
      </c>
      <c r="H329" s="2">
        <f>Googleadssales[[#This Row],[Conversions]]/Googleadssales[[#This Row],[Clicks]]</f>
        <v>4.2553191489361701E-2</v>
      </c>
      <c r="I329" t="str">
        <f>VLOOKUP(Googleadssales[[#This Row],[Ad_ID]],'[1]pre processed data'!A:O,15,0)</f>
        <v>$1367</v>
      </c>
      <c r="J329" s="3">
        <f>VLOOKUP(Googleadssales[[#This Row],[Ad_ID]],'[1]pre processed data'!A:Q,17,0)</f>
        <v>45603</v>
      </c>
      <c r="K329" t="str">
        <f>VLOOKUP(Googleadssales[[#This Row],[Ad_ID]],'[1]pre processed data'!A:R,18,0)</f>
        <v>Hyderabad</v>
      </c>
      <c r="L329" t="str">
        <f>VLOOKUP(Googleadssales[[#This Row],[Ad_ID]],'[1]pre processed data'!A:S,19,0)</f>
        <v>Desktop</v>
      </c>
      <c r="M329" t="str">
        <f>VLOOKUP(Googleadssales[[#This Row],[Ad_ID]],'[1]pre processed data'!A:T,20,0)</f>
        <v>learn data analytics</v>
      </c>
    </row>
    <row r="330" spans="1:13" x14ac:dyDescent="0.3">
      <c r="A330" t="s">
        <v>343</v>
      </c>
      <c r="B330" t="s">
        <v>14</v>
      </c>
      <c r="C330" s="4">
        <f>VLOOKUP(Googleadssales[[#This Row],[Ad_ID]],'[1]pre processed data'!A:C,3,0)</f>
        <v>175</v>
      </c>
      <c r="D330" s="4">
        <f>VLOOKUP(Googleadssales[[#This Row],[Ad_ID]],'[1]pre processed data'!A:E,5,0)</f>
        <v>5016</v>
      </c>
      <c r="E330" s="5" t="str">
        <f>VLOOKUP(Googleadssales[[#This Row],[Ad_ID]],[1]!Table3[[Ad_ID]:[Cost-imputed]],7,0)</f>
        <v>$200.00</v>
      </c>
      <c r="F330" s="4">
        <f>VLOOKUP(Googleadssales[[#This Row],[Ad_ID]],'[1]pre processed data'!A:I,9,0)</f>
        <v>16</v>
      </c>
      <c r="G330" s="4">
        <f>VLOOKUP(Googleadssales[[#This Row],[Ad_ID]],'[1]pre processed data'!A:K,11,0)</f>
        <v>3</v>
      </c>
      <c r="H330" s="2">
        <f>Googleadssales[[#This Row],[Conversions]]/Googleadssales[[#This Row],[Clicks]]</f>
        <v>1.7142857142857144E-2</v>
      </c>
      <c r="I330" t="str">
        <f>VLOOKUP(Googleadssales[[#This Row],[Ad_ID]],'[1]pre processed data'!A:O,15,0)</f>
        <v>$1836</v>
      </c>
      <c r="J330" s="3">
        <f>VLOOKUP(Googleadssales[[#This Row],[Ad_ID]],'[1]pre processed data'!A:Q,17,0)</f>
        <v>45603</v>
      </c>
      <c r="K330" t="str">
        <f>VLOOKUP(Googleadssales[[#This Row],[Ad_ID]],'[1]pre processed data'!A:R,18,0)</f>
        <v>Hyderabad</v>
      </c>
      <c r="L330" t="str">
        <f>VLOOKUP(Googleadssales[[#This Row],[Ad_ID]],'[1]pre processed data'!A:S,19,0)</f>
        <v>Tablet</v>
      </c>
      <c r="M330" t="str">
        <f>VLOOKUP(Googleadssales[[#This Row],[Ad_ID]],'[1]pre processed data'!A:T,20,0)</f>
        <v>learn data analytics</v>
      </c>
    </row>
    <row r="331" spans="1:13" x14ac:dyDescent="0.3">
      <c r="A331" t="s">
        <v>344</v>
      </c>
      <c r="B331" t="s">
        <v>14</v>
      </c>
      <c r="C331" s="4">
        <f>VLOOKUP(Googleadssales[[#This Row],[Ad_ID]],'[1]pre processed data'!A:C,3,0)</f>
        <v>96</v>
      </c>
      <c r="D331" s="4">
        <f>VLOOKUP(Googleadssales[[#This Row],[Ad_ID]],'[1]pre processed data'!A:E,5,0)</f>
        <v>5771</v>
      </c>
      <c r="E331" s="5" t="str">
        <f>VLOOKUP(Googleadssales[[#This Row],[Ad_ID]],[1]!Table3[[Ad_ID]:[Cost-imputed]],7,0)</f>
        <v>$213.98</v>
      </c>
      <c r="F331" s="4">
        <f>VLOOKUP(Googleadssales[[#This Row],[Ad_ID]],'[1]pre processed data'!A:I,9,0)</f>
        <v>30</v>
      </c>
      <c r="G331" s="4">
        <f>VLOOKUP(Googleadssales[[#This Row],[Ad_ID]],'[1]pre processed data'!A:K,11,0)</f>
        <v>3</v>
      </c>
      <c r="H331" s="2">
        <f>Googleadssales[[#This Row],[Conversions]]/Googleadssales[[#This Row],[Clicks]]</f>
        <v>3.125E-2</v>
      </c>
      <c r="I331" t="str">
        <f>VLOOKUP(Googleadssales[[#This Row],[Ad_ID]],'[1]pre processed data'!A:O,15,0)</f>
        <v>$1130</v>
      </c>
      <c r="J331" s="3">
        <f>VLOOKUP(Googleadssales[[#This Row],[Ad_ID]],'[1]pre processed data'!A:Q,17,0)</f>
        <v>45626</v>
      </c>
      <c r="K331" t="str">
        <f>VLOOKUP(Googleadssales[[#This Row],[Ad_ID]],'[1]pre processed data'!A:R,18,0)</f>
        <v>Chennai</v>
      </c>
      <c r="L331" t="str">
        <f>VLOOKUP(Googleadssales[[#This Row],[Ad_ID]],'[1]pre processed data'!A:S,19,0)</f>
        <v>Mobile</v>
      </c>
      <c r="M331" t="str">
        <f>VLOOKUP(Googleadssales[[#This Row],[Ad_ID]],'[1]pre processed data'!A:T,20,0)</f>
        <v>analytics for data</v>
      </c>
    </row>
    <row r="332" spans="1:13" x14ac:dyDescent="0.3">
      <c r="A332" t="s">
        <v>345</v>
      </c>
      <c r="B332" t="s">
        <v>14</v>
      </c>
      <c r="C332" s="4">
        <f>VLOOKUP(Googleadssales[[#This Row],[Ad_ID]],'[1]pre processed data'!A:C,3,0)</f>
        <v>138.95699356913184</v>
      </c>
      <c r="D332" s="4">
        <f>VLOOKUP(Googleadssales[[#This Row],[Ad_ID]],'[1]pre processed data'!A:E,5,0)</f>
        <v>4615</v>
      </c>
      <c r="E332" s="5" t="str">
        <f>VLOOKUP(Googleadssales[[#This Row],[Ad_ID]],[1]!Table3[[Ad_ID]:[Cost-imputed]],7,0)</f>
        <v>$194.89</v>
      </c>
      <c r="F332" s="4">
        <f>VLOOKUP(Googleadssales[[#This Row],[Ad_ID]],'[1]pre processed data'!A:I,9,0)</f>
        <v>12</v>
      </c>
      <c r="G332" s="4">
        <f>VLOOKUP(Googleadssales[[#This Row],[Ad_ID]],'[1]pre processed data'!A:K,11,0)</f>
        <v>6</v>
      </c>
      <c r="H332" s="2">
        <f>Googleadssales[[#This Row],[Conversions]]/Googleadssales[[#This Row],[Clicks]]</f>
        <v>4.317882710246583E-2</v>
      </c>
      <c r="I332" t="str">
        <f>VLOOKUP(Googleadssales[[#This Row],[Ad_ID]],'[1]pre processed data'!A:O,15,0)</f>
        <v>$1923</v>
      </c>
      <c r="J332" s="3">
        <f>VLOOKUP(Googleadssales[[#This Row],[Ad_ID]],'[1]pre processed data'!A:Q,17,0)</f>
        <v>45621</v>
      </c>
      <c r="K332" t="str">
        <f>VLOOKUP(Googleadssales[[#This Row],[Ad_ID]],'[1]pre processed data'!A:R,18,0)</f>
        <v>Chennai</v>
      </c>
      <c r="L332" t="str">
        <f>VLOOKUP(Googleadssales[[#This Row],[Ad_ID]],'[1]pre processed data'!A:S,19,0)</f>
        <v>Tablet</v>
      </c>
      <c r="M332" t="str">
        <f>VLOOKUP(Googleadssales[[#This Row],[Ad_ID]],'[1]pre processed data'!A:T,20,0)</f>
        <v>data analytics training</v>
      </c>
    </row>
    <row r="333" spans="1:13" x14ac:dyDescent="0.3">
      <c r="A333" t="s">
        <v>346</v>
      </c>
      <c r="B333" t="s">
        <v>14</v>
      </c>
      <c r="C333" s="4">
        <f>VLOOKUP(Googleadssales[[#This Row],[Ad_ID]],'[1]pre processed data'!A:C,3,0)</f>
        <v>187</v>
      </c>
      <c r="D333" s="4">
        <f>VLOOKUP(Googleadssales[[#This Row],[Ad_ID]],'[1]pre processed data'!A:E,5,0)</f>
        <v>3115</v>
      </c>
      <c r="E333" s="5" t="str">
        <f>VLOOKUP(Googleadssales[[#This Row],[Ad_ID]],[1]!Table3[[Ad_ID]:[Cost-imputed]],7,0)</f>
        <v>$184.61</v>
      </c>
      <c r="F333" s="4">
        <f>VLOOKUP(Googleadssales[[#This Row],[Ad_ID]],'[1]pre processed data'!A:I,9,0)</f>
        <v>12</v>
      </c>
      <c r="G333" s="4">
        <f>VLOOKUP(Googleadssales[[#This Row],[Ad_ID]],'[1]pre processed data'!A:K,11,0)</f>
        <v>3</v>
      </c>
      <c r="H333" s="2">
        <f>Googleadssales[[#This Row],[Conversions]]/Googleadssales[[#This Row],[Clicks]]</f>
        <v>1.6042780748663103E-2</v>
      </c>
      <c r="I333" t="str">
        <f>VLOOKUP(Googleadssales[[#This Row],[Ad_ID]],'[1]pre processed data'!A:O,15,0)</f>
        <v>$1324</v>
      </c>
      <c r="J333" s="3">
        <f>VLOOKUP(Googleadssales[[#This Row],[Ad_ID]],'[1]pre processed data'!A:Q,17,0)</f>
        <v>45626</v>
      </c>
      <c r="K333" t="str">
        <f>VLOOKUP(Googleadssales[[#This Row],[Ad_ID]],'[1]pre processed data'!A:R,18,0)</f>
        <v>Chennai</v>
      </c>
      <c r="L333" t="str">
        <f>VLOOKUP(Googleadssales[[#This Row],[Ad_ID]],'[1]pre processed data'!A:S,19,0)</f>
        <v>Mobile</v>
      </c>
      <c r="M333" t="str">
        <f>VLOOKUP(Googleadssales[[#This Row],[Ad_ID]],'[1]pre processed data'!A:T,20,0)</f>
        <v>learn data analytics</v>
      </c>
    </row>
    <row r="334" spans="1:13" x14ac:dyDescent="0.3">
      <c r="A334" t="s">
        <v>347</v>
      </c>
      <c r="B334" t="s">
        <v>14</v>
      </c>
      <c r="C334" s="4">
        <f>VLOOKUP(Googleadssales[[#This Row],[Ad_ID]],'[1]pre processed data'!A:C,3,0)</f>
        <v>153</v>
      </c>
      <c r="D334" s="4">
        <f>VLOOKUP(Googleadssales[[#This Row],[Ad_ID]],'[1]pre processed data'!A:E,5,0)</f>
        <v>5886</v>
      </c>
      <c r="E334" s="5" t="str">
        <f>VLOOKUP(Googleadssales[[#This Row],[Ad_ID]],[1]!Table3[[Ad_ID]:[Cost-imputed]],7,0)</f>
        <v>$218.33</v>
      </c>
      <c r="F334" s="4">
        <f>VLOOKUP(Googleadssales[[#This Row],[Ad_ID]],'[1]pre processed data'!A:I,9,0)</f>
        <v>29</v>
      </c>
      <c r="G334" s="4">
        <f>VLOOKUP(Googleadssales[[#This Row],[Ad_ID]],'[1]pre processed data'!A:K,11,0)</f>
        <v>3</v>
      </c>
      <c r="H334" s="2">
        <f>Googleadssales[[#This Row],[Conversions]]/Googleadssales[[#This Row],[Clicks]]</f>
        <v>1.9607843137254902E-2</v>
      </c>
      <c r="I334" t="str">
        <f>VLOOKUP(Googleadssales[[#This Row],[Ad_ID]],'[1]pre processed data'!A:O,15,0)</f>
        <v>$1424</v>
      </c>
      <c r="J334" s="3">
        <f>VLOOKUP(Googleadssales[[#This Row],[Ad_ID]],'[1]pre processed data'!A:Q,17,0)</f>
        <v>45616</v>
      </c>
      <c r="K334" t="str">
        <f>VLOOKUP(Googleadssales[[#This Row],[Ad_ID]],'[1]pre processed data'!A:R,18,0)</f>
        <v>Hyderabad</v>
      </c>
      <c r="L334" t="str">
        <f>VLOOKUP(Googleadssales[[#This Row],[Ad_ID]],'[1]pre processed data'!A:S,19,0)</f>
        <v>Mobile</v>
      </c>
      <c r="M334" t="str">
        <f>VLOOKUP(Googleadssales[[#This Row],[Ad_ID]],'[1]pre processed data'!A:T,20,0)</f>
        <v>analytics for data</v>
      </c>
    </row>
    <row r="335" spans="1:13" x14ac:dyDescent="0.3">
      <c r="A335" t="s">
        <v>348</v>
      </c>
      <c r="B335" t="s">
        <v>14</v>
      </c>
      <c r="C335" s="4">
        <f>VLOOKUP(Googleadssales[[#This Row],[Ad_ID]],'[1]pre processed data'!A:C,3,0)</f>
        <v>122</v>
      </c>
      <c r="D335" s="4">
        <f>VLOOKUP(Googleadssales[[#This Row],[Ad_ID]],'[1]pre processed data'!A:E,5,0)</f>
        <v>4929</v>
      </c>
      <c r="E335" s="5" t="str">
        <f>VLOOKUP(Googleadssales[[#This Row],[Ad_ID]],[1]!Table3[[Ad_ID]:[Cost-imputed]],7,0)</f>
        <v>$192.72</v>
      </c>
      <c r="F335" s="4">
        <f>VLOOKUP(Googleadssales[[#This Row],[Ad_ID]],'[1]pre processed data'!A:I,9,0)</f>
        <v>10</v>
      </c>
      <c r="G335" s="4">
        <f>VLOOKUP(Googleadssales[[#This Row],[Ad_ID]],'[1]pre processed data'!A:K,11,0)</f>
        <v>10</v>
      </c>
      <c r="H335" s="2">
        <f>Googleadssales[[#This Row],[Conversions]]/Googleadssales[[#This Row],[Clicks]]</f>
        <v>8.1967213114754092E-2</v>
      </c>
      <c r="I335" t="str">
        <f>VLOOKUP(Googleadssales[[#This Row],[Ad_ID]],'[1]pre processed data'!A:O,15,0)</f>
        <v>$1500</v>
      </c>
      <c r="J335" s="3">
        <f>VLOOKUP(Googleadssales[[#This Row],[Ad_ID]],'[1]pre processed data'!A:Q,17,0)</f>
        <v>45608</v>
      </c>
      <c r="K335" t="str">
        <f>VLOOKUP(Googleadssales[[#This Row],[Ad_ID]],'[1]pre processed data'!A:R,18,0)</f>
        <v>Chennai</v>
      </c>
      <c r="L335" t="str">
        <f>VLOOKUP(Googleadssales[[#This Row],[Ad_ID]],'[1]pre processed data'!A:S,19,0)</f>
        <v>Desktop</v>
      </c>
      <c r="M335" t="str">
        <f>VLOOKUP(Googleadssales[[#This Row],[Ad_ID]],'[1]pre processed data'!A:T,20,0)</f>
        <v>data analytics training</v>
      </c>
    </row>
    <row r="336" spans="1:13" x14ac:dyDescent="0.3">
      <c r="A336" t="s">
        <v>349</v>
      </c>
      <c r="B336" t="s">
        <v>14</v>
      </c>
      <c r="C336" s="4">
        <f>VLOOKUP(Googleadssales[[#This Row],[Ad_ID]],'[1]pre processed data'!A:C,3,0)</f>
        <v>151</v>
      </c>
      <c r="D336" s="4">
        <f>VLOOKUP(Googleadssales[[#This Row],[Ad_ID]],'[1]pre processed data'!A:E,5,0)</f>
        <v>4357</v>
      </c>
      <c r="E336" s="5" t="str">
        <f>VLOOKUP(Googleadssales[[#This Row],[Ad_ID]],[1]!Table3[[Ad_ID]:[Cost-imputed]],7,0)</f>
        <v>$238.69</v>
      </c>
      <c r="F336" s="4">
        <f>VLOOKUP(Googleadssales[[#This Row],[Ad_ID]],'[1]pre processed data'!A:I,9,0)</f>
        <v>28</v>
      </c>
      <c r="G336" s="4">
        <f>VLOOKUP(Googleadssales[[#This Row],[Ad_ID]],'[1]pre processed data'!A:K,11,0)</f>
        <v>9</v>
      </c>
      <c r="H336" s="2">
        <f>Googleadssales[[#This Row],[Conversions]]/Googleadssales[[#This Row],[Clicks]]</f>
        <v>5.9602649006622516E-2</v>
      </c>
      <c r="I336" t="str">
        <f>VLOOKUP(Googleadssales[[#This Row],[Ad_ID]],'[1]pre processed data'!A:O,15,0)</f>
        <v>$1447</v>
      </c>
      <c r="J336" s="3">
        <f>VLOOKUP(Googleadssales[[#This Row],[Ad_ID]],'[1]pre processed data'!A:Q,17,0)</f>
        <v>45609</v>
      </c>
      <c r="K336" t="str">
        <f>VLOOKUP(Googleadssales[[#This Row],[Ad_ID]],'[1]pre processed data'!A:R,18,0)</f>
        <v>Hyderabad</v>
      </c>
      <c r="L336" t="str">
        <f>VLOOKUP(Googleadssales[[#This Row],[Ad_ID]],'[1]pre processed data'!A:S,19,0)</f>
        <v>Tablet</v>
      </c>
      <c r="M336" t="str">
        <f>VLOOKUP(Googleadssales[[#This Row],[Ad_ID]],'[1]pre processed data'!A:T,20,0)</f>
        <v>analytics for data</v>
      </c>
    </row>
    <row r="337" spans="1:13" x14ac:dyDescent="0.3">
      <c r="A337" t="s">
        <v>350</v>
      </c>
      <c r="B337" t="s">
        <v>14</v>
      </c>
      <c r="C337" s="4">
        <f>VLOOKUP(Googleadssales[[#This Row],[Ad_ID]],'[1]pre processed data'!A:C,3,0)</f>
        <v>116</v>
      </c>
      <c r="D337" s="4">
        <f>VLOOKUP(Googleadssales[[#This Row],[Ad_ID]],'[1]pre processed data'!A:E,5,0)</f>
        <v>4519</v>
      </c>
      <c r="E337" s="5" t="str">
        <f>VLOOKUP(Googleadssales[[#This Row],[Ad_ID]],[1]!Table3[[Ad_ID]:[Cost-imputed]],7,0)</f>
        <v>$184.29</v>
      </c>
      <c r="F337" s="4">
        <f>VLOOKUP(Googleadssales[[#This Row],[Ad_ID]],'[1]pre processed data'!A:I,9,0)</f>
        <v>23</v>
      </c>
      <c r="G337" s="4">
        <f>VLOOKUP(Googleadssales[[#This Row],[Ad_ID]],'[1]pre processed data'!A:K,11,0)</f>
        <v>7</v>
      </c>
      <c r="H337" s="2">
        <f>Googleadssales[[#This Row],[Conversions]]/Googleadssales[[#This Row],[Clicks]]</f>
        <v>6.0344827586206899E-2</v>
      </c>
      <c r="I337" t="str">
        <f>VLOOKUP(Googleadssales[[#This Row],[Ad_ID]],'[1]pre processed data'!A:O,15,0)</f>
        <v>$1070</v>
      </c>
      <c r="J337" s="3">
        <f>VLOOKUP(Googleadssales[[#This Row],[Ad_ID]],'[1]pre processed data'!A:Q,17,0)</f>
        <v>45608</v>
      </c>
      <c r="K337" t="str">
        <f>VLOOKUP(Googleadssales[[#This Row],[Ad_ID]],'[1]pre processed data'!A:R,18,0)</f>
        <v>Hyderabad</v>
      </c>
      <c r="L337" t="str">
        <f>VLOOKUP(Googleadssales[[#This Row],[Ad_ID]],'[1]pre processed data'!A:S,19,0)</f>
        <v>Desktop</v>
      </c>
      <c r="M337" t="str">
        <f>VLOOKUP(Googleadssales[[#This Row],[Ad_ID]],'[1]pre processed data'!A:T,20,0)</f>
        <v>data analytics training</v>
      </c>
    </row>
    <row r="338" spans="1:13" x14ac:dyDescent="0.3">
      <c r="A338" t="s">
        <v>351</v>
      </c>
      <c r="B338" t="s">
        <v>14</v>
      </c>
      <c r="C338" s="4">
        <f>VLOOKUP(Googleadssales[[#This Row],[Ad_ID]],'[1]pre processed data'!A:C,3,0)</f>
        <v>145</v>
      </c>
      <c r="D338" s="4">
        <f>VLOOKUP(Googleadssales[[#This Row],[Ad_ID]],'[1]pre processed data'!A:E,5,0)</f>
        <v>5612</v>
      </c>
      <c r="E338" s="5" t="str">
        <f>VLOOKUP(Googleadssales[[#This Row],[Ad_ID]],[1]!Table3[[Ad_ID]:[Cost-imputed]],7,0)</f>
        <v>$207.34</v>
      </c>
      <c r="F338" s="4">
        <f>VLOOKUP(Googleadssales[[#This Row],[Ad_ID]],'[1]pre processed data'!A:I,9,0)</f>
        <v>22</v>
      </c>
      <c r="G338" s="4">
        <f>VLOOKUP(Googleadssales[[#This Row],[Ad_ID]],'[1]pre processed data'!A:K,11,0)</f>
        <v>4</v>
      </c>
      <c r="H338" s="2">
        <f>Googleadssales[[#This Row],[Conversions]]/Googleadssales[[#This Row],[Clicks]]</f>
        <v>2.7586206896551724E-2</v>
      </c>
      <c r="I338" t="str">
        <f>VLOOKUP(Googleadssales[[#This Row],[Ad_ID]],'[1]pre processed data'!A:O,15,0)</f>
        <v>$1689</v>
      </c>
      <c r="J338" s="3">
        <f>VLOOKUP(Googleadssales[[#This Row],[Ad_ID]],'[1]pre processed data'!A:Q,17,0)</f>
        <v>45608</v>
      </c>
      <c r="K338" t="str">
        <f>VLOOKUP(Googleadssales[[#This Row],[Ad_ID]],'[1]pre processed data'!A:R,18,0)</f>
        <v>Hyderabad</v>
      </c>
      <c r="L338" t="str">
        <f>VLOOKUP(Googleadssales[[#This Row],[Ad_ID]],'[1]pre processed data'!A:S,19,0)</f>
        <v>Desktop</v>
      </c>
      <c r="M338" t="str">
        <f>VLOOKUP(Googleadssales[[#This Row],[Ad_ID]],'[1]pre processed data'!A:T,20,0)</f>
        <v>learn data analytics</v>
      </c>
    </row>
    <row r="339" spans="1:13" x14ac:dyDescent="0.3">
      <c r="A339" t="s">
        <v>352</v>
      </c>
      <c r="B339" t="s">
        <v>14</v>
      </c>
      <c r="C339" s="4">
        <f>VLOOKUP(Googleadssales[[#This Row],[Ad_ID]],'[1]pre processed data'!A:C,3,0)</f>
        <v>90</v>
      </c>
      <c r="D339" s="4">
        <f>VLOOKUP(Googleadssales[[#This Row],[Ad_ID]],'[1]pre processed data'!A:E,5,0)</f>
        <v>3251</v>
      </c>
      <c r="E339" s="5" t="str">
        <f>VLOOKUP(Googleadssales[[#This Row],[Ad_ID]],[1]!Table3[[Ad_ID]:[Cost-imputed]],7,0)</f>
        <v>$198.69</v>
      </c>
      <c r="F339" s="4">
        <f>VLOOKUP(Googleadssales[[#This Row],[Ad_ID]],'[1]pre processed data'!A:I,9,0)</f>
        <v>12</v>
      </c>
      <c r="G339" s="4">
        <f>VLOOKUP(Googleadssales[[#This Row],[Ad_ID]],'[1]pre processed data'!A:K,11,0)</f>
        <v>7</v>
      </c>
      <c r="H339" s="2">
        <f>Googleadssales[[#This Row],[Conversions]]/Googleadssales[[#This Row],[Clicks]]</f>
        <v>7.7777777777777779E-2</v>
      </c>
      <c r="I339" t="str">
        <f>VLOOKUP(Googleadssales[[#This Row],[Ad_ID]],'[1]pre processed data'!A:O,15,0)</f>
        <v>$1044</v>
      </c>
      <c r="J339" s="3">
        <f>VLOOKUP(Googleadssales[[#This Row],[Ad_ID]],'[1]pre processed data'!A:Q,17,0)</f>
        <v>45626</v>
      </c>
      <c r="K339" t="str">
        <f>VLOOKUP(Googleadssales[[#This Row],[Ad_ID]],'[1]pre processed data'!A:R,18,0)</f>
        <v>Hyderabad</v>
      </c>
      <c r="L339" t="str">
        <f>VLOOKUP(Googleadssales[[#This Row],[Ad_ID]],'[1]pre processed data'!A:S,19,0)</f>
        <v>Mobile</v>
      </c>
      <c r="M339" t="str">
        <f>VLOOKUP(Googleadssales[[#This Row],[Ad_ID]],'[1]pre processed data'!A:T,20,0)</f>
        <v>learn data analytics</v>
      </c>
    </row>
    <row r="340" spans="1:13" x14ac:dyDescent="0.3">
      <c r="A340" t="s">
        <v>353</v>
      </c>
      <c r="B340" t="s">
        <v>14</v>
      </c>
      <c r="C340" s="4">
        <f>VLOOKUP(Googleadssales[[#This Row],[Ad_ID]],'[1]pre processed data'!A:C,3,0)</f>
        <v>133</v>
      </c>
      <c r="D340" s="4">
        <f>VLOOKUP(Googleadssales[[#This Row],[Ad_ID]],'[1]pre processed data'!A:E,5,0)</f>
        <v>3360</v>
      </c>
      <c r="E340" s="5" t="str">
        <f>VLOOKUP(Googleadssales[[#This Row],[Ad_ID]],[1]!Table3[[Ad_ID]:[Cost-imputed]],7,0)</f>
        <v>$203.78</v>
      </c>
      <c r="F340" s="4">
        <f>VLOOKUP(Googleadssales[[#This Row],[Ad_ID]],'[1]pre processed data'!A:I,9,0)</f>
        <v>13</v>
      </c>
      <c r="G340" s="4">
        <f>VLOOKUP(Googleadssales[[#This Row],[Ad_ID]],'[1]pre processed data'!A:K,11,0)</f>
        <v>9</v>
      </c>
      <c r="H340" s="2">
        <f>Googleadssales[[#This Row],[Conversions]]/Googleadssales[[#This Row],[Clicks]]</f>
        <v>6.7669172932330823E-2</v>
      </c>
      <c r="I340" t="str">
        <f>VLOOKUP(Googleadssales[[#This Row],[Ad_ID]],'[1]pre processed data'!A:O,15,0)</f>
        <v>$1654</v>
      </c>
      <c r="J340" s="3">
        <f>VLOOKUP(Googleadssales[[#This Row],[Ad_ID]],'[1]pre processed data'!A:Q,17,0)</f>
        <v>45610</v>
      </c>
      <c r="K340" t="str">
        <f>VLOOKUP(Googleadssales[[#This Row],[Ad_ID]],'[1]pre processed data'!A:R,18,0)</f>
        <v>Bangaluru</v>
      </c>
      <c r="L340" t="str">
        <f>VLOOKUP(Googleadssales[[#This Row],[Ad_ID]],'[1]pre processed data'!A:S,19,0)</f>
        <v>Mobile</v>
      </c>
      <c r="M340" t="str">
        <f>VLOOKUP(Googleadssales[[#This Row],[Ad_ID]],'[1]pre processed data'!A:T,20,0)</f>
        <v>online data analytic</v>
      </c>
    </row>
    <row r="341" spans="1:13" x14ac:dyDescent="0.3">
      <c r="A341" t="s">
        <v>354</v>
      </c>
      <c r="B341" t="s">
        <v>14</v>
      </c>
      <c r="C341" s="4">
        <f>VLOOKUP(Googleadssales[[#This Row],[Ad_ID]],'[1]pre processed data'!A:C,3,0)</f>
        <v>135</v>
      </c>
      <c r="D341" s="4">
        <f>VLOOKUP(Googleadssales[[#This Row],[Ad_ID]],'[1]pre processed data'!A:E,5,0)</f>
        <v>5891</v>
      </c>
      <c r="E341" s="5" t="str">
        <f>VLOOKUP(Googleadssales[[#This Row],[Ad_ID]],[1]!Table3[[Ad_ID]:[Cost-imputed]],7,0)</f>
        <v>$245.69</v>
      </c>
      <c r="F341" s="4">
        <f>VLOOKUP(Googleadssales[[#This Row],[Ad_ID]],'[1]pre processed data'!A:I,9,0)</f>
        <v>21</v>
      </c>
      <c r="G341" s="4">
        <f>VLOOKUP(Googleadssales[[#This Row],[Ad_ID]],'[1]pre processed data'!A:K,11,0)</f>
        <v>6</v>
      </c>
      <c r="H341" s="2">
        <f>Googleadssales[[#This Row],[Conversions]]/Googleadssales[[#This Row],[Clicks]]</f>
        <v>4.4444444444444446E-2</v>
      </c>
      <c r="I341" t="str">
        <f>VLOOKUP(Googleadssales[[#This Row],[Ad_ID]],'[1]pre processed data'!A:O,15,0)</f>
        <v>$1947</v>
      </c>
      <c r="J341" s="3">
        <f>VLOOKUP(Googleadssales[[#This Row],[Ad_ID]],'[1]pre processed data'!A:Q,17,0)</f>
        <v>45601</v>
      </c>
      <c r="K341" t="str">
        <f>VLOOKUP(Googleadssales[[#This Row],[Ad_ID]],'[1]pre processed data'!A:R,18,0)</f>
        <v>Chennai</v>
      </c>
      <c r="L341" t="str">
        <f>VLOOKUP(Googleadssales[[#This Row],[Ad_ID]],'[1]pre processed data'!A:S,19,0)</f>
        <v>Mobile</v>
      </c>
      <c r="M341" t="str">
        <f>VLOOKUP(Googleadssales[[#This Row],[Ad_ID]],'[1]pre processed data'!A:T,20,0)</f>
        <v>learn data analytics</v>
      </c>
    </row>
    <row r="342" spans="1:13" x14ac:dyDescent="0.3">
      <c r="A342" t="s">
        <v>355</v>
      </c>
      <c r="B342" t="s">
        <v>18</v>
      </c>
      <c r="C342" s="4">
        <f>VLOOKUP(Googleadssales[[#This Row],[Ad_ID]],'[1]pre processed data'!A:C,3,0)</f>
        <v>155</v>
      </c>
      <c r="D342" s="4">
        <f>VLOOKUP(Googleadssales[[#This Row],[Ad_ID]],'[1]pre processed data'!A:E,5,0)</f>
        <v>5835</v>
      </c>
      <c r="E342" s="5" t="str">
        <f>VLOOKUP(Googleadssales[[#This Row],[Ad_ID]],[1]!Table3[[Ad_ID]:[Cost-imputed]],7,0)</f>
        <v>$239.52</v>
      </c>
      <c r="F342" s="4">
        <f>VLOOKUP(Googleadssales[[#This Row],[Ad_ID]],'[1]pre processed data'!A:I,9,0)</f>
        <v>10</v>
      </c>
      <c r="G342" s="4">
        <f>VLOOKUP(Googleadssales[[#This Row],[Ad_ID]],'[1]pre processed data'!A:K,11,0)</f>
        <v>4</v>
      </c>
      <c r="H342" s="2">
        <f>Googleadssales[[#This Row],[Conversions]]/Googleadssales[[#This Row],[Clicks]]</f>
        <v>2.5806451612903226E-2</v>
      </c>
      <c r="I342" t="str">
        <f>VLOOKUP(Googleadssales[[#This Row],[Ad_ID]],'[1]pre processed data'!A:O,15,0)</f>
        <v>$1500</v>
      </c>
      <c r="J342" s="3">
        <f>VLOOKUP(Googleadssales[[#This Row],[Ad_ID]],'[1]pre processed data'!A:Q,17,0)</f>
        <v>45609</v>
      </c>
      <c r="K342" t="str">
        <f>VLOOKUP(Googleadssales[[#This Row],[Ad_ID]],'[1]pre processed data'!A:R,18,0)</f>
        <v>Hyderabad</v>
      </c>
      <c r="L342" t="str">
        <f>VLOOKUP(Googleadssales[[#This Row],[Ad_ID]],'[1]pre processed data'!A:S,19,0)</f>
        <v>Mobile</v>
      </c>
      <c r="M342" t="str">
        <f>VLOOKUP(Googleadssales[[#This Row],[Ad_ID]],'[1]pre processed data'!A:T,20,0)</f>
        <v>analytics for data</v>
      </c>
    </row>
    <row r="343" spans="1:13" x14ac:dyDescent="0.3">
      <c r="A343" t="s">
        <v>356</v>
      </c>
      <c r="B343" t="s">
        <v>14</v>
      </c>
      <c r="C343" s="4">
        <f>VLOOKUP(Googleadssales[[#This Row],[Ad_ID]],'[1]pre processed data'!A:C,3,0)</f>
        <v>100</v>
      </c>
      <c r="D343" s="4">
        <f>VLOOKUP(Googleadssales[[#This Row],[Ad_ID]],'[1]pre processed data'!A:E,5,0)</f>
        <v>4928</v>
      </c>
      <c r="E343" s="5" t="str">
        <f>VLOOKUP(Googleadssales[[#This Row],[Ad_ID]],[1]!Table3[[Ad_ID]:[Cost-imputed]],7,0)</f>
        <v>$186.68</v>
      </c>
      <c r="F343" s="4">
        <f>VLOOKUP(Googleadssales[[#This Row],[Ad_ID]],'[1]pre processed data'!A:I,9,0)</f>
        <v>22</v>
      </c>
      <c r="G343" s="4">
        <f>VLOOKUP(Googleadssales[[#This Row],[Ad_ID]],'[1]pre processed data'!A:K,11,0)</f>
        <v>10</v>
      </c>
      <c r="H343" s="2">
        <f>Googleadssales[[#This Row],[Conversions]]/Googleadssales[[#This Row],[Clicks]]</f>
        <v>0.1</v>
      </c>
      <c r="I343" t="str">
        <f>VLOOKUP(Googleadssales[[#This Row],[Ad_ID]],'[1]pre processed data'!A:O,15,0)</f>
        <v>$1071</v>
      </c>
      <c r="J343" s="3">
        <f>VLOOKUP(Googleadssales[[#This Row],[Ad_ID]],'[1]pre processed data'!A:Q,17,0)</f>
        <v>45619</v>
      </c>
      <c r="K343" t="str">
        <f>VLOOKUP(Googleadssales[[#This Row],[Ad_ID]],'[1]pre processed data'!A:R,18,0)</f>
        <v>Hyderabad</v>
      </c>
      <c r="L343" t="str">
        <f>VLOOKUP(Googleadssales[[#This Row],[Ad_ID]],'[1]pre processed data'!A:S,19,0)</f>
        <v>Mobile</v>
      </c>
      <c r="M343" t="str">
        <f>VLOOKUP(Googleadssales[[#This Row],[Ad_ID]],'[1]pre processed data'!A:T,20,0)</f>
        <v>analytics for data</v>
      </c>
    </row>
    <row r="344" spans="1:13" x14ac:dyDescent="0.3">
      <c r="A344" t="s">
        <v>357</v>
      </c>
      <c r="B344" t="s">
        <v>18</v>
      </c>
      <c r="C344" s="4">
        <f>VLOOKUP(Googleadssales[[#This Row],[Ad_ID]],'[1]pre processed data'!A:C,3,0)</f>
        <v>138</v>
      </c>
      <c r="D344" s="4">
        <f>VLOOKUP(Googleadssales[[#This Row],[Ad_ID]],'[1]pre processed data'!A:E,5,0)</f>
        <v>4049</v>
      </c>
      <c r="E344" s="5" t="str">
        <f>VLOOKUP(Googleadssales[[#This Row],[Ad_ID]],[1]!Table3[[Ad_ID]:[Cost-imputed]],7,0)</f>
        <v>$182.66</v>
      </c>
      <c r="F344" s="4">
        <f>VLOOKUP(Googleadssales[[#This Row],[Ad_ID]],'[1]pre processed data'!A:I,9,0)</f>
        <v>20</v>
      </c>
      <c r="G344" s="4">
        <f>VLOOKUP(Googleadssales[[#This Row],[Ad_ID]],'[1]pre processed data'!A:K,11,0)</f>
        <v>7</v>
      </c>
      <c r="H344" s="2">
        <f>Googleadssales[[#This Row],[Conversions]]/Googleadssales[[#This Row],[Clicks]]</f>
        <v>5.0724637681159424E-2</v>
      </c>
      <c r="I344" t="str">
        <f>VLOOKUP(Googleadssales[[#This Row],[Ad_ID]],'[1]pre processed data'!A:O,15,0)</f>
        <v>$1292</v>
      </c>
      <c r="J344" s="3">
        <f>VLOOKUP(Googleadssales[[#This Row],[Ad_ID]],'[1]pre processed data'!A:Q,17,0)</f>
        <v>45616</v>
      </c>
      <c r="K344" t="str">
        <f>VLOOKUP(Googleadssales[[#This Row],[Ad_ID]],'[1]pre processed data'!A:R,18,0)</f>
        <v>Hyderabad</v>
      </c>
      <c r="L344" t="str">
        <f>VLOOKUP(Googleadssales[[#This Row],[Ad_ID]],'[1]pre processed data'!A:S,19,0)</f>
        <v>Mobile</v>
      </c>
      <c r="M344" t="str">
        <f>VLOOKUP(Googleadssales[[#This Row],[Ad_ID]],'[1]pre processed data'!A:T,20,0)</f>
        <v>online data analytic</v>
      </c>
    </row>
    <row r="345" spans="1:13" x14ac:dyDescent="0.3">
      <c r="A345" t="s">
        <v>358</v>
      </c>
      <c r="B345" t="s">
        <v>14</v>
      </c>
      <c r="C345" s="4">
        <f>VLOOKUP(Googleadssales[[#This Row],[Ad_ID]],'[1]pre processed data'!A:C,3,0)</f>
        <v>109</v>
      </c>
      <c r="D345" s="4">
        <f>VLOOKUP(Googleadssales[[#This Row],[Ad_ID]],'[1]pre processed data'!A:E,5,0)</f>
        <v>4114</v>
      </c>
      <c r="E345" s="5" t="str">
        <f>VLOOKUP(Googleadssales[[#This Row],[Ad_ID]],[1]!Table3[[Ad_ID]:[Cost-imputed]],7,0)</f>
        <v>$243.33</v>
      </c>
      <c r="F345" s="4">
        <f>VLOOKUP(Googleadssales[[#This Row],[Ad_ID]],'[1]pre processed data'!A:I,9,0)</f>
        <v>18</v>
      </c>
      <c r="G345" s="4">
        <f>VLOOKUP(Googleadssales[[#This Row],[Ad_ID]],'[1]pre processed data'!A:K,11,0)</f>
        <v>6</v>
      </c>
      <c r="H345" s="2">
        <f>Googleadssales[[#This Row],[Conversions]]/Googleadssales[[#This Row],[Clicks]]</f>
        <v>5.5045871559633031E-2</v>
      </c>
      <c r="I345" t="str">
        <f>VLOOKUP(Googleadssales[[#This Row],[Ad_ID]],'[1]pre processed data'!A:O,15,0)</f>
        <v>$1456</v>
      </c>
      <c r="J345" s="3">
        <f>VLOOKUP(Googleadssales[[#This Row],[Ad_ID]],'[1]pre processed data'!A:Q,17,0)</f>
        <v>45621</v>
      </c>
      <c r="K345" t="str">
        <f>VLOOKUP(Googleadssales[[#This Row],[Ad_ID]],'[1]pre processed data'!A:R,18,0)</f>
        <v>Chennai</v>
      </c>
      <c r="L345" t="str">
        <f>VLOOKUP(Googleadssales[[#This Row],[Ad_ID]],'[1]pre processed data'!A:S,19,0)</f>
        <v>Tablet</v>
      </c>
      <c r="M345" t="str">
        <f>VLOOKUP(Googleadssales[[#This Row],[Ad_ID]],'[1]pre processed data'!A:T,20,0)</f>
        <v>learn data analytics</v>
      </c>
    </row>
    <row r="346" spans="1:13" x14ac:dyDescent="0.3">
      <c r="A346" t="s">
        <v>359</v>
      </c>
      <c r="B346" t="s">
        <v>14</v>
      </c>
      <c r="C346" s="4">
        <f>VLOOKUP(Googleadssales[[#This Row],[Ad_ID]],'[1]pre processed data'!A:C,3,0)</f>
        <v>124</v>
      </c>
      <c r="D346" s="4">
        <f>VLOOKUP(Googleadssales[[#This Row],[Ad_ID]],'[1]pre processed data'!A:E,5,0)</f>
        <v>3947</v>
      </c>
      <c r="E346" s="5" t="str">
        <f>VLOOKUP(Googleadssales[[#This Row],[Ad_ID]],[1]!Table3[[Ad_ID]:[Cost-imputed]],7,0)</f>
        <v>$198.11</v>
      </c>
      <c r="F346" s="4">
        <f>VLOOKUP(Googleadssales[[#This Row],[Ad_ID]],'[1]pre processed data'!A:I,9,0)</f>
        <v>11</v>
      </c>
      <c r="G346" s="4">
        <f>VLOOKUP(Googleadssales[[#This Row],[Ad_ID]],'[1]pre processed data'!A:K,11,0)</f>
        <v>4</v>
      </c>
      <c r="H346" s="2">
        <f>Googleadssales[[#This Row],[Conversions]]/Googleadssales[[#This Row],[Clicks]]</f>
        <v>3.2258064516129031E-2</v>
      </c>
      <c r="I346" t="str">
        <f>VLOOKUP(Googleadssales[[#This Row],[Ad_ID]],'[1]pre processed data'!A:O,15,0)</f>
        <v>$1308</v>
      </c>
      <c r="J346" s="3">
        <f>VLOOKUP(Googleadssales[[#This Row],[Ad_ID]],'[1]pre processed data'!A:Q,17,0)</f>
        <v>45622</v>
      </c>
      <c r="K346" t="str">
        <f>VLOOKUP(Googleadssales[[#This Row],[Ad_ID]],'[1]pre processed data'!A:R,18,0)</f>
        <v>Hyderabad</v>
      </c>
      <c r="L346" t="str">
        <f>VLOOKUP(Googleadssales[[#This Row],[Ad_ID]],'[1]pre processed data'!A:S,19,0)</f>
        <v>Mobile</v>
      </c>
      <c r="M346" t="str">
        <f>VLOOKUP(Googleadssales[[#This Row],[Ad_ID]],'[1]pre processed data'!A:T,20,0)</f>
        <v>data analytics course</v>
      </c>
    </row>
    <row r="347" spans="1:13" x14ac:dyDescent="0.3">
      <c r="A347" t="s">
        <v>360</v>
      </c>
      <c r="B347" t="s">
        <v>18</v>
      </c>
      <c r="C347" s="4">
        <f>VLOOKUP(Googleadssales[[#This Row],[Ad_ID]],'[1]pre processed data'!A:C,3,0)</f>
        <v>138.95699356913184</v>
      </c>
      <c r="D347" s="4">
        <f>VLOOKUP(Googleadssales[[#This Row],[Ad_ID]],'[1]pre processed data'!A:E,5,0)</f>
        <v>3705</v>
      </c>
      <c r="E347" s="5" t="str">
        <f>VLOOKUP(Googleadssales[[#This Row],[Ad_ID]],[1]!Table3[[Ad_ID]:[Cost-imputed]],7,0)</f>
        <v>$239.26</v>
      </c>
      <c r="F347" s="4">
        <f>VLOOKUP(Googleadssales[[#This Row],[Ad_ID]],'[1]pre processed data'!A:I,9,0)</f>
        <v>25</v>
      </c>
      <c r="G347" s="4">
        <f>VLOOKUP(Googleadssales[[#This Row],[Ad_ID]],'[1]pre processed data'!A:K,11,0)</f>
        <v>6.4791952446273431</v>
      </c>
      <c r="H347" s="2">
        <f>Googleadssales[[#This Row],[Conversions]]/Googleadssales[[#This Row],[Clicks]]</f>
        <v>4.6627341871813811E-2</v>
      </c>
      <c r="I347" t="str">
        <f>VLOOKUP(Googleadssales[[#This Row],[Ad_ID]],'[1]pre processed data'!A:O,15,0)</f>
        <v>$1506</v>
      </c>
      <c r="J347" s="3">
        <f>VLOOKUP(Googleadssales[[#This Row],[Ad_ID]],'[1]pre processed data'!A:Q,17,0)</f>
        <v>45598</v>
      </c>
      <c r="K347" t="str">
        <f>VLOOKUP(Googleadssales[[#This Row],[Ad_ID]],'[1]pre processed data'!A:R,18,0)</f>
        <v>Hyderabad</v>
      </c>
      <c r="L347" t="str">
        <f>VLOOKUP(Googleadssales[[#This Row],[Ad_ID]],'[1]pre processed data'!A:S,19,0)</f>
        <v>Tablet</v>
      </c>
      <c r="M347" t="str">
        <f>VLOOKUP(Googleadssales[[#This Row],[Ad_ID]],'[1]pre processed data'!A:T,20,0)</f>
        <v>online data analytic</v>
      </c>
    </row>
    <row r="348" spans="1:13" x14ac:dyDescent="0.3">
      <c r="A348" t="s">
        <v>361</v>
      </c>
      <c r="B348" t="s">
        <v>14</v>
      </c>
      <c r="C348" s="4">
        <f>VLOOKUP(Googleadssales[[#This Row],[Ad_ID]],'[1]pre processed data'!A:C,3,0)</f>
        <v>197</v>
      </c>
      <c r="D348" s="4">
        <f>VLOOKUP(Googleadssales[[#This Row],[Ad_ID]],'[1]pre processed data'!A:E,5,0)</f>
        <v>5365</v>
      </c>
      <c r="E348" s="5" t="str">
        <f>VLOOKUP(Googleadssales[[#This Row],[Ad_ID]],[1]!Table3[[Ad_ID]:[Cost-imputed]],7,0)</f>
        <v>$208.86</v>
      </c>
      <c r="F348" s="4">
        <f>VLOOKUP(Googleadssales[[#This Row],[Ad_ID]],'[1]pre processed data'!A:I,9,0)</f>
        <v>14</v>
      </c>
      <c r="G348" s="4">
        <f>VLOOKUP(Googleadssales[[#This Row],[Ad_ID]],'[1]pre processed data'!A:K,11,0)</f>
        <v>4</v>
      </c>
      <c r="H348" s="2">
        <f>Googleadssales[[#This Row],[Conversions]]/Googleadssales[[#This Row],[Clicks]]</f>
        <v>2.030456852791878E-2</v>
      </c>
      <c r="I348" t="str">
        <f>VLOOKUP(Googleadssales[[#This Row],[Ad_ID]],'[1]pre processed data'!A:O,15,0)</f>
        <v>$1106</v>
      </c>
      <c r="J348" s="3">
        <f>VLOOKUP(Googleadssales[[#This Row],[Ad_ID]],'[1]pre processed data'!A:Q,17,0)</f>
        <v>45597</v>
      </c>
      <c r="K348" t="str">
        <f>VLOOKUP(Googleadssales[[#This Row],[Ad_ID]],'[1]pre processed data'!A:R,18,0)</f>
        <v>Hyderabad</v>
      </c>
      <c r="L348" t="str">
        <f>VLOOKUP(Googleadssales[[#This Row],[Ad_ID]],'[1]pre processed data'!A:S,19,0)</f>
        <v>Tablet</v>
      </c>
      <c r="M348" t="str">
        <f>VLOOKUP(Googleadssales[[#This Row],[Ad_ID]],'[1]pre processed data'!A:T,20,0)</f>
        <v>data analytics training</v>
      </c>
    </row>
    <row r="349" spans="1:13" x14ac:dyDescent="0.3">
      <c r="A349" t="s">
        <v>362</v>
      </c>
      <c r="B349" t="s">
        <v>18</v>
      </c>
      <c r="C349" s="4">
        <f>VLOOKUP(Googleadssales[[#This Row],[Ad_ID]],'[1]pre processed data'!A:C,3,0)</f>
        <v>114</v>
      </c>
      <c r="D349" s="4">
        <f>VLOOKUP(Googleadssales[[#This Row],[Ad_ID]],'[1]pre processed data'!A:E,5,0)</f>
        <v>5213</v>
      </c>
      <c r="E349" s="5" t="str">
        <f>VLOOKUP(Googleadssales[[#This Row],[Ad_ID]],[1]!Table3[[Ad_ID]:[Cost-imputed]],7,0)</f>
        <v>$224.65</v>
      </c>
      <c r="F349" s="4">
        <f>VLOOKUP(Googleadssales[[#This Row],[Ad_ID]],'[1]pre processed data'!A:I,9,0)</f>
        <v>26</v>
      </c>
      <c r="G349" s="4">
        <f>VLOOKUP(Googleadssales[[#This Row],[Ad_ID]],'[1]pre processed data'!A:K,11,0)</f>
        <v>4</v>
      </c>
      <c r="H349" s="2">
        <f>Googleadssales[[#This Row],[Conversions]]/Googleadssales[[#This Row],[Clicks]]</f>
        <v>3.5087719298245612E-2</v>
      </c>
      <c r="I349" t="str">
        <f>VLOOKUP(Googleadssales[[#This Row],[Ad_ID]],'[1]pre processed data'!A:O,15,0)</f>
        <v>$1218</v>
      </c>
      <c r="J349" s="3">
        <f>VLOOKUP(Googleadssales[[#This Row],[Ad_ID]],'[1]pre processed data'!A:Q,17,0)</f>
        <v>45625</v>
      </c>
      <c r="K349" t="str">
        <f>VLOOKUP(Googleadssales[[#This Row],[Ad_ID]],'[1]pre processed data'!A:R,18,0)</f>
        <v>Hyderabad</v>
      </c>
      <c r="L349" t="str">
        <f>VLOOKUP(Googleadssales[[#This Row],[Ad_ID]],'[1]pre processed data'!A:S,19,0)</f>
        <v>Tablet</v>
      </c>
      <c r="M349" t="str">
        <f>VLOOKUP(Googleadssales[[#This Row],[Ad_ID]],'[1]pre processed data'!A:T,20,0)</f>
        <v>online data analytic</v>
      </c>
    </row>
    <row r="350" spans="1:13" x14ac:dyDescent="0.3">
      <c r="A350" t="s">
        <v>363</v>
      </c>
      <c r="B350" t="s">
        <v>14</v>
      </c>
      <c r="C350" s="4">
        <f>VLOOKUP(Googleadssales[[#This Row],[Ad_ID]],'[1]pre processed data'!A:C,3,0)</f>
        <v>117</v>
      </c>
      <c r="D350" s="4">
        <f>VLOOKUP(Googleadssales[[#This Row],[Ad_ID]],'[1]pre processed data'!A:E,5,0)</f>
        <v>3951</v>
      </c>
      <c r="E350" s="5" t="str">
        <f>VLOOKUP(Googleadssales[[#This Row],[Ad_ID]],[1]!Table3[[Ad_ID]:[Cost-imputed]],7,0)</f>
        <v>$212.02</v>
      </c>
      <c r="F350" s="4">
        <f>VLOOKUP(Googleadssales[[#This Row],[Ad_ID]],'[1]pre processed data'!A:I,9,0)</f>
        <v>16</v>
      </c>
      <c r="G350" s="4">
        <f>VLOOKUP(Googleadssales[[#This Row],[Ad_ID]],'[1]pre processed data'!A:K,11,0)</f>
        <v>5</v>
      </c>
      <c r="H350" s="2">
        <f>Googleadssales[[#This Row],[Conversions]]/Googleadssales[[#This Row],[Clicks]]</f>
        <v>4.2735042735042736E-2</v>
      </c>
      <c r="I350" t="str">
        <f>VLOOKUP(Googleadssales[[#This Row],[Ad_ID]],'[1]pre processed data'!A:O,15,0)</f>
        <v>$1949</v>
      </c>
      <c r="J350" s="3">
        <f>VLOOKUP(Googleadssales[[#This Row],[Ad_ID]],'[1]pre processed data'!A:Q,17,0)</f>
        <v>45606</v>
      </c>
      <c r="K350" t="str">
        <f>VLOOKUP(Googleadssales[[#This Row],[Ad_ID]],'[1]pre processed data'!A:R,18,0)</f>
        <v>Chennai</v>
      </c>
      <c r="L350" t="str">
        <f>VLOOKUP(Googleadssales[[#This Row],[Ad_ID]],'[1]pre processed data'!A:S,19,0)</f>
        <v>Desktop</v>
      </c>
      <c r="M350" t="str">
        <f>VLOOKUP(Googleadssales[[#This Row],[Ad_ID]],'[1]pre processed data'!A:T,20,0)</f>
        <v>data analytics training</v>
      </c>
    </row>
    <row r="351" spans="1:13" x14ac:dyDescent="0.3">
      <c r="A351" t="s">
        <v>364</v>
      </c>
      <c r="B351" t="s">
        <v>14</v>
      </c>
      <c r="C351" s="4">
        <f>VLOOKUP(Googleadssales[[#This Row],[Ad_ID]],'[1]pre processed data'!A:C,3,0)</f>
        <v>198</v>
      </c>
      <c r="D351" s="4">
        <f>VLOOKUP(Googleadssales[[#This Row],[Ad_ID]],'[1]pre processed data'!A:E,5,0)</f>
        <v>3405</v>
      </c>
      <c r="E351" s="5" t="str">
        <f>VLOOKUP(Googleadssales[[#This Row],[Ad_ID]],[1]!Table3[[Ad_ID]:[Cost-imputed]],7,0)</f>
        <v>$224.9</v>
      </c>
      <c r="F351" s="4">
        <f>VLOOKUP(Googleadssales[[#This Row],[Ad_ID]],'[1]pre processed data'!A:I,9,0)</f>
        <v>13</v>
      </c>
      <c r="G351" s="4">
        <f>VLOOKUP(Googleadssales[[#This Row],[Ad_ID]],'[1]pre processed data'!A:K,11,0)</f>
        <v>10</v>
      </c>
      <c r="H351" s="2">
        <f>Googleadssales[[#This Row],[Conversions]]/Googleadssales[[#This Row],[Clicks]]</f>
        <v>5.0505050505050504E-2</v>
      </c>
      <c r="I351" t="str">
        <f>VLOOKUP(Googleadssales[[#This Row],[Ad_ID]],'[1]pre processed data'!A:O,15,0)</f>
        <v>$1631</v>
      </c>
      <c r="J351" s="3">
        <f>VLOOKUP(Googleadssales[[#This Row],[Ad_ID]],'[1]pre processed data'!A:Q,17,0)</f>
        <v>45610</v>
      </c>
      <c r="K351" t="str">
        <f>VLOOKUP(Googleadssales[[#This Row],[Ad_ID]],'[1]pre processed data'!A:R,18,0)</f>
        <v>Hyderabad</v>
      </c>
      <c r="L351" t="str">
        <f>VLOOKUP(Googleadssales[[#This Row],[Ad_ID]],'[1]pre processed data'!A:S,19,0)</f>
        <v>Tablet</v>
      </c>
      <c r="M351" t="str">
        <f>VLOOKUP(Googleadssales[[#This Row],[Ad_ID]],'[1]pre processed data'!A:T,20,0)</f>
        <v>online data analytic</v>
      </c>
    </row>
    <row r="352" spans="1:13" x14ac:dyDescent="0.3">
      <c r="A352" t="s">
        <v>365</v>
      </c>
      <c r="B352" t="s">
        <v>18</v>
      </c>
      <c r="C352" s="4">
        <f>VLOOKUP(Googleadssales[[#This Row],[Ad_ID]],'[1]pre processed data'!A:C,3,0)</f>
        <v>160</v>
      </c>
      <c r="D352" s="4">
        <f>VLOOKUP(Googleadssales[[#This Row],[Ad_ID]],'[1]pre processed data'!A:E,5,0)</f>
        <v>5367</v>
      </c>
      <c r="E352" s="5" t="str">
        <f>VLOOKUP(Googleadssales[[#This Row],[Ad_ID]],[1]!Table3[[Ad_ID]:[Cost-imputed]],7,0)</f>
        <v>$208.47</v>
      </c>
      <c r="F352" s="4">
        <f>VLOOKUP(Googleadssales[[#This Row],[Ad_ID]],'[1]pre processed data'!A:I,9,0)</f>
        <v>20</v>
      </c>
      <c r="G352" s="4">
        <f>VLOOKUP(Googleadssales[[#This Row],[Ad_ID]],'[1]pre processed data'!A:K,11,0)</f>
        <v>8</v>
      </c>
      <c r="H352" s="2">
        <f>Googleadssales[[#This Row],[Conversions]]/Googleadssales[[#This Row],[Clicks]]</f>
        <v>0.05</v>
      </c>
      <c r="I352" t="str">
        <f>VLOOKUP(Googleadssales[[#This Row],[Ad_ID]],'[1]pre processed data'!A:O,15,0)</f>
        <v>$1853</v>
      </c>
      <c r="J352" s="3">
        <f>VLOOKUP(Googleadssales[[#This Row],[Ad_ID]],'[1]pre processed data'!A:Q,17,0)</f>
        <v>45611</v>
      </c>
      <c r="K352" t="str">
        <f>VLOOKUP(Googleadssales[[#This Row],[Ad_ID]],'[1]pre processed data'!A:R,18,0)</f>
        <v>Hyderabad</v>
      </c>
      <c r="L352" t="str">
        <f>VLOOKUP(Googleadssales[[#This Row],[Ad_ID]],'[1]pre processed data'!A:S,19,0)</f>
        <v>Tablet</v>
      </c>
      <c r="M352" t="str">
        <f>VLOOKUP(Googleadssales[[#This Row],[Ad_ID]],'[1]pre processed data'!A:T,20,0)</f>
        <v>data analytics course</v>
      </c>
    </row>
    <row r="353" spans="1:13" x14ac:dyDescent="0.3">
      <c r="A353" t="s">
        <v>366</v>
      </c>
      <c r="B353" t="s">
        <v>14</v>
      </c>
      <c r="C353" s="4">
        <f>VLOOKUP(Googleadssales[[#This Row],[Ad_ID]],'[1]pre processed data'!A:C,3,0)</f>
        <v>137</v>
      </c>
      <c r="D353" s="4">
        <f>VLOOKUP(Googleadssales[[#This Row],[Ad_ID]],'[1]pre processed data'!A:E,5,0)</f>
        <v>3602</v>
      </c>
      <c r="E353" s="5" t="str">
        <f>VLOOKUP(Googleadssales[[#This Row],[Ad_ID]],[1]!Table3[[Ad_ID]:[Cost-imputed]],7,0)</f>
        <v>$194.55</v>
      </c>
      <c r="F353" s="4">
        <f>VLOOKUP(Googleadssales[[#This Row],[Ad_ID]],'[1]pre processed data'!A:I,9,0)</f>
        <v>23</v>
      </c>
      <c r="G353" s="4">
        <f>VLOOKUP(Googleadssales[[#This Row],[Ad_ID]],'[1]pre processed data'!A:K,11,0)</f>
        <v>5</v>
      </c>
      <c r="H353" s="2">
        <f>Googleadssales[[#This Row],[Conversions]]/Googleadssales[[#This Row],[Clicks]]</f>
        <v>3.6496350364963501E-2</v>
      </c>
      <c r="I353" t="str">
        <f>VLOOKUP(Googleadssales[[#This Row],[Ad_ID]],'[1]pre processed data'!A:O,15,0)</f>
        <v>$1580</v>
      </c>
      <c r="J353" s="3">
        <f>VLOOKUP(Googleadssales[[#This Row],[Ad_ID]],'[1]pre processed data'!A:Q,17,0)</f>
        <v>45598</v>
      </c>
      <c r="K353" t="str">
        <f>VLOOKUP(Googleadssales[[#This Row],[Ad_ID]],'[1]pre processed data'!A:R,18,0)</f>
        <v>Chennai</v>
      </c>
      <c r="L353" t="str">
        <f>VLOOKUP(Googleadssales[[#This Row],[Ad_ID]],'[1]pre processed data'!A:S,19,0)</f>
        <v>Tablet</v>
      </c>
      <c r="M353" t="str">
        <f>VLOOKUP(Googleadssales[[#This Row],[Ad_ID]],'[1]pre processed data'!A:T,20,0)</f>
        <v>data analytics course</v>
      </c>
    </row>
    <row r="354" spans="1:13" x14ac:dyDescent="0.3">
      <c r="A354" t="s">
        <v>367</v>
      </c>
      <c r="B354" t="s">
        <v>14</v>
      </c>
      <c r="C354" s="4">
        <f>VLOOKUP(Googleadssales[[#This Row],[Ad_ID]],'[1]pre processed data'!A:C,3,0)</f>
        <v>163</v>
      </c>
      <c r="D354" s="4">
        <f>VLOOKUP(Googleadssales[[#This Row],[Ad_ID]],'[1]pre processed data'!A:E,5,0)</f>
        <v>3917</v>
      </c>
      <c r="E354" s="5" t="str">
        <f>VLOOKUP(Googleadssales[[#This Row],[Ad_ID]],[1]!Table3[[Ad_ID]:[Cost-imputed]],7,0)</f>
        <v>$209.01</v>
      </c>
      <c r="F354" s="4">
        <f>VLOOKUP(Googleadssales[[#This Row],[Ad_ID]],'[1]pre processed data'!A:I,9,0)</f>
        <v>10</v>
      </c>
      <c r="G354" s="4">
        <f>VLOOKUP(Googleadssales[[#This Row],[Ad_ID]],'[1]pre processed data'!A:K,11,0)</f>
        <v>3</v>
      </c>
      <c r="H354" s="2">
        <f>Googleadssales[[#This Row],[Conversions]]/Googleadssales[[#This Row],[Clicks]]</f>
        <v>1.8404907975460124E-2</v>
      </c>
      <c r="I354" t="str">
        <f>VLOOKUP(Googleadssales[[#This Row],[Ad_ID]],'[1]pre processed data'!A:O,15,0)</f>
        <v>$1823</v>
      </c>
      <c r="J354" s="3">
        <f>VLOOKUP(Googleadssales[[#This Row],[Ad_ID]],'[1]pre processed data'!A:Q,17,0)</f>
        <v>45613</v>
      </c>
      <c r="K354" t="str">
        <f>VLOOKUP(Googleadssales[[#This Row],[Ad_ID]],'[1]pre processed data'!A:R,18,0)</f>
        <v>Chennai</v>
      </c>
      <c r="L354" t="str">
        <f>VLOOKUP(Googleadssales[[#This Row],[Ad_ID]],'[1]pre processed data'!A:S,19,0)</f>
        <v>Tablet</v>
      </c>
      <c r="M354" t="str">
        <f>VLOOKUP(Googleadssales[[#This Row],[Ad_ID]],'[1]pre processed data'!A:T,20,0)</f>
        <v>data analytics training</v>
      </c>
    </row>
    <row r="355" spans="1:13" x14ac:dyDescent="0.3">
      <c r="A355" t="s">
        <v>368</v>
      </c>
      <c r="B355" t="s">
        <v>14</v>
      </c>
      <c r="C355" s="4">
        <f>VLOOKUP(Googleadssales[[#This Row],[Ad_ID]],'[1]pre processed data'!A:C,3,0)</f>
        <v>138</v>
      </c>
      <c r="D355" s="4">
        <f>VLOOKUP(Googleadssales[[#This Row],[Ad_ID]],'[1]pre processed data'!A:E,5,0)</f>
        <v>5671</v>
      </c>
      <c r="E355" s="5" t="str">
        <f>VLOOKUP(Googleadssales[[#This Row],[Ad_ID]],[1]!Table3[[Ad_ID]:[Cost-imputed]],7,0)</f>
        <v>$244.12</v>
      </c>
      <c r="F355" s="4">
        <f>VLOOKUP(Googleadssales[[#This Row],[Ad_ID]],'[1]pre processed data'!A:I,9,0)</f>
        <v>26</v>
      </c>
      <c r="G355" s="4">
        <f>VLOOKUP(Googleadssales[[#This Row],[Ad_ID]],'[1]pre processed data'!A:K,11,0)</f>
        <v>3</v>
      </c>
      <c r="H355" s="2">
        <f>Googleadssales[[#This Row],[Conversions]]/Googleadssales[[#This Row],[Clicks]]</f>
        <v>2.1739130434782608E-2</v>
      </c>
      <c r="I355" t="str">
        <f>VLOOKUP(Googleadssales[[#This Row],[Ad_ID]],'[1]pre processed data'!A:O,15,0)</f>
        <v>$1500</v>
      </c>
      <c r="J355" s="3">
        <f>VLOOKUP(Googleadssales[[#This Row],[Ad_ID]],'[1]pre processed data'!A:Q,17,0)</f>
        <v>45609</v>
      </c>
      <c r="K355" t="str">
        <f>VLOOKUP(Googleadssales[[#This Row],[Ad_ID]],'[1]pre processed data'!A:R,18,0)</f>
        <v>Chennai</v>
      </c>
      <c r="L355" t="str">
        <f>VLOOKUP(Googleadssales[[#This Row],[Ad_ID]],'[1]pre processed data'!A:S,19,0)</f>
        <v>Tablet</v>
      </c>
      <c r="M355" t="str">
        <f>VLOOKUP(Googleadssales[[#This Row],[Ad_ID]],'[1]pre processed data'!A:T,20,0)</f>
        <v>analytics for data</v>
      </c>
    </row>
    <row r="356" spans="1:13" x14ac:dyDescent="0.3">
      <c r="A356" t="s">
        <v>369</v>
      </c>
      <c r="B356" t="s">
        <v>14</v>
      </c>
      <c r="C356" s="4">
        <f>VLOOKUP(Googleadssales[[#This Row],[Ad_ID]],'[1]pre processed data'!A:C,3,0)</f>
        <v>194</v>
      </c>
      <c r="D356" s="4">
        <f>VLOOKUP(Googleadssales[[#This Row],[Ad_ID]],'[1]pre processed data'!A:E,5,0)</f>
        <v>5019</v>
      </c>
      <c r="E356" s="5" t="str">
        <f>VLOOKUP(Googleadssales[[#This Row],[Ad_ID]],[1]!Table3[[Ad_ID]:[Cost-imputed]],7,0)</f>
        <v>$227.67</v>
      </c>
      <c r="F356" s="4">
        <f>VLOOKUP(Googleadssales[[#This Row],[Ad_ID]],'[1]pre processed data'!A:I,9,0)</f>
        <v>28</v>
      </c>
      <c r="G356" s="4">
        <f>VLOOKUP(Googleadssales[[#This Row],[Ad_ID]],'[1]pre processed data'!A:K,11,0)</f>
        <v>7</v>
      </c>
      <c r="H356" s="2">
        <f>Googleadssales[[#This Row],[Conversions]]/Googleadssales[[#This Row],[Clicks]]</f>
        <v>3.608247422680412E-2</v>
      </c>
      <c r="I356" t="str">
        <f>VLOOKUP(Googleadssales[[#This Row],[Ad_ID]],'[1]pre processed data'!A:O,15,0)</f>
        <v>$1019</v>
      </c>
      <c r="J356" s="3">
        <f>VLOOKUP(Googleadssales[[#This Row],[Ad_ID]],'[1]pre processed data'!A:Q,17,0)</f>
        <v>45618</v>
      </c>
      <c r="K356" t="str">
        <f>VLOOKUP(Googleadssales[[#This Row],[Ad_ID]],'[1]pre processed data'!A:R,18,0)</f>
        <v>Bangaluru</v>
      </c>
      <c r="L356" t="str">
        <f>VLOOKUP(Googleadssales[[#This Row],[Ad_ID]],'[1]pre processed data'!A:S,19,0)</f>
        <v>Mobile</v>
      </c>
      <c r="M356" t="str">
        <f>VLOOKUP(Googleadssales[[#This Row],[Ad_ID]],'[1]pre processed data'!A:T,20,0)</f>
        <v>learn data analytics</v>
      </c>
    </row>
    <row r="357" spans="1:13" x14ac:dyDescent="0.3">
      <c r="A357" t="s">
        <v>370</v>
      </c>
      <c r="B357" t="s">
        <v>14</v>
      </c>
      <c r="C357" s="4">
        <f>VLOOKUP(Googleadssales[[#This Row],[Ad_ID]],'[1]pre processed data'!A:C,3,0)</f>
        <v>177</v>
      </c>
      <c r="D357" s="4">
        <f>VLOOKUP(Googleadssales[[#This Row],[Ad_ID]],'[1]pre processed data'!A:E,5,0)</f>
        <v>3569</v>
      </c>
      <c r="E357" s="5" t="str">
        <f>VLOOKUP(Googleadssales[[#This Row],[Ad_ID]],[1]!Table3[[Ad_ID]:[Cost-imputed]],7,0)</f>
        <v>$190.31</v>
      </c>
      <c r="F357" s="4">
        <f>VLOOKUP(Googleadssales[[#This Row],[Ad_ID]],'[1]pre processed data'!A:I,9,0)</f>
        <v>13</v>
      </c>
      <c r="G357" s="4">
        <f>VLOOKUP(Googleadssales[[#This Row],[Ad_ID]],'[1]pre processed data'!A:K,11,0)</f>
        <v>8</v>
      </c>
      <c r="H357" s="2">
        <f>Googleadssales[[#This Row],[Conversions]]/Googleadssales[[#This Row],[Clicks]]</f>
        <v>4.519774011299435E-2</v>
      </c>
      <c r="I357" t="str">
        <f>VLOOKUP(Googleadssales[[#This Row],[Ad_ID]],'[1]pre processed data'!A:O,15,0)</f>
        <v>$1403</v>
      </c>
      <c r="J357" s="3">
        <f>VLOOKUP(Googleadssales[[#This Row],[Ad_ID]],'[1]pre processed data'!A:Q,17,0)</f>
        <v>45621</v>
      </c>
      <c r="K357" t="str">
        <f>VLOOKUP(Googleadssales[[#This Row],[Ad_ID]],'[1]pre processed data'!A:R,18,0)</f>
        <v>Chennai</v>
      </c>
      <c r="L357" t="str">
        <f>VLOOKUP(Googleadssales[[#This Row],[Ad_ID]],'[1]pre processed data'!A:S,19,0)</f>
        <v>Mobile</v>
      </c>
      <c r="M357" t="str">
        <f>VLOOKUP(Googleadssales[[#This Row],[Ad_ID]],'[1]pre processed data'!A:T,20,0)</f>
        <v>online data analytic</v>
      </c>
    </row>
    <row r="358" spans="1:13" x14ac:dyDescent="0.3">
      <c r="A358" t="s">
        <v>371</v>
      </c>
      <c r="B358" t="s">
        <v>14</v>
      </c>
      <c r="C358" s="4">
        <f>VLOOKUP(Googleadssales[[#This Row],[Ad_ID]],'[1]pre processed data'!A:C,3,0)</f>
        <v>113</v>
      </c>
      <c r="D358" s="4">
        <f>VLOOKUP(Googleadssales[[#This Row],[Ad_ID]],'[1]pre processed data'!A:E,5,0)</f>
        <v>3420</v>
      </c>
      <c r="E358" s="5" t="str">
        <f>VLOOKUP(Googleadssales[[#This Row],[Ad_ID]],[1]!Table3[[Ad_ID]:[Cost-imputed]],7,0)</f>
        <v>$223.48</v>
      </c>
      <c r="F358" s="4">
        <f>VLOOKUP(Googleadssales[[#This Row],[Ad_ID]],'[1]pre processed data'!A:I,9,0)</f>
        <v>22</v>
      </c>
      <c r="G358" s="4">
        <f>VLOOKUP(Googleadssales[[#This Row],[Ad_ID]],'[1]pre processed data'!A:K,11,0)</f>
        <v>10</v>
      </c>
      <c r="H358" s="2">
        <f>Googleadssales[[#This Row],[Conversions]]/Googleadssales[[#This Row],[Clicks]]</f>
        <v>8.8495575221238937E-2</v>
      </c>
      <c r="I358" t="str">
        <f>VLOOKUP(Googleadssales[[#This Row],[Ad_ID]],'[1]pre processed data'!A:O,15,0)</f>
        <v>$1138</v>
      </c>
      <c r="J358" s="3">
        <f>VLOOKUP(Googleadssales[[#This Row],[Ad_ID]],'[1]pre processed data'!A:Q,17,0)</f>
        <v>45619</v>
      </c>
      <c r="K358" t="str">
        <f>VLOOKUP(Googleadssales[[#This Row],[Ad_ID]],'[1]pre processed data'!A:R,18,0)</f>
        <v>Hyderabad</v>
      </c>
      <c r="L358" t="str">
        <f>VLOOKUP(Googleadssales[[#This Row],[Ad_ID]],'[1]pre processed data'!A:S,19,0)</f>
        <v>Mobile</v>
      </c>
      <c r="M358" t="str">
        <f>VLOOKUP(Googleadssales[[#This Row],[Ad_ID]],'[1]pre processed data'!A:T,20,0)</f>
        <v>online data analytic</v>
      </c>
    </row>
    <row r="359" spans="1:13" x14ac:dyDescent="0.3">
      <c r="A359" t="s">
        <v>372</v>
      </c>
      <c r="B359" t="s">
        <v>14</v>
      </c>
      <c r="C359" s="4">
        <f>VLOOKUP(Googleadssales[[#This Row],[Ad_ID]],'[1]pre processed data'!A:C,3,0)</f>
        <v>133</v>
      </c>
      <c r="D359" s="4">
        <f>VLOOKUP(Googleadssales[[#This Row],[Ad_ID]],'[1]pre processed data'!A:E,5,0)</f>
        <v>3064</v>
      </c>
      <c r="E359" s="5" t="str">
        <f>VLOOKUP(Googleadssales[[#This Row],[Ad_ID]],[1]!Table3[[Ad_ID]:[Cost-imputed]],7,0)</f>
        <v>$221.8</v>
      </c>
      <c r="F359" s="4">
        <f>VLOOKUP(Googleadssales[[#This Row],[Ad_ID]],'[1]pre processed data'!A:I,9,0)</f>
        <v>22</v>
      </c>
      <c r="G359" s="4">
        <f>VLOOKUP(Googleadssales[[#This Row],[Ad_ID]],'[1]pre processed data'!A:K,11,0)</f>
        <v>5</v>
      </c>
      <c r="H359" s="2">
        <f>Googleadssales[[#This Row],[Conversions]]/Googleadssales[[#This Row],[Clicks]]</f>
        <v>3.7593984962406013E-2</v>
      </c>
      <c r="I359" t="str">
        <f>VLOOKUP(Googleadssales[[#This Row],[Ad_ID]],'[1]pre processed data'!A:O,15,0)</f>
        <v>$1538</v>
      </c>
      <c r="J359" s="3">
        <f>VLOOKUP(Googleadssales[[#This Row],[Ad_ID]],'[1]pre processed data'!A:Q,17,0)</f>
        <v>45607</v>
      </c>
      <c r="K359" t="str">
        <f>VLOOKUP(Googleadssales[[#This Row],[Ad_ID]],'[1]pre processed data'!A:R,18,0)</f>
        <v>Hyderabad</v>
      </c>
      <c r="L359" t="str">
        <f>VLOOKUP(Googleadssales[[#This Row],[Ad_ID]],'[1]pre processed data'!A:S,19,0)</f>
        <v>Mobile</v>
      </c>
      <c r="M359" t="str">
        <f>VLOOKUP(Googleadssales[[#This Row],[Ad_ID]],'[1]pre processed data'!A:T,20,0)</f>
        <v>learn data analytics</v>
      </c>
    </row>
    <row r="360" spans="1:13" x14ac:dyDescent="0.3">
      <c r="A360" t="s">
        <v>373</v>
      </c>
      <c r="B360" t="s">
        <v>14</v>
      </c>
      <c r="C360" s="4">
        <f>VLOOKUP(Googleadssales[[#This Row],[Ad_ID]],'[1]pre processed data'!A:C,3,0)</f>
        <v>118</v>
      </c>
      <c r="D360" s="4">
        <f>VLOOKUP(Googleadssales[[#This Row],[Ad_ID]],'[1]pre processed data'!A:E,5,0)</f>
        <v>3730</v>
      </c>
      <c r="E360" s="5" t="str">
        <f>VLOOKUP(Googleadssales[[#This Row],[Ad_ID]],[1]!Table3[[Ad_ID]:[Cost-imputed]],7,0)</f>
        <v>$207.5</v>
      </c>
      <c r="F360" s="4">
        <f>VLOOKUP(Googleadssales[[#This Row],[Ad_ID]],'[1]pre processed data'!A:I,9,0)</f>
        <v>25</v>
      </c>
      <c r="G360" s="4">
        <f>VLOOKUP(Googleadssales[[#This Row],[Ad_ID]],'[1]pre processed data'!A:K,11,0)</f>
        <v>8</v>
      </c>
      <c r="H360" s="2">
        <f>Googleadssales[[#This Row],[Conversions]]/Googleadssales[[#This Row],[Clicks]]</f>
        <v>6.7796610169491525E-2</v>
      </c>
      <c r="I360" t="str">
        <f>VLOOKUP(Googleadssales[[#This Row],[Ad_ID]],'[1]pre processed data'!A:O,15,0)</f>
        <v>$1011</v>
      </c>
      <c r="J360" s="3">
        <f>VLOOKUP(Googleadssales[[#This Row],[Ad_ID]],'[1]pre processed data'!A:Q,17,0)</f>
        <v>45608</v>
      </c>
      <c r="K360" t="str">
        <f>VLOOKUP(Googleadssales[[#This Row],[Ad_ID]],'[1]pre processed data'!A:R,18,0)</f>
        <v>Bangaluru</v>
      </c>
      <c r="L360" t="str">
        <f>VLOOKUP(Googleadssales[[#This Row],[Ad_ID]],'[1]pre processed data'!A:S,19,0)</f>
        <v>Mobile</v>
      </c>
      <c r="M360" t="str">
        <f>VLOOKUP(Googleadssales[[#This Row],[Ad_ID]],'[1]pre processed data'!A:T,20,0)</f>
        <v>data analytics training</v>
      </c>
    </row>
    <row r="361" spans="1:13" x14ac:dyDescent="0.3">
      <c r="A361" t="s">
        <v>374</v>
      </c>
      <c r="B361" t="s">
        <v>18</v>
      </c>
      <c r="C361" s="4">
        <f>VLOOKUP(Googleadssales[[#This Row],[Ad_ID]],'[1]pre processed data'!A:C,3,0)</f>
        <v>109</v>
      </c>
      <c r="D361" s="4">
        <f>VLOOKUP(Googleadssales[[#This Row],[Ad_ID]],'[1]pre processed data'!A:E,5,0)</f>
        <v>5852</v>
      </c>
      <c r="E361" s="5" t="str">
        <f>VLOOKUP(Googleadssales[[#This Row],[Ad_ID]],[1]!Table3[[Ad_ID]:[Cost-imputed]],7,0)</f>
        <v>$235.44</v>
      </c>
      <c r="F361" s="4">
        <f>VLOOKUP(Googleadssales[[#This Row],[Ad_ID]],'[1]pre processed data'!A:I,9,0)</f>
        <v>20</v>
      </c>
      <c r="G361" s="4">
        <f>VLOOKUP(Googleadssales[[#This Row],[Ad_ID]],'[1]pre processed data'!A:K,11,0)</f>
        <v>5</v>
      </c>
      <c r="H361" s="2">
        <f>Googleadssales[[#This Row],[Conversions]]/Googleadssales[[#This Row],[Clicks]]</f>
        <v>4.5871559633027525E-2</v>
      </c>
      <c r="I361" t="str">
        <f>VLOOKUP(Googleadssales[[#This Row],[Ad_ID]],'[1]pre processed data'!A:O,15,0)</f>
        <v>$1946</v>
      </c>
      <c r="J361" s="3">
        <f>VLOOKUP(Googleadssales[[#This Row],[Ad_ID]],'[1]pre processed data'!A:Q,17,0)</f>
        <v>45610</v>
      </c>
      <c r="K361" t="str">
        <f>VLOOKUP(Googleadssales[[#This Row],[Ad_ID]],'[1]pre processed data'!A:R,18,0)</f>
        <v>Hyderabad</v>
      </c>
      <c r="L361" t="str">
        <f>VLOOKUP(Googleadssales[[#This Row],[Ad_ID]],'[1]pre processed data'!A:S,19,0)</f>
        <v>Desktop</v>
      </c>
      <c r="M361" t="str">
        <f>VLOOKUP(Googleadssales[[#This Row],[Ad_ID]],'[1]pre processed data'!A:T,20,0)</f>
        <v>analytics for data</v>
      </c>
    </row>
    <row r="362" spans="1:13" x14ac:dyDescent="0.3">
      <c r="A362" t="s">
        <v>375</v>
      </c>
      <c r="B362" t="s">
        <v>14</v>
      </c>
      <c r="C362" s="4">
        <f>VLOOKUP(Googleadssales[[#This Row],[Ad_ID]],'[1]pre processed data'!A:C,3,0)</f>
        <v>109</v>
      </c>
      <c r="D362" s="4">
        <f>VLOOKUP(Googleadssales[[#This Row],[Ad_ID]],'[1]pre processed data'!A:E,5,0)</f>
        <v>4011</v>
      </c>
      <c r="E362" s="5" t="str">
        <f>VLOOKUP(Googleadssales[[#This Row],[Ad_ID]],[1]!Table3[[Ad_ID]:[Cost-imputed]],7,0)</f>
        <v>$184.51</v>
      </c>
      <c r="F362" s="4">
        <f>VLOOKUP(Googleadssales[[#This Row],[Ad_ID]],'[1]pre processed data'!A:I,9,0)</f>
        <v>13</v>
      </c>
      <c r="G362" s="4">
        <f>VLOOKUP(Googleadssales[[#This Row],[Ad_ID]],'[1]pre processed data'!A:K,11,0)</f>
        <v>6</v>
      </c>
      <c r="H362" s="2">
        <f>Googleadssales[[#This Row],[Conversions]]/Googleadssales[[#This Row],[Clicks]]</f>
        <v>5.5045871559633031E-2</v>
      </c>
      <c r="I362" t="str">
        <f>VLOOKUP(Googleadssales[[#This Row],[Ad_ID]],'[1]pre processed data'!A:O,15,0)</f>
        <v>$1375</v>
      </c>
      <c r="J362" s="3">
        <f>VLOOKUP(Googleadssales[[#This Row],[Ad_ID]],'[1]pre processed data'!A:Q,17,0)</f>
        <v>45619</v>
      </c>
      <c r="K362" t="str">
        <f>VLOOKUP(Googleadssales[[#This Row],[Ad_ID]],'[1]pre processed data'!A:R,18,0)</f>
        <v>Hyderabad</v>
      </c>
      <c r="L362" t="str">
        <f>VLOOKUP(Googleadssales[[#This Row],[Ad_ID]],'[1]pre processed data'!A:S,19,0)</f>
        <v>Desktop</v>
      </c>
      <c r="M362" t="str">
        <f>VLOOKUP(Googleadssales[[#This Row],[Ad_ID]],'[1]pre processed data'!A:T,20,0)</f>
        <v>data analytics online</v>
      </c>
    </row>
    <row r="363" spans="1:13" x14ac:dyDescent="0.3">
      <c r="A363" t="s">
        <v>376</v>
      </c>
      <c r="B363" t="s">
        <v>18</v>
      </c>
      <c r="C363" s="4">
        <f>VLOOKUP(Googleadssales[[#This Row],[Ad_ID]],'[1]pre processed data'!A:C,3,0)</f>
        <v>128</v>
      </c>
      <c r="D363" s="4">
        <f>VLOOKUP(Googleadssales[[#This Row],[Ad_ID]],'[1]pre processed data'!A:E,5,0)</f>
        <v>4636</v>
      </c>
      <c r="E363" s="5" t="str">
        <f>VLOOKUP(Googleadssales[[#This Row],[Ad_ID]],[1]!Table3[[Ad_ID]:[Cost-imputed]],7,0)</f>
        <v>$243.83</v>
      </c>
      <c r="F363" s="4">
        <f>VLOOKUP(Googleadssales[[#This Row],[Ad_ID]],'[1]pre processed data'!A:I,9,0)</f>
        <v>20</v>
      </c>
      <c r="G363" s="4">
        <f>VLOOKUP(Googleadssales[[#This Row],[Ad_ID]],'[1]pre processed data'!A:K,11,0)</f>
        <v>10</v>
      </c>
      <c r="H363" s="2">
        <f>Googleadssales[[#This Row],[Conversions]]/Googleadssales[[#This Row],[Clicks]]</f>
        <v>7.8125E-2</v>
      </c>
      <c r="I363" t="str">
        <f>VLOOKUP(Googleadssales[[#This Row],[Ad_ID]],'[1]pre processed data'!A:O,15,0)</f>
        <v>$1941</v>
      </c>
      <c r="J363" s="3">
        <f>VLOOKUP(Googleadssales[[#This Row],[Ad_ID]],'[1]pre processed data'!A:Q,17,0)</f>
        <v>45598</v>
      </c>
      <c r="K363" t="str">
        <f>VLOOKUP(Googleadssales[[#This Row],[Ad_ID]],'[1]pre processed data'!A:R,18,0)</f>
        <v>Hyderabad</v>
      </c>
      <c r="L363" t="str">
        <f>VLOOKUP(Googleadssales[[#This Row],[Ad_ID]],'[1]pre processed data'!A:S,19,0)</f>
        <v>Mobile</v>
      </c>
      <c r="M363" t="str">
        <f>VLOOKUP(Googleadssales[[#This Row],[Ad_ID]],'[1]pre processed data'!A:T,20,0)</f>
        <v>data analytics training</v>
      </c>
    </row>
    <row r="364" spans="1:13" x14ac:dyDescent="0.3">
      <c r="A364" t="s">
        <v>377</v>
      </c>
      <c r="B364" t="s">
        <v>14</v>
      </c>
      <c r="C364" s="4">
        <f>VLOOKUP(Googleadssales[[#This Row],[Ad_ID]],'[1]pre processed data'!A:C,3,0)</f>
        <v>181</v>
      </c>
      <c r="D364" s="4">
        <f>VLOOKUP(Googleadssales[[#This Row],[Ad_ID]],'[1]pre processed data'!A:E,5,0)</f>
        <v>3087</v>
      </c>
      <c r="E364" s="5" t="str">
        <f>VLOOKUP(Googleadssales[[#This Row],[Ad_ID]],[1]!Table3[[Ad_ID]:[Cost-imputed]],7,0)</f>
        <v>$201.29</v>
      </c>
      <c r="F364" s="4">
        <f>VLOOKUP(Googleadssales[[#This Row],[Ad_ID]],'[1]pre processed data'!A:I,9,0)</f>
        <v>19</v>
      </c>
      <c r="G364" s="4">
        <f>VLOOKUP(Googleadssales[[#This Row],[Ad_ID]],'[1]pre processed data'!A:K,11,0)</f>
        <v>10</v>
      </c>
      <c r="H364" s="2">
        <f>Googleadssales[[#This Row],[Conversions]]/Googleadssales[[#This Row],[Clicks]]</f>
        <v>5.5248618784530384E-2</v>
      </c>
      <c r="I364" t="str">
        <f>VLOOKUP(Googleadssales[[#This Row],[Ad_ID]],'[1]pre processed data'!A:O,15,0)</f>
        <v>$1500</v>
      </c>
      <c r="J364" s="3">
        <f>VLOOKUP(Googleadssales[[#This Row],[Ad_ID]],'[1]pre processed data'!A:Q,17,0)</f>
        <v>45616</v>
      </c>
      <c r="K364" t="str">
        <f>VLOOKUP(Googleadssales[[#This Row],[Ad_ID]],'[1]pre processed data'!A:R,18,0)</f>
        <v>Chennai</v>
      </c>
      <c r="L364" t="str">
        <f>VLOOKUP(Googleadssales[[#This Row],[Ad_ID]],'[1]pre processed data'!A:S,19,0)</f>
        <v>Mobile</v>
      </c>
      <c r="M364" t="str">
        <f>VLOOKUP(Googleadssales[[#This Row],[Ad_ID]],'[1]pre processed data'!A:T,20,0)</f>
        <v>data analytics online</v>
      </c>
    </row>
    <row r="365" spans="1:13" x14ac:dyDescent="0.3">
      <c r="A365" t="s">
        <v>378</v>
      </c>
      <c r="B365" t="s">
        <v>14</v>
      </c>
      <c r="C365" s="4">
        <f>VLOOKUP(Googleadssales[[#This Row],[Ad_ID]],'[1]pre processed data'!A:C,3,0)</f>
        <v>89</v>
      </c>
      <c r="D365" s="4">
        <f>VLOOKUP(Googleadssales[[#This Row],[Ad_ID]],'[1]pre processed data'!A:E,5,0)</f>
        <v>5872</v>
      </c>
      <c r="E365" s="5" t="str">
        <f>VLOOKUP(Googleadssales[[#This Row],[Ad_ID]],[1]!Table3[[Ad_ID]:[Cost-imputed]],7,0)</f>
        <v>$198.32</v>
      </c>
      <c r="F365" s="4">
        <f>VLOOKUP(Googleadssales[[#This Row],[Ad_ID]],'[1]pre processed data'!A:I,9,0)</f>
        <v>14</v>
      </c>
      <c r="G365" s="4">
        <f>VLOOKUP(Googleadssales[[#This Row],[Ad_ID]],'[1]pre processed data'!A:K,11,0)</f>
        <v>6</v>
      </c>
      <c r="H365" s="2">
        <f>Googleadssales[[#This Row],[Conversions]]/Googleadssales[[#This Row],[Clicks]]</f>
        <v>6.741573033707865E-2</v>
      </c>
      <c r="I365" t="str">
        <f>VLOOKUP(Googleadssales[[#This Row],[Ad_ID]],'[1]pre processed data'!A:O,15,0)</f>
        <v>$1553</v>
      </c>
      <c r="J365" s="3">
        <f>VLOOKUP(Googleadssales[[#This Row],[Ad_ID]],'[1]pre processed data'!A:Q,17,0)</f>
        <v>45616</v>
      </c>
      <c r="K365" t="str">
        <f>VLOOKUP(Googleadssales[[#This Row],[Ad_ID]],'[1]pre processed data'!A:R,18,0)</f>
        <v>Hyderabad</v>
      </c>
      <c r="L365" t="str">
        <f>VLOOKUP(Googleadssales[[#This Row],[Ad_ID]],'[1]pre processed data'!A:S,19,0)</f>
        <v>Mobile</v>
      </c>
      <c r="M365" t="str">
        <f>VLOOKUP(Googleadssales[[#This Row],[Ad_ID]],'[1]pre processed data'!A:T,20,0)</f>
        <v>online data analytic</v>
      </c>
    </row>
    <row r="366" spans="1:13" x14ac:dyDescent="0.3">
      <c r="A366" t="s">
        <v>379</v>
      </c>
      <c r="B366" t="s">
        <v>14</v>
      </c>
      <c r="C366" s="4">
        <f>VLOOKUP(Googleadssales[[#This Row],[Ad_ID]],'[1]pre processed data'!A:C,3,0)</f>
        <v>157</v>
      </c>
      <c r="D366" s="4">
        <f>VLOOKUP(Googleadssales[[#This Row],[Ad_ID]],'[1]pre processed data'!A:E,5,0)</f>
        <v>5762</v>
      </c>
      <c r="E366" s="5" t="str">
        <f>VLOOKUP(Googleadssales[[#This Row],[Ad_ID]],[1]!Table3[[Ad_ID]:[Cost-imputed]],7,0)</f>
        <v>$248.1</v>
      </c>
      <c r="F366" s="4">
        <f>VLOOKUP(Googleadssales[[#This Row],[Ad_ID]],'[1]pre processed data'!A:I,9,0)</f>
        <v>26</v>
      </c>
      <c r="G366" s="4">
        <f>VLOOKUP(Googleadssales[[#This Row],[Ad_ID]],'[1]pre processed data'!A:K,11,0)</f>
        <v>4</v>
      </c>
      <c r="H366" s="2">
        <f>Googleadssales[[#This Row],[Conversions]]/Googleadssales[[#This Row],[Clicks]]</f>
        <v>2.5477707006369428E-2</v>
      </c>
      <c r="I366" t="str">
        <f>VLOOKUP(Googleadssales[[#This Row],[Ad_ID]],'[1]pre processed data'!A:O,15,0)</f>
        <v>$1999</v>
      </c>
      <c r="J366" s="3">
        <f>VLOOKUP(Googleadssales[[#This Row],[Ad_ID]],'[1]pre processed data'!A:Q,17,0)</f>
        <v>45601</v>
      </c>
      <c r="K366" t="str">
        <f>VLOOKUP(Googleadssales[[#This Row],[Ad_ID]],'[1]pre processed data'!A:R,18,0)</f>
        <v>Hyderabad</v>
      </c>
      <c r="L366" t="str">
        <f>VLOOKUP(Googleadssales[[#This Row],[Ad_ID]],'[1]pre processed data'!A:S,19,0)</f>
        <v>Tablet</v>
      </c>
      <c r="M366" t="str">
        <f>VLOOKUP(Googleadssales[[#This Row],[Ad_ID]],'[1]pre processed data'!A:T,20,0)</f>
        <v>data analytics online</v>
      </c>
    </row>
    <row r="367" spans="1:13" x14ac:dyDescent="0.3">
      <c r="A367" t="s">
        <v>380</v>
      </c>
      <c r="B367" t="s">
        <v>14</v>
      </c>
      <c r="C367" s="4">
        <f>VLOOKUP(Googleadssales[[#This Row],[Ad_ID]],'[1]pre processed data'!A:C,3,0)</f>
        <v>88</v>
      </c>
      <c r="D367" s="4">
        <f>VLOOKUP(Googleadssales[[#This Row],[Ad_ID]],'[1]pre processed data'!A:E,5,0)</f>
        <v>3396</v>
      </c>
      <c r="E367" s="5" t="str">
        <f>VLOOKUP(Googleadssales[[#This Row],[Ad_ID]],[1]!Table3[[Ad_ID]:[Cost-imputed]],7,0)</f>
        <v>$193.79</v>
      </c>
      <c r="F367" s="4">
        <f>VLOOKUP(Googleadssales[[#This Row],[Ad_ID]],'[1]pre processed data'!A:I,9,0)</f>
        <v>19</v>
      </c>
      <c r="G367" s="4">
        <f>VLOOKUP(Googleadssales[[#This Row],[Ad_ID]],'[1]pre processed data'!A:K,11,0)</f>
        <v>5</v>
      </c>
      <c r="H367" s="2">
        <f>Googleadssales[[#This Row],[Conversions]]/Googleadssales[[#This Row],[Clicks]]</f>
        <v>5.6818181818181816E-2</v>
      </c>
      <c r="I367" t="str">
        <f>VLOOKUP(Googleadssales[[#This Row],[Ad_ID]],'[1]pre processed data'!A:O,15,0)</f>
        <v>$1860</v>
      </c>
      <c r="J367" s="3">
        <f>VLOOKUP(Googleadssales[[#This Row],[Ad_ID]],'[1]pre processed data'!A:Q,17,0)</f>
        <v>45614</v>
      </c>
      <c r="K367" t="str">
        <f>VLOOKUP(Googleadssales[[#This Row],[Ad_ID]],'[1]pre processed data'!A:R,18,0)</f>
        <v>Bangaluru</v>
      </c>
      <c r="L367" t="str">
        <f>VLOOKUP(Googleadssales[[#This Row],[Ad_ID]],'[1]pre processed data'!A:S,19,0)</f>
        <v>Mobile</v>
      </c>
      <c r="M367" t="str">
        <f>VLOOKUP(Googleadssales[[#This Row],[Ad_ID]],'[1]pre processed data'!A:T,20,0)</f>
        <v>online data analytic</v>
      </c>
    </row>
    <row r="368" spans="1:13" x14ac:dyDescent="0.3">
      <c r="A368" t="s">
        <v>381</v>
      </c>
      <c r="B368" t="s">
        <v>14</v>
      </c>
      <c r="C368" s="4">
        <f>VLOOKUP(Googleadssales[[#This Row],[Ad_ID]],'[1]pre processed data'!A:C,3,0)</f>
        <v>130</v>
      </c>
      <c r="D368" s="4">
        <f>VLOOKUP(Googleadssales[[#This Row],[Ad_ID]],'[1]pre processed data'!A:E,5,0)</f>
        <v>3092</v>
      </c>
      <c r="E368" s="5" t="str">
        <f>VLOOKUP(Googleadssales[[#This Row],[Ad_ID]],[1]!Table3[[Ad_ID]:[Cost-imputed]],7,0)</f>
        <v>$211.39</v>
      </c>
      <c r="F368" s="4">
        <f>VLOOKUP(Googleadssales[[#This Row],[Ad_ID]],'[1]pre processed data'!A:I,9,0)</f>
        <v>28</v>
      </c>
      <c r="G368" s="4">
        <f>VLOOKUP(Googleadssales[[#This Row],[Ad_ID]],'[1]pre processed data'!A:K,11,0)</f>
        <v>7</v>
      </c>
      <c r="H368" s="2">
        <f>Googleadssales[[#This Row],[Conversions]]/Googleadssales[[#This Row],[Clicks]]</f>
        <v>5.3846153846153849E-2</v>
      </c>
      <c r="I368" t="str">
        <f>VLOOKUP(Googleadssales[[#This Row],[Ad_ID]],'[1]pre processed data'!A:O,15,0)</f>
        <v>$1031</v>
      </c>
      <c r="J368" s="3">
        <f>VLOOKUP(Googleadssales[[#This Row],[Ad_ID]],'[1]pre processed data'!A:Q,17,0)</f>
        <v>45620</v>
      </c>
      <c r="K368" t="str">
        <f>VLOOKUP(Googleadssales[[#This Row],[Ad_ID]],'[1]pre processed data'!A:R,18,0)</f>
        <v>Bangaluru</v>
      </c>
      <c r="L368" t="str">
        <f>VLOOKUP(Googleadssales[[#This Row],[Ad_ID]],'[1]pre processed data'!A:S,19,0)</f>
        <v>Tablet</v>
      </c>
      <c r="M368" t="str">
        <f>VLOOKUP(Googleadssales[[#This Row],[Ad_ID]],'[1]pre processed data'!A:T,20,0)</f>
        <v>data analytics course</v>
      </c>
    </row>
    <row r="369" spans="1:13" x14ac:dyDescent="0.3">
      <c r="A369" t="s">
        <v>382</v>
      </c>
      <c r="B369" t="s">
        <v>14</v>
      </c>
      <c r="C369" s="4">
        <f>VLOOKUP(Googleadssales[[#This Row],[Ad_ID]],'[1]pre processed data'!A:C,3,0)</f>
        <v>194</v>
      </c>
      <c r="D369" s="4">
        <f>VLOOKUP(Googleadssales[[#This Row],[Ad_ID]],'[1]pre processed data'!A:E,5,0)</f>
        <v>4240</v>
      </c>
      <c r="E369" s="5" t="str">
        <f>VLOOKUP(Googleadssales[[#This Row],[Ad_ID]],[1]!Table3[[Ad_ID]:[Cost-imputed]],7,0)</f>
        <v>$213.45</v>
      </c>
      <c r="F369" s="4">
        <f>VLOOKUP(Googleadssales[[#This Row],[Ad_ID]],'[1]pre processed data'!A:I,9,0)</f>
        <v>18</v>
      </c>
      <c r="G369" s="4">
        <f>VLOOKUP(Googleadssales[[#This Row],[Ad_ID]],'[1]pre processed data'!A:K,11,0)</f>
        <v>4</v>
      </c>
      <c r="H369" s="2">
        <f>Googleadssales[[#This Row],[Conversions]]/Googleadssales[[#This Row],[Clicks]]</f>
        <v>2.0618556701030927E-2</v>
      </c>
      <c r="I369" t="str">
        <f>VLOOKUP(Googleadssales[[#This Row],[Ad_ID]],'[1]pre processed data'!A:O,15,0)</f>
        <v>$1890</v>
      </c>
      <c r="J369" s="3">
        <f>VLOOKUP(Googleadssales[[#This Row],[Ad_ID]],'[1]pre processed data'!A:Q,17,0)</f>
        <v>45619</v>
      </c>
      <c r="K369" t="str">
        <f>VLOOKUP(Googleadssales[[#This Row],[Ad_ID]],'[1]pre processed data'!A:R,18,0)</f>
        <v>Hyderabad</v>
      </c>
      <c r="L369" t="str">
        <f>VLOOKUP(Googleadssales[[#This Row],[Ad_ID]],'[1]pre processed data'!A:S,19,0)</f>
        <v>Tablet</v>
      </c>
      <c r="M369" t="str">
        <f>VLOOKUP(Googleadssales[[#This Row],[Ad_ID]],'[1]pre processed data'!A:T,20,0)</f>
        <v>data analytics online</v>
      </c>
    </row>
    <row r="370" spans="1:13" x14ac:dyDescent="0.3">
      <c r="A370" t="s">
        <v>383</v>
      </c>
      <c r="B370" t="s">
        <v>14</v>
      </c>
      <c r="C370" s="4">
        <f>VLOOKUP(Googleadssales[[#This Row],[Ad_ID]],'[1]pre processed data'!A:C,3,0)</f>
        <v>180</v>
      </c>
      <c r="D370" s="4">
        <f>VLOOKUP(Googleadssales[[#This Row],[Ad_ID]],'[1]pre processed data'!A:E,5,0)</f>
        <v>4297</v>
      </c>
      <c r="E370" s="5" t="str">
        <f>VLOOKUP(Googleadssales[[#This Row],[Ad_ID]],[1]!Table3[[Ad_ID]:[Cost-imputed]],7,0)</f>
        <v>$200.04</v>
      </c>
      <c r="F370" s="4">
        <f>VLOOKUP(Googleadssales[[#This Row],[Ad_ID]],'[1]pre processed data'!A:I,9,0)</f>
        <v>24</v>
      </c>
      <c r="G370" s="4">
        <f>VLOOKUP(Googleadssales[[#This Row],[Ad_ID]],'[1]pre processed data'!A:K,11,0)</f>
        <v>5</v>
      </c>
      <c r="H370" s="2">
        <f>Googleadssales[[#This Row],[Conversions]]/Googleadssales[[#This Row],[Clicks]]</f>
        <v>2.7777777777777776E-2</v>
      </c>
      <c r="I370" t="str">
        <f>VLOOKUP(Googleadssales[[#This Row],[Ad_ID]],'[1]pre processed data'!A:O,15,0)</f>
        <v>$1050</v>
      </c>
      <c r="J370" s="3">
        <f>VLOOKUP(Googleadssales[[#This Row],[Ad_ID]],'[1]pre processed data'!A:Q,17,0)</f>
        <v>45614</v>
      </c>
      <c r="K370" t="str">
        <f>VLOOKUP(Googleadssales[[#This Row],[Ad_ID]],'[1]pre processed data'!A:R,18,0)</f>
        <v>Hyderabad</v>
      </c>
      <c r="L370" t="str">
        <f>VLOOKUP(Googleadssales[[#This Row],[Ad_ID]],'[1]pre processed data'!A:S,19,0)</f>
        <v>Mobile</v>
      </c>
      <c r="M370" t="str">
        <f>VLOOKUP(Googleadssales[[#This Row],[Ad_ID]],'[1]pre processed data'!A:T,20,0)</f>
        <v>data analytics course</v>
      </c>
    </row>
    <row r="371" spans="1:13" x14ac:dyDescent="0.3">
      <c r="A371" t="s">
        <v>384</v>
      </c>
      <c r="B371" t="s">
        <v>14</v>
      </c>
      <c r="C371" s="4">
        <f>VLOOKUP(Googleadssales[[#This Row],[Ad_ID]],'[1]pre processed data'!A:C,3,0)</f>
        <v>138.95699356913184</v>
      </c>
      <c r="D371" s="4">
        <f>VLOOKUP(Googleadssales[[#This Row],[Ad_ID]],'[1]pre processed data'!A:E,5,0)</f>
        <v>5518</v>
      </c>
      <c r="E371" s="5" t="str">
        <f>VLOOKUP(Googleadssales[[#This Row],[Ad_ID]],[1]!Table3[[Ad_ID]:[Cost-imputed]],7,0)</f>
        <v>$243.83</v>
      </c>
      <c r="F371" s="4">
        <f>VLOOKUP(Googleadssales[[#This Row],[Ad_ID]],'[1]pre processed data'!A:I,9,0)</f>
        <v>15</v>
      </c>
      <c r="G371" s="4">
        <f>VLOOKUP(Googleadssales[[#This Row],[Ad_ID]],'[1]pre processed data'!A:K,11,0)</f>
        <v>10</v>
      </c>
      <c r="H371" s="2">
        <f>Googleadssales[[#This Row],[Conversions]]/Googleadssales[[#This Row],[Clicks]]</f>
        <v>7.1964711837443046E-2</v>
      </c>
      <c r="I371" t="str">
        <f>VLOOKUP(Googleadssales[[#This Row],[Ad_ID]],'[1]pre processed data'!A:O,15,0)</f>
        <v>$1862</v>
      </c>
      <c r="J371" s="3">
        <f>VLOOKUP(Googleadssales[[#This Row],[Ad_ID]],'[1]pre processed data'!A:Q,17,0)</f>
        <v>45618</v>
      </c>
      <c r="K371" t="str">
        <f>VLOOKUP(Googleadssales[[#This Row],[Ad_ID]],'[1]pre processed data'!A:R,18,0)</f>
        <v>Hyderabad</v>
      </c>
      <c r="L371" t="str">
        <f>VLOOKUP(Googleadssales[[#This Row],[Ad_ID]],'[1]pre processed data'!A:S,19,0)</f>
        <v>Mobile</v>
      </c>
      <c r="M371" t="str">
        <f>VLOOKUP(Googleadssales[[#This Row],[Ad_ID]],'[1]pre processed data'!A:T,20,0)</f>
        <v>data analytics online</v>
      </c>
    </row>
    <row r="372" spans="1:13" x14ac:dyDescent="0.3">
      <c r="A372" t="s">
        <v>385</v>
      </c>
      <c r="B372" t="s">
        <v>14</v>
      </c>
      <c r="C372" s="4">
        <f>VLOOKUP(Googleadssales[[#This Row],[Ad_ID]],'[1]pre processed data'!A:C,3,0)</f>
        <v>138.95699356913184</v>
      </c>
      <c r="D372" s="4">
        <f>VLOOKUP(Googleadssales[[#This Row],[Ad_ID]],'[1]pre processed data'!A:E,5,0)</f>
        <v>5039</v>
      </c>
      <c r="E372" s="5" t="str">
        <f>VLOOKUP(Googleadssales[[#This Row],[Ad_ID]],[1]!Table3[[Ad_ID]:[Cost-imputed]],7,0)</f>
        <v>$235.44</v>
      </c>
      <c r="F372" s="4">
        <f>VLOOKUP(Googleadssales[[#This Row],[Ad_ID]],'[1]pre processed data'!A:I,9,0)</f>
        <v>24</v>
      </c>
      <c r="G372" s="4">
        <f>VLOOKUP(Googleadssales[[#This Row],[Ad_ID]],'[1]pre processed data'!A:K,11,0)</f>
        <v>7</v>
      </c>
      <c r="H372" s="2">
        <f>Googleadssales[[#This Row],[Conversions]]/Googleadssales[[#This Row],[Clicks]]</f>
        <v>5.0375298286210138E-2</v>
      </c>
      <c r="I372" t="str">
        <f>VLOOKUP(Googleadssales[[#This Row],[Ad_ID]],'[1]pre processed data'!A:O,15,0)</f>
        <v>$1839</v>
      </c>
      <c r="J372" s="3">
        <f>VLOOKUP(Googleadssales[[#This Row],[Ad_ID]],'[1]pre processed data'!A:Q,17,0)</f>
        <v>45604</v>
      </c>
      <c r="K372" t="str">
        <f>VLOOKUP(Googleadssales[[#This Row],[Ad_ID]],'[1]pre processed data'!A:R,18,0)</f>
        <v>Hyderabad</v>
      </c>
      <c r="L372" t="str">
        <f>VLOOKUP(Googleadssales[[#This Row],[Ad_ID]],'[1]pre processed data'!A:S,19,0)</f>
        <v>Desktop</v>
      </c>
      <c r="M372" t="str">
        <f>VLOOKUP(Googleadssales[[#This Row],[Ad_ID]],'[1]pre processed data'!A:T,20,0)</f>
        <v>data analytics online</v>
      </c>
    </row>
    <row r="373" spans="1:13" x14ac:dyDescent="0.3">
      <c r="A373" t="s">
        <v>386</v>
      </c>
      <c r="B373" t="s">
        <v>18</v>
      </c>
      <c r="C373" s="4">
        <f>VLOOKUP(Googleadssales[[#This Row],[Ad_ID]],'[1]pre processed data'!A:C,3,0)</f>
        <v>138.95699356913184</v>
      </c>
      <c r="D373" s="4">
        <f>VLOOKUP(Googleadssales[[#This Row],[Ad_ID]],'[1]pre processed data'!A:E,5,0)</f>
        <v>3596</v>
      </c>
      <c r="E373" s="5" t="str">
        <f>VLOOKUP(Googleadssales[[#This Row],[Ad_ID]],[1]!Table3[[Ad_ID]:[Cost-imputed]],7,0)</f>
        <v>$210.31</v>
      </c>
      <c r="F373" s="4">
        <f>VLOOKUP(Googleadssales[[#This Row],[Ad_ID]],'[1]pre processed data'!A:I,9,0)</f>
        <v>23</v>
      </c>
      <c r="G373" s="4">
        <f>VLOOKUP(Googleadssales[[#This Row],[Ad_ID]],'[1]pre processed data'!A:K,11,0)</f>
        <v>9</v>
      </c>
      <c r="H373" s="2">
        <f>Googleadssales[[#This Row],[Conversions]]/Googleadssales[[#This Row],[Clicks]]</f>
        <v>6.4768240653698753E-2</v>
      </c>
      <c r="I373" t="str">
        <f>VLOOKUP(Googleadssales[[#This Row],[Ad_ID]],'[1]pre processed data'!A:O,15,0)</f>
        <v>$1269</v>
      </c>
      <c r="J373" s="3">
        <f>VLOOKUP(Googleadssales[[#This Row],[Ad_ID]],'[1]pre processed data'!A:Q,17,0)</f>
        <v>45597</v>
      </c>
      <c r="K373" t="str">
        <f>VLOOKUP(Googleadssales[[#This Row],[Ad_ID]],'[1]pre processed data'!A:R,18,0)</f>
        <v>Chennai</v>
      </c>
      <c r="L373" t="str">
        <f>VLOOKUP(Googleadssales[[#This Row],[Ad_ID]],'[1]pre processed data'!A:S,19,0)</f>
        <v>Tablet</v>
      </c>
      <c r="M373" t="str">
        <f>VLOOKUP(Googleadssales[[#This Row],[Ad_ID]],'[1]pre processed data'!A:T,20,0)</f>
        <v>online data analytic</v>
      </c>
    </row>
    <row r="374" spans="1:13" x14ac:dyDescent="0.3">
      <c r="A374" t="s">
        <v>387</v>
      </c>
      <c r="B374" t="s">
        <v>14</v>
      </c>
      <c r="C374" s="4">
        <f>VLOOKUP(Googleadssales[[#This Row],[Ad_ID]],'[1]pre processed data'!A:C,3,0)</f>
        <v>118</v>
      </c>
      <c r="D374" s="4">
        <f>VLOOKUP(Googleadssales[[#This Row],[Ad_ID]],'[1]pre processed data'!A:E,5,0)</f>
        <v>4845</v>
      </c>
      <c r="E374" s="5" t="str">
        <f>VLOOKUP(Googleadssales[[#This Row],[Ad_ID]],[1]!Table3[[Ad_ID]:[Cost-imputed]],7,0)</f>
        <v>$190.25</v>
      </c>
      <c r="F374" s="4">
        <f>VLOOKUP(Googleadssales[[#This Row],[Ad_ID]],'[1]pre processed data'!A:I,9,0)</f>
        <v>11</v>
      </c>
      <c r="G374" s="4">
        <f>VLOOKUP(Googleadssales[[#This Row],[Ad_ID]],'[1]pre processed data'!A:K,11,0)</f>
        <v>3</v>
      </c>
      <c r="H374" s="2">
        <f>Googleadssales[[#This Row],[Conversions]]/Googleadssales[[#This Row],[Clicks]]</f>
        <v>2.5423728813559324E-2</v>
      </c>
      <c r="I374" t="str">
        <f>VLOOKUP(Googleadssales[[#This Row],[Ad_ID]],'[1]pre processed data'!A:O,15,0)</f>
        <v>$1446</v>
      </c>
      <c r="J374" s="3">
        <f>VLOOKUP(Googleadssales[[#This Row],[Ad_ID]],'[1]pre processed data'!A:Q,17,0)</f>
        <v>45614</v>
      </c>
      <c r="K374" t="str">
        <f>VLOOKUP(Googleadssales[[#This Row],[Ad_ID]],'[1]pre processed data'!A:R,18,0)</f>
        <v>Bangaluru</v>
      </c>
      <c r="L374" t="str">
        <f>VLOOKUP(Googleadssales[[#This Row],[Ad_ID]],'[1]pre processed data'!A:S,19,0)</f>
        <v>Desktop</v>
      </c>
      <c r="M374" t="str">
        <f>VLOOKUP(Googleadssales[[#This Row],[Ad_ID]],'[1]pre processed data'!A:T,20,0)</f>
        <v>analytics for data</v>
      </c>
    </row>
    <row r="375" spans="1:13" x14ac:dyDescent="0.3">
      <c r="A375" t="s">
        <v>388</v>
      </c>
      <c r="B375" t="s">
        <v>14</v>
      </c>
      <c r="C375" s="4">
        <f>VLOOKUP(Googleadssales[[#This Row],[Ad_ID]],'[1]pre processed data'!A:C,3,0)</f>
        <v>101</v>
      </c>
      <c r="D375" s="4">
        <f>VLOOKUP(Googleadssales[[#This Row],[Ad_ID]],'[1]pre processed data'!A:E,5,0)</f>
        <v>4883</v>
      </c>
      <c r="E375" s="5" t="str">
        <f>VLOOKUP(Googleadssales[[#This Row],[Ad_ID]],[1]!Table3[[Ad_ID]:[Cost-imputed]],7,0)</f>
        <v>$237.89</v>
      </c>
      <c r="F375" s="4">
        <f>VLOOKUP(Googleadssales[[#This Row],[Ad_ID]],'[1]pre processed data'!A:I,9,0)</f>
        <v>11</v>
      </c>
      <c r="G375" s="4">
        <f>VLOOKUP(Googleadssales[[#This Row],[Ad_ID]],'[1]pre processed data'!A:K,11,0)</f>
        <v>6</v>
      </c>
      <c r="H375" s="2">
        <f>Googleadssales[[#This Row],[Conversions]]/Googleadssales[[#This Row],[Clicks]]</f>
        <v>5.9405940594059403E-2</v>
      </c>
      <c r="I375" t="str">
        <f>VLOOKUP(Googleadssales[[#This Row],[Ad_ID]],'[1]pre processed data'!A:O,15,0)</f>
        <v>$1368</v>
      </c>
      <c r="J375" s="3">
        <f>VLOOKUP(Googleadssales[[#This Row],[Ad_ID]],'[1]pre processed data'!A:Q,17,0)</f>
        <v>45610</v>
      </c>
      <c r="K375" t="str">
        <f>VLOOKUP(Googleadssales[[#This Row],[Ad_ID]],'[1]pre processed data'!A:R,18,0)</f>
        <v>Chennai</v>
      </c>
      <c r="L375" t="str">
        <f>VLOOKUP(Googleadssales[[#This Row],[Ad_ID]],'[1]pre processed data'!A:S,19,0)</f>
        <v>Desktop</v>
      </c>
      <c r="M375" t="str">
        <f>VLOOKUP(Googleadssales[[#This Row],[Ad_ID]],'[1]pre processed data'!A:T,20,0)</f>
        <v>analytics for data</v>
      </c>
    </row>
    <row r="376" spans="1:13" x14ac:dyDescent="0.3">
      <c r="A376" t="s">
        <v>389</v>
      </c>
      <c r="B376" t="s">
        <v>14</v>
      </c>
      <c r="C376" s="4">
        <f>VLOOKUP(Googleadssales[[#This Row],[Ad_ID]],'[1]pre processed data'!A:C,3,0)</f>
        <v>120</v>
      </c>
      <c r="D376" s="4">
        <f>VLOOKUP(Googleadssales[[#This Row],[Ad_ID]],'[1]pre processed data'!A:E,5,0)</f>
        <v>4618</v>
      </c>
      <c r="E376" s="5" t="str">
        <f>VLOOKUP(Googleadssales[[#This Row],[Ad_ID]],[1]!Table3[[Ad_ID]:[Cost-imputed]],7,0)</f>
        <v>$200.91</v>
      </c>
      <c r="F376" s="4">
        <f>VLOOKUP(Googleadssales[[#This Row],[Ad_ID]],'[1]pre processed data'!A:I,9,0)</f>
        <v>18</v>
      </c>
      <c r="G376" s="4">
        <f>VLOOKUP(Googleadssales[[#This Row],[Ad_ID]],'[1]pre processed data'!A:K,11,0)</f>
        <v>7</v>
      </c>
      <c r="H376" s="2">
        <f>Googleadssales[[#This Row],[Conversions]]/Googleadssales[[#This Row],[Clicks]]</f>
        <v>5.8333333333333334E-2</v>
      </c>
      <c r="I376" t="str">
        <f>VLOOKUP(Googleadssales[[#This Row],[Ad_ID]],'[1]pre processed data'!A:O,15,0)</f>
        <v>$1775</v>
      </c>
      <c r="J376" s="3">
        <f>VLOOKUP(Googleadssales[[#This Row],[Ad_ID]],'[1]pre processed data'!A:Q,17,0)</f>
        <v>45598</v>
      </c>
      <c r="K376" t="str">
        <f>VLOOKUP(Googleadssales[[#This Row],[Ad_ID]],'[1]pre processed data'!A:R,18,0)</f>
        <v>Bangaluru</v>
      </c>
      <c r="L376" t="str">
        <f>VLOOKUP(Googleadssales[[#This Row],[Ad_ID]],'[1]pre processed data'!A:S,19,0)</f>
        <v>Tablet</v>
      </c>
      <c r="M376" t="str">
        <f>VLOOKUP(Googleadssales[[#This Row],[Ad_ID]],'[1]pre processed data'!A:T,20,0)</f>
        <v>data analytics online</v>
      </c>
    </row>
    <row r="377" spans="1:13" x14ac:dyDescent="0.3">
      <c r="A377" t="s">
        <v>390</v>
      </c>
      <c r="B377" t="s">
        <v>18</v>
      </c>
      <c r="C377" s="4">
        <f>VLOOKUP(Googleadssales[[#This Row],[Ad_ID]],'[1]pre processed data'!A:C,3,0)</f>
        <v>194</v>
      </c>
      <c r="D377" s="4">
        <f>VLOOKUP(Googleadssales[[#This Row],[Ad_ID]],'[1]pre processed data'!A:E,5,0)</f>
        <v>3941</v>
      </c>
      <c r="E377" s="5" t="str">
        <f>VLOOKUP(Googleadssales[[#This Row],[Ad_ID]],[1]!Table3[[Ad_ID]:[Cost-imputed]],7,0)</f>
        <v>$240.35</v>
      </c>
      <c r="F377" s="4">
        <f>VLOOKUP(Googleadssales[[#This Row],[Ad_ID]],'[1]pre processed data'!A:I,9,0)</f>
        <v>27</v>
      </c>
      <c r="G377" s="4">
        <f>VLOOKUP(Googleadssales[[#This Row],[Ad_ID]],'[1]pre processed data'!A:K,11,0)</f>
        <v>10</v>
      </c>
      <c r="H377" s="2">
        <f>Googleadssales[[#This Row],[Conversions]]/Googleadssales[[#This Row],[Clicks]]</f>
        <v>5.1546391752577317E-2</v>
      </c>
      <c r="I377" t="str">
        <f>VLOOKUP(Googleadssales[[#This Row],[Ad_ID]],'[1]pre processed data'!A:O,15,0)</f>
        <v>$1373</v>
      </c>
      <c r="J377" s="3">
        <f>VLOOKUP(Googleadssales[[#This Row],[Ad_ID]],'[1]pre processed data'!A:Q,17,0)</f>
        <v>45607</v>
      </c>
      <c r="K377" t="str">
        <f>VLOOKUP(Googleadssales[[#This Row],[Ad_ID]],'[1]pre processed data'!A:R,18,0)</f>
        <v>Hyderabad</v>
      </c>
      <c r="L377" t="str">
        <f>VLOOKUP(Googleadssales[[#This Row],[Ad_ID]],'[1]pre processed data'!A:S,19,0)</f>
        <v>Desktop</v>
      </c>
      <c r="M377" t="str">
        <f>VLOOKUP(Googleadssales[[#This Row],[Ad_ID]],'[1]pre processed data'!A:T,20,0)</f>
        <v>data analytics course</v>
      </c>
    </row>
    <row r="378" spans="1:13" x14ac:dyDescent="0.3">
      <c r="A378" t="s">
        <v>391</v>
      </c>
      <c r="B378" t="s">
        <v>18</v>
      </c>
      <c r="C378" s="4">
        <f>VLOOKUP(Googleadssales[[#This Row],[Ad_ID]],'[1]pre processed data'!A:C,3,0)</f>
        <v>135</v>
      </c>
      <c r="D378" s="4">
        <f>VLOOKUP(Googleadssales[[#This Row],[Ad_ID]],'[1]pre processed data'!A:E,5,0)</f>
        <v>5096</v>
      </c>
      <c r="E378" s="5" t="str">
        <f>VLOOKUP(Googleadssales[[#This Row],[Ad_ID]],[1]!Table3[[Ad_ID]:[Cost-imputed]],7,0)</f>
        <v>$230.32</v>
      </c>
      <c r="F378" s="4">
        <f>VLOOKUP(Googleadssales[[#This Row],[Ad_ID]],'[1]pre processed data'!A:I,9,0)</f>
        <v>14</v>
      </c>
      <c r="G378" s="4">
        <f>VLOOKUP(Googleadssales[[#This Row],[Ad_ID]],'[1]pre processed data'!A:K,11,0)</f>
        <v>4</v>
      </c>
      <c r="H378" s="2">
        <f>Googleadssales[[#This Row],[Conversions]]/Googleadssales[[#This Row],[Clicks]]</f>
        <v>2.9629629629629631E-2</v>
      </c>
      <c r="I378" t="str">
        <f>VLOOKUP(Googleadssales[[#This Row],[Ad_ID]],'[1]pre processed data'!A:O,15,0)</f>
        <v>$1478</v>
      </c>
      <c r="J378" s="3">
        <f>VLOOKUP(Googleadssales[[#This Row],[Ad_ID]],'[1]pre processed data'!A:Q,17,0)</f>
        <v>45614</v>
      </c>
      <c r="K378" t="str">
        <f>VLOOKUP(Googleadssales[[#This Row],[Ad_ID]],'[1]pre processed data'!A:R,18,0)</f>
        <v>Chennai</v>
      </c>
      <c r="L378" t="str">
        <f>VLOOKUP(Googleadssales[[#This Row],[Ad_ID]],'[1]pre processed data'!A:S,19,0)</f>
        <v>Mobile</v>
      </c>
      <c r="M378" t="str">
        <f>VLOOKUP(Googleadssales[[#This Row],[Ad_ID]],'[1]pre processed data'!A:T,20,0)</f>
        <v>data analytics training</v>
      </c>
    </row>
    <row r="379" spans="1:13" x14ac:dyDescent="0.3">
      <c r="A379" t="s">
        <v>392</v>
      </c>
      <c r="B379" t="s">
        <v>14</v>
      </c>
      <c r="C379" s="4">
        <f>VLOOKUP(Googleadssales[[#This Row],[Ad_ID]],'[1]pre processed data'!A:C,3,0)</f>
        <v>190</v>
      </c>
      <c r="D379" s="4">
        <f>VLOOKUP(Googleadssales[[#This Row],[Ad_ID]],'[1]pre processed data'!A:E,5,0)</f>
        <v>5537</v>
      </c>
      <c r="E379" s="5" t="str">
        <f>VLOOKUP(Googleadssales[[#This Row],[Ad_ID]],[1]!Table3[[Ad_ID]:[Cost-imputed]],7,0)</f>
        <v>$188.98</v>
      </c>
      <c r="F379" s="4">
        <f>VLOOKUP(Googleadssales[[#This Row],[Ad_ID]],'[1]pre processed data'!A:I,9,0)</f>
        <v>20</v>
      </c>
      <c r="G379" s="4">
        <f>VLOOKUP(Googleadssales[[#This Row],[Ad_ID]],'[1]pre processed data'!A:K,11,0)</f>
        <v>4</v>
      </c>
      <c r="H379" s="2">
        <f>Googleadssales[[#This Row],[Conversions]]/Googleadssales[[#This Row],[Clicks]]</f>
        <v>2.1052631578947368E-2</v>
      </c>
      <c r="I379" t="str">
        <f>VLOOKUP(Googleadssales[[#This Row],[Ad_ID]],'[1]pre processed data'!A:O,15,0)</f>
        <v>$1989</v>
      </c>
      <c r="J379" s="3">
        <f>VLOOKUP(Googleadssales[[#This Row],[Ad_ID]],'[1]pre processed data'!A:Q,17,0)</f>
        <v>45600</v>
      </c>
      <c r="K379" t="str">
        <f>VLOOKUP(Googleadssales[[#This Row],[Ad_ID]],'[1]pre processed data'!A:R,18,0)</f>
        <v>Hyderabad</v>
      </c>
      <c r="L379" t="str">
        <f>VLOOKUP(Googleadssales[[#This Row],[Ad_ID]],'[1]pre processed data'!A:S,19,0)</f>
        <v>Tablet</v>
      </c>
      <c r="M379" t="str">
        <f>VLOOKUP(Googleadssales[[#This Row],[Ad_ID]],'[1]pre processed data'!A:T,20,0)</f>
        <v>learn data analytics</v>
      </c>
    </row>
    <row r="380" spans="1:13" x14ac:dyDescent="0.3">
      <c r="A380" t="s">
        <v>393</v>
      </c>
      <c r="B380" t="s">
        <v>18</v>
      </c>
      <c r="C380" s="4">
        <f>VLOOKUP(Googleadssales[[#This Row],[Ad_ID]],'[1]pre processed data'!A:C,3,0)</f>
        <v>198</v>
      </c>
      <c r="D380" s="4">
        <f>VLOOKUP(Googleadssales[[#This Row],[Ad_ID]],'[1]pre processed data'!A:E,5,0)</f>
        <v>4208</v>
      </c>
      <c r="E380" s="5" t="str">
        <f>VLOOKUP(Googleadssales[[#This Row],[Ad_ID]],[1]!Table3[[Ad_ID]:[Cost-imputed]],7,0)</f>
        <v>$180.06</v>
      </c>
      <c r="F380" s="4">
        <f>VLOOKUP(Googleadssales[[#This Row],[Ad_ID]],'[1]pre processed data'!A:I,9,0)</f>
        <v>19</v>
      </c>
      <c r="G380" s="4">
        <f>VLOOKUP(Googleadssales[[#This Row],[Ad_ID]],'[1]pre processed data'!A:K,11,0)</f>
        <v>8</v>
      </c>
      <c r="H380" s="2">
        <f>Googleadssales[[#This Row],[Conversions]]/Googleadssales[[#This Row],[Clicks]]</f>
        <v>4.0404040404040407E-2</v>
      </c>
      <c r="I380" t="str">
        <f>VLOOKUP(Googleadssales[[#This Row],[Ad_ID]],'[1]pre processed data'!A:O,15,0)</f>
        <v>$1462</v>
      </c>
      <c r="J380" s="3">
        <f>VLOOKUP(Googleadssales[[#This Row],[Ad_ID]],'[1]pre processed data'!A:Q,17,0)</f>
        <v>45604</v>
      </c>
      <c r="K380" t="str">
        <f>VLOOKUP(Googleadssales[[#This Row],[Ad_ID]],'[1]pre processed data'!A:R,18,0)</f>
        <v>Hyderabad</v>
      </c>
      <c r="L380" t="str">
        <f>VLOOKUP(Googleadssales[[#This Row],[Ad_ID]],'[1]pre processed data'!A:S,19,0)</f>
        <v>Mobile</v>
      </c>
      <c r="M380" t="str">
        <f>VLOOKUP(Googleadssales[[#This Row],[Ad_ID]],'[1]pre processed data'!A:T,20,0)</f>
        <v>data analytics training</v>
      </c>
    </row>
    <row r="381" spans="1:13" x14ac:dyDescent="0.3">
      <c r="A381" t="s">
        <v>394</v>
      </c>
      <c r="B381" t="s">
        <v>14</v>
      </c>
      <c r="C381" s="4">
        <f>VLOOKUP(Googleadssales[[#This Row],[Ad_ID]],'[1]pre processed data'!A:C,3,0)</f>
        <v>87</v>
      </c>
      <c r="D381" s="4">
        <f>VLOOKUP(Googleadssales[[#This Row],[Ad_ID]],'[1]pre processed data'!A:E,5,0)</f>
        <v>5358</v>
      </c>
      <c r="E381" s="5" t="str">
        <f>VLOOKUP(Googleadssales[[#This Row],[Ad_ID]],[1]!Table3[[Ad_ID]:[Cost-imputed]],7,0)</f>
        <v>$236.57</v>
      </c>
      <c r="F381" s="4">
        <f>VLOOKUP(Googleadssales[[#This Row],[Ad_ID]],'[1]pre processed data'!A:I,9,0)</f>
        <v>19</v>
      </c>
      <c r="G381" s="4">
        <f>VLOOKUP(Googleadssales[[#This Row],[Ad_ID]],'[1]pre processed data'!A:K,11,0)</f>
        <v>5</v>
      </c>
      <c r="H381" s="2">
        <f>Googleadssales[[#This Row],[Conversions]]/Googleadssales[[#This Row],[Clicks]]</f>
        <v>5.7471264367816091E-2</v>
      </c>
      <c r="I381" t="str">
        <f>VLOOKUP(Googleadssales[[#This Row],[Ad_ID]],'[1]pre processed data'!A:O,15,0)</f>
        <v>$1141</v>
      </c>
      <c r="J381" s="3">
        <f>VLOOKUP(Googleadssales[[#This Row],[Ad_ID]],'[1]pre processed data'!A:Q,17,0)</f>
        <v>45598</v>
      </c>
      <c r="K381" t="str">
        <f>VLOOKUP(Googleadssales[[#This Row],[Ad_ID]],'[1]pre processed data'!A:R,18,0)</f>
        <v>Chennai</v>
      </c>
      <c r="L381" t="str">
        <f>VLOOKUP(Googleadssales[[#This Row],[Ad_ID]],'[1]pre processed data'!A:S,19,0)</f>
        <v>Tablet</v>
      </c>
      <c r="M381" t="str">
        <f>VLOOKUP(Googleadssales[[#This Row],[Ad_ID]],'[1]pre processed data'!A:T,20,0)</f>
        <v>learn data analytics</v>
      </c>
    </row>
    <row r="382" spans="1:13" x14ac:dyDescent="0.3">
      <c r="A382" t="s">
        <v>395</v>
      </c>
      <c r="B382" t="s">
        <v>18</v>
      </c>
      <c r="C382" s="4">
        <f>VLOOKUP(Googleadssales[[#This Row],[Ad_ID]],'[1]pre processed data'!A:C,3,0)</f>
        <v>106</v>
      </c>
      <c r="D382" s="4">
        <f>VLOOKUP(Googleadssales[[#This Row],[Ad_ID]],'[1]pre processed data'!A:E,5,0)</f>
        <v>5583</v>
      </c>
      <c r="E382" s="5" t="str">
        <f>VLOOKUP(Googleadssales[[#This Row],[Ad_ID]],[1]!Table3[[Ad_ID]:[Cost-imputed]],7,0)</f>
        <v>$218.81</v>
      </c>
      <c r="F382" s="4">
        <f>VLOOKUP(Googleadssales[[#This Row],[Ad_ID]],'[1]pre processed data'!A:I,9,0)</f>
        <v>13</v>
      </c>
      <c r="G382" s="4">
        <f>VLOOKUP(Googleadssales[[#This Row],[Ad_ID]],'[1]pre processed data'!A:K,11,0)</f>
        <v>3</v>
      </c>
      <c r="H382" s="2">
        <f>Googleadssales[[#This Row],[Conversions]]/Googleadssales[[#This Row],[Clicks]]</f>
        <v>2.8301886792452831E-2</v>
      </c>
      <c r="I382" t="str">
        <f>VLOOKUP(Googleadssales[[#This Row],[Ad_ID]],'[1]pre processed data'!A:O,15,0)</f>
        <v>$1049</v>
      </c>
      <c r="J382" s="3">
        <f>VLOOKUP(Googleadssales[[#This Row],[Ad_ID]],'[1]pre processed data'!A:Q,17,0)</f>
        <v>45611</v>
      </c>
      <c r="K382" t="str">
        <f>VLOOKUP(Googleadssales[[#This Row],[Ad_ID]],'[1]pre processed data'!A:R,18,0)</f>
        <v>Hyderabad</v>
      </c>
      <c r="L382" t="str">
        <f>VLOOKUP(Googleadssales[[#This Row],[Ad_ID]],'[1]pre processed data'!A:S,19,0)</f>
        <v>Desktop</v>
      </c>
      <c r="M382" t="str">
        <f>VLOOKUP(Googleadssales[[#This Row],[Ad_ID]],'[1]pre processed data'!A:T,20,0)</f>
        <v>data analytics course</v>
      </c>
    </row>
    <row r="383" spans="1:13" x14ac:dyDescent="0.3">
      <c r="A383" t="s">
        <v>396</v>
      </c>
      <c r="B383" t="s">
        <v>14</v>
      </c>
      <c r="C383" s="4">
        <f>VLOOKUP(Googleadssales[[#This Row],[Ad_ID]],'[1]pre processed data'!A:C,3,0)</f>
        <v>169</v>
      </c>
      <c r="D383" s="4">
        <f>VLOOKUP(Googleadssales[[#This Row],[Ad_ID]],'[1]pre processed data'!A:E,5,0)</f>
        <v>3069</v>
      </c>
      <c r="E383" s="5" t="str">
        <f>VLOOKUP(Googleadssales[[#This Row],[Ad_ID]],[1]!Table3[[Ad_ID]:[Cost-imputed]],7,0)</f>
        <v>$227.7</v>
      </c>
      <c r="F383" s="4">
        <f>VLOOKUP(Googleadssales[[#This Row],[Ad_ID]],'[1]pre processed data'!A:I,9,0)</f>
        <v>12</v>
      </c>
      <c r="G383" s="4">
        <f>VLOOKUP(Googleadssales[[#This Row],[Ad_ID]],'[1]pre processed data'!A:K,11,0)</f>
        <v>5</v>
      </c>
      <c r="H383" s="2">
        <f>Googleadssales[[#This Row],[Conversions]]/Googleadssales[[#This Row],[Clicks]]</f>
        <v>2.9585798816568046E-2</v>
      </c>
      <c r="I383" t="str">
        <f>VLOOKUP(Googleadssales[[#This Row],[Ad_ID]],'[1]pre processed data'!A:O,15,0)</f>
        <v>$1063</v>
      </c>
      <c r="J383" s="3">
        <f>VLOOKUP(Googleadssales[[#This Row],[Ad_ID]],'[1]pre processed data'!A:Q,17,0)</f>
        <v>45624</v>
      </c>
      <c r="K383" t="str">
        <f>VLOOKUP(Googleadssales[[#This Row],[Ad_ID]],'[1]pre processed data'!A:R,18,0)</f>
        <v>Hyderabad</v>
      </c>
      <c r="L383" t="str">
        <f>VLOOKUP(Googleadssales[[#This Row],[Ad_ID]],'[1]pre processed data'!A:S,19,0)</f>
        <v>Mobile</v>
      </c>
      <c r="M383" t="str">
        <f>VLOOKUP(Googleadssales[[#This Row],[Ad_ID]],'[1]pre processed data'!A:T,20,0)</f>
        <v>data analytics course</v>
      </c>
    </row>
    <row r="384" spans="1:13" x14ac:dyDescent="0.3">
      <c r="A384" t="s">
        <v>397</v>
      </c>
      <c r="B384" t="s">
        <v>14</v>
      </c>
      <c r="C384" s="4">
        <f>VLOOKUP(Googleadssales[[#This Row],[Ad_ID]],'[1]pre processed data'!A:C,3,0)</f>
        <v>195</v>
      </c>
      <c r="D384" s="4">
        <f>VLOOKUP(Googleadssales[[#This Row],[Ad_ID]],'[1]pre processed data'!A:E,5,0)</f>
        <v>3738</v>
      </c>
      <c r="E384" s="5" t="str">
        <f>VLOOKUP(Googleadssales[[#This Row],[Ad_ID]],[1]!Table3[[Ad_ID]:[Cost-imputed]],7,0)</f>
        <v>$202.08</v>
      </c>
      <c r="F384" s="4">
        <f>VLOOKUP(Googleadssales[[#This Row],[Ad_ID]],'[1]pre processed data'!A:I,9,0)</f>
        <v>18</v>
      </c>
      <c r="G384" s="4">
        <f>VLOOKUP(Googleadssales[[#This Row],[Ad_ID]],'[1]pre processed data'!A:K,11,0)</f>
        <v>7</v>
      </c>
      <c r="H384" s="2">
        <f>Googleadssales[[#This Row],[Conversions]]/Googleadssales[[#This Row],[Clicks]]</f>
        <v>3.5897435897435895E-2</v>
      </c>
      <c r="I384" t="str">
        <f>VLOOKUP(Googleadssales[[#This Row],[Ad_ID]],'[1]pre processed data'!A:O,15,0)</f>
        <v>$1647</v>
      </c>
      <c r="J384" s="3">
        <f>VLOOKUP(Googleadssales[[#This Row],[Ad_ID]],'[1]pre processed data'!A:Q,17,0)</f>
        <v>45612</v>
      </c>
      <c r="K384" t="str">
        <f>VLOOKUP(Googleadssales[[#This Row],[Ad_ID]],'[1]pre processed data'!A:R,18,0)</f>
        <v>Hyderabad</v>
      </c>
      <c r="L384" t="str">
        <f>VLOOKUP(Googleadssales[[#This Row],[Ad_ID]],'[1]pre processed data'!A:S,19,0)</f>
        <v>Tablet</v>
      </c>
      <c r="M384" t="str">
        <f>VLOOKUP(Googleadssales[[#This Row],[Ad_ID]],'[1]pre processed data'!A:T,20,0)</f>
        <v>online data analytic</v>
      </c>
    </row>
    <row r="385" spans="1:13" x14ac:dyDescent="0.3">
      <c r="A385" t="s">
        <v>398</v>
      </c>
      <c r="B385" t="s">
        <v>14</v>
      </c>
      <c r="C385" s="4">
        <f>VLOOKUP(Googleadssales[[#This Row],[Ad_ID]],'[1]pre processed data'!A:C,3,0)</f>
        <v>161</v>
      </c>
      <c r="D385" s="4">
        <f>VLOOKUP(Googleadssales[[#This Row],[Ad_ID]],'[1]pre processed data'!A:E,5,0)</f>
        <v>4852</v>
      </c>
      <c r="E385" s="5" t="str">
        <f>VLOOKUP(Googleadssales[[#This Row],[Ad_ID]],[1]!Table3[[Ad_ID]:[Cost-imputed]],7,0)</f>
        <v>$235.1</v>
      </c>
      <c r="F385" s="4">
        <f>VLOOKUP(Googleadssales[[#This Row],[Ad_ID]],'[1]pre processed data'!A:I,9,0)</f>
        <v>10</v>
      </c>
      <c r="G385" s="4">
        <f>VLOOKUP(Googleadssales[[#This Row],[Ad_ID]],'[1]pre processed data'!A:K,11,0)</f>
        <v>8</v>
      </c>
      <c r="H385" s="2">
        <f>Googleadssales[[#This Row],[Conversions]]/Googleadssales[[#This Row],[Clicks]]</f>
        <v>4.9689440993788817E-2</v>
      </c>
      <c r="I385" t="str">
        <f>VLOOKUP(Googleadssales[[#This Row],[Ad_ID]],'[1]pre processed data'!A:O,15,0)</f>
        <v>$1738</v>
      </c>
      <c r="J385" s="3">
        <f>VLOOKUP(Googleadssales[[#This Row],[Ad_ID]],'[1]pre processed data'!A:Q,17,0)</f>
        <v>45620</v>
      </c>
      <c r="K385" t="str">
        <f>VLOOKUP(Googleadssales[[#This Row],[Ad_ID]],'[1]pre processed data'!A:R,18,0)</f>
        <v>Hyderabad</v>
      </c>
      <c r="L385" t="str">
        <f>VLOOKUP(Googleadssales[[#This Row],[Ad_ID]],'[1]pre processed data'!A:S,19,0)</f>
        <v>Desktop</v>
      </c>
      <c r="M385" t="str">
        <f>VLOOKUP(Googleadssales[[#This Row],[Ad_ID]],'[1]pre processed data'!A:T,20,0)</f>
        <v>online data analytic</v>
      </c>
    </row>
    <row r="386" spans="1:13" x14ac:dyDescent="0.3">
      <c r="A386" t="s">
        <v>399</v>
      </c>
      <c r="B386" t="s">
        <v>14</v>
      </c>
      <c r="C386" s="4">
        <f>VLOOKUP(Googleadssales[[#This Row],[Ad_ID]],'[1]pre processed data'!A:C,3,0)</f>
        <v>195</v>
      </c>
      <c r="D386" s="4">
        <f>VLOOKUP(Googleadssales[[#This Row],[Ad_ID]],'[1]pre processed data'!A:E,5,0)</f>
        <v>5120</v>
      </c>
      <c r="E386" s="5" t="str">
        <f>VLOOKUP(Googleadssales[[#This Row],[Ad_ID]],[1]!Table3[[Ad_ID]:[Cost-imputed]],7,0)</f>
        <v>$249.6</v>
      </c>
      <c r="F386" s="4">
        <f>VLOOKUP(Googleadssales[[#This Row],[Ad_ID]],'[1]pre processed data'!A:I,9,0)</f>
        <v>26</v>
      </c>
      <c r="G386" s="4">
        <f>VLOOKUP(Googleadssales[[#This Row],[Ad_ID]],'[1]pre processed data'!A:K,11,0)</f>
        <v>3</v>
      </c>
      <c r="H386" s="2">
        <f>Googleadssales[[#This Row],[Conversions]]/Googleadssales[[#This Row],[Clicks]]</f>
        <v>1.5384615384615385E-2</v>
      </c>
      <c r="I386" t="str">
        <f>VLOOKUP(Googleadssales[[#This Row],[Ad_ID]],'[1]pre processed data'!A:O,15,0)</f>
        <v>$1571</v>
      </c>
      <c r="J386" s="3">
        <f>VLOOKUP(Googleadssales[[#This Row],[Ad_ID]],'[1]pre processed data'!A:Q,17,0)</f>
        <v>45600</v>
      </c>
      <c r="K386" t="str">
        <f>VLOOKUP(Googleadssales[[#This Row],[Ad_ID]],'[1]pre processed data'!A:R,18,0)</f>
        <v>Hyderabad</v>
      </c>
      <c r="L386" t="str">
        <f>VLOOKUP(Googleadssales[[#This Row],[Ad_ID]],'[1]pre processed data'!A:S,19,0)</f>
        <v>Mobile</v>
      </c>
      <c r="M386" t="str">
        <f>VLOOKUP(Googleadssales[[#This Row],[Ad_ID]],'[1]pre processed data'!A:T,20,0)</f>
        <v>data analytics training</v>
      </c>
    </row>
    <row r="387" spans="1:13" x14ac:dyDescent="0.3">
      <c r="A387" t="s">
        <v>400</v>
      </c>
      <c r="B387" t="s">
        <v>18</v>
      </c>
      <c r="C387" s="4">
        <f>VLOOKUP(Googleadssales[[#This Row],[Ad_ID]],'[1]pre processed data'!A:C,3,0)</f>
        <v>111</v>
      </c>
      <c r="D387" s="4">
        <f>VLOOKUP(Googleadssales[[#This Row],[Ad_ID]],'[1]pre processed data'!A:E,5,0)</f>
        <v>3550</v>
      </c>
      <c r="E387" s="5" t="str">
        <f>VLOOKUP(Googleadssales[[#This Row],[Ad_ID]],[1]!Table3[[Ad_ID]:[Cost-imputed]],7,0)</f>
        <v>$231.81</v>
      </c>
      <c r="F387" s="4">
        <f>VLOOKUP(Googleadssales[[#This Row],[Ad_ID]],'[1]pre processed data'!A:I,9,0)</f>
        <v>10</v>
      </c>
      <c r="G387" s="4">
        <f>VLOOKUP(Googleadssales[[#This Row],[Ad_ID]],'[1]pre processed data'!A:K,11,0)</f>
        <v>9</v>
      </c>
      <c r="H387" s="2">
        <f>Googleadssales[[#This Row],[Conversions]]/Googleadssales[[#This Row],[Clicks]]</f>
        <v>8.1081081081081086E-2</v>
      </c>
      <c r="I387" t="str">
        <f>VLOOKUP(Googleadssales[[#This Row],[Ad_ID]],'[1]pre processed data'!A:O,15,0)</f>
        <v>$1462</v>
      </c>
      <c r="J387" s="3">
        <f>VLOOKUP(Googleadssales[[#This Row],[Ad_ID]],'[1]pre processed data'!A:Q,17,0)</f>
        <v>45622</v>
      </c>
      <c r="K387" t="str">
        <f>VLOOKUP(Googleadssales[[#This Row],[Ad_ID]],'[1]pre processed data'!A:R,18,0)</f>
        <v>Hyderabad</v>
      </c>
      <c r="L387" t="str">
        <f>VLOOKUP(Googleadssales[[#This Row],[Ad_ID]],'[1]pre processed data'!A:S,19,0)</f>
        <v>Mobile</v>
      </c>
      <c r="M387" t="str">
        <f>VLOOKUP(Googleadssales[[#This Row],[Ad_ID]],'[1]pre processed data'!A:T,20,0)</f>
        <v>data analytics training</v>
      </c>
    </row>
    <row r="388" spans="1:13" x14ac:dyDescent="0.3">
      <c r="A388" t="s">
        <v>401</v>
      </c>
      <c r="B388" t="s">
        <v>14</v>
      </c>
      <c r="C388" s="4">
        <f>VLOOKUP(Googleadssales[[#This Row],[Ad_ID]],'[1]pre processed data'!A:C,3,0)</f>
        <v>124</v>
      </c>
      <c r="D388" s="4">
        <f>VLOOKUP(Googleadssales[[#This Row],[Ad_ID]],'[1]pre processed data'!A:E,5,0)</f>
        <v>5618</v>
      </c>
      <c r="E388" s="5" t="str">
        <f>VLOOKUP(Googleadssales[[#This Row],[Ad_ID]],[1]!Table3[[Ad_ID]:[Cost-imputed]],7,0)</f>
        <v>$205.95</v>
      </c>
      <c r="F388" s="4">
        <f>VLOOKUP(Googleadssales[[#This Row],[Ad_ID]],'[1]pre processed data'!A:I,9,0)</f>
        <v>25</v>
      </c>
      <c r="G388" s="4">
        <f>VLOOKUP(Googleadssales[[#This Row],[Ad_ID]],'[1]pre processed data'!A:K,11,0)</f>
        <v>7</v>
      </c>
      <c r="H388" s="2">
        <f>Googleadssales[[#This Row],[Conversions]]/Googleadssales[[#This Row],[Clicks]]</f>
        <v>5.6451612903225805E-2</v>
      </c>
      <c r="I388" t="str">
        <f>VLOOKUP(Googleadssales[[#This Row],[Ad_ID]],'[1]pre processed data'!A:O,15,0)</f>
        <v>$1374</v>
      </c>
      <c r="J388" s="3">
        <f>VLOOKUP(Googleadssales[[#This Row],[Ad_ID]],'[1]pre processed data'!A:Q,17,0)</f>
        <v>45615</v>
      </c>
      <c r="K388" t="str">
        <f>VLOOKUP(Googleadssales[[#This Row],[Ad_ID]],'[1]pre processed data'!A:R,18,0)</f>
        <v>Chennai</v>
      </c>
      <c r="L388" t="str">
        <f>VLOOKUP(Googleadssales[[#This Row],[Ad_ID]],'[1]pre processed data'!A:S,19,0)</f>
        <v>Mobile</v>
      </c>
      <c r="M388" t="str">
        <f>VLOOKUP(Googleadssales[[#This Row],[Ad_ID]],'[1]pre processed data'!A:T,20,0)</f>
        <v>data analytics course</v>
      </c>
    </row>
    <row r="389" spans="1:13" x14ac:dyDescent="0.3">
      <c r="A389" t="s">
        <v>402</v>
      </c>
      <c r="B389" t="s">
        <v>14</v>
      </c>
      <c r="C389" s="4">
        <f>VLOOKUP(Googleadssales[[#This Row],[Ad_ID]],'[1]pre processed data'!A:C,3,0)</f>
        <v>89</v>
      </c>
      <c r="D389" s="4">
        <f>VLOOKUP(Googleadssales[[#This Row],[Ad_ID]],'[1]pre processed data'!A:E,5,0)</f>
        <v>4700</v>
      </c>
      <c r="E389" s="5" t="str">
        <f>VLOOKUP(Googleadssales[[#This Row],[Ad_ID]],[1]!Table3[[Ad_ID]:[Cost-imputed]],7,0)</f>
        <v>$219.95</v>
      </c>
      <c r="F389" s="4">
        <f>VLOOKUP(Googleadssales[[#This Row],[Ad_ID]],'[1]pre processed data'!A:I,9,0)</f>
        <v>28</v>
      </c>
      <c r="G389" s="4">
        <f>VLOOKUP(Googleadssales[[#This Row],[Ad_ID]],'[1]pre processed data'!A:K,11,0)</f>
        <v>6</v>
      </c>
      <c r="H389" s="2">
        <f>Googleadssales[[#This Row],[Conversions]]/Googleadssales[[#This Row],[Clicks]]</f>
        <v>6.741573033707865E-2</v>
      </c>
      <c r="I389" t="str">
        <f>VLOOKUP(Googleadssales[[#This Row],[Ad_ID]],'[1]pre processed data'!A:O,15,0)</f>
        <v>$1493</v>
      </c>
      <c r="J389" s="3">
        <f>VLOOKUP(Googleadssales[[#This Row],[Ad_ID]],'[1]pre processed data'!A:Q,17,0)</f>
        <v>45615</v>
      </c>
      <c r="K389" t="str">
        <f>VLOOKUP(Googleadssales[[#This Row],[Ad_ID]],'[1]pre processed data'!A:R,18,0)</f>
        <v>Hyderabad</v>
      </c>
      <c r="L389" t="str">
        <f>VLOOKUP(Googleadssales[[#This Row],[Ad_ID]],'[1]pre processed data'!A:S,19,0)</f>
        <v>Mobile</v>
      </c>
      <c r="M389" t="str">
        <f>VLOOKUP(Googleadssales[[#This Row],[Ad_ID]],'[1]pre processed data'!A:T,20,0)</f>
        <v>data analytics course</v>
      </c>
    </row>
    <row r="390" spans="1:13" x14ac:dyDescent="0.3">
      <c r="A390" t="s">
        <v>403</v>
      </c>
      <c r="B390" t="s">
        <v>14</v>
      </c>
      <c r="C390" s="4">
        <f>VLOOKUP(Googleadssales[[#This Row],[Ad_ID]],'[1]pre processed data'!A:C,3,0)</f>
        <v>122</v>
      </c>
      <c r="D390" s="4">
        <f>VLOOKUP(Googleadssales[[#This Row],[Ad_ID]],'[1]pre processed data'!A:E,5,0)</f>
        <v>5874</v>
      </c>
      <c r="E390" s="5" t="str">
        <f>VLOOKUP(Googleadssales[[#This Row],[Ad_ID]],[1]!Table3[[Ad_ID]:[Cost-imputed]],7,0)</f>
        <v>$201.04</v>
      </c>
      <c r="F390" s="4">
        <f>VLOOKUP(Googleadssales[[#This Row],[Ad_ID]],'[1]pre processed data'!A:I,9,0)</f>
        <v>10</v>
      </c>
      <c r="G390" s="4">
        <f>VLOOKUP(Googleadssales[[#This Row],[Ad_ID]],'[1]pre processed data'!A:K,11,0)</f>
        <v>7</v>
      </c>
      <c r="H390" s="2">
        <f>Googleadssales[[#This Row],[Conversions]]/Googleadssales[[#This Row],[Clicks]]</f>
        <v>5.737704918032787E-2</v>
      </c>
      <c r="I390" t="str">
        <f>VLOOKUP(Googleadssales[[#This Row],[Ad_ID]],'[1]pre processed data'!A:O,15,0)</f>
        <v>$1352</v>
      </c>
      <c r="J390" s="3">
        <f>VLOOKUP(Googleadssales[[#This Row],[Ad_ID]],'[1]pre processed data'!A:Q,17,0)</f>
        <v>45626</v>
      </c>
      <c r="K390" t="str">
        <f>VLOOKUP(Googleadssales[[#This Row],[Ad_ID]],'[1]pre processed data'!A:R,18,0)</f>
        <v>Chennai</v>
      </c>
      <c r="L390" t="str">
        <f>VLOOKUP(Googleadssales[[#This Row],[Ad_ID]],'[1]pre processed data'!A:S,19,0)</f>
        <v>Desktop</v>
      </c>
      <c r="M390" t="str">
        <f>VLOOKUP(Googleadssales[[#This Row],[Ad_ID]],'[1]pre processed data'!A:T,20,0)</f>
        <v>data analytics course</v>
      </c>
    </row>
    <row r="391" spans="1:13" x14ac:dyDescent="0.3">
      <c r="A391" t="s">
        <v>404</v>
      </c>
      <c r="B391" t="s">
        <v>14</v>
      </c>
      <c r="C391" s="4">
        <f>VLOOKUP(Googleadssales[[#This Row],[Ad_ID]],'[1]pre processed data'!A:C,3,0)</f>
        <v>177</v>
      </c>
      <c r="D391" s="4">
        <f>VLOOKUP(Googleadssales[[#This Row],[Ad_ID]],'[1]pre processed data'!A:E,5,0)</f>
        <v>5965</v>
      </c>
      <c r="E391" s="5" t="str">
        <f>VLOOKUP(Googleadssales[[#This Row],[Ad_ID]],[1]!Table3[[Ad_ID]:[Cost-imputed]],7,0)</f>
        <v>$199.7</v>
      </c>
      <c r="F391" s="4">
        <f>VLOOKUP(Googleadssales[[#This Row],[Ad_ID]],'[1]pre processed data'!A:I,9,0)</f>
        <v>28</v>
      </c>
      <c r="G391" s="4">
        <f>VLOOKUP(Googleadssales[[#This Row],[Ad_ID]],'[1]pre processed data'!A:K,11,0)</f>
        <v>3</v>
      </c>
      <c r="H391" s="2">
        <f>Googleadssales[[#This Row],[Conversions]]/Googleadssales[[#This Row],[Clicks]]</f>
        <v>1.6949152542372881E-2</v>
      </c>
      <c r="I391" t="str">
        <f>VLOOKUP(Googleadssales[[#This Row],[Ad_ID]],'[1]pre processed data'!A:O,15,0)</f>
        <v>$1090</v>
      </c>
      <c r="J391" s="3">
        <f>VLOOKUP(Googleadssales[[#This Row],[Ad_ID]],'[1]pre processed data'!A:Q,17,0)</f>
        <v>45609</v>
      </c>
      <c r="K391" t="str">
        <f>VLOOKUP(Googleadssales[[#This Row],[Ad_ID]],'[1]pre processed data'!A:R,18,0)</f>
        <v>Hyderabad</v>
      </c>
      <c r="L391" t="str">
        <f>VLOOKUP(Googleadssales[[#This Row],[Ad_ID]],'[1]pre processed data'!A:S,19,0)</f>
        <v>Mobile</v>
      </c>
      <c r="M391" t="str">
        <f>VLOOKUP(Googleadssales[[#This Row],[Ad_ID]],'[1]pre processed data'!A:T,20,0)</f>
        <v>data analytics online</v>
      </c>
    </row>
    <row r="392" spans="1:13" x14ac:dyDescent="0.3">
      <c r="A392" t="s">
        <v>405</v>
      </c>
      <c r="B392" t="s">
        <v>14</v>
      </c>
      <c r="C392" s="4">
        <f>VLOOKUP(Googleadssales[[#This Row],[Ad_ID]],'[1]pre processed data'!A:C,3,0)</f>
        <v>163</v>
      </c>
      <c r="D392" s="4">
        <f>VLOOKUP(Googleadssales[[#This Row],[Ad_ID]],'[1]pre processed data'!A:E,5,0)</f>
        <v>5774</v>
      </c>
      <c r="E392" s="5" t="str">
        <f>VLOOKUP(Googleadssales[[#This Row],[Ad_ID]],[1]!Table3[[Ad_ID]:[Cost-imputed]],7,0)</f>
        <v>$221.61</v>
      </c>
      <c r="F392" s="4">
        <f>VLOOKUP(Googleadssales[[#This Row],[Ad_ID]],'[1]pre processed data'!A:I,9,0)</f>
        <v>29</v>
      </c>
      <c r="G392" s="4">
        <f>VLOOKUP(Googleadssales[[#This Row],[Ad_ID]],'[1]pre processed data'!A:K,11,0)</f>
        <v>9</v>
      </c>
      <c r="H392" s="2">
        <f>Googleadssales[[#This Row],[Conversions]]/Googleadssales[[#This Row],[Clicks]]</f>
        <v>5.5214723926380369E-2</v>
      </c>
      <c r="I392" t="str">
        <f>VLOOKUP(Googleadssales[[#This Row],[Ad_ID]],'[1]pre processed data'!A:O,15,0)</f>
        <v>$1396</v>
      </c>
      <c r="J392" s="3">
        <f>VLOOKUP(Googleadssales[[#This Row],[Ad_ID]],'[1]pre processed data'!A:Q,17,0)</f>
        <v>45604</v>
      </c>
      <c r="K392" t="str">
        <f>VLOOKUP(Googleadssales[[#This Row],[Ad_ID]],'[1]pre processed data'!A:R,18,0)</f>
        <v>Hyderabad</v>
      </c>
      <c r="L392" t="str">
        <f>VLOOKUP(Googleadssales[[#This Row],[Ad_ID]],'[1]pre processed data'!A:S,19,0)</f>
        <v>Desktop</v>
      </c>
      <c r="M392" t="str">
        <f>VLOOKUP(Googleadssales[[#This Row],[Ad_ID]],'[1]pre processed data'!A:T,20,0)</f>
        <v>learn data analytics</v>
      </c>
    </row>
    <row r="393" spans="1:13" x14ac:dyDescent="0.3">
      <c r="A393" t="s">
        <v>406</v>
      </c>
      <c r="B393" t="s">
        <v>14</v>
      </c>
      <c r="C393" s="4">
        <f>VLOOKUP(Googleadssales[[#This Row],[Ad_ID]],'[1]pre processed data'!A:C,3,0)</f>
        <v>124</v>
      </c>
      <c r="D393" s="4">
        <f>VLOOKUP(Googleadssales[[#This Row],[Ad_ID]],'[1]pre processed data'!A:E,5,0)</f>
        <v>4079</v>
      </c>
      <c r="E393" s="5" t="str">
        <f>VLOOKUP(Googleadssales[[#This Row],[Ad_ID]],[1]!Table3[[Ad_ID]:[Cost-imputed]],7,0)</f>
        <v>$189.07</v>
      </c>
      <c r="F393" s="4">
        <f>VLOOKUP(Googleadssales[[#This Row],[Ad_ID]],'[1]pre processed data'!A:I,9,0)</f>
        <v>18</v>
      </c>
      <c r="G393" s="4">
        <f>VLOOKUP(Googleadssales[[#This Row],[Ad_ID]],'[1]pre processed data'!A:K,11,0)</f>
        <v>3</v>
      </c>
      <c r="H393" s="2">
        <f>Googleadssales[[#This Row],[Conversions]]/Googleadssales[[#This Row],[Clicks]]</f>
        <v>2.4193548387096774E-2</v>
      </c>
      <c r="I393" t="str">
        <f>VLOOKUP(Googleadssales[[#This Row],[Ad_ID]],'[1]pre processed data'!A:O,15,0)</f>
        <v>$1430</v>
      </c>
      <c r="J393" s="3">
        <f>VLOOKUP(Googleadssales[[#This Row],[Ad_ID]],'[1]pre processed data'!A:Q,17,0)</f>
        <v>45619</v>
      </c>
      <c r="K393" t="str">
        <f>VLOOKUP(Googleadssales[[#This Row],[Ad_ID]],'[1]pre processed data'!A:R,18,0)</f>
        <v>Chennai</v>
      </c>
      <c r="L393" t="str">
        <f>VLOOKUP(Googleadssales[[#This Row],[Ad_ID]],'[1]pre processed data'!A:S,19,0)</f>
        <v>Desktop</v>
      </c>
      <c r="M393" t="str">
        <f>VLOOKUP(Googleadssales[[#This Row],[Ad_ID]],'[1]pre processed data'!A:T,20,0)</f>
        <v>data analytics course</v>
      </c>
    </row>
    <row r="394" spans="1:13" x14ac:dyDescent="0.3">
      <c r="A394" t="s">
        <v>407</v>
      </c>
      <c r="B394" t="s">
        <v>14</v>
      </c>
      <c r="C394" s="4">
        <f>VLOOKUP(Googleadssales[[#This Row],[Ad_ID]],'[1]pre processed data'!A:C,3,0)</f>
        <v>105</v>
      </c>
      <c r="D394" s="4">
        <f>VLOOKUP(Googleadssales[[#This Row],[Ad_ID]],'[1]pre processed data'!A:E,5,0)</f>
        <v>3670</v>
      </c>
      <c r="E394" s="5" t="str">
        <f>VLOOKUP(Googleadssales[[#This Row],[Ad_ID]],[1]!Table3[[Ad_ID]:[Cost-imputed]],7,0)</f>
        <v>$218.45</v>
      </c>
      <c r="F394" s="4">
        <f>VLOOKUP(Googleadssales[[#This Row],[Ad_ID]],'[1]pre processed data'!A:I,9,0)</f>
        <v>25</v>
      </c>
      <c r="G394" s="4">
        <f>VLOOKUP(Googleadssales[[#This Row],[Ad_ID]],'[1]pre processed data'!A:K,11,0)</f>
        <v>6</v>
      </c>
      <c r="H394" s="2">
        <f>Googleadssales[[#This Row],[Conversions]]/Googleadssales[[#This Row],[Clicks]]</f>
        <v>5.7142857142857141E-2</v>
      </c>
      <c r="I394" t="str">
        <f>VLOOKUP(Googleadssales[[#This Row],[Ad_ID]],'[1]pre processed data'!A:O,15,0)</f>
        <v>$1650</v>
      </c>
      <c r="J394" s="3">
        <f>VLOOKUP(Googleadssales[[#This Row],[Ad_ID]],'[1]pre processed data'!A:Q,17,0)</f>
        <v>45618</v>
      </c>
      <c r="K394" t="str">
        <f>VLOOKUP(Googleadssales[[#This Row],[Ad_ID]],'[1]pre processed data'!A:R,18,0)</f>
        <v>Bangaluru</v>
      </c>
      <c r="L394" t="str">
        <f>VLOOKUP(Googleadssales[[#This Row],[Ad_ID]],'[1]pre processed data'!A:S,19,0)</f>
        <v>Desktop</v>
      </c>
      <c r="M394" t="str">
        <f>VLOOKUP(Googleadssales[[#This Row],[Ad_ID]],'[1]pre processed data'!A:T,20,0)</f>
        <v>online data analytic</v>
      </c>
    </row>
    <row r="395" spans="1:13" x14ac:dyDescent="0.3">
      <c r="A395" t="s">
        <v>408</v>
      </c>
      <c r="B395" t="s">
        <v>14</v>
      </c>
      <c r="C395" s="4">
        <f>VLOOKUP(Googleadssales[[#This Row],[Ad_ID]],'[1]pre processed data'!A:C,3,0)</f>
        <v>122</v>
      </c>
      <c r="D395" s="4">
        <f>VLOOKUP(Googleadssales[[#This Row],[Ad_ID]],'[1]pre processed data'!A:E,5,0)</f>
        <v>3394</v>
      </c>
      <c r="E395" s="5" t="str">
        <f>VLOOKUP(Googleadssales[[#This Row],[Ad_ID]],[1]!Table3[[Ad_ID]:[Cost-imputed]],7,0)</f>
        <v>$200.00</v>
      </c>
      <c r="F395" s="4">
        <f>VLOOKUP(Googleadssales[[#This Row],[Ad_ID]],'[1]pre processed data'!A:I,9,0)</f>
        <v>20</v>
      </c>
      <c r="G395" s="4">
        <f>VLOOKUP(Googleadssales[[#This Row],[Ad_ID]],'[1]pre processed data'!A:K,11,0)</f>
        <v>4</v>
      </c>
      <c r="H395" s="2">
        <f>Googleadssales[[#This Row],[Conversions]]/Googleadssales[[#This Row],[Clicks]]</f>
        <v>3.2786885245901641E-2</v>
      </c>
      <c r="I395" t="str">
        <f>VLOOKUP(Googleadssales[[#This Row],[Ad_ID]],'[1]pre processed data'!A:O,15,0)</f>
        <v>$1053</v>
      </c>
      <c r="J395" s="3">
        <f>VLOOKUP(Googleadssales[[#This Row],[Ad_ID]],'[1]pre processed data'!A:Q,17,0)</f>
        <v>45599</v>
      </c>
      <c r="K395" t="str">
        <f>VLOOKUP(Googleadssales[[#This Row],[Ad_ID]],'[1]pre processed data'!A:R,18,0)</f>
        <v>Bangaluru</v>
      </c>
      <c r="L395" t="str">
        <f>VLOOKUP(Googleadssales[[#This Row],[Ad_ID]],'[1]pre processed data'!A:S,19,0)</f>
        <v>Mobile</v>
      </c>
      <c r="M395" t="str">
        <f>VLOOKUP(Googleadssales[[#This Row],[Ad_ID]],'[1]pre processed data'!A:T,20,0)</f>
        <v>data analytics online</v>
      </c>
    </row>
    <row r="396" spans="1:13" x14ac:dyDescent="0.3">
      <c r="A396" t="s">
        <v>409</v>
      </c>
      <c r="B396" t="s">
        <v>14</v>
      </c>
      <c r="C396" s="4">
        <f>VLOOKUP(Googleadssales[[#This Row],[Ad_ID]],'[1]pre processed data'!A:C,3,0)</f>
        <v>166</v>
      </c>
      <c r="D396" s="4">
        <f>VLOOKUP(Googleadssales[[#This Row],[Ad_ID]],'[1]pre processed data'!A:E,5,0)</f>
        <v>5730</v>
      </c>
      <c r="E396" s="5" t="str">
        <f>VLOOKUP(Googleadssales[[#This Row],[Ad_ID]],[1]!Table3[[Ad_ID]:[Cost-imputed]],7,0)</f>
        <v>$241.3</v>
      </c>
      <c r="F396" s="4">
        <f>VLOOKUP(Googleadssales[[#This Row],[Ad_ID]],'[1]pre processed data'!A:I,9,0)</f>
        <v>16</v>
      </c>
      <c r="G396" s="4">
        <f>VLOOKUP(Googleadssales[[#This Row],[Ad_ID]],'[1]pre processed data'!A:K,11,0)</f>
        <v>5</v>
      </c>
      <c r="H396" s="2">
        <f>Googleadssales[[#This Row],[Conversions]]/Googleadssales[[#This Row],[Clicks]]</f>
        <v>3.0120481927710843E-2</v>
      </c>
      <c r="I396" t="str">
        <f>VLOOKUP(Googleadssales[[#This Row],[Ad_ID]],'[1]pre processed data'!A:O,15,0)</f>
        <v>$1500</v>
      </c>
      <c r="J396" s="3">
        <f>VLOOKUP(Googleadssales[[#This Row],[Ad_ID]],'[1]pre processed data'!A:Q,17,0)</f>
        <v>45613</v>
      </c>
      <c r="K396" t="str">
        <f>VLOOKUP(Googleadssales[[#This Row],[Ad_ID]],'[1]pre processed data'!A:R,18,0)</f>
        <v>Hyderabad</v>
      </c>
      <c r="L396" t="str">
        <f>VLOOKUP(Googleadssales[[#This Row],[Ad_ID]],'[1]pre processed data'!A:S,19,0)</f>
        <v>Mobile</v>
      </c>
      <c r="M396" t="str">
        <f>VLOOKUP(Googleadssales[[#This Row],[Ad_ID]],'[1]pre processed data'!A:T,20,0)</f>
        <v>data analytics online</v>
      </c>
    </row>
    <row r="397" spans="1:13" x14ac:dyDescent="0.3">
      <c r="A397" t="s">
        <v>410</v>
      </c>
      <c r="B397" t="s">
        <v>18</v>
      </c>
      <c r="C397" s="4">
        <f>VLOOKUP(Googleadssales[[#This Row],[Ad_ID]],'[1]pre processed data'!A:C,3,0)</f>
        <v>96</v>
      </c>
      <c r="D397" s="4">
        <f>VLOOKUP(Googleadssales[[#This Row],[Ad_ID]],'[1]pre processed data'!A:E,5,0)</f>
        <v>3761</v>
      </c>
      <c r="E397" s="5" t="str">
        <f>VLOOKUP(Googleadssales[[#This Row],[Ad_ID]],[1]!Table3[[Ad_ID]:[Cost-imputed]],7,0)</f>
        <v>$196.45</v>
      </c>
      <c r="F397" s="4">
        <f>VLOOKUP(Googleadssales[[#This Row],[Ad_ID]],'[1]pre processed data'!A:I,9,0)</f>
        <v>10</v>
      </c>
      <c r="G397" s="4">
        <f>VLOOKUP(Googleadssales[[#This Row],[Ad_ID]],'[1]pre processed data'!A:K,11,0)</f>
        <v>5</v>
      </c>
      <c r="H397" s="2">
        <f>Googleadssales[[#This Row],[Conversions]]/Googleadssales[[#This Row],[Clicks]]</f>
        <v>5.2083333333333336E-2</v>
      </c>
      <c r="I397" t="str">
        <f>VLOOKUP(Googleadssales[[#This Row],[Ad_ID]],'[1]pre processed data'!A:O,15,0)</f>
        <v>$1518</v>
      </c>
      <c r="J397" s="3">
        <f>VLOOKUP(Googleadssales[[#This Row],[Ad_ID]],'[1]pre processed data'!A:Q,17,0)</f>
        <v>45626</v>
      </c>
      <c r="K397" t="str">
        <f>VLOOKUP(Googleadssales[[#This Row],[Ad_ID]],'[1]pre processed data'!A:R,18,0)</f>
        <v>Bangaluru</v>
      </c>
      <c r="L397" t="str">
        <f>VLOOKUP(Googleadssales[[#This Row],[Ad_ID]],'[1]pre processed data'!A:S,19,0)</f>
        <v>Tablet</v>
      </c>
      <c r="M397" t="str">
        <f>VLOOKUP(Googleadssales[[#This Row],[Ad_ID]],'[1]pre processed data'!A:T,20,0)</f>
        <v>online data analytic</v>
      </c>
    </row>
    <row r="398" spans="1:13" x14ac:dyDescent="0.3">
      <c r="A398" t="s">
        <v>411</v>
      </c>
      <c r="B398" t="s">
        <v>14</v>
      </c>
      <c r="C398" s="4">
        <f>VLOOKUP(Googleadssales[[#This Row],[Ad_ID]],'[1]pre processed data'!A:C,3,0)</f>
        <v>135</v>
      </c>
      <c r="D398" s="4">
        <f>VLOOKUP(Googleadssales[[#This Row],[Ad_ID]],'[1]pre processed data'!A:E,5,0)</f>
        <v>4505</v>
      </c>
      <c r="E398" s="5" t="str">
        <f>VLOOKUP(Googleadssales[[#This Row],[Ad_ID]],[1]!Table3[[Ad_ID]:[Cost-imputed]],7,0)</f>
        <v>$214.64</v>
      </c>
      <c r="F398" s="4">
        <f>VLOOKUP(Googleadssales[[#This Row],[Ad_ID]],'[1]pre processed data'!A:I,9,0)</f>
        <v>17</v>
      </c>
      <c r="G398" s="4">
        <f>VLOOKUP(Googleadssales[[#This Row],[Ad_ID]],'[1]pre processed data'!A:K,11,0)</f>
        <v>9</v>
      </c>
      <c r="H398" s="2">
        <f>Googleadssales[[#This Row],[Conversions]]/Googleadssales[[#This Row],[Clicks]]</f>
        <v>6.6666666666666666E-2</v>
      </c>
      <c r="I398" t="str">
        <f>VLOOKUP(Googleadssales[[#This Row],[Ad_ID]],'[1]pre processed data'!A:O,15,0)</f>
        <v>$1500</v>
      </c>
      <c r="J398" s="3">
        <f>VLOOKUP(Googleadssales[[#This Row],[Ad_ID]],'[1]pre processed data'!A:Q,17,0)</f>
        <v>45602</v>
      </c>
      <c r="K398" t="str">
        <f>VLOOKUP(Googleadssales[[#This Row],[Ad_ID]],'[1]pre processed data'!A:R,18,0)</f>
        <v>Hyderabad</v>
      </c>
      <c r="L398" t="str">
        <f>VLOOKUP(Googleadssales[[#This Row],[Ad_ID]],'[1]pre processed data'!A:S,19,0)</f>
        <v>Mobile</v>
      </c>
      <c r="M398" t="str">
        <f>VLOOKUP(Googleadssales[[#This Row],[Ad_ID]],'[1]pre processed data'!A:T,20,0)</f>
        <v>online data analytic</v>
      </c>
    </row>
    <row r="399" spans="1:13" x14ac:dyDescent="0.3">
      <c r="A399" t="s">
        <v>412</v>
      </c>
      <c r="B399" t="s">
        <v>14</v>
      </c>
      <c r="C399" s="4">
        <f>VLOOKUP(Googleadssales[[#This Row],[Ad_ID]],'[1]pre processed data'!A:C,3,0)</f>
        <v>179</v>
      </c>
      <c r="D399" s="4">
        <f>VLOOKUP(Googleadssales[[#This Row],[Ad_ID]],'[1]pre processed data'!A:E,5,0)</f>
        <v>3975</v>
      </c>
      <c r="E399" s="5" t="str">
        <f>VLOOKUP(Googleadssales[[#This Row],[Ad_ID]],[1]!Table3[[Ad_ID]:[Cost-imputed]],7,0)</f>
        <v>$183.25</v>
      </c>
      <c r="F399" s="4">
        <f>VLOOKUP(Googleadssales[[#This Row],[Ad_ID]],'[1]pre processed data'!A:I,9,0)</f>
        <v>14</v>
      </c>
      <c r="G399" s="4">
        <f>VLOOKUP(Googleadssales[[#This Row],[Ad_ID]],'[1]pre processed data'!A:K,11,0)</f>
        <v>3</v>
      </c>
      <c r="H399" s="2">
        <f>Googleadssales[[#This Row],[Conversions]]/Googleadssales[[#This Row],[Clicks]]</f>
        <v>1.6759776536312849E-2</v>
      </c>
      <c r="I399" t="str">
        <f>VLOOKUP(Googleadssales[[#This Row],[Ad_ID]],'[1]pre processed data'!A:O,15,0)</f>
        <v>$1500</v>
      </c>
      <c r="J399" s="3">
        <f>VLOOKUP(Googleadssales[[#This Row],[Ad_ID]],'[1]pre processed data'!A:Q,17,0)</f>
        <v>45602</v>
      </c>
      <c r="K399" t="str">
        <f>VLOOKUP(Googleadssales[[#This Row],[Ad_ID]],'[1]pre processed data'!A:R,18,0)</f>
        <v>Bangaluru</v>
      </c>
      <c r="L399" t="str">
        <f>VLOOKUP(Googleadssales[[#This Row],[Ad_ID]],'[1]pre processed data'!A:S,19,0)</f>
        <v>Tablet</v>
      </c>
      <c r="M399" t="str">
        <f>VLOOKUP(Googleadssales[[#This Row],[Ad_ID]],'[1]pre processed data'!A:T,20,0)</f>
        <v>data analytics course</v>
      </c>
    </row>
    <row r="400" spans="1:13" x14ac:dyDescent="0.3">
      <c r="A400" t="s">
        <v>413</v>
      </c>
      <c r="B400" t="s">
        <v>18</v>
      </c>
      <c r="C400" s="4">
        <f>VLOOKUP(Googleadssales[[#This Row],[Ad_ID]],'[1]pre processed data'!A:C,3,0)</f>
        <v>163</v>
      </c>
      <c r="D400" s="4">
        <f>VLOOKUP(Googleadssales[[#This Row],[Ad_ID]],'[1]pre processed data'!A:E,5,0)</f>
        <v>4523.2808326787117</v>
      </c>
      <c r="E400" s="5" t="str">
        <f>VLOOKUP(Googleadssales[[#This Row],[Ad_ID]],[1]!Table3[[Ad_ID]:[Cost-imputed]],7,0)</f>
        <v>$206.46</v>
      </c>
      <c r="F400" s="4">
        <f>VLOOKUP(Googleadssales[[#This Row],[Ad_ID]],'[1]pre processed data'!A:I,9,0)</f>
        <v>14</v>
      </c>
      <c r="G400" s="4">
        <f>VLOOKUP(Googleadssales[[#This Row],[Ad_ID]],'[1]pre processed data'!A:K,11,0)</f>
        <v>3</v>
      </c>
      <c r="H400" s="2">
        <f>Googleadssales[[#This Row],[Conversions]]/Googleadssales[[#This Row],[Clicks]]</f>
        <v>1.8404907975460124E-2</v>
      </c>
      <c r="I400" t="str">
        <f>VLOOKUP(Googleadssales[[#This Row],[Ad_ID]],'[1]pre processed data'!A:O,15,0)</f>
        <v>$1103</v>
      </c>
      <c r="J400" s="3">
        <f>VLOOKUP(Googleadssales[[#This Row],[Ad_ID]],'[1]pre processed data'!A:Q,17,0)</f>
        <v>45608</v>
      </c>
      <c r="K400" t="str">
        <f>VLOOKUP(Googleadssales[[#This Row],[Ad_ID]],'[1]pre processed data'!A:R,18,0)</f>
        <v>Hyderabad</v>
      </c>
      <c r="L400" t="str">
        <f>VLOOKUP(Googleadssales[[#This Row],[Ad_ID]],'[1]pre processed data'!A:S,19,0)</f>
        <v>Tablet</v>
      </c>
      <c r="M400" t="str">
        <f>VLOOKUP(Googleadssales[[#This Row],[Ad_ID]],'[1]pre processed data'!A:T,20,0)</f>
        <v>learn data analytics</v>
      </c>
    </row>
    <row r="401" spans="1:13" x14ac:dyDescent="0.3">
      <c r="A401" t="s">
        <v>414</v>
      </c>
      <c r="B401" t="s">
        <v>18</v>
      </c>
      <c r="C401" s="4">
        <f>VLOOKUP(Googleadssales[[#This Row],[Ad_ID]],'[1]pre processed data'!A:C,3,0)</f>
        <v>198</v>
      </c>
      <c r="D401" s="4">
        <f>VLOOKUP(Googleadssales[[#This Row],[Ad_ID]],'[1]pre processed data'!A:E,5,0)</f>
        <v>5883</v>
      </c>
      <c r="E401" s="5" t="str">
        <f>VLOOKUP(Googleadssales[[#This Row],[Ad_ID]],[1]!Table3[[Ad_ID]:[Cost-imputed]],7,0)</f>
        <v>$200.00</v>
      </c>
      <c r="F401" s="4">
        <f>VLOOKUP(Googleadssales[[#This Row],[Ad_ID]],'[1]pre processed data'!A:I,9,0)</f>
        <v>19</v>
      </c>
      <c r="G401" s="4">
        <f>VLOOKUP(Googleadssales[[#This Row],[Ad_ID]],'[1]pre processed data'!A:K,11,0)</f>
        <v>9</v>
      </c>
      <c r="H401" s="2">
        <f>Googleadssales[[#This Row],[Conversions]]/Googleadssales[[#This Row],[Clicks]]</f>
        <v>4.5454545454545456E-2</v>
      </c>
      <c r="I401" t="str">
        <f>VLOOKUP(Googleadssales[[#This Row],[Ad_ID]],'[1]pre processed data'!A:O,15,0)</f>
        <v>$1182</v>
      </c>
      <c r="J401" s="3">
        <f>VLOOKUP(Googleadssales[[#This Row],[Ad_ID]],'[1]pre processed data'!A:Q,17,0)</f>
        <v>45623</v>
      </c>
      <c r="K401" t="str">
        <f>VLOOKUP(Googleadssales[[#This Row],[Ad_ID]],'[1]pre processed data'!A:R,18,0)</f>
        <v>Hyderabad</v>
      </c>
      <c r="L401" t="str">
        <f>VLOOKUP(Googleadssales[[#This Row],[Ad_ID]],'[1]pre processed data'!A:S,19,0)</f>
        <v>Mobile</v>
      </c>
      <c r="M401" t="str">
        <f>VLOOKUP(Googleadssales[[#This Row],[Ad_ID]],'[1]pre processed data'!A:T,20,0)</f>
        <v>data analytics online</v>
      </c>
    </row>
    <row r="402" spans="1:13" x14ac:dyDescent="0.3">
      <c r="A402" t="s">
        <v>415</v>
      </c>
      <c r="B402" t="s">
        <v>18</v>
      </c>
      <c r="C402" s="4">
        <f>VLOOKUP(Googleadssales[[#This Row],[Ad_ID]],'[1]pre processed data'!A:C,3,0)</f>
        <v>86</v>
      </c>
      <c r="D402" s="4">
        <f>VLOOKUP(Googleadssales[[#This Row],[Ad_ID]],'[1]pre processed data'!A:E,5,0)</f>
        <v>3555</v>
      </c>
      <c r="E402" s="5" t="str">
        <f>VLOOKUP(Googleadssales[[#This Row],[Ad_ID]],[1]!Table3[[Ad_ID]:[Cost-imputed]],7,0)</f>
        <v>$225.23</v>
      </c>
      <c r="F402" s="4">
        <f>VLOOKUP(Googleadssales[[#This Row],[Ad_ID]],'[1]pre processed data'!A:I,9,0)</f>
        <v>11</v>
      </c>
      <c r="G402" s="4">
        <f>VLOOKUP(Googleadssales[[#This Row],[Ad_ID]],'[1]pre processed data'!A:K,11,0)</f>
        <v>6</v>
      </c>
      <c r="H402" s="2">
        <f>Googleadssales[[#This Row],[Conversions]]/Googleadssales[[#This Row],[Clicks]]</f>
        <v>6.9767441860465115E-2</v>
      </c>
      <c r="I402" t="str">
        <f>VLOOKUP(Googleadssales[[#This Row],[Ad_ID]],'[1]pre processed data'!A:O,15,0)</f>
        <v>$1193</v>
      </c>
      <c r="J402" s="3">
        <f>VLOOKUP(Googleadssales[[#This Row],[Ad_ID]],'[1]pre processed data'!A:Q,17,0)</f>
        <v>45607</v>
      </c>
      <c r="K402" t="str">
        <f>VLOOKUP(Googleadssales[[#This Row],[Ad_ID]],'[1]pre processed data'!A:R,18,0)</f>
        <v>Hyderabad</v>
      </c>
      <c r="L402" t="str">
        <f>VLOOKUP(Googleadssales[[#This Row],[Ad_ID]],'[1]pre processed data'!A:S,19,0)</f>
        <v>Desktop</v>
      </c>
      <c r="M402" t="str">
        <f>VLOOKUP(Googleadssales[[#This Row],[Ad_ID]],'[1]pre processed data'!A:T,20,0)</f>
        <v>data analytics training</v>
      </c>
    </row>
    <row r="403" spans="1:13" x14ac:dyDescent="0.3">
      <c r="A403" t="s">
        <v>416</v>
      </c>
      <c r="B403" t="s">
        <v>18</v>
      </c>
      <c r="C403" s="4">
        <f>VLOOKUP(Googleadssales[[#This Row],[Ad_ID]],'[1]pre processed data'!A:C,3,0)</f>
        <v>89</v>
      </c>
      <c r="D403" s="4">
        <f>VLOOKUP(Googleadssales[[#This Row],[Ad_ID]],'[1]pre processed data'!A:E,5,0)</f>
        <v>3760</v>
      </c>
      <c r="E403" s="5" t="str">
        <f>VLOOKUP(Googleadssales[[#This Row],[Ad_ID]],[1]!Table3[[Ad_ID]:[Cost-imputed]],7,0)</f>
        <v>$218.69</v>
      </c>
      <c r="F403" s="4">
        <f>VLOOKUP(Googleadssales[[#This Row],[Ad_ID]],'[1]pre processed data'!A:I,9,0)</f>
        <v>21</v>
      </c>
      <c r="G403" s="4">
        <f>VLOOKUP(Googleadssales[[#This Row],[Ad_ID]],'[1]pre processed data'!A:K,11,0)</f>
        <v>9</v>
      </c>
      <c r="H403" s="2">
        <f>Googleadssales[[#This Row],[Conversions]]/Googleadssales[[#This Row],[Clicks]]</f>
        <v>0.10112359550561797</v>
      </c>
      <c r="I403" t="str">
        <f>VLOOKUP(Googleadssales[[#This Row],[Ad_ID]],'[1]pre processed data'!A:O,15,0)</f>
        <v>$1474</v>
      </c>
      <c r="J403" s="3">
        <f>VLOOKUP(Googleadssales[[#This Row],[Ad_ID]],'[1]pre processed data'!A:Q,17,0)</f>
        <v>45621</v>
      </c>
      <c r="K403" t="str">
        <f>VLOOKUP(Googleadssales[[#This Row],[Ad_ID]],'[1]pre processed data'!A:R,18,0)</f>
        <v>Chennai</v>
      </c>
      <c r="L403" t="str">
        <f>VLOOKUP(Googleadssales[[#This Row],[Ad_ID]],'[1]pre processed data'!A:S,19,0)</f>
        <v>Desktop</v>
      </c>
      <c r="M403" t="str">
        <f>VLOOKUP(Googleadssales[[#This Row],[Ad_ID]],'[1]pre processed data'!A:T,20,0)</f>
        <v>learn data analytics</v>
      </c>
    </row>
    <row r="404" spans="1:13" x14ac:dyDescent="0.3">
      <c r="A404" t="s">
        <v>417</v>
      </c>
      <c r="B404" t="s">
        <v>14</v>
      </c>
      <c r="C404" s="4">
        <f>VLOOKUP(Googleadssales[[#This Row],[Ad_ID]],'[1]pre processed data'!A:C,3,0)</f>
        <v>118</v>
      </c>
      <c r="D404" s="4">
        <f>VLOOKUP(Googleadssales[[#This Row],[Ad_ID]],'[1]pre processed data'!A:E,5,0)</f>
        <v>3596</v>
      </c>
      <c r="E404" s="5" t="str">
        <f>VLOOKUP(Googleadssales[[#This Row],[Ad_ID]],[1]!Table3[[Ad_ID]:[Cost-imputed]],7,0)</f>
        <v>$236.66</v>
      </c>
      <c r="F404" s="4">
        <f>VLOOKUP(Googleadssales[[#This Row],[Ad_ID]],'[1]pre processed data'!A:I,9,0)</f>
        <v>29</v>
      </c>
      <c r="G404" s="4">
        <f>VLOOKUP(Googleadssales[[#This Row],[Ad_ID]],'[1]pre processed data'!A:K,11,0)</f>
        <v>9</v>
      </c>
      <c r="H404" s="2">
        <f>Googleadssales[[#This Row],[Conversions]]/Googleadssales[[#This Row],[Clicks]]</f>
        <v>7.6271186440677971E-2</v>
      </c>
      <c r="I404" t="str">
        <f>VLOOKUP(Googleadssales[[#This Row],[Ad_ID]],'[1]pre processed data'!A:O,15,0)</f>
        <v>$1154</v>
      </c>
      <c r="J404" s="3">
        <f>VLOOKUP(Googleadssales[[#This Row],[Ad_ID]],'[1]pre processed data'!A:Q,17,0)</f>
        <v>45619</v>
      </c>
      <c r="K404" t="str">
        <f>VLOOKUP(Googleadssales[[#This Row],[Ad_ID]],'[1]pre processed data'!A:R,18,0)</f>
        <v>Hyderabad</v>
      </c>
      <c r="L404" t="str">
        <f>VLOOKUP(Googleadssales[[#This Row],[Ad_ID]],'[1]pre processed data'!A:S,19,0)</f>
        <v>Tablet</v>
      </c>
      <c r="M404" t="str">
        <f>VLOOKUP(Googleadssales[[#This Row],[Ad_ID]],'[1]pre processed data'!A:T,20,0)</f>
        <v>data analytics course</v>
      </c>
    </row>
    <row r="405" spans="1:13" x14ac:dyDescent="0.3">
      <c r="A405" t="s">
        <v>418</v>
      </c>
      <c r="B405" t="s">
        <v>14</v>
      </c>
      <c r="C405" s="4">
        <f>VLOOKUP(Googleadssales[[#This Row],[Ad_ID]],'[1]pre processed data'!A:C,3,0)</f>
        <v>138.95699356913184</v>
      </c>
      <c r="D405" s="4">
        <f>VLOOKUP(Googleadssales[[#This Row],[Ad_ID]],'[1]pre processed data'!A:E,5,0)</f>
        <v>3217</v>
      </c>
      <c r="E405" s="5" t="str">
        <f>VLOOKUP(Googleadssales[[#This Row],[Ad_ID]],[1]!Table3[[Ad_ID]:[Cost-imputed]],7,0)</f>
        <v>$232.15</v>
      </c>
      <c r="F405" s="4">
        <f>VLOOKUP(Googleadssales[[#This Row],[Ad_ID]],'[1]pre processed data'!A:I,9,0)</f>
        <v>21</v>
      </c>
      <c r="G405" s="4">
        <f>VLOOKUP(Googleadssales[[#This Row],[Ad_ID]],'[1]pre processed data'!A:K,11,0)</f>
        <v>8</v>
      </c>
      <c r="H405" s="2">
        <f>Googleadssales[[#This Row],[Conversions]]/Googleadssales[[#This Row],[Clicks]]</f>
        <v>5.7571769469954438E-2</v>
      </c>
      <c r="I405" t="str">
        <f>VLOOKUP(Googleadssales[[#This Row],[Ad_ID]],'[1]pre processed data'!A:O,15,0)</f>
        <v>$1726</v>
      </c>
      <c r="J405" s="3">
        <f>VLOOKUP(Googleadssales[[#This Row],[Ad_ID]],'[1]pre processed data'!A:Q,17,0)</f>
        <v>45617</v>
      </c>
      <c r="K405" t="str">
        <f>VLOOKUP(Googleadssales[[#This Row],[Ad_ID]],'[1]pre processed data'!A:R,18,0)</f>
        <v>Hyderabad</v>
      </c>
      <c r="L405" t="str">
        <f>VLOOKUP(Googleadssales[[#This Row],[Ad_ID]],'[1]pre processed data'!A:S,19,0)</f>
        <v>Mobile</v>
      </c>
      <c r="M405" t="str">
        <f>VLOOKUP(Googleadssales[[#This Row],[Ad_ID]],'[1]pre processed data'!A:T,20,0)</f>
        <v>data analytics training</v>
      </c>
    </row>
    <row r="406" spans="1:13" x14ac:dyDescent="0.3">
      <c r="A406" t="s">
        <v>419</v>
      </c>
      <c r="B406" t="s">
        <v>18</v>
      </c>
      <c r="C406" s="4">
        <f>VLOOKUP(Googleadssales[[#This Row],[Ad_ID]],'[1]pre processed data'!A:C,3,0)</f>
        <v>95</v>
      </c>
      <c r="D406" s="4">
        <f>VLOOKUP(Googleadssales[[#This Row],[Ad_ID]],'[1]pre processed data'!A:E,5,0)</f>
        <v>5386</v>
      </c>
      <c r="E406" s="5" t="str">
        <f>VLOOKUP(Googleadssales[[#This Row],[Ad_ID]],[1]!Table3[[Ad_ID]:[Cost-imputed]],7,0)</f>
        <v>$184.96</v>
      </c>
      <c r="F406" s="4">
        <f>VLOOKUP(Googleadssales[[#This Row],[Ad_ID]],'[1]pre processed data'!A:I,9,0)</f>
        <v>23</v>
      </c>
      <c r="G406" s="4">
        <f>VLOOKUP(Googleadssales[[#This Row],[Ad_ID]],'[1]pre processed data'!A:K,11,0)</f>
        <v>8</v>
      </c>
      <c r="H406" s="2">
        <f>Googleadssales[[#This Row],[Conversions]]/Googleadssales[[#This Row],[Clicks]]</f>
        <v>8.4210526315789472E-2</v>
      </c>
      <c r="I406" t="str">
        <f>VLOOKUP(Googleadssales[[#This Row],[Ad_ID]],'[1]pre processed data'!A:O,15,0)</f>
        <v>$1045</v>
      </c>
      <c r="J406" s="3">
        <f>VLOOKUP(Googleadssales[[#This Row],[Ad_ID]],'[1]pre processed data'!A:Q,17,0)</f>
        <v>45616</v>
      </c>
      <c r="K406" t="str">
        <f>VLOOKUP(Googleadssales[[#This Row],[Ad_ID]],'[1]pre processed data'!A:R,18,0)</f>
        <v>Bangaluru</v>
      </c>
      <c r="L406" t="str">
        <f>VLOOKUP(Googleadssales[[#This Row],[Ad_ID]],'[1]pre processed data'!A:S,19,0)</f>
        <v>Desktop</v>
      </c>
      <c r="M406" t="str">
        <f>VLOOKUP(Googleadssales[[#This Row],[Ad_ID]],'[1]pre processed data'!A:T,20,0)</f>
        <v>online data analytic</v>
      </c>
    </row>
    <row r="407" spans="1:13" x14ac:dyDescent="0.3">
      <c r="A407" t="s">
        <v>420</v>
      </c>
      <c r="B407" t="s">
        <v>14</v>
      </c>
      <c r="C407" s="4">
        <f>VLOOKUP(Googleadssales[[#This Row],[Ad_ID]],'[1]pre processed data'!A:C,3,0)</f>
        <v>144</v>
      </c>
      <c r="D407" s="4">
        <f>VLOOKUP(Googleadssales[[#This Row],[Ad_ID]],'[1]pre processed data'!A:E,5,0)</f>
        <v>5381</v>
      </c>
      <c r="E407" s="5" t="str">
        <f>VLOOKUP(Googleadssales[[#This Row],[Ad_ID]],[1]!Table3[[Ad_ID]:[Cost-imputed]],7,0)</f>
        <v>$199.43</v>
      </c>
      <c r="F407" s="4">
        <f>VLOOKUP(Googleadssales[[#This Row],[Ad_ID]],'[1]pre processed data'!A:I,9,0)</f>
        <v>10</v>
      </c>
      <c r="G407" s="4">
        <f>VLOOKUP(Googleadssales[[#This Row],[Ad_ID]],'[1]pre processed data'!A:K,11,0)</f>
        <v>10</v>
      </c>
      <c r="H407" s="2">
        <f>Googleadssales[[#This Row],[Conversions]]/Googleadssales[[#This Row],[Clicks]]</f>
        <v>6.9444444444444448E-2</v>
      </c>
      <c r="I407" t="str">
        <f>VLOOKUP(Googleadssales[[#This Row],[Ad_ID]],'[1]pre processed data'!A:O,15,0)</f>
        <v>$1085</v>
      </c>
      <c r="J407" s="3">
        <f>VLOOKUP(Googleadssales[[#This Row],[Ad_ID]],'[1]pre processed data'!A:Q,17,0)</f>
        <v>45605</v>
      </c>
      <c r="K407" t="str">
        <f>VLOOKUP(Googleadssales[[#This Row],[Ad_ID]],'[1]pre processed data'!A:R,18,0)</f>
        <v>Chennai</v>
      </c>
      <c r="L407" t="str">
        <f>VLOOKUP(Googleadssales[[#This Row],[Ad_ID]],'[1]pre processed data'!A:S,19,0)</f>
        <v>Desktop</v>
      </c>
      <c r="M407" t="str">
        <f>VLOOKUP(Googleadssales[[#This Row],[Ad_ID]],'[1]pre processed data'!A:T,20,0)</f>
        <v>data analytics training</v>
      </c>
    </row>
    <row r="408" spans="1:13" x14ac:dyDescent="0.3">
      <c r="A408" t="s">
        <v>421</v>
      </c>
      <c r="B408" t="s">
        <v>18</v>
      </c>
      <c r="C408" s="4">
        <f>VLOOKUP(Googleadssales[[#This Row],[Ad_ID]],'[1]pre processed data'!A:C,3,0)</f>
        <v>107</v>
      </c>
      <c r="D408" s="4">
        <f>VLOOKUP(Googleadssales[[#This Row],[Ad_ID]],'[1]pre processed data'!A:E,5,0)</f>
        <v>5536</v>
      </c>
      <c r="E408" s="5" t="str">
        <f>VLOOKUP(Googleadssales[[#This Row],[Ad_ID]],[1]!Table3[[Ad_ID]:[Cost-imputed]],7,0)</f>
        <v>$238.75</v>
      </c>
      <c r="F408" s="4">
        <f>VLOOKUP(Googleadssales[[#This Row],[Ad_ID]],'[1]pre processed data'!A:I,9,0)</f>
        <v>15</v>
      </c>
      <c r="G408" s="4">
        <f>VLOOKUP(Googleadssales[[#This Row],[Ad_ID]],'[1]pre processed data'!A:K,11,0)</f>
        <v>3</v>
      </c>
      <c r="H408" s="2">
        <f>Googleadssales[[#This Row],[Conversions]]/Googleadssales[[#This Row],[Clicks]]</f>
        <v>2.8037383177570093E-2</v>
      </c>
      <c r="I408" t="str">
        <f>VLOOKUP(Googleadssales[[#This Row],[Ad_ID]],'[1]pre processed data'!A:O,15,0)</f>
        <v>$1822</v>
      </c>
      <c r="J408" s="3">
        <f>VLOOKUP(Googleadssales[[#This Row],[Ad_ID]],'[1]pre processed data'!A:Q,17,0)</f>
        <v>45613</v>
      </c>
      <c r="K408" t="str">
        <f>VLOOKUP(Googleadssales[[#This Row],[Ad_ID]],'[1]pre processed data'!A:R,18,0)</f>
        <v>Hyderabad</v>
      </c>
      <c r="L408" t="str">
        <f>VLOOKUP(Googleadssales[[#This Row],[Ad_ID]],'[1]pre processed data'!A:S,19,0)</f>
        <v>Mobile</v>
      </c>
      <c r="M408" t="str">
        <f>VLOOKUP(Googleadssales[[#This Row],[Ad_ID]],'[1]pre processed data'!A:T,20,0)</f>
        <v>analytics for data</v>
      </c>
    </row>
    <row r="409" spans="1:13" x14ac:dyDescent="0.3">
      <c r="A409" t="s">
        <v>422</v>
      </c>
      <c r="B409" t="s">
        <v>14</v>
      </c>
      <c r="C409" s="4">
        <f>VLOOKUP(Googleadssales[[#This Row],[Ad_ID]],'[1]pre processed data'!A:C,3,0)</f>
        <v>146</v>
      </c>
      <c r="D409" s="4">
        <f>VLOOKUP(Googleadssales[[#This Row],[Ad_ID]],'[1]pre processed data'!A:E,5,0)</f>
        <v>3165</v>
      </c>
      <c r="E409" s="5" t="str">
        <f>VLOOKUP(Googleadssales[[#This Row],[Ad_ID]],[1]!Table3[[Ad_ID]:[Cost-imputed]],7,0)</f>
        <v>$211.09</v>
      </c>
      <c r="F409" s="4">
        <f>VLOOKUP(Googleadssales[[#This Row],[Ad_ID]],'[1]pre processed data'!A:I,9,0)</f>
        <v>16</v>
      </c>
      <c r="G409" s="4">
        <f>VLOOKUP(Googleadssales[[#This Row],[Ad_ID]],'[1]pre processed data'!A:K,11,0)</f>
        <v>7</v>
      </c>
      <c r="H409" s="2">
        <f>Googleadssales[[#This Row],[Conversions]]/Googleadssales[[#This Row],[Clicks]]</f>
        <v>4.7945205479452052E-2</v>
      </c>
      <c r="I409" t="str">
        <f>VLOOKUP(Googleadssales[[#This Row],[Ad_ID]],'[1]pre processed data'!A:O,15,0)</f>
        <v>$1706</v>
      </c>
      <c r="J409" s="3">
        <f>VLOOKUP(Googleadssales[[#This Row],[Ad_ID]],'[1]pre processed data'!A:Q,17,0)</f>
        <v>45604</v>
      </c>
      <c r="K409" t="str">
        <f>VLOOKUP(Googleadssales[[#This Row],[Ad_ID]],'[1]pre processed data'!A:R,18,0)</f>
        <v>Hyderabad</v>
      </c>
      <c r="L409" t="str">
        <f>VLOOKUP(Googleadssales[[#This Row],[Ad_ID]],'[1]pre processed data'!A:S,19,0)</f>
        <v>Mobile</v>
      </c>
      <c r="M409" t="str">
        <f>VLOOKUP(Googleadssales[[#This Row],[Ad_ID]],'[1]pre processed data'!A:T,20,0)</f>
        <v>learn data analytics</v>
      </c>
    </row>
    <row r="410" spans="1:13" x14ac:dyDescent="0.3">
      <c r="A410" t="s">
        <v>423</v>
      </c>
      <c r="B410" t="s">
        <v>14</v>
      </c>
      <c r="C410" s="4">
        <f>VLOOKUP(Googleadssales[[#This Row],[Ad_ID]],'[1]pre processed data'!A:C,3,0)</f>
        <v>114</v>
      </c>
      <c r="D410" s="4">
        <f>VLOOKUP(Googleadssales[[#This Row],[Ad_ID]],'[1]pre processed data'!A:E,5,0)</f>
        <v>5217</v>
      </c>
      <c r="E410" s="5" t="str">
        <f>VLOOKUP(Googleadssales[[#This Row],[Ad_ID]],[1]!Table3[[Ad_ID]:[Cost-imputed]],7,0)</f>
        <v>$247.94</v>
      </c>
      <c r="F410" s="4">
        <f>VLOOKUP(Googleadssales[[#This Row],[Ad_ID]],'[1]pre processed data'!A:I,9,0)</f>
        <v>11</v>
      </c>
      <c r="G410" s="4">
        <f>VLOOKUP(Googleadssales[[#This Row],[Ad_ID]],'[1]pre processed data'!A:K,11,0)</f>
        <v>10</v>
      </c>
      <c r="H410" s="2">
        <f>Googleadssales[[#This Row],[Conversions]]/Googleadssales[[#This Row],[Clicks]]</f>
        <v>8.771929824561403E-2</v>
      </c>
      <c r="I410" t="str">
        <f>VLOOKUP(Googleadssales[[#This Row],[Ad_ID]],'[1]pre processed data'!A:O,15,0)</f>
        <v>$1876</v>
      </c>
      <c r="J410" s="3">
        <f>VLOOKUP(Googleadssales[[#This Row],[Ad_ID]],'[1]pre processed data'!A:Q,17,0)</f>
        <v>45614</v>
      </c>
      <c r="K410" t="str">
        <f>VLOOKUP(Googleadssales[[#This Row],[Ad_ID]],'[1]pre processed data'!A:R,18,0)</f>
        <v>Hyderabad</v>
      </c>
      <c r="L410" t="str">
        <f>VLOOKUP(Googleadssales[[#This Row],[Ad_ID]],'[1]pre processed data'!A:S,19,0)</f>
        <v>Desktop</v>
      </c>
      <c r="M410" t="str">
        <f>VLOOKUP(Googleadssales[[#This Row],[Ad_ID]],'[1]pre processed data'!A:T,20,0)</f>
        <v>data analytics online</v>
      </c>
    </row>
    <row r="411" spans="1:13" x14ac:dyDescent="0.3">
      <c r="A411" t="s">
        <v>424</v>
      </c>
      <c r="B411" t="s">
        <v>18</v>
      </c>
      <c r="C411" s="4">
        <f>VLOOKUP(Googleadssales[[#This Row],[Ad_ID]],'[1]pre processed data'!A:C,3,0)</f>
        <v>162</v>
      </c>
      <c r="D411" s="4">
        <f>VLOOKUP(Googleadssales[[#This Row],[Ad_ID]],'[1]pre processed data'!A:E,5,0)</f>
        <v>4301</v>
      </c>
      <c r="E411" s="5" t="str">
        <f>VLOOKUP(Googleadssales[[#This Row],[Ad_ID]],[1]!Table3[[Ad_ID]:[Cost-imputed]],7,0)</f>
        <v>$223.77</v>
      </c>
      <c r="F411" s="4">
        <f>VLOOKUP(Googleadssales[[#This Row],[Ad_ID]],'[1]pre processed data'!A:I,9,0)</f>
        <v>21</v>
      </c>
      <c r="G411" s="4">
        <f>VLOOKUP(Googleadssales[[#This Row],[Ad_ID]],'[1]pre processed data'!A:K,11,0)</f>
        <v>7</v>
      </c>
      <c r="H411" s="2">
        <f>Googleadssales[[#This Row],[Conversions]]/Googleadssales[[#This Row],[Clicks]]</f>
        <v>4.3209876543209874E-2</v>
      </c>
      <c r="I411" t="str">
        <f>VLOOKUP(Googleadssales[[#This Row],[Ad_ID]],'[1]pre processed data'!A:O,15,0)</f>
        <v>$1066</v>
      </c>
      <c r="J411" s="3">
        <f>VLOOKUP(Googleadssales[[#This Row],[Ad_ID]],'[1]pre processed data'!A:Q,17,0)</f>
        <v>45616</v>
      </c>
      <c r="K411" t="str">
        <f>VLOOKUP(Googleadssales[[#This Row],[Ad_ID]],'[1]pre processed data'!A:R,18,0)</f>
        <v>Bangaluru</v>
      </c>
      <c r="L411" t="str">
        <f>VLOOKUP(Googleadssales[[#This Row],[Ad_ID]],'[1]pre processed data'!A:S,19,0)</f>
        <v>Mobile</v>
      </c>
      <c r="M411" t="str">
        <f>VLOOKUP(Googleadssales[[#This Row],[Ad_ID]],'[1]pre processed data'!A:T,20,0)</f>
        <v>learn data analytics</v>
      </c>
    </row>
    <row r="412" spans="1:13" x14ac:dyDescent="0.3">
      <c r="A412" t="s">
        <v>425</v>
      </c>
      <c r="B412" t="s">
        <v>14</v>
      </c>
      <c r="C412" s="4">
        <f>VLOOKUP(Googleadssales[[#This Row],[Ad_ID]],'[1]pre processed data'!A:C,3,0)</f>
        <v>95</v>
      </c>
      <c r="D412" s="4">
        <f>VLOOKUP(Googleadssales[[#This Row],[Ad_ID]],'[1]pre processed data'!A:E,5,0)</f>
        <v>5971</v>
      </c>
      <c r="E412" s="5" t="str">
        <f>VLOOKUP(Googleadssales[[#This Row],[Ad_ID]],[1]!Table3[[Ad_ID]:[Cost-imputed]],7,0)</f>
        <v>$214.57</v>
      </c>
      <c r="F412" s="4">
        <f>VLOOKUP(Googleadssales[[#This Row],[Ad_ID]],'[1]pre processed data'!A:I,9,0)</f>
        <v>29</v>
      </c>
      <c r="G412" s="4">
        <f>VLOOKUP(Googleadssales[[#This Row],[Ad_ID]],'[1]pre processed data'!A:K,11,0)</f>
        <v>10</v>
      </c>
      <c r="H412" s="2">
        <f>Googleadssales[[#This Row],[Conversions]]/Googleadssales[[#This Row],[Clicks]]</f>
        <v>0.10526315789473684</v>
      </c>
      <c r="I412" t="str">
        <f>VLOOKUP(Googleadssales[[#This Row],[Ad_ID]],'[1]pre processed data'!A:O,15,0)</f>
        <v>$1539</v>
      </c>
      <c r="J412" s="3">
        <f>VLOOKUP(Googleadssales[[#This Row],[Ad_ID]],'[1]pre processed data'!A:Q,17,0)</f>
        <v>45612</v>
      </c>
      <c r="K412" t="str">
        <f>VLOOKUP(Googleadssales[[#This Row],[Ad_ID]],'[1]pre processed data'!A:R,18,0)</f>
        <v>Hyderabad</v>
      </c>
      <c r="L412" t="str">
        <f>VLOOKUP(Googleadssales[[#This Row],[Ad_ID]],'[1]pre processed data'!A:S,19,0)</f>
        <v>Mobile</v>
      </c>
      <c r="M412" t="str">
        <f>VLOOKUP(Googleadssales[[#This Row],[Ad_ID]],'[1]pre processed data'!A:T,20,0)</f>
        <v>analytics for data</v>
      </c>
    </row>
    <row r="413" spans="1:13" x14ac:dyDescent="0.3">
      <c r="A413" t="s">
        <v>426</v>
      </c>
      <c r="B413" t="s">
        <v>14</v>
      </c>
      <c r="C413" s="4">
        <f>VLOOKUP(Googleadssales[[#This Row],[Ad_ID]],'[1]pre processed data'!A:C,3,0)</f>
        <v>163</v>
      </c>
      <c r="D413" s="4">
        <f>VLOOKUP(Googleadssales[[#This Row],[Ad_ID]],'[1]pre processed data'!A:E,5,0)</f>
        <v>5160</v>
      </c>
      <c r="E413" s="5" t="str">
        <f>VLOOKUP(Googleadssales[[#This Row],[Ad_ID]],[1]!Table3[[Ad_ID]:[Cost-imputed]],7,0)</f>
        <v>$184.84</v>
      </c>
      <c r="F413" s="4">
        <f>VLOOKUP(Googleadssales[[#This Row],[Ad_ID]],'[1]pre processed data'!A:I,9,0)</f>
        <v>19</v>
      </c>
      <c r="G413" s="4">
        <f>VLOOKUP(Googleadssales[[#This Row],[Ad_ID]],'[1]pre processed data'!A:K,11,0)</f>
        <v>4</v>
      </c>
      <c r="H413" s="2">
        <f>Googleadssales[[#This Row],[Conversions]]/Googleadssales[[#This Row],[Clicks]]</f>
        <v>2.4539877300613498E-2</v>
      </c>
      <c r="I413" t="str">
        <f>VLOOKUP(Googleadssales[[#This Row],[Ad_ID]],'[1]pre processed data'!A:O,15,0)</f>
        <v>$1773</v>
      </c>
      <c r="J413" s="3">
        <f>VLOOKUP(Googleadssales[[#This Row],[Ad_ID]],'[1]pre processed data'!A:Q,17,0)</f>
        <v>45619</v>
      </c>
      <c r="K413" t="str">
        <f>VLOOKUP(Googleadssales[[#This Row],[Ad_ID]],'[1]pre processed data'!A:R,18,0)</f>
        <v>Bangaluru</v>
      </c>
      <c r="L413" t="str">
        <f>VLOOKUP(Googleadssales[[#This Row],[Ad_ID]],'[1]pre processed data'!A:S,19,0)</f>
        <v>Desktop</v>
      </c>
      <c r="M413" t="str">
        <f>VLOOKUP(Googleadssales[[#This Row],[Ad_ID]],'[1]pre processed data'!A:T,20,0)</f>
        <v>data analytics course</v>
      </c>
    </row>
    <row r="414" spans="1:13" x14ac:dyDescent="0.3">
      <c r="A414" t="s">
        <v>427</v>
      </c>
      <c r="B414" t="s">
        <v>14</v>
      </c>
      <c r="C414" s="4">
        <f>VLOOKUP(Googleadssales[[#This Row],[Ad_ID]],'[1]pre processed data'!A:C,3,0)</f>
        <v>148</v>
      </c>
      <c r="D414" s="4">
        <f>VLOOKUP(Googleadssales[[#This Row],[Ad_ID]],'[1]pre processed data'!A:E,5,0)</f>
        <v>5947</v>
      </c>
      <c r="E414" s="5" t="str">
        <f>VLOOKUP(Googleadssales[[#This Row],[Ad_ID]],[1]!Table3[[Ad_ID]:[Cost-imputed]],7,0)</f>
        <v>$212.38</v>
      </c>
      <c r="F414" s="4">
        <f>VLOOKUP(Googleadssales[[#This Row],[Ad_ID]],'[1]pre processed data'!A:I,9,0)</f>
        <v>12</v>
      </c>
      <c r="G414" s="4">
        <f>VLOOKUP(Googleadssales[[#This Row],[Ad_ID]],'[1]pre processed data'!A:K,11,0)</f>
        <v>4</v>
      </c>
      <c r="H414" s="2">
        <f>Googleadssales[[#This Row],[Conversions]]/Googleadssales[[#This Row],[Clicks]]</f>
        <v>2.7027027027027029E-2</v>
      </c>
      <c r="I414" t="str">
        <f>VLOOKUP(Googleadssales[[#This Row],[Ad_ID]],'[1]pre processed data'!A:O,15,0)</f>
        <v>$1294</v>
      </c>
      <c r="J414" s="3">
        <f>VLOOKUP(Googleadssales[[#This Row],[Ad_ID]],'[1]pre processed data'!A:Q,17,0)</f>
        <v>45620</v>
      </c>
      <c r="K414" t="str">
        <f>VLOOKUP(Googleadssales[[#This Row],[Ad_ID]],'[1]pre processed data'!A:R,18,0)</f>
        <v>Chennai</v>
      </c>
      <c r="L414" t="str">
        <f>VLOOKUP(Googleadssales[[#This Row],[Ad_ID]],'[1]pre processed data'!A:S,19,0)</f>
        <v>Mobile</v>
      </c>
      <c r="M414" t="str">
        <f>VLOOKUP(Googleadssales[[#This Row],[Ad_ID]],'[1]pre processed data'!A:T,20,0)</f>
        <v>online data analytic</v>
      </c>
    </row>
    <row r="415" spans="1:13" x14ac:dyDescent="0.3">
      <c r="A415" t="s">
        <v>428</v>
      </c>
      <c r="B415" t="s">
        <v>14</v>
      </c>
      <c r="C415" s="4">
        <f>VLOOKUP(Googleadssales[[#This Row],[Ad_ID]],'[1]pre processed data'!A:C,3,0)</f>
        <v>156</v>
      </c>
      <c r="D415" s="4">
        <f>VLOOKUP(Googleadssales[[#This Row],[Ad_ID]],'[1]pre processed data'!A:E,5,0)</f>
        <v>4150</v>
      </c>
      <c r="E415" s="5" t="str">
        <f>VLOOKUP(Googleadssales[[#This Row],[Ad_ID]],[1]!Table3[[Ad_ID]:[Cost-imputed]],7,0)</f>
        <v>$223.17</v>
      </c>
      <c r="F415" s="4">
        <f>VLOOKUP(Googleadssales[[#This Row],[Ad_ID]],'[1]pre processed data'!A:I,9,0)</f>
        <v>20</v>
      </c>
      <c r="G415" s="4">
        <f>VLOOKUP(Googleadssales[[#This Row],[Ad_ID]],'[1]pre processed data'!A:K,11,0)</f>
        <v>10</v>
      </c>
      <c r="H415" s="2">
        <f>Googleadssales[[#This Row],[Conversions]]/Googleadssales[[#This Row],[Clicks]]</f>
        <v>6.4102564102564097E-2</v>
      </c>
      <c r="I415" t="str">
        <f>VLOOKUP(Googleadssales[[#This Row],[Ad_ID]],'[1]pre processed data'!A:O,15,0)</f>
        <v>$1940</v>
      </c>
      <c r="J415" s="3">
        <f>VLOOKUP(Googleadssales[[#This Row],[Ad_ID]],'[1]pre processed data'!A:Q,17,0)</f>
        <v>45610</v>
      </c>
      <c r="K415" t="str">
        <f>VLOOKUP(Googleadssales[[#This Row],[Ad_ID]],'[1]pre processed data'!A:R,18,0)</f>
        <v>Chennai</v>
      </c>
      <c r="L415" t="str">
        <f>VLOOKUP(Googleadssales[[#This Row],[Ad_ID]],'[1]pre processed data'!A:S,19,0)</f>
        <v>Tablet</v>
      </c>
      <c r="M415" t="str">
        <f>VLOOKUP(Googleadssales[[#This Row],[Ad_ID]],'[1]pre processed data'!A:T,20,0)</f>
        <v>learn data analytics</v>
      </c>
    </row>
    <row r="416" spans="1:13" x14ac:dyDescent="0.3">
      <c r="A416" t="s">
        <v>429</v>
      </c>
      <c r="B416" t="s">
        <v>18</v>
      </c>
      <c r="C416" s="4">
        <f>VLOOKUP(Googleadssales[[#This Row],[Ad_ID]],'[1]pre processed data'!A:C,3,0)</f>
        <v>99</v>
      </c>
      <c r="D416" s="4">
        <f>VLOOKUP(Googleadssales[[#This Row],[Ad_ID]],'[1]pre processed data'!A:E,5,0)</f>
        <v>4040</v>
      </c>
      <c r="E416" s="5" t="str">
        <f>VLOOKUP(Googleadssales[[#This Row],[Ad_ID]],[1]!Table3[[Ad_ID]:[Cost-imputed]],7,0)</f>
        <v>$200.00</v>
      </c>
      <c r="F416" s="4">
        <f>VLOOKUP(Googleadssales[[#This Row],[Ad_ID]],'[1]pre processed data'!A:I,9,0)</f>
        <v>13</v>
      </c>
      <c r="G416" s="4">
        <f>VLOOKUP(Googleadssales[[#This Row],[Ad_ID]],'[1]pre processed data'!A:K,11,0)</f>
        <v>5</v>
      </c>
      <c r="H416" s="2">
        <f>Googleadssales[[#This Row],[Conversions]]/Googleadssales[[#This Row],[Clicks]]</f>
        <v>5.0505050505050504E-2</v>
      </c>
      <c r="I416" t="str">
        <f>VLOOKUP(Googleadssales[[#This Row],[Ad_ID]],'[1]pre processed data'!A:O,15,0)</f>
        <v>$1502</v>
      </c>
      <c r="J416" s="3">
        <f>VLOOKUP(Googleadssales[[#This Row],[Ad_ID]],'[1]pre processed data'!A:Q,17,0)</f>
        <v>45622</v>
      </c>
      <c r="K416" t="str">
        <f>VLOOKUP(Googleadssales[[#This Row],[Ad_ID]],'[1]pre processed data'!A:R,18,0)</f>
        <v>Hyderabad</v>
      </c>
      <c r="L416" t="str">
        <f>VLOOKUP(Googleadssales[[#This Row],[Ad_ID]],'[1]pre processed data'!A:S,19,0)</f>
        <v>Tablet</v>
      </c>
      <c r="M416" t="str">
        <f>VLOOKUP(Googleadssales[[#This Row],[Ad_ID]],'[1]pre processed data'!A:T,20,0)</f>
        <v>online data analytic</v>
      </c>
    </row>
    <row r="417" spans="1:13" x14ac:dyDescent="0.3">
      <c r="A417" t="s">
        <v>430</v>
      </c>
      <c r="B417" t="s">
        <v>14</v>
      </c>
      <c r="C417" s="4">
        <f>VLOOKUP(Googleadssales[[#This Row],[Ad_ID]],'[1]pre processed data'!A:C,3,0)</f>
        <v>124</v>
      </c>
      <c r="D417" s="4">
        <f>VLOOKUP(Googleadssales[[#This Row],[Ad_ID]],'[1]pre processed data'!A:E,5,0)</f>
        <v>5956</v>
      </c>
      <c r="E417" s="5" t="str">
        <f>VLOOKUP(Googleadssales[[#This Row],[Ad_ID]],[1]!Table3[[Ad_ID]:[Cost-imputed]],7,0)</f>
        <v>$201.44</v>
      </c>
      <c r="F417" s="4">
        <f>VLOOKUP(Googleadssales[[#This Row],[Ad_ID]],'[1]pre processed data'!A:I,9,0)</f>
        <v>12</v>
      </c>
      <c r="G417" s="4">
        <f>VLOOKUP(Googleadssales[[#This Row],[Ad_ID]],'[1]pre processed data'!A:K,11,0)</f>
        <v>9</v>
      </c>
      <c r="H417" s="2">
        <f>Googleadssales[[#This Row],[Conversions]]/Googleadssales[[#This Row],[Clicks]]</f>
        <v>7.2580645161290328E-2</v>
      </c>
      <c r="I417" t="str">
        <f>VLOOKUP(Googleadssales[[#This Row],[Ad_ID]],'[1]pre processed data'!A:O,15,0)</f>
        <v>$1598</v>
      </c>
      <c r="J417" s="3">
        <f>VLOOKUP(Googleadssales[[#This Row],[Ad_ID]],'[1]pre processed data'!A:Q,17,0)</f>
        <v>45620</v>
      </c>
      <c r="K417" t="str">
        <f>VLOOKUP(Googleadssales[[#This Row],[Ad_ID]],'[1]pre processed data'!A:R,18,0)</f>
        <v>Hyderabad</v>
      </c>
      <c r="L417" t="str">
        <f>VLOOKUP(Googleadssales[[#This Row],[Ad_ID]],'[1]pre processed data'!A:S,19,0)</f>
        <v>Tablet</v>
      </c>
      <c r="M417" t="str">
        <f>VLOOKUP(Googleadssales[[#This Row],[Ad_ID]],'[1]pre processed data'!A:T,20,0)</f>
        <v>data analytics online</v>
      </c>
    </row>
    <row r="418" spans="1:13" x14ac:dyDescent="0.3">
      <c r="A418" t="s">
        <v>431</v>
      </c>
      <c r="B418" t="s">
        <v>14</v>
      </c>
      <c r="C418" s="4">
        <f>VLOOKUP(Googleadssales[[#This Row],[Ad_ID]],'[1]pre processed data'!A:C,3,0)</f>
        <v>138</v>
      </c>
      <c r="D418" s="4">
        <f>VLOOKUP(Googleadssales[[#This Row],[Ad_ID]],'[1]pre processed data'!A:E,5,0)</f>
        <v>4769</v>
      </c>
      <c r="E418" s="5" t="str">
        <f>VLOOKUP(Googleadssales[[#This Row],[Ad_ID]],[1]!Table3[[Ad_ID]:[Cost-imputed]],7,0)</f>
        <v>$229.44</v>
      </c>
      <c r="F418" s="4">
        <f>VLOOKUP(Googleadssales[[#This Row],[Ad_ID]],'[1]pre processed data'!A:I,9,0)</f>
        <v>27</v>
      </c>
      <c r="G418" s="4">
        <f>VLOOKUP(Googleadssales[[#This Row],[Ad_ID]],'[1]pre processed data'!A:K,11,0)</f>
        <v>8</v>
      </c>
      <c r="H418" s="2">
        <f>Googleadssales[[#This Row],[Conversions]]/Googleadssales[[#This Row],[Clicks]]</f>
        <v>5.7971014492753624E-2</v>
      </c>
      <c r="I418" t="str">
        <f>VLOOKUP(Googleadssales[[#This Row],[Ad_ID]],'[1]pre processed data'!A:O,15,0)</f>
        <v>$1500</v>
      </c>
      <c r="J418" s="3">
        <f>VLOOKUP(Googleadssales[[#This Row],[Ad_ID]],'[1]pre processed data'!A:Q,17,0)</f>
        <v>45615</v>
      </c>
      <c r="K418" t="str">
        <f>VLOOKUP(Googleadssales[[#This Row],[Ad_ID]],'[1]pre processed data'!A:R,18,0)</f>
        <v>Bangaluru</v>
      </c>
      <c r="L418" t="str">
        <f>VLOOKUP(Googleadssales[[#This Row],[Ad_ID]],'[1]pre processed data'!A:S,19,0)</f>
        <v>Mobile</v>
      </c>
      <c r="M418" t="str">
        <f>VLOOKUP(Googleadssales[[#This Row],[Ad_ID]],'[1]pre processed data'!A:T,20,0)</f>
        <v>data analytics training</v>
      </c>
    </row>
    <row r="419" spans="1:13" x14ac:dyDescent="0.3">
      <c r="A419" t="s">
        <v>432</v>
      </c>
      <c r="B419" t="s">
        <v>14</v>
      </c>
      <c r="C419" s="4">
        <f>VLOOKUP(Googleadssales[[#This Row],[Ad_ID]],'[1]pre processed data'!A:C,3,0)</f>
        <v>140</v>
      </c>
      <c r="D419" s="4">
        <f>VLOOKUP(Googleadssales[[#This Row],[Ad_ID]],'[1]pre processed data'!A:E,5,0)</f>
        <v>3822</v>
      </c>
      <c r="E419" s="5" t="str">
        <f>VLOOKUP(Googleadssales[[#This Row],[Ad_ID]],[1]!Table3[[Ad_ID]:[Cost-imputed]],7,0)</f>
        <v>$241.68</v>
      </c>
      <c r="F419" s="4">
        <f>VLOOKUP(Googleadssales[[#This Row],[Ad_ID]],'[1]pre processed data'!A:I,9,0)</f>
        <v>30</v>
      </c>
      <c r="G419" s="4">
        <f>VLOOKUP(Googleadssales[[#This Row],[Ad_ID]],'[1]pre processed data'!A:K,11,0)</f>
        <v>10</v>
      </c>
      <c r="H419" s="2">
        <f>Googleadssales[[#This Row],[Conversions]]/Googleadssales[[#This Row],[Clicks]]</f>
        <v>7.1428571428571425E-2</v>
      </c>
      <c r="I419" t="str">
        <f>VLOOKUP(Googleadssales[[#This Row],[Ad_ID]],'[1]pre processed data'!A:O,15,0)</f>
        <v>$1138</v>
      </c>
      <c r="J419" s="3">
        <f>VLOOKUP(Googleadssales[[#This Row],[Ad_ID]],'[1]pre processed data'!A:Q,17,0)</f>
        <v>45615</v>
      </c>
      <c r="K419" t="str">
        <f>VLOOKUP(Googleadssales[[#This Row],[Ad_ID]],'[1]pre processed data'!A:R,18,0)</f>
        <v>Hyderabad</v>
      </c>
      <c r="L419" t="str">
        <f>VLOOKUP(Googleadssales[[#This Row],[Ad_ID]],'[1]pre processed data'!A:S,19,0)</f>
        <v>Tablet</v>
      </c>
      <c r="M419" t="str">
        <f>VLOOKUP(Googleadssales[[#This Row],[Ad_ID]],'[1]pre processed data'!A:T,20,0)</f>
        <v>data analytics course</v>
      </c>
    </row>
    <row r="420" spans="1:13" x14ac:dyDescent="0.3">
      <c r="A420" t="s">
        <v>433</v>
      </c>
      <c r="B420" t="s">
        <v>14</v>
      </c>
      <c r="C420" s="4">
        <f>VLOOKUP(Googleadssales[[#This Row],[Ad_ID]],'[1]pre processed data'!A:C,3,0)</f>
        <v>81</v>
      </c>
      <c r="D420" s="4">
        <f>VLOOKUP(Googleadssales[[#This Row],[Ad_ID]],'[1]pre processed data'!A:E,5,0)</f>
        <v>3147</v>
      </c>
      <c r="E420" s="5" t="str">
        <f>VLOOKUP(Googleadssales[[#This Row],[Ad_ID]],[1]!Table3[[Ad_ID]:[Cost-imputed]],7,0)</f>
        <v>$232.2</v>
      </c>
      <c r="F420" s="4">
        <f>VLOOKUP(Googleadssales[[#This Row],[Ad_ID]],'[1]pre processed data'!A:I,9,0)</f>
        <v>30</v>
      </c>
      <c r="G420" s="4">
        <f>VLOOKUP(Googleadssales[[#This Row],[Ad_ID]],'[1]pre processed data'!A:K,11,0)</f>
        <v>9</v>
      </c>
      <c r="H420" s="2">
        <f>Googleadssales[[#This Row],[Conversions]]/Googleadssales[[#This Row],[Clicks]]</f>
        <v>0.1111111111111111</v>
      </c>
      <c r="I420" t="str">
        <f>VLOOKUP(Googleadssales[[#This Row],[Ad_ID]],'[1]pre processed data'!A:O,15,0)</f>
        <v>$1066</v>
      </c>
      <c r="J420" s="3">
        <f>VLOOKUP(Googleadssales[[#This Row],[Ad_ID]],'[1]pre processed data'!A:Q,17,0)</f>
        <v>45625</v>
      </c>
      <c r="K420" t="str">
        <f>VLOOKUP(Googleadssales[[#This Row],[Ad_ID]],'[1]pre processed data'!A:R,18,0)</f>
        <v>Bangaluru</v>
      </c>
      <c r="L420" t="str">
        <f>VLOOKUP(Googleadssales[[#This Row],[Ad_ID]],'[1]pre processed data'!A:S,19,0)</f>
        <v>Mobile</v>
      </c>
      <c r="M420" t="str">
        <f>VLOOKUP(Googleadssales[[#This Row],[Ad_ID]],'[1]pre processed data'!A:T,20,0)</f>
        <v>data analytics course</v>
      </c>
    </row>
    <row r="421" spans="1:13" x14ac:dyDescent="0.3">
      <c r="A421" t="s">
        <v>434</v>
      </c>
      <c r="B421" t="s">
        <v>14</v>
      </c>
      <c r="C421" s="4">
        <f>VLOOKUP(Googleadssales[[#This Row],[Ad_ID]],'[1]pre processed data'!A:C,3,0)</f>
        <v>165</v>
      </c>
      <c r="D421" s="4">
        <f>VLOOKUP(Googleadssales[[#This Row],[Ad_ID]],'[1]pre processed data'!A:E,5,0)</f>
        <v>4613</v>
      </c>
      <c r="E421" s="5" t="str">
        <f>VLOOKUP(Googleadssales[[#This Row],[Ad_ID]],[1]!Table3[[Ad_ID]:[Cost-imputed]],7,0)</f>
        <v>$246.72</v>
      </c>
      <c r="F421" s="4">
        <f>VLOOKUP(Googleadssales[[#This Row],[Ad_ID]],'[1]pre processed data'!A:I,9,0)</f>
        <v>19</v>
      </c>
      <c r="G421" s="4">
        <f>VLOOKUP(Googleadssales[[#This Row],[Ad_ID]],'[1]pre processed data'!A:K,11,0)</f>
        <v>3</v>
      </c>
      <c r="H421" s="2">
        <f>Googleadssales[[#This Row],[Conversions]]/Googleadssales[[#This Row],[Clicks]]</f>
        <v>1.8181818181818181E-2</v>
      </c>
      <c r="I421" t="str">
        <f>VLOOKUP(Googleadssales[[#This Row],[Ad_ID]],'[1]pre processed data'!A:O,15,0)</f>
        <v>$1055</v>
      </c>
      <c r="J421" s="3">
        <f>VLOOKUP(Googleadssales[[#This Row],[Ad_ID]],'[1]pre processed data'!A:Q,17,0)</f>
        <v>45607</v>
      </c>
      <c r="K421" t="str">
        <f>VLOOKUP(Googleadssales[[#This Row],[Ad_ID]],'[1]pre processed data'!A:R,18,0)</f>
        <v>Hyderabad</v>
      </c>
      <c r="L421" t="str">
        <f>VLOOKUP(Googleadssales[[#This Row],[Ad_ID]],'[1]pre processed data'!A:S,19,0)</f>
        <v>Tablet</v>
      </c>
      <c r="M421" t="str">
        <f>VLOOKUP(Googleadssales[[#This Row],[Ad_ID]],'[1]pre processed data'!A:T,20,0)</f>
        <v>data analytics training</v>
      </c>
    </row>
    <row r="422" spans="1:13" x14ac:dyDescent="0.3">
      <c r="A422" t="s">
        <v>435</v>
      </c>
      <c r="B422" t="s">
        <v>18</v>
      </c>
      <c r="C422" s="4">
        <f>VLOOKUP(Googleadssales[[#This Row],[Ad_ID]],'[1]pre processed data'!A:C,3,0)</f>
        <v>193</v>
      </c>
      <c r="D422" s="4">
        <f>VLOOKUP(Googleadssales[[#This Row],[Ad_ID]],'[1]pre processed data'!A:E,5,0)</f>
        <v>4919</v>
      </c>
      <c r="E422" s="5" t="str">
        <f>VLOOKUP(Googleadssales[[#This Row],[Ad_ID]],[1]!Table3[[Ad_ID]:[Cost-imputed]],7,0)</f>
        <v>$247.24</v>
      </c>
      <c r="F422" s="4">
        <f>VLOOKUP(Googleadssales[[#This Row],[Ad_ID]],'[1]pre processed data'!A:I,9,0)</f>
        <v>19</v>
      </c>
      <c r="G422" s="4">
        <f>VLOOKUP(Googleadssales[[#This Row],[Ad_ID]],'[1]pre processed data'!A:K,11,0)</f>
        <v>4</v>
      </c>
      <c r="H422" s="2">
        <f>Googleadssales[[#This Row],[Conversions]]/Googleadssales[[#This Row],[Clicks]]</f>
        <v>2.072538860103627E-2</v>
      </c>
      <c r="I422" t="str">
        <f>VLOOKUP(Googleadssales[[#This Row],[Ad_ID]],'[1]pre processed data'!A:O,15,0)</f>
        <v>$1933</v>
      </c>
      <c r="J422" s="3">
        <f>VLOOKUP(Googleadssales[[#This Row],[Ad_ID]],'[1]pre processed data'!A:Q,17,0)</f>
        <v>45621</v>
      </c>
      <c r="K422" t="str">
        <f>VLOOKUP(Googleadssales[[#This Row],[Ad_ID]],'[1]pre processed data'!A:R,18,0)</f>
        <v>Bangaluru</v>
      </c>
      <c r="L422" t="str">
        <f>VLOOKUP(Googleadssales[[#This Row],[Ad_ID]],'[1]pre processed data'!A:S,19,0)</f>
        <v>Desktop</v>
      </c>
      <c r="M422" t="str">
        <f>VLOOKUP(Googleadssales[[#This Row],[Ad_ID]],'[1]pre processed data'!A:T,20,0)</f>
        <v>data analytics online</v>
      </c>
    </row>
    <row r="423" spans="1:13" x14ac:dyDescent="0.3">
      <c r="A423" t="s">
        <v>436</v>
      </c>
      <c r="B423" t="s">
        <v>14</v>
      </c>
      <c r="C423" s="4">
        <f>VLOOKUP(Googleadssales[[#This Row],[Ad_ID]],'[1]pre processed data'!A:C,3,0)</f>
        <v>149</v>
      </c>
      <c r="D423" s="4">
        <f>VLOOKUP(Googleadssales[[#This Row],[Ad_ID]],'[1]pre processed data'!A:E,5,0)</f>
        <v>5205</v>
      </c>
      <c r="E423" s="5" t="str">
        <f>VLOOKUP(Googleadssales[[#This Row],[Ad_ID]],[1]!Table3[[Ad_ID]:[Cost-imputed]],7,0)</f>
        <v>$218.42</v>
      </c>
      <c r="F423" s="4">
        <f>VLOOKUP(Googleadssales[[#This Row],[Ad_ID]],'[1]pre processed data'!A:I,9,0)</f>
        <v>20</v>
      </c>
      <c r="G423" s="4">
        <f>VLOOKUP(Googleadssales[[#This Row],[Ad_ID]],'[1]pre processed data'!A:K,11,0)</f>
        <v>4</v>
      </c>
      <c r="H423" s="2">
        <f>Googleadssales[[#This Row],[Conversions]]/Googleadssales[[#This Row],[Clicks]]</f>
        <v>2.6845637583892617E-2</v>
      </c>
      <c r="I423" t="str">
        <f>VLOOKUP(Googleadssales[[#This Row],[Ad_ID]],'[1]pre processed data'!A:O,15,0)</f>
        <v>$1070</v>
      </c>
      <c r="J423" s="3">
        <f>VLOOKUP(Googleadssales[[#This Row],[Ad_ID]],'[1]pre processed data'!A:Q,17,0)</f>
        <v>45624</v>
      </c>
      <c r="K423" t="str">
        <f>VLOOKUP(Googleadssales[[#This Row],[Ad_ID]],'[1]pre processed data'!A:R,18,0)</f>
        <v>Bangaluru</v>
      </c>
      <c r="L423" t="str">
        <f>VLOOKUP(Googleadssales[[#This Row],[Ad_ID]],'[1]pre processed data'!A:S,19,0)</f>
        <v>Mobile</v>
      </c>
      <c r="M423" t="str">
        <f>VLOOKUP(Googleadssales[[#This Row],[Ad_ID]],'[1]pre processed data'!A:T,20,0)</f>
        <v>online data analytic</v>
      </c>
    </row>
    <row r="424" spans="1:13" x14ac:dyDescent="0.3">
      <c r="A424" t="s">
        <v>437</v>
      </c>
      <c r="B424" t="s">
        <v>14</v>
      </c>
      <c r="C424" s="4">
        <f>VLOOKUP(Googleadssales[[#This Row],[Ad_ID]],'[1]pre processed data'!A:C,3,0)</f>
        <v>81</v>
      </c>
      <c r="D424" s="4">
        <f>VLOOKUP(Googleadssales[[#This Row],[Ad_ID]],'[1]pre processed data'!A:E,5,0)</f>
        <v>3497</v>
      </c>
      <c r="E424" s="5" t="str">
        <f>VLOOKUP(Googleadssales[[#This Row],[Ad_ID]],[1]!Table3[[Ad_ID]:[Cost-imputed]],7,0)</f>
        <v>$226.66</v>
      </c>
      <c r="F424" s="4">
        <f>VLOOKUP(Googleadssales[[#This Row],[Ad_ID]],'[1]pre processed data'!A:I,9,0)</f>
        <v>11</v>
      </c>
      <c r="G424" s="4">
        <f>VLOOKUP(Googleadssales[[#This Row],[Ad_ID]],'[1]pre processed data'!A:K,11,0)</f>
        <v>6</v>
      </c>
      <c r="H424" s="2">
        <f>Googleadssales[[#This Row],[Conversions]]/Googleadssales[[#This Row],[Clicks]]</f>
        <v>7.407407407407407E-2</v>
      </c>
      <c r="I424" t="str">
        <f>VLOOKUP(Googleadssales[[#This Row],[Ad_ID]],'[1]pre processed data'!A:O,15,0)</f>
        <v>$1047</v>
      </c>
      <c r="J424" s="3">
        <f>VLOOKUP(Googleadssales[[#This Row],[Ad_ID]],'[1]pre processed data'!A:Q,17,0)</f>
        <v>45615</v>
      </c>
      <c r="K424" t="str">
        <f>VLOOKUP(Googleadssales[[#This Row],[Ad_ID]],'[1]pre processed data'!A:R,18,0)</f>
        <v>Bangaluru</v>
      </c>
      <c r="L424" t="str">
        <f>VLOOKUP(Googleadssales[[#This Row],[Ad_ID]],'[1]pre processed data'!A:S,19,0)</f>
        <v>Mobile</v>
      </c>
      <c r="M424" t="str">
        <f>VLOOKUP(Googleadssales[[#This Row],[Ad_ID]],'[1]pre processed data'!A:T,20,0)</f>
        <v>data analytics online</v>
      </c>
    </row>
    <row r="425" spans="1:13" x14ac:dyDescent="0.3">
      <c r="A425" t="s">
        <v>438</v>
      </c>
      <c r="B425" t="s">
        <v>14</v>
      </c>
      <c r="C425" s="4">
        <f>VLOOKUP(Googleadssales[[#This Row],[Ad_ID]],'[1]pre processed data'!A:C,3,0)</f>
        <v>153</v>
      </c>
      <c r="D425" s="4">
        <f>VLOOKUP(Googleadssales[[#This Row],[Ad_ID]],'[1]pre processed data'!A:E,5,0)</f>
        <v>4057</v>
      </c>
      <c r="E425" s="5" t="str">
        <f>VLOOKUP(Googleadssales[[#This Row],[Ad_ID]],[1]!Table3[[Ad_ID]:[Cost-imputed]],7,0)</f>
        <v>$197.54</v>
      </c>
      <c r="F425" s="4">
        <f>VLOOKUP(Googleadssales[[#This Row],[Ad_ID]],'[1]pre processed data'!A:I,9,0)</f>
        <v>23</v>
      </c>
      <c r="G425" s="4">
        <f>VLOOKUP(Googleadssales[[#This Row],[Ad_ID]],'[1]pre processed data'!A:K,11,0)</f>
        <v>5</v>
      </c>
      <c r="H425" s="2">
        <f>Googleadssales[[#This Row],[Conversions]]/Googleadssales[[#This Row],[Clicks]]</f>
        <v>3.2679738562091505E-2</v>
      </c>
      <c r="I425" t="str">
        <f>VLOOKUP(Googleadssales[[#This Row],[Ad_ID]],'[1]pre processed data'!A:O,15,0)</f>
        <v>$1926</v>
      </c>
      <c r="J425" s="3">
        <f>VLOOKUP(Googleadssales[[#This Row],[Ad_ID]],'[1]pre processed data'!A:Q,17,0)</f>
        <v>45618</v>
      </c>
      <c r="K425" t="str">
        <f>VLOOKUP(Googleadssales[[#This Row],[Ad_ID]],'[1]pre processed data'!A:R,18,0)</f>
        <v>Hyderabad</v>
      </c>
      <c r="L425" t="str">
        <f>VLOOKUP(Googleadssales[[#This Row],[Ad_ID]],'[1]pre processed data'!A:S,19,0)</f>
        <v>Tablet</v>
      </c>
      <c r="M425" t="str">
        <f>VLOOKUP(Googleadssales[[#This Row],[Ad_ID]],'[1]pre processed data'!A:T,20,0)</f>
        <v>data analytics online</v>
      </c>
    </row>
    <row r="426" spans="1:13" x14ac:dyDescent="0.3">
      <c r="A426" t="s">
        <v>439</v>
      </c>
      <c r="B426" t="s">
        <v>14</v>
      </c>
      <c r="C426" s="4">
        <f>VLOOKUP(Googleadssales[[#This Row],[Ad_ID]],'[1]pre processed data'!A:C,3,0)</f>
        <v>127</v>
      </c>
      <c r="D426" s="4">
        <f>VLOOKUP(Googleadssales[[#This Row],[Ad_ID]],'[1]pre processed data'!A:E,5,0)</f>
        <v>5018</v>
      </c>
      <c r="E426" s="5" t="str">
        <f>VLOOKUP(Googleadssales[[#This Row],[Ad_ID]],[1]!Table3[[Ad_ID]:[Cost-imputed]],7,0)</f>
        <v>$194.25</v>
      </c>
      <c r="F426" s="4">
        <f>VLOOKUP(Googleadssales[[#This Row],[Ad_ID]],'[1]pre processed data'!A:I,9,0)</f>
        <v>17</v>
      </c>
      <c r="G426" s="4">
        <f>VLOOKUP(Googleadssales[[#This Row],[Ad_ID]],'[1]pre processed data'!A:K,11,0)</f>
        <v>8</v>
      </c>
      <c r="H426" s="2">
        <f>Googleadssales[[#This Row],[Conversions]]/Googleadssales[[#This Row],[Clicks]]</f>
        <v>6.2992125984251968E-2</v>
      </c>
      <c r="I426" t="str">
        <f>VLOOKUP(Googleadssales[[#This Row],[Ad_ID]],'[1]pre processed data'!A:O,15,0)</f>
        <v>$1350</v>
      </c>
      <c r="J426" s="3">
        <f>VLOOKUP(Googleadssales[[#This Row],[Ad_ID]],'[1]pre processed data'!A:Q,17,0)</f>
        <v>45617</v>
      </c>
      <c r="K426" t="str">
        <f>VLOOKUP(Googleadssales[[#This Row],[Ad_ID]],'[1]pre processed data'!A:R,18,0)</f>
        <v>Hyderabad</v>
      </c>
      <c r="L426" t="str">
        <f>VLOOKUP(Googleadssales[[#This Row],[Ad_ID]],'[1]pre processed data'!A:S,19,0)</f>
        <v>Mobile</v>
      </c>
      <c r="M426" t="str">
        <f>VLOOKUP(Googleadssales[[#This Row],[Ad_ID]],'[1]pre processed data'!A:T,20,0)</f>
        <v>data analytics online</v>
      </c>
    </row>
    <row r="427" spans="1:13" x14ac:dyDescent="0.3">
      <c r="A427" t="s">
        <v>440</v>
      </c>
      <c r="B427" t="s">
        <v>14</v>
      </c>
      <c r="C427" s="4">
        <f>VLOOKUP(Googleadssales[[#This Row],[Ad_ID]],'[1]pre processed data'!A:C,3,0)</f>
        <v>99</v>
      </c>
      <c r="D427" s="4">
        <f>VLOOKUP(Googleadssales[[#This Row],[Ad_ID]],'[1]pre processed data'!A:E,5,0)</f>
        <v>4012</v>
      </c>
      <c r="E427" s="5" t="str">
        <f>VLOOKUP(Googleadssales[[#This Row],[Ad_ID]],[1]!Table3[[Ad_ID]:[Cost-imputed]],7,0)</f>
        <v>$220.76</v>
      </c>
      <c r="F427" s="4">
        <f>VLOOKUP(Googleadssales[[#This Row],[Ad_ID]],'[1]pre processed data'!A:I,9,0)</f>
        <v>14</v>
      </c>
      <c r="G427" s="4">
        <f>VLOOKUP(Googleadssales[[#This Row],[Ad_ID]],'[1]pre processed data'!A:K,11,0)</f>
        <v>4</v>
      </c>
      <c r="H427" s="2">
        <f>Googleadssales[[#This Row],[Conversions]]/Googleadssales[[#This Row],[Clicks]]</f>
        <v>4.0404040404040407E-2</v>
      </c>
      <c r="I427" t="str">
        <f>VLOOKUP(Googleadssales[[#This Row],[Ad_ID]],'[1]pre processed data'!A:O,15,0)</f>
        <v>$1698</v>
      </c>
      <c r="J427" s="3">
        <f>VLOOKUP(Googleadssales[[#This Row],[Ad_ID]],'[1]pre processed data'!A:Q,17,0)</f>
        <v>45608</v>
      </c>
      <c r="K427" t="str">
        <f>VLOOKUP(Googleadssales[[#This Row],[Ad_ID]],'[1]pre processed data'!A:R,18,0)</f>
        <v>Chennai</v>
      </c>
      <c r="L427" t="str">
        <f>VLOOKUP(Googleadssales[[#This Row],[Ad_ID]],'[1]pre processed data'!A:S,19,0)</f>
        <v>Tablet</v>
      </c>
      <c r="M427" t="str">
        <f>VLOOKUP(Googleadssales[[#This Row],[Ad_ID]],'[1]pre processed data'!A:T,20,0)</f>
        <v>data analytics training</v>
      </c>
    </row>
    <row r="428" spans="1:13" x14ac:dyDescent="0.3">
      <c r="A428" t="s">
        <v>441</v>
      </c>
      <c r="B428" t="s">
        <v>14</v>
      </c>
      <c r="C428" s="4">
        <f>VLOOKUP(Googleadssales[[#This Row],[Ad_ID]],'[1]pre processed data'!A:C,3,0)</f>
        <v>104</v>
      </c>
      <c r="D428" s="4">
        <f>VLOOKUP(Googleadssales[[#This Row],[Ad_ID]],'[1]pre processed data'!A:E,5,0)</f>
        <v>3013</v>
      </c>
      <c r="E428" s="5" t="str">
        <f>VLOOKUP(Googleadssales[[#This Row],[Ad_ID]],[1]!Table3[[Ad_ID]:[Cost-imputed]],7,0)</f>
        <v>$204.07</v>
      </c>
      <c r="F428" s="4">
        <f>VLOOKUP(Googleadssales[[#This Row],[Ad_ID]],'[1]pre processed data'!A:I,9,0)</f>
        <v>12</v>
      </c>
      <c r="G428" s="4">
        <f>VLOOKUP(Googleadssales[[#This Row],[Ad_ID]],'[1]pre processed data'!A:K,11,0)</f>
        <v>3</v>
      </c>
      <c r="H428" s="2">
        <f>Googleadssales[[#This Row],[Conversions]]/Googleadssales[[#This Row],[Clicks]]</f>
        <v>2.8846153846153848E-2</v>
      </c>
      <c r="I428" t="str">
        <f>VLOOKUP(Googleadssales[[#This Row],[Ad_ID]],'[1]pre processed data'!A:O,15,0)</f>
        <v>$1016</v>
      </c>
      <c r="J428" s="3">
        <f>VLOOKUP(Googleadssales[[#This Row],[Ad_ID]],'[1]pre processed data'!A:Q,17,0)</f>
        <v>45616</v>
      </c>
      <c r="K428" t="str">
        <f>VLOOKUP(Googleadssales[[#This Row],[Ad_ID]],'[1]pre processed data'!A:R,18,0)</f>
        <v>Chennai</v>
      </c>
      <c r="L428" t="str">
        <f>VLOOKUP(Googleadssales[[#This Row],[Ad_ID]],'[1]pre processed data'!A:S,19,0)</f>
        <v>Mobile</v>
      </c>
      <c r="M428" t="str">
        <f>VLOOKUP(Googleadssales[[#This Row],[Ad_ID]],'[1]pre processed data'!A:T,20,0)</f>
        <v>learn data analytics</v>
      </c>
    </row>
    <row r="429" spans="1:13" x14ac:dyDescent="0.3">
      <c r="A429" t="s">
        <v>442</v>
      </c>
      <c r="B429" t="s">
        <v>18</v>
      </c>
      <c r="C429" s="4">
        <f>VLOOKUP(Googleadssales[[#This Row],[Ad_ID]],'[1]pre processed data'!A:C,3,0)</f>
        <v>118</v>
      </c>
      <c r="D429" s="4">
        <f>VLOOKUP(Googleadssales[[#This Row],[Ad_ID]],'[1]pre processed data'!A:E,5,0)</f>
        <v>3824</v>
      </c>
      <c r="E429" s="5" t="str">
        <f>VLOOKUP(Googleadssales[[#This Row],[Ad_ID]],[1]!Table3[[Ad_ID]:[Cost-imputed]],7,0)</f>
        <v>$184.8</v>
      </c>
      <c r="F429" s="4">
        <f>VLOOKUP(Googleadssales[[#This Row],[Ad_ID]],'[1]pre processed data'!A:I,9,0)</f>
        <v>16</v>
      </c>
      <c r="G429" s="4">
        <f>VLOOKUP(Googleadssales[[#This Row],[Ad_ID]],'[1]pre processed data'!A:K,11,0)</f>
        <v>5</v>
      </c>
      <c r="H429" s="2">
        <f>Googleadssales[[#This Row],[Conversions]]/Googleadssales[[#This Row],[Clicks]]</f>
        <v>4.2372881355932202E-2</v>
      </c>
      <c r="I429" t="str">
        <f>VLOOKUP(Googleadssales[[#This Row],[Ad_ID]],'[1]pre processed data'!A:O,15,0)</f>
        <v>$1818</v>
      </c>
      <c r="J429" s="3">
        <f>VLOOKUP(Googleadssales[[#This Row],[Ad_ID]],'[1]pre processed data'!A:Q,17,0)</f>
        <v>45615</v>
      </c>
      <c r="K429" t="str">
        <f>VLOOKUP(Googleadssales[[#This Row],[Ad_ID]],'[1]pre processed data'!A:R,18,0)</f>
        <v>Hyderabad</v>
      </c>
      <c r="L429" t="str">
        <f>VLOOKUP(Googleadssales[[#This Row],[Ad_ID]],'[1]pre processed data'!A:S,19,0)</f>
        <v>Desktop</v>
      </c>
      <c r="M429" t="str">
        <f>VLOOKUP(Googleadssales[[#This Row],[Ad_ID]],'[1]pre processed data'!A:T,20,0)</f>
        <v>learn data analytics</v>
      </c>
    </row>
    <row r="430" spans="1:13" x14ac:dyDescent="0.3">
      <c r="A430" t="s">
        <v>443</v>
      </c>
      <c r="B430" t="s">
        <v>14</v>
      </c>
      <c r="C430" s="4">
        <f>VLOOKUP(Googleadssales[[#This Row],[Ad_ID]],'[1]pre processed data'!A:C,3,0)</f>
        <v>148</v>
      </c>
      <c r="D430" s="4">
        <f>VLOOKUP(Googleadssales[[#This Row],[Ad_ID]],'[1]pre processed data'!A:E,5,0)</f>
        <v>5000</v>
      </c>
      <c r="E430" s="5" t="str">
        <f>VLOOKUP(Googleadssales[[#This Row],[Ad_ID]],[1]!Table3[[Ad_ID]:[Cost-imputed]],7,0)</f>
        <v>$224.41</v>
      </c>
      <c r="F430" s="4">
        <f>VLOOKUP(Googleadssales[[#This Row],[Ad_ID]],'[1]pre processed data'!A:I,9,0)</f>
        <v>11</v>
      </c>
      <c r="G430" s="4">
        <f>VLOOKUP(Googleadssales[[#This Row],[Ad_ID]],'[1]pre processed data'!A:K,11,0)</f>
        <v>3</v>
      </c>
      <c r="H430" s="2">
        <f>Googleadssales[[#This Row],[Conversions]]/Googleadssales[[#This Row],[Clicks]]</f>
        <v>2.0270270270270271E-2</v>
      </c>
      <c r="I430" t="str">
        <f>VLOOKUP(Googleadssales[[#This Row],[Ad_ID]],'[1]pre processed data'!A:O,15,0)</f>
        <v>$1491</v>
      </c>
      <c r="J430" s="3">
        <f>VLOOKUP(Googleadssales[[#This Row],[Ad_ID]],'[1]pre processed data'!A:Q,17,0)</f>
        <v>45626</v>
      </c>
      <c r="K430" t="str">
        <f>VLOOKUP(Googleadssales[[#This Row],[Ad_ID]],'[1]pre processed data'!A:R,18,0)</f>
        <v>Hyderabad</v>
      </c>
      <c r="L430" t="str">
        <f>VLOOKUP(Googleadssales[[#This Row],[Ad_ID]],'[1]pre processed data'!A:S,19,0)</f>
        <v>Mobile</v>
      </c>
      <c r="M430" t="str">
        <f>VLOOKUP(Googleadssales[[#This Row],[Ad_ID]],'[1]pre processed data'!A:T,20,0)</f>
        <v>online data analytic</v>
      </c>
    </row>
    <row r="431" spans="1:13" x14ac:dyDescent="0.3">
      <c r="A431" t="s">
        <v>444</v>
      </c>
      <c r="B431" t="s">
        <v>14</v>
      </c>
      <c r="C431" s="4">
        <f>VLOOKUP(Googleadssales[[#This Row],[Ad_ID]],'[1]pre processed data'!A:C,3,0)</f>
        <v>88</v>
      </c>
      <c r="D431" s="4">
        <f>VLOOKUP(Googleadssales[[#This Row],[Ad_ID]],'[1]pre processed data'!A:E,5,0)</f>
        <v>3804</v>
      </c>
      <c r="E431" s="5" t="str">
        <f>VLOOKUP(Googleadssales[[#This Row],[Ad_ID]],[1]!Table3[[Ad_ID]:[Cost-imputed]],7,0)</f>
        <v>$249.2</v>
      </c>
      <c r="F431" s="4">
        <f>VLOOKUP(Googleadssales[[#This Row],[Ad_ID]],'[1]pre processed data'!A:I,9,0)</f>
        <v>10</v>
      </c>
      <c r="G431" s="4">
        <f>VLOOKUP(Googleadssales[[#This Row],[Ad_ID]],'[1]pre processed data'!A:K,11,0)</f>
        <v>8</v>
      </c>
      <c r="H431" s="2">
        <f>Googleadssales[[#This Row],[Conversions]]/Googleadssales[[#This Row],[Clicks]]</f>
        <v>9.0909090909090912E-2</v>
      </c>
      <c r="I431" t="str">
        <f>VLOOKUP(Googleadssales[[#This Row],[Ad_ID]],'[1]pre processed data'!A:O,15,0)</f>
        <v>$1044</v>
      </c>
      <c r="J431" s="3">
        <f>VLOOKUP(Googleadssales[[#This Row],[Ad_ID]],'[1]pre processed data'!A:Q,17,0)</f>
        <v>45605</v>
      </c>
      <c r="K431" t="str">
        <f>VLOOKUP(Googleadssales[[#This Row],[Ad_ID]],'[1]pre processed data'!A:R,18,0)</f>
        <v>Hyderabad</v>
      </c>
      <c r="L431" t="str">
        <f>VLOOKUP(Googleadssales[[#This Row],[Ad_ID]],'[1]pre processed data'!A:S,19,0)</f>
        <v>Tablet</v>
      </c>
      <c r="M431" t="str">
        <f>VLOOKUP(Googleadssales[[#This Row],[Ad_ID]],'[1]pre processed data'!A:T,20,0)</f>
        <v>data analytics training</v>
      </c>
    </row>
    <row r="432" spans="1:13" x14ac:dyDescent="0.3">
      <c r="A432" t="s">
        <v>445</v>
      </c>
      <c r="B432" t="s">
        <v>18</v>
      </c>
      <c r="C432" s="4">
        <f>VLOOKUP(Googleadssales[[#This Row],[Ad_ID]],'[1]pre processed data'!A:C,3,0)</f>
        <v>142</v>
      </c>
      <c r="D432" s="4">
        <f>VLOOKUP(Googleadssales[[#This Row],[Ad_ID]],'[1]pre processed data'!A:E,5,0)</f>
        <v>3791</v>
      </c>
      <c r="E432" s="5" t="str">
        <f>VLOOKUP(Googleadssales[[#This Row],[Ad_ID]],[1]!Table3[[Ad_ID]:[Cost-imputed]],7,0)</f>
        <v>$207.86</v>
      </c>
      <c r="F432" s="4">
        <f>VLOOKUP(Googleadssales[[#This Row],[Ad_ID]],'[1]pre processed data'!A:I,9,0)</f>
        <v>23</v>
      </c>
      <c r="G432" s="4">
        <f>VLOOKUP(Googleadssales[[#This Row],[Ad_ID]],'[1]pre processed data'!A:K,11,0)</f>
        <v>4</v>
      </c>
      <c r="H432" s="2">
        <f>Googleadssales[[#This Row],[Conversions]]/Googleadssales[[#This Row],[Clicks]]</f>
        <v>2.8169014084507043E-2</v>
      </c>
      <c r="I432" t="str">
        <f>VLOOKUP(Googleadssales[[#This Row],[Ad_ID]],'[1]pre processed data'!A:O,15,0)</f>
        <v>$1073</v>
      </c>
      <c r="J432" s="3">
        <f>VLOOKUP(Googleadssales[[#This Row],[Ad_ID]],'[1]pre processed data'!A:Q,17,0)</f>
        <v>45616</v>
      </c>
      <c r="K432" t="str">
        <f>VLOOKUP(Googleadssales[[#This Row],[Ad_ID]],'[1]pre processed data'!A:R,18,0)</f>
        <v>Hyderabad</v>
      </c>
      <c r="L432" t="str">
        <f>VLOOKUP(Googleadssales[[#This Row],[Ad_ID]],'[1]pre processed data'!A:S,19,0)</f>
        <v>Tablet</v>
      </c>
      <c r="M432" t="str">
        <f>VLOOKUP(Googleadssales[[#This Row],[Ad_ID]],'[1]pre processed data'!A:T,20,0)</f>
        <v>data analytics online</v>
      </c>
    </row>
    <row r="433" spans="1:13" x14ac:dyDescent="0.3">
      <c r="A433" t="s">
        <v>446</v>
      </c>
      <c r="B433" t="s">
        <v>14</v>
      </c>
      <c r="C433" s="4">
        <f>VLOOKUP(Googleadssales[[#This Row],[Ad_ID]],'[1]pre processed data'!A:C,3,0)</f>
        <v>127</v>
      </c>
      <c r="D433" s="4">
        <f>VLOOKUP(Googleadssales[[#This Row],[Ad_ID]],'[1]pre processed data'!A:E,5,0)</f>
        <v>5198</v>
      </c>
      <c r="E433" s="5" t="str">
        <f>VLOOKUP(Googleadssales[[#This Row],[Ad_ID]],[1]!Table3[[Ad_ID]:[Cost-imputed]],7,0)</f>
        <v>$242.56</v>
      </c>
      <c r="F433" s="4">
        <f>VLOOKUP(Googleadssales[[#This Row],[Ad_ID]],'[1]pre processed data'!A:I,9,0)</f>
        <v>26</v>
      </c>
      <c r="G433" s="4">
        <f>VLOOKUP(Googleadssales[[#This Row],[Ad_ID]],'[1]pre processed data'!A:K,11,0)</f>
        <v>6</v>
      </c>
      <c r="H433" s="2">
        <f>Googleadssales[[#This Row],[Conversions]]/Googleadssales[[#This Row],[Clicks]]</f>
        <v>4.7244094488188976E-2</v>
      </c>
      <c r="I433" t="str">
        <f>VLOOKUP(Googleadssales[[#This Row],[Ad_ID]],'[1]pre processed data'!A:O,15,0)</f>
        <v>$1872</v>
      </c>
      <c r="J433" s="3">
        <f>VLOOKUP(Googleadssales[[#This Row],[Ad_ID]],'[1]pre processed data'!A:Q,17,0)</f>
        <v>45612</v>
      </c>
      <c r="K433" t="str">
        <f>VLOOKUP(Googleadssales[[#This Row],[Ad_ID]],'[1]pre processed data'!A:R,18,0)</f>
        <v>Hyderabad</v>
      </c>
      <c r="L433" t="str">
        <f>VLOOKUP(Googleadssales[[#This Row],[Ad_ID]],'[1]pre processed data'!A:S,19,0)</f>
        <v>Tablet</v>
      </c>
      <c r="M433" t="str">
        <f>VLOOKUP(Googleadssales[[#This Row],[Ad_ID]],'[1]pre processed data'!A:T,20,0)</f>
        <v>learn data analytics</v>
      </c>
    </row>
    <row r="434" spans="1:13" x14ac:dyDescent="0.3">
      <c r="A434" t="s">
        <v>447</v>
      </c>
      <c r="B434" t="s">
        <v>18</v>
      </c>
      <c r="C434" s="4">
        <f>VLOOKUP(Googleadssales[[#This Row],[Ad_ID]],'[1]pre processed data'!A:C,3,0)</f>
        <v>117</v>
      </c>
      <c r="D434" s="4">
        <f>VLOOKUP(Googleadssales[[#This Row],[Ad_ID]],'[1]pre processed data'!A:E,5,0)</f>
        <v>5329</v>
      </c>
      <c r="E434" s="5" t="str">
        <f>VLOOKUP(Googleadssales[[#This Row],[Ad_ID]],[1]!Table3[[Ad_ID]:[Cost-imputed]],7,0)</f>
        <v>$212.49</v>
      </c>
      <c r="F434" s="4">
        <f>VLOOKUP(Googleadssales[[#This Row],[Ad_ID]],'[1]pre processed data'!A:I,9,0)</f>
        <v>14</v>
      </c>
      <c r="G434" s="4">
        <f>VLOOKUP(Googleadssales[[#This Row],[Ad_ID]],'[1]pre processed data'!A:K,11,0)</f>
        <v>5</v>
      </c>
      <c r="H434" s="2">
        <f>Googleadssales[[#This Row],[Conversions]]/Googleadssales[[#This Row],[Clicks]]</f>
        <v>4.2735042735042736E-2</v>
      </c>
      <c r="I434" t="str">
        <f>VLOOKUP(Googleadssales[[#This Row],[Ad_ID]],'[1]pre processed data'!A:O,15,0)</f>
        <v>$1888</v>
      </c>
      <c r="J434" s="3">
        <f>VLOOKUP(Googleadssales[[#This Row],[Ad_ID]],'[1]pre processed data'!A:Q,17,0)</f>
        <v>45599</v>
      </c>
      <c r="K434" t="str">
        <f>VLOOKUP(Googleadssales[[#This Row],[Ad_ID]],'[1]pre processed data'!A:R,18,0)</f>
        <v>Bangaluru</v>
      </c>
      <c r="L434" t="str">
        <f>VLOOKUP(Googleadssales[[#This Row],[Ad_ID]],'[1]pre processed data'!A:S,19,0)</f>
        <v>Mobile</v>
      </c>
      <c r="M434" t="str">
        <f>VLOOKUP(Googleadssales[[#This Row],[Ad_ID]],'[1]pre processed data'!A:T,20,0)</f>
        <v>data analytics course</v>
      </c>
    </row>
    <row r="435" spans="1:13" x14ac:dyDescent="0.3">
      <c r="A435" t="s">
        <v>448</v>
      </c>
      <c r="B435" t="s">
        <v>14</v>
      </c>
      <c r="C435" s="4">
        <f>VLOOKUP(Googleadssales[[#This Row],[Ad_ID]],'[1]pre processed data'!A:C,3,0)</f>
        <v>125</v>
      </c>
      <c r="D435" s="4">
        <f>VLOOKUP(Googleadssales[[#This Row],[Ad_ID]],'[1]pre processed data'!A:E,5,0)</f>
        <v>5435</v>
      </c>
      <c r="E435" s="5" t="str">
        <f>VLOOKUP(Googleadssales[[#This Row],[Ad_ID]],[1]!Table3[[Ad_ID]:[Cost-imputed]],7,0)</f>
        <v>$202.65</v>
      </c>
      <c r="F435" s="4">
        <f>VLOOKUP(Googleadssales[[#This Row],[Ad_ID]],'[1]pre processed data'!A:I,9,0)</f>
        <v>25</v>
      </c>
      <c r="G435" s="4">
        <f>VLOOKUP(Googleadssales[[#This Row],[Ad_ID]],'[1]pre processed data'!A:K,11,0)</f>
        <v>5</v>
      </c>
      <c r="H435" s="2">
        <f>Googleadssales[[#This Row],[Conversions]]/Googleadssales[[#This Row],[Clicks]]</f>
        <v>0.04</v>
      </c>
      <c r="I435" t="str">
        <f>VLOOKUP(Googleadssales[[#This Row],[Ad_ID]],'[1]pre processed data'!A:O,15,0)</f>
        <v>$1767</v>
      </c>
      <c r="J435" s="3">
        <f>VLOOKUP(Googleadssales[[#This Row],[Ad_ID]],'[1]pre processed data'!A:Q,17,0)</f>
        <v>45619</v>
      </c>
      <c r="K435" t="str">
        <f>VLOOKUP(Googleadssales[[#This Row],[Ad_ID]],'[1]pre processed data'!A:R,18,0)</f>
        <v>Bangaluru</v>
      </c>
      <c r="L435" t="str">
        <f>VLOOKUP(Googleadssales[[#This Row],[Ad_ID]],'[1]pre processed data'!A:S,19,0)</f>
        <v>Desktop</v>
      </c>
      <c r="M435" t="str">
        <f>VLOOKUP(Googleadssales[[#This Row],[Ad_ID]],'[1]pre processed data'!A:T,20,0)</f>
        <v>online data analytic</v>
      </c>
    </row>
    <row r="436" spans="1:13" x14ac:dyDescent="0.3">
      <c r="A436" t="s">
        <v>449</v>
      </c>
      <c r="B436" t="s">
        <v>14</v>
      </c>
      <c r="C436" s="4">
        <f>VLOOKUP(Googleadssales[[#This Row],[Ad_ID]],'[1]pre processed data'!A:C,3,0)</f>
        <v>92</v>
      </c>
      <c r="D436" s="4">
        <f>VLOOKUP(Googleadssales[[#This Row],[Ad_ID]],'[1]pre processed data'!A:E,5,0)</f>
        <v>4977</v>
      </c>
      <c r="E436" s="5" t="str">
        <f>VLOOKUP(Googleadssales[[#This Row],[Ad_ID]],[1]!Table3[[Ad_ID]:[Cost-imputed]],7,0)</f>
        <v>$209.78</v>
      </c>
      <c r="F436" s="4">
        <f>VLOOKUP(Googleadssales[[#This Row],[Ad_ID]],'[1]pre processed data'!A:I,9,0)</f>
        <v>26</v>
      </c>
      <c r="G436" s="4">
        <f>VLOOKUP(Googleadssales[[#This Row],[Ad_ID]],'[1]pre processed data'!A:K,11,0)</f>
        <v>3</v>
      </c>
      <c r="H436" s="2">
        <f>Googleadssales[[#This Row],[Conversions]]/Googleadssales[[#This Row],[Clicks]]</f>
        <v>3.2608695652173912E-2</v>
      </c>
      <c r="I436" t="str">
        <f>VLOOKUP(Googleadssales[[#This Row],[Ad_ID]],'[1]pre processed data'!A:O,15,0)</f>
        <v>$1834</v>
      </c>
      <c r="J436" s="3">
        <f>VLOOKUP(Googleadssales[[#This Row],[Ad_ID]],'[1]pre processed data'!A:Q,17,0)</f>
        <v>45608</v>
      </c>
      <c r="K436" t="str">
        <f>VLOOKUP(Googleadssales[[#This Row],[Ad_ID]],'[1]pre processed data'!A:R,18,0)</f>
        <v>Hyderabad</v>
      </c>
      <c r="L436" t="str">
        <f>VLOOKUP(Googleadssales[[#This Row],[Ad_ID]],'[1]pre processed data'!A:S,19,0)</f>
        <v>Tablet</v>
      </c>
      <c r="M436" t="str">
        <f>VLOOKUP(Googleadssales[[#This Row],[Ad_ID]],'[1]pre processed data'!A:T,20,0)</f>
        <v>learn data analytics</v>
      </c>
    </row>
    <row r="437" spans="1:13" x14ac:dyDescent="0.3">
      <c r="A437" t="s">
        <v>450</v>
      </c>
      <c r="B437" t="s">
        <v>14</v>
      </c>
      <c r="C437" s="4">
        <f>VLOOKUP(Googleadssales[[#This Row],[Ad_ID]],'[1]pre processed data'!A:C,3,0)</f>
        <v>112</v>
      </c>
      <c r="D437" s="4">
        <f>VLOOKUP(Googleadssales[[#This Row],[Ad_ID]],'[1]pre processed data'!A:E,5,0)</f>
        <v>3850</v>
      </c>
      <c r="E437" s="5" t="str">
        <f>VLOOKUP(Googleadssales[[#This Row],[Ad_ID]],[1]!Table3[[Ad_ID]:[Cost-imputed]],7,0)</f>
        <v>$233.52</v>
      </c>
      <c r="F437" s="4">
        <f>VLOOKUP(Googleadssales[[#This Row],[Ad_ID]],'[1]pre processed data'!A:I,9,0)</f>
        <v>14</v>
      </c>
      <c r="G437" s="4">
        <f>VLOOKUP(Googleadssales[[#This Row],[Ad_ID]],'[1]pre processed data'!A:K,11,0)</f>
        <v>8</v>
      </c>
      <c r="H437" s="2">
        <f>Googleadssales[[#This Row],[Conversions]]/Googleadssales[[#This Row],[Clicks]]</f>
        <v>7.1428571428571425E-2</v>
      </c>
      <c r="I437" t="str">
        <f>VLOOKUP(Googleadssales[[#This Row],[Ad_ID]],'[1]pre processed data'!A:O,15,0)</f>
        <v>$1760</v>
      </c>
      <c r="J437" s="3">
        <f>VLOOKUP(Googleadssales[[#This Row],[Ad_ID]],'[1]pre processed data'!A:Q,17,0)</f>
        <v>45618</v>
      </c>
      <c r="K437" t="str">
        <f>VLOOKUP(Googleadssales[[#This Row],[Ad_ID]],'[1]pre processed data'!A:R,18,0)</f>
        <v>Bangaluru</v>
      </c>
      <c r="L437" t="str">
        <f>VLOOKUP(Googleadssales[[#This Row],[Ad_ID]],'[1]pre processed data'!A:S,19,0)</f>
        <v>Desktop</v>
      </c>
      <c r="M437" t="str">
        <f>VLOOKUP(Googleadssales[[#This Row],[Ad_ID]],'[1]pre processed data'!A:T,20,0)</f>
        <v>data analytics course</v>
      </c>
    </row>
    <row r="438" spans="1:13" x14ac:dyDescent="0.3">
      <c r="A438" t="s">
        <v>451</v>
      </c>
      <c r="B438" t="s">
        <v>14</v>
      </c>
      <c r="C438" s="4">
        <f>VLOOKUP(Googleadssales[[#This Row],[Ad_ID]],'[1]pre processed data'!A:C,3,0)</f>
        <v>144</v>
      </c>
      <c r="D438" s="4">
        <f>VLOOKUP(Googleadssales[[#This Row],[Ad_ID]],'[1]pre processed data'!A:E,5,0)</f>
        <v>5976</v>
      </c>
      <c r="E438" s="5" t="str">
        <f>VLOOKUP(Googleadssales[[#This Row],[Ad_ID]],[1]!Table3[[Ad_ID]:[Cost-imputed]],7,0)</f>
        <v>$197.65</v>
      </c>
      <c r="F438" s="4">
        <f>VLOOKUP(Googleadssales[[#This Row],[Ad_ID]],'[1]pre processed data'!A:I,9,0)</f>
        <v>13</v>
      </c>
      <c r="G438" s="4">
        <f>VLOOKUP(Googleadssales[[#This Row],[Ad_ID]],'[1]pre processed data'!A:K,11,0)</f>
        <v>9</v>
      </c>
      <c r="H438" s="2">
        <f>Googleadssales[[#This Row],[Conversions]]/Googleadssales[[#This Row],[Clicks]]</f>
        <v>6.25E-2</v>
      </c>
      <c r="I438" t="str">
        <f>VLOOKUP(Googleadssales[[#This Row],[Ad_ID]],'[1]pre processed data'!A:O,15,0)</f>
        <v>$1743</v>
      </c>
      <c r="J438" s="3">
        <f>VLOOKUP(Googleadssales[[#This Row],[Ad_ID]],'[1]pre processed data'!A:Q,17,0)</f>
        <v>45618</v>
      </c>
      <c r="K438" t="str">
        <f>VLOOKUP(Googleadssales[[#This Row],[Ad_ID]],'[1]pre processed data'!A:R,18,0)</f>
        <v>Hyderabad</v>
      </c>
      <c r="L438" t="str">
        <f>VLOOKUP(Googleadssales[[#This Row],[Ad_ID]],'[1]pre processed data'!A:S,19,0)</f>
        <v>Mobile</v>
      </c>
      <c r="M438" t="str">
        <f>VLOOKUP(Googleadssales[[#This Row],[Ad_ID]],'[1]pre processed data'!A:T,20,0)</f>
        <v>data analytics course</v>
      </c>
    </row>
    <row r="439" spans="1:13" x14ac:dyDescent="0.3">
      <c r="A439" t="s">
        <v>452</v>
      </c>
      <c r="B439" t="s">
        <v>18</v>
      </c>
      <c r="C439" s="4">
        <f>VLOOKUP(Googleadssales[[#This Row],[Ad_ID]],'[1]pre processed data'!A:C,3,0)</f>
        <v>103</v>
      </c>
      <c r="D439" s="4">
        <f>VLOOKUP(Googleadssales[[#This Row],[Ad_ID]],'[1]pre processed data'!A:E,5,0)</f>
        <v>4693</v>
      </c>
      <c r="E439" s="5" t="str">
        <f>VLOOKUP(Googleadssales[[#This Row],[Ad_ID]],[1]!Table3[[Ad_ID]:[Cost-imputed]],7,0)</f>
        <v>$218.67</v>
      </c>
      <c r="F439" s="4">
        <f>VLOOKUP(Googleadssales[[#This Row],[Ad_ID]],'[1]pre processed data'!A:I,9,0)</f>
        <v>14</v>
      </c>
      <c r="G439" s="4">
        <f>VLOOKUP(Googleadssales[[#This Row],[Ad_ID]],'[1]pre processed data'!A:K,11,0)</f>
        <v>10</v>
      </c>
      <c r="H439" s="2">
        <f>Googleadssales[[#This Row],[Conversions]]/Googleadssales[[#This Row],[Clicks]]</f>
        <v>9.7087378640776698E-2</v>
      </c>
      <c r="I439" t="str">
        <f>VLOOKUP(Googleadssales[[#This Row],[Ad_ID]],'[1]pre processed data'!A:O,15,0)</f>
        <v>$1390</v>
      </c>
      <c r="J439" s="3">
        <f>VLOOKUP(Googleadssales[[#This Row],[Ad_ID]],'[1]pre processed data'!A:Q,17,0)</f>
        <v>45605</v>
      </c>
      <c r="K439" t="str">
        <f>VLOOKUP(Googleadssales[[#This Row],[Ad_ID]],'[1]pre processed data'!A:R,18,0)</f>
        <v>Bangaluru</v>
      </c>
      <c r="L439" t="str">
        <f>VLOOKUP(Googleadssales[[#This Row],[Ad_ID]],'[1]pre processed data'!A:S,19,0)</f>
        <v>Mobile</v>
      </c>
      <c r="M439" t="str">
        <f>VLOOKUP(Googleadssales[[#This Row],[Ad_ID]],'[1]pre processed data'!A:T,20,0)</f>
        <v>learn data analytics</v>
      </c>
    </row>
    <row r="440" spans="1:13" x14ac:dyDescent="0.3">
      <c r="A440" t="s">
        <v>453</v>
      </c>
      <c r="B440" t="s">
        <v>14</v>
      </c>
      <c r="C440" s="4">
        <f>VLOOKUP(Googleadssales[[#This Row],[Ad_ID]],'[1]pre processed data'!A:C,3,0)</f>
        <v>117</v>
      </c>
      <c r="D440" s="4">
        <f>VLOOKUP(Googleadssales[[#This Row],[Ad_ID]],'[1]pre processed data'!A:E,5,0)</f>
        <v>4367</v>
      </c>
      <c r="E440" s="5" t="str">
        <f>VLOOKUP(Googleadssales[[#This Row],[Ad_ID]],[1]!Table3[[Ad_ID]:[Cost-imputed]],7,0)</f>
        <v>$233.27</v>
      </c>
      <c r="F440" s="4">
        <f>VLOOKUP(Googleadssales[[#This Row],[Ad_ID]],'[1]pre processed data'!A:I,9,0)</f>
        <v>24</v>
      </c>
      <c r="G440" s="4">
        <f>VLOOKUP(Googleadssales[[#This Row],[Ad_ID]],'[1]pre processed data'!A:K,11,0)</f>
        <v>3</v>
      </c>
      <c r="H440" s="2">
        <f>Googleadssales[[#This Row],[Conversions]]/Googleadssales[[#This Row],[Clicks]]</f>
        <v>2.564102564102564E-2</v>
      </c>
      <c r="I440" t="str">
        <f>VLOOKUP(Googleadssales[[#This Row],[Ad_ID]],'[1]pre processed data'!A:O,15,0)</f>
        <v>$1238</v>
      </c>
      <c r="J440" s="3">
        <f>VLOOKUP(Googleadssales[[#This Row],[Ad_ID]],'[1]pre processed data'!A:Q,17,0)</f>
        <v>45620</v>
      </c>
      <c r="K440" t="str">
        <f>VLOOKUP(Googleadssales[[#This Row],[Ad_ID]],'[1]pre processed data'!A:R,18,0)</f>
        <v>Hyderabad</v>
      </c>
      <c r="L440" t="str">
        <f>VLOOKUP(Googleadssales[[#This Row],[Ad_ID]],'[1]pre processed data'!A:S,19,0)</f>
        <v>Tablet</v>
      </c>
      <c r="M440" t="str">
        <f>VLOOKUP(Googleadssales[[#This Row],[Ad_ID]],'[1]pre processed data'!A:T,20,0)</f>
        <v>learn data analytics</v>
      </c>
    </row>
    <row r="441" spans="1:13" x14ac:dyDescent="0.3">
      <c r="A441" t="s">
        <v>454</v>
      </c>
      <c r="B441" t="s">
        <v>14</v>
      </c>
      <c r="C441" s="4">
        <f>VLOOKUP(Googleadssales[[#This Row],[Ad_ID]],'[1]pre processed data'!A:C,3,0)</f>
        <v>100</v>
      </c>
      <c r="D441" s="4">
        <f>VLOOKUP(Googleadssales[[#This Row],[Ad_ID]],'[1]pre processed data'!A:E,5,0)</f>
        <v>5481</v>
      </c>
      <c r="E441" s="5" t="str">
        <f>VLOOKUP(Googleadssales[[#This Row],[Ad_ID]],[1]!Table3[[Ad_ID]:[Cost-imputed]],7,0)</f>
        <v>$180.72</v>
      </c>
      <c r="F441" s="4">
        <f>VLOOKUP(Googleadssales[[#This Row],[Ad_ID]],'[1]pre processed data'!A:I,9,0)</f>
        <v>14</v>
      </c>
      <c r="G441" s="4">
        <f>VLOOKUP(Googleadssales[[#This Row],[Ad_ID]],'[1]pre processed data'!A:K,11,0)</f>
        <v>7</v>
      </c>
      <c r="H441" s="2">
        <f>Googleadssales[[#This Row],[Conversions]]/Googleadssales[[#This Row],[Clicks]]</f>
        <v>7.0000000000000007E-2</v>
      </c>
      <c r="I441" t="str">
        <f>VLOOKUP(Googleadssales[[#This Row],[Ad_ID]],'[1]pre processed data'!A:O,15,0)</f>
        <v>$1185</v>
      </c>
      <c r="J441" s="3">
        <f>VLOOKUP(Googleadssales[[#This Row],[Ad_ID]],'[1]pre processed data'!A:Q,17,0)</f>
        <v>45598</v>
      </c>
      <c r="K441" t="str">
        <f>VLOOKUP(Googleadssales[[#This Row],[Ad_ID]],'[1]pre processed data'!A:R,18,0)</f>
        <v>Chennai</v>
      </c>
      <c r="L441" t="str">
        <f>VLOOKUP(Googleadssales[[#This Row],[Ad_ID]],'[1]pre processed data'!A:S,19,0)</f>
        <v>Desktop</v>
      </c>
      <c r="M441" t="str">
        <f>VLOOKUP(Googleadssales[[#This Row],[Ad_ID]],'[1]pre processed data'!A:T,20,0)</f>
        <v>analytics for data</v>
      </c>
    </row>
    <row r="442" spans="1:13" x14ac:dyDescent="0.3">
      <c r="A442" t="s">
        <v>455</v>
      </c>
      <c r="B442" t="s">
        <v>14</v>
      </c>
      <c r="C442" s="4">
        <f>VLOOKUP(Googleadssales[[#This Row],[Ad_ID]],'[1]pre processed data'!A:C,3,0)</f>
        <v>179</v>
      </c>
      <c r="D442" s="4">
        <f>VLOOKUP(Googleadssales[[#This Row],[Ad_ID]],'[1]pre processed data'!A:E,5,0)</f>
        <v>4109</v>
      </c>
      <c r="E442" s="5" t="str">
        <f>VLOOKUP(Googleadssales[[#This Row],[Ad_ID]],[1]!Table3[[Ad_ID]:[Cost-imputed]],7,0)</f>
        <v>$191.84</v>
      </c>
      <c r="F442" s="4">
        <f>VLOOKUP(Googleadssales[[#This Row],[Ad_ID]],'[1]pre processed data'!A:I,9,0)</f>
        <v>19</v>
      </c>
      <c r="G442" s="4">
        <f>VLOOKUP(Googleadssales[[#This Row],[Ad_ID]],'[1]pre processed data'!A:K,11,0)</f>
        <v>4</v>
      </c>
      <c r="H442" s="2">
        <f>Googleadssales[[#This Row],[Conversions]]/Googleadssales[[#This Row],[Clicks]]</f>
        <v>2.23463687150838E-2</v>
      </c>
      <c r="I442" t="str">
        <f>VLOOKUP(Googleadssales[[#This Row],[Ad_ID]],'[1]pre processed data'!A:O,15,0)</f>
        <v>$1961</v>
      </c>
      <c r="J442" s="3">
        <f>VLOOKUP(Googleadssales[[#This Row],[Ad_ID]],'[1]pre processed data'!A:Q,17,0)</f>
        <v>45598</v>
      </c>
      <c r="K442" t="str">
        <f>VLOOKUP(Googleadssales[[#This Row],[Ad_ID]],'[1]pre processed data'!A:R,18,0)</f>
        <v>Hyderabad</v>
      </c>
      <c r="L442" t="str">
        <f>VLOOKUP(Googleadssales[[#This Row],[Ad_ID]],'[1]pre processed data'!A:S,19,0)</f>
        <v>Tablet</v>
      </c>
      <c r="M442" t="str">
        <f>VLOOKUP(Googleadssales[[#This Row],[Ad_ID]],'[1]pre processed data'!A:T,20,0)</f>
        <v>online data analytic</v>
      </c>
    </row>
    <row r="443" spans="1:13" x14ac:dyDescent="0.3">
      <c r="A443" t="s">
        <v>456</v>
      </c>
      <c r="B443" t="s">
        <v>14</v>
      </c>
      <c r="C443" s="4">
        <f>VLOOKUP(Googleadssales[[#This Row],[Ad_ID]],'[1]pre processed data'!A:C,3,0)</f>
        <v>180</v>
      </c>
      <c r="D443" s="4">
        <f>VLOOKUP(Googleadssales[[#This Row],[Ad_ID]],'[1]pre processed data'!A:E,5,0)</f>
        <v>3887</v>
      </c>
      <c r="E443" s="5" t="str">
        <f>VLOOKUP(Googleadssales[[#This Row],[Ad_ID]],[1]!Table3[[Ad_ID]:[Cost-imputed]],7,0)</f>
        <v>$186.26</v>
      </c>
      <c r="F443" s="4">
        <f>VLOOKUP(Googleadssales[[#This Row],[Ad_ID]],'[1]pre processed data'!A:I,9,0)</f>
        <v>18</v>
      </c>
      <c r="G443" s="4">
        <f>VLOOKUP(Googleadssales[[#This Row],[Ad_ID]],'[1]pre processed data'!A:K,11,0)</f>
        <v>6</v>
      </c>
      <c r="H443" s="2">
        <f>Googleadssales[[#This Row],[Conversions]]/Googleadssales[[#This Row],[Clicks]]</f>
        <v>3.3333333333333333E-2</v>
      </c>
      <c r="I443" t="str">
        <f>VLOOKUP(Googleadssales[[#This Row],[Ad_ID]],'[1]pre processed data'!A:O,15,0)</f>
        <v>$1048</v>
      </c>
      <c r="J443" s="3">
        <f>VLOOKUP(Googleadssales[[#This Row],[Ad_ID]],'[1]pre processed data'!A:Q,17,0)</f>
        <v>45601</v>
      </c>
      <c r="K443" t="str">
        <f>VLOOKUP(Googleadssales[[#This Row],[Ad_ID]],'[1]pre processed data'!A:R,18,0)</f>
        <v>Hyderabad</v>
      </c>
      <c r="L443" t="str">
        <f>VLOOKUP(Googleadssales[[#This Row],[Ad_ID]],'[1]pre processed data'!A:S,19,0)</f>
        <v>Desktop</v>
      </c>
      <c r="M443" t="str">
        <f>VLOOKUP(Googleadssales[[#This Row],[Ad_ID]],'[1]pre processed data'!A:T,20,0)</f>
        <v>data analytics course</v>
      </c>
    </row>
    <row r="444" spans="1:13" x14ac:dyDescent="0.3">
      <c r="A444" t="s">
        <v>457</v>
      </c>
      <c r="B444" t="s">
        <v>18</v>
      </c>
      <c r="C444" s="4">
        <f>VLOOKUP(Googleadssales[[#This Row],[Ad_ID]],'[1]pre processed data'!A:C,3,0)</f>
        <v>146</v>
      </c>
      <c r="D444" s="4">
        <f>VLOOKUP(Googleadssales[[#This Row],[Ad_ID]],'[1]pre processed data'!A:E,5,0)</f>
        <v>4633</v>
      </c>
      <c r="E444" s="5" t="str">
        <f>VLOOKUP(Googleadssales[[#This Row],[Ad_ID]],[1]!Table3[[Ad_ID]:[Cost-imputed]],7,0)</f>
        <v>$186.07</v>
      </c>
      <c r="F444" s="4">
        <f>VLOOKUP(Googleadssales[[#This Row],[Ad_ID]],'[1]pre processed data'!A:I,9,0)</f>
        <v>26</v>
      </c>
      <c r="G444" s="4">
        <f>VLOOKUP(Googleadssales[[#This Row],[Ad_ID]],'[1]pre processed data'!A:K,11,0)</f>
        <v>3</v>
      </c>
      <c r="H444" s="2">
        <f>Googleadssales[[#This Row],[Conversions]]/Googleadssales[[#This Row],[Clicks]]</f>
        <v>2.0547945205479451E-2</v>
      </c>
      <c r="I444" t="str">
        <f>VLOOKUP(Googleadssales[[#This Row],[Ad_ID]],'[1]pre processed data'!A:O,15,0)</f>
        <v>$1053</v>
      </c>
      <c r="J444" s="3">
        <f>VLOOKUP(Googleadssales[[#This Row],[Ad_ID]],'[1]pre processed data'!A:Q,17,0)</f>
        <v>45621</v>
      </c>
      <c r="K444" t="str">
        <f>VLOOKUP(Googleadssales[[#This Row],[Ad_ID]],'[1]pre processed data'!A:R,18,0)</f>
        <v>Hyderabad</v>
      </c>
      <c r="L444" t="str">
        <f>VLOOKUP(Googleadssales[[#This Row],[Ad_ID]],'[1]pre processed data'!A:S,19,0)</f>
        <v>Desktop</v>
      </c>
      <c r="M444" t="str">
        <f>VLOOKUP(Googleadssales[[#This Row],[Ad_ID]],'[1]pre processed data'!A:T,20,0)</f>
        <v>data analytics training</v>
      </c>
    </row>
    <row r="445" spans="1:13" x14ac:dyDescent="0.3">
      <c r="A445" t="s">
        <v>458</v>
      </c>
      <c r="B445" t="s">
        <v>14</v>
      </c>
      <c r="C445" s="4">
        <f>VLOOKUP(Googleadssales[[#This Row],[Ad_ID]],'[1]pre processed data'!A:C,3,0)</f>
        <v>124</v>
      </c>
      <c r="D445" s="4">
        <f>VLOOKUP(Googleadssales[[#This Row],[Ad_ID]],'[1]pre processed data'!A:E,5,0)</f>
        <v>5353</v>
      </c>
      <c r="E445" s="5" t="str">
        <f>VLOOKUP(Googleadssales[[#This Row],[Ad_ID]],[1]!Table3[[Ad_ID]:[Cost-imputed]],7,0)</f>
        <v>$239.69</v>
      </c>
      <c r="F445" s="4">
        <f>VLOOKUP(Googleadssales[[#This Row],[Ad_ID]],'[1]pre processed data'!A:I,9,0)</f>
        <v>13</v>
      </c>
      <c r="G445" s="4">
        <f>VLOOKUP(Googleadssales[[#This Row],[Ad_ID]],'[1]pre processed data'!A:K,11,0)</f>
        <v>4</v>
      </c>
      <c r="H445" s="2">
        <f>Googleadssales[[#This Row],[Conversions]]/Googleadssales[[#This Row],[Clicks]]</f>
        <v>3.2258064516129031E-2</v>
      </c>
      <c r="I445" t="str">
        <f>VLOOKUP(Googleadssales[[#This Row],[Ad_ID]],'[1]pre processed data'!A:O,15,0)</f>
        <v>$1493</v>
      </c>
      <c r="J445" s="3">
        <f>VLOOKUP(Googleadssales[[#This Row],[Ad_ID]],'[1]pre processed data'!A:Q,17,0)</f>
        <v>45615</v>
      </c>
      <c r="K445" t="str">
        <f>VLOOKUP(Googleadssales[[#This Row],[Ad_ID]],'[1]pre processed data'!A:R,18,0)</f>
        <v>Chennai</v>
      </c>
      <c r="L445" t="str">
        <f>VLOOKUP(Googleadssales[[#This Row],[Ad_ID]],'[1]pre processed data'!A:S,19,0)</f>
        <v>Desktop</v>
      </c>
      <c r="M445" t="str">
        <f>VLOOKUP(Googleadssales[[#This Row],[Ad_ID]],'[1]pre processed data'!A:T,20,0)</f>
        <v>learn data analytics</v>
      </c>
    </row>
    <row r="446" spans="1:13" x14ac:dyDescent="0.3">
      <c r="A446" t="s">
        <v>459</v>
      </c>
      <c r="B446" t="s">
        <v>14</v>
      </c>
      <c r="C446" s="4">
        <f>VLOOKUP(Googleadssales[[#This Row],[Ad_ID]],'[1]pre processed data'!A:C,3,0)</f>
        <v>169</v>
      </c>
      <c r="D446" s="4">
        <f>VLOOKUP(Googleadssales[[#This Row],[Ad_ID]],'[1]pre processed data'!A:E,5,0)</f>
        <v>5380</v>
      </c>
      <c r="E446" s="5" t="str">
        <f>VLOOKUP(Googleadssales[[#This Row],[Ad_ID]],[1]!Table3[[Ad_ID]:[Cost-imputed]],7,0)</f>
        <v>$199.66</v>
      </c>
      <c r="F446" s="4">
        <f>VLOOKUP(Googleadssales[[#This Row],[Ad_ID]],'[1]pre processed data'!A:I,9,0)</f>
        <v>27</v>
      </c>
      <c r="G446" s="4">
        <f>VLOOKUP(Googleadssales[[#This Row],[Ad_ID]],'[1]pre processed data'!A:K,11,0)</f>
        <v>6</v>
      </c>
      <c r="H446" s="2">
        <f>Googleadssales[[#This Row],[Conversions]]/Googleadssales[[#This Row],[Clicks]]</f>
        <v>3.5502958579881658E-2</v>
      </c>
      <c r="I446" t="str">
        <f>VLOOKUP(Googleadssales[[#This Row],[Ad_ID]],'[1]pre processed data'!A:O,15,0)</f>
        <v>$1059</v>
      </c>
      <c r="J446" s="3">
        <f>VLOOKUP(Googleadssales[[#This Row],[Ad_ID]],'[1]pre processed data'!A:Q,17,0)</f>
        <v>45599</v>
      </c>
      <c r="K446" t="str">
        <f>VLOOKUP(Googleadssales[[#This Row],[Ad_ID]],'[1]pre processed data'!A:R,18,0)</f>
        <v>Bangaluru</v>
      </c>
      <c r="L446" t="str">
        <f>VLOOKUP(Googleadssales[[#This Row],[Ad_ID]],'[1]pre processed data'!A:S,19,0)</f>
        <v>Desktop</v>
      </c>
      <c r="M446" t="str">
        <f>VLOOKUP(Googleadssales[[#This Row],[Ad_ID]],'[1]pre processed data'!A:T,20,0)</f>
        <v>data analytics training</v>
      </c>
    </row>
    <row r="447" spans="1:13" x14ac:dyDescent="0.3">
      <c r="A447" t="s">
        <v>460</v>
      </c>
      <c r="B447" t="s">
        <v>14</v>
      </c>
      <c r="C447" s="4">
        <f>VLOOKUP(Googleadssales[[#This Row],[Ad_ID]],'[1]pre processed data'!A:C,3,0)</f>
        <v>91</v>
      </c>
      <c r="D447" s="4">
        <f>VLOOKUP(Googleadssales[[#This Row],[Ad_ID]],'[1]pre processed data'!A:E,5,0)</f>
        <v>5104</v>
      </c>
      <c r="E447" s="5" t="str">
        <f>VLOOKUP(Googleadssales[[#This Row],[Ad_ID]],[1]!Table3[[Ad_ID]:[Cost-imputed]],7,0)</f>
        <v>$211.85</v>
      </c>
      <c r="F447" s="4">
        <f>VLOOKUP(Googleadssales[[#This Row],[Ad_ID]],'[1]pre processed data'!A:I,9,0)</f>
        <v>29</v>
      </c>
      <c r="G447" s="4">
        <f>VLOOKUP(Googleadssales[[#This Row],[Ad_ID]],'[1]pre processed data'!A:K,11,0)</f>
        <v>9</v>
      </c>
      <c r="H447" s="2">
        <f>Googleadssales[[#This Row],[Conversions]]/Googleadssales[[#This Row],[Clicks]]</f>
        <v>9.8901098901098897E-2</v>
      </c>
      <c r="I447" t="str">
        <f>VLOOKUP(Googleadssales[[#This Row],[Ad_ID]],'[1]pre processed data'!A:O,15,0)</f>
        <v>$1309</v>
      </c>
      <c r="J447" s="3">
        <f>VLOOKUP(Googleadssales[[#This Row],[Ad_ID]],'[1]pre processed data'!A:Q,17,0)</f>
        <v>45612</v>
      </c>
      <c r="K447" t="str">
        <f>VLOOKUP(Googleadssales[[#This Row],[Ad_ID]],'[1]pre processed data'!A:R,18,0)</f>
        <v>Hyderabad</v>
      </c>
      <c r="L447" t="str">
        <f>VLOOKUP(Googleadssales[[#This Row],[Ad_ID]],'[1]pre processed data'!A:S,19,0)</f>
        <v>Tablet</v>
      </c>
      <c r="M447" t="str">
        <f>VLOOKUP(Googleadssales[[#This Row],[Ad_ID]],'[1]pre processed data'!A:T,20,0)</f>
        <v>data analytics course</v>
      </c>
    </row>
    <row r="448" spans="1:13" x14ac:dyDescent="0.3">
      <c r="A448" t="s">
        <v>461</v>
      </c>
      <c r="B448" t="s">
        <v>18</v>
      </c>
      <c r="C448" s="4">
        <f>VLOOKUP(Googleadssales[[#This Row],[Ad_ID]],'[1]pre processed data'!A:C,3,0)</f>
        <v>145</v>
      </c>
      <c r="D448" s="4">
        <f>VLOOKUP(Googleadssales[[#This Row],[Ad_ID]],'[1]pre processed data'!A:E,5,0)</f>
        <v>4523.2808326787117</v>
      </c>
      <c r="E448" s="5" t="str">
        <f>VLOOKUP(Googleadssales[[#This Row],[Ad_ID]],[1]!Table3[[Ad_ID]:[Cost-imputed]],7,0)</f>
        <v>$236.03</v>
      </c>
      <c r="F448" s="4">
        <f>VLOOKUP(Googleadssales[[#This Row],[Ad_ID]],'[1]pre processed data'!A:I,9,0)</f>
        <v>24</v>
      </c>
      <c r="G448" s="4">
        <f>VLOOKUP(Googleadssales[[#This Row],[Ad_ID]],'[1]pre processed data'!A:K,11,0)</f>
        <v>8</v>
      </c>
      <c r="H448" s="2">
        <f>Googleadssales[[#This Row],[Conversions]]/Googleadssales[[#This Row],[Clicks]]</f>
        <v>5.5172413793103448E-2</v>
      </c>
      <c r="I448" t="str">
        <f>VLOOKUP(Googleadssales[[#This Row],[Ad_ID]],'[1]pre processed data'!A:O,15,0)</f>
        <v>$1220</v>
      </c>
      <c r="J448" s="3">
        <f>VLOOKUP(Googleadssales[[#This Row],[Ad_ID]],'[1]pre processed data'!A:Q,17,0)</f>
        <v>45613</v>
      </c>
      <c r="K448" t="str">
        <f>VLOOKUP(Googleadssales[[#This Row],[Ad_ID]],'[1]pre processed data'!A:R,18,0)</f>
        <v>Bangaluru</v>
      </c>
      <c r="L448" t="str">
        <f>VLOOKUP(Googleadssales[[#This Row],[Ad_ID]],'[1]pre processed data'!A:S,19,0)</f>
        <v>Desktop</v>
      </c>
      <c r="M448" t="str">
        <f>VLOOKUP(Googleadssales[[#This Row],[Ad_ID]],'[1]pre processed data'!A:T,20,0)</f>
        <v>online data analytic</v>
      </c>
    </row>
    <row r="449" spans="1:13" x14ac:dyDescent="0.3">
      <c r="A449" t="s">
        <v>462</v>
      </c>
      <c r="B449" t="s">
        <v>18</v>
      </c>
      <c r="C449" s="4">
        <f>VLOOKUP(Googleadssales[[#This Row],[Ad_ID]],'[1]pre processed data'!A:C,3,0)</f>
        <v>115</v>
      </c>
      <c r="D449" s="4">
        <f>VLOOKUP(Googleadssales[[#This Row],[Ad_ID]],'[1]pre processed data'!A:E,5,0)</f>
        <v>4345</v>
      </c>
      <c r="E449" s="5" t="str">
        <f>VLOOKUP(Googleadssales[[#This Row],[Ad_ID]],[1]!Table3[[Ad_ID]:[Cost-imputed]],7,0)</f>
        <v>$229.71</v>
      </c>
      <c r="F449" s="4">
        <f>VLOOKUP(Googleadssales[[#This Row],[Ad_ID]],'[1]pre processed data'!A:I,9,0)</f>
        <v>15</v>
      </c>
      <c r="G449" s="4">
        <f>VLOOKUP(Googleadssales[[#This Row],[Ad_ID]],'[1]pre processed data'!A:K,11,0)</f>
        <v>4</v>
      </c>
      <c r="H449" s="2">
        <f>Googleadssales[[#This Row],[Conversions]]/Googleadssales[[#This Row],[Clicks]]</f>
        <v>3.4782608695652174E-2</v>
      </c>
      <c r="I449" t="str">
        <f>VLOOKUP(Googleadssales[[#This Row],[Ad_ID]],'[1]pre processed data'!A:O,15,0)</f>
        <v>$1467</v>
      </c>
      <c r="J449" s="3">
        <f>VLOOKUP(Googleadssales[[#This Row],[Ad_ID]],'[1]pre processed data'!A:Q,17,0)</f>
        <v>45622</v>
      </c>
      <c r="K449" t="str">
        <f>VLOOKUP(Googleadssales[[#This Row],[Ad_ID]],'[1]pre processed data'!A:R,18,0)</f>
        <v>Hyderabad</v>
      </c>
      <c r="L449" t="str">
        <f>VLOOKUP(Googleadssales[[#This Row],[Ad_ID]],'[1]pre processed data'!A:S,19,0)</f>
        <v>Mobile</v>
      </c>
      <c r="M449" t="str">
        <f>VLOOKUP(Googleadssales[[#This Row],[Ad_ID]],'[1]pre processed data'!A:T,20,0)</f>
        <v>data analytics course</v>
      </c>
    </row>
    <row r="450" spans="1:13" x14ac:dyDescent="0.3">
      <c r="A450" t="s">
        <v>463</v>
      </c>
      <c r="B450" t="s">
        <v>14</v>
      </c>
      <c r="C450" s="4">
        <f>VLOOKUP(Googleadssales[[#This Row],[Ad_ID]],'[1]pre processed data'!A:C,3,0)</f>
        <v>123</v>
      </c>
      <c r="D450" s="4">
        <f>VLOOKUP(Googleadssales[[#This Row],[Ad_ID]],'[1]pre processed data'!A:E,5,0)</f>
        <v>3527</v>
      </c>
      <c r="E450" s="5" t="str">
        <f>VLOOKUP(Googleadssales[[#This Row],[Ad_ID]],[1]!Table3[[Ad_ID]:[Cost-imputed]],7,0)</f>
        <v>$239.31</v>
      </c>
      <c r="F450" s="4">
        <f>VLOOKUP(Googleadssales[[#This Row],[Ad_ID]],'[1]pre processed data'!A:I,9,0)</f>
        <v>21</v>
      </c>
      <c r="G450" s="4">
        <f>VLOOKUP(Googleadssales[[#This Row],[Ad_ID]],'[1]pre processed data'!A:K,11,0)</f>
        <v>3</v>
      </c>
      <c r="H450" s="2">
        <f>Googleadssales[[#This Row],[Conversions]]/Googleadssales[[#This Row],[Clicks]]</f>
        <v>2.4390243902439025E-2</v>
      </c>
      <c r="I450" t="str">
        <f>VLOOKUP(Googleadssales[[#This Row],[Ad_ID]],'[1]pre processed data'!A:O,15,0)</f>
        <v>$1536</v>
      </c>
      <c r="J450" s="3">
        <f>VLOOKUP(Googleadssales[[#This Row],[Ad_ID]],'[1]pre processed data'!A:Q,17,0)</f>
        <v>45600</v>
      </c>
      <c r="K450" t="str">
        <f>VLOOKUP(Googleadssales[[#This Row],[Ad_ID]],'[1]pre processed data'!A:R,18,0)</f>
        <v>Hyderabad</v>
      </c>
      <c r="L450" t="str">
        <f>VLOOKUP(Googleadssales[[#This Row],[Ad_ID]],'[1]pre processed data'!A:S,19,0)</f>
        <v>Tablet</v>
      </c>
      <c r="M450" t="str">
        <f>VLOOKUP(Googleadssales[[#This Row],[Ad_ID]],'[1]pre processed data'!A:T,20,0)</f>
        <v>analytics for data</v>
      </c>
    </row>
    <row r="451" spans="1:13" x14ac:dyDescent="0.3">
      <c r="A451" t="s">
        <v>464</v>
      </c>
      <c r="B451" t="s">
        <v>14</v>
      </c>
      <c r="C451" s="4">
        <f>VLOOKUP(Googleadssales[[#This Row],[Ad_ID]],'[1]pre processed data'!A:C,3,0)</f>
        <v>101</v>
      </c>
      <c r="D451" s="4">
        <f>VLOOKUP(Googleadssales[[#This Row],[Ad_ID]],'[1]pre processed data'!A:E,5,0)</f>
        <v>3330</v>
      </c>
      <c r="E451" s="5" t="str">
        <f>VLOOKUP(Googleadssales[[#This Row],[Ad_ID]],[1]!Table3[[Ad_ID]:[Cost-imputed]],7,0)</f>
        <v>$209.8</v>
      </c>
      <c r="F451" s="4">
        <f>VLOOKUP(Googleadssales[[#This Row],[Ad_ID]],'[1]pre processed data'!A:I,9,0)</f>
        <v>19</v>
      </c>
      <c r="G451" s="4">
        <f>VLOOKUP(Googleadssales[[#This Row],[Ad_ID]],'[1]pre processed data'!A:K,11,0)</f>
        <v>10</v>
      </c>
      <c r="H451" s="2">
        <f>Googleadssales[[#This Row],[Conversions]]/Googleadssales[[#This Row],[Clicks]]</f>
        <v>9.9009900990099015E-2</v>
      </c>
      <c r="I451" t="str">
        <f>VLOOKUP(Googleadssales[[#This Row],[Ad_ID]],'[1]pre processed data'!A:O,15,0)</f>
        <v>$1296</v>
      </c>
      <c r="J451" s="3">
        <f>VLOOKUP(Googleadssales[[#This Row],[Ad_ID]],'[1]pre processed data'!A:Q,17,0)</f>
        <v>45610</v>
      </c>
      <c r="K451" t="str">
        <f>VLOOKUP(Googleadssales[[#This Row],[Ad_ID]],'[1]pre processed data'!A:R,18,0)</f>
        <v>Bangaluru</v>
      </c>
      <c r="L451" t="str">
        <f>VLOOKUP(Googleadssales[[#This Row],[Ad_ID]],'[1]pre processed data'!A:S,19,0)</f>
        <v>Mobile</v>
      </c>
      <c r="M451" t="str">
        <f>VLOOKUP(Googleadssales[[#This Row],[Ad_ID]],'[1]pre processed data'!A:T,20,0)</f>
        <v>data analytics training</v>
      </c>
    </row>
    <row r="452" spans="1:13" x14ac:dyDescent="0.3">
      <c r="A452" t="s">
        <v>465</v>
      </c>
      <c r="B452" t="s">
        <v>14</v>
      </c>
      <c r="C452" s="4">
        <f>VLOOKUP(Googleadssales[[#This Row],[Ad_ID]],'[1]pre processed data'!A:C,3,0)</f>
        <v>141</v>
      </c>
      <c r="D452" s="4">
        <f>VLOOKUP(Googleadssales[[#This Row],[Ad_ID]],'[1]pre processed data'!A:E,5,0)</f>
        <v>3913</v>
      </c>
      <c r="E452" s="5" t="str">
        <f>VLOOKUP(Googleadssales[[#This Row],[Ad_ID]],[1]!Table3[[Ad_ID]:[Cost-imputed]],7,0)</f>
        <v>$245.32</v>
      </c>
      <c r="F452" s="4">
        <f>VLOOKUP(Googleadssales[[#This Row],[Ad_ID]],'[1]pre processed data'!A:I,9,0)</f>
        <v>21</v>
      </c>
      <c r="G452" s="4">
        <f>VLOOKUP(Googleadssales[[#This Row],[Ad_ID]],'[1]pre processed data'!A:K,11,0)</f>
        <v>3</v>
      </c>
      <c r="H452" s="2">
        <f>Googleadssales[[#This Row],[Conversions]]/Googleadssales[[#This Row],[Clicks]]</f>
        <v>2.1276595744680851E-2</v>
      </c>
      <c r="I452" t="str">
        <f>VLOOKUP(Googleadssales[[#This Row],[Ad_ID]],'[1]pre processed data'!A:O,15,0)</f>
        <v>$1904</v>
      </c>
      <c r="J452" s="3">
        <f>VLOOKUP(Googleadssales[[#This Row],[Ad_ID]],'[1]pre processed data'!A:Q,17,0)</f>
        <v>45611</v>
      </c>
      <c r="K452" t="str">
        <f>VLOOKUP(Googleadssales[[#This Row],[Ad_ID]],'[1]pre processed data'!A:R,18,0)</f>
        <v>Hyderabad</v>
      </c>
      <c r="L452" t="str">
        <f>VLOOKUP(Googleadssales[[#This Row],[Ad_ID]],'[1]pre processed data'!A:S,19,0)</f>
        <v>Desktop</v>
      </c>
      <c r="M452" t="str">
        <f>VLOOKUP(Googleadssales[[#This Row],[Ad_ID]],'[1]pre processed data'!A:T,20,0)</f>
        <v>analytics for data</v>
      </c>
    </row>
    <row r="453" spans="1:13" x14ac:dyDescent="0.3">
      <c r="A453" t="s">
        <v>466</v>
      </c>
      <c r="B453" t="s">
        <v>14</v>
      </c>
      <c r="C453" s="4">
        <f>VLOOKUP(Googleadssales[[#This Row],[Ad_ID]],'[1]pre processed data'!A:C,3,0)</f>
        <v>160</v>
      </c>
      <c r="D453" s="4">
        <f>VLOOKUP(Googleadssales[[#This Row],[Ad_ID]],'[1]pre processed data'!A:E,5,0)</f>
        <v>4597</v>
      </c>
      <c r="E453" s="5" t="str">
        <f>VLOOKUP(Googleadssales[[#This Row],[Ad_ID]],[1]!Table3[[Ad_ID]:[Cost-imputed]],7,0)</f>
        <v>$211.88</v>
      </c>
      <c r="F453" s="4">
        <f>VLOOKUP(Googleadssales[[#This Row],[Ad_ID]],'[1]pre processed data'!A:I,9,0)</f>
        <v>21</v>
      </c>
      <c r="G453" s="4">
        <f>VLOOKUP(Googleadssales[[#This Row],[Ad_ID]],'[1]pre processed data'!A:K,11,0)</f>
        <v>4</v>
      </c>
      <c r="H453" s="2">
        <f>Googleadssales[[#This Row],[Conversions]]/Googleadssales[[#This Row],[Clicks]]</f>
        <v>2.5000000000000001E-2</v>
      </c>
      <c r="I453" t="str">
        <f>VLOOKUP(Googleadssales[[#This Row],[Ad_ID]],'[1]pre processed data'!A:O,15,0)</f>
        <v>$1500</v>
      </c>
      <c r="J453" s="3">
        <f>VLOOKUP(Googleadssales[[#This Row],[Ad_ID]],'[1]pre processed data'!A:Q,17,0)</f>
        <v>45617</v>
      </c>
      <c r="K453" t="str">
        <f>VLOOKUP(Googleadssales[[#This Row],[Ad_ID]],'[1]pre processed data'!A:R,18,0)</f>
        <v>Hyderabad</v>
      </c>
      <c r="L453" t="str">
        <f>VLOOKUP(Googleadssales[[#This Row],[Ad_ID]],'[1]pre processed data'!A:S,19,0)</f>
        <v>Desktop</v>
      </c>
      <c r="M453" t="str">
        <f>VLOOKUP(Googleadssales[[#This Row],[Ad_ID]],'[1]pre processed data'!A:T,20,0)</f>
        <v>data analytics training</v>
      </c>
    </row>
    <row r="454" spans="1:13" x14ac:dyDescent="0.3">
      <c r="A454" t="s">
        <v>467</v>
      </c>
      <c r="B454" t="s">
        <v>14</v>
      </c>
      <c r="C454" s="4">
        <f>VLOOKUP(Googleadssales[[#This Row],[Ad_ID]],'[1]pre processed data'!A:C,3,0)</f>
        <v>105</v>
      </c>
      <c r="D454" s="4">
        <f>VLOOKUP(Googleadssales[[#This Row],[Ad_ID]],'[1]pre processed data'!A:E,5,0)</f>
        <v>3008</v>
      </c>
      <c r="E454" s="5" t="str">
        <f>VLOOKUP(Googleadssales[[#This Row],[Ad_ID]],[1]!Table3[[Ad_ID]:[Cost-imputed]],7,0)</f>
        <v>$206.91</v>
      </c>
      <c r="F454" s="4">
        <f>VLOOKUP(Googleadssales[[#This Row],[Ad_ID]],'[1]pre processed data'!A:I,9,0)</f>
        <v>21</v>
      </c>
      <c r="G454" s="4">
        <f>VLOOKUP(Googleadssales[[#This Row],[Ad_ID]],'[1]pre processed data'!A:K,11,0)</f>
        <v>4</v>
      </c>
      <c r="H454" s="2">
        <f>Googleadssales[[#This Row],[Conversions]]/Googleadssales[[#This Row],[Clicks]]</f>
        <v>3.8095238095238099E-2</v>
      </c>
      <c r="I454" t="str">
        <f>VLOOKUP(Googleadssales[[#This Row],[Ad_ID]],'[1]pre processed data'!A:O,15,0)</f>
        <v>$1009</v>
      </c>
      <c r="J454" s="3">
        <f>VLOOKUP(Googleadssales[[#This Row],[Ad_ID]],'[1]pre processed data'!A:Q,17,0)</f>
        <v>45606</v>
      </c>
      <c r="K454" t="str">
        <f>VLOOKUP(Googleadssales[[#This Row],[Ad_ID]],'[1]pre processed data'!A:R,18,0)</f>
        <v>Chennai</v>
      </c>
      <c r="L454" t="str">
        <f>VLOOKUP(Googleadssales[[#This Row],[Ad_ID]],'[1]pre processed data'!A:S,19,0)</f>
        <v>Desktop</v>
      </c>
      <c r="M454" t="str">
        <f>VLOOKUP(Googleadssales[[#This Row],[Ad_ID]],'[1]pre processed data'!A:T,20,0)</f>
        <v>online data analytic</v>
      </c>
    </row>
    <row r="455" spans="1:13" x14ac:dyDescent="0.3">
      <c r="A455" t="s">
        <v>468</v>
      </c>
      <c r="B455" t="s">
        <v>18</v>
      </c>
      <c r="C455" s="4">
        <f>VLOOKUP(Googleadssales[[#This Row],[Ad_ID]],'[1]pre processed data'!A:C,3,0)</f>
        <v>178</v>
      </c>
      <c r="D455" s="4">
        <f>VLOOKUP(Googleadssales[[#This Row],[Ad_ID]],'[1]pre processed data'!A:E,5,0)</f>
        <v>5318</v>
      </c>
      <c r="E455" s="5" t="str">
        <f>VLOOKUP(Googleadssales[[#This Row],[Ad_ID]],[1]!Table3[[Ad_ID]:[Cost-imputed]],7,0)</f>
        <v>$207.05</v>
      </c>
      <c r="F455" s="4">
        <f>VLOOKUP(Googleadssales[[#This Row],[Ad_ID]],'[1]pre processed data'!A:I,9,0)</f>
        <v>18</v>
      </c>
      <c r="G455" s="4">
        <f>VLOOKUP(Googleadssales[[#This Row],[Ad_ID]],'[1]pre processed data'!A:K,11,0)</f>
        <v>4</v>
      </c>
      <c r="H455" s="2">
        <f>Googleadssales[[#This Row],[Conversions]]/Googleadssales[[#This Row],[Clicks]]</f>
        <v>2.247191011235955E-2</v>
      </c>
      <c r="I455" t="str">
        <f>VLOOKUP(Googleadssales[[#This Row],[Ad_ID]],'[1]pre processed data'!A:O,15,0)</f>
        <v>$1421</v>
      </c>
      <c r="J455" s="3">
        <f>VLOOKUP(Googleadssales[[#This Row],[Ad_ID]],'[1]pre processed data'!A:Q,17,0)</f>
        <v>45616</v>
      </c>
      <c r="K455" t="str">
        <f>VLOOKUP(Googleadssales[[#This Row],[Ad_ID]],'[1]pre processed data'!A:R,18,0)</f>
        <v>Hyderabad</v>
      </c>
      <c r="L455" t="str">
        <f>VLOOKUP(Googleadssales[[#This Row],[Ad_ID]],'[1]pre processed data'!A:S,19,0)</f>
        <v>Desktop</v>
      </c>
      <c r="M455" t="str">
        <f>VLOOKUP(Googleadssales[[#This Row],[Ad_ID]],'[1]pre processed data'!A:T,20,0)</f>
        <v>data analytics online</v>
      </c>
    </row>
    <row r="456" spans="1:13" x14ac:dyDescent="0.3">
      <c r="A456" t="s">
        <v>469</v>
      </c>
      <c r="B456" t="s">
        <v>18</v>
      </c>
      <c r="C456" s="4">
        <f>VLOOKUP(Googleadssales[[#This Row],[Ad_ID]],'[1]pre processed data'!A:C,3,0)</f>
        <v>189</v>
      </c>
      <c r="D456" s="4">
        <f>VLOOKUP(Googleadssales[[#This Row],[Ad_ID]],'[1]pre processed data'!A:E,5,0)</f>
        <v>5244</v>
      </c>
      <c r="E456" s="5" t="str">
        <f>VLOOKUP(Googleadssales[[#This Row],[Ad_ID]],[1]!Table3[[Ad_ID]:[Cost-imputed]],7,0)</f>
        <v>$242.18</v>
      </c>
      <c r="F456" s="4">
        <f>VLOOKUP(Googleadssales[[#This Row],[Ad_ID]],'[1]pre processed data'!A:I,9,0)</f>
        <v>29</v>
      </c>
      <c r="G456" s="4">
        <f>VLOOKUP(Googleadssales[[#This Row],[Ad_ID]],'[1]pre processed data'!A:K,11,0)</f>
        <v>3</v>
      </c>
      <c r="H456" s="2">
        <f>Googleadssales[[#This Row],[Conversions]]/Googleadssales[[#This Row],[Clicks]]</f>
        <v>1.5873015873015872E-2</v>
      </c>
      <c r="I456" t="str">
        <f>VLOOKUP(Googleadssales[[#This Row],[Ad_ID]],'[1]pre processed data'!A:O,15,0)</f>
        <v>$1080</v>
      </c>
      <c r="J456" s="3">
        <f>VLOOKUP(Googleadssales[[#This Row],[Ad_ID]],'[1]pre processed data'!A:Q,17,0)</f>
        <v>45603</v>
      </c>
      <c r="K456" t="str">
        <f>VLOOKUP(Googleadssales[[#This Row],[Ad_ID]],'[1]pre processed data'!A:R,18,0)</f>
        <v>Chennai</v>
      </c>
      <c r="L456" t="str">
        <f>VLOOKUP(Googleadssales[[#This Row],[Ad_ID]],'[1]pre processed data'!A:S,19,0)</f>
        <v>Mobile</v>
      </c>
      <c r="M456" t="str">
        <f>VLOOKUP(Googleadssales[[#This Row],[Ad_ID]],'[1]pre processed data'!A:T,20,0)</f>
        <v>analytics for data</v>
      </c>
    </row>
    <row r="457" spans="1:13" x14ac:dyDescent="0.3">
      <c r="A457" t="s">
        <v>470</v>
      </c>
      <c r="B457" t="s">
        <v>14</v>
      </c>
      <c r="C457" s="4">
        <f>VLOOKUP(Googleadssales[[#This Row],[Ad_ID]],'[1]pre processed data'!A:C,3,0)</f>
        <v>114</v>
      </c>
      <c r="D457" s="4">
        <f>VLOOKUP(Googleadssales[[#This Row],[Ad_ID]],'[1]pre processed data'!A:E,5,0)</f>
        <v>4804</v>
      </c>
      <c r="E457" s="5" t="str">
        <f>VLOOKUP(Googleadssales[[#This Row],[Ad_ID]],[1]!Table3[[Ad_ID]:[Cost-imputed]],7,0)</f>
        <v>$249.33</v>
      </c>
      <c r="F457" s="4">
        <f>VLOOKUP(Googleadssales[[#This Row],[Ad_ID]],'[1]pre processed data'!A:I,9,0)</f>
        <v>14</v>
      </c>
      <c r="G457" s="4">
        <f>VLOOKUP(Googleadssales[[#This Row],[Ad_ID]],'[1]pre processed data'!A:K,11,0)</f>
        <v>6</v>
      </c>
      <c r="H457" s="2">
        <f>Googleadssales[[#This Row],[Conversions]]/Googleadssales[[#This Row],[Clicks]]</f>
        <v>5.2631578947368418E-2</v>
      </c>
      <c r="I457" t="str">
        <f>VLOOKUP(Googleadssales[[#This Row],[Ad_ID]],'[1]pre processed data'!A:O,15,0)</f>
        <v>$1879</v>
      </c>
      <c r="J457" s="3">
        <f>VLOOKUP(Googleadssales[[#This Row],[Ad_ID]],'[1]pre processed data'!A:Q,17,0)</f>
        <v>45601</v>
      </c>
      <c r="K457" t="str">
        <f>VLOOKUP(Googleadssales[[#This Row],[Ad_ID]],'[1]pre processed data'!A:R,18,0)</f>
        <v>Chennai</v>
      </c>
      <c r="L457" t="str">
        <f>VLOOKUP(Googleadssales[[#This Row],[Ad_ID]],'[1]pre processed data'!A:S,19,0)</f>
        <v>Mobile</v>
      </c>
      <c r="M457" t="str">
        <f>VLOOKUP(Googleadssales[[#This Row],[Ad_ID]],'[1]pre processed data'!A:T,20,0)</f>
        <v>data analytics course</v>
      </c>
    </row>
    <row r="458" spans="1:13" x14ac:dyDescent="0.3">
      <c r="A458" t="s">
        <v>471</v>
      </c>
      <c r="B458" t="s">
        <v>14</v>
      </c>
      <c r="C458" s="4">
        <f>VLOOKUP(Googleadssales[[#This Row],[Ad_ID]],'[1]pre processed data'!A:C,3,0)</f>
        <v>160</v>
      </c>
      <c r="D458" s="4">
        <f>VLOOKUP(Googleadssales[[#This Row],[Ad_ID]],'[1]pre processed data'!A:E,5,0)</f>
        <v>5920</v>
      </c>
      <c r="E458" s="5" t="str">
        <f>VLOOKUP(Googleadssales[[#This Row],[Ad_ID]],[1]!Table3[[Ad_ID]:[Cost-imputed]],7,0)</f>
        <v>$201.3</v>
      </c>
      <c r="F458" s="4">
        <f>VLOOKUP(Googleadssales[[#This Row],[Ad_ID]],'[1]pre processed data'!A:I,9,0)</f>
        <v>30</v>
      </c>
      <c r="G458" s="4">
        <f>VLOOKUP(Googleadssales[[#This Row],[Ad_ID]],'[1]pre processed data'!A:K,11,0)</f>
        <v>7</v>
      </c>
      <c r="H458" s="2">
        <f>Googleadssales[[#This Row],[Conversions]]/Googleadssales[[#This Row],[Clicks]]</f>
        <v>4.3749999999999997E-2</v>
      </c>
      <c r="I458" t="str">
        <f>VLOOKUP(Googleadssales[[#This Row],[Ad_ID]],'[1]pre processed data'!A:O,15,0)</f>
        <v>$1080</v>
      </c>
      <c r="J458" s="3">
        <f>VLOOKUP(Googleadssales[[#This Row],[Ad_ID]],'[1]pre processed data'!A:Q,17,0)</f>
        <v>45614</v>
      </c>
      <c r="K458" t="str">
        <f>VLOOKUP(Googleadssales[[#This Row],[Ad_ID]],'[1]pre processed data'!A:R,18,0)</f>
        <v>Bangaluru</v>
      </c>
      <c r="L458" t="str">
        <f>VLOOKUP(Googleadssales[[#This Row],[Ad_ID]],'[1]pre processed data'!A:S,19,0)</f>
        <v>Tablet</v>
      </c>
      <c r="M458" t="str">
        <f>VLOOKUP(Googleadssales[[#This Row],[Ad_ID]],'[1]pre processed data'!A:T,20,0)</f>
        <v>data analytics course</v>
      </c>
    </row>
    <row r="459" spans="1:13" x14ac:dyDescent="0.3">
      <c r="A459" t="s">
        <v>472</v>
      </c>
      <c r="B459" t="s">
        <v>14</v>
      </c>
      <c r="C459" s="4">
        <f>VLOOKUP(Googleadssales[[#This Row],[Ad_ID]],'[1]pre processed data'!A:C,3,0)</f>
        <v>101</v>
      </c>
      <c r="D459" s="4">
        <f>VLOOKUP(Googleadssales[[#This Row],[Ad_ID]],'[1]pre processed data'!A:E,5,0)</f>
        <v>5280</v>
      </c>
      <c r="E459" s="5" t="str">
        <f>VLOOKUP(Googleadssales[[#This Row],[Ad_ID]],[1]!Table3[[Ad_ID]:[Cost-imputed]],7,0)</f>
        <v>$234.72</v>
      </c>
      <c r="F459" s="4">
        <f>VLOOKUP(Googleadssales[[#This Row],[Ad_ID]],'[1]pre processed data'!A:I,9,0)</f>
        <v>18</v>
      </c>
      <c r="G459" s="4">
        <f>VLOOKUP(Googleadssales[[#This Row],[Ad_ID]],'[1]pre processed data'!A:K,11,0)</f>
        <v>9</v>
      </c>
      <c r="H459" s="2">
        <f>Googleadssales[[#This Row],[Conversions]]/Googleadssales[[#This Row],[Clicks]]</f>
        <v>8.9108910891089105E-2</v>
      </c>
      <c r="I459" t="str">
        <f>VLOOKUP(Googleadssales[[#This Row],[Ad_ID]],'[1]pre processed data'!A:O,15,0)</f>
        <v>$1046</v>
      </c>
      <c r="J459" s="3">
        <f>VLOOKUP(Googleadssales[[#This Row],[Ad_ID]],'[1]pre processed data'!A:Q,17,0)</f>
        <v>45623</v>
      </c>
      <c r="K459" t="str">
        <f>VLOOKUP(Googleadssales[[#This Row],[Ad_ID]],'[1]pre processed data'!A:R,18,0)</f>
        <v>Chennai</v>
      </c>
      <c r="L459" t="str">
        <f>VLOOKUP(Googleadssales[[#This Row],[Ad_ID]],'[1]pre processed data'!A:S,19,0)</f>
        <v>Tablet</v>
      </c>
      <c r="M459" t="str">
        <f>VLOOKUP(Googleadssales[[#This Row],[Ad_ID]],'[1]pre processed data'!A:T,20,0)</f>
        <v>data analytics course</v>
      </c>
    </row>
    <row r="460" spans="1:13" x14ac:dyDescent="0.3">
      <c r="A460" t="s">
        <v>473</v>
      </c>
      <c r="B460" t="s">
        <v>14</v>
      </c>
      <c r="C460" s="4">
        <f>VLOOKUP(Googleadssales[[#This Row],[Ad_ID]],'[1]pre processed data'!A:C,3,0)</f>
        <v>146</v>
      </c>
      <c r="D460" s="4">
        <f>VLOOKUP(Googleadssales[[#This Row],[Ad_ID]],'[1]pre processed data'!A:E,5,0)</f>
        <v>3887</v>
      </c>
      <c r="E460" s="5" t="str">
        <f>VLOOKUP(Googleadssales[[#This Row],[Ad_ID]],[1]!Table3[[Ad_ID]:[Cost-imputed]],7,0)</f>
        <v>$206.59</v>
      </c>
      <c r="F460" s="4">
        <f>VLOOKUP(Googleadssales[[#This Row],[Ad_ID]],'[1]pre processed data'!A:I,9,0)</f>
        <v>26</v>
      </c>
      <c r="G460" s="4">
        <f>VLOOKUP(Googleadssales[[#This Row],[Ad_ID]],'[1]pre processed data'!A:K,11,0)</f>
        <v>9</v>
      </c>
      <c r="H460" s="2">
        <f>Googleadssales[[#This Row],[Conversions]]/Googleadssales[[#This Row],[Clicks]]</f>
        <v>6.1643835616438353E-2</v>
      </c>
      <c r="I460" t="str">
        <f>VLOOKUP(Googleadssales[[#This Row],[Ad_ID]],'[1]pre processed data'!A:O,15,0)</f>
        <v>$1042</v>
      </c>
      <c r="J460" s="3">
        <f>VLOOKUP(Googleadssales[[#This Row],[Ad_ID]],'[1]pre processed data'!A:Q,17,0)</f>
        <v>45603</v>
      </c>
      <c r="K460" t="str">
        <f>VLOOKUP(Googleadssales[[#This Row],[Ad_ID]],'[1]pre processed data'!A:R,18,0)</f>
        <v>Hyderabad</v>
      </c>
      <c r="L460" t="str">
        <f>VLOOKUP(Googleadssales[[#This Row],[Ad_ID]],'[1]pre processed data'!A:S,19,0)</f>
        <v>Desktop</v>
      </c>
      <c r="M460" t="str">
        <f>VLOOKUP(Googleadssales[[#This Row],[Ad_ID]],'[1]pre processed data'!A:T,20,0)</f>
        <v>online data analytic</v>
      </c>
    </row>
    <row r="461" spans="1:13" x14ac:dyDescent="0.3">
      <c r="A461" t="s">
        <v>474</v>
      </c>
      <c r="B461" t="s">
        <v>18</v>
      </c>
      <c r="C461" s="4">
        <f>VLOOKUP(Googleadssales[[#This Row],[Ad_ID]],'[1]pre processed data'!A:C,3,0)</f>
        <v>128</v>
      </c>
      <c r="D461" s="4">
        <f>VLOOKUP(Googleadssales[[#This Row],[Ad_ID]],'[1]pre processed data'!A:E,5,0)</f>
        <v>4532</v>
      </c>
      <c r="E461" s="5" t="str">
        <f>VLOOKUP(Googleadssales[[#This Row],[Ad_ID]],[1]!Table3[[Ad_ID]:[Cost-imputed]],7,0)</f>
        <v>$183.28</v>
      </c>
      <c r="F461" s="4">
        <f>VLOOKUP(Googleadssales[[#This Row],[Ad_ID]],'[1]pre processed data'!A:I,9,0)</f>
        <v>11</v>
      </c>
      <c r="G461" s="4">
        <f>VLOOKUP(Googleadssales[[#This Row],[Ad_ID]],'[1]pre processed data'!A:K,11,0)</f>
        <v>6.4975891996142723</v>
      </c>
      <c r="H461" s="2">
        <f>Googleadssales[[#This Row],[Conversions]]/Googleadssales[[#This Row],[Clicks]]</f>
        <v>5.0762415621986502E-2</v>
      </c>
      <c r="I461" t="str">
        <f>VLOOKUP(Googleadssales[[#This Row],[Ad_ID]],'[1]pre processed data'!A:O,15,0)</f>
        <v>$1571</v>
      </c>
      <c r="J461" s="3">
        <f>VLOOKUP(Googleadssales[[#This Row],[Ad_ID]],'[1]pre processed data'!A:Q,17,0)</f>
        <v>45621</v>
      </c>
      <c r="K461" t="str">
        <f>VLOOKUP(Googleadssales[[#This Row],[Ad_ID]],'[1]pre processed data'!A:R,18,0)</f>
        <v>Bangaluru</v>
      </c>
      <c r="L461" t="str">
        <f>VLOOKUP(Googleadssales[[#This Row],[Ad_ID]],'[1]pre processed data'!A:S,19,0)</f>
        <v>Desktop</v>
      </c>
      <c r="M461" t="str">
        <f>VLOOKUP(Googleadssales[[#This Row],[Ad_ID]],'[1]pre processed data'!A:T,20,0)</f>
        <v>data analytics training</v>
      </c>
    </row>
    <row r="462" spans="1:13" x14ac:dyDescent="0.3">
      <c r="A462" t="s">
        <v>475</v>
      </c>
      <c r="B462" t="s">
        <v>14</v>
      </c>
      <c r="C462" s="4">
        <f>VLOOKUP(Googleadssales[[#This Row],[Ad_ID]],'[1]pre processed data'!A:C,3,0)</f>
        <v>163</v>
      </c>
      <c r="D462" s="4">
        <f>VLOOKUP(Googleadssales[[#This Row],[Ad_ID]],'[1]pre processed data'!A:E,5,0)</f>
        <v>4125</v>
      </c>
      <c r="E462" s="5" t="str">
        <f>VLOOKUP(Googleadssales[[#This Row],[Ad_ID]],[1]!Table3[[Ad_ID]:[Cost-imputed]],7,0)</f>
        <v>$246.09</v>
      </c>
      <c r="F462" s="4">
        <f>VLOOKUP(Googleadssales[[#This Row],[Ad_ID]],'[1]pre processed data'!A:I,9,0)</f>
        <v>27</v>
      </c>
      <c r="G462" s="4">
        <f>VLOOKUP(Googleadssales[[#This Row],[Ad_ID]],'[1]pre processed data'!A:K,11,0)</f>
        <v>5</v>
      </c>
      <c r="H462" s="2">
        <f>Googleadssales[[#This Row],[Conversions]]/Googleadssales[[#This Row],[Clicks]]</f>
        <v>3.0674846625766871E-2</v>
      </c>
      <c r="I462" t="str">
        <f>VLOOKUP(Googleadssales[[#This Row],[Ad_ID]],'[1]pre processed data'!A:O,15,0)</f>
        <v>$1910</v>
      </c>
      <c r="J462" s="3">
        <f>VLOOKUP(Googleadssales[[#This Row],[Ad_ID]],'[1]pre processed data'!A:Q,17,0)</f>
        <v>45623</v>
      </c>
      <c r="K462" t="str">
        <f>VLOOKUP(Googleadssales[[#This Row],[Ad_ID]],'[1]pre processed data'!A:R,18,0)</f>
        <v>Hyderabad</v>
      </c>
      <c r="L462" t="str">
        <f>VLOOKUP(Googleadssales[[#This Row],[Ad_ID]],'[1]pre processed data'!A:S,19,0)</f>
        <v>Mobile</v>
      </c>
      <c r="M462" t="str">
        <f>VLOOKUP(Googleadssales[[#This Row],[Ad_ID]],'[1]pre processed data'!A:T,20,0)</f>
        <v>learn data analytics</v>
      </c>
    </row>
    <row r="463" spans="1:13" x14ac:dyDescent="0.3">
      <c r="A463" t="s">
        <v>476</v>
      </c>
      <c r="B463" t="s">
        <v>18</v>
      </c>
      <c r="C463" s="4">
        <f>VLOOKUP(Googleadssales[[#This Row],[Ad_ID]],'[1]pre processed data'!A:C,3,0)</f>
        <v>193</v>
      </c>
      <c r="D463" s="4">
        <f>VLOOKUP(Googleadssales[[#This Row],[Ad_ID]],'[1]pre processed data'!A:E,5,0)</f>
        <v>5571</v>
      </c>
      <c r="E463" s="5" t="str">
        <f>VLOOKUP(Googleadssales[[#This Row],[Ad_ID]],[1]!Table3[[Ad_ID]:[Cost-imputed]],7,0)</f>
        <v>$213.5</v>
      </c>
      <c r="F463" s="4">
        <f>VLOOKUP(Googleadssales[[#This Row],[Ad_ID]],'[1]pre processed data'!A:I,9,0)</f>
        <v>19</v>
      </c>
      <c r="G463" s="4">
        <f>VLOOKUP(Googleadssales[[#This Row],[Ad_ID]],'[1]pre processed data'!A:K,11,0)</f>
        <v>8</v>
      </c>
      <c r="H463" s="2">
        <f>Googleadssales[[#This Row],[Conversions]]/Googleadssales[[#This Row],[Clicks]]</f>
        <v>4.145077720207254E-2</v>
      </c>
      <c r="I463" t="str">
        <f>VLOOKUP(Googleadssales[[#This Row],[Ad_ID]],'[1]pre processed data'!A:O,15,0)</f>
        <v>$1754</v>
      </c>
      <c r="J463" s="3">
        <f>VLOOKUP(Googleadssales[[#This Row],[Ad_ID]],'[1]pre processed data'!A:Q,17,0)</f>
        <v>45624</v>
      </c>
      <c r="K463" t="str">
        <f>VLOOKUP(Googleadssales[[#This Row],[Ad_ID]],'[1]pre processed data'!A:R,18,0)</f>
        <v>Hyderabad</v>
      </c>
      <c r="L463" t="str">
        <f>VLOOKUP(Googleadssales[[#This Row],[Ad_ID]],'[1]pre processed data'!A:S,19,0)</f>
        <v>Mobile</v>
      </c>
      <c r="M463" t="str">
        <f>VLOOKUP(Googleadssales[[#This Row],[Ad_ID]],'[1]pre processed data'!A:T,20,0)</f>
        <v>analytics for data</v>
      </c>
    </row>
    <row r="464" spans="1:13" x14ac:dyDescent="0.3">
      <c r="A464" t="s">
        <v>477</v>
      </c>
      <c r="B464" t="s">
        <v>14</v>
      </c>
      <c r="C464" s="4">
        <f>VLOOKUP(Googleadssales[[#This Row],[Ad_ID]],'[1]pre processed data'!A:C,3,0)</f>
        <v>179</v>
      </c>
      <c r="D464" s="4">
        <f>VLOOKUP(Googleadssales[[#This Row],[Ad_ID]],'[1]pre processed data'!A:E,5,0)</f>
        <v>4309</v>
      </c>
      <c r="E464" s="5" t="str">
        <f>VLOOKUP(Googleadssales[[#This Row],[Ad_ID]],[1]!Table3[[Ad_ID]:[Cost-imputed]],7,0)</f>
        <v>$237.62</v>
      </c>
      <c r="F464" s="4">
        <f>VLOOKUP(Googleadssales[[#This Row],[Ad_ID]],'[1]pre processed data'!A:I,9,0)</f>
        <v>21</v>
      </c>
      <c r="G464" s="4">
        <f>VLOOKUP(Googleadssales[[#This Row],[Ad_ID]],'[1]pre processed data'!A:K,11,0)</f>
        <v>7</v>
      </c>
      <c r="H464" s="2">
        <f>Googleadssales[[#This Row],[Conversions]]/Googleadssales[[#This Row],[Clicks]]</f>
        <v>3.9106145251396648E-2</v>
      </c>
      <c r="I464" t="str">
        <f>VLOOKUP(Googleadssales[[#This Row],[Ad_ID]],'[1]pre processed data'!A:O,15,0)</f>
        <v>$1719</v>
      </c>
      <c r="J464" s="3">
        <f>VLOOKUP(Googleadssales[[#This Row],[Ad_ID]],'[1]pre processed data'!A:Q,17,0)</f>
        <v>45610</v>
      </c>
      <c r="K464" t="str">
        <f>VLOOKUP(Googleadssales[[#This Row],[Ad_ID]],'[1]pre processed data'!A:R,18,0)</f>
        <v>Hyderabad</v>
      </c>
      <c r="L464" t="str">
        <f>VLOOKUP(Googleadssales[[#This Row],[Ad_ID]],'[1]pre processed data'!A:S,19,0)</f>
        <v>Mobile</v>
      </c>
      <c r="M464" t="str">
        <f>VLOOKUP(Googleadssales[[#This Row],[Ad_ID]],'[1]pre processed data'!A:T,20,0)</f>
        <v>data analytics course</v>
      </c>
    </row>
    <row r="465" spans="1:13" x14ac:dyDescent="0.3">
      <c r="A465" t="s">
        <v>478</v>
      </c>
      <c r="B465" t="s">
        <v>14</v>
      </c>
      <c r="C465" s="4">
        <f>VLOOKUP(Googleadssales[[#This Row],[Ad_ID]],'[1]pre processed data'!A:C,3,0)</f>
        <v>86</v>
      </c>
      <c r="D465" s="4">
        <f>VLOOKUP(Googleadssales[[#This Row],[Ad_ID]],'[1]pre processed data'!A:E,5,0)</f>
        <v>5538</v>
      </c>
      <c r="E465" s="5" t="str">
        <f>VLOOKUP(Googleadssales[[#This Row],[Ad_ID]],[1]!Table3[[Ad_ID]:[Cost-imputed]],7,0)</f>
        <v>$223.13</v>
      </c>
      <c r="F465" s="4">
        <f>VLOOKUP(Googleadssales[[#This Row],[Ad_ID]],'[1]pre processed data'!A:I,9,0)</f>
        <v>22</v>
      </c>
      <c r="G465" s="4">
        <f>VLOOKUP(Googleadssales[[#This Row],[Ad_ID]],'[1]pre processed data'!A:K,11,0)</f>
        <v>7</v>
      </c>
      <c r="H465" s="2">
        <f>Googleadssales[[#This Row],[Conversions]]/Googleadssales[[#This Row],[Clicks]]</f>
        <v>8.1395348837209308E-2</v>
      </c>
      <c r="I465" t="str">
        <f>VLOOKUP(Googleadssales[[#This Row],[Ad_ID]],'[1]pre processed data'!A:O,15,0)</f>
        <v>$1544</v>
      </c>
      <c r="J465" s="3">
        <f>VLOOKUP(Googleadssales[[#This Row],[Ad_ID]],'[1]pre processed data'!A:Q,17,0)</f>
        <v>45626</v>
      </c>
      <c r="K465" t="str">
        <f>VLOOKUP(Googleadssales[[#This Row],[Ad_ID]],'[1]pre processed data'!A:R,18,0)</f>
        <v>Bangaluru</v>
      </c>
      <c r="L465" t="str">
        <f>VLOOKUP(Googleadssales[[#This Row],[Ad_ID]],'[1]pre processed data'!A:S,19,0)</f>
        <v>Tablet</v>
      </c>
      <c r="M465" t="str">
        <f>VLOOKUP(Googleadssales[[#This Row],[Ad_ID]],'[1]pre processed data'!A:T,20,0)</f>
        <v>data analytics training</v>
      </c>
    </row>
    <row r="466" spans="1:13" x14ac:dyDescent="0.3">
      <c r="A466" t="s">
        <v>479</v>
      </c>
      <c r="B466" t="s">
        <v>14</v>
      </c>
      <c r="C466" s="4">
        <f>VLOOKUP(Googleadssales[[#This Row],[Ad_ID]],'[1]pre processed data'!A:C,3,0)</f>
        <v>92</v>
      </c>
      <c r="D466" s="4">
        <f>VLOOKUP(Googleadssales[[#This Row],[Ad_ID]],'[1]pre processed data'!A:E,5,0)</f>
        <v>3162</v>
      </c>
      <c r="E466" s="5" t="str">
        <f>VLOOKUP(Googleadssales[[#This Row],[Ad_ID]],[1]!Table3[[Ad_ID]:[Cost-imputed]],7,0)</f>
        <v>$202.76</v>
      </c>
      <c r="F466" s="4">
        <f>VLOOKUP(Googleadssales[[#This Row],[Ad_ID]],'[1]pre processed data'!A:I,9,0)</f>
        <v>25</v>
      </c>
      <c r="G466" s="4">
        <f>VLOOKUP(Googleadssales[[#This Row],[Ad_ID]],'[1]pre processed data'!A:K,11,0)</f>
        <v>5</v>
      </c>
      <c r="H466" s="2">
        <f>Googleadssales[[#This Row],[Conversions]]/Googleadssales[[#This Row],[Clicks]]</f>
        <v>5.434782608695652E-2</v>
      </c>
      <c r="I466" t="str">
        <f>VLOOKUP(Googleadssales[[#This Row],[Ad_ID]],'[1]pre processed data'!A:O,15,0)</f>
        <v>$1577</v>
      </c>
      <c r="J466" s="3">
        <f>VLOOKUP(Googleadssales[[#This Row],[Ad_ID]],'[1]pre processed data'!A:Q,17,0)</f>
        <v>45597</v>
      </c>
      <c r="K466" t="str">
        <f>VLOOKUP(Googleadssales[[#This Row],[Ad_ID]],'[1]pre processed data'!A:R,18,0)</f>
        <v>Bangaluru</v>
      </c>
      <c r="L466" t="str">
        <f>VLOOKUP(Googleadssales[[#This Row],[Ad_ID]],'[1]pre processed data'!A:S,19,0)</f>
        <v>Mobile</v>
      </c>
      <c r="M466" t="str">
        <f>VLOOKUP(Googleadssales[[#This Row],[Ad_ID]],'[1]pre processed data'!A:T,20,0)</f>
        <v>data analytics training</v>
      </c>
    </row>
    <row r="467" spans="1:13" x14ac:dyDescent="0.3">
      <c r="A467" t="s">
        <v>480</v>
      </c>
      <c r="B467" t="s">
        <v>14</v>
      </c>
      <c r="C467" s="4">
        <f>VLOOKUP(Googleadssales[[#This Row],[Ad_ID]],'[1]pre processed data'!A:C,3,0)</f>
        <v>125</v>
      </c>
      <c r="D467" s="4">
        <f>VLOOKUP(Googleadssales[[#This Row],[Ad_ID]],'[1]pre processed data'!A:E,5,0)</f>
        <v>5811</v>
      </c>
      <c r="E467" s="5" t="str">
        <f>VLOOKUP(Googleadssales[[#This Row],[Ad_ID]],[1]!Table3[[Ad_ID]:[Cost-imputed]],7,0)</f>
        <v>$194.92</v>
      </c>
      <c r="F467" s="4">
        <f>VLOOKUP(Googleadssales[[#This Row],[Ad_ID]],'[1]pre processed data'!A:I,9,0)</f>
        <v>14</v>
      </c>
      <c r="G467" s="4">
        <f>VLOOKUP(Googleadssales[[#This Row],[Ad_ID]],'[1]pre processed data'!A:K,11,0)</f>
        <v>6.4978250362493961</v>
      </c>
      <c r="H467" s="2">
        <f>Googleadssales[[#This Row],[Conversions]]/Googleadssales[[#This Row],[Clicks]]</f>
        <v>5.1982600289995171E-2</v>
      </c>
      <c r="I467" t="str">
        <f>VLOOKUP(Googleadssales[[#This Row],[Ad_ID]],'[1]pre processed data'!A:O,15,0)</f>
        <v>$1500</v>
      </c>
      <c r="J467" s="3">
        <f>VLOOKUP(Googleadssales[[#This Row],[Ad_ID]],'[1]pre processed data'!A:Q,17,0)</f>
        <v>45618</v>
      </c>
      <c r="K467" t="str">
        <f>VLOOKUP(Googleadssales[[#This Row],[Ad_ID]],'[1]pre processed data'!A:R,18,0)</f>
        <v>Bangaluru</v>
      </c>
      <c r="L467" t="str">
        <f>VLOOKUP(Googleadssales[[#This Row],[Ad_ID]],'[1]pre processed data'!A:S,19,0)</f>
        <v>Tablet</v>
      </c>
      <c r="M467" t="str">
        <f>VLOOKUP(Googleadssales[[#This Row],[Ad_ID]],'[1]pre processed data'!A:T,20,0)</f>
        <v>data analytics training</v>
      </c>
    </row>
    <row r="468" spans="1:13" x14ac:dyDescent="0.3">
      <c r="A468" t="s">
        <v>481</v>
      </c>
      <c r="B468" t="s">
        <v>18</v>
      </c>
      <c r="C468" s="4">
        <f>VLOOKUP(Googleadssales[[#This Row],[Ad_ID]],'[1]pre processed data'!A:C,3,0)</f>
        <v>147</v>
      </c>
      <c r="D468" s="4">
        <f>VLOOKUP(Googleadssales[[#This Row],[Ad_ID]],'[1]pre processed data'!A:E,5,0)</f>
        <v>3112</v>
      </c>
      <c r="E468" s="5" t="str">
        <f>VLOOKUP(Googleadssales[[#This Row],[Ad_ID]],[1]!Table3[[Ad_ID]:[Cost-imputed]],7,0)</f>
        <v>$206.74</v>
      </c>
      <c r="F468" s="4">
        <f>VLOOKUP(Googleadssales[[#This Row],[Ad_ID]],'[1]pre processed data'!A:I,9,0)</f>
        <v>12</v>
      </c>
      <c r="G468" s="4">
        <f>VLOOKUP(Googleadssales[[#This Row],[Ad_ID]],'[1]pre processed data'!A:K,11,0)</f>
        <v>8</v>
      </c>
      <c r="H468" s="2">
        <f>Googleadssales[[#This Row],[Conversions]]/Googleadssales[[#This Row],[Clicks]]</f>
        <v>5.4421768707482991E-2</v>
      </c>
      <c r="I468" t="str">
        <f>VLOOKUP(Googleadssales[[#This Row],[Ad_ID]],'[1]pre processed data'!A:O,15,0)</f>
        <v>$1815</v>
      </c>
      <c r="J468" s="3">
        <f>VLOOKUP(Googleadssales[[#This Row],[Ad_ID]],'[1]pre processed data'!A:Q,17,0)</f>
        <v>45614</v>
      </c>
      <c r="K468" t="str">
        <f>VLOOKUP(Googleadssales[[#This Row],[Ad_ID]],'[1]pre processed data'!A:R,18,0)</f>
        <v>Bangaluru</v>
      </c>
      <c r="L468" t="str">
        <f>VLOOKUP(Googleadssales[[#This Row],[Ad_ID]],'[1]pre processed data'!A:S,19,0)</f>
        <v>Mobile</v>
      </c>
      <c r="M468" t="str">
        <f>VLOOKUP(Googleadssales[[#This Row],[Ad_ID]],'[1]pre processed data'!A:T,20,0)</f>
        <v>data analytics course</v>
      </c>
    </row>
    <row r="469" spans="1:13" x14ac:dyDescent="0.3">
      <c r="A469" t="s">
        <v>482</v>
      </c>
      <c r="B469" t="s">
        <v>14</v>
      </c>
      <c r="C469" s="4">
        <f>VLOOKUP(Googleadssales[[#This Row],[Ad_ID]],'[1]pre processed data'!A:C,3,0)</f>
        <v>143</v>
      </c>
      <c r="D469" s="4">
        <f>VLOOKUP(Googleadssales[[#This Row],[Ad_ID]],'[1]pre processed data'!A:E,5,0)</f>
        <v>4492</v>
      </c>
      <c r="E469" s="5" t="str">
        <f>VLOOKUP(Googleadssales[[#This Row],[Ad_ID]],[1]!Table3[[Ad_ID]:[Cost-imputed]],7,0)</f>
        <v>$188.98</v>
      </c>
      <c r="F469" s="4">
        <f>VLOOKUP(Googleadssales[[#This Row],[Ad_ID]],'[1]pre processed data'!A:I,9,0)</f>
        <v>13</v>
      </c>
      <c r="G469" s="4">
        <f>VLOOKUP(Googleadssales[[#This Row],[Ad_ID]],'[1]pre processed data'!A:K,11,0)</f>
        <v>3</v>
      </c>
      <c r="H469" s="2">
        <f>Googleadssales[[#This Row],[Conversions]]/Googleadssales[[#This Row],[Clicks]]</f>
        <v>2.097902097902098E-2</v>
      </c>
      <c r="I469" t="str">
        <f>VLOOKUP(Googleadssales[[#This Row],[Ad_ID]],'[1]pre processed data'!A:O,15,0)</f>
        <v>$1500</v>
      </c>
      <c r="J469" s="3">
        <f>VLOOKUP(Googleadssales[[#This Row],[Ad_ID]],'[1]pre processed data'!A:Q,17,0)</f>
        <v>45605</v>
      </c>
      <c r="K469" t="str">
        <f>VLOOKUP(Googleadssales[[#This Row],[Ad_ID]],'[1]pre processed data'!A:R,18,0)</f>
        <v>Hyderabad</v>
      </c>
      <c r="L469" t="str">
        <f>VLOOKUP(Googleadssales[[#This Row],[Ad_ID]],'[1]pre processed data'!A:S,19,0)</f>
        <v>Mobile</v>
      </c>
      <c r="M469" t="str">
        <f>VLOOKUP(Googleadssales[[#This Row],[Ad_ID]],'[1]pre processed data'!A:T,20,0)</f>
        <v>online data analytic</v>
      </c>
    </row>
    <row r="470" spans="1:13" x14ac:dyDescent="0.3">
      <c r="A470" t="s">
        <v>483</v>
      </c>
      <c r="B470" t="s">
        <v>14</v>
      </c>
      <c r="C470" s="4">
        <f>VLOOKUP(Googleadssales[[#This Row],[Ad_ID]],'[1]pre processed data'!A:C,3,0)</f>
        <v>181</v>
      </c>
      <c r="D470" s="4">
        <f>VLOOKUP(Googleadssales[[#This Row],[Ad_ID]],'[1]pre processed data'!A:E,5,0)</f>
        <v>4523.2808326787117</v>
      </c>
      <c r="E470" s="5" t="str">
        <f>VLOOKUP(Googleadssales[[#This Row],[Ad_ID]],[1]!Table3[[Ad_ID]:[Cost-imputed]],7,0)</f>
        <v>$208.33</v>
      </c>
      <c r="F470" s="4">
        <f>VLOOKUP(Googleadssales[[#This Row],[Ad_ID]],'[1]pre processed data'!A:I,9,0)</f>
        <v>22</v>
      </c>
      <c r="G470" s="4">
        <f>VLOOKUP(Googleadssales[[#This Row],[Ad_ID]],'[1]pre processed data'!A:K,11,0)</f>
        <v>8</v>
      </c>
      <c r="H470" s="2">
        <f>Googleadssales[[#This Row],[Conversions]]/Googleadssales[[#This Row],[Clicks]]</f>
        <v>4.4198895027624308E-2</v>
      </c>
      <c r="I470" t="str">
        <f>VLOOKUP(Googleadssales[[#This Row],[Ad_ID]],'[1]pre processed data'!A:O,15,0)</f>
        <v>$1932</v>
      </c>
      <c r="J470" s="3">
        <f>VLOOKUP(Googleadssales[[#This Row],[Ad_ID]],'[1]pre processed data'!A:Q,17,0)</f>
        <v>45601</v>
      </c>
      <c r="K470" t="str">
        <f>VLOOKUP(Googleadssales[[#This Row],[Ad_ID]],'[1]pre processed data'!A:R,18,0)</f>
        <v>Hyderabad</v>
      </c>
      <c r="L470" t="str">
        <f>VLOOKUP(Googleadssales[[#This Row],[Ad_ID]],'[1]pre processed data'!A:S,19,0)</f>
        <v>Tablet</v>
      </c>
      <c r="M470" t="str">
        <f>VLOOKUP(Googleadssales[[#This Row],[Ad_ID]],'[1]pre processed data'!A:T,20,0)</f>
        <v>online data analytic</v>
      </c>
    </row>
    <row r="471" spans="1:13" x14ac:dyDescent="0.3">
      <c r="A471" t="s">
        <v>484</v>
      </c>
      <c r="B471" t="s">
        <v>18</v>
      </c>
      <c r="C471" s="4">
        <f>VLOOKUP(Googleadssales[[#This Row],[Ad_ID]],'[1]pre processed data'!A:C,3,0)</f>
        <v>164</v>
      </c>
      <c r="D471" s="4">
        <f>VLOOKUP(Googleadssales[[#This Row],[Ad_ID]],'[1]pre processed data'!A:E,5,0)</f>
        <v>3872</v>
      </c>
      <c r="E471" s="5" t="str">
        <f>VLOOKUP(Googleadssales[[#This Row],[Ad_ID]],[1]!Table3[[Ad_ID]:[Cost-imputed]],7,0)</f>
        <v>$210.53</v>
      </c>
      <c r="F471" s="4">
        <f>VLOOKUP(Googleadssales[[#This Row],[Ad_ID]],'[1]pre processed data'!A:I,9,0)</f>
        <v>12</v>
      </c>
      <c r="G471" s="4">
        <f>VLOOKUP(Googleadssales[[#This Row],[Ad_ID]],'[1]pre processed data'!A:K,11,0)</f>
        <v>5</v>
      </c>
      <c r="H471" s="2">
        <f>Googleadssales[[#This Row],[Conversions]]/Googleadssales[[#This Row],[Clicks]]</f>
        <v>3.048780487804878E-2</v>
      </c>
      <c r="I471" t="str">
        <f>VLOOKUP(Googleadssales[[#This Row],[Ad_ID]],'[1]pre processed data'!A:O,15,0)</f>
        <v>$1532</v>
      </c>
      <c r="J471" s="3">
        <f>VLOOKUP(Googleadssales[[#This Row],[Ad_ID]],'[1]pre processed data'!A:Q,17,0)</f>
        <v>45608</v>
      </c>
      <c r="K471" t="str">
        <f>VLOOKUP(Googleadssales[[#This Row],[Ad_ID]],'[1]pre processed data'!A:R,18,0)</f>
        <v>Bangaluru</v>
      </c>
      <c r="L471" t="str">
        <f>VLOOKUP(Googleadssales[[#This Row],[Ad_ID]],'[1]pre processed data'!A:S,19,0)</f>
        <v>Tablet</v>
      </c>
      <c r="M471" t="str">
        <f>VLOOKUP(Googleadssales[[#This Row],[Ad_ID]],'[1]pre processed data'!A:T,20,0)</f>
        <v>data analytics online</v>
      </c>
    </row>
    <row r="472" spans="1:13" x14ac:dyDescent="0.3">
      <c r="A472" t="s">
        <v>485</v>
      </c>
      <c r="B472" t="s">
        <v>18</v>
      </c>
      <c r="C472" s="4">
        <f>VLOOKUP(Googleadssales[[#This Row],[Ad_ID]],'[1]pre processed data'!A:C,3,0)</f>
        <v>199</v>
      </c>
      <c r="D472" s="4">
        <f>VLOOKUP(Googleadssales[[#This Row],[Ad_ID]],'[1]pre processed data'!A:E,5,0)</f>
        <v>4255</v>
      </c>
      <c r="E472" s="5" t="str">
        <f>VLOOKUP(Googleadssales[[#This Row],[Ad_ID]],[1]!Table3[[Ad_ID]:[Cost-imputed]],7,0)</f>
        <v>$212.84</v>
      </c>
      <c r="F472" s="4">
        <f>VLOOKUP(Googleadssales[[#This Row],[Ad_ID]],'[1]pre processed data'!A:I,9,0)</f>
        <v>14</v>
      </c>
      <c r="G472" s="4">
        <f>VLOOKUP(Googleadssales[[#This Row],[Ad_ID]],'[1]pre processed data'!A:K,11,0)</f>
        <v>6</v>
      </c>
      <c r="H472" s="2">
        <f>Googleadssales[[#This Row],[Conversions]]/Googleadssales[[#This Row],[Clicks]]</f>
        <v>3.015075376884422E-2</v>
      </c>
      <c r="I472" t="str">
        <f>VLOOKUP(Googleadssales[[#This Row],[Ad_ID]],'[1]pre processed data'!A:O,15,0)</f>
        <v>$1125</v>
      </c>
      <c r="J472" s="3">
        <f>VLOOKUP(Googleadssales[[#This Row],[Ad_ID]],'[1]pre processed data'!A:Q,17,0)</f>
        <v>45618</v>
      </c>
      <c r="K472" t="str">
        <f>VLOOKUP(Googleadssales[[#This Row],[Ad_ID]],'[1]pre processed data'!A:R,18,0)</f>
        <v>Chennai</v>
      </c>
      <c r="L472" t="str">
        <f>VLOOKUP(Googleadssales[[#This Row],[Ad_ID]],'[1]pre processed data'!A:S,19,0)</f>
        <v>Desktop</v>
      </c>
      <c r="M472" t="str">
        <f>VLOOKUP(Googleadssales[[#This Row],[Ad_ID]],'[1]pre processed data'!A:T,20,0)</f>
        <v>learn data analytics</v>
      </c>
    </row>
    <row r="473" spans="1:13" x14ac:dyDescent="0.3">
      <c r="A473" t="s">
        <v>486</v>
      </c>
      <c r="B473" t="s">
        <v>14</v>
      </c>
      <c r="C473" s="4">
        <f>VLOOKUP(Googleadssales[[#This Row],[Ad_ID]],'[1]pre processed data'!A:C,3,0)</f>
        <v>83</v>
      </c>
      <c r="D473" s="4">
        <f>VLOOKUP(Googleadssales[[#This Row],[Ad_ID]],'[1]pre processed data'!A:E,5,0)</f>
        <v>4523.2808326787117</v>
      </c>
      <c r="E473" s="5" t="str">
        <f>VLOOKUP(Googleadssales[[#This Row],[Ad_ID]],[1]!Table3[[Ad_ID]:[Cost-imputed]],7,0)</f>
        <v>$229.97</v>
      </c>
      <c r="F473" s="4">
        <f>VLOOKUP(Googleadssales[[#This Row],[Ad_ID]],'[1]pre processed data'!A:I,9,0)</f>
        <v>12</v>
      </c>
      <c r="G473" s="4">
        <f>VLOOKUP(Googleadssales[[#This Row],[Ad_ID]],'[1]pre processed data'!A:K,11,0)</f>
        <v>8</v>
      </c>
      <c r="H473" s="2">
        <f>Googleadssales[[#This Row],[Conversions]]/Googleadssales[[#This Row],[Clicks]]</f>
        <v>9.6385542168674704E-2</v>
      </c>
      <c r="I473" t="str">
        <f>VLOOKUP(Googleadssales[[#This Row],[Ad_ID]],'[1]pre processed data'!A:O,15,0)</f>
        <v>$2000</v>
      </c>
      <c r="J473" s="3">
        <f>VLOOKUP(Googleadssales[[#This Row],[Ad_ID]],'[1]pre processed data'!A:Q,17,0)</f>
        <v>45626</v>
      </c>
      <c r="K473" t="str">
        <f>VLOOKUP(Googleadssales[[#This Row],[Ad_ID]],'[1]pre processed data'!A:R,18,0)</f>
        <v>Chennai</v>
      </c>
      <c r="L473" t="str">
        <f>VLOOKUP(Googleadssales[[#This Row],[Ad_ID]],'[1]pre processed data'!A:S,19,0)</f>
        <v>Desktop</v>
      </c>
      <c r="M473" t="str">
        <f>VLOOKUP(Googleadssales[[#This Row],[Ad_ID]],'[1]pre processed data'!A:T,20,0)</f>
        <v>analytics for data</v>
      </c>
    </row>
    <row r="474" spans="1:13" x14ac:dyDescent="0.3">
      <c r="A474" t="s">
        <v>487</v>
      </c>
      <c r="B474" t="s">
        <v>18</v>
      </c>
      <c r="C474" s="4">
        <f>VLOOKUP(Googleadssales[[#This Row],[Ad_ID]],'[1]pre processed data'!A:C,3,0)</f>
        <v>150</v>
      </c>
      <c r="D474" s="4">
        <f>VLOOKUP(Googleadssales[[#This Row],[Ad_ID]],'[1]pre processed data'!A:E,5,0)</f>
        <v>5619</v>
      </c>
      <c r="E474" s="5" t="str">
        <f>VLOOKUP(Googleadssales[[#This Row],[Ad_ID]],[1]!Table3[[Ad_ID]:[Cost-imputed]],7,0)</f>
        <v>$191.89</v>
      </c>
      <c r="F474" s="4">
        <f>VLOOKUP(Googleadssales[[#This Row],[Ad_ID]],'[1]pre processed data'!A:I,9,0)</f>
        <v>23</v>
      </c>
      <c r="G474" s="4">
        <f>VLOOKUP(Googleadssales[[#This Row],[Ad_ID]],'[1]pre processed data'!A:K,11,0)</f>
        <v>6</v>
      </c>
      <c r="H474" s="2">
        <f>Googleadssales[[#This Row],[Conversions]]/Googleadssales[[#This Row],[Clicks]]</f>
        <v>0.04</v>
      </c>
      <c r="I474" t="str">
        <f>VLOOKUP(Googleadssales[[#This Row],[Ad_ID]],'[1]pre processed data'!A:O,15,0)</f>
        <v>$1735</v>
      </c>
      <c r="J474" s="3">
        <f>VLOOKUP(Googleadssales[[#This Row],[Ad_ID]],'[1]pre processed data'!A:Q,17,0)</f>
        <v>45615</v>
      </c>
      <c r="K474" t="str">
        <f>VLOOKUP(Googleadssales[[#This Row],[Ad_ID]],'[1]pre processed data'!A:R,18,0)</f>
        <v>Bangaluru</v>
      </c>
      <c r="L474" t="str">
        <f>VLOOKUP(Googleadssales[[#This Row],[Ad_ID]],'[1]pre processed data'!A:S,19,0)</f>
        <v>Desktop</v>
      </c>
      <c r="M474" t="str">
        <f>VLOOKUP(Googleadssales[[#This Row],[Ad_ID]],'[1]pre processed data'!A:T,20,0)</f>
        <v>data analytics training</v>
      </c>
    </row>
    <row r="475" spans="1:13" x14ac:dyDescent="0.3">
      <c r="A475" t="s">
        <v>488</v>
      </c>
      <c r="B475" t="s">
        <v>18</v>
      </c>
      <c r="C475" s="4">
        <f>VLOOKUP(Googleadssales[[#This Row],[Ad_ID]],'[1]pre processed data'!A:C,3,0)</f>
        <v>171</v>
      </c>
      <c r="D475" s="4">
        <f>VLOOKUP(Googleadssales[[#This Row],[Ad_ID]],'[1]pre processed data'!A:E,5,0)</f>
        <v>5157</v>
      </c>
      <c r="E475" s="5" t="str">
        <f>VLOOKUP(Googleadssales[[#This Row],[Ad_ID]],[1]!Table3[[Ad_ID]:[Cost-imputed]],7,0)</f>
        <v>$183.26</v>
      </c>
      <c r="F475" s="4">
        <f>VLOOKUP(Googleadssales[[#This Row],[Ad_ID]],'[1]pre processed data'!A:I,9,0)</f>
        <v>24</v>
      </c>
      <c r="G475" s="4">
        <f>VLOOKUP(Googleadssales[[#This Row],[Ad_ID]],'[1]pre processed data'!A:K,11,0)</f>
        <v>9</v>
      </c>
      <c r="H475" s="2">
        <f>Googleadssales[[#This Row],[Conversions]]/Googleadssales[[#This Row],[Clicks]]</f>
        <v>5.2631578947368418E-2</v>
      </c>
      <c r="I475" t="str">
        <f>VLOOKUP(Googleadssales[[#This Row],[Ad_ID]],'[1]pre processed data'!A:O,15,0)</f>
        <v>$1430</v>
      </c>
      <c r="J475" s="3">
        <f>VLOOKUP(Googleadssales[[#This Row],[Ad_ID]],'[1]pre processed data'!A:Q,17,0)</f>
        <v>45605</v>
      </c>
      <c r="K475" t="str">
        <f>VLOOKUP(Googleadssales[[#This Row],[Ad_ID]],'[1]pre processed data'!A:R,18,0)</f>
        <v>Bangaluru</v>
      </c>
      <c r="L475" t="str">
        <f>VLOOKUP(Googleadssales[[#This Row],[Ad_ID]],'[1]pre processed data'!A:S,19,0)</f>
        <v>Desktop</v>
      </c>
      <c r="M475" t="str">
        <f>VLOOKUP(Googleadssales[[#This Row],[Ad_ID]],'[1]pre processed data'!A:T,20,0)</f>
        <v>data analytics online</v>
      </c>
    </row>
    <row r="476" spans="1:13" x14ac:dyDescent="0.3">
      <c r="A476" t="s">
        <v>489</v>
      </c>
      <c r="B476" t="s">
        <v>18</v>
      </c>
      <c r="C476" s="4">
        <f>VLOOKUP(Googleadssales[[#This Row],[Ad_ID]],'[1]pre processed data'!A:C,3,0)</f>
        <v>139</v>
      </c>
      <c r="D476" s="4">
        <f>VLOOKUP(Googleadssales[[#This Row],[Ad_ID]],'[1]pre processed data'!A:E,5,0)</f>
        <v>4871</v>
      </c>
      <c r="E476" s="5" t="str">
        <f>VLOOKUP(Googleadssales[[#This Row],[Ad_ID]],[1]!Table3[[Ad_ID]:[Cost-imputed]],7,0)</f>
        <v>$211.4</v>
      </c>
      <c r="F476" s="4">
        <f>VLOOKUP(Googleadssales[[#This Row],[Ad_ID]],'[1]pre processed data'!A:I,9,0)</f>
        <v>25</v>
      </c>
      <c r="G476" s="4">
        <f>VLOOKUP(Googleadssales[[#This Row],[Ad_ID]],'[1]pre processed data'!A:K,11,0)</f>
        <v>9</v>
      </c>
      <c r="H476" s="2">
        <f>Googleadssales[[#This Row],[Conversions]]/Googleadssales[[#This Row],[Clicks]]</f>
        <v>6.4748201438848921E-2</v>
      </c>
      <c r="I476" t="str">
        <f>VLOOKUP(Googleadssales[[#This Row],[Ad_ID]],'[1]pre processed data'!A:O,15,0)</f>
        <v>$1247</v>
      </c>
      <c r="J476" s="3">
        <f>VLOOKUP(Googleadssales[[#This Row],[Ad_ID]],'[1]pre processed data'!A:Q,17,0)</f>
        <v>45625</v>
      </c>
      <c r="K476" t="str">
        <f>VLOOKUP(Googleadssales[[#This Row],[Ad_ID]],'[1]pre processed data'!A:R,18,0)</f>
        <v>Bangaluru</v>
      </c>
      <c r="L476" t="str">
        <f>VLOOKUP(Googleadssales[[#This Row],[Ad_ID]],'[1]pre processed data'!A:S,19,0)</f>
        <v>Mobile</v>
      </c>
      <c r="M476" t="str">
        <f>VLOOKUP(Googleadssales[[#This Row],[Ad_ID]],'[1]pre processed data'!A:T,20,0)</f>
        <v>data analytics training</v>
      </c>
    </row>
    <row r="477" spans="1:13" x14ac:dyDescent="0.3">
      <c r="A477" t="s">
        <v>490</v>
      </c>
      <c r="B477" t="s">
        <v>14</v>
      </c>
      <c r="C477" s="4">
        <f>VLOOKUP(Googleadssales[[#This Row],[Ad_ID]],'[1]pre processed data'!A:C,3,0)</f>
        <v>117</v>
      </c>
      <c r="D477" s="4">
        <f>VLOOKUP(Googleadssales[[#This Row],[Ad_ID]],'[1]pre processed data'!A:E,5,0)</f>
        <v>5863</v>
      </c>
      <c r="E477" s="5" t="str">
        <f>VLOOKUP(Googleadssales[[#This Row],[Ad_ID]],[1]!Table3[[Ad_ID]:[Cost-imputed]],7,0)</f>
        <v>$224.69</v>
      </c>
      <c r="F477" s="4">
        <f>VLOOKUP(Googleadssales[[#This Row],[Ad_ID]],'[1]pre processed data'!A:I,9,0)</f>
        <v>24</v>
      </c>
      <c r="G477" s="4">
        <f>VLOOKUP(Googleadssales[[#This Row],[Ad_ID]],'[1]pre processed data'!A:K,11,0)</f>
        <v>10</v>
      </c>
      <c r="H477" s="2">
        <f>Googleadssales[[#This Row],[Conversions]]/Googleadssales[[#This Row],[Clicks]]</f>
        <v>8.5470085470085472E-2</v>
      </c>
      <c r="I477" t="str">
        <f>VLOOKUP(Googleadssales[[#This Row],[Ad_ID]],'[1]pre processed data'!A:O,15,0)</f>
        <v>$1580</v>
      </c>
      <c r="J477" s="3">
        <f>VLOOKUP(Googleadssales[[#This Row],[Ad_ID]],'[1]pre processed data'!A:Q,17,0)</f>
        <v>45612</v>
      </c>
      <c r="K477" t="str">
        <f>VLOOKUP(Googleadssales[[#This Row],[Ad_ID]],'[1]pre processed data'!A:R,18,0)</f>
        <v>Chennai</v>
      </c>
      <c r="L477" t="str">
        <f>VLOOKUP(Googleadssales[[#This Row],[Ad_ID]],'[1]pre processed data'!A:S,19,0)</f>
        <v>Mobile</v>
      </c>
      <c r="M477" t="str">
        <f>VLOOKUP(Googleadssales[[#This Row],[Ad_ID]],'[1]pre processed data'!A:T,20,0)</f>
        <v>data analytics online</v>
      </c>
    </row>
    <row r="478" spans="1:13" x14ac:dyDescent="0.3">
      <c r="A478" t="s">
        <v>491</v>
      </c>
      <c r="B478" t="s">
        <v>18</v>
      </c>
      <c r="C478" s="4">
        <f>VLOOKUP(Googleadssales[[#This Row],[Ad_ID]],'[1]pre processed data'!A:C,3,0)</f>
        <v>196</v>
      </c>
      <c r="D478" s="4">
        <f>VLOOKUP(Googleadssales[[#This Row],[Ad_ID]],'[1]pre processed data'!A:E,5,0)</f>
        <v>3205</v>
      </c>
      <c r="E478" s="5" t="str">
        <f>VLOOKUP(Googleadssales[[#This Row],[Ad_ID]],[1]!Table3[[Ad_ID]:[Cost-imputed]],7,0)</f>
        <v>$188.82</v>
      </c>
      <c r="F478" s="4">
        <f>VLOOKUP(Googleadssales[[#This Row],[Ad_ID]],'[1]pre processed data'!A:I,9,0)</f>
        <v>24</v>
      </c>
      <c r="G478" s="4">
        <f>VLOOKUP(Googleadssales[[#This Row],[Ad_ID]],'[1]pre processed data'!A:K,11,0)</f>
        <v>8</v>
      </c>
      <c r="H478" s="2">
        <f>Googleadssales[[#This Row],[Conversions]]/Googleadssales[[#This Row],[Clicks]]</f>
        <v>4.0816326530612242E-2</v>
      </c>
      <c r="I478" t="str">
        <f>VLOOKUP(Googleadssales[[#This Row],[Ad_ID]],'[1]pre processed data'!A:O,15,0)</f>
        <v>$1837</v>
      </c>
      <c r="J478" s="3">
        <f>VLOOKUP(Googleadssales[[#This Row],[Ad_ID]],'[1]pre processed data'!A:Q,17,0)</f>
        <v>45620</v>
      </c>
      <c r="K478" t="str">
        <f>VLOOKUP(Googleadssales[[#This Row],[Ad_ID]],'[1]pre processed data'!A:R,18,0)</f>
        <v>Hyderabad</v>
      </c>
      <c r="L478" t="str">
        <f>VLOOKUP(Googleadssales[[#This Row],[Ad_ID]],'[1]pre processed data'!A:S,19,0)</f>
        <v>Desktop</v>
      </c>
      <c r="M478" t="str">
        <f>VLOOKUP(Googleadssales[[#This Row],[Ad_ID]],'[1]pre processed data'!A:T,20,0)</f>
        <v>data analytics course</v>
      </c>
    </row>
    <row r="479" spans="1:13" x14ac:dyDescent="0.3">
      <c r="A479" t="s">
        <v>492</v>
      </c>
      <c r="B479" t="s">
        <v>14</v>
      </c>
      <c r="C479" s="4">
        <f>VLOOKUP(Googleadssales[[#This Row],[Ad_ID]],'[1]pre processed data'!A:C,3,0)</f>
        <v>184</v>
      </c>
      <c r="D479" s="4">
        <f>VLOOKUP(Googleadssales[[#This Row],[Ad_ID]],'[1]pre processed data'!A:E,5,0)</f>
        <v>5463</v>
      </c>
      <c r="E479" s="5" t="str">
        <f>VLOOKUP(Googleadssales[[#This Row],[Ad_ID]],[1]!Table3[[Ad_ID]:[Cost-imputed]],7,0)</f>
        <v>$224.58</v>
      </c>
      <c r="F479" s="4">
        <f>VLOOKUP(Googleadssales[[#This Row],[Ad_ID]],'[1]pre processed data'!A:I,9,0)</f>
        <v>30</v>
      </c>
      <c r="G479" s="4">
        <f>VLOOKUP(Googleadssales[[#This Row],[Ad_ID]],'[1]pre processed data'!A:K,11,0)</f>
        <v>6</v>
      </c>
      <c r="H479" s="2">
        <f>Googleadssales[[#This Row],[Conversions]]/Googleadssales[[#This Row],[Clicks]]</f>
        <v>3.2608695652173912E-2</v>
      </c>
      <c r="I479" t="str">
        <f>VLOOKUP(Googleadssales[[#This Row],[Ad_ID]],'[1]pre processed data'!A:O,15,0)</f>
        <v>$1565</v>
      </c>
      <c r="J479" s="3">
        <f>VLOOKUP(Googleadssales[[#This Row],[Ad_ID]],'[1]pre processed data'!A:Q,17,0)</f>
        <v>45622</v>
      </c>
      <c r="K479" t="str">
        <f>VLOOKUP(Googleadssales[[#This Row],[Ad_ID]],'[1]pre processed data'!A:R,18,0)</f>
        <v>Hyderabad</v>
      </c>
      <c r="L479" t="str">
        <f>VLOOKUP(Googleadssales[[#This Row],[Ad_ID]],'[1]pre processed data'!A:S,19,0)</f>
        <v>Tablet</v>
      </c>
      <c r="M479" t="str">
        <f>VLOOKUP(Googleadssales[[#This Row],[Ad_ID]],'[1]pre processed data'!A:T,20,0)</f>
        <v>data analytics training</v>
      </c>
    </row>
    <row r="480" spans="1:13" x14ac:dyDescent="0.3">
      <c r="A480" t="s">
        <v>493</v>
      </c>
      <c r="B480" t="s">
        <v>14</v>
      </c>
      <c r="C480" s="4">
        <f>VLOOKUP(Googleadssales[[#This Row],[Ad_ID]],'[1]pre processed data'!A:C,3,0)</f>
        <v>103</v>
      </c>
      <c r="D480" s="4">
        <f>VLOOKUP(Googleadssales[[#This Row],[Ad_ID]],'[1]pre processed data'!A:E,5,0)</f>
        <v>5667</v>
      </c>
      <c r="E480" s="5" t="str">
        <f>VLOOKUP(Googleadssales[[#This Row],[Ad_ID]],[1]!Table3[[Ad_ID]:[Cost-imputed]],7,0)</f>
        <v>$232.48</v>
      </c>
      <c r="F480" s="4">
        <f>VLOOKUP(Googleadssales[[#This Row],[Ad_ID]],'[1]pre processed data'!A:I,9,0)</f>
        <v>26</v>
      </c>
      <c r="G480" s="4">
        <f>VLOOKUP(Googleadssales[[#This Row],[Ad_ID]],'[1]pre processed data'!A:K,11,0)</f>
        <v>8</v>
      </c>
      <c r="H480" s="2">
        <f>Googleadssales[[#This Row],[Conversions]]/Googleadssales[[#This Row],[Clicks]]</f>
        <v>7.7669902912621352E-2</v>
      </c>
      <c r="I480" t="str">
        <f>VLOOKUP(Googleadssales[[#This Row],[Ad_ID]],'[1]pre processed data'!A:O,15,0)</f>
        <v>$1888</v>
      </c>
      <c r="J480" s="3">
        <f>VLOOKUP(Googleadssales[[#This Row],[Ad_ID]],'[1]pre processed data'!A:Q,17,0)</f>
        <v>45612</v>
      </c>
      <c r="K480" t="str">
        <f>VLOOKUP(Googleadssales[[#This Row],[Ad_ID]],'[1]pre processed data'!A:R,18,0)</f>
        <v>Chennai</v>
      </c>
      <c r="L480" t="str">
        <f>VLOOKUP(Googleadssales[[#This Row],[Ad_ID]],'[1]pre processed data'!A:S,19,0)</f>
        <v>Tablet</v>
      </c>
      <c r="M480" t="str">
        <f>VLOOKUP(Googleadssales[[#This Row],[Ad_ID]],'[1]pre processed data'!A:T,20,0)</f>
        <v>learn data analytics</v>
      </c>
    </row>
    <row r="481" spans="1:13" x14ac:dyDescent="0.3">
      <c r="A481" t="s">
        <v>494</v>
      </c>
      <c r="B481" t="s">
        <v>14</v>
      </c>
      <c r="C481" s="4">
        <f>VLOOKUP(Googleadssales[[#This Row],[Ad_ID]],'[1]pre processed data'!A:C,3,0)</f>
        <v>120</v>
      </c>
      <c r="D481" s="4">
        <f>VLOOKUP(Googleadssales[[#This Row],[Ad_ID]],'[1]pre processed data'!A:E,5,0)</f>
        <v>4666</v>
      </c>
      <c r="E481" s="5" t="str">
        <f>VLOOKUP(Googleadssales[[#This Row],[Ad_ID]],[1]!Table3[[Ad_ID]:[Cost-imputed]],7,0)</f>
        <v>$180.72</v>
      </c>
      <c r="F481" s="4">
        <f>VLOOKUP(Googleadssales[[#This Row],[Ad_ID]],'[1]pre processed data'!A:I,9,0)</f>
        <v>30</v>
      </c>
      <c r="G481" s="4">
        <f>VLOOKUP(Googleadssales[[#This Row],[Ad_ID]],'[1]pre processed data'!A:K,11,0)</f>
        <v>3</v>
      </c>
      <c r="H481" s="2">
        <f>Googleadssales[[#This Row],[Conversions]]/Googleadssales[[#This Row],[Clicks]]</f>
        <v>2.5000000000000001E-2</v>
      </c>
      <c r="I481" t="str">
        <f>VLOOKUP(Googleadssales[[#This Row],[Ad_ID]],'[1]pre processed data'!A:O,15,0)</f>
        <v>$1627</v>
      </c>
      <c r="J481" s="3">
        <f>VLOOKUP(Googleadssales[[#This Row],[Ad_ID]],'[1]pre processed data'!A:Q,17,0)</f>
        <v>45620</v>
      </c>
      <c r="K481" t="str">
        <f>VLOOKUP(Googleadssales[[#This Row],[Ad_ID]],'[1]pre processed data'!A:R,18,0)</f>
        <v>Bangaluru</v>
      </c>
      <c r="L481" t="str">
        <f>VLOOKUP(Googleadssales[[#This Row],[Ad_ID]],'[1]pre processed data'!A:S,19,0)</f>
        <v>Mobile</v>
      </c>
      <c r="M481" t="str">
        <f>VLOOKUP(Googleadssales[[#This Row],[Ad_ID]],'[1]pre processed data'!A:T,20,0)</f>
        <v>analytics for data</v>
      </c>
    </row>
    <row r="482" spans="1:13" x14ac:dyDescent="0.3">
      <c r="A482" t="s">
        <v>495</v>
      </c>
      <c r="B482" t="s">
        <v>14</v>
      </c>
      <c r="C482" s="4">
        <f>VLOOKUP(Googleadssales[[#This Row],[Ad_ID]],'[1]pre processed data'!A:C,3,0)</f>
        <v>148</v>
      </c>
      <c r="D482" s="4">
        <f>VLOOKUP(Googleadssales[[#This Row],[Ad_ID]],'[1]pre processed data'!A:E,5,0)</f>
        <v>3632</v>
      </c>
      <c r="E482" s="5" t="str">
        <f>VLOOKUP(Googleadssales[[#This Row],[Ad_ID]],[1]!Table3[[Ad_ID]:[Cost-imputed]],7,0)</f>
        <v>$214.46</v>
      </c>
      <c r="F482" s="4">
        <f>VLOOKUP(Googleadssales[[#This Row],[Ad_ID]],'[1]pre processed data'!A:I,9,0)</f>
        <v>28</v>
      </c>
      <c r="G482" s="4">
        <f>VLOOKUP(Googleadssales[[#This Row],[Ad_ID]],'[1]pre processed data'!A:K,11,0)</f>
        <v>10</v>
      </c>
      <c r="H482" s="2">
        <f>Googleadssales[[#This Row],[Conversions]]/Googleadssales[[#This Row],[Clicks]]</f>
        <v>6.7567567567567571E-2</v>
      </c>
      <c r="I482" t="str">
        <f>VLOOKUP(Googleadssales[[#This Row],[Ad_ID]],'[1]pre processed data'!A:O,15,0)</f>
        <v>$1589</v>
      </c>
      <c r="J482" s="3">
        <f>VLOOKUP(Googleadssales[[#This Row],[Ad_ID]],'[1]pre processed data'!A:Q,17,0)</f>
        <v>45614</v>
      </c>
      <c r="K482" t="str">
        <f>VLOOKUP(Googleadssales[[#This Row],[Ad_ID]],'[1]pre processed data'!A:R,18,0)</f>
        <v>Bangaluru</v>
      </c>
      <c r="L482" t="str">
        <f>VLOOKUP(Googleadssales[[#This Row],[Ad_ID]],'[1]pre processed data'!A:S,19,0)</f>
        <v>Mobile</v>
      </c>
      <c r="M482" t="str">
        <f>VLOOKUP(Googleadssales[[#This Row],[Ad_ID]],'[1]pre processed data'!A:T,20,0)</f>
        <v>data analytics training</v>
      </c>
    </row>
    <row r="483" spans="1:13" x14ac:dyDescent="0.3">
      <c r="A483" t="s">
        <v>496</v>
      </c>
      <c r="B483" t="s">
        <v>14</v>
      </c>
      <c r="C483" s="4">
        <f>VLOOKUP(Googleadssales[[#This Row],[Ad_ID]],'[1]pre processed data'!A:C,3,0)</f>
        <v>80</v>
      </c>
      <c r="D483" s="4">
        <f>VLOOKUP(Googleadssales[[#This Row],[Ad_ID]],'[1]pre processed data'!A:E,5,0)</f>
        <v>3834</v>
      </c>
      <c r="E483" s="5" t="str">
        <f>VLOOKUP(Googleadssales[[#This Row],[Ad_ID]],[1]!Table3[[Ad_ID]:[Cost-imputed]],7,0)</f>
        <v>$181.22</v>
      </c>
      <c r="F483" s="4">
        <f>VLOOKUP(Googleadssales[[#This Row],[Ad_ID]],'[1]pre processed data'!A:I,9,0)</f>
        <v>15</v>
      </c>
      <c r="G483" s="4">
        <f>VLOOKUP(Googleadssales[[#This Row],[Ad_ID]],'[1]pre processed data'!A:K,11,0)</f>
        <v>3</v>
      </c>
      <c r="H483" s="2">
        <f>Googleadssales[[#This Row],[Conversions]]/Googleadssales[[#This Row],[Clicks]]</f>
        <v>3.7499999999999999E-2</v>
      </c>
      <c r="I483" t="str">
        <f>VLOOKUP(Googleadssales[[#This Row],[Ad_ID]],'[1]pre processed data'!A:O,15,0)</f>
        <v>$1270</v>
      </c>
      <c r="J483" s="3">
        <f>VLOOKUP(Googleadssales[[#This Row],[Ad_ID]],'[1]pre processed data'!A:Q,17,0)</f>
        <v>45618</v>
      </c>
      <c r="K483" t="str">
        <f>VLOOKUP(Googleadssales[[#This Row],[Ad_ID]],'[1]pre processed data'!A:R,18,0)</f>
        <v>Hyderabad</v>
      </c>
      <c r="L483" t="str">
        <f>VLOOKUP(Googleadssales[[#This Row],[Ad_ID]],'[1]pre processed data'!A:S,19,0)</f>
        <v>Tablet</v>
      </c>
      <c r="M483" t="str">
        <f>VLOOKUP(Googleadssales[[#This Row],[Ad_ID]],'[1]pre processed data'!A:T,20,0)</f>
        <v>learn data analytics</v>
      </c>
    </row>
    <row r="484" spans="1:13" x14ac:dyDescent="0.3">
      <c r="A484" t="s">
        <v>497</v>
      </c>
      <c r="B484" t="s">
        <v>14</v>
      </c>
      <c r="C484" s="4">
        <f>VLOOKUP(Googleadssales[[#This Row],[Ad_ID]],'[1]pre processed data'!A:C,3,0)</f>
        <v>168</v>
      </c>
      <c r="D484" s="4">
        <f>VLOOKUP(Googleadssales[[#This Row],[Ad_ID]],'[1]pre processed data'!A:E,5,0)</f>
        <v>3934</v>
      </c>
      <c r="E484" s="5" t="str">
        <f>VLOOKUP(Googleadssales[[#This Row],[Ad_ID]],[1]!Table3[[Ad_ID]:[Cost-imputed]],7,0)</f>
        <v>$246.09</v>
      </c>
      <c r="F484" s="4">
        <f>VLOOKUP(Googleadssales[[#This Row],[Ad_ID]],'[1]pre processed data'!A:I,9,0)</f>
        <v>24</v>
      </c>
      <c r="G484" s="4">
        <f>VLOOKUP(Googleadssales[[#This Row],[Ad_ID]],'[1]pre processed data'!A:K,11,0)</f>
        <v>6</v>
      </c>
      <c r="H484" s="2">
        <f>Googleadssales[[#This Row],[Conversions]]/Googleadssales[[#This Row],[Clicks]]</f>
        <v>3.5714285714285712E-2</v>
      </c>
      <c r="I484" t="str">
        <f>VLOOKUP(Googleadssales[[#This Row],[Ad_ID]],'[1]pre processed data'!A:O,15,0)</f>
        <v>$1592</v>
      </c>
      <c r="J484" s="3">
        <f>VLOOKUP(Googleadssales[[#This Row],[Ad_ID]],'[1]pre processed data'!A:Q,17,0)</f>
        <v>45620</v>
      </c>
      <c r="K484" t="str">
        <f>VLOOKUP(Googleadssales[[#This Row],[Ad_ID]],'[1]pre processed data'!A:R,18,0)</f>
        <v>Hyderabad</v>
      </c>
      <c r="L484" t="str">
        <f>VLOOKUP(Googleadssales[[#This Row],[Ad_ID]],'[1]pre processed data'!A:S,19,0)</f>
        <v>Tablet</v>
      </c>
      <c r="M484" t="str">
        <f>VLOOKUP(Googleadssales[[#This Row],[Ad_ID]],'[1]pre processed data'!A:T,20,0)</f>
        <v>data analytics online</v>
      </c>
    </row>
    <row r="485" spans="1:13" x14ac:dyDescent="0.3">
      <c r="A485" t="s">
        <v>498</v>
      </c>
      <c r="B485" t="s">
        <v>18</v>
      </c>
      <c r="C485" s="4">
        <f>VLOOKUP(Googleadssales[[#This Row],[Ad_ID]],'[1]pre processed data'!A:C,3,0)</f>
        <v>136</v>
      </c>
      <c r="D485" s="4">
        <f>VLOOKUP(Googleadssales[[#This Row],[Ad_ID]],'[1]pre processed data'!A:E,5,0)</f>
        <v>5724</v>
      </c>
      <c r="E485" s="5" t="str">
        <f>VLOOKUP(Googleadssales[[#This Row],[Ad_ID]],[1]!Table3[[Ad_ID]:[Cost-imputed]],7,0)</f>
        <v>$218.37</v>
      </c>
      <c r="F485" s="4">
        <f>VLOOKUP(Googleadssales[[#This Row],[Ad_ID]],'[1]pre processed data'!A:I,9,0)</f>
        <v>25</v>
      </c>
      <c r="G485" s="4">
        <f>VLOOKUP(Googleadssales[[#This Row],[Ad_ID]],'[1]pre processed data'!A:K,11,0)</f>
        <v>10</v>
      </c>
      <c r="H485" s="2">
        <f>Googleadssales[[#This Row],[Conversions]]/Googleadssales[[#This Row],[Clicks]]</f>
        <v>7.3529411764705885E-2</v>
      </c>
      <c r="I485" t="str">
        <f>VLOOKUP(Googleadssales[[#This Row],[Ad_ID]],'[1]pre processed data'!A:O,15,0)</f>
        <v>$1268</v>
      </c>
      <c r="J485" s="3">
        <f>VLOOKUP(Googleadssales[[#This Row],[Ad_ID]],'[1]pre processed data'!A:Q,17,0)</f>
        <v>45614</v>
      </c>
      <c r="K485" t="str">
        <f>VLOOKUP(Googleadssales[[#This Row],[Ad_ID]],'[1]pre processed data'!A:R,18,0)</f>
        <v>Chennai</v>
      </c>
      <c r="L485" t="str">
        <f>VLOOKUP(Googleadssales[[#This Row],[Ad_ID]],'[1]pre processed data'!A:S,19,0)</f>
        <v>Desktop</v>
      </c>
      <c r="M485" t="str">
        <f>VLOOKUP(Googleadssales[[#This Row],[Ad_ID]],'[1]pre processed data'!A:T,20,0)</f>
        <v>data analytics course</v>
      </c>
    </row>
    <row r="486" spans="1:13" x14ac:dyDescent="0.3">
      <c r="A486" t="s">
        <v>499</v>
      </c>
      <c r="B486" t="s">
        <v>14</v>
      </c>
      <c r="C486" s="4">
        <f>VLOOKUP(Googleadssales[[#This Row],[Ad_ID]],'[1]pre processed data'!A:C,3,0)</f>
        <v>86</v>
      </c>
      <c r="D486" s="4">
        <f>VLOOKUP(Googleadssales[[#This Row],[Ad_ID]],'[1]pre processed data'!A:E,5,0)</f>
        <v>4763</v>
      </c>
      <c r="E486" s="5" t="str">
        <f>VLOOKUP(Googleadssales[[#This Row],[Ad_ID]],[1]!Table3[[Ad_ID]:[Cost-imputed]],7,0)</f>
        <v>$243.78</v>
      </c>
      <c r="F486" s="4">
        <f>VLOOKUP(Googleadssales[[#This Row],[Ad_ID]],'[1]pre processed data'!A:I,9,0)</f>
        <v>11</v>
      </c>
      <c r="G486" s="4">
        <f>VLOOKUP(Googleadssales[[#This Row],[Ad_ID]],'[1]pre processed data'!A:K,11,0)</f>
        <v>8</v>
      </c>
      <c r="H486" s="2">
        <f>Googleadssales[[#This Row],[Conversions]]/Googleadssales[[#This Row],[Clicks]]</f>
        <v>9.3023255813953487E-2</v>
      </c>
      <c r="I486" t="str">
        <f>VLOOKUP(Googleadssales[[#This Row],[Ad_ID]],'[1]pre processed data'!A:O,15,0)</f>
        <v>$1770</v>
      </c>
      <c r="J486" s="3">
        <f>VLOOKUP(Googleadssales[[#This Row],[Ad_ID]],'[1]pre processed data'!A:Q,17,0)</f>
        <v>45609</v>
      </c>
      <c r="K486" t="str">
        <f>VLOOKUP(Googleadssales[[#This Row],[Ad_ID]],'[1]pre processed data'!A:R,18,0)</f>
        <v>Bangaluru</v>
      </c>
      <c r="L486" t="str">
        <f>VLOOKUP(Googleadssales[[#This Row],[Ad_ID]],'[1]pre processed data'!A:S,19,0)</f>
        <v>Mobile</v>
      </c>
      <c r="M486" t="str">
        <f>VLOOKUP(Googleadssales[[#This Row],[Ad_ID]],'[1]pre processed data'!A:T,20,0)</f>
        <v>learn data analytics</v>
      </c>
    </row>
    <row r="487" spans="1:13" x14ac:dyDescent="0.3">
      <c r="A487" t="s">
        <v>500</v>
      </c>
      <c r="B487" t="s">
        <v>14</v>
      </c>
      <c r="C487" s="4">
        <f>VLOOKUP(Googleadssales[[#This Row],[Ad_ID]],'[1]pre processed data'!A:C,3,0)</f>
        <v>175</v>
      </c>
      <c r="D487" s="4">
        <f>VLOOKUP(Googleadssales[[#This Row],[Ad_ID]],'[1]pre processed data'!A:E,5,0)</f>
        <v>3095</v>
      </c>
      <c r="E487" s="5" t="str">
        <f>VLOOKUP(Googleadssales[[#This Row],[Ad_ID]],[1]!Table3[[Ad_ID]:[Cost-imputed]],7,0)</f>
        <v>$236.86</v>
      </c>
      <c r="F487" s="4">
        <f>VLOOKUP(Googleadssales[[#This Row],[Ad_ID]],'[1]pre processed data'!A:I,9,0)</f>
        <v>22</v>
      </c>
      <c r="G487" s="4">
        <f>VLOOKUP(Googleadssales[[#This Row],[Ad_ID]],'[1]pre processed data'!A:K,11,0)</f>
        <v>4</v>
      </c>
      <c r="H487" s="2">
        <f>Googleadssales[[#This Row],[Conversions]]/Googleadssales[[#This Row],[Clicks]]</f>
        <v>2.2857142857142857E-2</v>
      </c>
      <c r="I487" t="str">
        <f>VLOOKUP(Googleadssales[[#This Row],[Ad_ID]],'[1]pre processed data'!A:O,15,0)</f>
        <v>$1617</v>
      </c>
      <c r="J487" s="3">
        <f>VLOOKUP(Googleadssales[[#This Row],[Ad_ID]],'[1]pre processed data'!A:Q,17,0)</f>
        <v>45616</v>
      </c>
      <c r="K487" t="str">
        <f>VLOOKUP(Googleadssales[[#This Row],[Ad_ID]],'[1]pre processed data'!A:R,18,0)</f>
        <v>Hyderabad</v>
      </c>
      <c r="L487" t="str">
        <f>VLOOKUP(Googleadssales[[#This Row],[Ad_ID]],'[1]pre processed data'!A:S,19,0)</f>
        <v>Mobile</v>
      </c>
      <c r="M487" t="str">
        <f>VLOOKUP(Googleadssales[[#This Row],[Ad_ID]],'[1]pre processed data'!A:T,20,0)</f>
        <v>analytics for data</v>
      </c>
    </row>
    <row r="488" spans="1:13" x14ac:dyDescent="0.3">
      <c r="A488" t="s">
        <v>501</v>
      </c>
      <c r="B488" t="s">
        <v>14</v>
      </c>
      <c r="C488" s="4">
        <f>VLOOKUP(Googleadssales[[#This Row],[Ad_ID]],'[1]pre processed data'!A:C,3,0)</f>
        <v>173</v>
      </c>
      <c r="D488" s="4">
        <f>VLOOKUP(Googleadssales[[#This Row],[Ad_ID]],'[1]pre processed data'!A:E,5,0)</f>
        <v>5554</v>
      </c>
      <c r="E488" s="5" t="str">
        <f>VLOOKUP(Googleadssales[[#This Row],[Ad_ID]],[1]!Table3[[Ad_ID]:[Cost-imputed]],7,0)</f>
        <v>$185.09</v>
      </c>
      <c r="F488" s="4">
        <f>VLOOKUP(Googleadssales[[#This Row],[Ad_ID]],'[1]pre processed data'!A:I,9,0)</f>
        <v>22</v>
      </c>
      <c r="G488" s="4">
        <f>VLOOKUP(Googleadssales[[#This Row],[Ad_ID]],'[1]pre processed data'!A:K,11,0)</f>
        <v>4</v>
      </c>
      <c r="H488" s="2">
        <f>Googleadssales[[#This Row],[Conversions]]/Googleadssales[[#This Row],[Clicks]]</f>
        <v>2.3121387283236993E-2</v>
      </c>
      <c r="I488" t="str">
        <f>VLOOKUP(Googleadssales[[#This Row],[Ad_ID]],'[1]pre processed data'!A:O,15,0)</f>
        <v>$1000</v>
      </c>
      <c r="J488" s="3">
        <f>VLOOKUP(Googleadssales[[#This Row],[Ad_ID]],'[1]pre processed data'!A:Q,17,0)</f>
        <v>45597</v>
      </c>
      <c r="K488" t="str">
        <f>VLOOKUP(Googleadssales[[#This Row],[Ad_ID]],'[1]pre processed data'!A:R,18,0)</f>
        <v>Chennai</v>
      </c>
      <c r="L488" t="str">
        <f>VLOOKUP(Googleadssales[[#This Row],[Ad_ID]],'[1]pre processed data'!A:S,19,0)</f>
        <v>Desktop</v>
      </c>
      <c r="M488" t="str">
        <f>VLOOKUP(Googleadssales[[#This Row],[Ad_ID]],'[1]pre processed data'!A:T,20,0)</f>
        <v>data analytics course</v>
      </c>
    </row>
    <row r="489" spans="1:13" x14ac:dyDescent="0.3">
      <c r="A489" t="s">
        <v>502</v>
      </c>
      <c r="B489" t="s">
        <v>14</v>
      </c>
      <c r="C489" s="4">
        <f>VLOOKUP(Googleadssales[[#This Row],[Ad_ID]],'[1]pre processed data'!A:C,3,0)</f>
        <v>192</v>
      </c>
      <c r="D489" s="4">
        <f>VLOOKUP(Googleadssales[[#This Row],[Ad_ID]],'[1]pre processed data'!A:E,5,0)</f>
        <v>3407</v>
      </c>
      <c r="E489" s="5" t="str">
        <f>VLOOKUP(Googleadssales[[#This Row],[Ad_ID]],[1]!Table3[[Ad_ID]:[Cost-imputed]],7,0)</f>
        <v>$223.29</v>
      </c>
      <c r="F489" s="4">
        <f>VLOOKUP(Googleadssales[[#This Row],[Ad_ID]],'[1]pre processed data'!A:I,9,0)</f>
        <v>29</v>
      </c>
      <c r="G489" s="4">
        <f>VLOOKUP(Googleadssales[[#This Row],[Ad_ID]],'[1]pre processed data'!A:K,11,0)</f>
        <v>9</v>
      </c>
      <c r="H489" s="2">
        <f>Googleadssales[[#This Row],[Conversions]]/Googleadssales[[#This Row],[Clicks]]</f>
        <v>4.6875E-2</v>
      </c>
      <c r="I489" t="str">
        <f>VLOOKUP(Googleadssales[[#This Row],[Ad_ID]],'[1]pre processed data'!A:O,15,0)</f>
        <v>$1538</v>
      </c>
      <c r="J489" s="3">
        <f>VLOOKUP(Googleadssales[[#This Row],[Ad_ID]],'[1]pre processed data'!A:Q,17,0)</f>
        <v>45621</v>
      </c>
      <c r="K489" t="str">
        <f>VLOOKUP(Googleadssales[[#This Row],[Ad_ID]],'[1]pre processed data'!A:R,18,0)</f>
        <v>Chennai</v>
      </c>
      <c r="L489" t="str">
        <f>VLOOKUP(Googleadssales[[#This Row],[Ad_ID]],'[1]pre processed data'!A:S,19,0)</f>
        <v>Tablet</v>
      </c>
      <c r="M489" t="str">
        <f>VLOOKUP(Googleadssales[[#This Row],[Ad_ID]],'[1]pre processed data'!A:T,20,0)</f>
        <v>data analytics training</v>
      </c>
    </row>
    <row r="490" spans="1:13" x14ac:dyDescent="0.3">
      <c r="A490" t="s">
        <v>503</v>
      </c>
      <c r="B490" t="s">
        <v>14</v>
      </c>
      <c r="C490" s="4">
        <f>VLOOKUP(Googleadssales[[#This Row],[Ad_ID]],'[1]pre processed data'!A:C,3,0)</f>
        <v>190</v>
      </c>
      <c r="D490" s="4">
        <f>VLOOKUP(Googleadssales[[#This Row],[Ad_ID]],'[1]pre processed data'!A:E,5,0)</f>
        <v>4465</v>
      </c>
      <c r="E490" s="5" t="str">
        <f>VLOOKUP(Googleadssales[[#This Row],[Ad_ID]],[1]!Table3[[Ad_ID]:[Cost-imputed]],7,0)</f>
        <v>$241.38</v>
      </c>
      <c r="F490" s="4">
        <f>VLOOKUP(Googleadssales[[#This Row],[Ad_ID]],'[1]pre processed data'!A:I,9,0)</f>
        <v>28</v>
      </c>
      <c r="G490" s="4">
        <f>VLOOKUP(Googleadssales[[#This Row],[Ad_ID]],'[1]pre processed data'!A:K,11,0)</f>
        <v>5</v>
      </c>
      <c r="H490" s="2">
        <f>Googleadssales[[#This Row],[Conversions]]/Googleadssales[[#This Row],[Clicks]]</f>
        <v>2.6315789473684209E-2</v>
      </c>
      <c r="I490" t="str">
        <f>VLOOKUP(Googleadssales[[#This Row],[Ad_ID]],'[1]pre processed data'!A:O,15,0)</f>
        <v>$1910</v>
      </c>
      <c r="J490" s="3">
        <f>VLOOKUP(Googleadssales[[#This Row],[Ad_ID]],'[1]pre processed data'!A:Q,17,0)</f>
        <v>45600</v>
      </c>
      <c r="K490" t="str">
        <f>VLOOKUP(Googleadssales[[#This Row],[Ad_ID]],'[1]pre processed data'!A:R,18,0)</f>
        <v>Hyderabad</v>
      </c>
      <c r="L490" t="str">
        <f>VLOOKUP(Googleadssales[[#This Row],[Ad_ID]],'[1]pre processed data'!A:S,19,0)</f>
        <v>Desktop</v>
      </c>
      <c r="M490" t="str">
        <f>VLOOKUP(Googleadssales[[#This Row],[Ad_ID]],'[1]pre processed data'!A:T,20,0)</f>
        <v>analytics for data</v>
      </c>
    </row>
    <row r="491" spans="1:13" x14ac:dyDescent="0.3">
      <c r="A491" t="s">
        <v>504</v>
      </c>
      <c r="B491" t="s">
        <v>14</v>
      </c>
      <c r="C491" s="4">
        <f>VLOOKUP(Googleadssales[[#This Row],[Ad_ID]],'[1]pre processed data'!A:C,3,0)</f>
        <v>161</v>
      </c>
      <c r="D491" s="4">
        <f>VLOOKUP(Googleadssales[[#This Row],[Ad_ID]],'[1]pre processed data'!A:E,5,0)</f>
        <v>3311</v>
      </c>
      <c r="E491" s="5" t="str">
        <f>VLOOKUP(Googleadssales[[#This Row],[Ad_ID]],[1]!Table3[[Ad_ID]:[Cost-imputed]],7,0)</f>
        <v>$221.64</v>
      </c>
      <c r="F491" s="4">
        <f>VLOOKUP(Googleadssales[[#This Row],[Ad_ID]],'[1]pre processed data'!A:I,9,0)</f>
        <v>16</v>
      </c>
      <c r="G491" s="4">
        <f>VLOOKUP(Googleadssales[[#This Row],[Ad_ID]],'[1]pre processed data'!A:K,11,0)</f>
        <v>5</v>
      </c>
      <c r="H491" s="2">
        <f>Googleadssales[[#This Row],[Conversions]]/Googleadssales[[#This Row],[Clicks]]</f>
        <v>3.1055900621118012E-2</v>
      </c>
      <c r="I491" t="str">
        <f>VLOOKUP(Googleadssales[[#This Row],[Ad_ID]],'[1]pre processed data'!A:O,15,0)</f>
        <v>$1006</v>
      </c>
      <c r="J491" s="3">
        <f>VLOOKUP(Googleadssales[[#This Row],[Ad_ID]],'[1]pre processed data'!A:Q,17,0)</f>
        <v>45598</v>
      </c>
      <c r="K491" t="str">
        <f>VLOOKUP(Googleadssales[[#This Row],[Ad_ID]],'[1]pre processed data'!A:R,18,0)</f>
        <v>Hyderabad</v>
      </c>
      <c r="L491" t="str">
        <f>VLOOKUP(Googleadssales[[#This Row],[Ad_ID]],'[1]pre processed data'!A:S,19,0)</f>
        <v>Tablet</v>
      </c>
      <c r="M491" t="str">
        <f>VLOOKUP(Googleadssales[[#This Row],[Ad_ID]],'[1]pre processed data'!A:T,20,0)</f>
        <v>online data analytic</v>
      </c>
    </row>
    <row r="492" spans="1:13" x14ac:dyDescent="0.3">
      <c r="A492" t="s">
        <v>505</v>
      </c>
      <c r="B492" t="s">
        <v>14</v>
      </c>
      <c r="C492" s="4">
        <f>VLOOKUP(Googleadssales[[#This Row],[Ad_ID]],'[1]pre processed data'!A:C,3,0)</f>
        <v>197</v>
      </c>
      <c r="D492" s="4">
        <f>VLOOKUP(Googleadssales[[#This Row],[Ad_ID]],'[1]pre processed data'!A:E,5,0)</f>
        <v>3265</v>
      </c>
      <c r="E492" s="5" t="str">
        <f>VLOOKUP(Googleadssales[[#This Row],[Ad_ID]],[1]!Table3[[Ad_ID]:[Cost-imputed]],7,0)</f>
        <v>$200.4</v>
      </c>
      <c r="F492" s="4">
        <f>VLOOKUP(Googleadssales[[#This Row],[Ad_ID]],'[1]pre processed data'!A:I,9,0)</f>
        <v>15</v>
      </c>
      <c r="G492" s="4">
        <f>VLOOKUP(Googleadssales[[#This Row],[Ad_ID]],'[1]pre processed data'!A:K,11,0)</f>
        <v>3</v>
      </c>
      <c r="H492" s="2">
        <f>Googleadssales[[#This Row],[Conversions]]/Googleadssales[[#This Row],[Clicks]]</f>
        <v>1.5228426395939087E-2</v>
      </c>
      <c r="I492" t="str">
        <f>VLOOKUP(Googleadssales[[#This Row],[Ad_ID]],'[1]pre processed data'!A:O,15,0)</f>
        <v>$1882</v>
      </c>
      <c r="J492" s="3">
        <f>VLOOKUP(Googleadssales[[#This Row],[Ad_ID]],'[1]pre processed data'!A:Q,17,0)</f>
        <v>45597</v>
      </c>
      <c r="K492" t="str">
        <f>VLOOKUP(Googleadssales[[#This Row],[Ad_ID]],'[1]pre processed data'!A:R,18,0)</f>
        <v>Chennai</v>
      </c>
      <c r="L492" t="str">
        <f>VLOOKUP(Googleadssales[[#This Row],[Ad_ID]],'[1]pre processed data'!A:S,19,0)</f>
        <v>Mobile</v>
      </c>
      <c r="M492" t="str">
        <f>VLOOKUP(Googleadssales[[#This Row],[Ad_ID]],'[1]pre processed data'!A:T,20,0)</f>
        <v>learn data analytics</v>
      </c>
    </row>
    <row r="493" spans="1:13" x14ac:dyDescent="0.3">
      <c r="A493" t="s">
        <v>506</v>
      </c>
      <c r="B493" t="s">
        <v>14</v>
      </c>
      <c r="C493" s="4">
        <f>VLOOKUP(Googleadssales[[#This Row],[Ad_ID]],'[1]pre processed data'!A:C,3,0)</f>
        <v>80</v>
      </c>
      <c r="D493" s="4">
        <f>VLOOKUP(Googleadssales[[#This Row],[Ad_ID]],'[1]pre processed data'!A:E,5,0)</f>
        <v>4969</v>
      </c>
      <c r="E493" s="5" t="str">
        <f>VLOOKUP(Googleadssales[[#This Row],[Ad_ID]],[1]!Table3[[Ad_ID]:[Cost-imputed]],7,0)</f>
        <v>$210.7</v>
      </c>
      <c r="F493" s="4">
        <f>VLOOKUP(Googleadssales[[#This Row],[Ad_ID]],'[1]pre processed data'!A:I,9,0)</f>
        <v>25</v>
      </c>
      <c r="G493" s="4">
        <f>VLOOKUP(Googleadssales[[#This Row],[Ad_ID]],'[1]pre processed data'!A:K,11,0)</f>
        <v>3</v>
      </c>
      <c r="H493" s="2">
        <f>Googleadssales[[#This Row],[Conversions]]/Googleadssales[[#This Row],[Clicks]]</f>
        <v>3.7499999999999999E-2</v>
      </c>
      <c r="I493" t="str">
        <f>VLOOKUP(Googleadssales[[#This Row],[Ad_ID]],'[1]pre processed data'!A:O,15,0)</f>
        <v>$1146</v>
      </c>
      <c r="J493" s="3">
        <f>VLOOKUP(Googleadssales[[#This Row],[Ad_ID]],'[1]pre processed data'!A:Q,17,0)</f>
        <v>45601</v>
      </c>
      <c r="K493" t="str">
        <f>VLOOKUP(Googleadssales[[#This Row],[Ad_ID]],'[1]pre processed data'!A:R,18,0)</f>
        <v>Hyderabad</v>
      </c>
      <c r="L493" t="str">
        <f>VLOOKUP(Googleadssales[[#This Row],[Ad_ID]],'[1]pre processed data'!A:S,19,0)</f>
        <v>Tablet</v>
      </c>
      <c r="M493" t="str">
        <f>VLOOKUP(Googleadssales[[#This Row],[Ad_ID]],'[1]pre processed data'!A:T,20,0)</f>
        <v>analytics for data</v>
      </c>
    </row>
    <row r="494" spans="1:13" x14ac:dyDescent="0.3">
      <c r="A494" t="s">
        <v>507</v>
      </c>
      <c r="B494" t="s">
        <v>18</v>
      </c>
      <c r="C494" s="4">
        <f>VLOOKUP(Googleadssales[[#This Row],[Ad_ID]],'[1]pre processed data'!A:C,3,0)</f>
        <v>145</v>
      </c>
      <c r="D494" s="4">
        <f>VLOOKUP(Googleadssales[[#This Row],[Ad_ID]],'[1]pre processed data'!A:E,5,0)</f>
        <v>5368</v>
      </c>
      <c r="E494" s="5" t="str">
        <f>VLOOKUP(Googleadssales[[#This Row],[Ad_ID]],[1]!Table3[[Ad_ID]:[Cost-imputed]],7,0)</f>
        <v>$200.88</v>
      </c>
      <c r="F494" s="4">
        <f>VLOOKUP(Googleadssales[[#This Row],[Ad_ID]],'[1]pre processed data'!A:I,9,0)</f>
        <v>14</v>
      </c>
      <c r="G494" s="4">
        <f>VLOOKUP(Googleadssales[[#This Row],[Ad_ID]],'[1]pre processed data'!A:K,11,0)</f>
        <v>4</v>
      </c>
      <c r="H494" s="2">
        <f>Googleadssales[[#This Row],[Conversions]]/Googleadssales[[#This Row],[Clicks]]</f>
        <v>2.7586206896551724E-2</v>
      </c>
      <c r="I494" t="str">
        <f>VLOOKUP(Googleadssales[[#This Row],[Ad_ID]],'[1]pre processed data'!A:O,15,0)</f>
        <v>$1125</v>
      </c>
      <c r="J494" s="3">
        <f>VLOOKUP(Googleadssales[[#This Row],[Ad_ID]],'[1]pre processed data'!A:Q,17,0)</f>
        <v>45623</v>
      </c>
      <c r="K494" t="str">
        <f>VLOOKUP(Googleadssales[[#This Row],[Ad_ID]],'[1]pre processed data'!A:R,18,0)</f>
        <v>Hyderabad</v>
      </c>
      <c r="L494" t="str">
        <f>VLOOKUP(Googleadssales[[#This Row],[Ad_ID]],'[1]pre processed data'!A:S,19,0)</f>
        <v>Tablet</v>
      </c>
      <c r="M494" t="str">
        <f>VLOOKUP(Googleadssales[[#This Row],[Ad_ID]],'[1]pre processed data'!A:T,20,0)</f>
        <v>learn data analytics</v>
      </c>
    </row>
    <row r="495" spans="1:13" x14ac:dyDescent="0.3">
      <c r="A495" t="s">
        <v>508</v>
      </c>
      <c r="B495" t="s">
        <v>14</v>
      </c>
      <c r="C495" s="4">
        <f>VLOOKUP(Googleadssales[[#This Row],[Ad_ID]],'[1]pre processed data'!A:C,3,0)</f>
        <v>90</v>
      </c>
      <c r="D495" s="4">
        <f>VLOOKUP(Googleadssales[[#This Row],[Ad_ID]],'[1]pre processed data'!A:E,5,0)</f>
        <v>5851</v>
      </c>
      <c r="E495" s="5" t="str">
        <f>VLOOKUP(Googleadssales[[#This Row],[Ad_ID]],[1]!Table3[[Ad_ID]:[Cost-imputed]],7,0)</f>
        <v>$232.94</v>
      </c>
      <c r="F495" s="4">
        <f>VLOOKUP(Googleadssales[[#This Row],[Ad_ID]],'[1]pre processed data'!A:I,9,0)</f>
        <v>22</v>
      </c>
      <c r="G495" s="4">
        <f>VLOOKUP(Googleadssales[[#This Row],[Ad_ID]],'[1]pre processed data'!A:K,11,0)</f>
        <v>8</v>
      </c>
      <c r="H495" s="2">
        <f>Googleadssales[[#This Row],[Conversions]]/Googleadssales[[#This Row],[Clicks]]</f>
        <v>8.8888888888888892E-2</v>
      </c>
      <c r="I495" t="str">
        <f>VLOOKUP(Googleadssales[[#This Row],[Ad_ID]],'[1]pre processed data'!A:O,15,0)</f>
        <v>$1421</v>
      </c>
      <c r="J495" s="3">
        <f>VLOOKUP(Googleadssales[[#This Row],[Ad_ID]],'[1]pre processed data'!A:Q,17,0)</f>
        <v>45624</v>
      </c>
      <c r="K495" t="str">
        <f>VLOOKUP(Googleadssales[[#This Row],[Ad_ID]],'[1]pre processed data'!A:R,18,0)</f>
        <v>Bangaluru</v>
      </c>
      <c r="L495" t="str">
        <f>VLOOKUP(Googleadssales[[#This Row],[Ad_ID]],'[1]pre processed data'!A:S,19,0)</f>
        <v>Desktop</v>
      </c>
      <c r="M495" t="str">
        <f>VLOOKUP(Googleadssales[[#This Row],[Ad_ID]],'[1]pre processed data'!A:T,20,0)</f>
        <v>learn data analytics</v>
      </c>
    </row>
    <row r="496" spans="1:13" x14ac:dyDescent="0.3">
      <c r="A496" t="s">
        <v>509</v>
      </c>
      <c r="B496" t="s">
        <v>18</v>
      </c>
      <c r="C496" s="4">
        <f>VLOOKUP(Googleadssales[[#This Row],[Ad_ID]],'[1]pre processed data'!A:C,3,0)</f>
        <v>109</v>
      </c>
      <c r="D496" s="4">
        <f>VLOOKUP(Googleadssales[[#This Row],[Ad_ID]],'[1]pre processed data'!A:E,5,0)</f>
        <v>4884</v>
      </c>
      <c r="E496" s="5" t="str">
        <f>VLOOKUP(Googleadssales[[#This Row],[Ad_ID]],[1]!Table3[[Ad_ID]:[Cost-imputed]],7,0)</f>
        <v>$228.13</v>
      </c>
      <c r="F496" s="4">
        <f>VLOOKUP(Googleadssales[[#This Row],[Ad_ID]],'[1]pre processed data'!A:I,9,0)</f>
        <v>11</v>
      </c>
      <c r="G496" s="4">
        <f>VLOOKUP(Googleadssales[[#This Row],[Ad_ID]],'[1]pre processed data'!A:K,11,0)</f>
        <v>8</v>
      </c>
      <c r="H496" s="2">
        <f>Googleadssales[[#This Row],[Conversions]]/Googleadssales[[#This Row],[Clicks]]</f>
        <v>7.3394495412844041E-2</v>
      </c>
      <c r="I496" t="str">
        <f>VLOOKUP(Googleadssales[[#This Row],[Ad_ID]],'[1]pre processed data'!A:O,15,0)</f>
        <v>$1680</v>
      </c>
      <c r="J496" s="3">
        <f>VLOOKUP(Googleadssales[[#This Row],[Ad_ID]],'[1]pre processed data'!A:Q,17,0)</f>
        <v>45611</v>
      </c>
      <c r="K496" t="str">
        <f>VLOOKUP(Googleadssales[[#This Row],[Ad_ID]],'[1]pre processed data'!A:R,18,0)</f>
        <v>Chennai</v>
      </c>
      <c r="L496" t="str">
        <f>VLOOKUP(Googleadssales[[#This Row],[Ad_ID]],'[1]pre processed data'!A:S,19,0)</f>
        <v>Desktop</v>
      </c>
      <c r="M496" t="str">
        <f>VLOOKUP(Googleadssales[[#This Row],[Ad_ID]],'[1]pre processed data'!A:T,20,0)</f>
        <v>data analytics training</v>
      </c>
    </row>
    <row r="497" spans="1:13" x14ac:dyDescent="0.3">
      <c r="A497" t="s">
        <v>510</v>
      </c>
      <c r="B497" t="s">
        <v>14</v>
      </c>
      <c r="C497" s="4">
        <f>VLOOKUP(Googleadssales[[#This Row],[Ad_ID]],'[1]pre processed data'!A:C,3,0)</f>
        <v>130</v>
      </c>
      <c r="D497" s="4">
        <f>VLOOKUP(Googleadssales[[#This Row],[Ad_ID]],'[1]pre processed data'!A:E,5,0)</f>
        <v>5719</v>
      </c>
      <c r="E497" s="5" t="str">
        <f>VLOOKUP(Googleadssales[[#This Row],[Ad_ID]],[1]!Table3[[Ad_ID]:[Cost-imputed]],7,0)</f>
        <v>$200.00</v>
      </c>
      <c r="F497" s="4">
        <f>VLOOKUP(Googleadssales[[#This Row],[Ad_ID]],'[1]pre processed data'!A:I,9,0)</f>
        <v>10</v>
      </c>
      <c r="G497" s="4">
        <f>VLOOKUP(Googleadssales[[#This Row],[Ad_ID]],'[1]pre processed data'!A:K,11,0)</f>
        <v>5</v>
      </c>
      <c r="H497" s="2">
        <f>Googleadssales[[#This Row],[Conversions]]/Googleadssales[[#This Row],[Clicks]]</f>
        <v>3.8461538461538464E-2</v>
      </c>
      <c r="I497" t="str">
        <f>VLOOKUP(Googleadssales[[#This Row],[Ad_ID]],'[1]pre processed data'!A:O,15,0)</f>
        <v>$1208</v>
      </c>
      <c r="J497" s="3">
        <f>VLOOKUP(Googleadssales[[#This Row],[Ad_ID]],'[1]pre processed data'!A:Q,17,0)</f>
        <v>45619</v>
      </c>
      <c r="K497" t="str">
        <f>VLOOKUP(Googleadssales[[#This Row],[Ad_ID]],'[1]pre processed data'!A:R,18,0)</f>
        <v>Chennai</v>
      </c>
      <c r="L497" t="str">
        <f>VLOOKUP(Googleadssales[[#This Row],[Ad_ID]],'[1]pre processed data'!A:S,19,0)</f>
        <v>Desktop</v>
      </c>
      <c r="M497" t="str">
        <f>VLOOKUP(Googleadssales[[#This Row],[Ad_ID]],'[1]pre processed data'!A:T,20,0)</f>
        <v>analytics for data</v>
      </c>
    </row>
    <row r="498" spans="1:13" x14ac:dyDescent="0.3">
      <c r="A498" t="s">
        <v>511</v>
      </c>
      <c r="B498" t="s">
        <v>18</v>
      </c>
      <c r="C498" s="4">
        <f>VLOOKUP(Googleadssales[[#This Row],[Ad_ID]],'[1]pre processed data'!A:C,3,0)</f>
        <v>179</v>
      </c>
      <c r="D498" s="4">
        <f>VLOOKUP(Googleadssales[[#This Row],[Ad_ID]],'[1]pre processed data'!A:E,5,0)</f>
        <v>5828</v>
      </c>
      <c r="E498" s="5" t="str">
        <f>VLOOKUP(Googleadssales[[#This Row],[Ad_ID]],[1]!Table3[[Ad_ID]:[Cost-imputed]],7,0)</f>
        <v>$247.84</v>
      </c>
      <c r="F498" s="4">
        <f>VLOOKUP(Googleadssales[[#This Row],[Ad_ID]],'[1]pre processed data'!A:I,9,0)</f>
        <v>15</v>
      </c>
      <c r="G498" s="4">
        <f>VLOOKUP(Googleadssales[[#This Row],[Ad_ID]],'[1]pre processed data'!A:K,11,0)</f>
        <v>4</v>
      </c>
      <c r="H498" s="2">
        <f>Googleadssales[[#This Row],[Conversions]]/Googleadssales[[#This Row],[Clicks]]</f>
        <v>2.23463687150838E-2</v>
      </c>
      <c r="I498" t="str">
        <f>VLOOKUP(Googleadssales[[#This Row],[Ad_ID]],'[1]pre processed data'!A:O,15,0)</f>
        <v>$1127</v>
      </c>
      <c r="J498" s="3">
        <f>VLOOKUP(Googleadssales[[#This Row],[Ad_ID]],'[1]pre processed data'!A:Q,17,0)</f>
        <v>45610</v>
      </c>
      <c r="K498" t="str">
        <f>VLOOKUP(Googleadssales[[#This Row],[Ad_ID]],'[1]pre processed data'!A:R,18,0)</f>
        <v>Hyderabad</v>
      </c>
      <c r="L498" t="str">
        <f>VLOOKUP(Googleadssales[[#This Row],[Ad_ID]],'[1]pre processed data'!A:S,19,0)</f>
        <v>Mobile</v>
      </c>
      <c r="M498" t="str">
        <f>VLOOKUP(Googleadssales[[#This Row],[Ad_ID]],'[1]pre processed data'!A:T,20,0)</f>
        <v>analytics for data</v>
      </c>
    </row>
    <row r="499" spans="1:13" x14ac:dyDescent="0.3">
      <c r="A499" t="s">
        <v>512</v>
      </c>
      <c r="B499" t="s">
        <v>14</v>
      </c>
      <c r="C499" s="4">
        <f>VLOOKUP(Googleadssales[[#This Row],[Ad_ID]],'[1]pre processed data'!A:C,3,0)</f>
        <v>181</v>
      </c>
      <c r="D499" s="4">
        <f>VLOOKUP(Googleadssales[[#This Row],[Ad_ID]],'[1]pre processed data'!A:E,5,0)</f>
        <v>4935</v>
      </c>
      <c r="E499" s="5" t="str">
        <f>VLOOKUP(Googleadssales[[#This Row],[Ad_ID]],[1]!Table3[[Ad_ID]:[Cost-imputed]],7,0)</f>
        <v>$239.29</v>
      </c>
      <c r="F499" s="4">
        <f>VLOOKUP(Googleadssales[[#This Row],[Ad_ID]],'[1]pre processed data'!A:I,9,0)</f>
        <v>15</v>
      </c>
      <c r="G499" s="4">
        <f>VLOOKUP(Googleadssales[[#This Row],[Ad_ID]],'[1]pre processed data'!A:K,11,0)</f>
        <v>5</v>
      </c>
      <c r="H499" s="2">
        <f>Googleadssales[[#This Row],[Conversions]]/Googleadssales[[#This Row],[Clicks]]</f>
        <v>2.7624309392265192E-2</v>
      </c>
      <c r="I499" t="str">
        <f>VLOOKUP(Googleadssales[[#This Row],[Ad_ID]],'[1]pre processed data'!A:O,15,0)</f>
        <v>$1497</v>
      </c>
      <c r="J499" s="3">
        <f>VLOOKUP(Googleadssales[[#This Row],[Ad_ID]],'[1]pre processed data'!A:Q,17,0)</f>
        <v>45605</v>
      </c>
      <c r="K499" t="str">
        <f>VLOOKUP(Googleadssales[[#This Row],[Ad_ID]],'[1]pre processed data'!A:R,18,0)</f>
        <v>Hyderabad</v>
      </c>
      <c r="L499" t="str">
        <f>VLOOKUP(Googleadssales[[#This Row],[Ad_ID]],'[1]pre processed data'!A:S,19,0)</f>
        <v>Desktop</v>
      </c>
      <c r="M499" t="str">
        <f>VLOOKUP(Googleadssales[[#This Row],[Ad_ID]],'[1]pre processed data'!A:T,20,0)</f>
        <v>data analytics training</v>
      </c>
    </row>
    <row r="500" spans="1:13" x14ac:dyDescent="0.3">
      <c r="A500" t="s">
        <v>513</v>
      </c>
      <c r="B500" t="s">
        <v>14</v>
      </c>
      <c r="C500" s="4">
        <f>VLOOKUP(Googleadssales[[#This Row],[Ad_ID]],'[1]pre processed data'!A:C,3,0)</f>
        <v>188</v>
      </c>
      <c r="D500" s="4">
        <f>VLOOKUP(Googleadssales[[#This Row],[Ad_ID]],'[1]pre processed data'!A:E,5,0)</f>
        <v>4491</v>
      </c>
      <c r="E500" s="5" t="str">
        <f>VLOOKUP(Googleadssales[[#This Row],[Ad_ID]],[1]!Table3[[Ad_ID]:[Cost-imputed]],7,0)</f>
        <v>$201.73</v>
      </c>
      <c r="F500" s="4">
        <f>VLOOKUP(Googleadssales[[#This Row],[Ad_ID]],'[1]pre processed data'!A:I,9,0)</f>
        <v>24</v>
      </c>
      <c r="G500" s="4">
        <f>VLOOKUP(Googleadssales[[#This Row],[Ad_ID]],'[1]pre processed data'!A:K,11,0)</f>
        <v>7</v>
      </c>
      <c r="H500" s="2">
        <f>Googleadssales[[#This Row],[Conversions]]/Googleadssales[[#This Row],[Clicks]]</f>
        <v>3.7234042553191488E-2</v>
      </c>
      <c r="I500" t="str">
        <f>VLOOKUP(Googleadssales[[#This Row],[Ad_ID]],'[1]pre processed data'!A:O,15,0)</f>
        <v>$1906</v>
      </c>
      <c r="J500" s="3">
        <f>VLOOKUP(Googleadssales[[#This Row],[Ad_ID]],'[1]pre processed data'!A:Q,17,0)</f>
        <v>45617</v>
      </c>
      <c r="K500" t="str">
        <f>VLOOKUP(Googleadssales[[#This Row],[Ad_ID]],'[1]pre processed data'!A:R,18,0)</f>
        <v>Chennai</v>
      </c>
      <c r="L500" t="str">
        <f>VLOOKUP(Googleadssales[[#This Row],[Ad_ID]],'[1]pre processed data'!A:S,19,0)</f>
        <v>Mobile</v>
      </c>
      <c r="M500" t="str">
        <f>VLOOKUP(Googleadssales[[#This Row],[Ad_ID]],'[1]pre processed data'!A:T,20,0)</f>
        <v>online data analytic</v>
      </c>
    </row>
    <row r="501" spans="1:13" x14ac:dyDescent="0.3">
      <c r="A501" t="s">
        <v>514</v>
      </c>
      <c r="B501" t="s">
        <v>14</v>
      </c>
      <c r="C501" s="4">
        <f>VLOOKUP(Googleadssales[[#This Row],[Ad_ID]],'[1]pre processed data'!A:C,3,0)</f>
        <v>139</v>
      </c>
      <c r="D501" s="4">
        <f>VLOOKUP(Googleadssales[[#This Row],[Ad_ID]],'[1]pre processed data'!A:E,5,0)</f>
        <v>3659</v>
      </c>
      <c r="E501" s="5" t="str">
        <f>VLOOKUP(Googleadssales[[#This Row],[Ad_ID]],[1]!Table3[[Ad_ID]:[Cost-imputed]],7,0)</f>
        <v>$189.09</v>
      </c>
      <c r="F501" s="4">
        <f>VLOOKUP(Googleadssales[[#This Row],[Ad_ID]],'[1]pre processed data'!A:I,9,0)</f>
        <v>16</v>
      </c>
      <c r="G501" s="4">
        <f>VLOOKUP(Googleadssales[[#This Row],[Ad_ID]],'[1]pre processed data'!A:K,11,0)</f>
        <v>4</v>
      </c>
      <c r="H501" s="2">
        <f>Googleadssales[[#This Row],[Conversions]]/Googleadssales[[#This Row],[Clicks]]</f>
        <v>2.8776978417266189E-2</v>
      </c>
      <c r="I501" t="str">
        <f>VLOOKUP(Googleadssales[[#This Row],[Ad_ID]],'[1]pre processed data'!A:O,15,0)</f>
        <v>$1892</v>
      </c>
      <c r="J501" s="3">
        <f>VLOOKUP(Googleadssales[[#This Row],[Ad_ID]],'[1]pre processed data'!A:Q,17,0)</f>
        <v>45625</v>
      </c>
      <c r="K501" t="str">
        <f>VLOOKUP(Googleadssales[[#This Row],[Ad_ID]],'[1]pre processed data'!A:R,18,0)</f>
        <v>Chennai</v>
      </c>
      <c r="L501" t="str">
        <f>VLOOKUP(Googleadssales[[#This Row],[Ad_ID]],'[1]pre processed data'!A:S,19,0)</f>
        <v>Desktop</v>
      </c>
      <c r="M501" t="str">
        <f>VLOOKUP(Googleadssales[[#This Row],[Ad_ID]],'[1]pre processed data'!A:T,20,0)</f>
        <v>data analytics training</v>
      </c>
    </row>
    <row r="502" spans="1:13" x14ac:dyDescent="0.3">
      <c r="A502" t="s">
        <v>515</v>
      </c>
      <c r="B502" t="s">
        <v>14</v>
      </c>
      <c r="C502" s="4">
        <f>VLOOKUP(Googleadssales[[#This Row],[Ad_ID]],'[1]pre processed data'!A:C,3,0)</f>
        <v>99</v>
      </c>
      <c r="D502" s="4">
        <f>VLOOKUP(Googleadssales[[#This Row],[Ad_ID]],'[1]pre processed data'!A:E,5,0)</f>
        <v>4809</v>
      </c>
      <c r="E502" s="5" t="str">
        <f>VLOOKUP(Googleadssales[[#This Row],[Ad_ID]],[1]!Table3[[Ad_ID]:[Cost-imputed]],7,0)</f>
        <v>$210.6</v>
      </c>
      <c r="F502" s="4">
        <f>VLOOKUP(Googleadssales[[#This Row],[Ad_ID]],'[1]pre processed data'!A:I,9,0)</f>
        <v>24</v>
      </c>
      <c r="G502" s="4">
        <f>VLOOKUP(Googleadssales[[#This Row],[Ad_ID]],'[1]pre processed data'!A:K,11,0)</f>
        <v>8</v>
      </c>
      <c r="H502" s="2">
        <f>Googleadssales[[#This Row],[Conversions]]/Googleadssales[[#This Row],[Clicks]]</f>
        <v>8.0808080808080815E-2</v>
      </c>
      <c r="I502" t="str">
        <f>VLOOKUP(Googleadssales[[#This Row],[Ad_ID]],'[1]pre processed data'!A:O,15,0)</f>
        <v>$1500</v>
      </c>
      <c r="J502" s="3">
        <f>VLOOKUP(Googleadssales[[#This Row],[Ad_ID]],'[1]pre processed data'!A:Q,17,0)</f>
        <v>45609</v>
      </c>
      <c r="K502" t="str">
        <f>VLOOKUP(Googleadssales[[#This Row],[Ad_ID]],'[1]pre processed data'!A:R,18,0)</f>
        <v>Bangaluru</v>
      </c>
      <c r="L502" t="str">
        <f>VLOOKUP(Googleadssales[[#This Row],[Ad_ID]],'[1]pre processed data'!A:S,19,0)</f>
        <v>Mobile</v>
      </c>
      <c r="M502" t="str">
        <f>VLOOKUP(Googleadssales[[#This Row],[Ad_ID]],'[1]pre processed data'!A:T,20,0)</f>
        <v>data analytics course</v>
      </c>
    </row>
    <row r="503" spans="1:13" x14ac:dyDescent="0.3">
      <c r="A503" t="s">
        <v>516</v>
      </c>
      <c r="B503" t="s">
        <v>14</v>
      </c>
      <c r="C503" s="4">
        <f>VLOOKUP(Googleadssales[[#This Row],[Ad_ID]],'[1]pre processed data'!A:C,3,0)</f>
        <v>95</v>
      </c>
      <c r="D503" s="4">
        <f>VLOOKUP(Googleadssales[[#This Row],[Ad_ID]],'[1]pre processed data'!A:E,5,0)</f>
        <v>5844</v>
      </c>
      <c r="E503" s="5" t="str">
        <f>VLOOKUP(Googleadssales[[#This Row],[Ad_ID]],[1]!Table3[[Ad_ID]:[Cost-imputed]],7,0)</f>
        <v>$211.95</v>
      </c>
      <c r="F503" s="4">
        <f>VLOOKUP(Googleadssales[[#This Row],[Ad_ID]],'[1]pre processed data'!A:I,9,0)</f>
        <v>10</v>
      </c>
      <c r="G503" s="4">
        <f>VLOOKUP(Googleadssales[[#This Row],[Ad_ID]],'[1]pre processed data'!A:K,11,0)</f>
        <v>9</v>
      </c>
      <c r="H503" s="2">
        <f>Googleadssales[[#This Row],[Conversions]]/Googleadssales[[#This Row],[Clicks]]</f>
        <v>9.4736842105263161E-2</v>
      </c>
      <c r="I503" t="str">
        <f>VLOOKUP(Googleadssales[[#This Row],[Ad_ID]],'[1]pre processed data'!A:O,15,0)</f>
        <v>$1444</v>
      </c>
      <c r="J503" s="3">
        <f>VLOOKUP(Googleadssales[[#This Row],[Ad_ID]],'[1]pre processed data'!A:Q,17,0)</f>
        <v>45604</v>
      </c>
      <c r="K503" t="str">
        <f>VLOOKUP(Googleadssales[[#This Row],[Ad_ID]],'[1]pre processed data'!A:R,18,0)</f>
        <v>Hyderabad</v>
      </c>
      <c r="L503" t="str">
        <f>VLOOKUP(Googleadssales[[#This Row],[Ad_ID]],'[1]pre processed data'!A:S,19,0)</f>
        <v>Tablet</v>
      </c>
      <c r="M503" t="str">
        <f>VLOOKUP(Googleadssales[[#This Row],[Ad_ID]],'[1]pre processed data'!A:T,20,0)</f>
        <v>learn data analytics</v>
      </c>
    </row>
    <row r="504" spans="1:13" x14ac:dyDescent="0.3">
      <c r="A504" t="s">
        <v>517</v>
      </c>
      <c r="B504" t="s">
        <v>14</v>
      </c>
      <c r="C504" s="4">
        <f>VLOOKUP(Googleadssales[[#This Row],[Ad_ID]],'[1]pre processed data'!A:C,3,0)</f>
        <v>131</v>
      </c>
      <c r="D504" s="4">
        <f>VLOOKUP(Googleadssales[[#This Row],[Ad_ID]],'[1]pre processed data'!A:E,5,0)</f>
        <v>5559</v>
      </c>
      <c r="E504" s="5" t="str">
        <f>VLOOKUP(Googleadssales[[#This Row],[Ad_ID]],[1]!Table3[[Ad_ID]:[Cost-imputed]],7,0)</f>
        <v>$200.00</v>
      </c>
      <c r="F504" s="4">
        <f>VLOOKUP(Googleadssales[[#This Row],[Ad_ID]],'[1]pre processed data'!A:I,9,0)</f>
        <v>28</v>
      </c>
      <c r="G504" s="4">
        <f>VLOOKUP(Googleadssales[[#This Row],[Ad_ID]],'[1]pre processed data'!A:K,11,0)</f>
        <v>5</v>
      </c>
      <c r="H504" s="2">
        <f>Googleadssales[[#This Row],[Conversions]]/Googleadssales[[#This Row],[Clicks]]</f>
        <v>3.8167938931297711E-2</v>
      </c>
      <c r="I504" t="str">
        <f>VLOOKUP(Googleadssales[[#This Row],[Ad_ID]],'[1]pre processed data'!A:O,15,0)</f>
        <v>$1604</v>
      </c>
      <c r="J504" s="3">
        <f>VLOOKUP(Googleadssales[[#This Row],[Ad_ID]],'[1]pre processed data'!A:Q,17,0)</f>
        <v>45625</v>
      </c>
      <c r="K504" t="str">
        <f>VLOOKUP(Googleadssales[[#This Row],[Ad_ID]],'[1]pre processed data'!A:R,18,0)</f>
        <v>Chennai</v>
      </c>
      <c r="L504" t="str">
        <f>VLOOKUP(Googleadssales[[#This Row],[Ad_ID]],'[1]pre processed data'!A:S,19,0)</f>
        <v>Desktop</v>
      </c>
      <c r="M504" t="str">
        <f>VLOOKUP(Googleadssales[[#This Row],[Ad_ID]],'[1]pre processed data'!A:T,20,0)</f>
        <v>analytics for data</v>
      </c>
    </row>
    <row r="505" spans="1:13" x14ac:dyDescent="0.3">
      <c r="A505" t="s">
        <v>518</v>
      </c>
      <c r="B505" t="s">
        <v>14</v>
      </c>
      <c r="C505" s="4">
        <f>VLOOKUP(Googleadssales[[#This Row],[Ad_ID]],'[1]pre processed data'!A:C,3,0)</f>
        <v>190</v>
      </c>
      <c r="D505" s="4">
        <f>VLOOKUP(Googleadssales[[#This Row],[Ad_ID]],'[1]pre processed data'!A:E,5,0)</f>
        <v>4630</v>
      </c>
      <c r="E505" s="5" t="str">
        <f>VLOOKUP(Googleadssales[[#This Row],[Ad_ID]],[1]!Table3[[Ad_ID]:[Cost-imputed]],7,0)</f>
        <v>$217.6</v>
      </c>
      <c r="F505" s="4">
        <f>VLOOKUP(Googleadssales[[#This Row],[Ad_ID]],'[1]pre processed data'!A:I,9,0)</f>
        <v>27</v>
      </c>
      <c r="G505" s="4">
        <f>VLOOKUP(Googleadssales[[#This Row],[Ad_ID]],'[1]pre processed data'!A:K,11,0)</f>
        <v>4</v>
      </c>
      <c r="H505" s="2">
        <f>Googleadssales[[#This Row],[Conversions]]/Googleadssales[[#This Row],[Clicks]]</f>
        <v>2.1052631578947368E-2</v>
      </c>
      <c r="I505" t="str">
        <f>VLOOKUP(Googleadssales[[#This Row],[Ad_ID]],'[1]pre processed data'!A:O,15,0)</f>
        <v>$1900</v>
      </c>
      <c r="J505" s="3">
        <f>VLOOKUP(Googleadssales[[#This Row],[Ad_ID]],'[1]pre processed data'!A:Q,17,0)</f>
        <v>45619</v>
      </c>
      <c r="K505" t="str">
        <f>VLOOKUP(Googleadssales[[#This Row],[Ad_ID]],'[1]pre processed data'!A:R,18,0)</f>
        <v>Hyderabad</v>
      </c>
      <c r="L505" t="str">
        <f>VLOOKUP(Googleadssales[[#This Row],[Ad_ID]],'[1]pre processed data'!A:S,19,0)</f>
        <v>Tablet</v>
      </c>
      <c r="M505" t="str">
        <f>VLOOKUP(Googleadssales[[#This Row],[Ad_ID]],'[1]pre processed data'!A:T,20,0)</f>
        <v>data analytics training</v>
      </c>
    </row>
    <row r="506" spans="1:13" x14ac:dyDescent="0.3">
      <c r="A506" t="s">
        <v>519</v>
      </c>
      <c r="B506" t="s">
        <v>18</v>
      </c>
      <c r="C506" s="4">
        <f>VLOOKUP(Googleadssales[[#This Row],[Ad_ID]],'[1]pre processed data'!A:C,3,0)</f>
        <v>123</v>
      </c>
      <c r="D506" s="4">
        <f>VLOOKUP(Googleadssales[[#This Row],[Ad_ID]],'[1]pre processed data'!A:E,5,0)</f>
        <v>3340</v>
      </c>
      <c r="E506" s="5" t="str">
        <f>VLOOKUP(Googleadssales[[#This Row],[Ad_ID]],[1]!Table3[[Ad_ID]:[Cost-imputed]],7,0)</f>
        <v>$225.16</v>
      </c>
      <c r="F506" s="4">
        <f>VLOOKUP(Googleadssales[[#This Row],[Ad_ID]],'[1]pre processed data'!A:I,9,0)</f>
        <v>23</v>
      </c>
      <c r="G506" s="4">
        <f>VLOOKUP(Googleadssales[[#This Row],[Ad_ID]],'[1]pre processed data'!A:K,11,0)</f>
        <v>8</v>
      </c>
      <c r="H506" s="2">
        <f>Googleadssales[[#This Row],[Conversions]]/Googleadssales[[#This Row],[Clicks]]</f>
        <v>6.5040650406504072E-2</v>
      </c>
      <c r="I506" t="str">
        <f>VLOOKUP(Googleadssales[[#This Row],[Ad_ID]],'[1]pre processed data'!A:O,15,0)</f>
        <v>$1563</v>
      </c>
      <c r="J506" s="3">
        <f>VLOOKUP(Googleadssales[[#This Row],[Ad_ID]],'[1]pre processed data'!A:Q,17,0)</f>
        <v>45622</v>
      </c>
      <c r="K506" t="str">
        <f>VLOOKUP(Googleadssales[[#This Row],[Ad_ID]],'[1]pre processed data'!A:R,18,0)</f>
        <v>Hyderabad</v>
      </c>
      <c r="L506" t="str">
        <f>VLOOKUP(Googleadssales[[#This Row],[Ad_ID]],'[1]pre processed data'!A:S,19,0)</f>
        <v>Mobile</v>
      </c>
      <c r="M506" t="str">
        <f>VLOOKUP(Googleadssales[[#This Row],[Ad_ID]],'[1]pre processed data'!A:T,20,0)</f>
        <v>online data analytic</v>
      </c>
    </row>
    <row r="507" spans="1:13" x14ac:dyDescent="0.3">
      <c r="A507" t="s">
        <v>520</v>
      </c>
      <c r="B507" t="s">
        <v>14</v>
      </c>
      <c r="C507" s="4">
        <f>VLOOKUP(Googleadssales[[#This Row],[Ad_ID]],'[1]pre processed data'!A:C,3,0)</f>
        <v>97</v>
      </c>
      <c r="D507" s="4">
        <f>VLOOKUP(Googleadssales[[#This Row],[Ad_ID]],'[1]pre processed data'!A:E,5,0)</f>
        <v>3330</v>
      </c>
      <c r="E507" s="5" t="str">
        <f>VLOOKUP(Googleadssales[[#This Row],[Ad_ID]],[1]!Table3[[Ad_ID]:[Cost-imputed]],7,0)</f>
        <v>$182.98</v>
      </c>
      <c r="F507" s="4">
        <f>VLOOKUP(Googleadssales[[#This Row],[Ad_ID]],'[1]pre processed data'!A:I,9,0)</f>
        <v>15</v>
      </c>
      <c r="G507" s="4">
        <f>VLOOKUP(Googleadssales[[#This Row],[Ad_ID]],'[1]pre processed data'!A:K,11,0)</f>
        <v>3</v>
      </c>
      <c r="H507" s="2">
        <f>Googleadssales[[#This Row],[Conversions]]/Googleadssales[[#This Row],[Clicks]]</f>
        <v>3.0927835051546393E-2</v>
      </c>
      <c r="I507" t="str">
        <f>VLOOKUP(Googleadssales[[#This Row],[Ad_ID]],'[1]pre processed data'!A:O,15,0)</f>
        <v>$1102</v>
      </c>
      <c r="J507" s="3">
        <f>VLOOKUP(Googleadssales[[#This Row],[Ad_ID]],'[1]pre processed data'!A:Q,17,0)</f>
        <v>45610</v>
      </c>
      <c r="K507" t="str">
        <f>VLOOKUP(Googleadssales[[#This Row],[Ad_ID]],'[1]pre processed data'!A:R,18,0)</f>
        <v>Chennai</v>
      </c>
      <c r="L507" t="str">
        <f>VLOOKUP(Googleadssales[[#This Row],[Ad_ID]],'[1]pre processed data'!A:S,19,0)</f>
        <v>Tablet</v>
      </c>
      <c r="M507" t="str">
        <f>VLOOKUP(Googleadssales[[#This Row],[Ad_ID]],'[1]pre processed data'!A:T,20,0)</f>
        <v>data analytics online</v>
      </c>
    </row>
    <row r="508" spans="1:13" x14ac:dyDescent="0.3">
      <c r="A508" t="s">
        <v>521</v>
      </c>
      <c r="B508" t="s">
        <v>18</v>
      </c>
      <c r="C508" s="4">
        <f>VLOOKUP(Googleadssales[[#This Row],[Ad_ID]],'[1]pre processed data'!A:C,3,0)</f>
        <v>164</v>
      </c>
      <c r="D508" s="4">
        <f>VLOOKUP(Googleadssales[[#This Row],[Ad_ID]],'[1]pre processed data'!A:E,5,0)</f>
        <v>3117</v>
      </c>
      <c r="E508" s="5" t="str">
        <f>VLOOKUP(Googleadssales[[#This Row],[Ad_ID]],[1]!Table3[[Ad_ID]:[Cost-imputed]],7,0)</f>
        <v>$198.53</v>
      </c>
      <c r="F508" s="4">
        <f>VLOOKUP(Googleadssales[[#This Row],[Ad_ID]],'[1]pre processed data'!A:I,9,0)</f>
        <v>25</v>
      </c>
      <c r="G508" s="4">
        <f>VLOOKUP(Googleadssales[[#This Row],[Ad_ID]],'[1]pre processed data'!A:K,11,0)</f>
        <v>5</v>
      </c>
      <c r="H508" s="2">
        <f>Googleadssales[[#This Row],[Conversions]]/Googleadssales[[#This Row],[Clicks]]</f>
        <v>3.048780487804878E-2</v>
      </c>
      <c r="I508" t="str">
        <f>VLOOKUP(Googleadssales[[#This Row],[Ad_ID]],'[1]pre processed data'!A:O,15,0)</f>
        <v>$1749</v>
      </c>
      <c r="J508" s="3">
        <f>VLOOKUP(Googleadssales[[#This Row],[Ad_ID]],'[1]pre processed data'!A:Q,17,0)</f>
        <v>45625</v>
      </c>
      <c r="K508" t="str">
        <f>VLOOKUP(Googleadssales[[#This Row],[Ad_ID]],'[1]pre processed data'!A:R,18,0)</f>
        <v>Chennai</v>
      </c>
      <c r="L508" t="str">
        <f>VLOOKUP(Googleadssales[[#This Row],[Ad_ID]],'[1]pre processed data'!A:S,19,0)</f>
        <v>Mobile</v>
      </c>
      <c r="M508" t="str">
        <f>VLOOKUP(Googleadssales[[#This Row],[Ad_ID]],'[1]pre processed data'!A:T,20,0)</f>
        <v>analytics for data</v>
      </c>
    </row>
    <row r="509" spans="1:13" x14ac:dyDescent="0.3">
      <c r="A509" t="s">
        <v>522</v>
      </c>
      <c r="B509" t="s">
        <v>14</v>
      </c>
      <c r="C509" s="4">
        <f>VLOOKUP(Googleadssales[[#This Row],[Ad_ID]],'[1]pre processed data'!A:C,3,0)</f>
        <v>134</v>
      </c>
      <c r="D509" s="4">
        <f>VLOOKUP(Googleadssales[[#This Row],[Ad_ID]],'[1]pre processed data'!A:E,5,0)</f>
        <v>3562</v>
      </c>
      <c r="E509" s="5" t="str">
        <f>VLOOKUP(Googleadssales[[#This Row],[Ad_ID]],[1]!Table3[[Ad_ID]:[Cost-imputed]],7,0)</f>
        <v>$247.59</v>
      </c>
      <c r="F509" s="4">
        <f>VLOOKUP(Googleadssales[[#This Row],[Ad_ID]],'[1]pre processed data'!A:I,9,0)</f>
        <v>24</v>
      </c>
      <c r="G509" s="4">
        <f>VLOOKUP(Googleadssales[[#This Row],[Ad_ID]],'[1]pre processed data'!A:K,11,0)</f>
        <v>10</v>
      </c>
      <c r="H509" s="2">
        <f>Googleadssales[[#This Row],[Conversions]]/Googleadssales[[#This Row],[Clicks]]</f>
        <v>7.4626865671641784E-2</v>
      </c>
      <c r="I509" t="str">
        <f>VLOOKUP(Googleadssales[[#This Row],[Ad_ID]],'[1]pre processed data'!A:O,15,0)</f>
        <v>$1295</v>
      </c>
      <c r="J509" s="3">
        <f>VLOOKUP(Googleadssales[[#This Row],[Ad_ID]],'[1]pre processed data'!A:Q,17,0)</f>
        <v>45597</v>
      </c>
      <c r="K509" t="str">
        <f>VLOOKUP(Googleadssales[[#This Row],[Ad_ID]],'[1]pre processed data'!A:R,18,0)</f>
        <v>Hyderabad</v>
      </c>
      <c r="L509" t="str">
        <f>VLOOKUP(Googleadssales[[#This Row],[Ad_ID]],'[1]pre processed data'!A:S,19,0)</f>
        <v>Tablet</v>
      </c>
      <c r="M509" t="str">
        <f>VLOOKUP(Googleadssales[[#This Row],[Ad_ID]],'[1]pre processed data'!A:T,20,0)</f>
        <v>analytics for data</v>
      </c>
    </row>
    <row r="510" spans="1:13" x14ac:dyDescent="0.3">
      <c r="A510" t="s">
        <v>523</v>
      </c>
      <c r="B510" t="s">
        <v>14</v>
      </c>
      <c r="C510" s="4">
        <f>VLOOKUP(Googleadssales[[#This Row],[Ad_ID]],'[1]pre processed data'!A:C,3,0)</f>
        <v>117</v>
      </c>
      <c r="D510" s="4">
        <f>VLOOKUP(Googleadssales[[#This Row],[Ad_ID]],'[1]pre processed data'!A:E,5,0)</f>
        <v>5144</v>
      </c>
      <c r="E510" s="5" t="str">
        <f>VLOOKUP(Googleadssales[[#This Row],[Ad_ID]],[1]!Table3[[Ad_ID]:[Cost-imputed]],7,0)</f>
        <v>$221.76</v>
      </c>
      <c r="F510" s="4">
        <f>VLOOKUP(Googleadssales[[#This Row],[Ad_ID]],'[1]pre processed data'!A:I,9,0)</f>
        <v>23</v>
      </c>
      <c r="G510" s="4">
        <f>VLOOKUP(Googleadssales[[#This Row],[Ad_ID]],'[1]pre processed data'!A:K,11,0)</f>
        <v>3</v>
      </c>
      <c r="H510" s="2">
        <f>Googleadssales[[#This Row],[Conversions]]/Googleadssales[[#This Row],[Clicks]]</f>
        <v>2.564102564102564E-2</v>
      </c>
      <c r="I510" t="str">
        <f>VLOOKUP(Googleadssales[[#This Row],[Ad_ID]],'[1]pre processed data'!A:O,15,0)</f>
        <v>$1338</v>
      </c>
      <c r="J510" s="3">
        <f>VLOOKUP(Googleadssales[[#This Row],[Ad_ID]],'[1]pre processed data'!A:Q,17,0)</f>
        <v>45607</v>
      </c>
      <c r="K510" t="str">
        <f>VLOOKUP(Googleadssales[[#This Row],[Ad_ID]],'[1]pre processed data'!A:R,18,0)</f>
        <v>Chennai</v>
      </c>
      <c r="L510" t="str">
        <f>VLOOKUP(Googleadssales[[#This Row],[Ad_ID]],'[1]pre processed data'!A:S,19,0)</f>
        <v>Mobile</v>
      </c>
      <c r="M510" t="str">
        <f>VLOOKUP(Googleadssales[[#This Row],[Ad_ID]],'[1]pre processed data'!A:T,20,0)</f>
        <v>analytics for data</v>
      </c>
    </row>
    <row r="511" spans="1:13" x14ac:dyDescent="0.3">
      <c r="A511" t="s">
        <v>524</v>
      </c>
      <c r="B511" t="s">
        <v>14</v>
      </c>
      <c r="C511" s="4">
        <f>VLOOKUP(Googleadssales[[#This Row],[Ad_ID]],'[1]pre processed data'!A:C,3,0)</f>
        <v>168</v>
      </c>
      <c r="D511" s="4">
        <f>VLOOKUP(Googleadssales[[#This Row],[Ad_ID]],'[1]pre processed data'!A:E,5,0)</f>
        <v>4375</v>
      </c>
      <c r="E511" s="5" t="str">
        <f>VLOOKUP(Googleadssales[[#This Row],[Ad_ID]],[1]!Table3[[Ad_ID]:[Cost-imputed]],7,0)</f>
        <v>$200.00</v>
      </c>
      <c r="F511" s="4">
        <f>VLOOKUP(Googleadssales[[#This Row],[Ad_ID]],'[1]pre processed data'!A:I,9,0)</f>
        <v>19</v>
      </c>
      <c r="G511" s="4">
        <f>VLOOKUP(Googleadssales[[#This Row],[Ad_ID]],'[1]pre processed data'!A:K,11,0)</f>
        <v>8</v>
      </c>
      <c r="H511" s="2">
        <f>Googleadssales[[#This Row],[Conversions]]/Googleadssales[[#This Row],[Clicks]]</f>
        <v>4.7619047619047616E-2</v>
      </c>
      <c r="I511" t="str">
        <f>VLOOKUP(Googleadssales[[#This Row],[Ad_ID]],'[1]pre processed data'!A:O,15,0)</f>
        <v>$1267</v>
      </c>
      <c r="J511" s="3">
        <f>VLOOKUP(Googleadssales[[#This Row],[Ad_ID]],'[1]pre processed data'!A:Q,17,0)</f>
        <v>45602</v>
      </c>
      <c r="K511" t="str">
        <f>VLOOKUP(Googleadssales[[#This Row],[Ad_ID]],'[1]pre processed data'!A:R,18,0)</f>
        <v>Chennai</v>
      </c>
      <c r="L511" t="str">
        <f>VLOOKUP(Googleadssales[[#This Row],[Ad_ID]],'[1]pre processed data'!A:S,19,0)</f>
        <v>Mobile</v>
      </c>
      <c r="M511" t="str">
        <f>VLOOKUP(Googleadssales[[#This Row],[Ad_ID]],'[1]pre processed data'!A:T,20,0)</f>
        <v>online data analytic</v>
      </c>
    </row>
    <row r="512" spans="1:13" x14ac:dyDescent="0.3">
      <c r="A512" t="s">
        <v>525</v>
      </c>
      <c r="B512" t="s">
        <v>18</v>
      </c>
      <c r="C512" s="4">
        <f>VLOOKUP(Googleadssales[[#This Row],[Ad_ID]],'[1]pre processed data'!A:C,3,0)</f>
        <v>173</v>
      </c>
      <c r="D512" s="4">
        <f>VLOOKUP(Googleadssales[[#This Row],[Ad_ID]],'[1]pre processed data'!A:E,5,0)</f>
        <v>3328</v>
      </c>
      <c r="E512" s="5" t="str">
        <f>VLOOKUP(Googleadssales[[#This Row],[Ad_ID]],[1]!Table3[[Ad_ID]:[Cost-imputed]],7,0)</f>
        <v>$224.17</v>
      </c>
      <c r="F512" s="4">
        <f>VLOOKUP(Googleadssales[[#This Row],[Ad_ID]],'[1]pre processed data'!A:I,9,0)</f>
        <v>15</v>
      </c>
      <c r="G512" s="4">
        <f>VLOOKUP(Googleadssales[[#This Row],[Ad_ID]],'[1]pre processed data'!A:K,11,0)</f>
        <v>10</v>
      </c>
      <c r="H512" s="2">
        <f>Googleadssales[[#This Row],[Conversions]]/Googleadssales[[#This Row],[Clicks]]</f>
        <v>5.7803468208092484E-2</v>
      </c>
      <c r="I512" t="str">
        <f>VLOOKUP(Googleadssales[[#This Row],[Ad_ID]],'[1]pre processed data'!A:O,15,0)</f>
        <v>$1904</v>
      </c>
      <c r="J512" s="3">
        <f>VLOOKUP(Googleadssales[[#This Row],[Ad_ID]],'[1]pre processed data'!A:Q,17,0)</f>
        <v>45624</v>
      </c>
      <c r="K512" t="str">
        <f>VLOOKUP(Googleadssales[[#This Row],[Ad_ID]],'[1]pre processed data'!A:R,18,0)</f>
        <v>Bangaluru</v>
      </c>
      <c r="L512" t="str">
        <f>VLOOKUP(Googleadssales[[#This Row],[Ad_ID]],'[1]pre processed data'!A:S,19,0)</f>
        <v>Mobile</v>
      </c>
      <c r="M512" t="str">
        <f>VLOOKUP(Googleadssales[[#This Row],[Ad_ID]],'[1]pre processed data'!A:T,20,0)</f>
        <v>online data analytic</v>
      </c>
    </row>
    <row r="513" spans="1:13" x14ac:dyDescent="0.3">
      <c r="A513" t="s">
        <v>526</v>
      </c>
      <c r="B513" t="s">
        <v>14</v>
      </c>
      <c r="C513" s="4">
        <f>VLOOKUP(Googleadssales[[#This Row],[Ad_ID]],'[1]pre processed data'!A:C,3,0)</f>
        <v>158</v>
      </c>
      <c r="D513" s="4">
        <f>VLOOKUP(Googleadssales[[#This Row],[Ad_ID]],'[1]pre processed data'!A:E,5,0)</f>
        <v>4336</v>
      </c>
      <c r="E513" s="5" t="str">
        <f>VLOOKUP(Googleadssales[[#This Row],[Ad_ID]],[1]!Table3[[Ad_ID]:[Cost-imputed]],7,0)</f>
        <v>$238.29</v>
      </c>
      <c r="F513" s="4">
        <f>VLOOKUP(Googleadssales[[#This Row],[Ad_ID]],'[1]pre processed data'!A:I,9,0)</f>
        <v>26</v>
      </c>
      <c r="G513" s="4">
        <f>VLOOKUP(Googleadssales[[#This Row],[Ad_ID]],'[1]pre processed data'!A:K,11,0)</f>
        <v>9</v>
      </c>
      <c r="H513" s="2">
        <f>Googleadssales[[#This Row],[Conversions]]/Googleadssales[[#This Row],[Clicks]]</f>
        <v>5.6962025316455694E-2</v>
      </c>
      <c r="I513" t="str">
        <f>VLOOKUP(Googleadssales[[#This Row],[Ad_ID]],'[1]pre processed data'!A:O,15,0)</f>
        <v>$1245</v>
      </c>
      <c r="J513" s="3">
        <f>VLOOKUP(Googleadssales[[#This Row],[Ad_ID]],'[1]pre processed data'!A:Q,17,0)</f>
        <v>45626</v>
      </c>
      <c r="K513" t="str">
        <f>VLOOKUP(Googleadssales[[#This Row],[Ad_ID]],'[1]pre processed data'!A:R,18,0)</f>
        <v>Chennai</v>
      </c>
      <c r="L513" t="str">
        <f>VLOOKUP(Googleadssales[[#This Row],[Ad_ID]],'[1]pre processed data'!A:S,19,0)</f>
        <v>Tablet</v>
      </c>
      <c r="M513" t="str">
        <f>VLOOKUP(Googleadssales[[#This Row],[Ad_ID]],'[1]pre processed data'!A:T,20,0)</f>
        <v>online data analytic</v>
      </c>
    </row>
    <row r="514" spans="1:13" x14ac:dyDescent="0.3">
      <c r="A514" t="s">
        <v>527</v>
      </c>
      <c r="B514" t="s">
        <v>18</v>
      </c>
      <c r="C514" s="4">
        <f>VLOOKUP(Googleadssales[[#This Row],[Ad_ID]],'[1]pre processed data'!A:C,3,0)</f>
        <v>135</v>
      </c>
      <c r="D514" s="4">
        <f>VLOOKUP(Googleadssales[[#This Row],[Ad_ID]],'[1]pre processed data'!A:E,5,0)</f>
        <v>5063</v>
      </c>
      <c r="E514" s="5" t="str">
        <f>VLOOKUP(Googleadssales[[#This Row],[Ad_ID]],[1]!Table3[[Ad_ID]:[Cost-imputed]],7,0)</f>
        <v>$195.58</v>
      </c>
      <c r="F514" s="4">
        <f>VLOOKUP(Googleadssales[[#This Row],[Ad_ID]],'[1]pre processed data'!A:I,9,0)</f>
        <v>22</v>
      </c>
      <c r="G514" s="4">
        <f>VLOOKUP(Googleadssales[[#This Row],[Ad_ID]],'[1]pre processed data'!A:K,11,0)</f>
        <v>6</v>
      </c>
      <c r="H514" s="2">
        <f>Googleadssales[[#This Row],[Conversions]]/Googleadssales[[#This Row],[Clicks]]</f>
        <v>4.4444444444444446E-2</v>
      </c>
      <c r="I514" t="str">
        <f>VLOOKUP(Googleadssales[[#This Row],[Ad_ID]],'[1]pre processed data'!A:O,15,0)</f>
        <v>$1500</v>
      </c>
      <c r="J514" s="3">
        <f>VLOOKUP(Googleadssales[[#This Row],[Ad_ID]],'[1]pre processed data'!A:Q,17,0)</f>
        <v>45625</v>
      </c>
      <c r="K514" t="str">
        <f>VLOOKUP(Googleadssales[[#This Row],[Ad_ID]],'[1]pre processed data'!A:R,18,0)</f>
        <v>Chennai</v>
      </c>
      <c r="L514" t="str">
        <f>VLOOKUP(Googleadssales[[#This Row],[Ad_ID]],'[1]pre processed data'!A:S,19,0)</f>
        <v>Tablet</v>
      </c>
      <c r="M514" t="str">
        <f>VLOOKUP(Googleadssales[[#This Row],[Ad_ID]],'[1]pre processed data'!A:T,20,0)</f>
        <v>learn data analytics</v>
      </c>
    </row>
    <row r="515" spans="1:13" x14ac:dyDescent="0.3">
      <c r="A515" t="s">
        <v>528</v>
      </c>
      <c r="B515" t="s">
        <v>14</v>
      </c>
      <c r="C515" s="4">
        <f>VLOOKUP(Googleadssales[[#This Row],[Ad_ID]],'[1]pre processed data'!A:C,3,0)</f>
        <v>182</v>
      </c>
      <c r="D515" s="4">
        <f>VLOOKUP(Googleadssales[[#This Row],[Ad_ID]],'[1]pre processed data'!A:E,5,0)</f>
        <v>5993</v>
      </c>
      <c r="E515" s="5" t="str">
        <f>VLOOKUP(Googleadssales[[#This Row],[Ad_ID]],[1]!Table3[[Ad_ID]:[Cost-imputed]],7,0)</f>
        <v>$200.00</v>
      </c>
      <c r="F515" s="4">
        <f>VLOOKUP(Googleadssales[[#This Row],[Ad_ID]],'[1]pre processed data'!A:I,9,0)</f>
        <v>19</v>
      </c>
      <c r="G515" s="4">
        <f>VLOOKUP(Googleadssales[[#This Row],[Ad_ID]],'[1]pre processed data'!A:K,11,0)</f>
        <v>3</v>
      </c>
      <c r="H515" s="2">
        <f>Googleadssales[[#This Row],[Conversions]]/Googleadssales[[#This Row],[Clicks]]</f>
        <v>1.6483516483516484E-2</v>
      </c>
      <c r="I515" t="str">
        <f>VLOOKUP(Googleadssales[[#This Row],[Ad_ID]],'[1]pre processed data'!A:O,15,0)</f>
        <v>$1254</v>
      </c>
      <c r="J515" s="3">
        <f>VLOOKUP(Googleadssales[[#This Row],[Ad_ID]],'[1]pre processed data'!A:Q,17,0)</f>
        <v>45615</v>
      </c>
      <c r="K515" t="str">
        <f>VLOOKUP(Googleadssales[[#This Row],[Ad_ID]],'[1]pre processed data'!A:R,18,0)</f>
        <v>Hyderabad</v>
      </c>
      <c r="L515" t="str">
        <f>VLOOKUP(Googleadssales[[#This Row],[Ad_ID]],'[1]pre processed data'!A:S,19,0)</f>
        <v>Desktop</v>
      </c>
      <c r="M515" t="str">
        <f>VLOOKUP(Googleadssales[[#This Row],[Ad_ID]],'[1]pre processed data'!A:T,20,0)</f>
        <v>data analytics training</v>
      </c>
    </row>
    <row r="516" spans="1:13" x14ac:dyDescent="0.3">
      <c r="A516" t="s">
        <v>529</v>
      </c>
      <c r="B516" t="s">
        <v>14</v>
      </c>
      <c r="C516" s="4">
        <f>VLOOKUP(Googleadssales[[#This Row],[Ad_ID]],'[1]pre processed data'!A:C,3,0)</f>
        <v>83</v>
      </c>
      <c r="D516" s="4">
        <f>VLOOKUP(Googleadssales[[#This Row],[Ad_ID]],'[1]pre processed data'!A:E,5,0)</f>
        <v>3926</v>
      </c>
      <c r="E516" s="5" t="str">
        <f>VLOOKUP(Googleadssales[[#This Row],[Ad_ID]],[1]!Table3[[Ad_ID]:[Cost-imputed]],7,0)</f>
        <v>$237.07</v>
      </c>
      <c r="F516" s="4">
        <f>VLOOKUP(Googleadssales[[#This Row],[Ad_ID]],'[1]pre processed data'!A:I,9,0)</f>
        <v>22</v>
      </c>
      <c r="G516" s="4">
        <f>VLOOKUP(Googleadssales[[#This Row],[Ad_ID]],'[1]pre processed data'!A:K,11,0)</f>
        <v>5</v>
      </c>
      <c r="H516" s="2">
        <f>Googleadssales[[#This Row],[Conversions]]/Googleadssales[[#This Row],[Clicks]]</f>
        <v>6.0240963855421686E-2</v>
      </c>
      <c r="I516" t="str">
        <f>VLOOKUP(Googleadssales[[#This Row],[Ad_ID]],'[1]pre processed data'!A:O,15,0)</f>
        <v>$1667</v>
      </c>
      <c r="J516" s="3">
        <f>VLOOKUP(Googleadssales[[#This Row],[Ad_ID]],'[1]pre processed data'!A:Q,17,0)</f>
        <v>45603</v>
      </c>
      <c r="K516" t="str">
        <f>VLOOKUP(Googleadssales[[#This Row],[Ad_ID]],'[1]pre processed data'!A:R,18,0)</f>
        <v>Bangaluru</v>
      </c>
      <c r="L516" t="str">
        <f>VLOOKUP(Googleadssales[[#This Row],[Ad_ID]],'[1]pre processed data'!A:S,19,0)</f>
        <v>Mobile</v>
      </c>
      <c r="M516" t="str">
        <f>VLOOKUP(Googleadssales[[#This Row],[Ad_ID]],'[1]pre processed data'!A:T,20,0)</f>
        <v>analytics for data</v>
      </c>
    </row>
    <row r="517" spans="1:13" x14ac:dyDescent="0.3">
      <c r="A517" t="s">
        <v>530</v>
      </c>
      <c r="B517" t="s">
        <v>14</v>
      </c>
      <c r="C517" s="4">
        <f>VLOOKUP(Googleadssales[[#This Row],[Ad_ID]],'[1]pre processed data'!A:C,3,0)</f>
        <v>85</v>
      </c>
      <c r="D517" s="4">
        <f>VLOOKUP(Googleadssales[[#This Row],[Ad_ID]],'[1]pre processed data'!A:E,5,0)</f>
        <v>5570</v>
      </c>
      <c r="E517" s="5" t="str">
        <f>VLOOKUP(Googleadssales[[#This Row],[Ad_ID]],[1]!Table3[[Ad_ID]:[Cost-imputed]],7,0)</f>
        <v>$221.73</v>
      </c>
      <c r="F517" s="4">
        <f>VLOOKUP(Googleadssales[[#This Row],[Ad_ID]],'[1]pre processed data'!A:I,9,0)</f>
        <v>14</v>
      </c>
      <c r="G517" s="4">
        <f>VLOOKUP(Googleadssales[[#This Row],[Ad_ID]],'[1]pre processed data'!A:K,11,0)</f>
        <v>7</v>
      </c>
      <c r="H517" s="2">
        <f>Googleadssales[[#This Row],[Conversions]]/Googleadssales[[#This Row],[Clicks]]</f>
        <v>8.2352941176470587E-2</v>
      </c>
      <c r="I517" t="str">
        <f>VLOOKUP(Googleadssales[[#This Row],[Ad_ID]],'[1]pre processed data'!A:O,15,0)</f>
        <v>$1292</v>
      </c>
      <c r="J517" s="3">
        <f>VLOOKUP(Googleadssales[[#This Row],[Ad_ID]],'[1]pre processed data'!A:Q,17,0)</f>
        <v>45625</v>
      </c>
      <c r="K517" t="str">
        <f>VLOOKUP(Googleadssales[[#This Row],[Ad_ID]],'[1]pre processed data'!A:R,18,0)</f>
        <v>Hyderabad</v>
      </c>
      <c r="L517" t="str">
        <f>VLOOKUP(Googleadssales[[#This Row],[Ad_ID]],'[1]pre processed data'!A:S,19,0)</f>
        <v>Tablet</v>
      </c>
      <c r="M517" t="str">
        <f>VLOOKUP(Googleadssales[[#This Row],[Ad_ID]],'[1]pre processed data'!A:T,20,0)</f>
        <v>data analytics online</v>
      </c>
    </row>
    <row r="518" spans="1:13" x14ac:dyDescent="0.3">
      <c r="A518" t="s">
        <v>531</v>
      </c>
      <c r="B518" t="s">
        <v>14</v>
      </c>
      <c r="C518" s="4">
        <f>VLOOKUP(Googleadssales[[#This Row],[Ad_ID]],'[1]pre processed data'!A:C,3,0)</f>
        <v>98</v>
      </c>
      <c r="D518" s="4">
        <f>VLOOKUP(Googleadssales[[#This Row],[Ad_ID]],'[1]pre processed data'!A:E,5,0)</f>
        <v>5571</v>
      </c>
      <c r="E518" s="5" t="str">
        <f>VLOOKUP(Googleadssales[[#This Row],[Ad_ID]],[1]!Table3[[Ad_ID]:[Cost-imputed]],7,0)</f>
        <v>$208.4</v>
      </c>
      <c r="F518" s="4">
        <f>VLOOKUP(Googleadssales[[#This Row],[Ad_ID]],'[1]pre processed data'!A:I,9,0)</f>
        <v>15</v>
      </c>
      <c r="G518" s="4">
        <f>VLOOKUP(Googleadssales[[#This Row],[Ad_ID]],'[1]pre processed data'!A:K,11,0)</f>
        <v>7</v>
      </c>
      <c r="H518" s="2">
        <f>Googleadssales[[#This Row],[Conversions]]/Googleadssales[[#This Row],[Clicks]]</f>
        <v>7.1428571428571425E-2</v>
      </c>
      <c r="I518" t="str">
        <f>VLOOKUP(Googleadssales[[#This Row],[Ad_ID]],'[1]pre processed data'!A:O,15,0)</f>
        <v>$1890</v>
      </c>
      <c r="J518" s="3">
        <f>VLOOKUP(Googleadssales[[#This Row],[Ad_ID]],'[1]pre processed data'!A:Q,17,0)</f>
        <v>45610</v>
      </c>
      <c r="K518" t="str">
        <f>VLOOKUP(Googleadssales[[#This Row],[Ad_ID]],'[1]pre processed data'!A:R,18,0)</f>
        <v>Hyderabad</v>
      </c>
      <c r="L518" t="str">
        <f>VLOOKUP(Googleadssales[[#This Row],[Ad_ID]],'[1]pre processed data'!A:S,19,0)</f>
        <v>Desktop</v>
      </c>
      <c r="M518" t="str">
        <f>VLOOKUP(Googleadssales[[#This Row],[Ad_ID]],'[1]pre processed data'!A:T,20,0)</f>
        <v>analytics for data</v>
      </c>
    </row>
    <row r="519" spans="1:13" x14ac:dyDescent="0.3">
      <c r="A519" t="s">
        <v>532</v>
      </c>
      <c r="B519" t="s">
        <v>14</v>
      </c>
      <c r="C519" s="4">
        <f>VLOOKUP(Googleadssales[[#This Row],[Ad_ID]],'[1]pre processed data'!A:C,3,0)</f>
        <v>151</v>
      </c>
      <c r="D519" s="4">
        <f>VLOOKUP(Googleadssales[[#This Row],[Ad_ID]],'[1]pre processed data'!A:E,5,0)</f>
        <v>5700</v>
      </c>
      <c r="E519" s="5" t="str">
        <f>VLOOKUP(Googleadssales[[#This Row],[Ad_ID]],[1]!Table3[[Ad_ID]:[Cost-imputed]],7,0)</f>
        <v>$182.27</v>
      </c>
      <c r="F519" s="4">
        <f>VLOOKUP(Googleadssales[[#This Row],[Ad_ID]],'[1]pre processed data'!A:I,9,0)</f>
        <v>13</v>
      </c>
      <c r="G519" s="4">
        <f>VLOOKUP(Googleadssales[[#This Row],[Ad_ID]],'[1]pre processed data'!A:K,11,0)</f>
        <v>3</v>
      </c>
      <c r="H519" s="2">
        <f>Googleadssales[[#This Row],[Conversions]]/Googleadssales[[#This Row],[Clicks]]</f>
        <v>1.9867549668874173E-2</v>
      </c>
      <c r="I519" t="str">
        <f>VLOOKUP(Googleadssales[[#This Row],[Ad_ID]],'[1]pre processed data'!A:O,15,0)</f>
        <v>$1255</v>
      </c>
      <c r="J519" s="3">
        <f>VLOOKUP(Googleadssales[[#This Row],[Ad_ID]],'[1]pre processed data'!A:Q,17,0)</f>
        <v>45619</v>
      </c>
      <c r="K519" t="str">
        <f>VLOOKUP(Googleadssales[[#This Row],[Ad_ID]],'[1]pre processed data'!A:R,18,0)</f>
        <v>Bangaluru</v>
      </c>
      <c r="L519" t="str">
        <f>VLOOKUP(Googleadssales[[#This Row],[Ad_ID]],'[1]pre processed data'!A:S,19,0)</f>
        <v>Mobile</v>
      </c>
      <c r="M519" t="str">
        <f>VLOOKUP(Googleadssales[[#This Row],[Ad_ID]],'[1]pre processed data'!A:T,20,0)</f>
        <v>data analytics course</v>
      </c>
    </row>
    <row r="520" spans="1:13" x14ac:dyDescent="0.3">
      <c r="A520" t="s">
        <v>533</v>
      </c>
      <c r="B520" t="s">
        <v>14</v>
      </c>
      <c r="C520" s="4">
        <f>VLOOKUP(Googleadssales[[#This Row],[Ad_ID]],'[1]pre processed data'!A:C,3,0)</f>
        <v>122</v>
      </c>
      <c r="D520" s="4">
        <f>VLOOKUP(Googleadssales[[#This Row],[Ad_ID]],'[1]pre processed data'!A:E,5,0)</f>
        <v>4441</v>
      </c>
      <c r="E520" s="5" t="str">
        <f>VLOOKUP(Googleadssales[[#This Row],[Ad_ID]],[1]!Table3[[Ad_ID]:[Cost-imputed]],7,0)</f>
        <v>$244.38</v>
      </c>
      <c r="F520" s="4">
        <f>VLOOKUP(Googleadssales[[#This Row],[Ad_ID]],'[1]pre processed data'!A:I,9,0)</f>
        <v>25</v>
      </c>
      <c r="G520" s="4">
        <f>VLOOKUP(Googleadssales[[#This Row],[Ad_ID]],'[1]pre processed data'!A:K,11,0)</f>
        <v>6</v>
      </c>
      <c r="H520" s="2">
        <f>Googleadssales[[#This Row],[Conversions]]/Googleadssales[[#This Row],[Clicks]]</f>
        <v>4.9180327868852458E-2</v>
      </c>
      <c r="I520" t="str">
        <f>VLOOKUP(Googleadssales[[#This Row],[Ad_ID]],'[1]pre processed data'!A:O,15,0)</f>
        <v>$1500</v>
      </c>
      <c r="J520" s="3">
        <f>VLOOKUP(Googleadssales[[#This Row],[Ad_ID]],'[1]pre processed data'!A:Q,17,0)</f>
        <v>45598</v>
      </c>
      <c r="K520" t="str">
        <f>VLOOKUP(Googleadssales[[#This Row],[Ad_ID]],'[1]pre processed data'!A:R,18,0)</f>
        <v>Bangaluru</v>
      </c>
      <c r="L520" t="str">
        <f>VLOOKUP(Googleadssales[[#This Row],[Ad_ID]],'[1]pre processed data'!A:S,19,0)</f>
        <v>Desktop</v>
      </c>
      <c r="M520" t="str">
        <f>VLOOKUP(Googleadssales[[#This Row],[Ad_ID]],'[1]pre processed data'!A:T,20,0)</f>
        <v>analytics for data</v>
      </c>
    </row>
    <row r="521" spans="1:13" x14ac:dyDescent="0.3">
      <c r="A521" t="s">
        <v>534</v>
      </c>
      <c r="B521" t="s">
        <v>18</v>
      </c>
      <c r="C521" s="4">
        <f>VLOOKUP(Googleadssales[[#This Row],[Ad_ID]],'[1]pre processed data'!A:C,3,0)</f>
        <v>84</v>
      </c>
      <c r="D521" s="4">
        <f>VLOOKUP(Googleadssales[[#This Row],[Ad_ID]],'[1]pre processed data'!A:E,5,0)</f>
        <v>4646</v>
      </c>
      <c r="E521" s="5" t="str">
        <f>VLOOKUP(Googleadssales[[#This Row],[Ad_ID]],[1]!Table3[[Ad_ID]:[Cost-imputed]],7,0)</f>
        <v>$226.32</v>
      </c>
      <c r="F521" s="4">
        <f>VLOOKUP(Googleadssales[[#This Row],[Ad_ID]],'[1]pre processed data'!A:I,9,0)</f>
        <v>11</v>
      </c>
      <c r="G521" s="4">
        <f>VLOOKUP(Googleadssales[[#This Row],[Ad_ID]],'[1]pre processed data'!A:K,11,0)</f>
        <v>7</v>
      </c>
      <c r="H521" s="2">
        <f>Googleadssales[[#This Row],[Conversions]]/Googleadssales[[#This Row],[Clicks]]</f>
        <v>8.3333333333333329E-2</v>
      </c>
      <c r="I521" t="str">
        <f>VLOOKUP(Googleadssales[[#This Row],[Ad_ID]],'[1]pre processed data'!A:O,15,0)</f>
        <v>$1596</v>
      </c>
      <c r="J521" s="3">
        <f>VLOOKUP(Googleadssales[[#This Row],[Ad_ID]],'[1]pre processed data'!A:Q,17,0)</f>
        <v>45626</v>
      </c>
      <c r="K521" t="str">
        <f>VLOOKUP(Googleadssales[[#This Row],[Ad_ID]],'[1]pre processed data'!A:R,18,0)</f>
        <v>Hyderabad</v>
      </c>
      <c r="L521" t="str">
        <f>VLOOKUP(Googleadssales[[#This Row],[Ad_ID]],'[1]pre processed data'!A:S,19,0)</f>
        <v>Tablet</v>
      </c>
      <c r="M521" t="str">
        <f>VLOOKUP(Googleadssales[[#This Row],[Ad_ID]],'[1]pre processed data'!A:T,20,0)</f>
        <v>analytics for data</v>
      </c>
    </row>
    <row r="522" spans="1:13" x14ac:dyDescent="0.3">
      <c r="A522" t="s">
        <v>535</v>
      </c>
      <c r="B522" t="s">
        <v>18</v>
      </c>
      <c r="C522" s="4">
        <f>VLOOKUP(Googleadssales[[#This Row],[Ad_ID]],'[1]pre processed data'!A:C,3,0)</f>
        <v>127</v>
      </c>
      <c r="D522" s="4">
        <f>VLOOKUP(Googleadssales[[#This Row],[Ad_ID]],'[1]pre processed data'!A:E,5,0)</f>
        <v>5964</v>
      </c>
      <c r="E522" s="5" t="str">
        <f>VLOOKUP(Googleadssales[[#This Row],[Ad_ID]],[1]!Table3[[Ad_ID]:[Cost-imputed]],7,0)</f>
        <v>$182.01</v>
      </c>
      <c r="F522" s="4">
        <f>VLOOKUP(Googleadssales[[#This Row],[Ad_ID]],'[1]pre processed data'!A:I,9,0)</f>
        <v>26</v>
      </c>
      <c r="G522" s="4">
        <f>VLOOKUP(Googleadssales[[#This Row],[Ad_ID]],'[1]pre processed data'!A:K,11,0)</f>
        <v>6.5042183622828782</v>
      </c>
      <c r="H522" s="2">
        <f>Googleadssales[[#This Row],[Conversions]]/Googleadssales[[#This Row],[Clicks]]</f>
        <v>5.121431781325101E-2</v>
      </c>
      <c r="I522" t="str">
        <f>VLOOKUP(Googleadssales[[#This Row],[Ad_ID]],'[1]pre processed data'!A:O,15,0)</f>
        <v>$1490</v>
      </c>
      <c r="J522" s="3">
        <f>VLOOKUP(Googleadssales[[#This Row],[Ad_ID]],'[1]pre processed data'!A:Q,17,0)</f>
        <v>45621</v>
      </c>
      <c r="K522" t="str">
        <f>VLOOKUP(Googleadssales[[#This Row],[Ad_ID]],'[1]pre processed data'!A:R,18,0)</f>
        <v>Chennai</v>
      </c>
      <c r="L522" t="str">
        <f>VLOOKUP(Googleadssales[[#This Row],[Ad_ID]],'[1]pre processed data'!A:S,19,0)</f>
        <v>Desktop</v>
      </c>
      <c r="M522" t="str">
        <f>VLOOKUP(Googleadssales[[#This Row],[Ad_ID]],'[1]pre processed data'!A:T,20,0)</f>
        <v>data analytics course</v>
      </c>
    </row>
    <row r="523" spans="1:13" x14ac:dyDescent="0.3">
      <c r="A523" t="s">
        <v>536</v>
      </c>
      <c r="B523" t="s">
        <v>18</v>
      </c>
      <c r="C523" s="4">
        <f>VLOOKUP(Googleadssales[[#This Row],[Ad_ID]],'[1]pre processed data'!A:C,3,0)</f>
        <v>148</v>
      </c>
      <c r="D523" s="4">
        <f>VLOOKUP(Googleadssales[[#This Row],[Ad_ID]],'[1]pre processed data'!A:E,5,0)</f>
        <v>4725</v>
      </c>
      <c r="E523" s="5" t="str">
        <f>VLOOKUP(Googleadssales[[#This Row],[Ad_ID]],[1]!Table3[[Ad_ID]:[Cost-imputed]],7,0)</f>
        <v>$187.02</v>
      </c>
      <c r="F523" s="4">
        <f>VLOOKUP(Googleadssales[[#This Row],[Ad_ID]],'[1]pre processed data'!A:I,9,0)</f>
        <v>25</v>
      </c>
      <c r="G523" s="4">
        <f>VLOOKUP(Googleadssales[[#This Row],[Ad_ID]],'[1]pre processed data'!A:K,11,0)</f>
        <v>3</v>
      </c>
      <c r="H523" s="2">
        <f>Googleadssales[[#This Row],[Conversions]]/Googleadssales[[#This Row],[Clicks]]</f>
        <v>2.0270270270270271E-2</v>
      </c>
      <c r="I523" t="str">
        <f>VLOOKUP(Googleadssales[[#This Row],[Ad_ID]],'[1]pre processed data'!A:O,15,0)</f>
        <v>$1586</v>
      </c>
      <c r="J523" s="3">
        <f>VLOOKUP(Googleadssales[[#This Row],[Ad_ID]],'[1]pre processed data'!A:Q,17,0)</f>
        <v>45611</v>
      </c>
      <c r="K523" t="str">
        <f>VLOOKUP(Googleadssales[[#This Row],[Ad_ID]],'[1]pre processed data'!A:R,18,0)</f>
        <v>Hyderabad</v>
      </c>
      <c r="L523" t="str">
        <f>VLOOKUP(Googleadssales[[#This Row],[Ad_ID]],'[1]pre processed data'!A:S,19,0)</f>
        <v>Mobile</v>
      </c>
      <c r="M523" t="str">
        <f>VLOOKUP(Googleadssales[[#This Row],[Ad_ID]],'[1]pre processed data'!A:T,20,0)</f>
        <v>learn data analytics</v>
      </c>
    </row>
    <row r="524" spans="1:13" x14ac:dyDescent="0.3">
      <c r="A524" t="s">
        <v>537</v>
      </c>
      <c r="B524" t="s">
        <v>14</v>
      </c>
      <c r="C524" s="4">
        <f>VLOOKUP(Googleadssales[[#This Row],[Ad_ID]],'[1]pre processed data'!A:C,3,0)</f>
        <v>85</v>
      </c>
      <c r="D524" s="4">
        <f>VLOOKUP(Googleadssales[[#This Row],[Ad_ID]],'[1]pre processed data'!A:E,5,0)</f>
        <v>4230</v>
      </c>
      <c r="E524" s="5" t="str">
        <f>VLOOKUP(Googleadssales[[#This Row],[Ad_ID]],[1]!Table3[[Ad_ID]:[Cost-imputed]],7,0)</f>
        <v>$233.73</v>
      </c>
      <c r="F524" s="4">
        <f>VLOOKUP(Googleadssales[[#This Row],[Ad_ID]],'[1]pre processed data'!A:I,9,0)</f>
        <v>18</v>
      </c>
      <c r="G524" s="4">
        <f>VLOOKUP(Googleadssales[[#This Row],[Ad_ID]],'[1]pre processed data'!A:K,11,0)</f>
        <v>8</v>
      </c>
      <c r="H524" s="2">
        <f>Googleadssales[[#This Row],[Conversions]]/Googleadssales[[#This Row],[Clicks]]</f>
        <v>9.4117647058823528E-2</v>
      </c>
      <c r="I524" t="str">
        <f>VLOOKUP(Googleadssales[[#This Row],[Ad_ID]],'[1]pre processed data'!A:O,15,0)</f>
        <v>$1998</v>
      </c>
      <c r="J524" s="3">
        <f>VLOOKUP(Googleadssales[[#This Row],[Ad_ID]],'[1]pre processed data'!A:Q,17,0)</f>
        <v>45604</v>
      </c>
      <c r="K524" t="str">
        <f>VLOOKUP(Googleadssales[[#This Row],[Ad_ID]],'[1]pre processed data'!A:R,18,0)</f>
        <v>Chennai</v>
      </c>
      <c r="L524" t="str">
        <f>VLOOKUP(Googleadssales[[#This Row],[Ad_ID]],'[1]pre processed data'!A:S,19,0)</f>
        <v>Tablet</v>
      </c>
      <c r="M524" t="str">
        <f>VLOOKUP(Googleadssales[[#This Row],[Ad_ID]],'[1]pre processed data'!A:T,20,0)</f>
        <v>data analytics course</v>
      </c>
    </row>
    <row r="525" spans="1:13" x14ac:dyDescent="0.3">
      <c r="A525" t="s">
        <v>538</v>
      </c>
      <c r="B525" t="s">
        <v>18</v>
      </c>
      <c r="C525" s="4">
        <f>VLOOKUP(Googleadssales[[#This Row],[Ad_ID]],'[1]pre processed data'!A:C,3,0)</f>
        <v>105</v>
      </c>
      <c r="D525" s="4">
        <f>VLOOKUP(Googleadssales[[#This Row],[Ad_ID]],'[1]pre processed data'!A:E,5,0)</f>
        <v>3880</v>
      </c>
      <c r="E525" s="5" t="str">
        <f>VLOOKUP(Googleadssales[[#This Row],[Ad_ID]],[1]!Table3[[Ad_ID]:[Cost-imputed]],7,0)</f>
        <v>$246.63</v>
      </c>
      <c r="F525" s="4">
        <f>VLOOKUP(Googleadssales[[#This Row],[Ad_ID]],'[1]pre processed data'!A:I,9,0)</f>
        <v>19</v>
      </c>
      <c r="G525" s="4">
        <f>VLOOKUP(Googleadssales[[#This Row],[Ad_ID]],'[1]pre processed data'!A:K,11,0)</f>
        <v>8</v>
      </c>
      <c r="H525" s="2">
        <f>Googleadssales[[#This Row],[Conversions]]/Googleadssales[[#This Row],[Clicks]]</f>
        <v>7.6190476190476197E-2</v>
      </c>
      <c r="I525" t="str">
        <f>VLOOKUP(Googleadssales[[#This Row],[Ad_ID]],'[1]pre processed data'!A:O,15,0)</f>
        <v>$1598</v>
      </c>
      <c r="J525" s="3">
        <f>VLOOKUP(Googleadssales[[#This Row],[Ad_ID]],'[1]pre processed data'!A:Q,17,0)</f>
        <v>45609</v>
      </c>
      <c r="K525" t="str">
        <f>VLOOKUP(Googleadssales[[#This Row],[Ad_ID]],'[1]pre processed data'!A:R,18,0)</f>
        <v>Bangaluru</v>
      </c>
      <c r="L525" t="str">
        <f>VLOOKUP(Googleadssales[[#This Row],[Ad_ID]],'[1]pre processed data'!A:S,19,0)</f>
        <v>Mobile</v>
      </c>
      <c r="M525" t="str">
        <f>VLOOKUP(Googleadssales[[#This Row],[Ad_ID]],'[1]pre processed data'!A:T,20,0)</f>
        <v>data analytics training</v>
      </c>
    </row>
    <row r="526" spans="1:13" x14ac:dyDescent="0.3">
      <c r="A526" t="s">
        <v>539</v>
      </c>
      <c r="B526" t="s">
        <v>14</v>
      </c>
      <c r="C526" s="4">
        <f>VLOOKUP(Googleadssales[[#This Row],[Ad_ID]],'[1]pre processed data'!A:C,3,0)</f>
        <v>187</v>
      </c>
      <c r="D526" s="4">
        <f>VLOOKUP(Googleadssales[[#This Row],[Ad_ID]],'[1]pre processed data'!A:E,5,0)</f>
        <v>3842</v>
      </c>
      <c r="E526" s="5" t="str">
        <f>VLOOKUP(Googleadssales[[#This Row],[Ad_ID]],[1]!Table3[[Ad_ID]:[Cost-imputed]],7,0)</f>
        <v>$214.35</v>
      </c>
      <c r="F526" s="4">
        <f>VLOOKUP(Googleadssales[[#This Row],[Ad_ID]],'[1]pre processed data'!A:I,9,0)</f>
        <v>28</v>
      </c>
      <c r="G526" s="4">
        <f>VLOOKUP(Googleadssales[[#This Row],[Ad_ID]],'[1]pre processed data'!A:K,11,0)</f>
        <v>5</v>
      </c>
      <c r="H526" s="2">
        <f>Googleadssales[[#This Row],[Conversions]]/Googleadssales[[#This Row],[Clicks]]</f>
        <v>2.6737967914438502E-2</v>
      </c>
      <c r="I526" t="str">
        <f>VLOOKUP(Googleadssales[[#This Row],[Ad_ID]],'[1]pre processed data'!A:O,15,0)</f>
        <v>$1596</v>
      </c>
      <c r="J526" s="3">
        <f>VLOOKUP(Googleadssales[[#This Row],[Ad_ID]],'[1]pre processed data'!A:Q,17,0)</f>
        <v>45609</v>
      </c>
      <c r="K526" t="str">
        <f>VLOOKUP(Googleadssales[[#This Row],[Ad_ID]],'[1]pre processed data'!A:R,18,0)</f>
        <v>Hyderabad</v>
      </c>
      <c r="L526" t="str">
        <f>VLOOKUP(Googleadssales[[#This Row],[Ad_ID]],'[1]pre processed data'!A:S,19,0)</f>
        <v>Mobile</v>
      </c>
      <c r="M526" t="str">
        <f>VLOOKUP(Googleadssales[[#This Row],[Ad_ID]],'[1]pre processed data'!A:T,20,0)</f>
        <v>online data analytic</v>
      </c>
    </row>
    <row r="527" spans="1:13" x14ac:dyDescent="0.3">
      <c r="A527" t="s">
        <v>540</v>
      </c>
      <c r="B527" t="s">
        <v>18</v>
      </c>
      <c r="C527" s="4">
        <f>VLOOKUP(Googleadssales[[#This Row],[Ad_ID]],'[1]pre processed data'!A:C,3,0)</f>
        <v>153</v>
      </c>
      <c r="D527" s="4">
        <f>VLOOKUP(Googleadssales[[#This Row],[Ad_ID]],'[1]pre processed data'!A:E,5,0)</f>
        <v>3143</v>
      </c>
      <c r="E527" s="5" t="str">
        <f>VLOOKUP(Googleadssales[[#This Row],[Ad_ID]],[1]!Table3[[Ad_ID]:[Cost-imputed]],7,0)</f>
        <v>$244.73</v>
      </c>
      <c r="F527" s="4">
        <f>VLOOKUP(Googleadssales[[#This Row],[Ad_ID]],'[1]pre processed data'!A:I,9,0)</f>
        <v>12</v>
      </c>
      <c r="G527" s="4">
        <f>VLOOKUP(Googleadssales[[#This Row],[Ad_ID]],'[1]pre processed data'!A:K,11,0)</f>
        <v>10</v>
      </c>
      <c r="H527" s="2">
        <f>Googleadssales[[#This Row],[Conversions]]/Googleadssales[[#This Row],[Clicks]]</f>
        <v>6.535947712418301E-2</v>
      </c>
      <c r="I527" t="str">
        <f>VLOOKUP(Googleadssales[[#This Row],[Ad_ID]],'[1]pre processed data'!A:O,15,0)</f>
        <v>$1365</v>
      </c>
      <c r="J527" s="3">
        <f>VLOOKUP(Googleadssales[[#This Row],[Ad_ID]],'[1]pre processed data'!A:Q,17,0)</f>
        <v>45611</v>
      </c>
      <c r="K527" t="str">
        <f>VLOOKUP(Googleadssales[[#This Row],[Ad_ID]],'[1]pre processed data'!A:R,18,0)</f>
        <v>Hyderabad</v>
      </c>
      <c r="L527" t="str">
        <f>VLOOKUP(Googleadssales[[#This Row],[Ad_ID]],'[1]pre processed data'!A:S,19,0)</f>
        <v>Mobile</v>
      </c>
      <c r="M527" t="str">
        <f>VLOOKUP(Googleadssales[[#This Row],[Ad_ID]],'[1]pre processed data'!A:T,20,0)</f>
        <v>online data analytic</v>
      </c>
    </row>
    <row r="528" spans="1:13" x14ac:dyDescent="0.3">
      <c r="A528" t="s">
        <v>541</v>
      </c>
      <c r="B528" t="s">
        <v>14</v>
      </c>
      <c r="C528" s="4">
        <f>VLOOKUP(Googleadssales[[#This Row],[Ad_ID]],'[1]pre processed data'!A:C,3,0)</f>
        <v>143</v>
      </c>
      <c r="D528" s="4">
        <f>VLOOKUP(Googleadssales[[#This Row],[Ad_ID]],'[1]pre processed data'!A:E,5,0)</f>
        <v>5781</v>
      </c>
      <c r="E528" s="5" t="str">
        <f>VLOOKUP(Googleadssales[[#This Row],[Ad_ID]],[1]!Table3[[Ad_ID]:[Cost-imputed]],7,0)</f>
        <v>$208.63</v>
      </c>
      <c r="F528" s="4">
        <f>VLOOKUP(Googleadssales[[#This Row],[Ad_ID]],'[1]pre processed data'!A:I,9,0)</f>
        <v>21</v>
      </c>
      <c r="G528" s="4">
        <f>VLOOKUP(Googleadssales[[#This Row],[Ad_ID]],'[1]pre processed data'!A:K,11,0)</f>
        <v>9</v>
      </c>
      <c r="H528" s="2">
        <f>Googleadssales[[#This Row],[Conversions]]/Googleadssales[[#This Row],[Clicks]]</f>
        <v>6.2937062937062943E-2</v>
      </c>
      <c r="I528" t="str">
        <f>VLOOKUP(Googleadssales[[#This Row],[Ad_ID]],'[1]pre processed data'!A:O,15,0)</f>
        <v>$1443</v>
      </c>
      <c r="J528" s="3">
        <f>VLOOKUP(Googleadssales[[#This Row],[Ad_ID]],'[1]pre processed data'!A:Q,17,0)</f>
        <v>45622</v>
      </c>
      <c r="K528" t="str">
        <f>VLOOKUP(Googleadssales[[#This Row],[Ad_ID]],'[1]pre processed data'!A:R,18,0)</f>
        <v>Chennai</v>
      </c>
      <c r="L528" t="str">
        <f>VLOOKUP(Googleadssales[[#This Row],[Ad_ID]],'[1]pre processed data'!A:S,19,0)</f>
        <v>Mobile</v>
      </c>
      <c r="M528" t="str">
        <f>VLOOKUP(Googleadssales[[#This Row],[Ad_ID]],'[1]pre processed data'!A:T,20,0)</f>
        <v>data analytics online</v>
      </c>
    </row>
    <row r="529" spans="1:13" x14ac:dyDescent="0.3">
      <c r="A529" t="s">
        <v>542</v>
      </c>
      <c r="B529" t="s">
        <v>14</v>
      </c>
      <c r="C529" s="4">
        <f>VLOOKUP(Googleadssales[[#This Row],[Ad_ID]],'[1]pre processed data'!A:C,3,0)</f>
        <v>183</v>
      </c>
      <c r="D529" s="4">
        <f>VLOOKUP(Googleadssales[[#This Row],[Ad_ID]],'[1]pre processed data'!A:E,5,0)</f>
        <v>3790</v>
      </c>
      <c r="E529" s="5" t="str">
        <f>VLOOKUP(Googleadssales[[#This Row],[Ad_ID]],[1]!Table3[[Ad_ID]:[Cost-imputed]],7,0)</f>
        <v>$202.48</v>
      </c>
      <c r="F529" s="4">
        <f>VLOOKUP(Googleadssales[[#This Row],[Ad_ID]],'[1]pre processed data'!A:I,9,0)</f>
        <v>21</v>
      </c>
      <c r="G529" s="4">
        <f>VLOOKUP(Googleadssales[[#This Row],[Ad_ID]],'[1]pre processed data'!A:K,11,0)</f>
        <v>8</v>
      </c>
      <c r="H529" s="2">
        <f>Googleadssales[[#This Row],[Conversions]]/Googleadssales[[#This Row],[Clicks]]</f>
        <v>4.3715846994535519E-2</v>
      </c>
      <c r="I529" t="str">
        <f>VLOOKUP(Googleadssales[[#This Row],[Ad_ID]],'[1]pre processed data'!A:O,15,0)</f>
        <v>$1215</v>
      </c>
      <c r="J529" s="3">
        <f>VLOOKUP(Googleadssales[[#This Row],[Ad_ID]],'[1]pre processed data'!A:Q,17,0)</f>
        <v>45622</v>
      </c>
      <c r="K529" t="str">
        <f>VLOOKUP(Googleadssales[[#This Row],[Ad_ID]],'[1]pre processed data'!A:R,18,0)</f>
        <v>Hyderabad</v>
      </c>
      <c r="L529" t="str">
        <f>VLOOKUP(Googleadssales[[#This Row],[Ad_ID]],'[1]pre processed data'!A:S,19,0)</f>
        <v>Desktop</v>
      </c>
      <c r="M529" t="str">
        <f>VLOOKUP(Googleadssales[[#This Row],[Ad_ID]],'[1]pre processed data'!A:T,20,0)</f>
        <v>data analytics training</v>
      </c>
    </row>
    <row r="530" spans="1:13" x14ac:dyDescent="0.3">
      <c r="A530" t="s">
        <v>543</v>
      </c>
      <c r="B530" t="s">
        <v>14</v>
      </c>
      <c r="C530" s="4">
        <f>VLOOKUP(Googleadssales[[#This Row],[Ad_ID]],'[1]pre processed data'!A:C,3,0)</f>
        <v>172</v>
      </c>
      <c r="D530" s="4">
        <f>VLOOKUP(Googleadssales[[#This Row],[Ad_ID]],'[1]pre processed data'!A:E,5,0)</f>
        <v>4250</v>
      </c>
      <c r="E530" s="5" t="str">
        <f>VLOOKUP(Googleadssales[[#This Row],[Ad_ID]],[1]!Table3[[Ad_ID]:[Cost-imputed]],7,0)</f>
        <v>$235.2</v>
      </c>
      <c r="F530" s="4">
        <f>VLOOKUP(Googleadssales[[#This Row],[Ad_ID]],'[1]pre processed data'!A:I,9,0)</f>
        <v>28</v>
      </c>
      <c r="G530" s="4">
        <f>VLOOKUP(Googleadssales[[#This Row],[Ad_ID]],'[1]pre processed data'!A:K,11,0)</f>
        <v>7</v>
      </c>
      <c r="H530" s="2">
        <f>Googleadssales[[#This Row],[Conversions]]/Googleadssales[[#This Row],[Clicks]]</f>
        <v>4.0697674418604654E-2</v>
      </c>
      <c r="I530" t="str">
        <f>VLOOKUP(Googleadssales[[#This Row],[Ad_ID]],'[1]pre processed data'!A:O,15,0)</f>
        <v>$1036</v>
      </c>
      <c r="J530" s="3">
        <f>VLOOKUP(Googleadssales[[#This Row],[Ad_ID]],'[1]pre processed data'!A:Q,17,0)</f>
        <v>45602</v>
      </c>
      <c r="K530" t="str">
        <f>VLOOKUP(Googleadssales[[#This Row],[Ad_ID]],'[1]pre processed data'!A:R,18,0)</f>
        <v>Chennai</v>
      </c>
      <c r="L530" t="str">
        <f>VLOOKUP(Googleadssales[[#This Row],[Ad_ID]],'[1]pre processed data'!A:S,19,0)</f>
        <v>Mobile</v>
      </c>
      <c r="M530" t="str">
        <f>VLOOKUP(Googleadssales[[#This Row],[Ad_ID]],'[1]pre processed data'!A:T,20,0)</f>
        <v>learn data analytics</v>
      </c>
    </row>
    <row r="531" spans="1:13" x14ac:dyDescent="0.3">
      <c r="A531" t="s">
        <v>544</v>
      </c>
      <c r="B531" t="s">
        <v>14</v>
      </c>
      <c r="C531" s="4">
        <f>VLOOKUP(Googleadssales[[#This Row],[Ad_ID]],'[1]pre processed data'!A:C,3,0)</f>
        <v>98</v>
      </c>
      <c r="D531" s="4">
        <f>VLOOKUP(Googleadssales[[#This Row],[Ad_ID]],'[1]pre processed data'!A:E,5,0)</f>
        <v>3800</v>
      </c>
      <c r="E531" s="5" t="str">
        <f>VLOOKUP(Googleadssales[[#This Row],[Ad_ID]],[1]!Table3[[Ad_ID]:[Cost-imputed]],7,0)</f>
        <v>$240.45</v>
      </c>
      <c r="F531" s="4">
        <f>VLOOKUP(Googleadssales[[#This Row],[Ad_ID]],'[1]pre processed data'!A:I,9,0)</f>
        <v>16</v>
      </c>
      <c r="G531" s="4">
        <f>VLOOKUP(Googleadssales[[#This Row],[Ad_ID]],'[1]pre processed data'!A:K,11,0)</f>
        <v>3</v>
      </c>
      <c r="H531" s="2">
        <f>Googleadssales[[#This Row],[Conversions]]/Googleadssales[[#This Row],[Clicks]]</f>
        <v>3.0612244897959183E-2</v>
      </c>
      <c r="I531" t="str">
        <f>VLOOKUP(Googleadssales[[#This Row],[Ad_ID]],'[1]pre processed data'!A:O,15,0)</f>
        <v>$1700</v>
      </c>
      <c r="J531" s="3">
        <f>VLOOKUP(Googleadssales[[#This Row],[Ad_ID]],'[1]pre processed data'!A:Q,17,0)</f>
        <v>45597</v>
      </c>
      <c r="K531" t="str">
        <f>VLOOKUP(Googleadssales[[#This Row],[Ad_ID]],'[1]pre processed data'!A:R,18,0)</f>
        <v>Hyderabad</v>
      </c>
      <c r="L531" t="str">
        <f>VLOOKUP(Googleadssales[[#This Row],[Ad_ID]],'[1]pre processed data'!A:S,19,0)</f>
        <v>Desktop</v>
      </c>
      <c r="M531" t="str">
        <f>VLOOKUP(Googleadssales[[#This Row],[Ad_ID]],'[1]pre processed data'!A:T,20,0)</f>
        <v>data analytics course</v>
      </c>
    </row>
    <row r="532" spans="1:13" x14ac:dyDescent="0.3">
      <c r="A532" t="s">
        <v>545</v>
      </c>
      <c r="B532" t="s">
        <v>14</v>
      </c>
      <c r="C532" s="4">
        <f>VLOOKUP(Googleadssales[[#This Row],[Ad_ID]],'[1]pre processed data'!A:C,3,0)</f>
        <v>87</v>
      </c>
      <c r="D532" s="4">
        <f>VLOOKUP(Googleadssales[[#This Row],[Ad_ID]],'[1]pre processed data'!A:E,5,0)</f>
        <v>4675</v>
      </c>
      <c r="E532" s="5" t="str">
        <f>VLOOKUP(Googleadssales[[#This Row],[Ad_ID]],[1]!Table3[[Ad_ID]:[Cost-imputed]],7,0)</f>
        <v>$200.71</v>
      </c>
      <c r="F532" s="4">
        <f>VLOOKUP(Googleadssales[[#This Row],[Ad_ID]],'[1]pre processed data'!A:I,9,0)</f>
        <v>28</v>
      </c>
      <c r="G532" s="4">
        <f>VLOOKUP(Googleadssales[[#This Row],[Ad_ID]],'[1]pre processed data'!A:K,11,0)</f>
        <v>6</v>
      </c>
      <c r="H532" s="2">
        <f>Googleadssales[[#This Row],[Conversions]]/Googleadssales[[#This Row],[Clicks]]</f>
        <v>6.8965517241379309E-2</v>
      </c>
      <c r="I532" t="str">
        <f>VLOOKUP(Googleadssales[[#This Row],[Ad_ID]],'[1]pre processed data'!A:O,15,0)</f>
        <v>$1428</v>
      </c>
      <c r="J532" s="3">
        <f>VLOOKUP(Googleadssales[[#This Row],[Ad_ID]],'[1]pre processed data'!A:Q,17,0)</f>
        <v>45616</v>
      </c>
      <c r="K532" t="str">
        <f>VLOOKUP(Googleadssales[[#This Row],[Ad_ID]],'[1]pre processed data'!A:R,18,0)</f>
        <v>Chennai</v>
      </c>
      <c r="L532" t="str">
        <f>VLOOKUP(Googleadssales[[#This Row],[Ad_ID]],'[1]pre processed data'!A:S,19,0)</f>
        <v>Mobile</v>
      </c>
      <c r="M532" t="str">
        <f>VLOOKUP(Googleadssales[[#This Row],[Ad_ID]],'[1]pre processed data'!A:T,20,0)</f>
        <v>analytics for data</v>
      </c>
    </row>
    <row r="533" spans="1:13" x14ac:dyDescent="0.3">
      <c r="A533" t="s">
        <v>546</v>
      </c>
      <c r="B533" t="s">
        <v>14</v>
      </c>
      <c r="C533" s="4">
        <f>VLOOKUP(Googleadssales[[#This Row],[Ad_ID]],'[1]pre processed data'!A:C,3,0)</f>
        <v>84</v>
      </c>
      <c r="D533" s="4">
        <f>VLOOKUP(Googleadssales[[#This Row],[Ad_ID]],'[1]pre processed data'!A:E,5,0)</f>
        <v>5711</v>
      </c>
      <c r="E533" s="5" t="str">
        <f>VLOOKUP(Googleadssales[[#This Row],[Ad_ID]],[1]!Table3[[Ad_ID]:[Cost-imputed]],7,0)</f>
        <v>$216.02</v>
      </c>
      <c r="F533" s="4">
        <f>VLOOKUP(Googleadssales[[#This Row],[Ad_ID]],'[1]pre processed data'!A:I,9,0)</f>
        <v>13</v>
      </c>
      <c r="G533" s="4">
        <f>VLOOKUP(Googleadssales[[#This Row],[Ad_ID]],'[1]pre processed data'!A:K,11,0)</f>
        <v>6</v>
      </c>
      <c r="H533" s="2">
        <f>Googleadssales[[#This Row],[Conversions]]/Googleadssales[[#This Row],[Clicks]]</f>
        <v>7.1428571428571425E-2</v>
      </c>
      <c r="I533" t="str">
        <f>VLOOKUP(Googleadssales[[#This Row],[Ad_ID]],'[1]pre processed data'!A:O,15,0)</f>
        <v>$1654</v>
      </c>
      <c r="J533" s="3">
        <f>VLOOKUP(Googleadssales[[#This Row],[Ad_ID]],'[1]pre processed data'!A:Q,17,0)</f>
        <v>45613</v>
      </c>
      <c r="K533" t="str">
        <f>VLOOKUP(Googleadssales[[#This Row],[Ad_ID]],'[1]pre processed data'!A:R,18,0)</f>
        <v>Hyderabad</v>
      </c>
      <c r="L533" t="str">
        <f>VLOOKUP(Googleadssales[[#This Row],[Ad_ID]],'[1]pre processed data'!A:S,19,0)</f>
        <v>Desktop</v>
      </c>
      <c r="M533" t="str">
        <f>VLOOKUP(Googleadssales[[#This Row],[Ad_ID]],'[1]pre processed data'!A:T,20,0)</f>
        <v>data analytics training</v>
      </c>
    </row>
    <row r="534" spans="1:13" x14ac:dyDescent="0.3">
      <c r="A534" t="s">
        <v>547</v>
      </c>
      <c r="B534" t="s">
        <v>18</v>
      </c>
      <c r="C534" s="4">
        <f>VLOOKUP(Googleadssales[[#This Row],[Ad_ID]],'[1]pre processed data'!A:C,3,0)</f>
        <v>151</v>
      </c>
      <c r="D534" s="4">
        <f>VLOOKUP(Googleadssales[[#This Row],[Ad_ID]],'[1]pre processed data'!A:E,5,0)</f>
        <v>3022</v>
      </c>
      <c r="E534" s="5" t="str">
        <f>VLOOKUP(Googleadssales[[#This Row],[Ad_ID]],[1]!Table3[[Ad_ID]:[Cost-imputed]],7,0)</f>
        <v>$191.35</v>
      </c>
      <c r="F534" s="4">
        <f>VLOOKUP(Googleadssales[[#This Row],[Ad_ID]],'[1]pre processed data'!A:I,9,0)</f>
        <v>13</v>
      </c>
      <c r="G534" s="4">
        <f>VLOOKUP(Googleadssales[[#This Row],[Ad_ID]],'[1]pre processed data'!A:K,11,0)</f>
        <v>4</v>
      </c>
      <c r="H534" s="2">
        <f>Googleadssales[[#This Row],[Conversions]]/Googleadssales[[#This Row],[Clicks]]</f>
        <v>2.6490066225165563E-2</v>
      </c>
      <c r="I534" t="str">
        <f>VLOOKUP(Googleadssales[[#This Row],[Ad_ID]],'[1]pre processed data'!A:O,15,0)</f>
        <v>$1133</v>
      </c>
      <c r="J534" s="3">
        <f>VLOOKUP(Googleadssales[[#This Row],[Ad_ID]],'[1]pre processed data'!A:Q,17,0)</f>
        <v>45614</v>
      </c>
      <c r="K534" t="str">
        <f>VLOOKUP(Googleadssales[[#This Row],[Ad_ID]],'[1]pre processed data'!A:R,18,0)</f>
        <v>Hyderabad</v>
      </c>
      <c r="L534" t="str">
        <f>VLOOKUP(Googleadssales[[#This Row],[Ad_ID]],'[1]pre processed data'!A:S,19,0)</f>
        <v>Mobile</v>
      </c>
      <c r="M534" t="str">
        <f>VLOOKUP(Googleadssales[[#This Row],[Ad_ID]],'[1]pre processed data'!A:T,20,0)</f>
        <v>learn data analytics</v>
      </c>
    </row>
    <row r="535" spans="1:13" x14ac:dyDescent="0.3">
      <c r="A535" t="s">
        <v>548</v>
      </c>
      <c r="B535" t="s">
        <v>14</v>
      </c>
      <c r="C535" s="4">
        <f>VLOOKUP(Googleadssales[[#This Row],[Ad_ID]],'[1]pre processed data'!A:C,3,0)</f>
        <v>113</v>
      </c>
      <c r="D535" s="4">
        <f>VLOOKUP(Googleadssales[[#This Row],[Ad_ID]],'[1]pre processed data'!A:E,5,0)</f>
        <v>5407</v>
      </c>
      <c r="E535" s="5" t="str">
        <f>VLOOKUP(Googleadssales[[#This Row],[Ad_ID]],[1]!Table3[[Ad_ID]:[Cost-imputed]],7,0)</f>
        <v>$203.23</v>
      </c>
      <c r="F535" s="4">
        <f>VLOOKUP(Googleadssales[[#This Row],[Ad_ID]],'[1]pre processed data'!A:I,9,0)</f>
        <v>15</v>
      </c>
      <c r="G535" s="4">
        <f>VLOOKUP(Googleadssales[[#This Row],[Ad_ID]],'[1]pre processed data'!A:K,11,0)</f>
        <v>9</v>
      </c>
      <c r="H535" s="2">
        <f>Googleadssales[[#This Row],[Conversions]]/Googleadssales[[#This Row],[Clicks]]</f>
        <v>7.9646017699115043E-2</v>
      </c>
      <c r="I535" t="str">
        <f>VLOOKUP(Googleadssales[[#This Row],[Ad_ID]],'[1]pre processed data'!A:O,15,0)</f>
        <v>$1745</v>
      </c>
      <c r="J535" s="3">
        <f>VLOOKUP(Googleadssales[[#This Row],[Ad_ID]],'[1]pre processed data'!A:Q,17,0)</f>
        <v>45612</v>
      </c>
      <c r="K535" t="str">
        <f>VLOOKUP(Googleadssales[[#This Row],[Ad_ID]],'[1]pre processed data'!A:R,18,0)</f>
        <v>Hyderabad</v>
      </c>
      <c r="L535" t="str">
        <f>VLOOKUP(Googleadssales[[#This Row],[Ad_ID]],'[1]pre processed data'!A:S,19,0)</f>
        <v>Desktop</v>
      </c>
      <c r="M535" t="str">
        <f>VLOOKUP(Googleadssales[[#This Row],[Ad_ID]],'[1]pre processed data'!A:T,20,0)</f>
        <v>data analytics training</v>
      </c>
    </row>
    <row r="536" spans="1:13" x14ac:dyDescent="0.3">
      <c r="A536" t="s">
        <v>549</v>
      </c>
      <c r="B536" t="s">
        <v>14</v>
      </c>
      <c r="C536" s="4">
        <f>VLOOKUP(Googleadssales[[#This Row],[Ad_ID]],'[1]pre processed data'!A:C,3,0)</f>
        <v>89</v>
      </c>
      <c r="D536" s="4">
        <f>VLOOKUP(Googleadssales[[#This Row],[Ad_ID]],'[1]pre processed data'!A:E,5,0)</f>
        <v>5095</v>
      </c>
      <c r="E536" s="5" t="str">
        <f>VLOOKUP(Googleadssales[[#This Row],[Ad_ID]],[1]!Table3[[Ad_ID]:[Cost-imputed]],7,0)</f>
        <v>$202.21</v>
      </c>
      <c r="F536" s="4">
        <f>VLOOKUP(Googleadssales[[#This Row],[Ad_ID]],'[1]pre processed data'!A:I,9,0)</f>
        <v>22</v>
      </c>
      <c r="G536" s="4">
        <f>VLOOKUP(Googleadssales[[#This Row],[Ad_ID]],'[1]pre processed data'!A:K,11,0)</f>
        <v>4</v>
      </c>
      <c r="H536" s="2">
        <f>Googleadssales[[#This Row],[Conversions]]/Googleadssales[[#This Row],[Clicks]]</f>
        <v>4.49438202247191E-2</v>
      </c>
      <c r="I536" t="str">
        <f>VLOOKUP(Googleadssales[[#This Row],[Ad_ID]],'[1]pre processed data'!A:O,15,0)</f>
        <v>$1065</v>
      </c>
      <c r="J536" s="3">
        <f>VLOOKUP(Googleadssales[[#This Row],[Ad_ID]],'[1]pre processed data'!A:Q,17,0)</f>
        <v>45603</v>
      </c>
      <c r="K536" t="str">
        <f>VLOOKUP(Googleadssales[[#This Row],[Ad_ID]],'[1]pre processed data'!A:R,18,0)</f>
        <v>Hyderabad</v>
      </c>
      <c r="L536" t="str">
        <f>VLOOKUP(Googleadssales[[#This Row],[Ad_ID]],'[1]pre processed data'!A:S,19,0)</f>
        <v>Tablet</v>
      </c>
      <c r="M536" t="str">
        <f>VLOOKUP(Googleadssales[[#This Row],[Ad_ID]],'[1]pre processed data'!A:T,20,0)</f>
        <v>data analytics course</v>
      </c>
    </row>
    <row r="537" spans="1:13" x14ac:dyDescent="0.3">
      <c r="A537" t="s">
        <v>550</v>
      </c>
      <c r="B537" t="s">
        <v>18</v>
      </c>
      <c r="C537" s="4">
        <f>VLOOKUP(Googleadssales[[#This Row],[Ad_ID]],'[1]pre processed data'!A:C,3,0)</f>
        <v>174</v>
      </c>
      <c r="D537" s="4">
        <f>VLOOKUP(Googleadssales[[#This Row],[Ad_ID]],'[1]pre processed data'!A:E,5,0)</f>
        <v>3587</v>
      </c>
      <c r="E537" s="5" t="str">
        <f>VLOOKUP(Googleadssales[[#This Row],[Ad_ID]],[1]!Table3[[Ad_ID]:[Cost-imputed]],7,0)</f>
        <v>$217.67</v>
      </c>
      <c r="F537" s="4">
        <f>VLOOKUP(Googleadssales[[#This Row],[Ad_ID]],'[1]pre processed data'!A:I,9,0)</f>
        <v>10</v>
      </c>
      <c r="G537" s="4">
        <f>VLOOKUP(Googleadssales[[#This Row],[Ad_ID]],'[1]pre processed data'!A:K,11,0)</f>
        <v>7</v>
      </c>
      <c r="H537" s="2">
        <f>Googleadssales[[#This Row],[Conversions]]/Googleadssales[[#This Row],[Clicks]]</f>
        <v>4.0229885057471264E-2</v>
      </c>
      <c r="I537" t="str">
        <f>VLOOKUP(Googleadssales[[#This Row],[Ad_ID]],'[1]pre processed data'!A:O,15,0)</f>
        <v>$1226</v>
      </c>
      <c r="J537" s="3">
        <f>VLOOKUP(Googleadssales[[#This Row],[Ad_ID]],'[1]pre processed data'!A:Q,17,0)</f>
        <v>45618</v>
      </c>
      <c r="K537" t="str">
        <f>VLOOKUP(Googleadssales[[#This Row],[Ad_ID]],'[1]pre processed data'!A:R,18,0)</f>
        <v>Hyderabad</v>
      </c>
      <c r="L537" t="str">
        <f>VLOOKUP(Googleadssales[[#This Row],[Ad_ID]],'[1]pre processed data'!A:S,19,0)</f>
        <v>Mobile</v>
      </c>
      <c r="M537" t="str">
        <f>VLOOKUP(Googleadssales[[#This Row],[Ad_ID]],'[1]pre processed data'!A:T,20,0)</f>
        <v>data analytics training</v>
      </c>
    </row>
    <row r="538" spans="1:13" x14ac:dyDescent="0.3">
      <c r="A538" t="s">
        <v>551</v>
      </c>
      <c r="B538" t="s">
        <v>14</v>
      </c>
      <c r="C538" s="4">
        <f>VLOOKUP(Googleadssales[[#This Row],[Ad_ID]],'[1]pre processed data'!A:C,3,0)</f>
        <v>166</v>
      </c>
      <c r="D538" s="4">
        <f>VLOOKUP(Googleadssales[[#This Row],[Ad_ID]],'[1]pre processed data'!A:E,5,0)</f>
        <v>5524</v>
      </c>
      <c r="E538" s="5" t="str">
        <f>VLOOKUP(Googleadssales[[#This Row],[Ad_ID]],[1]!Table3[[Ad_ID]:[Cost-imputed]],7,0)</f>
        <v>$205.53</v>
      </c>
      <c r="F538" s="4">
        <f>VLOOKUP(Googleadssales[[#This Row],[Ad_ID]],'[1]pre processed data'!A:I,9,0)</f>
        <v>25</v>
      </c>
      <c r="G538" s="4">
        <f>VLOOKUP(Googleadssales[[#This Row],[Ad_ID]],'[1]pre processed data'!A:K,11,0)</f>
        <v>7</v>
      </c>
      <c r="H538" s="2">
        <f>Googleadssales[[#This Row],[Conversions]]/Googleadssales[[#This Row],[Clicks]]</f>
        <v>4.2168674698795178E-2</v>
      </c>
      <c r="I538" t="str">
        <f>VLOOKUP(Googleadssales[[#This Row],[Ad_ID]],'[1]pre processed data'!A:O,15,0)</f>
        <v>$1241</v>
      </c>
      <c r="J538" s="3">
        <f>VLOOKUP(Googleadssales[[#This Row],[Ad_ID]],'[1]pre processed data'!A:Q,17,0)</f>
        <v>45620</v>
      </c>
      <c r="K538" t="str">
        <f>VLOOKUP(Googleadssales[[#This Row],[Ad_ID]],'[1]pre processed data'!A:R,18,0)</f>
        <v>Hyderabad</v>
      </c>
      <c r="L538" t="str">
        <f>VLOOKUP(Googleadssales[[#This Row],[Ad_ID]],'[1]pre processed data'!A:S,19,0)</f>
        <v>Mobile</v>
      </c>
      <c r="M538" t="str">
        <f>VLOOKUP(Googleadssales[[#This Row],[Ad_ID]],'[1]pre processed data'!A:T,20,0)</f>
        <v>analytics for data</v>
      </c>
    </row>
    <row r="539" spans="1:13" x14ac:dyDescent="0.3">
      <c r="A539" t="s">
        <v>552</v>
      </c>
      <c r="B539" t="s">
        <v>18</v>
      </c>
      <c r="C539" s="4">
        <f>VLOOKUP(Googleadssales[[#This Row],[Ad_ID]],'[1]pre processed data'!A:C,3,0)</f>
        <v>196</v>
      </c>
      <c r="D539" s="4">
        <f>VLOOKUP(Googleadssales[[#This Row],[Ad_ID]],'[1]pre processed data'!A:E,5,0)</f>
        <v>3777</v>
      </c>
      <c r="E539" s="5" t="str">
        <f>VLOOKUP(Googleadssales[[#This Row],[Ad_ID]],[1]!Table3[[Ad_ID]:[Cost-imputed]],7,0)</f>
        <v>$246.52</v>
      </c>
      <c r="F539" s="4">
        <f>VLOOKUP(Googleadssales[[#This Row],[Ad_ID]],'[1]pre processed data'!A:I,9,0)</f>
        <v>20.027722772277226</v>
      </c>
      <c r="G539" s="4">
        <f>VLOOKUP(Googleadssales[[#This Row],[Ad_ID]],'[1]pre processed data'!A:K,11,0)</f>
        <v>5</v>
      </c>
      <c r="H539" s="2">
        <f>Googleadssales[[#This Row],[Conversions]]/Googleadssales[[#This Row],[Clicks]]</f>
        <v>2.5510204081632654E-2</v>
      </c>
      <c r="I539" t="str">
        <f>VLOOKUP(Googleadssales[[#This Row],[Ad_ID]],'[1]pre processed data'!A:O,15,0)</f>
        <v>$1159</v>
      </c>
      <c r="J539" s="3">
        <f>VLOOKUP(Googleadssales[[#This Row],[Ad_ID]],'[1]pre processed data'!A:Q,17,0)</f>
        <v>45611</v>
      </c>
      <c r="K539" t="str">
        <f>VLOOKUP(Googleadssales[[#This Row],[Ad_ID]],'[1]pre processed data'!A:R,18,0)</f>
        <v>Hyderabad</v>
      </c>
      <c r="L539" t="str">
        <f>VLOOKUP(Googleadssales[[#This Row],[Ad_ID]],'[1]pre processed data'!A:S,19,0)</f>
        <v>Desktop</v>
      </c>
      <c r="M539" t="str">
        <f>VLOOKUP(Googleadssales[[#This Row],[Ad_ID]],'[1]pre processed data'!A:T,20,0)</f>
        <v>data analytics course</v>
      </c>
    </row>
    <row r="540" spans="1:13" x14ac:dyDescent="0.3">
      <c r="A540" t="s">
        <v>553</v>
      </c>
      <c r="B540" t="s">
        <v>14</v>
      </c>
      <c r="C540" s="4">
        <f>VLOOKUP(Googleadssales[[#This Row],[Ad_ID]],'[1]pre processed data'!A:C,3,0)</f>
        <v>97</v>
      </c>
      <c r="D540" s="4">
        <f>VLOOKUP(Googleadssales[[#This Row],[Ad_ID]],'[1]pre processed data'!A:E,5,0)</f>
        <v>3480</v>
      </c>
      <c r="E540" s="5" t="str">
        <f>VLOOKUP(Googleadssales[[#This Row],[Ad_ID]],[1]!Table3[[Ad_ID]:[Cost-imputed]],7,0)</f>
        <v>$233.32</v>
      </c>
      <c r="F540" s="4">
        <f>VLOOKUP(Googleadssales[[#This Row],[Ad_ID]],'[1]pre processed data'!A:I,9,0)</f>
        <v>22</v>
      </c>
      <c r="G540" s="4">
        <f>VLOOKUP(Googleadssales[[#This Row],[Ad_ID]],'[1]pre processed data'!A:K,11,0)</f>
        <v>3</v>
      </c>
      <c r="H540" s="2">
        <f>Googleadssales[[#This Row],[Conversions]]/Googleadssales[[#This Row],[Clicks]]</f>
        <v>3.0927835051546393E-2</v>
      </c>
      <c r="I540" t="str">
        <f>VLOOKUP(Googleadssales[[#This Row],[Ad_ID]],'[1]pre processed data'!A:O,15,0)</f>
        <v>$1008</v>
      </c>
      <c r="J540" s="3">
        <f>VLOOKUP(Googleadssales[[#This Row],[Ad_ID]],'[1]pre processed data'!A:Q,17,0)</f>
        <v>45624</v>
      </c>
      <c r="K540" t="str">
        <f>VLOOKUP(Googleadssales[[#This Row],[Ad_ID]],'[1]pre processed data'!A:R,18,0)</f>
        <v>Bangaluru</v>
      </c>
      <c r="L540" t="str">
        <f>VLOOKUP(Googleadssales[[#This Row],[Ad_ID]],'[1]pre processed data'!A:S,19,0)</f>
        <v>Desktop</v>
      </c>
      <c r="M540" t="str">
        <f>VLOOKUP(Googleadssales[[#This Row],[Ad_ID]],'[1]pre processed data'!A:T,20,0)</f>
        <v>data analytics online</v>
      </c>
    </row>
    <row r="541" spans="1:13" x14ac:dyDescent="0.3">
      <c r="A541" t="s">
        <v>554</v>
      </c>
      <c r="B541" t="s">
        <v>14</v>
      </c>
      <c r="C541" s="4">
        <f>VLOOKUP(Googleadssales[[#This Row],[Ad_ID]],'[1]pre processed data'!A:C,3,0)</f>
        <v>89</v>
      </c>
      <c r="D541" s="4">
        <f>VLOOKUP(Googleadssales[[#This Row],[Ad_ID]],'[1]pre processed data'!A:E,5,0)</f>
        <v>4200</v>
      </c>
      <c r="E541" s="5" t="str">
        <f>VLOOKUP(Googleadssales[[#This Row],[Ad_ID]],[1]!Table3[[Ad_ID]:[Cost-imputed]],7,0)</f>
        <v>$200.98</v>
      </c>
      <c r="F541" s="4">
        <f>VLOOKUP(Googleadssales[[#This Row],[Ad_ID]],'[1]pre processed data'!A:I,9,0)</f>
        <v>23</v>
      </c>
      <c r="G541" s="4">
        <f>VLOOKUP(Googleadssales[[#This Row],[Ad_ID]],'[1]pre processed data'!A:K,11,0)</f>
        <v>8</v>
      </c>
      <c r="H541" s="2">
        <f>Googleadssales[[#This Row],[Conversions]]/Googleadssales[[#This Row],[Clicks]]</f>
        <v>8.98876404494382E-2</v>
      </c>
      <c r="I541" t="str">
        <f>VLOOKUP(Googleadssales[[#This Row],[Ad_ID]],'[1]pre processed data'!A:O,15,0)</f>
        <v>$1476</v>
      </c>
      <c r="J541" s="3">
        <f>VLOOKUP(Googleadssales[[#This Row],[Ad_ID]],'[1]pre processed data'!A:Q,17,0)</f>
        <v>45619</v>
      </c>
      <c r="K541" t="str">
        <f>VLOOKUP(Googleadssales[[#This Row],[Ad_ID]],'[1]pre processed data'!A:R,18,0)</f>
        <v>Hyderabad</v>
      </c>
      <c r="L541" t="str">
        <f>VLOOKUP(Googleadssales[[#This Row],[Ad_ID]],'[1]pre processed data'!A:S,19,0)</f>
        <v>Mobile</v>
      </c>
      <c r="M541" t="str">
        <f>VLOOKUP(Googleadssales[[#This Row],[Ad_ID]],'[1]pre processed data'!A:T,20,0)</f>
        <v>data analytics course</v>
      </c>
    </row>
    <row r="542" spans="1:13" x14ac:dyDescent="0.3">
      <c r="A542" t="s">
        <v>555</v>
      </c>
      <c r="B542" t="s">
        <v>18</v>
      </c>
      <c r="C542" s="4">
        <f>VLOOKUP(Googleadssales[[#This Row],[Ad_ID]],'[1]pre processed data'!A:C,3,0)</f>
        <v>130</v>
      </c>
      <c r="D542" s="4">
        <f>VLOOKUP(Googleadssales[[#This Row],[Ad_ID]],'[1]pre processed data'!A:E,5,0)</f>
        <v>5384</v>
      </c>
      <c r="E542" s="5" t="str">
        <f>VLOOKUP(Googleadssales[[#This Row],[Ad_ID]],[1]!Table3[[Ad_ID]:[Cost-imputed]],7,0)</f>
        <v>$218.6</v>
      </c>
      <c r="F542" s="4">
        <f>VLOOKUP(Googleadssales[[#This Row],[Ad_ID]],'[1]pre processed data'!A:I,9,0)</f>
        <v>24</v>
      </c>
      <c r="G542" s="4">
        <f>VLOOKUP(Googleadssales[[#This Row],[Ad_ID]],'[1]pre processed data'!A:K,11,0)</f>
        <v>8</v>
      </c>
      <c r="H542" s="2">
        <f>Googleadssales[[#This Row],[Conversions]]/Googleadssales[[#This Row],[Clicks]]</f>
        <v>6.1538461538461542E-2</v>
      </c>
      <c r="I542" t="str">
        <f>VLOOKUP(Googleadssales[[#This Row],[Ad_ID]],'[1]pre processed data'!A:O,15,0)</f>
        <v>$1943</v>
      </c>
      <c r="J542" s="3">
        <f>VLOOKUP(Googleadssales[[#This Row],[Ad_ID]],'[1]pre processed data'!A:Q,17,0)</f>
        <v>45624</v>
      </c>
      <c r="K542" t="str">
        <f>VLOOKUP(Googleadssales[[#This Row],[Ad_ID]],'[1]pre processed data'!A:R,18,0)</f>
        <v>Chennai</v>
      </c>
      <c r="L542" t="str">
        <f>VLOOKUP(Googleadssales[[#This Row],[Ad_ID]],'[1]pre processed data'!A:S,19,0)</f>
        <v>Mobile</v>
      </c>
      <c r="M542" t="str">
        <f>VLOOKUP(Googleadssales[[#This Row],[Ad_ID]],'[1]pre processed data'!A:T,20,0)</f>
        <v>learn data analytics</v>
      </c>
    </row>
    <row r="543" spans="1:13" x14ac:dyDescent="0.3">
      <c r="A543" t="s">
        <v>556</v>
      </c>
      <c r="B543" t="s">
        <v>14</v>
      </c>
      <c r="C543" s="4">
        <f>VLOOKUP(Googleadssales[[#This Row],[Ad_ID]],'[1]pre processed data'!A:C,3,0)</f>
        <v>103</v>
      </c>
      <c r="D543" s="4">
        <f>VLOOKUP(Googleadssales[[#This Row],[Ad_ID]],'[1]pre processed data'!A:E,5,0)</f>
        <v>4766</v>
      </c>
      <c r="E543" s="5" t="str">
        <f>VLOOKUP(Googleadssales[[#This Row],[Ad_ID]],[1]!Table3[[Ad_ID]:[Cost-imputed]],7,0)</f>
        <v>$245.34</v>
      </c>
      <c r="F543" s="4">
        <f>VLOOKUP(Googleadssales[[#This Row],[Ad_ID]],'[1]pre processed data'!A:I,9,0)</f>
        <v>11</v>
      </c>
      <c r="G543" s="4">
        <f>VLOOKUP(Googleadssales[[#This Row],[Ad_ID]],'[1]pre processed data'!A:K,11,0)</f>
        <v>8</v>
      </c>
      <c r="H543" s="2">
        <f>Googleadssales[[#This Row],[Conversions]]/Googleadssales[[#This Row],[Clicks]]</f>
        <v>7.7669902912621352E-2</v>
      </c>
      <c r="I543" t="str">
        <f>VLOOKUP(Googleadssales[[#This Row],[Ad_ID]],'[1]pre processed data'!A:O,15,0)</f>
        <v>$1488</v>
      </c>
      <c r="J543" s="3">
        <f>VLOOKUP(Googleadssales[[#This Row],[Ad_ID]],'[1]pre processed data'!A:Q,17,0)</f>
        <v>45604</v>
      </c>
      <c r="K543" t="str">
        <f>VLOOKUP(Googleadssales[[#This Row],[Ad_ID]],'[1]pre processed data'!A:R,18,0)</f>
        <v>Hyderabad</v>
      </c>
      <c r="L543" t="str">
        <f>VLOOKUP(Googleadssales[[#This Row],[Ad_ID]],'[1]pre processed data'!A:S,19,0)</f>
        <v>Desktop</v>
      </c>
      <c r="M543" t="str">
        <f>VLOOKUP(Googleadssales[[#This Row],[Ad_ID]],'[1]pre processed data'!A:T,20,0)</f>
        <v>analytics for data</v>
      </c>
    </row>
    <row r="544" spans="1:13" x14ac:dyDescent="0.3">
      <c r="A544" t="s">
        <v>557</v>
      </c>
      <c r="B544" t="s">
        <v>14</v>
      </c>
      <c r="C544" s="4">
        <f>VLOOKUP(Googleadssales[[#This Row],[Ad_ID]],'[1]pre processed data'!A:C,3,0)</f>
        <v>138</v>
      </c>
      <c r="D544" s="4">
        <f>VLOOKUP(Googleadssales[[#This Row],[Ad_ID]],'[1]pre processed data'!A:E,5,0)</f>
        <v>3322</v>
      </c>
      <c r="E544" s="5" t="str">
        <f>VLOOKUP(Googleadssales[[#This Row],[Ad_ID]],[1]!Table3[[Ad_ID]:[Cost-imputed]],7,0)</f>
        <v>$196.83</v>
      </c>
      <c r="F544" s="4">
        <f>VLOOKUP(Googleadssales[[#This Row],[Ad_ID]],'[1]pre processed data'!A:I,9,0)</f>
        <v>17</v>
      </c>
      <c r="G544" s="4">
        <f>VLOOKUP(Googleadssales[[#This Row],[Ad_ID]],'[1]pre processed data'!A:K,11,0)</f>
        <v>8</v>
      </c>
      <c r="H544" s="2">
        <f>Googleadssales[[#This Row],[Conversions]]/Googleadssales[[#This Row],[Clicks]]</f>
        <v>5.7971014492753624E-2</v>
      </c>
      <c r="I544" t="str">
        <f>VLOOKUP(Googleadssales[[#This Row],[Ad_ID]],'[1]pre processed data'!A:O,15,0)</f>
        <v>$1500</v>
      </c>
      <c r="J544" s="3">
        <f>VLOOKUP(Googleadssales[[#This Row],[Ad_ID]],'[1]pre processed data'!A:Q,17,0)</f>
        <v>45597</v>
      </c>
      <c r="K544" t="str">
        <f>VLOOKUP(Googleadssales[[#This Row],[Ad_ID]],'[1]pre processed data'!A:R,18,0)</f>
        <v>Hyderabad</v>
      </c>
      <c r="L544" t="str">
        <f>VLOOKUP(Googleadssales[[#This Row],[Ad_ID]],'[1]pre processed data'!A:S,19,0)</f>
        <v>Desktop</v>
      </c>
      <c r="M544" t="str">
        <f>VLOOKUP(Googleadssales[[#This Row],[Ad_ID]],'[1]pre processed data'!A:T,20,0)</f>
        <v>online data analytic</v>
      </c>
    </row>
    <row r="545" spans="1:13" x14ac:dyDescent="0.3">
      <c r="A545" t="s">
        <v>558</v>
      </c>
      <c r="B545" t="s">
        <v>14</v>
      </c>
      <c r="C545" s="4">
        <f>VLOOKUP(Googleadssales[[#This Row],[Ad_ID]],'[1]pre processed data'!A:C,3,0)</f>
        <v>127</v>
      </c>
      <c r="D545" s="4">
        <f>VLOOKUP(Googleadssales[[#This Row],[Ad_ID]],'[1]pre processed data'!A:E,5,0)</f>
        <v>4625</v>
      </c>
      <c r="E545" s="5" t="str">
        <f>VLOOKUP(Googleadssales[[#This Row],[Ad_ID]],[1]!Table3[[Ad_ID]:[Cost-imputed]],7,0)</f>
        <v>$207.62</v>
      </c>
      <c r="F545" s="4">
        <f>VLOOKUP(Googleadssales[[#This Row],[Ad_ID]],'[1]pre processed data'!A:I,9,0)</f>
        <v>17</v>
      </c>
      <c r="G545" s="4">
        <f>VLOOKUP(Googleadssales[[#This Row],[Ad_ID]],'[1]pre processed data'!A:K,11,0)</f>
        <v>3</v>
      </c>
      <c r="H545" s="2">
        <f>Googleadssales[[#This Row],[Conversions]]/Googleadssales[[#This Row],[Clicks]]</f>
        <v>2.3622047244094488E-2</v>
      </c>
      <c r="I545" t="str">
        <f>VLOOKUP(Googleadssales[[#This Row],[Ad_ID]],'[1]pre processed data'!A:O,15,0)</f>
        <v>$1811</v>
      </c>
      <c r="J545" s="3">
        <f>VLOOKUP(Googleadssales[[#This Row],[Ad_ID]],'[1]pre processed data'!A:Q,17,0)</f>
        <v>45613</v>
      </c>
      <c r="K545" t="str">
        <f>VLOOKUP(Googleadssales[[#This Row],[Ad_ID]],'[1]pre processed data'!A:R,18,0)</f>
        <v>Hyderabad</v>
      </c>
      <c r="L545" t="str">
        <f>VLOOKUP(Googleadssales[[#This Row],[Ad_ID]],'[1]pre processed data'!A:S,19,0)</f>
        <v>Desktop</v>
      </c>
      <c r="M545" t="str">
        <f>VLOOKUP(Googleadssales[[#This Row],[Ad_ID]],'[1]pre processed data'!A:T,20,0)</f>
        <v>learn data analytics</v>
      </c>
    </row>
    <row r="546" spans="1:13" x14ac:dyDescent="0.3">
      <c r="A546" t="s">
        <v>559</v>
      </c>
      <c r="B546" t="s">
        <v>14</v>
      </c>
      <c r="C546" s="4">
        <f>VLOOKUP(Googleadssales[[#This Row],[Ad_ID]],'[1]pre processed data'!A:C,3,0)</f>
        <v>170</v>
      </c>
      <c r="D546" s="4">
        <f>VLOOKUP(Googleadssales[[#This Row],[Ad_ID]],'[1]pre processed data'!A:E,5,0)</f>
        <v>4689</v>
      </c>
      <c r="E546" s="5" t="str">
        <f>VLOOKUP(Googleadssales[[#This Row],[Ad_ID]],[1]!Table3[[Ad_ID]:[Cost-imputed]],7,0)</f>
        <v>$195.98</v>
      </c>
      <c r="F546" s="4">
        <f>VLOOKUP(Googleadssales[[#This Row],[Ad_ID]],'[1]pre processed data'!A:I,9,0)</f>
        <v>26</v>
      </c>
      <c r="G546" s="4">
        <f>VLOOKUP(Googleadssales[[#This Row],[Ad_ID]],'[1]pre processed data'!A:K,11,0)</f>
        <v>6</v>
      </c>
      <c r="H546" s="2">
        <f>Googleadssales[[#This Row],[Conversions]]/Googleadssales[[#This Row],[Clicks]]</f>
        <v>3.5294117647058823E-2</v>
      </c>
      <c r="I546" t="str">
        <f>VLOOKUP(Googleadssales[[#This Row],[Ad_ID]],'[1]pre processed data'!A:O,15,0)</f>
        <v>$1873</v>
      </c>
      <c r="J546" s="3">
        <f>VLOOKUP(Googleadssales[[#This Row],[Ad_ID]],'[1]pre processed data'!A:Q,17,0)</f>
        <v>45610</v>
      </c>
      <c r="K546" t="str">
        <f>VLOOKUP(Googleadssales[[#This Row],[Ad_ID]],'[1]pre processed data'!A:R,18,0)</f>
        <v>Hyderabad</v>
      </c>
      <c r="L546" t="str">
        <f>VLOOKUP(Googleadssales[[#This Row],[Ad_ID]],'[1]pre processed data'!A:S,19,0)</f>
        <v>Desktop</v>
      </c>
      <c r="M546" t="str">
        <f>VLOOKUP(Googleadssales[[#This Row],[Ad_ID]],'[1]pre processed data'!A:T,20,0)</f>
        <v>data analytics online</v>
      </c>
    </row>
    <row r="547" spans="1:13" x14ac:dyDescent="0.3">
      <c r="A547" t="s">
        <v>560</v>
      </c>
      <c r="B547" t="s">
        <v>14</v>
      </c>
      <c r="C547" s="4">
        <f>VLOOKUP(Googleadssales[[#This Row],[Ad_ID]],'[1]pre processed data'!A:C,3,0)</f>
        <v>115</v>
      </c>
      <c r="D547" s="4">
        <f>VLOOKUP(Googleadssales[[#This Row],[Ad_ID]],'[1]pre processed data'!A:E,5,0)</f>
        <v>3764</v>
      </c>
      <c r="E547" s="5" t="str">
        <f>VLOOKUP(Googleadssales[[#This Row],[Ad_ID]],[1]!Table3[[Ad_ID]:[Cost-imputed]],7,0)</f>
        <v>$197.47</v>
      </c>
      <c r="F547" s="4">
        <f>VLOOKUP(Googleadssales[[#This Row],[Ad_ID]],'[1]pre processed data'!A:I,9,0)</f>
        <v>20</v>
      </c>
      <c r="G547" s="4">
        <f>VLOOKUP(Googleadssales[[#This Row],[Ad_ID]],'[1]pre processed data'!A:K,11,0)</f>
        <v>5</v>
      </c>
      <c r="H547" s="2">
        <f>Googleadssales[[#This Row],[Conversions]]/Googleadssales[[#This Row],[Clicks]]</f>
        <v>4.3478260869565216E-2</v>
      </c>
      <c r="I547" t="str">
        <f>VLOOKUP(Googleadssales[[#This Row],[Ad_ID]],'[1]pre processed data'!A:O,15,0)</f>
        <v>$1952</v>
      </c>
      <c r="J547" s="3">
        <f>VLOOKUP(Googleadssales[[#This Row],[Ad_ID]],'[1]pre processed data'!A:Q,17,0)</f>
        <v>45623</v>
      </c>
      <c r="K547" t="str">
        <f>VLOOKUP(Googleadssales[[#This Row],[Ad_ID]],'[1]pre processed data'!A:R,18,0)</f>
        <v>Hyderabad</v>
      </c>
      <c r="L547" t="str">
        <f>VLOOKUP(Googleadssales[[#This Row],[Ad_ID]],'[1]pre processed data'!A:S,19,0)</f>
        <v>Desktop</v>
      </c>
      <c r="M547" t="str">
        <f>VLOOKUP(Googleadssales[[#This Row],[Ad_ID]],'[1]pre processed data'!A:T,20,0)</f>
        <v>learn data analytics</v>
      </c>
    </row>
    <row r="548" spans="1:13" x14ac:dyDescent="0.3">
      <c r="A548" t="s">
        <v>561</v>
      </c>
      <c r="B548" t="s">
        <v>18</v>
      </c>
      <c r="C548" s="4">
        <f>VLOOKUP(Googleadssales[[#This Row],[Ad_ID]],'[1]pre processed data'!A:C,3,0)</f>
        <v>132</v>
      </c>
      <c r="D548" s="4">
        <f>VLOOKUP(Googleadssales[[#This Row],[Ad_ID]],'[1]pre processed data'!A:E,5,0)</f>
        <v>3365</v>
      </c>
      <c r="E548" s="5" t="str">
        <f>VLOOKUP(Googleadssales[[#This Row],[Ad_ID]],[1]!Table3[[Ad_ID]:[Cost-imputed]],7,0)</f>
        <v>$198.01</v>
      </c>
      <c r="F548" s="4">
        <f>VLOOKUP(Googleadssales[[#This Row],[Ad_ID]],'[1]pre processed data'!A:I,9,0)</f>
        <v>17</v>
      </c>
      <c r="G548" s="4">
        <f>VLOOKUP(Googleadssales[[#This Row],[Ad_ID]],'[1]pre processed data'!A:K,11,0)</f>
        <v>9</v>
      </c>
      <c r="H548" s="2">
        <f>Googleadssales[[#This Row],[Conversions]]/Googleadssales[[#This Row],[Clicks]]</f>
        <v>6.8181818181818177E-2</v>
      </c>
      <c r="I548" t="str">
        <f>VLOOKUP(Googleadssales[[#This Row],[Ad_ID]],'[1]pre processed data'!A:O,15,0)</f>
        <v>$1161</v>
      </c>
      <c r="J548" s="3">
        <f>VLOOKUP(Googleadssales[[#This Row],[Ad_ID]],'[1]pre processed data'!A:Q,17,0)</f>
        <v>45610</v>
      </c>
      <c r="K548" t="str">
        <f>VLOOKUP(Googleadssales[[#This Row],[Ad_ID]],'[1]pre processed data'!A:R,18,0)</f>
        <v>Bangaluru</v>
      </c>
      <c r="L548" t="str">
        <f>VLOOKUP(Googleadssales[[#This Row],[Ad_ID]],'[1]pre processed data'!A:S,19,0)</f>
        <v>Desktop</v>
      </c>
      <c r="M548" t="str">
        <f>VLOOKUP(Googleadssales[[#This Row],[Ad_ID]],'[1]pre processed data'!A:T,20,0)</f>
        <v>analytics for data</v>
      </c>
    </row>
    <row r="549" spans="1:13" x14ac:dyDescent="0.3">
      <c r="A549" t="s">
        <v>562</v>
      </c>
      <c r="B549" t="s">
        <v>14</v>
      </c>
      <c r="C549" s="4">
        <f>VLOOKUP(Googleadssales[[#This Row],[Ad_ID]],'[1]pre processed data'!A:C,3,0)</f>
        <v>168</v>
      </c>
      <c r="D549" s="4">
        <f>VLOOKUP(Googleadssales[[#This Row],[Ad_ID]],'[1]pre processed data'!A:E,5,0)</f>
        <v>3392</v>
      </c>
      <c r="E549" s="5" t="str">
        <f>VLOOKUP(Googleadssales[[#This Row],[Ad_ID]],[1]!Table3[[Ad_ID]:[Cost-imputed]],7,0)</f>
        <v>$230.77</v>
      </c>
      <c r="F549" s="4">
        <f>VLOOKUP(Googleadssales[[#This Row],[Ad_ID]],'[1]pre processed data'!A:I,9,0)</f>
        <v>15</v>
      </c>
      <c r="G549" s="4">
        <f>VLOOKUP(Googleadssales[[#This Row],[Ad_ID]],'[1]pre processed data'!A:K,11,0)</f>
        <v>9</v>
      </c>
      <c r="H549" s="2">
        <f>Googleadssales[[#This Row],[Conversions]]/Googleadssales[[#This Row],[Clicks]]</f>
        <v>5.3571428571428568E-2</v>
      </c>
      <c r="I549" t="str">
        <f>VLOOKUP(Googleadssales[[#This Row],[Ad_ID]],'[1]pre processed data'!A:O,15,0)</f>
        <v>$1504</v>
      </c>
      <c r="J549" s="3">
        <f>VLOOKUP(Googleadssales[[#This Row],[Ad_ID]],'[1]pre processed data'!A:Q,17,0)</f>
        <v>45607</v>
      </c>
      <c r="K549" t="str">
        <f>VLOOKUP(Googleadssales[[#This Row],[Ad_ID]],'[1]pre processed data'!A:R,18,0)</f>
        <v>Hyderabad</v>
      </c>
      <c r="L549" t="str">
        <f>VLOOKUP(Googleadssales[[#This Row],[Ad_ID]],'[1]pre processed data'!A:S,19,0)</f>
        <v>Mobile</v>
      </c>
      <c r="M549" t="str">
        <f>VLOOKUP(Googleadssales[[#This Row],[Ad_ID]],'[1]pre processed data'!A:T,20,0)</f>
        <v>online data analytic</v>
      </c>
    </row>
    <row r="550" spans="1:13" x14ac:dyDescent="0.3">
      <c r="A550" t="s">
        <v>563</v>
      </c>
      <c r="B550" t="s">
        <v>14</v>
      </c>
      <c r="C550" s="4">
        <f>VLOOKUP(Googleadssales[[#This Row],[Ad_ID]],'[1]pre processed data'!A:C,3,0)</f>
        <v>145</v>
      </c>
      <c r="D550" s="4">
        <f>VLOOKUP(Googleadssales[[#This Row],[Ad_ID]],'[1]pre processed data'!A:E,5,0)</f>
        <v>5978</v>
      </c>
      <c r="E550" s="5" t="str">
        <f>VLOOKUP(Googleadssales[[#This Row],[Ad_ID]],[1]!Table3[[Ad_ID]:[Cost-imputed]],7,0)</f>
        <v>$223.3</v>
      </c>
      <c r="F550" s="4">
        <f>VLOOKUP(Googleadssales[[#This Row],[Ad_ID]],'[1]pre processed data'!A:I,9,0)</f>
        <v>30</v>
      </c>
      <c r="G550" s="4">
        <f>VLOOKUP(Googleadssales[[#This Row],[Ad_ID]],'[1]pre processed data'!A:K,11,0)</f>
        <v>10</v>
      </c>
      <c r="H550" s="2">
        <f>Googleadssales[[#This Row],[Conversions]]/Googleadssales[[#This Row],[Clicks]]</f>
        <v>6.8965517241379309E-2</v>
      </c>
      <c r="I550" t="str">
        <f>VLOOKUP(Googleadssales[[#This Row],[Ad_ID]],'[1]pre processed data'!A:O,15,0)</f>
        <v>$1859</v>
      </c>
      <c r="J550" s="3">
        <f>VLOOKUP(Googleadssales[[#This Row],[Ad_ID]],'[1]pre processed data'!A:Q,17,0)</f>
        <v>45616</v>
      </c>
      <c r="K550" t="str">
        <f>VLOOKUP(Googleadssales[[#This Row],[Ad_ID]],'[1]pre processed data'!A:R,18,0)</f>
        <v>Hyderabad</v>
      </c>
      <c r="L550" t="str">
        <f>VLOOKUP(Googleadssales[[#This Row],[Ad_ID]],'[1]pre processed data'!A:S,19,0)</f>
        <v>Mobile</v>
      </c>
      <c r="M550" t="str">
        <f>VLOOKUP(Googleadssales[[#This Row],[Ad_ID]],'[1]pre processed data'!A:T,20,0)</f>
        <v>online data analytic</v>
      </c>
    </row>
    <row r="551" spans="1:13" x14ac:dyDescent="0.3">
      <c r="A551" t="s">
        <v>564</v>
      </c>
      <c r="B551" t="s">
        <v>14</v>
      </c>
      <c r="C551" s="4">
        <f>VLOOKUP(Googleadssales[[#This Row],[Ad_ID]],'[1]pre processed data'!A:C,3,0)</f>
        <v>163</v>
      </c>
      <c r="D551" s="4">
        <f>VLOOKUP(Googleadssales[[#This Row],[Ad_ID]],'[1]pre processed data'!A:E,5,0)</f>
        <v>3340</v>
      </c>
      <c r="E551" s="5" t="str">
        <f>VLOOKUP(Googleadssales[[#This Row],[Ad_ID]],[1]!Table3[[Ad_ID]:[Cost-imputed]],7,0)</f>
        <v>$217.35</v>
      </c>
      <c r="F551" s="4">
        <f>VLOOKUP(Googleadssales[[#This Row],[Ad_ID]],'[1]pre processed data'!A:I,9,0)</f>
        <v>26</v>
      </c>
      <c r="G551" s="4">
        <f>VLOOKUP(Googleadssales[[#This Row],[Ad_ID]],'[1]pre processed data'!A:K,11,0)</f>
        <v>7</v>
      </c>
      <c r="H551" s="2">
        <f>Googleadssales[[#This Row],[Conversions]]/Googleadssales[[#This Row],[Clicks]]</f>
        <v>4.2944785276073622E-2</v>
      </c>
      <c r="I551" t="str">
        <f>VLOOKUP(Googleadssales[[#This Row],[Ad_ID]],'[1]pre processed data'!A:O,15,0)</f>
        <v>$1751</v>
      </c>
      <c r="J551" s="3">
        <f>VLOOKUP(Googleadssales[[#This Row],[Ad_ID]],'[1]pre processed data'!A:Q,17,0)</f>
        <v>45620</v>
      </c>
      <c r="K551" t="str">
        <f>VLOOKUP(Googleadssales[[#This Row],[Ad_ID]],'[1]pre processed data'!A:R,18,0)</f>
        <v>Hyderabad</v>
      </c>
      <c r="L551" t="str">
        <f>VLOOKUP(Googleadssales[[#This Row],[Ad_ID]],'[1]pre processed data'!A:S,19,0)</f>
        <v>Tablet</v>
      </c>
      <c r="M551" t="str">
        <f>VLOOKUP(Googleadssales[[#This Row],[Ad_ID]],'[1]pre processed data'!A:T,20,0)</f>
        <v>data analytics training</v>
      </c>
    </row>
    <row r="552" spans="1:13" x14ac:dyDescent="0.3">
      <c r="A552" t="s">
        <v>565</v>
      </c>
      <c r="B552" t="s">
        <v>14</v>
      </c>
      <c r="C552" s="4">
        <f>VLOOKUP(Googleadssales[[#This Row],[Ad_ID]],'[1]pre processed data'!A:C,3,0)</f>
        <v>84</v>
      </c>
      <c r="D552" s="4">
        <f>VLOOKUP(Googleadssales[[#This Row],[Ad_ID]],'[1]pre processed data'!A:E,5,0)</f>
        <v>4407</v>
      </c>
      <c r="E552" s="5" t="str">
        <f>VLOOKUP(Googleadssales[[#This Row],[Ad_ID]],[1]!Table3[[Ad_ID]:[Cost-imputed]],7,0)</f>
        <v>$192.52</v>
      </c>
      <c r="F552" s="4">
        <f>VLOOKUP(Googleadssales[[#This Row],[Ad_ID]],'[1]pre processed data'!A:I,9,0)</f>
        <v>19</v>
      </c>
      <c r="G552" s="4">
        <f>VLOOKUP(Googleadssales[[#This Row],[Ad_ID]],'[1]pre processed data'!A:K,11,0)</f>
        <v>10</v>
      </c>
      <c r="H552" s="2">
        <f>Googleadssales[[#This Row],[Conversions]]/Googleadssales[[#This Row],[Clicks]]</f>
        <v>0.11904761904761904</v>
      </c>
      <c r="I552" t="str">
        <f>VLOOKUP(Googleadssales[[#This Row],[Ad_ID]],'[1]pre processed data'!A:O,15,0)</f>
        <v>$1221</v>
      </c>
      <c r="J552" s="3">
        <f>VLOOKUP(Googleadssales[[#This Row],[Ad_ID]],'[1]pre processed data'!A:Q,17,0)</f>
        <v>45599</v>
      </c>
      <c r="K552" t="str">
        <f>VLOOKUP(Googleadssales[[#This Row],[Ad_ID]],'[1]pre processed data'!A:R,18,0)</f>
        <v>Hyderabad</v>
      </c>
      <c r="L552" t="str">
        <f>VLOOKUP(Googleadssales[[#This Row],[Ad_ID]],'[1]pre processed data'!A:S,19,0)</f>
        <v>Tablet</v>
      </c>
      <c r="M552" t="str">
        <f>VLOOKUP(Googleadssales[[#This Row],[Ad_ID]],'[1]pre processed data'!A:T,20,0)</f>
        <v>learn data analytics</v>
      </c>
    </row>
    <row r="553" spans="1:13" x14ac:dyDescent="0.3">
      <c r="A553" t="s">
        <v>566</v>
      </c>
      <c r="B553" t="s">
        <v>14</v>
      </c>
      <c r="C553" s="4">
        <f>VLOOKUP(Googleadssales[[#This Row],[Ad_ID]],'[1]pre processed data'!A:C,3,0)</f>
        <v>124</v>
      </c>
      <c r="D553" s="4">
        <f>VLOOKUP(Googleadssales[[#This Row],[Ad_ID]],'[1]pre processed data'!A:E,5,0)</f>
        <v>3180</v>
      </c>
      <c r="E553" s="5" t="str">
        <f>VLOOKUP(Googleadssales[[#This Row],[Ad_ID]],[1]!Table3[[Ad_ID]:[Cost-imputed]],7,0)</f>
        <v>$180.8</v>
      </c>
      <c r="F553" s="4">
        <f>VLOOKUP(Googleadssales[[#This Row],[Ad_ID]],'[1]pre processed data'!A:I,9,0)</f>
        <v>17</v>
      </c>
      <c r="G553" s="4">
        <f>VLOOKUP(Googleadssales[[#This Row],[Ad_ID]],'[1]pre processed data'!A:K,11,0)</f>
        <v>6</v>
      </c>
      <c r="H553" s="2">
        <f>Googleadssales[[#This Row],[Conversions]]/Googleadssales[[#This Row],[Clicks]]</f>
        <v>4.8387096774193547E-2</v>
      </c>
      <c r="I553" t="str">
        <f>VLOOKUP(Googleadssales[[#This Row],[Ad_ID]],'[1]pre processed data'!A:O,15,0)</f>
        <v>$1822</v>
      </c>
      <c r="J553" s="3">
        <f>VLOOKUP(Googleadssales[[#This Row],[Ad_ID]],'[1]pre processed data'!A:Q,17,0)</f>
        <v>45607</v>
      </c>
      <c r="K553" t="str">
        <f>VLOOKUP(Googleadssales[[#This Row],[Ad_ID]],'[1]pre processed data'!A:R,18,0)</f>
        <v>Hyderabad</v>
      </c>
      <c r="L553" t="str">
        <f>VLOOKUP(Googleadssales[[#This Row],[Ad_ID]],'[1]pre processed data'!A:S,19,0)</f>
        <v>Mobile</v>
      </c>
      <c r="M553" t="str">
        <f>VLOOKUP(Googleadssales[[#This Row],[Ad_ID]],'[1]pre processed data'!A:T,20,0)</f>
        <v>online data analytic</v>
      </c>
    </row>
    <row r="554" spans="1:13" x14ac:dyDescent="0.3">
      <c r="A554" t="s">
        <v>567</v>
      </c>
      <c r="B554" t="s">
        <v>14</v>
      </c>
      <c r="C554" s="4">
        <f>VLOOKUP(Googleadssales[[#This Row],[Ad_ID]],'[1]pre processed data'!A:C,3,0)</f>
        <v>162</v>
      </c>
      <c r="D554" s="4">
        <f>VLOOKUP(Googleadssales[[#This Row],[Ad_ID]],'[1]pre processed data'!A:E,5,0)</f>
        <v>4947</v>
      </c>
      <c r="E554" s="5" t="str">
        <f>VLOOKUP(Googleadssales[[#This Row],[Ad_ID]],[1]!Table3[[Ad_ID]:[Cost-imputed]],7,0)</f>
        <v>$233.76</v>
      </c>
      <c r="F554" s="4">
        <f>VLOOKUP(Googleadssales[[#This Row],[Ad_ID]],'[1]pre processed data'!A:I,9,0)</f>
        <v>23</v>
      </c>
      <c r="G554" s="4">
        <f>VLOOKUP(Googleadssales[[#This Row],[Ad_ID]],'[1]pre processed data'!A:K,11,0)</f>
        <v>6</v>
      </c>
      <c r="H554" s="2">
        <f>Googleadssales[[#This Row],[Conversions]]/Googleadssales[[#This Row],[Clicks]]</f>
        <v>3.7037037037037035E-2</v>
      </c>
      <c r="I554" t="str">
        <f>VLOOKUP(Googleadssales[[#This Row],[Ad_ID]],'[1]pre processed data'!A:O,15,0)</f>
        <v>$1973</v>
      </c>
      <c r="J554" s="3">
        <f>VLOOKUP(Googleadssales[[#This Row],[Ad_ID]],'[1]pre processed data'!A:Q,17,0)</f>
        <v>45611</v>
      </c>
      <c r="K554" t="str">
        <f>VLOOKUP(Googleadssales[[#This Row],[Ad_ID]],'[1]pre processed data'!A:R,18,0)</f>
        <v>Bangaluru</v>
      </c>
      <c r="L554" t="str">
        <f>VLOOKUP(Googleadssales[[#This Row],[Ad_ID]],'[1]pre processed data'!A:S,19,0)</f>
        <v>Tablet</v>
      </c>
      <c r="M554" t="str">
        <f>VLOOKUP(Googleadssales[[#This Row],[Ad_ID]],'[1]pre processed data'!A:T,20,0)</f>
        <v>data analytics course</v>
      </c>
    </row>
    <row r="555" spans="1:13" x14ac:dyDescent="0.3">
      <c r="A555" t="s">
        <v>568</v>
      </c>
      <c r="B555" t="s">
        <v>14</v>
      </c>
      <c r="C555" s="4">
        <f>VLOOKUP(Googleadssales[[#This Row],[Ad_ID]],'[1]pre processed data'!A:C,3,0)</f>
        <v>119</v>
      </c>
      <c r="D555" s="4">
        <f>VLOOKUP(Googleadssales[[#This Row],[Ad_ID]],'[1]pre processed data'!A:E,5,0)</f>
        <v>4480</v>
      </c>
      <c r="E555" s="5" t="str">
        <f>VLOOKUP(Googleadssales[[#This Row],[Ad_ID]],[1]!Table3[[Ad_ID]:[Cost-imputed]],7,0)</f>
        <v>$184.25</v>
      </c>
      <c r="F555" s="4">
        <f>VLOOKUP(Googleadssales[[#This Row],[Ad_ID]],'[1]pre processed data'!A:I,9,0)</f>
        <v>20</v>
      </c>
      <c r="G555" s="4">
        <f>VLOOKUP(Googleadssales[[#This Row],[Ad_ID]],'[1]pre processed data'!A:K,11,0)</f>
        <v>3</v>
      </c>
      <c r="H555" s="2">
        <f>Googleadssales[[#This Row],[Conversions]]/Googleadssales[[#This Row],[Clicks]]</f>
        <v>2.5210084033613446E-2</v>
      </c>
      <c r="I555" t="str">
        <f>VLOOKUP(Googleadssales[[#This Row],[Ad_ID]],'[1]pre processed data'!A:O,15,0)</f>
        <v>$1985</v>
      </c>
      <c r="J555" s="3">
        <f>VLOOKUP(Googleadssales[[#This Row],[Ad_ID]],'[1]pre processed data'!A:Q,17,0)</f>
        <v>45618</v>
      </c>
      <c r="K555" t="str">
        <f>VLOOKUP(Googleadssales[[#This Row],[Ad_ID]],'[1]pre processed data'!A:R,18,0)</f>
        <v>Hyderabad</v>
      </c>
      <c r="L555" t="str">
        <f>VLOOKUP(Googleadssales[[#This Row],[Ad_ID]],'[1]pre processed data'!A:S,19,0)</f>
        <v>Mobile</v>
      </c>
      <c r="M555" t="str">
        <f>VLOOKUP(Googleadssales[[#This Row],[Ad_ID]],'[1]pre processed data'!A:T,20,0)</f>
        <v>online data analytic</v>
      </c>
    </row>
    <row r="556" spans="1:13" x14ac:dyDescent="0.3">
      <c r="A556" t="s">
        <v>569</v>
      </c>
      <c r="B556" t="s">
        <v>14</v>
      </c>
      <c r="C556" s="4">
        <f>VLOOKUP(Googleadssales[[#This Row],[Ad_ID]],'[1]pre processed data'!A:C,3,0)</f>
        <v>151</v>
      </c>
      <c r="D556" s="4">
        <f>VLOOKUP(Googleadssales[[#This Row],[Ad_ID]],'[1]pre processed data'!A:E,5,0)</f>
        <v>5595</v>
      </c>
      <c r="E556" s="5" t="str">
        <f>VLOOKUP(Googleadssales[[#This Row],[Ad_ID]],[1]!Table3[[Ad_ID]:[Cost-imputed]],7,0)</f>
        <v>$246.66</v>
      </c>
      <c r="F556" s="4">
        <f>VLOOKUP(Googleadssales[[#This Row],[Ad_ID]],'[1]pre processed data'!A:I,9,0)</f>
        <v>24</v>
      </c>
      <c r="G556" s="4">
        <f>VLOOKUP(Googleadssales[[#This Row],[Ad_ID]],'[1]pre processed data'!A:K,11,0)</f>
        <v>4</v>
      </c>
      <c r="H556" s="2">
        <f>Googleadssales[[#This Row],[Conversions]]/Googleadssales[[#This Row],[Clicks]]</f>
        <v>2.6490066225165563E-2</v>
      </c>
      <c r="I556" t="str">
        <f>VLOOKUP(Googleadssales[[#This Row],[Ad_ID]],'[1]pre processed data'!A:O,15,0)</f>
        <v>$1921</v>
      </c>
      <c r="J556" s="3">
        <f>VLOOKUP(Googleadssales[[#This Row],[Ad_ID]],'[1]pre processed data'!A:Q,17,0)</f>
        <v>45625</v>
      </c>
      <c r="K556" t="str">
        <f>VLOOKUP(Googleadssales[[#This Row],[Ad_ID]],'[1]pre processed data'!A:R,18,0)</f>
        <v>Hyderabad</v>
      </c>
      <c r="L556" t="str">
        <f>VLOOKUP(Googleadssales[[#This Row],[Ad_ID]],'[1]pre processed data'!A:S,19,0)</f>
        <v>Desktop</v>
      </c>
      <c r="M556" t="str">
        <f>VLOOKUP(Googleadssales[[#This Row],[Ad_ID]],'[1]pre processed data'!A:T,20,0)</f>
        <v>learn data analytics</v>
      </c>
    </row>
    <row r="557" spans="1:13" x14ac:dyDescent="0.3">
      <c r="A557" t="s">
        <v>570</v>
      </c>
      <c r="B557" t="s">
        <v>14</v>
      </c>
      <c r="C557" s="4">
        <f>VLOOKUP(Googleadssales[[#This Row],[Ad_ID]],'[1]pre processed data'!A:C,3,0)</f>
        <v>190</v>
      </c>
      <c r="D557" s="4">
        <f>VLOOKUP(Googleadssales[[#This Row],[Ad_ID]],'[1]pre processed data'!A:E,5,0)</f>
        <v>4808</v>
      </c>
      <c r="E557" s="5" t="str">
        <f>VLOOKUP(Googleadssales[[#This Row],[Ad_ID]],[1]!Table3[[Ad_ID]:[Cost-imputed]],7,0)</f>
        <v>$199.94</v>
      </c>
      <c r="F557" s="4">
        <f>VLOOKUP(Googleadssales[[#This Row],[Ad_ID]],'[1]pre processed data'!A:I,9,0)</f>
        <v>16</v>
      </c>
      <c r="G557" s="4">
        <f>VLOOKUP(Googleadssales[[#This Row],[Ad_ID]],'[1]pre processed data'!A:K,11,0)</f>
        <v>6</v>
      </c>
      <c r="H557" s="2">
        <f>Googleadssales[[#This Row],[Conversions]]/Googleadssales[[#This Row],[Clicks]]</f>
        <v>3.1578947368421054E-2</v>
      </c>
      <c r="I557" t="str">
        <f>VLOOKUP(Googleadssales[[#This Row],[Ad_ID]],'[1]pre processed data'!A:O,15,0)</f>
        <v>$1454</v>
      </c>
      <c r="J557" s="3">
        <f>VLOOKUP(Googleadssales[[#This Row],[Ad_ID]],'[1]pre processed data'!A:Q,17,0)</f>
        <v>45599</v>
      </c>
      <c r="K557" t="str">
        <f>VLOOKUP(Googleadssales[[#This Row],[Ad_ID]],'[1]pre processed data'!A:R,18,0)</f>
        <v>Hyderabad</v>
      </c>
      <c r="L557" t="str">
        <f>VLOOKUP(Googleadssales[[#This Row],[Ad_ID]],'[1]pre processed data'!A:S,19,0)</f>
        <v>Desktop</v>
      </c>
      <c r="M557" t="str">
        <f>VLOOKUP(Googleadssales[[#This Row],[Ad_ID]],'[1]pre processed data'!A:T,20,0)</f>
        <v>data analytics online</v>
      </c>
    </row>
    <row r="558" spans="1:13" x14ac:dyDescent="0.3">
      <c r="A558" t="s">
        <v>571</v>
      </c>
      <c r="B558" t="s">
        <v>14</v>
      </c>
      <c r="C558" s="4">
        <f>VLOOKUP(Googleadssales[[#This Row],[Ad_ID]],'[1]pre processed data'!A:C,3,0)</f>
        <v>138</v>
      </c>
      <c r="D558" s="4">
        <f>VLOOKUP(Googleadssales[[#This Row],[Ad_ID]],'[1]pre processed data'!A:E,5,0)</f>
        <v>3382</v>
      </c>
      <c r="E558" s="5" t="str">
        <f>VLOOKUP(Googleadssales[[#This Row],[Ad_ID]],[1]!Table3[[Ad_ID]:[Cost-imputed]],7,0)</f>
        <v>$204.12</v>
      </c>
      <c r="F558" s="4">
        <f>VLOOKUP(Googleadssales[[#This Row],[Ad_ID]],'[1]pre processed data'!A:I,9,0)</f>
        <v>27</v>
      </c>
      <c r="G558" s="4">
        <f>VLOOKUP(Googleadssales[[#This Row],[Ad_ID]],'[1]pre processed data'!A:K,11,0)</f>
        <v>7</v>
      </c>
      <c r="H558" s="2">
        <f>Googleadssales[[#This Row],[Conversions]]/Googleadssales[[#This Row],[Clicks]]</f>
        <v>5.0724637681159424E-2</v>
      </c>
      <c r="I558" t="str">
        <f>VLOOKUP(Googleadssales[[#This Row],[Ad_ID]],'[1]pre processed data'!A:O,15,0)</f>
        <v>$1386</v>
      </c>
      <c r="J558" s="3">
        <f>VLOOKUP(Googleadssales[[#This Row],[Ad_ID]],'[1]pre processed data'!A:Q,17,0)</f>
        <v>45601</v>
      </c>
      <c r="K558" t="str">
        <f>VLOOKUP(Googleadssales[[#This Row],[Ad_ID]],'[1]pre processed data'!A:R,18,0)</f>
        <v>Bangaluru</v>
      </c>
      <c r="L558" t="str">
        <f>VLOOKUP(Googleadssales[[#This Row],[Ad_ID]],'[1]pre processed data'!A:S,19,0)</f>
        <v>Tablet</v>
      </c>
      <c r="M558" t="str">
        <f>VLOOKUP(Googleadssales[[#This Row],[Ad_ID]],'[1]pre processed data'!A:T,20,0)</f>
        <v>learn data analytics</v>
      </c>
    </row>
    <row r="559" spans="1:13" x14ac:dyDescent="0.3">
      <c r="A559" t="s">
        <v>572</v>
      </c>
      <c r="B559" t="s">
        <v>14</v>
      </c>
      <c r="C559" s="4">
        <f>VLOOKUP(Googleadssales[[#This Row],[Ad_ID]],'[1]pre processed data'!A:C,3,0)</f>
        <v>100</v>
      </c>
      <c r="D559" s="4">
        <f>VLOOKUP(Googleadssales[[#This Row],[Ad_ID]],'[1]pre processed data'!A:E,5,0)</f>
        <v>4643</v>
      </c>
      <c r="E559" s="5" t="str">
        <f>VLOOKUP(Googleadssales[[#This Row],[Ad_ID]],[1]!Table3[[Ad_ID]:[Cost-imputed]],7,0)</f>
        <v>$214.46</v>
      </c>
      <c r="F559" s="4">
        <f>VLOOKUP(Googleadssales[[#This Row],[Ad_ID]],'[1]pre processed data'!A:I,9,0)</f>
        <v>16</v>
      </c>
      <c r="G559" s="4">
        <f>VLOOKUP(Googleadssales[[#This Row],[Ad_ID]],'[1]pre processed data'!A:K,11,0)</f>
        <v>9</v>
      </c>
      <c r="H559" s="2">
        <f>Googleadssales[[#This Row],[Conversions]]/Googleadssales[[#This Row],[Clicks]]</f>
        <v>0.09</v>
      </c>
      <c r="I559" t="str">
        <f>VLOOKUP(Googleadssales[[#This Row],[Ad_ID]],'[1]pre processed data'!A:O,15,0)</f>
        <v>$1179</v>
      </c>
      <c r="J559" s="3">
        <f>VLOOKUP(Googleadssales[[#This Row],[Ad_ID]],'[1]pre processed data'!A:Q,17,0)</f>
        <v>45599</v>
      </c>
      <c r="K559" t="str">
        <f>VLOOKUP(Googleadssales[[#This Row],[Ad_ID]],'[1]pre processed data'!A:R,18,0)</f>
        <v>Bangaluru</v>
      </c>
      <c r="L559" t="str">
        <f>VLOOKUP(Googleadssales[[#This Row],[Ad_ID]],'[1]pre processed data'!A:S,19,0)</f>
        <v>Tablet</v>
      </c>
      <c r="M559" t="str">
        <f>VLOOKUP(Googleadssales[[#This Row],[Ad_ID]],'[1]pre processed data'!A:T,20,0)</f>
        <v>online data analytic</v>
      </c>
    </row>
    <row r="560" spans="1:13" x14ac:dyDescent="0.3">
      <c r="A560" t="s">
        <v>573</v>
      </c>
      <c r="B560" t="s">
        <v>14</v>
      </c>
      <c r="C560" s="4">
        <f>VLOOKUP(Googleadssales[[#This Row],[Ad_ID]],'[1]pre processed data'!A:C,3,0)</f>
        <v>187</v>
      </c>
      <c r="D560" s="4">
        <f>VLOOKUP(Googleadssales[[#This Row],[Ad_ID]],'[1]pre processed data'!A:E,5,0)</f>
        <v>5400</v>
      </c>
      <c r="E560" s="5" t="str">
        <f>VLOOKUP(Googleadssales[[#This Row],[Ad_ID]],[1]!Table3[[Ad_ID]:[Cost-imputed]],7,0)</f>
        <v>$210.0</v>
      </c>
      <c r="F560" s="4">
        <f>VLOOKUP(Googleadssales[[#This Row],[Ad_ID]],'[1]pre processed data'!A:I,9,0)</f>
        <v>14</v>
      </c>
      <c r="G560" s="4">
        <f>VLOOKUP(Googleadssales[[#This Row],[Ad_ID]],'[1]pre processed data'!A:K,11,0)</f>
        <v>7</v>
      </c>
      <c r="H560" s="2">
        <f>Googleadssales[[#This Row],[Conversions]]/Googleadssales[[#This Row],[Clicks]]</f>
        <v>3.7433155080213901E-2</v>
      </c>
      <c r="I560" t="str">
        <f>VLOOKUP(Googleadssales[[#This Row],[Ad_ID]],'[1]pre processed data'!A:O,15,0)</f>
        <v>$1945</v>
      </c>
      <c r="J560" s="3">
        <f>VLOOKUP(Googleadssales[[#This Row],[Ad_ID]],'[1]pre processed data'!A:Q,17,0)</f>
        <v>45611</v>
      </c>
      <c r="K560" t="str">
        <f>VLOOKUP(Googleadssales[[#This Row],[Ad_ID]],'[1]pre processed data'!A:R,18,0)</f>
        <v>Chennai</v>
      </c>
      <c r="L560" t="str">
        <f>VLOOKUP(Googleadssales[[#This Row],[Ad_ID]],'[1]pre processed data'!A:S,19,0)</f>
        <v>Desktop</v>
      </c>
      <c r="M560" t="str">
        <f>VLOOKUP(Googleadssales[[#This Row],[Ad_ID]],'[1]pre processed data'!A:T,20,0)</f>
        <v>analytics for data</v>
      </c>
    </row>
    <row r="561" spans="1:13" x14ac:dyDescent="0.3">
      <c r="A561" t="s">
        <v>574</v>
      </c>
      <c r="B561" t="s">
        <v>18</v>
      </c>
      <c r="C561" s="4">
        <f>VLOOKUP(Googleadssales[[#This Row],[Ad_ID]],'[1]pre processed data'!A:C,3,0)</f>
        <v>176</v>
      </c>
      <c r="D561" s="4">
        <f>VLOOKUP(Googleadssales[[#This Row],[Ad_ID]],'[1]pre processed data'!A:E,5,0)</f>
        <v>3400</v>
      </c>
      <c r="E561" s="5" t="str">
        <f>VLOOKUP(Googleadssales[[#This Row],[Ad_ID]],[1]!Table3[[Ad_ID]:[Cost-imputed]],7,0)</f>
        <v>$191.5</v>
      </c>
      <c r="F561" s="4">
        <f>VLOOKUP(Googleadssales[[#This Row],[Ad_ID]],'[1]pre processed data'!A:I,9,0)</f>
        <v>29</v>
      </c>
      <c r="G561" s="4">
        <f>VLOOKUP(Googleadssales[[#This Row],[Ad_ID]],'[1]pre processed data'!A:K,11,0)</f>
        <v>3</v>
      </c>
      <c r="H561" s="2">
        <f>Googleadssales[[#This Row],[Conversions]]/Googleadssales[[#This Row],[Clicks]]</f>
        <v>1.7045454545454544E-2</v>
      </c>
      <c r="I561" t="str">
        <f>VLOOKUP(Googleadssales[[#This Row],[Ad_ID]],'[1]pre processed data'!A:O,15,0)</f>
        <v>$1429</v>
      </c>
      <c r="J561" s="3">
        <f>VLOOKUP(Googleadssales[[#This Row],[Ad_ID]],'[1]pre processed data'!A:Q,17,0)</f>
        <v>45624</v>
      </c>
      <c r="K561" t="str">
        <f>VLOOKUP(Googleadssales[[#This Row],[Ad_ID]],'[1]pre processed data'!A:R,18,0)</f>
        <v>Chennai</v>
      </c>
      <c r="L561" t="str">
        <f>VLOOKUP(Googleadssales[[#This Row],[Ad_ID]],'[1]pre processed data'!A:S,19,0)</f>
        <v>Mobile</v>
      </c>
      <c r="M561" t="str">
        <f>VLOOKUP(Googleadssales[[#This Row],[Ad_ID]],'[1]pre processed data'!A:T,20,0)</f>
        <v>online data analytic</v>
      </c>
    </row>
    <row r="562" spans="1:13" x14ac:dyDescent="0.3">
      <c r="A562" t="s">
        <v>575</v>
      </c>
      <c r="B562" t="s">
        <v>14</v>
      </c>
      <c r="C562" s="4">
        <f>VLOOKUP(Googleadssales[[#This Row],[Ad_ID]],'[1]pre processed data'!A:C,3,0)</f>
        <v>117</v>
      </c>
      <c r="D562" s="4">
        <f>VLOOKUP(Googleadssales[[#This Row],[Ad_ID]],'[1]pre processed data'!A:E,5,0)</f>
        <v>4223</v>
      </c>
      <c r="E562" s="5" t="str">
        <f>VLOOKUP(Googleadssales[[#This Row],[Ad_ID]],[1]!Table3[[Ad_ID]:[Cost-imputed]],7,0)</f>
        <v>$200.00</v>
      </c>
      <c r="F562" s="4">
        <f>VLOOKUP(Googleadssales[[#This Row],[Ad_ID]],'[1]pre processed data'!A:I,9,0)</f>
        <v>28</v>
      </c>
      <c r="G562" s="4">
        <f>VLOOKUP(Googleadssales[[#This Row],[Ad_ID]],'[1]pre processed data'!A:K,11,0)</f>
        <v>6</v>
      </c>
      <c r="H562" s="2">
        <f>Googleadssales[[#This Row],[Conversions]]/Googleadssales[[#This Row],[Clicks]]</f>
        <v>5.128205128205128E-2</v>
      </c>
      <c r="I562" t="str">
        <f>VLOOKUP(Googleadssales[[#This Row],[Ad_ID]],'[1]pre processed data'!A:O,15,0)</f>
        <v>$1489</v>
      </c>
      <c r="J562" s="3">
        <f>VLOOKUP(Googleadssales[[#This Row],[Ad_ID]],'[1]pre processed data'!A:Q,17,0)</f>
        <v>45606</v>
      </c>
      <c r="K562" t="str">
        <f>VLOOKUP(Googleadssales[[#This Row],[Ad_ID]],'[1]pre processed data'!A:R,18,0)</f>
        <v>Hyderabad</v>
      </c>
      <c r="L562" t="str">
        <f>VLOOKUP(Googleadssales[[#This Row],[Ad_ID]],'[1]pre processed data'!A:S,19,0)</f>
        <v>Mobile</v>
      </c>
      <c r="M562" t="str">
        <f>VLOOKUP(Googleadssales[[#This Row],[Ad_ID]],'[1]pre processed data'!A:T,20,0)</f>
        <v>data analytics training</v>
      </c>
    </row>
    <row r="563" spans="1:13" x14ac:dyDescent="0.3">
      <c r="A563" t="s">
        <v>576</v>
      </c>
      <c r="B563" t="s">
        <v>14</v>
      </c>
      <c r="C563" s="4">
        <f>VLOOKUP(Googleadssales[[#This Row],[Ad_ID]],'[1]pre processed data'!A:C,3,0)</f>
        <v>196</v>
      </c>
      <c r="D563" s="4">
        <f>VLOOKUP(Googleadssales[[#This Row],[Ad_ID]],'[1]pre processed data'!A:E,5,0)</f>
        <v>4523.2808326787117</v>
      </c>
      <c r="E563" s="5" t="str">
        <f>VLOOKUP(Googleadssales[[#This Row],[Ad_ID]],[1]!Table3[[Ad_ID]:[Cost-imputed]],7,0)</f>
        <v>$206.31</v>
      </c>
      <c r="F563" s="4">
        <f>VLOOKUP(Googleadssales[[#This Row],[Ad_ID]],'[1]pre processed data'!A:I,9,0)</f>
        <v>24</v>
      </c>
      <c r="G563" s="4">
        <f>VLOOKUP(Googleadssales[[#This Row],[Ad_ID]],'[1]pre processed data'!A:K,11,0)</f>
        <v>8</v>
      </c>
      <c r="H563" s="2">
        <f>Googleadssales[[#This Row],[Conversions]]/Googleadssales[[#This Row],[Clicks]]</f>
        <v>4.0816326530612242E-2</v>
      </c>
      <c r="I563" t="str">
        <f>VLOOKUP(Googleadssales[[#This Row],[Ad_ID]],'[1]pre processed data'!A:O,15,0)</f>
        <v>$1426</v>
      </c>
      <c r="J563" s="3">
        <f>VLOOKUP(Googleadssales[[#This Row],[Ad_ID]],'[1]pre processed data'!A:Q,17,0)</f>
        <v>45619</v>
      </c>
      <c r="K563" t="str">
        <f>VLOOKUP(Googleadssales[[#This Row],[Ad_ID]],'[1]pre processed data'!A:R,18,0)</f>
        <v>Hyderabad</v>
      </c>
      <c r="L563" t="str">
        <f>VLOOKUP(Googleadssales[[#This Row],[Ad_ID]],'[1]pre processed data'!A:S,19,0)</f>
        <v>Tablet</v>
      </c>
      <c r="M563" t="str">
        <f>VLOOKUP(Googleadssales[[#This Row],[Ad_ID]],'[1]pre processed data'!A:T,20,0)</f>
        <v>data analytics online</v>
      </c>
    </row>
    <row r="564" spans="1:13" x14ac:dyDescent="0.3">
      <c r="A564" t="s">
        <v>577</v>
      </c>
      <c r="B564" t="s">
        <v>14</v>
      </c>
      <c r="C564" s="4">
        <f>VLOOKUP(Googleadssales[[#This Row],[Ad_ID]],'[1]pre processed data'!A:C,3,0)</f>
        <v>155</v>
      </c>
      <c r="D564" s="4">
        <f>VLOOKUP(Googleadssales[[#This Row],[Ad_ID]],'[1]pre processed data'!A:E,5,0)</f>
        <v>3864</v>
      </c>
      <c r="E564" s="5" t="str">
        <f>VLOOKUP(Googleadssales[[#This Row],[Ad_ID]],[1]!Table3[[Ad_ID]:[Cost-imputed]],7,0)</f>
        <v>$222.17</v>
      </c>
      <c r="F564" s="4">
        <f>VLOOKUP(Googleadssales[[#This Row],[Ad_ID]],'[1]pre processed data'!A:I,9,0)</f>
        <v>12</v>
      </c>
      <c r="G564" s="4">
        <f>VLOOKUP(Googleadssales[[#This Row],[Ad_ID]],'[1]pre processed data'!A:K,11,0)</f>
        <v>3</v>
      </c>
      <c r="H564" s="2">
        <f>Googleadssales[[#This Row],[Conversions]]/Googleadssales[[#This Row],[Clicks]]</f>
        <v>1.935483870967742E-2</v>
      </c>
      <c r="I564" t="str">
        <f>VLOOKUP(Googleadssales[[#This Row],[Ad_ID]],'[1]pre processed data'!A:O,15,0)</f>
        <v>$1407</v>
      </c>
      <c r="J564" s="3">
        <f>VLOOKUP(Googleadssales[[#This Row],[Ad_ID]],'[1]pre processed data'!A:Q,17,0)</f>
        <v>45617</v>
      </c>
      <c r="K564" t="str">
        <f>VLOOKUP(Googleadssales[[#This Row],[Ad_ID]],'[1]pre processed data'!A:R,18,0)</f>
        <v>Bangaluru</v>
      </c>
      <c r="L564" t="str">
        <f>VLOOKUP(Googleadssales[[#This Row],[Ad_ID]],'[1]pre processed data'!A:S,19,0)</f>
        <v>Mobile</v>
      </c>
      <c r="M564" t="str">
        <f>VLOOKUP(Googleadssales[[#This Row],[Ad_ID]],'[1]pre processed data'!A:T,20,0)</f>
        <v>data analytics training</v>
      </c>
    </row>
    <row r="565" spans="1:13" x14ac:dyDescent="0.3">
      <c r="A565" t="s">
        <v>578</v>
      </c>
      <c r="B565" t="s">
        <v>14</v>
      </c>
      <c r="C565" s="4">
        <f>VLOOKUP(Googleadssales[[#This Row],[Ad_ID]],'[1]pre processed data'!A:C,3,0)</f>
        <v>188</v>
      </c>
      <c r="D565" s="4">
        <f>VLOOKUP(Googleadssales[[#This Row],[Ad_ID]],'[1]pre processed data'!A:E,5,0)</f>
        <v>3838</v>
      </c>
      <c r="E565" s="5" t="str">
        <f>VLOOKUP(Googleadssales[[#This Row],[Ad_ID]],[1]!Table3[[Ad_ID]:[Cost-imputed]],7,0)</f>
        <v>$240.99</v>
      </c>
      <c r="F565" s="4">
        <f>VLOOKUP(Googleadssales[[#This Row],[Ad_ID]],'[1]pre processed data'!A:I,9,0)</f>
        <v>15</v>
      </c>
      <c r="G565" s="4">
        <f>VLOOKUP(Googleadssales[[#This Row],[Ad_ID]],'[1]pre processed data'!A:K,11,0)</f>
        <v>3</v>
      </c>
      <c r="H565" s="2">
        <f>Googleadssales[[#This Row],[Conversions]]/Googleadssales[[#This Row],[Clicks]]</f>
        <v>1.5957446808510637E-2</v>
      </c>
      <c r="I565" t="str">
        <f>VLOOKUP(Googleadssales[[#This Row],[Ad_ID]],'[1]pre processed data'!A:O,15,0)</f>
        <v>$1951</v>
      </c>
      <c r="J565" s="3">
        <f>VLOOKUP(Googleadssales[[#This Row],[Ad_ID]],'[1]pre processed data'!A:Q,17,0)</f>
        <v>45606</v>
      </c>
      <c r="K565" t="str">
        <f>VLOOKUP(Googleadssales[[#This Row],[Ad_ID]],'[1]pre processed data'!A:R,18,0)</f>
        <v>Bangaluru</v>
      </c>
      <c r="L565" t="str">
        <f>VLOOKUP(Googleadssales[[#This Row],[Ad_ID]],'[1]pre processed data'!A:S,19,0)</f>
        <v>Mobile</v>
      </c>
      <c r="M565" t="str">
        <f>VLOOKUP(Googleadssales[[#This Row],[Ad_ID]],'[1]pre processed data'!A:T,20,0)</f>
        <v>data analytics course</v>
      </c>
    </row>
    <row r="566" spans="1:13" x14ac:dyDescent="0.3">
      <c r="A566" t="s">
        <v>579</v>
      </c>
      <c r="B566" t="s">
        <v>18</v>
      </c>
      <c r="C566" s="4">
        <f>VLOOKUP(Googleadssales[[#This Row],[Ad_ID]],'[1]pre processed data'!A:C,3,0)</f>
        <v>81</v>
      </c>
      <c r="D566" s="4">
        <f>VLOOKUP(Googleadssales[[#This Row],[Ad_ID]],'[1]pre processed data'!A:E,5,0)</f>
        <v>5659</v>
      </c>
      <c r="E566" s="5" t="str">
        <f>VLOOKUP(Googleadssales[[#This Row],[Ad_ID]],[1]!Table3[[Ad_ID]:[Cost-imputed]],7,0)</f>
        <v>$222.98</v>
      </c>
      <c r="F566" s="4">
        <f>VLOOKUP(Googleadssales[[#This Row],[Ad_ID]],'[1]pre processed data'!A:I,9,0)</f>
        <v>25</v>
      </c>
      <c r="G566" s="4">
        <f>VLOOKUP(Googleadssales[[#This Row],[Ad_ID]],'[1]pre processed data'!A:K,11,0)</f>
        <v>4</v>
      </c>
      <c r="H566" s="2">
        <f>Googleadssales[[#This Row],[Conversions]]/Googleadssales[[#This Row],[Clicks]]</f>
        <v>4.9382716049382713E-2</v>
      </c>
      <c r="I566" t="str">
        <f>VLOOKUP(Googleadssales[[#This Row],[Ad_ID]],'[1]pre processed data'!A:O,15,0)</f>
        <v>$1654</v>
      </c>
      <c r="J566" s="3">
        <f>VLOOKUP(Googleadssales[[#This Row],[Ad_ID]],'[1]pre processed data'!A:Q,17,0)</f>
        <v>45615</v>
      </c>
      <c r="K566" t="str">
        <f>VLOOKUP(Googleadssales[[#This Row],[Ad_ID]],'[1]pre processed data'!A:R,18,0)</f>
        <v>Hyderabad</v>
      </c>
      <c r="L566" t="str">
        <f>VLOOKUP(Googleadssales[[#This Row],[Ad_ID]],'[1]pre processed data'!A:S,19,0)</f>
        <v>Tablet</v>
      </c>
      <c r="M566" t="str">
        <f>VLOOKUP(Googleadssales[[#This Row],[Ad_ID]],'[1]pre processed data'!A:T,20,0)</f>
        <v>data analytics online</v>
      </c>
    </row>
    <row r="567" spans="1:13" x14ac:dyDescent="0.3">
      <c r="A567" t="s">
        <v>580</v>
      </c>
      <c r="B567" t="s">
        <v>14</v>
      </c>
      <c r="C567" s="4">
        <f>VLOOKUP(Googleadssales[[#This Row],[Ad_ID]],'[1]pre processed data'!A:C,3,0)</f>
        <v>125</v>
      </c>
      <c r="D567" s="4">
        <f>VLOOKUP(Googleadssales[[#This Row],[Ad_ID]],'[1]pre processed data'!A:E,5,0)</f>
        <v>4794</v>
      </c>
      <c r="E567" s="5" t="str">
        <f>VLOOKUP(Googleadssales[[#This Row],[Ad_ID]],[1]!Table3[[Ad_ID]:[Cost-imputed]],7,0)</f>
        <v>$200.00</v>
      </c>
      <c r="F567" s="4">
        <f>VLOOKUP(Googleadssales[[#This Row],[Ad_ID]],'[1]pre processed data'!A:I,9,0)</f>
        <v>28</v>
      </c>
      <c r="G567" s="4">
        <f>VLOOKUP(Googleadssales[[#This Row],[Ad_ID]],'[1]pre processed data'!A:K,11,0)</f>
        <v>7</v>
      </c>
      <c r="H567" s="2">
        <f>Googleadssales[[#This Row],[Conversions]]/Googleadssales[[#This Row],[Clicks]]</f>
        <v>5.6000000000000001E-2</v>
      </c>
      <c r="I567" t="str">
        <f>VLOOKUP(Googleadssales[[#This Row],[Ad_ID]],'[1]pre processed data'!A:O,15,0)</f>
        <v>$1453</v>
      </c>
      <c r="J567" s="3">
        <f>VLOOKUP(Googleadssales[[#This Row],[Ad_ID]],'[1]pre processed data'!A:Q,17,0)</f>
        <v>45618</v>
      </c>
      <c r="K567" t="str">
        <f>VLOOKUP(Googleadssales[[#This Row],[Ad_ID]],'[1]pre processed data'!A:R,18,0)</f>
        <v>Hyderabad</v>
      </c>
      <c r="L567" t="str">
        <f>VLOOKUP(Googleadssales[[#This Row],[Ad_ID]],'[1]pre processed data'!A:S,19,0)</f>
        <v>Desktop</v>
      </c>
      <c r="M567" t="str">
        <f>VLOOKUP(Googleadssales[[#This Row],[Ad_ID]],'[1]pre processed data'!A:T,20,0)</f>
        <v>data analytics online</v>
      </c>
    </row>
    <row r="568" spans="1:13" x14ac:dyDescent="0.3">
      <c r="A568" t="s">
        <v>581</v>
      </c>
      <c r="B568" t="s">
        <v>14</v>
      </c>
      <c r="C568" s="4">
        <f>VLOOKUP(Googleadssales[[#This Row],[Ad_ID]],'[1]pre processed data'!A:C,3,0)</f>
        <v>158</v>
      </c>
      <c r="D568" s="4">
        <f>VLOOKUP(Googleadssales[[#This Row],[Ad_ID]],'[1]pre processed data'!A:E,5,0)</f>
        <v>5214</v>
      </c>
      <c r="E568" s="5" t="str">
        <f>VLOOKUP(Googleadssales[[#This Row],[Ad_ID]],[1]!Table3[[Ad_ID]:[Cost-imputed]],7,0)</f>
        <v>$222.28</v>
      </c>
      <c r="F568" s="4">
        <f>VLOOKUP(Googleadssales[[#This Row],[Ad_ID]],'[1]pre processed data'!A:I,9,0)</f>
        <v>21</v>
      </c>
      <c r="G568" s="4">
        <f>VLOOKUP(Googleadssales[[#This Row],[Ad_ID]],'[1]pre processed data'!A:K,11,0)</f>
        <v>3</v>
      </c>
      <c r="H568" s="2">
        <f>Googleadssales[[#This Row],[Conversions]]/Googleadssales[[#This Row],[Clicks]]</f>
        <v>1.8987341772151899E-2</v>
      </c>
      <c r="I568" t="str">
        <f>VLOOKUP(Googleadssales[[#This Row],[Ad_ID]],'[1]pre processed data'!A:O,15,0)</f>
        <v>$1630</v>
      </c>
      <c r="J568" s="3">
        <f>VLOOKUP(Googleadssales[[#This Row],[Ad_ID]],'[1]pre processed data'!A:Q,17,0)</f>
        <v>45599</v>
      </c>
      <c r="K568" t="str">
        <f>VLOOKUP(Googleadssales[[#This Row],[Ad_ID]],'[1]pre processed data'!A:R,18,0)</f>
        <v>Bangaluru</v>
      </c>
      <c r="L568" t="str">
        <f>VLOOKUP(Googleadssales[[#This Row],[Ad_ID]],'[1]pre processed data'!A:S,19,0)</f>
        <v>Desktop</v>
      </c>
      <c r="M568" t="str">
        <f>VLOOKUP(Googleadssales[[#This Row],[Ad_ID]],'[1]pre processed data'!A:T,20,0)</f>
        <v>data analytics course</v>
      </c>
    </row>
    <row r="569" spans="1:13" x14ac:dyDescent="0.3">
      <c r="A569" t="s">
        <v>582</v>
      </c>
      <c r="B569" t="s">
        <v>14</v>
      </c>
      <c r="C569" s="4">
        <f>VLOOKUP(Googleadssales[[#This Row],[Ad_ID]],'[1]pre processed data'!A:C,3,0)</f>
        <v>133</v>
      </c>
      <c r="D569" s="4">
        <f>VLOOKUP(Googleadssales[[#This Row],[Ad_ID]],'[1]pre processed data'!A:E,5,0)</f>
        <v>5762</v>
      </c>
      <c r="E569" s="5" t="str">
        <f>VLOOKUP(Googleadssales[[#This Row],[Ad_ID]],[1]!Table3[[Ad_ID]:[Cost-imputed]],7,0)</f>
        <v>$196.02</v>
      </c>
      <c r="F569" s="4">
        <f>VLOOKUP(Googleadssales[[#This Row],[Ad_ID]],'[1]pre processed data'!A:I,9,0)</f>
        <v>10</v>
      </c>
      <c r="G569" s="4">
        <f>VLOOKUP(Googleadssales[[#This Row],[Ad_ID]],'[1]pre processed data'!A:K,11,0)</f>
        <v>5</v>
      </c>
      <c r="H569" s="2">
        <f>Googleadssales[[#This Row],[Conversions]]/Googleadssales[[#This Row],[Clicks]]</f>
        <v>3.7593984962406013E-2</v>
      </c>
      <c r="I569" t="str">
        <f>VLOOKUP(Googleadssales[[#This Row],[Ad_ID]],'[1]pre processed data'!A:O,15,0)</f>
        <v>$1500</v>
      </c>
      <c r="J569" s="3">
        <f>VLOOKUP(Googleadssales[[#This Row],[Ad_ID]],'[1]pre processed data'!A:Q,17,0)</f>
        <v>45599</v>
      </c>
      <c r="K569" t="str">
        <f>VLOOKUP(Googleadssales[[#This Row],[Ad_ID]],'[1]pre processed data'!A:R,18,0)</f>
        <v>Hyderabad</v>
      </c>
      <c r="L569" t="str">
        <f>VLOOKUP(Googleadssales[[#This Row],[Ad_ID]],'[1]pre processed data'!A:S,19,0)</f>
        <v>Tablet</v>
      </c>
      <c r="M569" t="str">
        <f>VLOOKUP(Googleadssales[[#This Row],[Ad_ID]],'[1]pre processed data'!A:T,20,0)</f>
        <v>data analytics course</v>
      </c>
    </row>
    <row r="570" spans="1:13" x14ac:dyDescent="0.3">
      <c r="A570" t="s">
        <v>583</v>
      </c>
      <c r="B570" t="s">
        <v>18</v>
      </c>
      <c r="C570" s="4">
        <f>VLOOKUP(Googleadssales[[#This Row],[Ad_ID]],'[1]pre processed data'!A:C,3,0)</f>
        <v>128</v>
      </c>
      <c r="D570" s="4">
        <f>VLOOKUP(Googleadssales[[#This Row],[Ad_ID]],'[1]pre processed data'!A:E,5,0)</f>
        <v>5026</v>
      </c>
      <c r="E570" s="5" t="str">
        <f>VLOOKUP(Googleadssales[[#This Row],[Ad_ID]],[1]!Table3[[Ad_ID]:[Cost-imputed]],7,0)</f>
        <v>$239.88</v>
      </c>
      <c r="F570" s="4">
        <f>VLOOKUP(Googleadssales[[#This Row],[Ad_ID]],'[1]pre processed data'!A:I,9,0)</f>
        <v>15</v>
      </c>
      <c r="G570" s="4">
        <f>VLOOKUP(Googleadssales[[#This Row],[Ad_ID]],'[1]pre processed data'!A:K,11,0)</f>
        <v>9</v>
      </c>
      <c r="H570" s="2">
        <f>Googleadssales[[#This Row],[Conversions]]/Googleadssales[[#This Row],[Clicks]]</f>
        <v>7.03125E-2</v>
      </c>
      <c r="I570" t="str">
        <f>VLOOKUP(Googleadssales[[#This Row],[Ad_ID]],'[1]pre processed data'!A:O,15,0)</f>
        <v>$1745</v>
      </c>
      <c r="J570" s="3">
        <f>VLOOKUP(Googleadssales[[#This Row],[Ad_ID]],'[1]pre processed data'!A:Q,17,0)</f>
        <v>45621</v>
      </c>
      <c r="K570" t="str">
        <f>VLOOKUP(Googleadssales[[#This Row],[Ad_ID]],'[1]pre processed data'!A:R,18,0)</f>
        <v>Chennai</v>
      </c>
      <c r="L570" t="str">
        <f>VLOOKUP(Googleadssales[[#This Row],[Ad_ID]],'[1]pre processed data'!A:S,19,0)</f>
        <v>Mobile</v>
      </c>
      <c r="M570" t="str">
        <f>VLOOKUP(Googleadssales[[#This Row],[Ad_ID]],'[1]pre processed data'!A:T,20,0)</f>
        <v>analytics for data</v>
      </c>
    </row>
    <row r="571" spans="1:13" x14ac:dyDescent="0.3">
      <c r="A571" t="s">
        <v>584</v>
      </c>
      <c r="B571" t="s">
        <v>18</v>
      </c>
      <c r="C571" s="4">
        <f>VLOOKUP(Googleadssales[[#This Row],[Ad_ID]],'[1]pre processed data'!A:C,3,0)</f>
        <v>148</v>
      </c>
      <c r="D571" s="4">
        <f>VLOOKUP(Googleadssales[[#This Row],[Ad_ID]],'[1]pre processed data'!A:E,5,0)</f>
        <v>3883</v>
      </c>
      <c r="E571" s="5" t="str">
        <f>VLOOKUP(Googleadssales[[#This Row],[Ad_ID]],[1]!Table3[[Ad_ID]:[Cost-imputed]],7,0)</f>
        <v>$181.4</v>
      </c>
      <c r="F571" s="4">
        <f>VLOOKUP(Googleadssales[[#This Row],[Ad_ID]],'[1]pre processed data'!A:I,9,0)</f>
        <v>30</v>
      </c>
      <c r="G571" s="4">
        <f>VLOOKUP(Googleadssales[[#This Row],[Ad_ID]],'[1]pre processed data'!A:K,11,0)</f>
        <v>4</v>
      </c>
      <c r="H571" s="2">
        <f>Googleadssales[[#This Row],[Conversions]]/Googleadssales[[#This Row],[Clicks]]</f>
        <v>2.7027027027027029E-2</v>
      </c>
      <c r="I571" t="str">
        <f>VLOOKUP(Googleadssales[[#This Row],[Ad_ID]],'[1]pre processed data'!A:O,15,0)</f>
        <v>$1966</v>
      </c>
      <c r="J571" s="3">
        <f>VLOOKUP(Googleadssales[[#This Row],[Ad_ID]],'[1]pre processed data'!A:Q,17,0)</f>
        <v>45612</v>
      </c>
      <c r="K571" t="str">
        <f>VLOOKUP(Googleadssales[[#This Row],[Ad_ID]],'[1]pre processed data'!A:R,18,0)</f>
        <v>Bangaluru</v>
      </c>
      <c r="L571" t="str">
        <f>VLOOKUP(Googleadssales[[#This Row],[Ad_ID]],'[1]pre processed data'!A:S,19,0)</f>
        <v>Desktop</v>
      </c>
      <c r="M571" t="str">
        <f>VLOOKUP(Googleadssales[[#This Row],[Ad_ID]],'[1]pre processed data'!A:T,20,0)</f>
        <v>analytics for data</v>
      </c>
    </row>
    <row r="572" spans="1:13" x14ac:dyDescent="0.3">
      <c r="A572" t="s">
        <v>585</v>
      </c>
      <c r="B572" t="s">
        <v>14</v>
      </c>
      <c r="C572" s="4">
        <f>VLOOKUP(Googleadssales[[#This Row],[Ad_ID]],'[1]pre processed data'!A:C,3,0)</f>
        <v>92</v>
      </c>
      <c r="D572" s="4">
        <f>VLOOKUP(Googleadssales[[#This Row],[Ad_ID]],'[1]pre processed data'!A:E,5,0)</f>
        <v>4605</v>
      </c>
      <c r="E572" s="5" t="str">
        <f>VLOOKUP(Googleadssales[[#This Row],[Ad_ID]],[1]!Table3[[Ad_ID]:[Cost-imputed]],7,0)</f>
        <v>$234.69</v>
      </c>
      <c r="F572" s="4">
        <f>VLOOKUP(Googleadssales[[#This Row],[Ad_ID]],'[1]pre processed data'!A:I,9,0)</f>
        <v>29</v>
      </c>
      <c r="G572" s="4">
        <f>VLOOKUP(Googleadssales[[#This Row],[Ad_ID]],'[1]pre processed data'!A:K,11,0)</f>
        <v>3</v>
      </c>
      <c r="H572" s="2">
        <f>Googleadssales[[#This Row],[Conversions]]/Googleadssales[[#This Row],[Clicks]]</f>
        <v>3.2608695652173912E-2</v>
      </c>
      <c r="I572" t="str">
        <f>VLOOKUP(Googleadssales[[#This Row],[Ad_ID]],'[1]pre processed data'!A:O,15,0)</f>
        <v>$1264</v>
      </c>
      <c r="J572" s="3">
        <f>VLOOKUP(Googleadssales[[#This Row],[Ad_ID]],'[1]pre processed data'!A:Q,17,0)</f>
        <v>45626</v>
      </c>
      <c r="K572" t="str">
        <f>VLOOKUP(Googleadssales[[#This Row],[Ad_ID]],'[1]pre processed data'!A:R,18,0)</f>
        <v>Chennai</v>
      </c>
      <c r="L572" t="str">
        <f>VLOOKUP(Googleadssales[[#This Row],[Ad_ID]],'[1]pre processed data'!A:S,19,0)</f>
        <v>Mobile</v>
      </c>
      <c r="M572" t="str">
        <f>VLOOKUP(Googleadssales[[#This Row],[Ad_ID]],'[1]pre processed data'!A:T,20,0)</f>
        <v>data analytics training</v>
      </c>
    </row>
    <row r="573" spans="1:13" x14ac:dyDescent="0.3">
      <c r="A573" t="s">
        <v>586</v>
      </c>
      <c r="B573" t="s">
        <v>14</v>
      </c>
      <c r="C573" s="4">
        <f>VLOOKUP(Googleadssales[[#This Row],[Ad_ID]],'[1]pre processed data'!A:C,3,0)</f>
        <v>147</v>
      </c>
      <c r="D573" s="4">
        <f>VLOOKUP(Googleadssales[[#This Row],[Ad_ID]],'[1]pre processed data'!A:E,5,0)</f>
        <v>4523.2808326787117</v>
      </c>
      <c r="E573" s="5" t="str">
        <f>VLOOKUP(Googleadssales[[#This Row],[Ad_ID]],[1]!Table3[[Ad_ID]:[Cost-imputed]],7,0)</f>
        <v>$205.83</v>
      </c>
      <c r="F573" s="4">
        <f>VLOOKUP(Googleadssales[[#This Row],[Ad_ID]],'[1]pre processed data'!A:I,9,0)</f>
        <v>25</v>
      </c>
      <c r="G573" s="4">
        <f>VLOOKUP(Googleadssales[[#This Row],[Ad_ID]],'[1]pre processed data'!A:K,11,0)</f>
        <v>8</v>
      </c>
      <c r="H573" s="2">
        <f>Googleadssales[[#This Row],[Conversions]]/Googleadssales[[#This Row],[Clicks]]</f>
        <v>5.4421768707482991E-2</v>
      </c>
      <c r="I573" t="str">
        <f>VLOOKUP(Googleadssales[[#This Row],[Ad_ID]],'[1]pre processed data'!A:O,15,0)</f>
        <v>$1728</v>
      </c>
      <c r="J573" s="3">
        <f>VLOOKUP(Googleadssales[[#This Row],[Ad_ID]],'[1]pre processed data'!A:Q,17,0)</f>
        <v>45598</v>
      </c>
      <c r="K573" t="str">
        <f>VLOOKUP(Googleadssales[[#This Row],[Ad_ID]],'[1]pre processed data'!A:R,18,0)</f>
        <v>Bangaluru</v>
      </c>
      <c r="L573" t="str">
        <f>VLOOKUP(Googleadssales[[#This Row],[Ad_ID]],'[1]pre processed data'!A:S,19,0)</f>
        <v>Desktop</v>
      </c>
      <c r="M573" t="str">
        <f>VLOOKUP(Googleadssales[[#This Row],[Ad_ID]],'[1]pre processed data'!A:T,20,0)</f>
        <v>data analytics course</v>
      </c>
    </row>
    <row r="574" spans="1:13" x14ac:dyDescent="0.3">
      <c r="A574" t="s">
        <v>587</v>
      </c>
      <c r="B574" t="s">
        <v>14</v>
      </c>
      <c r="C574" s="4">
        <f>VLOOKUP(Googleadssales[[#This Row],[Ad_ID]],'[1]pre processed data'!A:C,3,0)</f>
        <v>136</v>
      </c>
      <c r="D574" s="4">
        <f>VLOOKUP(Googleadssales[[#This Row],[Ad_ID]],'[1]pre processed data'!A:E,5,0)</f>
        <v>5454</v>
      </c>
      <c r="E574" s="5" t="str">
        <f>VLOOKUP(Googleadssales[[#This Row],[Ad_ID]],[1]!Table3[[Ad_ID]:[Cost-imputed]],7,0)</f>
        <v>$247.7</v>
      </c>
      <c r="F574" s="4">
        <f>VLOOKUP(Googleadssales[[#This Row],[Ad_ID]],'[1]pre processed data'!A:I,9,0)</f>
        <v>13</v>
      </c>
      <c r="G574" s="4">
        <f>VLOOKUP(Googleadssales[[#This Row],[Ad_ID]],'[1]pre processed data'!A:K,11,0)</f>
        <v>6</v>
      </c>
      <c r="H574" s="2">
        <f>Googleadssales[[#This Row],[Conversions]]/Googleadssales[[#This Row],[Clicks]]</f>
        <v>4.4117647058823532E-2</v>
      </c>
      <c r="I574" t="str">
        <f>VLOOKUP(Googleadssales[[#This Row],[Ad_ID]],'[1]pre processed data'!A:O,15,0)</f>
        <v>$1687</v>
      </c>
      <c r="J574" s="3">
        <f>VLOOKUP(Googleadssales[[#This Row],[Ad_ID]],'[1]pre processed data'!A:Q,17,0)</f>
        <v>45602</v>
      </c>
      <c r="K574" t="str">
        <f>VLOOKUP(Googleadssales[[#This Row],[Ad_ID]],'[1]pre processed data'!A:R,18,0)</f>
        <v>Bangaluru</v>
      </c>
      <c r="L574" t="str">
        <f>VLOOKUP(Googleadssales[[#This Row],[Ad_ID]],'[1]pre processed data'!A:S,19,0)</f>
        <v>Mobile</v>
      </c>
      <c r="M574" t="str">
        <f>VLOOKUP(Googleadssales[[#This Row],[Ad_ID]],'[1]pre processed data'!A:T,20,0)</f>
        <v>data analytics online</v>
      </c>
    </row>
    <row r="575" spans="1:13" x14ac:dyDescent="0.3">
      <c r="A575" t="s">
        <v>588</v>
      </c>
      <c r="B575" t="s">
        <v>14</v>
      </c>
      <c r="C575" s="4">
        <f>VLOOKUP(Googleadssales[[#This Row],[Ad_ID]],'[1]pre processed data'!A:C,3,0)</f>
        <v>132</v>
      </c>
      <c r="D575" s="4">
        <f>VLOOKUP(Googleadssales[[#This Row],[Ad_ID]],'[1]pre processed data'!A:E,5,0)</f>
        <v>4957</v>
      </c>
      <c r="E575" s="5" t="str">
        <f>VLOOKUP(Googleadssales[[#This Row],[Ad_ID]],[1]!Table3[[Ad_ID]:[Cost-imputed]],7,0)</f>
        <v>$220.43</v>
      </c>
      <c r="F575" s="4">
        <f>VLOOKUP(Googleadssales[[#This Row],[Ad_ID]],'[1]pre processed data'!A:I,9,0)</f>
        <v>28</v>
      </c>
      <c r="G575" s="4">
        <f>VLOOKUP(Googleadssales[[#This Row],[Ad_ID]],'[1]pre processed data'!A:K,11,0)</f>
        <v>6</v>
      </c>
      <c r="H575" s="2">
        <f>Googleadssales[[#This Row],[Conversions]]/Googleadssales[[#This Row],[Clicks]]</f>
        <v>4.5454545454545456E-2</v>
      </c>
      <c r="I575" t="str">
        <f>VLOOKUP(Googleadssales[[#This Row],[Ad_ID]],'[1]pre processed data'!A:O,15,0)</f>
        <v>$1218</v>
      </c>
      <c r="J575" s="3">
        <f>VLOOKUP(Googleadssales[[#This Row],[Ad_ID]],'[1]pre processed data'!A:Q,17,0)</f>
        <v>45599</v>
      </c>
      <c r="K575" t="str">
        <f>VLOOKUP(Googleadssales[[#This Row],[Ad_ID]],'[1]pre processed data'!A:R,18,0)</f>
        <v>Chennai</v>
      </c>
      <c r="L575" t="str">
        <f>VLOOKUP(Googleadssales[[#This Row],[Ad_ID]],'[1]pre processed data'!A:S,19,0)</f>
        <v>Mobile</v>
      </c>
      <c r="M575" t="str">
        <f>VLOOKUP(Googleadssales[[#This Row],[Ad_ID]],'[1]pre processed data'!A:T,20,0)</f>
        <v>online data analytic</v>
      </c>
    </row>
    <row r="576" spans="1:13" x14ac:dyDescent="0.3">
      <c r="A576" t="s">
        <v>589</v>
      </c>
      <c r="B576" t="s">
        <v>14</v>
      </c>
      <c r="C576" s="4">
        <f>VLOOKUP(Googleadssales[[#This Row],[Ad_ID]],'[1]pre processed data'!A:C,3,0)</f>
        <v>173</v>
      </c>
      <c r="D576" s="4">
        <f>VLOOKUP(Googleadssales[[#This Row],[Ad_ID]],'[1]pre processed data'!A:E,5,0)</f>
        <v>4523.2808326787117</v>
      </c>
      <c r="E576" s="5" t="str">
        <f>VLOOKUP(Googleadssales[[#This Row],[Ad_ID]],[1]!Table3[[Ad_ID]:[Cost-imputed]],7,0)</f>
        <v>$241.61</v>
      </c>
      <c r="F576" s="4">
        <f>VLOOKUP(Googleadssales[[#This Row],[Ad_ID]],'[1]pre processed data'!A:I,9,0)</f>
        <v>28</v>
      </c>
      <c r="G576" s="4">
        <f>VLOOKUP(Googleadssales[[#This Row],[Ad_ID]],'[1]pre processed data'!A:K,11,0)</f>
        <v>3</v>
      </c>
      <c r="H576" s="2">
        <f>Googleadssales[[#This Row],[Conversions]]/Googleadssales[[#This Row],[Clicks]]</f>
        <v>1.7341040462427744E-2</v>
      </c>
      <c r="I576" t="str">
        <f>VLOOKUP(Googleadssales[[#This Row],[Ad_ID]],'[1]pre processed data'!A:O,15,0)</f>
        <v>$1191</v>
      </c>
      <c r="J576" s="3">
        <f>VLOOKUP(Googleadssales[[#This Row],[Ad_ID]],'[1]pre processed data'!A:Q,17,0)</f>
        <v>45609</v>
      </c>
      <c r="K576" t="str">
        <f>VLOOKUP(Googleadssales[[#This Row],[Ad_ID]],'[1]pre processed data'!A:R,18,0)</f>
        <v>Hyderabad</v>
      </c>
      <c r="L576" t="str">
        <f>VLOOKUP(Googleadssales[[#This Row],[Ad_ID]],'[1]pre processed data'!A:S,19,0)</f>
        <v>Tablet</v>
      </c>
      <c r="M576" t="str">
        <f>VLOOKUP(Googleadssales[[#This Row],[Ad_ID]],'[1]pre processed data'!A:T,20,0)</f>
        <v>learn data analytics</v>
      </c>
    </row>
    <row r="577" spans="1:13" x14ac:dyDescent="0.3">
      <c r="A577" t="s">
        <v>590</v>
      </c>
      <c r="B577" t="s">
        <v>14</v>
      </c>
      <c r="C577" s="4">
        <f>VLOOKUP(Googleadssales[[#This Row],[Ad_ID]],'[1]pre processed data'!A:C,3,0)</f>
        <v>85</v>
      </c>
      <c r="D577" s="4">
        <f>VLOOKUP(Googleadssales[[#This Row],[Ad_ID]],'[1]pre processed data'!A:E,5,0)</f>
        <v>4747</v>
      </c>
      <c r="E577" s="5" t="str">
        <f>VLOOKUP(Googleadssales[[#This Row],[Ad_ID]],[1]!Table3[[Ad_ID]:[Cost-imputed]],7,0)</f>
        <v>$224.35</v>
      </c>
      <c r="F577" s="4">
        <f>VLOOKUP(Googleadssales[[#This Row],[Ad_ID]],'[1]pre processed data'!A:I,9,0)</f>
        <v>26</v>
      </c>
      <c r="G577" s="4">
        <f>VLOOKUP(Googleadssales[[#This Row],[Ad_ID]],'[1]pre processed data'!A:K,11,0)</f>
        <v>5</v>
      </c>
      <c r="H577" s="2">
        <f>Googleadssales[[#This Row],[Conversions]]/Googleadssales[[#This Row],[Clicks]]</f>
        <v>5.8823529411764705E-2</v>
      </c>
      <c r="I577" t="str">
        <f>VLOOKUP(Googleadssales[[#This Row],[Ad_ID]],'[1]pre processed data'!A:O,15,0)</f>
        <v>$1087</v>
      </c>
      <c r="J577" s="3">
        <f>VLOOKUP(Googleadssales[[#This Row],[Ad_ID]],'[1]pre processed data'!A:Q,17,0)</f>
        <v>45597</v>
      </c>
      <c r="K577" t="str">
        <f>VLOOKUP(Googleadssales[[#This Row],[Ad_ID]],'[1]pre processed data'!A:R,18,0)</f>
        <v>Hyderabad</v>
      </c>
      <c r="L577" t="str">
        <f>VLOOKUP(Googleadssales[[#This Row],[Ad_ID]],'[1]pre processed data'!A:S,19,0)</f>
        <v>Tablet</v>
      </c>
      <c r="M577" t="str">
        <f>VLOOKUP(Googleadssales[[#This Row],[Ad_ID]],'[1]pre processed data'!A:T,20,0)</f>
        <v>data analytics course</v>
      </c>
    </row>
    <row r="578" spans="1:13" x14ac:dyDescent="0.3">
      <c r="A578" t="s">
        <v>591</v>
      </c>
      <c r="B578" t="s">
        <v>18</v>
      </c>
      <c r="C578" s="4">
        <f>VLOOKUP(Googleadssales[[#This Row],[Ad_ID]],'[1]pre processed data'!A:C,3,0)</f>
        <v>129</v>
      </c>
      <c r="D578" s="4">
        <f>VLOOKUP(Googleadssales[[#This Row],[Ad_ID]],'[1]pre processed data'!A:E,5,0)</f>
        <v>5874</v>
      </c>
      <c r="E578" s="5" t="str">
        <f>VLOOKUP(Googleadssales[[#This Row],[Ad_ID]],[1]!Table3[[Ad_ID]:[Cost-imputed]],7,0)</f>
        <v>$200.17</v>
      </c>
      <c r="F578" s="4">
        <f>VLOOKUP(Googleadssales[[#This Row],[Ad_ID]],'[1]pre processed data'!A:I,9,0)</f>
        <v>12</v>
      </c>
      <c r="G578" s="4">
        <f>VLOOKUP(Googleadssales[[#This Row],[Ad_ID]],'[1]pre processed data'!A:K,11,0)</f>
        <v>5</v>
      </c>
      <c r="H578" s="2">
        <f>Googleadssales[[#This Row],[Conversions]]/Googleadssales[[#This Row],[Clicks]]</f>
        <v>3.875968992248062E-2</v>
      </c>
      <c r="I578" t="str">
        <f>VLOOKUP(Googleadssales[[#This Row],[Ad_ID]],'[1]pre processed data'!A:O,15,0)</f>
        <v>$1405</v>
      </c>
      <c r="J578" s="3">
        <f>VLOOKUP(Googleadssales[[#This Row],[Ad_ID]],'[1]pre processed data'!A:Q,17,0)</f>
        <v>45625</v>
      </c>
      <c r="K578" t="str">
        <f>VLOOKUP(Googleadssales[[#This Row],[Ad_ID]],'[1]pre processed data'!A:R,18,0)</f>
        <v>Hyderabad</v>
      </c>
      <c r="L578" t="str">
        <f>VLOOKUP(Googleadssales[[#This Row],[Ad_ID]],'[1]pre processed data'!A:S,19,0)</f>
        <v>Tablet</v>
      </c>
      <c r="M578" t="str">
        <f>VLOOKUP(Googleadssales[[#This Row],[Ad_ID]],'[1]pre processed data'!A:T,20,0)</f>
        <v>online data analytic</v>
      </c>
    </row>
    <row r="579" spans="1:13" x14ac:dyDescent="0.3">
      <c r="A579" t="s">
        <v>592</v>
      </c>
      <c r="B579" t="s">
        <v>14</v>
      </c>
      <c r="C579" s="4">
        <f>VLOOKUP(Googleadssales[[#This Row],[Ad_ID]],'[1]pre processed data'!A:C,3,0)</f>
        <v>181</v>
      </c>
      <c r="D579" s="4">
        <f>VLOOKUP(Googleadssales[[#This Row],[Ad_ID]],'[1]pre processed data'!A:E,5,0)</f>
        <v>4730</v>
      </c>
      <c r="E579" s="5" t="str">
        <f>VLOOKUP(Googleadssales[[#This Row],[Ad_ID]],[1]!Table3[[Ad_ID]:[Cost-imputed]],7,0)</f>
        <v>$243.35</v>
      </c>
      <c r="F579" s="4">
        <f>VLOOKUP(Googleadssales[[#This Row],[Ad_ID]],'[1]pre processed data'!A:I,9,0)</f>
        <v>16</v>
      </c>
      <c r="G579" s="4">
        <f>VLOOKUP(Googleadssales[[#This Row],[Ad_ID]],'[1]pre processed data'!A:K,11,0)</f>
        <v>4</v>
      </c>
      <c r="H579" s="2">
        <f>Googleadssales[[#This Row],[Conversions]]/Googleadssales[[#This Row],[Clicks]]</f>
        <v>2.2099447513812154E-2</v>
      </c>
      <c r="I579" t="str">
        <f>VLOOKUP(Googleadssales[[#This Row],[Ad_ID]],'[1]pre processed data'!A:O,15,0)</f>
        <v>$1975</v>
      </c>
      <c r="J579" s="3">
        <f>VLOOKUP(Googleadssales[[#This Row],[Ad_ID]],'[1]pre processed data'!A:Q,17,0)</f>
        <v>45616</v>
      </c>
      <c r="K579" t="str">
        <f>VLOOKUP(Googleadssales[[#This Row],[Ad_ID]],'[1]pre processed data'!A:R,18,0)</f>
        <v>Hyderabad</v>
      </c>
      <c r="L579" t="str">
        <f>VLOOKUP(Googleadssales[[#This Row],[Ad_ID]],'[1]pre processed data'!A:S,19,0)</f>
        <v>Mobile</v>
      </c>
      <c r="M579" t="str">
        <f>VLOOKUP(Googleadssales[[#This Row],[Ad_ID]],'[1]pre processed data'!A:T,20,0)</f>
        <v>online data analytic</v>
      </c>
    </row>
    <row r="580" spans="1:13" x14ac:dyDescent="0.3">
      <c r="A580" t="s">
        <v>593</v>
      </c>
      <c r="B580" t="s">
        <v>18</v>
      </c>
      <c r="C580" s="4">
        <f>VLOOKUP(Googleadssales[[#This Row],[Ad_ID]],'[1]pre processed data'!A:C,3,0)</f>
        <v>85</v>
      </c>
      <c r="D580" s="4">
        <f>VLOOKUP(Googleadssales[[#This Row],[Ad_ID]],'[1]pre processed data'!A:E,5,0)</f>
        <v>5341</v>
      </c>
      <c r="E580" s="5" t="str">
        <f>VLOOKUP(Googleadssales[[#This Row],[Ad_ID]],[1]!Table3[[Ad_ID]:[Cost-imputed]],7,0)</f>
        <v>$249.64</v>
      </c>
      <c r="F580" s="4">
        <f>VLOOKUP(Googleadssales[[#This Row],[Ad_ID]],'[1]pre processed data'!A:I,9,0)</f>
        <v>21</v>
      </c>
      <c r="G580" s="4">
        <f>VLOOKUP(Googleadssales[[#This Row],[Ad_ID]],'[1]pre processed data'!A:K,11,0)</f>
        <v>6</v>
      </c>
      <c r="H580" s="2">
        <f>Googleadssales[[#This Row],[Conversions]]/Googleadssales[[#This Row],[Clicks]]</f>
        <v>7.0588235294117646E-2</v>
      </c>
      <c r="I580" t="str">
        <f>VLOOKUP(Googleadssales[[#This Row],[Ad_ID]],'[1]pre processed data'!A:O,15,0)</f>
        <v>$1388</v>
      </c>
      <c r="J580" s="3">
        <f>VLOOKUP(Googleadssales[[#This Row],[Ad_ID]],'[1]pre processed data'!A:Q,17,0)</f>
        <v>45606</v>
      </c>
      <c r="K580" t="str">
        <f>VLOOKUP(Googleadssales[[#This Row],[Ad_ID]],'[1]pre processed data'!A:R,18,0)</f>
        <v>Chennai</v>
      </c>
      <c r="L580" t="str">
        <f>VLOOKUP(Googleadssales[[#This Row],[Ad_ID]],'[1]pre processed data'!A:S,19,0)</f>
        <v>Mobile</v>
      </c>
      <c r="M580" t="str">
        <f>VLOOKUP(Googleadssales[[#This Row],[Ad_ID]],'[1]pre processed data'!A:T,20,0)</f>
        <v>online data analytic</v>
      </c>
    </row>
    <row r="581" spans="1:13" x14ac:dyDescent="0.3">
      <c r="A581" t="s">
        <v>594</v>
      </c>
      <c r="B581" t="s">
        <v>18</v>
      </c>
      <c r="C581" s="4">
        <f>VLOOKUP(Googleadssales[[#This Row],[Ad_ID]],'[1]pre processed data'!A:C,3,0)</f>
        <v>92</v>
      </c>
      <c r="D581" s="4">
        <f>VLOOKUP(Googleadssales[[#This Row],[Ad_ID]],'[1]pre processed data'!A:E,5,0)</f>
        <v>4327</v>
      </c>
      <c r="E581" s="5" t="str">
        <f>VLOOKUP(Googleadssales[[#This Row],[Ad_ID]],[1]!Table3[[Ad_ID]:[Cost-imputed]],7,0)</f>
        <v>$188.6</v>
      </c>
      <c r="F581" s="4">
        <f>VLOOKUP(Googleadssales[[#This Row],[Ad_ID]],'[1]pre processed data'!A:I,9,0)</f>
        <v>14</v>
      </c>
      <c r="G581" s="4">
        <f>VLOOKUP(Googleadssales[[#This Row],[Ad_ID]],'[1]pre processed data'!A:K,11,0)</f>
        <v>7</v>
      </c>
      <c r="H581" s="2">
        <f>Googleadssales[[#This Row],[Conversions]]/Googleadssales[[#This Row],[Clicks]]</f>
        <v>7.6086956521739135E-2</v>
      </c>
      <c r="I581" t="str">
        <f>VLOOKUP(Googleadssales[[#This Row],[Ad_ID]],'[1]pre processed data'!A:O,15,0)</f>
        <v>$1140</v>
      </c>
      <c r="J581" s="3">
        <f>VLOOKUP(Googleadssales[[#This Row],[Ad_ID]],'[1]pre processed data'!A:Q,17,0)</f>
        <v>45618</v>
      </c>
      <c r="K581" t="str">
        <f>VLOOKUP(Googleadssales[[#This Row],[Ad_ID]],'[1]pre processed data'!A:R,18,0)</f>
        <v>Bangaluru</v>
      </c>
      <c r="L581" t="str">
        <f>VLOOKUP(Googleadssales[[#This Row],[Ad_ID]],'[1]pre processed data'!A:S,19,0)</f>
        <v>Tablet</v>
      </c>
      <c r="M581" t="str">
        <f>VLOOKUP(Googleadssales[[#This Row],[Ad_ID]],'[1]pre processed data'!A:T,20,0)</f>
        <v>data analytics training</v>
      </c>
    </row>
    <row r="582" spans="1:13" x14ac:dyDescent="0.3">
      <c r="A582" t="s">
        <v>595</v>
      </c>
      <c r="B582" t="s">
        <v>14</v>
      </c>
      <c r="C582" s="4">
        <f>VLOOKUP(Googleadssales[[#This Row],[Ad_ID]],'[1]pre processed data'!A:C,3,0)</f>
        <v>192</v>
      </c>
      <c r="D582" s="4">
        <f>VLOOKUP(Googleadssales[[#This Row],[Ad_ID]],'[1]pre processed data'!A:E,5,0)</f>
        <v>4523.2808326787117</v>
      </c>
      <c r="E582" s="5" t="str">
        <f>VLOOKUP(Googleadssales[[#This Row],[Ad_ID]],[1]!Table3[[Ad_ID]:[Cost-imputed]],7,0)</f>
        <v>$180.82</v>
      </c>
      <c r="F582" s="4">
        <f>VLOOKUP(Googleadssales[[#This Row],[Ad_ID]],'[1]pre processed data'!A:I,9,0)</f>
        <v>27</v>
      </c>
      <c r="G582" s="4">
        <f>VLOOKUP(Googleadssales[[#This Row],[Ad_ID]],'[1]pre processed data'!A:K,11,0)</f>
        <v>4</v>
      </c>
      <c r="H582" s="2">
        <f>Googleadssales[[#This Row],[Conversions]]/Googleadssales[[#This Row],[Clicks]]</f>
        <v>2.0833333333333332E-2</v>
      </c>
      <c r="I582" t="str">
        <f>VLOOKUP(Googleadssales[[#This Row],[Ad_ID]],'[1]pre processed data'!A:O,15,0)</f>
        <v>$1847</v>
      </c>
      <c r="J582" s="3">
        <f>VLOOKUP(Googleadssales[[#This Row],[Ad_ID]],'[1]pre processed data'!A:Q,17,0)</f>
        <v>45605</v>
      </c>
      <c r="K582" t="str">
        <f>VLOOKUP(Googleadssales[[#This Row],[Ad_ID]],'[1]pre processed data'!A:R,18,0)</f>
        <v>Bangaluru</v>
      </c>
      <c r="L582" t="str">
        <f>VLOOKUP(Googleadssales[[#This Row],[Ad_ID]],'[1]pre processed data'!A:S,19,0)</f>
        <v>Mobile</v>
      </c>
      <c r="M582" t="str">
        <f>VLOOKUP(Googleadssales[[#This Row],[Ad_ID]],'[1]pre processed data'!A:T,20,0)</f>
        <v>data analytics training</v>
      </c>
    </row>
    <row r="583" spans="1:13" x14ac:dyDescent="0.3">
      <c r="A583" t="s">
        <v>596</v>
      </c>
      <c r="B583" t="s">
        <v>18</v>
      </c>
      <c r="C583" s="4">
        <f>VLOOKUP(Googleadssales[[#This Row],[Ad_ID]],'[1]pre processed data'!A:C,3,0)</f>
        <v>146</v>
      </c>
      <c r="D583" s="4">
        <f>VLOOKUP(Googleadssales[[#This Row],[Ad_ID]],'[1]pre processed data'!A:E,5,0)</f>
        <v>4484</v>
      </c>
      <c r="E583" s="5" t="str">
        <f>VLOOKUP(Googleadssales[[#This Row],[Ad_ID]],[1]!Table3[[Ad_ID]:[Cost-imputed]],7,0)</f>
        <v>$194.67</v>
      </c>
      <c r="F583" s="4">
        <f>VLOOKUP(Googleadssales[[#This Row],[Ad_ID]],'[1]pre processed data'!A:I,9,0)</f>
        <v>27</v>
      </c>
      <c r="G583" s="4">
        <f>VLOOKUP(Googleadssales[[#This Row],[Ad_ID]],'[1]pre processed data'!A:K,11,0)</f>
        <v>9</v>
      </c>
      <c r="H583" s="2">
        <f>Googleadssales[[#This Row],[Conversions]]/Googleadssales[[#This Row],[Clicks]]</f>
        <v>6.1643835616438353E-2</v>
      </c>
      <c r="I583" t="str">
        <f>VLOOKUP(Googleadssales[[#This Row],[Ad_ID]],'[1]pre processed data'!A:O,15,0)</f>
        <v>$1234</v>
      </c>
      <c r="J583" s="3">
        <f>VLOOKUP(Googleadssales[[#This Row],[Ad_ID]],'[1]pre processed data'!A:Q,17,0)</f>
        <v>45598</v>
      </c>
      <c r="K583" t="str">
        <f>VLOOKUP(Googleadssales[[#This Row],[Ad_ID]],'[1]pre processed data'!A:R,18,0)</f>
        <v>Chennai</v>
      </c>
      <c r="L583" t="str">
        <f>VLOOKUP(Googleadssales[[#This Row],[Ad_ID]],'[1]pre processed data'!A:S,19,0)</f>
        <v>Tablet</v>
      </c>
      <c r="M583" t="str">
        <f>VLOOKUP(Googleadssales[[#This Row],[Ad_ID]],'[1]pre processed data'!A:T,20,0)</f>
        <v>data analytics training</v>
      </c>
    </row>
    <row r="584" spans="1:13" x14ac:dyDescent="0.3">
      <c r="A584" t="s">
        <v>597</v>
      </c>
      <c r="B584" t="s">
        <v>14</v>
      </c>
      <c r="C584" s="4">
        <f>VLOOKUP(Googleadssales[[#This Row],[Ad_ID]],'[1]pre processed data'!A:C,3,0)</f>
        <v>178</v>
      </c>
      <c r="D584" s="4">
        <f>VLOOKUP(Googleadssales[[#This Row],[Ad_ID]],'[1]pre processed data'!A:E,5,0)</f>
        <v>4311</v>
      </c>
      <c r="E584" s="5" t="str">
        <f>VLOOKUP(Googleadssales[[#This Row],[Ad_ID]],[1]!Table3[[Ad_ID]:[Cost-imputed]],7,0)</f>
        <v>$205.46</v>
      </c>
      <c r="F584" s="4">
        <f>VLOOKUP(Googleadssales[[#This Row],[Ad_ID]],'[1]pre processed data'!A:I,9,0)</f>
        <v>18</v>
      </c>
      <c r="G584" s="4">
        <f>VLOOKUP(Googleadssales[[#This Row],[Ad_ID]],'[1]pre processed data'!A:K,11,0)</f>
        <v>4</v>
      </c>
      <c r="H584" s="2">
        <f>Googleadssales[[#This Row],[Conversions]]/Googleadssales[[#This Row],[Clicks]]</f>
        <v>2.247191011235955E-2</v>
      </c>
      <c r="I584" t="str">
        <f>VLOOKUP(Googleadssales[[#This Row],[Ad_ID]],'[1]pre processed data'!A:O,15,0)</f>
        <v>$1671</v>
      </c>
      <c r="J584" s="3">
        <f>VLOOKUP(Googleadssales[[#This Row],[Ad_ID]],'[1]pre processed data'!A:Q,17,0)</f>
        <v>45614</v>
      </c>
      <c r="K584" t="str">
        <f>VLOOKUP(Googleadssales[[#This Row],[Ad_ID]],'[1]pre processed data'!A:R,18,0)</f>
        <v>Hyderabad</v>
      </c>
      <c r="L584" t="str">
        <f>VLOOKUP(Googleadssales[[#This Row],[Ad_ID]],'[1]pre processed data'!A:S,19,0)</f>
        <v>Tablet</v>
      </c>
      <c r="M584" t="str">
        <f>VLOOKUP(Googleadssales[[#This Row],[Ad_ID]],'[1]pre processed data'!A:T,20,0)</f>
        <v>analytics for data</v>
      </c>
    </row>
    <row r="585" spans="1:13" x14ac:dyDescent="0.3">
      <c r="A585" t="s">
        <v>598</v>
      </c>
      <c r="B585" t="s">
        <v>14</v>
      </c>
      <c r="C585" s="4">
        <f>VLOOKUP(Googleadssales[[#This Row],[Ad_ID]],'[1]pre processed data'!A:C,3,0)</f>
        <v>197</v>
      </c>
      <c r="D585" s="4">
        <f>VLOOKUP(Googleadssales[[#This Row],[Ad_ID]],'[1]pre processed data'!A:E,5,0)</f>
        <v>3009</v>
      </c>
      <c r="E585" s="5" t="str">
        <f>VLOOKUP(Googleadssales[[#This Row],[Ad_ID]],[1]!Table3[[Ad_ID]:[Cost-imputed]],7,0)</f>
        <v>$233.44</v>
      </c>
      <c r="F585" s="4">
        <f>VLOOKUP(Googleadssales[[#This Row],[Ad_ID]],'[1]pre processed data'!A:I,9,0)</f>
        <v>22</v>
      </c>
      <c r="G585" s="4">
        <f>VLOOKUP(Googleadssales[[#This Row],[Ad_ID]],'[1]pre processed data'!A:K,11,0)</f>
        <v>9</v>
      </c>
      <c r="H585" s="2">
        <f>Googleadssales[[#This Row],[Conversions]]/Googleadssales[[#This Row],[Clicks]]</f>
        <v>4.5685279187817257E-2</v>
      </c>
      <c r="I585" t="str">
        <f>VLOOKUP(Googleadssales[[#This Row],[Ad_ID]],'[1]pre processed data'!A:O,15,0)</f>
        <v>$1374</v>
      </c>
      <c r="J585" s="3">
        <f>VLOOKUP(Googleadssales[[#This Row],[Ad_ID]],'[1]pre processed data'!A:Q,17,0)</f>
        <v>45614</v>
      </c>
      <c r="K585" t="str">
        <f>VLOOKUP(Googleadssales[[#This Row],[Ad_ID]],'[1]pre processed data'!A:R,18,0)</f>
        <v>Bangaluru</v>
      </c>
      <c r="L585" t="str">
        <f>VLOOKUP(Googleadssales[[#This Row],[Ad_ID]],'[1]pre processed data'!A:S,19,0)</f>
        <v>Tablet</v>
      </c>
      <c r="M585" t="str">
        <f>VLOOKUP(Googleadssales[[#This Row],[Ad_ID]],'[1]pre processed data'!A:T,20,0)</f>
        <v>analytics for data</v>
      </c>
    </row>
    <row r="586" spans="1:13" x14ac:dyDescent="0.3">
      <c r="A586" t="s">
        <v>599</v>
      </c>
      <c r="B586" t="s">
        <v>14</v>
      </c>
      <c r="C586" s="4">
        <f>VLOOKUP(Googleadssales[[#This Row],[Ad_ID]],'[1]pre processed data'!A:C,3,0)</f>
        <v>176</v>
      </c>
      <c r="D586" s="4">
        <f>VLOOKUP(Googleadssales[[#This Row],[Ad_ID]],'[1]pre processed data'!A:E,5,0)</f>
        <v>3110</v>
      </c>
      <c r="E586" s="5" t="str">
        <f>VLOOKUP(Googleadssales[[#This Row],[Ad_ID]],[1]!Table3[[Ad_ID]:[Cost-imputed]],7,0)</f>
        <v>$205.23</v>
      </c>
      <c r="F586" s="4">
        <f>VLOOKUP(Googleadssales[[#This Row],[Ad_ID]],'[1]pre processed data'!A:I,9,0)</f>
        <v>23</v>
      </c>
      <c r="G586" s="4">
        <f>VLOOKUP(Googleadssales[[#This Row],[Ad_ID]],'[1]pre processed data'!A:K,11,0)</f>
        <v>5</v>
      </c>
      <c r="H586" s="2">
        <f>Googleadssales[[#This Row],[Conversions]]/Googleadssales[[#This Row],[Clicks]]</f>
        <v>2.8409090909090908E-2</v>
      </c>
      <c r="I586" t="str">
        <f>VLOOKUP(Googleadssales[[#This Row],[Ad_ID]],'[1]pre processed data'!A:O,15,0)</f>
        <v>$1746</v>
      </c>
      <c r="J586" s="3">
        <f>VLOOKUP(Googleadssales[[#This Row],[Ad_ID]],'[1]pre processed data'!A:Q,17,0)</f>
        <v>45615</v>
      </c>
      <c r="K586" t="str">
        <f>VLOOKUP(Googleadssales[[#This Row],[Ad_ID]],'[1]pre processed data'!A:R,18,0)</f>
        <v>Hyderabad</v>
      </c>
      <c r="L586" t="str">
        <f>VLOOKUP(Googleadssales[[#This Row],[Ad_ID]],'[1]pre processed data'!A:S,19,0)</f>
        <v>Desktop</v>
      </c>
      <c r="M586" t="str">
        <f>VLOOKUP(Googleadssales[[#This Row],[Ad_ID]],'[1]pre processed data'!A:T,20,0)</f>
        <v>online data analytic</v>
      </c>
    </row>
    <row r="587" spans="1:13" x14ac:dyDescent="0.3">
      <c r="A587" t="s">
        <v>600</v>
      </c>
      <c r="B587" t="s">
        <v>14</v>
      </c>
      <c r="C587" s="4">
        <f>VLOOKUP(Googleadssales[[#This Row],[Ad_ID]],'[1]pre processed data'!A:C,3,0)</f>
        <v>98</v>
      </c>
      <c r="D587" s="4">
        <f>VLOOKUP(Googleadssales[[#This Row],[Ad_ID]],'[1]pre processed data'!A:E,5,0)</f>
        <v>3365</v>
      </c>
      <c r="E587" s="5" t="str">
        <f>VLOOKUP(Googleadssales[[#This Row],[Ad_ID]],[1]!Table3[[Ad_ID]:[Cost-imputed]],7,0)</f>
        <v>$224.28</v>
      </c>
      <c r="F587" s="4">
        <f>VLOOKUP(Googleadssales[[#This Row],[Ad_ID]],'[1]pre processed data'!A:I,9,0)</f>
        <v>27</v>
      </c>
      <c r="G587" s="4">
        <f>VLOOKUP(Googleadssales[[#This Row],[Ad_ID]],'[1]pre processed data'!A:K,11,0)</f>
        <v>9</v>
      </c>
      <c r="H587" s="2">
        <f>Googleadssales[[#This Row],[Conversions]]/Googleadssales[[#This Row],[Clicks]]</f>
        <v>9.1836734693877556E-2</v>
      </c>
      <c r="I587" t="str">
        <f>VLOOKUP(Googleadssales[[#This Row],[Ad_ID]],'[1]pre processed data'!A:O,15,0)</f>
        <v>$1108</v>
      </c>
      <c r="J587" s="3">
        <f>VLOOKUP(Googleadssales[[#This Row],[Ad_ID]],'[1]pre processed data'!A:Q,17,0)</f>
        <v>45623</v>
      </c>
      <c r="K587" t="str">
        <f>VLOOKUP(Googleadssales[[#This Row],[Ad_ID]],'[1]pre processed data'!A:R,18,0)</f>
        <v>Hyderabad</v>
      </c>
      <c r="L587" t="str">
        <f>VLOOKUP(Googleadssales[[#This Row],[Ad_ID]],'[1]pre processed data'!A:S,19,0)</f>
        <v>Desktop</v>
      </c>
      <c r="M587" t="str">
        <f>VLOOKUP(Googleadssales[[#This Row],[Ad_ID]],'[1]pre processed data'!A:T,20,0)</f>
        <v>data analytics training</v>
      </c>
    </row>
    <row r="588" spans="1:13" x14ac:dyDescent="0.3">
      <c r="A588" t="s">
        <v>601</v>
      </c>
      <c r="B588" t="s">
        <v>14</v>
      </c>
      <c r="C588" s="4">
        <f>VLOOKUP(Googleadssales[[#This Row],[Ad_ID]],'[1]pre processed data'!A:C,3,0)</f>
        <v>105</v>
      </c>
      <c r="D588" s="4">
        <f>VLOOKUP(Googleadssales[[#This Row],[Ad_ID]],'[1]pre processed data'!A:E,5,0)</f>
        <v>3274</v>
      </c>
      <c r="E588" s="5" t="str">
        <f>VLOOKUP(Googleadssales[[#This Row],[Ad_ID]],[1]!Table3[[Ad_ID]:[Cost-imputed]],7,0)</f>
        <v>$187.89</v>
      </c>
      <c r="F588" s="4">
        <f>VLOOKUP(Googleadssales[[#This Row],[Ad_ID]],'[1]pre processed data'!A:I,9,0)</f>
        <v>24</v>
      </c>
      <c r="G588" s="4">
        <f>VLOOKUP(Googleadssales[[#This Row],[Ad_ID]],'[1]pre processed data'!A:K,11,0)</f>
        <v>4</v>
      </c>
      <c r="H588" s="2">
        <f>Googleadssales[[#This Row],[Conversions]]/Googleadssales[[#This Row],[Clicks]]</f>
        <v>3.8095238095238099E-2</v>
      </c>
      <c r="I588" t="str">
        <f>VLOOKUP(Googleadssales[[#This Row],[Ad_ID]],'[1]pre processed data'!A:O,15,0)</f>
        <v>$1360</v>
      </c>
      <c r="J588" s="3">
        <f>VLOOKUP(Googleadssales[[#This Row],[Ad_ID]],'[1]pre processed data'!A:Q,17,0)</f>
        <v>45605</v>
      </c>
      <c r="K588" t="str">
        <f>VLOOKUP(Googleadssales[[#This Row],[Ad_ID]],'[1]pre processed data'!A:R,18,0)</f>
        <v>Hyderabad</v>
      </c>
      <c r="L588" t="str">
        <f>VLOOKUP(Googleadssales[[#This Row],[Ad_ID]],'[1]pre processed data'!A:S,19,0)</f>
        <v>Desktop</v>
      </c>
      <c r="M588" t="str">
        <f>VLOOKUP(Googleadssales[[#This Row],[Ad_ID]],'[1]pre processed data'!A:T,20,0)</f>
        <v>learn data analytics</v>
      </c>
    </row>
    <row r="589" spans="1:13" x14ac:dyDescent="0.3">
      <c r="A589" t="s">
        <v>602</v>
      </c>
      <c r="B589" t="s">
        <v>14</v>
      </c>
      <c r="C589" s="4">
        <f>VLOOKUP(Googleadssales[[#This Row],[Ad_ID]],'[1]pre processed data'!A:C,3,0)</f>
        <v>113</v>
      </c>
      <c r="D589" s="4">
        <f>VLOOKUP(Googleadssales[[#This Row],[Ad_ID]],'[1]pre processed data'!A:E,5,0)</f>
        <v>3231</v>
      </c>
      <c r="E589" s="5" t="str">
        <f>VLOOKUP(Googleadssales[[#This Row],[Ad_ID]],[1]!Table3[[Ad_ID]:[Cost-imputed]],7,0)</f>
        <v>$210.13</v>
      </c>
      <c r="F589" s="4">
        <f>VLOOKUP(Googleadssales[[#This Row],[Ad_ID]],'[1]pre processed data'!A:I,9,0)</f>
        <v>19</v>
      </c>
      <c r="G589" s="4">
        <f>VLOOKUP(Googleadssales[[#This Row],[Ad_ID]],'[1]pre processed data'!A:K,11,0)</f>
        <v>10</v>
      </c>
      <c r="H589" s="2">
        <f>Googleadssales[[#This Row],[Conversions]]/Googleadssales[[#This Row],[Clicks]]</f>
        <v>8.8495575221238937E-2</v>
      </c>
      <c r="I589" t="str">
        <f>VLOOKUP(Googleadssales[[#This Row],[Ad_ID]],'[1]pre processed data'!A:O,15,0)</f>
        <v>$1234</v>
      </c>
      <c r="J589" s="3">
        <f>VLOOKUP(Googleadssales[[#This Row],[Ad_ID]],'[1]pre processed data'!A:Q,17,0)</f>
        <v>45611</v>
      </c>
      <c r="K589" t="str">
        <f>VLOOKUP(Googleadssales[[#This Row],[Ad_ID]],'[1]pre processed data'!A:R,18,0)</f>
        <v>Chennai</v>
      </c>
      <c r="L589" t="str">
        <f>VLOOKUP(Googleadssales[[#This Row],[Ad_ID]],'[1]pre processed data'!A:S,19,0)</f>
        <v>Desktop</v>
      </c>
      <c r="M589" t="str">
        <f>VLOOKUP(Googleadssales[[#This Row],[Ad_ID]],'[1]pre processed data'!A:T,20,0)</f>
        <v>online data analytic</v>
      </c>
    </row>
    <row r="590" spans="1:13" x14ac:dyDescent="0.3">
      <c r="A590" t="s">
        <v>603</v>
      </c>
      <c r="B590" t="s">
        <v>14</v>
      </c>
      <c r="C590" s="4">
        <f>VLOOKUP(Googleadssales[[#This Row],[Ad_ID]],'[1]pre processed data'!A:C,3,0)</f>
        <v>138.95699356913184</v>
      </c>
      <c r="D590" s="4">
        <f>VLOOKUP(Googleadssales[[#This Row],[Ad_ID]],'[1]pre processed data'!A:E,5,0)</f>
        <v>3440</v>
      </c>
      <c r="E590" s="5" t="str">
        <f>VLOOKUP(Googleadssales[[#This Row],[Ad_ID]],[1]!Table3[[Ad_ID]:[Cost-imputed]],7,0)</f>
        <v>$246.53</v>
      </c>
      <c r="F590" s="4">
        <f>VLOOKUP(Googleadssales[[#This Row],[Ad_ID]],'[1]pre processed data'!A:I,9,0)</f>
        <v>13</v>
      </c>
      <c r="G590" s="4">
        <f>VLOOKUP(Googleadssales[[#This Row],[Ad_ID]],'[1]pre processed data'!A:K,11,0)</f>
        <v>10</v>
      </c>
      <c r="H590" s="2">
        <f>Googleadssales[[#This Row],[Conversions]]/Googleadssales[[#This Row],[Clicks]]</f>
        <v>7.1964711837443046E-2</v>
      </c>
      <c r="I590" t="str">
        <f>VLOOKUP(Googleadssales[[#This Row],[Ad_ID]],'[1]pre processed data'!A:O,15,0)</f>
        <v>$1217</v>
      </c>
      <c r="J590" s="3">
        <f>VLOOKUP(Googleadssales[[#This Row],[Ad_ID]],'[1]pre processed data'!A:Q,17,0)</f>
        <v>45623</v>
      </c>
      <c r="K590" t="str">
        <f>VLOOKUP(Googleadssales[[#This Row],[Ad_ID]],'[1]pre processed data'!A:R,18,0)</f>
        <v>Hyderabad</v>
      </c>
      <c r="L590" t="str">
        <f>VLOOKUP(Googleadssales[[#This Row],[Ad_ID]],'[1]pre processed data'!A:S,19,0)</f>
        <v>Tablet</v>
      </c>
      <c r="M590" t="str">
        <f>VLOOKUP(Googleadssales[[#This Row],[Ad_ID]],'[1]pre processed data'!A:T,20,0)</f>
        <v>online data analytic</v>
      </c>
    </row>
    <row r="591" spans="1:13" x14ac:dyDescent="0.3">
      <c r="A591" t="s">
        <v>604</v>
      </c>
      <c r="B591" t="s">
        <v>18</v>
      </c>
      <c r="C591" s="4">
        <f>VLOOKUP(Googleadssales[[#This Row],[Ad_ID]],'[1]pre processed data'!A:C,3,0)</f>
        <v>88</v>
      </c>
      <c r="D591" s="4">
        <f>VLOOKUP(Googleadssales[[#This Row],[Ad_ID]],'[1]pre processed data'!A:E,5,0)</f>
        <v>5196</v>
      </c>
      <c r="E591" s="5" t="str">
        <f>VLOOKUP(Googleadssales[[#This Row],[Ad_ID]],[1]!Table3[[Ad_ID]:[Cost-imputed]],7,0)</f>
        <v>$197.32</v>
      </c>
      <c r="F591" s="4">
        <f>VLOOKUP(Googleadssales[[#This Row],[Ad_ID]],'[1]pre processed data'!A:I,9,0)</f>
        <v>26</v>
      </c>
      <c r="G591" s="4">
        <f>VLOOKUP(Googleadssales[[#This Row],[Ad_ID]],'[1]pre processed data'!A:K,11,0)</f>
        <v>5</v>
      </c>
      <c r="H591" s="2">
        <f>Googleadssales[[#This Row],[Conversions]]/Googleadssales[[#This Row],[Clicks]]</f>
        <v>5.6818181818181816E-2</v>
      </c>
      <c r="I591" t="str">
        <f>VLOOKUP(Googleadssales[[#This Row],[Ad_ID]],'[1]pre processed data'!A:O,15,0)</f>
        <v>$1438</v>
      </c>
      <c r="J591" s="3">
        <f>VLOOKUP(Googleadssales[[#This Row],[Ad_ID]],'[1]pre processed data'!A:Q,17,0)</f>
        <v>45599</v>
      </c>
      <c r="K591" t="str">
        <f>VLOOKUP(Googleadssales[[#This Row],[Ad_ID]],'[1]pre processed data'!A:R,18,0)</f>
        <v>Bangaluru</v>
      </c>
      <c r="L591" t="str">
        <f>VLOOKUP(Googleadssales[[#This Row],[Ad_ID]],'[1]pre processed data'!A:S,19,0)</f>
        <v>Desktop</v>
      </c>
      <c r="M591" t="str">
        <f>VLOOKUP(Googleadssales[[#This Row],[Ad_ID]],'[1]pre processed data'!A:T,20,0)</f>
        <v>online data analytic</v>
      </c>
    </row>
    <row r="592" spans="1:13" x14ac:dyDescent="0.3">
      <c r="A592" t="s">
        <v>605</v>
      </c>
      <c r="B592" t="s">
        <v>14</v>
      </c>
      <c r="C592" s="4">
        <f>VLOOKUP(Googleadssales[[#This Row],[Ad_ID]],'[1]pre processed data'!A:C,3,0)</f>
        <v>106</v>
      </c>
      <c r="D592" s="4">
        <f>VLOOKUP(Googleadssales[[#This Row],[Ad_ID]],'[1]pre processed data'!A:E,5,0)</f>
        <v>5321</v>
      </c>
      <c r="E592" s="5" t="str">
        <f>VLOOKUP(Googleadssales[[#This Row],[Ad_ID]],[1]!Table3[[Ad_ID]:[Cost-imputed]],7,0)</f>
        <v>$239.76</v>
      </c>
      <c r="F592" s="4">
        <f>VLOOKUP(Googleadssales[[#This Row],[Ad_ID]],'[1]pre processed data'!A:I,9,0)</f>
        <v>11</v>
      </c>
      <c r="G592" s="4">
        <f>VLOOKUP(Googleadssales[[#This Row],[Ad_ID]],'[1]pre processed data'!A:K,11,0)</f>
        <v>7</v>
      </c>
      <c r="H592" s="2">
        <f>Googleadssales[[#This Row],[Conversions]]/Googleadssales[[#This Row],[Clicks]]</f>
        <v>6.6037735849056603E-2</v>
      </c>
      <c r="I592" t="str">
        <f>VLOOKUP(Googleadssales[[#This Row],[Ad_ID]],'[1]pre processed data'!A:O,15,0)</f>
        <v>$1910</v>
      </c>
      <c r="J592" s="3">
        <f>VLOOKUP(Googleadssales[[#This Row],[Ad_ID]],'[1]pre processed data'!A:Q,17,0)</f>
        <v>45620</v>
      </c>
      <c r="K592" t="str">
        <f>VLOOKUP(Googleadssales[[#This Row],[Ad_ID]],'[1]pre processed data'!A:R,18,0)</f>
        <v>Bangaluru</v>
      </c>
      <c r="L592" t="str">
        <f>VLOOKUP(Googleadssales[[#This Row],[Ad_ID]],'[1]pre processed data'!A:S,19,0)</f>
        <v>Desktop</v>
      </c>
      <c r="M592" t="str">
        <f>VLOOKUP(Googleadssales[[#This Row],[Ad_ID]],'[1]pre processed data'!A:T,20,0)</f>
        <v>data analytics training</v>
      </c>
    </row>
    <row r="593" spans="1:13" x14ac:dyDescent="0.3">
      <c r="A593" t="s">
        <v>606</v>
      </c>
      <c r="B593" t="s">
        <v>14</v>
      </c>
      <c r="C593" s="4">
        <f>VLOOKUP(Googleadssales[[#This Row],[Ad_ID]],'[1]pre processed data'!A:C,3,0)</f>
        <v>148</v>
      </c>
      <c r="D593" s="4">
        <f>VLOOKUP(Googleadssales[[#This Row],[Ad_ID]],'[1]pre processed data'!A:E,5,0)</f>
        <v>5841</v>
      </c>
      <c r="E593" s="5" t="str">
        <f>VLOOKUP(Googleadssales[[#This Row],[Ad_ID]],[1]!Table3[[Ad_ID]:[Cost-imputed]],7,0)</f>
        <v>$243.09</v>
      </c>
      <c r="F593" s="4">
        <f>VLOOKUP(Googleadssales[[#This Row],[Ad_ID]],'[1]pre processed data'!A:I,9,0)</f>
        <v>15</v>
      </c>
      <c r="G593" s="4">
        <f>VLOOKUP(Googleadssales[[#This Row],[Ad_ID]],'[1]pre processed data'!A:K,11,0)</f>
        <v>7</v>
      </c>
      <c r="H593" s="2">
        <f>Googleadssales[[#This Row],[Conversions]]/Googleadssales[[#This Row],[Clicks]]</f>
        <v>4.72972972972973E-2</v>
      </c>
      <c r="I593" t="str">
        <f>VLOOKUP(Googleadssales[[#This Row],[Ad_ID]],'[1]pre processed data'!A:O,15,0)</f>
        <v>$1535</v>
      </c>
      <c r="J593" s="3">
        <f>VLOOKUP(Googleadssales[[#This Row],[Ad_ID]],'[1]pre processed data'!A:Q,17,0)</f>
        <v>45625</v>
      </c>
      <c r="K593" t="str">
        <f>VLOOKUP(Googleadssales[[#This Row],[Ad_ID]],'[1]pre processed data'!A:R,18,0)</f>
        <v>Hyderabad</v>
      </c>
      <c r="L593" t="str">
        <f>VLOOKUP(Googleadssales[[#This Row],[Ad_ID]],'[1]pre processed data'!A:S,19,0)</f>
        <v>Mobile</v>
      </c>
      <c r="M593" t="str">
        <f>VLOOKUP(Googleadssales[[#This Row],[Ad_ID]],'[1]pre processed data'!A:T,20,0)</f>
        <v>data analytics online</v>
      </c>
    </row>
    <row r="594" spans="1:13" x14ac:dyDescent="0.3">
      <c r="A594" t="s">
        <v>607</v>
      </c>
      <c r="B594" t="s">
        <v>18</v>
      </c>
      <c r="C594" s="4">
        <f>VLOOKUP(Googleadssales[[#This Row],[Ad_ID]],'[1]pre processed data'!A:C,3,0)</f>
        <v>174</v>
      </c>
      <c r="D594" s="4">
        <f>VLOOKUP(Googleadssales[[#This Row],[Ad_ID]],'[1]pre processed data'!A:E,5,0)</f>
        <v>4523.2808326787117</v>
      </c>
      <c r="E594" s="5" t="str">
        <f>VLOOKUP(Googleadssales[[#This Row],[Ad_ID]],[1]!Table3[[Ad_ID]:[Cost-imputed]],7,0)</f>
        <v>$227.96</v>
      </c>
      <c r="F594" s="4">
        <f>VLOOKUP(Googleadssales[[#This Row],[Ad_ID]],'[1]pre processed data'!A:I,9,0)</f>
        <v>25</v>
      </c>
      <c r="G594" s="4">
        <f>VLOOKUP(Googleadssales[[#This Row],[Ad_ID]],'[1]pre processed data'!A:K,11,0)</f>
        <v>5</v>
      </c>
      <c r="H594" s="2">
        <f>Googleadssales[[#This Row],[Conversions]]/Googleadssales[[#This Row],[Clicks]]</f>
        <v>2.8735632183908046E-2</v>
      </c>
      <c r="I594" t="str">
        <f>VLOOKUP(Googleadssales[[#This Row],[Ad_ID]],'[1]pre processed data'!A:O,15,0)</f>
        <v>$1566</v>
      </c>
      <c r="J594" s="3">
        <f>VLOOKUP(Googleadssales[[#This Row],[Ad_ID]],'[1]pre processed data'!A:Q,17,0)</f>
        <v>45611</v>
      </c>
      <c r="K594" t="str">
        <f>VLOOKUP(Googleadssales[[#This Row],[Ad_ID]],'[1]pre processed data'!A:R,18,0)</f>
        <v>Chennai</v>
      </c>
      <c r="L594" t="str">
        <f>VLOOKUP(Googleadssales[[#This Row],[Ad_ID]],'[1]pre processed data'!A:S,19,0)</f>
        <v>Tablet</v>
      </c>
      <c r="M594" t="str">
        <f>VLOOKUP(Googleadssales[[#This Row],[Ad_ID]],'[1]pre processed data'!A:T,20,0)</f>
        <v>online data analytic</v>
      </c>
    </row>
    <row r="595" spans="1:13" x14ac:dyDescent="0.3">
      <c r="A595" t="s">
        <v>608</v>
      </c>
      <c r="B595" t="s">
        <v>14</v>
      </c>
      <c r="C595" s="4">
        <f>VLOOKUP(Googleadssales[[#This Row],[Ad_ID]],'[1]pre processed data'!A:C,3,0)</f>
        <v>196</v>
      </c>
      <c r="D595" s="4">
        <f>VLOOKUP(Googleadssales[[#This Row],[Ad_ID]],'[1]pre processed data'!A:E,5,0)</f>
        <v>5776</v>
      </c>
      <c r="E595" s="5" t="str">
        <f>VLOOKUP(Googleadssales[[#This Row],[Ad_ID]],[1]!Table3[[Ad_ID]:[Cost-imputed]],7,0)</f>
        <v>$227.24</v>
      </c>
      <c r="F595" s="4">
        <f>VLOOKUP(Googleadssales[[#This Row],[Ad_ID]],'[1]pre processed data'!A:I,9,0)</f>
        <v>30</v>
      </c>
      <c r="G595" s="4">
        <f>VLOOKUP(Googleadssales[[#This Row],[Ad_ID]],'[1]pre processed data'!A:K,11,0)</f>
        <v>4</v>
      </c>
      <c r="H595" s="2">
        <f>Googleadssales[[#This Row],[Conversions]]/Googleadssales[[#This Row],[Clicks]]</f>
        <v>2.0408163265306121E-2</v>
      </c>
      <c r="I595" t="str">
        <f>VLOOKUP(Googleadssales[[#This Row],[Ad_ID]],'[1]pre processed data'!A:O,15,0)</f>
        <v>$1500</v>
      </c>
      <c r="J595" s="3">
        <f>VLOOKUP(Googleadssales[[#This Row],[Ad_ID]],'[1]pre processed data'!A:Q,17,0)</f>
        <v>45600</v>
      </c>
      <c r="K595" t="str">
        <f>VLOOKUP(Googleadssales[[#This Row],[Ad_ID]],'[1]pre processed data'!A:R,18,0)</f>
        <v>Hyderabad</v>
      </c>
      <c r="L595" t="str">
        <f>VLOOKUP(Googleadssales[[#This Row],[Ad_ID]],'[1]pre processed data'!A:S,19,0)</f>
        <v>Mobile</v>
      </c>
      <c r="M595" t="str">
        <f>VLOOKUP(Googleadssales[[#This Row],[Ad_ID]],'[1]pre processed data'!A:T,20,0)</f>
        <v>data analytics training</v>
      </c>
    </row>
    <row r="596" spans="1:13" x14ac:dyDescent="0.3">
      <c r="A596" t="s">
        <v>609</v>
      </c>
      <c r="B596" t="s">
        <v>14</v>
      </c>
      <c r="C596" s="4">
        <f>VLOOKUP(Googleadssales[[#This Row],[Ad_ID]],'[1]pre processed data'!A:C,3,0)</f>
        <v>128</v>
      </c>
      <c r="D596" s="4">
        <f>VLOOKUP(Googleadssales[[#This Row],[Ad_ID]],'[1]pre processed data'!A:E,5,0)</f>
        <v>4729</v>
      </c>
      <c r="E596" s="5" t="str">
        <f>VLOOKUP(Googleadssales[[#This Row],[Ad_ID]],[1]!Table3[[Ad_ID]:[Cost-imputed]],7,0)</f>
        <v>$243.45</v>
      </c>
      <c r="F596" s="4">
        <f>VLOOKUP(Googleadssales[[#This Row],[Ad_ID]],'[1]pre processed data'!A:I,9,0)</f>
        <v>25</v>
      </c>
      <c r="G596" s="4">
        <f>VLOOKUP(Googleadssales[[#This Row],[Ad_ID]],'[1]pre processed data'!A:K,11,0)</f>
        <v>9</v>
      </c>
      <c r="H596" s="2">
        <f>Googleadssales[[#This Row],[Conversions]]/Googleadssales[[#This Row],[Clicks]]</f>
        <v>7.03125E-2</v>
      </c>
      <c r="I596" t="str">
        <f>VLOOKUP(Googleadssales[[#This Row],[Ad_ID]],'[1]pre processed data'!A:O,15,0)</f>
        <v>$1782</v>
      </c>
      <c r="J596" s="3">
        <f>VLOOKUP(Googleadssales[[#This Row],[Ad_ID]],'[1]pre processed data'!A:Q,17,0)</f>
        <v>45619</v>
      </c>
      <c r="K596" t="str">
        <f>VLOOKUP(Googleadssales[[#This Row],[Ad_ID]],'[1]pre processed data'!A:R,18,0)</f>
        <v>Bangaluru</v>
      </c>
      <c r="L596" t="str">
        <f>VLOOKUP(Googleadssales[[#This Row],[Ad_ID]],'[1]pre processed data'!A:S,19,0)</f>
        <v>Desktop</v>
      </c>
      <c r="M596" t="str">
        <f>VLOOKUP(Googleadssales[[#This Row],[Ad_ID]],'[1]pre processed data'!A:T,20,0)</f>
        <v>learn data analytics</v>
      </c>
    </row>
    <row r="597" spans="1:13" x14ac:dyDescent="0.3">
      <c r="A597" t="s">
        <v>610</v>
      </c>
      <c r="B597" t="s">
        <v>18</v>
      </c>
      <c r="C597" s="4">
        <f>VLOOKUP(Googleadssales[[#This Row],[Ad_ID]],'[1]pre processed data'!A:C,3,0)</f>
        <v>163</v>
      </c>
      <c r="D597" s="4">
        <f>VLOOKUP(Googleadssales[[#This Row],[Ad_ID]],'[1]pre processed data'!A:E,5,0)</f>
        <v>5371</v>
      </c>
      <c r="E597" s="5" t="str">
        <f>VLOOKUP(Googleadssales[[#This Row],[Ad_ID]],[1]!Table3[[Ad_ID]:[Cost-imputed]],7,0)</f>
        <v>$215.89</v>
      </c>
      <c r="F597" s="4">
        <f>VLOOKUP(Googleadssales[[#This Row],[Ad_ID]],'[1]pre processed data'!A:I,9,0)</f>
        <v>29</v>
      </c>
      <c r="G597" s="4">
        <f>VLOOKUP(Googleadssales[[#This Row],[Ad_ID]],'[1]pre processed data'!A:K,11,0)</f>
        <v>7</v>
      </c>
      <c r="H597" s="2">
        <f>Googleadssales[[#This Row],[Conversions]]/Googleadssales[[#This Row],[Clicks]]</f>
        <v>4.2944785276073622E-2</v>
      </c>
      <c r="I597" t="str">
        <f>VLOOKUP(Googleadssales[[#This Row],[Ad_ID]],'[1]pre processed data'!A:O,15,0)</f>
        <v>$1906</v>
      </c>
      <c r="J597" s="3">
        <f>VLOOKUP(Googleadssales[[#This Row],[Ad_ID]],'[1]pre processed data'!A:Q,17,0)</f>
        <v>45601</v>
      </c>
      <c r="K597" t="str">
        <f>VLOOKUP(Googleadssales[[#This Row],[Ad_ID]],'[1]pre processed data'!A:R,18,0)</f>
        <v>Bangaluru</v>
      </c>
      <c r="L597" t="str">
        <f>VLOOKUP(Googleadssales[[#This Row],[Ad_ID]],'[1]pre processed data'!A:S,19,0)</f>
        <v>Tablet</v>
      </c>
      <c r="M597" t="str">
        <f>VLOOKUP(Googleadssales[[#This Row],[Ad_ID]],'[1]pre processed data'!A:T,20,0)</f>
        <v>data analytics course</v>
      </c>
    </row>
    <row r="598" spans="1:13" x14ac:dyDescent="0.3">
      <c r="A598" t="s">
        <v>611</v>
      </c>
      <c r="B598" t="s">
        <v>14</v>
      </c>
      <c r="C598" s="4">
        <f>VLOOKUP(Googleadssales[[#This Row],[Ad_ID]],'[1]pre processed data'!A:C,3,0)</f>
        <v>183</v>
      </c>
      <c r="D598" s="4">
        <f>VLOOKUP(Googleadssales[[#This Row],[Ad_ID]],'[1]pre processed data'!A:E,5,0)</f>
        <v>5268</v>
      </c>
      <c r="E598" s="5" t="str">
        <f>VLOOKUP(Googleadssales[[#This Row],[Ad_ID]],[1]!Table3[[Ad_ID]:[Cost-imputed]],7,0)</f>
        <v>$203.65</v>
      </c>
      <c r="F598" s="4">
        <f>VLOOKUP(Googleadssales[[#This Row],[Ad_ID]],'[1]pre processed data'!A:I,9,0)</f>
        <v>17</v>
      </c>
      <c r="G598" s="4">
        <f>VLOOKUP(Googleadssales[[#This Row],[Ad_ID]],'[1]pre processed data'!A:K,11,0)</f>
        <v>5</v>
      </c>
      <c r="H598" s="2">
        <f>Googleadssales[[#This Row],[Conversions]]/Googleadssales[[#This Row],[Clicks]]</f>
        <v>2.7322404371584699E-2</v>
      </c>
      <c r="I598" t="str">
        <f>VLOOKUP(Googleadssales[[#This Row],[Ad_ID]],'[1]pre processed data'!A:O,15,0)</f>
        <v>$1731</v>
      </c>
      <c r="J598" s="3">
        <f>VLOOKUP(Googleadssales[[#This Row],[Ad_ID]],'[1]pre processed data'!A:Q,17,0)</f>
        <v>45608</v>
      </c>
      <c r="K598" t="str">
        <f>VLOOKUP(Googleadssales[[#This Row],[Ad_ID]],'[1]pre processed data'!A:R,18,0)</f>
        <v>Hyderabad</v>
      </c>
      <c r="L598" t="str">
        <f>VLOOKUP(Googleadssales[[#This Row],[Ad_ID]],'[1]pre processed data'!A:S,19,0)</f>
        <v>Mobile</v>
      </c>
      <c r="M598" t="str">
        <f>VLOOKUP(Googleadssales[[#This Row],[Ad_ID]],'[1]pre processed data'!A:T,20,0)</f>
        <v>learn data analytics</v>
      </c>
    </row>
    <row r="599" spans="1:13" x14ac:dyDescent="0.3">
      <c r="A599" t="s">
        <v>612</v>
      </c>
      <c r="B599" t="s">
        <v>14</v>
      </c>
      <c r="C599" s="4">
        <f>VLOOKUP(Googleadssales[[#This Row],[Ad_ID]],'[1]pre processed data'!A:C,3,0)</f>
        <v>196</v>
      </c>
      <c r="D599" s="4">
        <f>VLOOKUP(Googleadssales[[#This Row],[Ad_ID]],'[1]pre processed data'!A:E,5,0)</f>
        <v>5386</v>
      </c>
      <c r="E599" s="5" t="str">
        <f>VLOOKUP(Googleadssales[[#This Row],[Ad_ID]],[1]!Table3[[Ad_ID]:[Cost-imputed]],7,0)</f>
        <v>$224.31</v>
      </c>
      <c r="F599" s="4">
        <f>VLOOKUP(Googleadssales[[#This Row],[Ad_ID]],'[1]pre processed data'!A:I,9,0)</f>
        <v>23</v>
      </c>
      <c r="G599" s="4">
        <f>VLOOKUP(Googleadssales[[#This Row],[Ad_ID]],'[1]pre processed data'!A:K,11,0)</f>
        <v>4</v>
      </c>
      <c r="H599" s="2">
        <f>Googleadssales[[#This Row],[Conversions]]/Googleadssales[[#This Row],[Clicks]]</f>
        <v>2.0408163265306121E-2</v>
      </c>
      <c r="I599" t="str">
        <f>VLOOKUP(Googleadssales[[#This Row],[Ad_ID]],'[1]pre processed data'!A:O,15,0)</f>
        <v>$1423</v>
      </c>
      <c r="J599" s="3">
        <f>VLOOKUP(Googleadssales[[#This Row],[Ad_ID]],'[1]pre processed data'!A:Q,17,0)</f>
        <v>45626</v>
      </c>
      <c r="K599" t="str">
        <f>VLOOKUP(Googleadssales[[#This Row],[Ad_ID]],'[1]pre processed data'!A:R,18,0)</f>
        <v>Hyderabad</v>
      </c>
      <c r="L599" t="str">
        <f>VLOOKUP(Googleadssales[[#This Row],[Ad_ID]],'[1]pre processed data'!A:S,19,0)</f>
        <v>Tablet</v>
      </c>
      <c r="M599" t="str">
        <f>VLOOKUP(Googleadssales[[#This Row],[Ad_ID]],'[1]pre processed data'!A:T,20,0)</f>
        <v>learn data analytics</v>
      </c>
    </row>
    <row r="600" spans="1:13" x14ac:dyDescent="0.3">
      <c r="A600" t="s">
        <v>613</v>
      </c>
      <c r="B600" t="s">
        <v>14</v>
      </c>
      <c r="C600" s="4">
        <f>VLOOKUP(Googleadssales[[#This Row],[Ad_ID]],'[1]pre processed data'!A:C,3,0)</f>
        <v>121</v>
      </c>
      <c r="D600" s="4">
        <f>VLOOKUP(Googleadssales[[#This Row],[Ad_ID]],'[1]pre processed data'!A:E,5,0)</f>
        <v>4432</v>
      </c>
      <c r="E600" s="5" t="str">
        <f>VLOOKUP(Googleadssales[[#This Row],[Ad_ID]],[1]!Table3[[Ad_ID]:[Cost-imputed]],7,0)</f>
        <v>$218.71</v>
      </c>
      <c r="F600" s="4">
        <f>VLOOKUP(Googleadssales[[#This Row],[Ad_ID]],'[1]pre processed data'!A:I,9,0)</f>
        <v>25</v>
      </c>
      <c r="G600" s="4">
        <f>VLOOKUP(Googleadssales[[#This Row],[Ad_ID]],'[1]pre processed data'!A:K,11,0)</f>
        <v>10</v>
      </c>
      <c r="H600" s="2">
        <f>Googleadssales[[#This Row],[Conversions]]/Googleadssales[[#This Row],[Clicks]]</f>
        <v>8.2644628099173556E-2</v>
      </c>
      <c r="I600" t="str">
        <f>VLOOKUP(Googleadssales[[#This Row],[Ad_ID]],'[1]pre processed data'!A:O,15,0)</f>
        <v>$1568</v>
      </c>
      <c r="J600" s="3">
        <f>VLOOKUP(Googleadssales[[#This Row],[Ad_ID]],'[1]pre processed data'!A:Q,17,0)</f>
        <v>45609</v>
      </c>
      <c r="K600" t="str">
        <f>VLOOKUP(Googleadssales[[#This Row],[Ad_ID]],'[1]pre processed data'!A:R,18,0)</f>
        <v>Bangaluru</v>
      </c>
      <c r="L600" t="str">
        <f>VLOOKUP(Googleadssales[[#This Row],[Ad_ID]],'[1]pre processed data'!A:S,19,0)</f>
        <v>Desktop</v>
      </c>
      <c r="M600" t="str">
        <f>VLOOKUP(Googleadssales[[#This Row],[Ad_ID]],'[1]pre processed data'!A:T,20,0)</f>
        <v>analytics for data</v>
      </c>
    </row>
    <row r="601" spans="1:13" x14ac:dyDescent="0.3">
      <c r="A601" t="s">
        <v>614</v>
      </c>
      <c r="B601" t="s">
        <v>14</v>
      </c>
      <c r="C601" s="4">
        <f>VLOOKUP(Googleadssales[[#This Row],[Ad_ID]],'[1]pre processed data'!A:C,3,0)</f>
        <v>174</v>
      </c>
      <c r="D601" s="4">
        <f>VLOOKUP(Googleadssales[[#This Row],[Ad_ID]],'[1]pre processed data'!A:E,5,0)</f>
        <v>3031</v>
      </c>
      <c r="E601" s="5" t="str">
        <f>VLOOKUP(Googleadssales[[#This Row],[Ad_ID]],[1]!Table3[[Ad_ID]:[Cost-imputed]],7,0)</f>
        <v>$242.32</v>
      </c>
      <c r="F601" s="4">
        <f>VLOOKUP(Googleadssales[[#This Row],[Ad_ID]],'[1]pre processed data'!A:I,9,0)</f>
        <v>25</v>
      </c>
      <c r="G601" s="4">
        <f>VLOOKUP(Googleadssales[[#This Row],[Ad_ID]],'[1]pre processed data'!A:K,11,0)</f>
        <v>6</v>
      </c>
      <c r="H601" s="2">
        <f>Googleadssales[[#This Row],[Conversions]]/Googleadssales[[#This Row],[Clicks]]</f>
        <v>3.4482758620689655E-2</v>
      </c>
      <c r="I601" t="str">
        <f>VLOOKUP(Googleadssales[[#This Row],[Ad_ID]],'[1]pre processed data'!A:O,15,0)</f>
        <v>$1381</v>
      </c>
      <c r="J601" s="3">
        <f>VLOOKUP(Googleadssales[[#This Row],[Ad_ID]],'[1]pre processed data'!A:Q,17,0)</f>
        <v>45604</v>
      </c>
      <c r="K601" t="str">
        <f>VLOOKUP(Googleadssales[[#This Row],[Ad_ID]],'[1]pre processed data'!A:R,18,0)</f>
        <v>Hyderabad</v>
      </c>
      <c r="L601" t="str">
        <f>VLOOKUP(Googleadssales[[#This Row],[Ad_ID]],'[1]pre processed data'!A:S,19,0)</f>
        <v>Mobile</v>
      </c>
      <c r="M601" t="str">
        <f>VLOOKUP(Googleadssales[[#This Row],[Ad_ID]],'[1]pre processed data'!A:T,20,0)</f>
        <v>online data analytic</v>
      </c>
    </row>
    <row r="602" spans="1:13" x14ac:dyDescent="0.3">
      <c r="A602" t="s">
        <v>615</v>
      </c>
      <c r="B602" t="s">
        <v>14</v>
      </c>
      <c r="C602" s="4">
        <f>VLOOKUP(Googleadssales[[#This Row],[Ad_ID]],'[1]pre processed data'!A:C,3,0)</f>
        <v>142</v>
      </c>
      <c r="D602" s="4">
        <f>VLOOKUP(Googleadssales[[#This Row],[Ad_ID]],'[1]pre processed data'!A:E,5,0)</f>
        <v>5999</v>
      </c>
      <c r="E602" s="5" t="str">
        <f>VLOOKUP(Googleadssales[[#This Row],[Ad_ID]],[1]!Table3[[Ad_ID]:[Cost-imputed]],7,0)</f>
        <v>$214.05</v>
      </c>
      <c r="F602" s="4">
        <f>VLOOKUP(Googleadssales[[#This Row],[Ad_ID]],'[1]pre processed data'!A:I,9,0)</f>
        <v>27</v>
      </c>
      <c r="G602" s="4">
        <f>VLOOKUP(Googleadssales[[#This Row],[Ad_ID]],'[1]pre processed data'!A:K,11,0)</f>
        <v>6.5154958677685952</v>
      </c>
      <c r="H602" s="2">
        <f>Googleadssales[[#This Row],[Conversions]]/Googleadssales[[#This Row],[Clicks]]</f>
        <v>4.5883773716680246E-2</v>
      </c>
      <c r="I602" t="str">
        <f>VLOOKUP(Googleadssales[[#This Row],[Ad_ID]],'[1]pre processed data'!A:O,15,0)</f>
        <v>$1064</v>
      </c>
      <c r="J602" s="3">
        <f>VLOOKUP(Googleadssales[[#This Row],[Ad_ID]],'[1]pre processed data'!A:Q,17,0)</f>
        <v>45617</v>
      </c>
      <c r="K602" t="str">
        <f>VLOOKUP(Googleadssales[[#This Row],[Ad_ID]],'[1]pre processed data'!A:R,18,0)</f>
        <v>Hyderabad</v>
      </c>
      <c r="L602" t="str">
        <f>VLOOKUP(Googleadssales[[#This Row],[Ad_ID]],'[1]pre processed data'!A:S,19,0)</f>
        <v>Desktop</v>
      </c>
      <c r="M602" t="str">
        <f>VLOOKUP(Googleadssales[[#This Row],[Ad_ID]],'[1]pre processed data'!A:T,20,0)</f>
        <v>analytics for data</v>
      </c>
    </row>
    <row r="603" spans="1:13" x14ac:dyDescent="0.3">
      <c r="A603" t="s">
        <v>616</v>
      </c>
      <c r="B603" t="s">
        <v>14</v>
      </c>
      <c r="C603" s="4">
        <f>VLOOKUP(Googleadssales[[#This Row],[Ad_ID]],'[1]pre processed data'!A:C,3,0)</f>
        <v>118</v>
      </c>
      <c r="D603" s="4">
        <f>VLOOKUP(Googleadssales[[#This Row],[Ad_ID]],'[1]pre processed data'!A:E,5,0)</f>
        <v>3274</v>
      </c>
      <c r="E603" s="5" t="str">
        <f>VLOOKUP(Googleadssales[[#This Row],[Ad_ID]],[1]!Table3[[Ad_ID]:[Cost-imputed]],7,0)</f>
        <v>$222.62</v>
      </c>
      <c r="F603" s="4">
        <f>VLOOKUP(Googleadssales[[#This Row],[Ad_ID]],'[1]pre processed data'!A:I,9,0)</f>
        <v>10</v>
      </c>
      <c r="G603" s="4">
        <f>VLOOKUP(Googleadssales[[#This Row],[Ad_ID]],'[1]pre processed data'!A:K,11,0)</f>
        <v>3</v>
      </c>
      <c r="H603" s="2">
        <f>Googleadssales[[#This Row],[Conversions]]/Googleadssales[[#This Row],[Clicks]]</f>
        <v>2.5423728813559324E-2</v>
      </c>
      <c r="I603" t="str">
        <f>VLOOKUP(Googleadssales[[#This Row],[Ad_ID]],'[1]pre processed data'!A:O,15,0)</f>
        <v>$1716</v>
      </c>
      <c r="J603" s="3">
        <f>VLOOKUP(Googleadssales[[#This Row],[Ad_ID]],'[1]pre processed data'!A:Q,17,0)</f>
        <v>45605</v>
      </c>
      <c r="K603" t="str">
        <f>VLOOKUP(Googleadssales[[#This Row],[Ad_ID]],'[1]pre processed data'!A:R,18,0)</f>
        <v>Chennai</v>
      </c>
      <c r="L603" t="str">
        <f>VLOOKUP(Googleadssales[[#This Row],[Ad_ID]],'[1]pre processed data'!A:S,19,0)</f>
        <v>Tablet</v>
      </c>
      <c r="M603" t="str">
        <f>VLOOKUP(Googleadssales[[#This Row],[Ad_ID]],'[1]pre processed data'!A:T,20,0)</f>
        <v>analytics for data</v>
      </c>
    </row>
    <row r="604" spans="1:13" x14ac:dyDescent="0.3">
      <c r="A604" t="s">
        <v>617</v>
      </c>
      <c r="B604" t="s">
        <v>14</v>
      </c>
      <c r="C604" s="4">
        <f>VLOOKUP(Googleadssales[[#This Row],[Ad_ID]],'[1]pre processed data'!A:C,3,0)</f>
        <v>118</v>
      </c>
      <c r="D604" s="4">
        <f>VLOOKUP(Googleadssales[[#This Row],[Ad_ID]],'[1]pre processed data'!A:E,5,0)</f>
        <v>5889</v>
      </c>
      <c r="E604" s="5" t="str">
        <f>VLOOKUP(Googleadssales[[#This Row],[Ad_ID]],[1]!Table3[[Ad_ID]:[Cost-imputed]],7,0)</f>
        <v>$193.01</v>
      </c>
      <c r="F604" s="4">
        <f>VLOOKUP(Googleadssales[[#This Row],[Ad_ID]],'[1]pre processed data'!A:I,9,0)</f>
        <v>17</v>
      </c>
      <c r="G604" s="4">
        <f>VLOOKUP(Googleadssales[[#This Row],[Ad_ID]],'[1]pre processed data'!A:K,11,0)</f>
        <v>10</v>
      </c>
      <c r="H604" s="2">
        <f>Googleadssales[[#This Row],[Conversions]]/Googleadssales[[#This Row],[Clicks]]</f>
        <v>8.4745762711864403E-2</v>
      </c>
      <c r="I604" t="str">
        <f>VLOOKUP(Googleadssales[[#This Row],[Ad_ID]],'[1]pre processed data'!A:O,15,0)</f>
        <v>$1789</v>
      </c>
      <c r="J604" s="3">
        <f>VLOOKUP(Googleadssales[[#This Row],[Ad_ID]],'[1]pre processed data'!A:Q,17,0)</f>
        <v>45606</v>
      </c>
      <c r="K604" t="str">
        <f>VLOOKUP(Googleadssales[[#This Row],[Ad_ID]],'[1]pre processed data'!A:R,18,0)</f>
        <v>Hyderabad</v>
      </c>
      <c r="L604" t="str">
        <f>VLOOKUP(Googleadssales[[#This Row],[Ad_ID]],'[1]pre processed data'!A:S,19,0)</f>
        <v>Desktop</v>
      </c>
      <c r="M604" t="str">
        <f>VLOOKUP(Googleadssales[[#This Row],[Ad_ID]],'[1]pre processed data'!A:T,20,0)</f>
        <v>online data analytic</v>
      </c>
    </row>
    <row r="605" spans="1:13" x14ac:dyDescent="0.3">
      <c r="A605" t="s">
        <v>618</v>
      </c>
      <c r="B605" t="s">
        <v>14</v>
      </c>
      <c r="C605" s="4">
        <f>VLOOKUP(Googleadssales[[#This Row],[Ad_ID]],'[1]pre processed data'!A:C,3,0)</f>
        <v>149</v>
      </c>
      <c r="D605" s="4">
        <f>VLOOKUP(Googleadssales[[#This Row],[Ad_ID]],'[1]pre processed data'!A:E,5,0)</f>
        <v>5601</v>
      </c>
      <c r="E605" s="5" t="str">
        <f>VLOOKUP(Googleadssales[[#This Row],[Ad_ID]],[1]!Table3[[Ad_ID]:[Cost-imputed]],7,0)</f>
        <v>$222.01</v>
      </c>
      <c r="F605" s="4">
        <f>VLOOKUP(Googleadssales[[#This Row],[Ad_ID]],'[1]pre processed data'!A:I,9,0)</f>
        <v>15</v>
      </c>
      <c r="G605" s="4">
        <f>VLOOKUP(Googleadssales[[#This Row],[Ad_ID]],'[1]pre processed data'!A:K,11,0)</f>
        <v>6</v>
      </c>
      <c r="H605" s="2">
        <f>Googleadssales[[#This Row],[Conversions]]/Googleadssales[[#This Row],[Clicks]]</f>
        <v>4.0268456375838924E-2</v>
      </c>
      <c r="I605" t="str">
        <f>VLOOKUP(Googleadssales[[#This Row],[Ad_ID]],'[1]pre processed data'!A:O,15,0)</f>
        <v>$1514</v>
      </c>
      <c r="J605" s="3">
        <f>VLOOKUP(Googleadssales[[#This Row],[Ad_ID]],'[1]pre processed data'!A:Q,17,0)</f>
        <v>45621</v>
      </c>
      <c r="K605" t="str">
        <f>VLOOKUP(Googleadssales[[#This Row],[Ad_ID]],'[1]pre processed data'!A:R,18,0)</f>
        <v>Bangaluru</v>
      </c>
      <c r="L605" t="str">
        <f>VLOOKUP(Googleadssales[[#This Row],[Ad_ID]],'[1]pre processed data'!A:S,19,0)</f>
        <v>Desktop</v>
      </c>
      <c r="M605" t="str">
        <f>VLOOKUP(Googleadssales[[#This Row],[Ad_ID]],'[1]pre processed data'!A:T,20,0)</f>
        <v>analytics for data</v>
      </c>
    </row>
    <row r="606" spans="1:13" x14ac:dyDescent="0.3">
      <c r="A606" t="s">
        <v>619</v>
      </c>
      <c r="B606" t="s">
        <v>14</v>
      </c>
      <c r="C606" s="4">
        <f>VLOOKUP(Googleadssales[[#This Row],[Ad_ID]],'[1]pre processed data'!A:C,3,0)</f>
        <v>127</v>
      </c>
      <c r="D606" s="4">
        <f>VLOOKUP(Googleadssales[[#This Row],[Ad_ID]],'[1]pre processed data'!A:E,5,0)</f>
        <v>4295</v>
      </c>
      <c r="E606" s="5" t="str">
        <f>VLOOKUP(Googleadssales[[#This Row],[Ad_ID]],[1]!Table3[[Ad_ID]:[Cost-imputed]],7,0)</f>
        <v>$212.6</v>
      </c>
      <c r="F606" s="4">
        <f>VLOOKUP(Googleadssales[[#This Row],[Ad_ID]],'[1]pre processed data'!A:I,9,0)</f>
        <v>26</v>
      </c>
      <c r="G606" s="4">
        <f>VLOOKUP(Googleadssales[[#This Row],[Ad_ID]],'[1]pre processed data'!A:K,11,0)</f>
        <v>10</v>
      </c>
      <c r="H606" s="2">
        <f>Googleadssales[[#This Row],[Conversions]]/Googleadssales[[#This Row],[Clicks]]</f>
        <v>7.874015748031496E-2</v>
      </c>
      <c r="I606" t="str">
        <f>VLOOKUP(Googleadssales[[#This Row],[Ad_ID]],'[1]pre processed data'!A:O,15,0)</f>
        <v>$1713</v>
      </c>
      <c r="J606" s="3">
        <f>VLOOKUP(Googleadssales[[#This Row],[Ad_ID]],'[1]pre processed data'!A:Q,17,0)</f>
        <v>45615</v>
      </c>
      <c r="K606" t="str">
        <f>VLOOKUP(Googleadssales[[#This Row],[Ad_ID]],'[1]pre processed data'!A:R,18,0)</f>
        <v>Hyderabad</v>
      </c>
      <c r="L606" t="str">
        <f>VLOOKUP(Googleadssales[[#This Row],[Ad_ID]],'[1]pre processed data'!A:S,19,0)</f>
        <v>Tablet</v>
      </c>
      <c r="M606" t="str">
        <f>VLOOKUP(Googleadssales[[#This Row],[Ad_ID]],'[1]pre processed data'!A:T,20,0)</f>
        <v>data analytics course</v>
      </c>
    </row>
    <row r="607" spans="1:13" x14ac:dyDescent="0.3">
      <c r="A607" t="s">
        <v>620</v>
      </c>
      <c r="B607" t="s">
        <v>14</v>
      </c>
      <c r="C607" s="4">
        <f>VLOOKUP(Googleadssales[[#This Row],[Ad_ID]],'[1]pre processed data'!A:C,3,0)</f>
        <v>195</v>
      </c>
      <c r="D607" s="4">
        <f>VLOOKUP(Googleadssales[[#This Row],[Ad_ID]],'[1]pre processed data'!A:E,5,0)</f>
        <v>5135</v>
      </c>
      <c r="E607" s="5" t="str">
        <f>VLOOKUP(Googleadssales[[#This Row],[Ad_ID]],[1]!Table3[[Ad_ID]:[Cost-imputed]],7,0)</f>
        <v>$226.37</v>
      </c>
      <c r="F607" s="4">
        <f>VLOOKUP(Googleadssales[[#This Row],[Ad_ID]],'[1]pre processed data'!A:I,9,0)</f>
        <v>17</v>
      </c>
      <c r="G607" s="4">
        <f>VLOOKUP(Googleadssales[[#This Row],[Ad_ID]],'[1]pre processed data'!A:K,11,0)</f>
        <v>3</v>
      </c>
      <c r="H607" s="2">
        <f>Googleadssales[[#This Row],[Conversions]]/Googleadssales[[#This Row],[Clicks]]</f>
        <v>1.5384615384615385E-2</v>
      </c>
      <c r="I607" t="str">
        <f>VLOOKUP(Googleadssales[[#This Row],[Ad_ID]],'[1]pre processed data'!A:O,15,0)</f>
        <v>$1500</v>
      </c>
      <c r="J607" s="3">
        <f>VLOOKUP(Googleadssales[[#This Row],[Ad_ID]],'[1]pre processed data'!A:Q,17,0)</f>
        <v>45620</v>
      </c>
      <c r="K607" t="str">
        <f>VLOOKUP(Googleadssales[[#This Row],[Ad_ID]],'[1]pre processed data'!A:R,18,0)</f>
        <v>Chennai</v>
      </c>
      <c r="L607" t="str">
        <f>VLOOKUP(Googleadssales[[#This Row],[Ad_ID]],'[1]pre processed data'!A:S,19,0)</f>
        <v>Desktop</v>
      </c>
      <c r="M607" t="str">
        <f>VLOOKUP(Googleadssales[[#This Row],[Ad_ID]],'[1]pre processed data'!A:T,20,0)</f>
        <v>data analytics training</v>
      </c>
    </row>
    <row r="608" spans="1:13" x14ac:dyDescent="0.3">
      <c r="A608" t="s">
        <v>621</v>
      </c>
      <c r="B608" t="s">
        <v>14</v>
      </c>
      <c r="C608" s="4">
        <f>VLOOKUP(Googleadssales[[#This Row],[Ad_ID]],'[1]pre processed data'!A:C,3,0)</f>
        <v>173</v>
      </c>
      <c r="D608" s="4">
        <f>VLOOKUP(Googleadssales[[#This Row],[Ad_ID]],'[1]pre processed data'!A:E,5,0)</f>
        <v>5233</v>
      </c>
      <c r="E608" s="5" t="str">
        <f>VLOOKUP(Googleadssales[[#This Row],[Ad_ID]],[1]!Table3[[Ad_ID]:[Cost-imputed]],7,0)</f>
        <v>$229.38</v>
      </c>
      <c r="F608" s="4">
        <f>VLOOKUP(Googleadssales[[#This Row],[Ad_ID]],'[1]pre processed data'!A:I,9,0)</f>
        <v>28</v>
      </c>
      <c r="G608" s="4">
        <f>VLOOKUP(Googleadssales[[#This Row],[Ad_ID]],'[1]pre processed data'!A:K,11,0)</f>
        <v>7</v>
      </c>
      <c r="H608" s="2">
        <f>Googleadssales[[#This Row],[Conversions]]/Googleadssales[[#This Row],[Clicks]]</f>
        <v>4.046242774566474E-2</v>
      </c>
      <c r="I608" t="str">
        <f>VLOOKUP(Googleadssales[[#This Row],[Ad_ID]],'[1]pre processed data'!A:O,15,0)</f>
        <v>$1322</v>
      </c>
      <c r="J608" s="3">
        <f>VLOOKUP(Googleadssales[[#This Row],[Ad_ID]],'[1]pre processed data'!A:Q,17,0)</f>
        <v>45612</v>
      </c>
      <c r="K608" t="str">
        <f>VLOOKUP(Googleadssales[[#This Row],[Ad_ID]],'[1]pre processed data'!A:R,18,0)</f>
        <v>Hyderabad</v>
      </c>
      <c r="L608" t="str">
        <f>VLOOKUP(Googleadssales[[#This Row],[Ad_ID]],'[1]pre processed data'!A:S,19,0)</f>
        <v>Mobile</v>
      </c>
      <c r="M608" t="str">
        <f>VLOOKUP(Googleadssales[[#This Row],[Ad_ID]],'[1]pre processed data'!A:T,20,0)</f>
        <v>learn data analytics</v>
      </c>
    </row>
    <row r="609" spans="1:13" x14ac:dyDescent="0.3">
      <c r="A609" t="s">
        <v>622</v>
      </c>
      <c r="B609" t="s">
        <v>14</v>
      </c>
      <c r="C609" s="4">
        <f>VLOOKUP(Googleadssales[[#This Row],[Ad_ID]],'[1]pre processed data'!A:C,3,0)</f>
        <v>131</v>
      </c>
      <c r="D609" s="4">
        <f>VLOOKUP(Googleadssales[[#This Row],[Ad_ID]],'[1]pre processed data'!A:E,5,0)</f>
        <v>5727</v>
      </c>
      <c r="E609" s="5" t="str">
        <f>VLOOKUP(Googleadssales[[#This Row],[Ad_ID]],[1]!Table3[[Ad_ID]:[Cost-imputed]],7,0)</f>
        <v>$218.65</v>
      </c>
      <c r="F609" s="4">
        <f>VLOOKUP(Googleadssales[[#This Row],[Ad_ID]],'[1]pre processed data'!A:I,9,0)</f>
        <v>28</v>
      </c>
      <c r="G609" s="4">
        <f>VLOOKUP(Googleadssales[[#This Row],[Ad_ID]],'[1]pre processed data'!A:K,11,0)</f>
        <v>4</v>
      </c>
      <c r="H609" s="2">
        <f>Googleadssales[[#This Row],[Conversions]]/Googleadssales[[#This Row],[Clicks]]</f>
        <v>3.0534351145038167E-2</v>
      </c>
      <c r="I609" t="str">
        <f>VLOOKUP(Googleadssales[[#This Row],[Ad_ID]],'[1]pre processed data'!A:O,15,0)</f>
        <v>$1631</v>
      </c>
      <c r="J609" s="3">
        <f>VLOOKUP(Googleadssales[[#This Row],[Ad_ID]],'[1]pre processed data'!A:Q,17,0)</f>
        <v>45603</v>
      </c>
      <c r="K609" t="str">
        <f>VLOOKUP(Googleadssales[[#This Row],[Ad_ID]],'[1]pre processed data'!A:R,18,0)</f>
        <v>Bangaluru</v>
      </c>
      <c r="L609" t="str">
        <f>VLOOKUP(Googleadssales[[#This Row],[Ad_ID]],'[1]pre processed data'!A:S,19,0)</f>
        <v>Mobile</v>
      </c>
      <c r="M609" t="str">
        <f>VLOOKUP(Googleadssales[[#This Row],[Ad_ID]],'[1]pre processed data'!A:T,20,0)</f>
        <v>data analytics training</v>
      </c>
    </row>
    <row r="610" spans="1:13" x14ac:dyDescent="0.3">
      <c r="A610" t="s">
        <v>623</v>
      </c>
      <c r="B610" t="s">
        <v>14</v>
      </c>
      <c r="C610" s="4">
        <f>VLOOKUP(Googleadssales[[#This Row],[Ad_ID]],'[1]pre processed data'!A:C,3,0)</f>
        <v>105</v>
      </c>
      <c r="D610" s="4">
        <f>VLOOKUP(Googleadssales[[#This Row],[Ad_ID]],'[1]pre processed data'!A:E,5,0)</f>
        <v>4691</v>
      </c>
      <c r="E610" s="5" t="str">
        <f>VLOOKUP(Googleadssales[[#This Row],[Ad_ID]],[1]!Table3[[Ad_ID]:[Cost-imputed]],7,0)</f>
        <v>$213.15</v>
      </c>
      <c r="F610" s="4">
        <f>VLOOKUP(Googleadssales[[#This Row],[Ad_ID]],'[1]pre processed data'!A:I,9,0)</f>
        <v>21</v>
      </c>
      <c r="G610" s="4">
        <f>VLOOKUP(Googleadssales[[#This Row],[Ad_ID]],'[1]pre processed data'!A:K,11,0)</f>
        <v>3</v>
      </c>
      <c r="H610" s="2">
        <f>Googleadssales[[#This Row],[Conversions]]/Googleadssales[[#This Row],[Clicks]]</f>
        <v>2.8571428571428571E-2</v>
      </c>
      <c r="I610" t="str">
        <f>VLOOKUP(Googleadssales[[#This Row],[Ad_ID]],'[1]pre processed data'!A:O,15,0)</f>
        <v>$1276</v>
      </c>
      <c r="J610" s="3">
        <f>VLOOKUP(Googleadssales[[#This Row],[Ad_ID]],'[1]pre processed data'!A:Q,17,0)</f>
        <v>45618</v>
      </c>
      <c r="K610" t="str">
        <f>VLOOKUP(Googleadssales[[#This Row],[Ad_ID]],'[1]pre processed data'!A:R,18,0)</f>
        <v>Hyderabad</v>
      </c>
      <c r="L610" t="str">
        <f>VLOOKUP(Googleadssales[[#This Row],[Ad_ID]],'[1]pre processed data'!A:S,19,0)</f>
        <v>Desktop</v>
      </c>
      <c r="M610" t="str">
        <f>VLOOKUP(Googleadssales[[#This Row],[Ad_ID]],'[1]pre processed data'!A:T,20,0)</f>
        <v>analytics for data</v>
      </c>
    </row>
    <row r="611" spans="1:13" x14ac:dyDescent="0.3">
      <c r="A611" t="s">
        <v>624</v>
      </c>
      <c r="B611" t="s">
        <v>18</v>
      </c>
      <c r="C611" s="4">
        <f>VLOOKUP(Googleadssales[[#This Row],[Ad_ID]],'[1]pre processed data'!A:C,3,0)</f>
        <v>104</v>
      </c>
      <c r="D611" s="4">
        <f>VLOOKUP(Googleadssales[[#This Row],[Ad_ID]],'[1]pre processed data'!A:E,5,0)</f>
        <v>3409</v>
      </c>
      <c r="E611" s="5" t="str">
        <f>VLOOKUP(Googleadssales[[#This Row],[Ad_ID]],[1]!Table3[[Ad_ID]:[Cost-imputed]],7,0)</f>
        <v>$207.63</v>
      </c>
      <c r="F611" s="4">
        <f>VLOOKUP(Googleadssales[[#This Row],[Ad_ID]],'[1]pre processed data'!A:I,9,0)</f>
        <v>19</v>
      </c>
      <c r="G611" s="4">
        <f>VLOOKUP(Googleadssales[[#This Row],[Ad_ID]],'[1]pre processed data'!A:K,11,0)</f>
        <v>4</v>
      </c>
      <c r="H611" s="2">
        <f>Googleadssales[[#This Row],[Conversions]]/Googleadssales[[#This Row],[Clicks]]</f>
        <v>3.8461538461538464E-2</v>
      </c>
      <c r="I611" t="str">
        <f>VLOOKUP(Googleadssales[[#This Row],[Ad_ID]],'[1]pre processed data'!A:O,15,0)</f>
        <v>$1195</v>
      </c>
      <c r="J611" s="3">
        <f>VLOOKUP(Googleadssales[[#This Row],[Ad_ID]],'[1]pre processed data'!A:Q,17,0)</f>
        <v>45612</v>
      </c>
      <c r="K611" t="str">
        <f>VLOOKUP(Googleadssales[[#This Row],[Ad_ID]],'[1]pre processed data'!A:R,18,0)</f>
        <v>Bangaluru</v>
      </c>
      <c r="L611" t="str">
        <f>VLOOKUP(Googleadssales[[#This Row],[Ad_ID]],'[1]pre processed data'!A:S,19,0)</f>
        <v>Mobile</v>
      </c>
      <c r="M611" t="str">
        <f>VLOOKUP(Googleadssales[[#This Row],[Ad_ID]],'[1]pre processed data'!A:T,20,0)</f>
        <v>analytics for data</v>
      </c>
    </row>
    <row r="612" spans="1:13" x14ac:dyDescent="0.3">
      <c r="A612" t="s">
        <v>625</v>
      </c>
      <c r="B612" t="s">
        <v>14</v>
      </c>
      <c r="C612" s="4">
        <f>VLOOKUP(Googleadssales[[#This Row],[Ad_ID]],'[1]pre processed data'!A:C,3,0)</f>
        <v>139</v>
      </c>
      <c r="D612" s="4">
        <f>VLOOKUP(Googleadssales[[#This Row],[Ad_ID]],'[1]pre processed data'!A:E,5,0)</f>
        <v>4333</v>
      </c>
      <c r="E612" s="5" t="str">
        <f>VLOOKUP(Googleadssales[[#This Row],[Ad_ID]],[1]!Table3[[Ad_ID]:[Cost-imputed]],7,0)</f>
        <v>$230.05</v>
      </c>
      <c r="F612" s="4">
        <f>VLOOKUP(Googleadssales[[#This Row],[Ad_ID]],'[1]pre processed data'!A:I,9,0)</f>
        <v>19</v>
      </c>
      <c r="G612" s="4">
        <f>VLOOKUP(Googleadssales[[#This Row],[Ad_ID]],'[1]pre processed data'!A:K,11,0)</f>
        <v>6</v>
      </c>
      <c r="H612" s="2">
        <f>Googleadssales[[#This Row],[Conversions]]/Googleadssales[[#This Row],[Clicks]]</f>
        <v>4.3165467625899283E-2</v>
      </c>
      <c r="I612" t="str">
        <f>VLOOKUP(Googleadssales[[#This Row],[Ad_ID]],'[1]pre processed data'!A:O,15,0)</f>
        <v>$1407</v>
      </c>
      <c r="J612" s="3">
        <f>VLOOKUP(Googleadssales[[#This Row],[Ad_ID]],'[1]pre processed data'!A:Q,17,0)</f>
        <v>45617</v>
      </c>
      <c r="K612" t="str">
        <f>VLOOKUP(Googleadssales[[#This Row],[Ad_ID]],'[1]pre processed data'!A:R,18,0)</f>
        <v>Chennai</v>
      </c>
      <c r="L612" t="str">
        <f>VLOOKUP(Googleadssales[[#This Row],[Ad_ID]],'[1]pre processed data'!A:S,19,0)</f>
        <v>Desktop</v>
      </c>
      <c r="M612" t="str">
        <f>VLOOKUP(Googleadssales[[#This Row],[Ad_ID]],'[1]pre processed data'!A:T,20,0)</f>
        <v>analytics for data</v>
      </c>
    </row>
    <row r="613" spans="1:13" x14ac:dyDescent="0.3">
      <c r="A613" t="s">
        <v>626</v>
      </c>
      <c r="B613" t="s">
        <v>18</v>
      </c>
      <c r="C613" s="4">
        <f>VLOOKUP(Googleadssales[[#This Row],[Ad_ID]],'[1]pre processed data'!A:C,3,0)</f>
        <v>110</v>
      </c>
      <c r="D613" s="4">
        <f>VLOOKUP(Googleadssales[[#This Row],[Ad_ID]],'[1]pre processed data'!A:E,5,0)</f>
        <v>4430</v>
      </c>
      <c r="E613" s="5" t="str">
        <f>VLOOKUP(Googleadssales[[#This Row],[Ad_ID]],[1]!Table3[[Ad_ID]:[Cost-imputed]],7,0)</f>
        <v>$197.84</v>
      </c>
      <c r="F613" s="4">
        <f>VLOOKUP(Googleadssales[[#This Row],[Ad_ID]],'[1]pre processed data'!A:I,9,0)</f>
        <v>23</v>
      </c>
      <c r="G613" s="4">
        <f>VLOOKUP(Googleadssales[[#This Row],[Ad_ID]],'[1]pre processed data'!A:K,11,0)</f>
        <v>5</v>
      </c>
      <c r="H613" s="2">
        <f>Googleadssales[[#This Row],[Conversions]]/Googleadssales[[#This Row],[Clicks]]</f>
        <v>4.5454545454545456E-2</v>
      </c>
      <c r="I613" t="str">
        <f>VLOOKUP(Googleadssales[[#This Row],[Ad_ID]],'[1]pre processed data'!A:O,15,0)</f>
        <v>$1500</v>
      </c>
      <c r="J613" s="3">
        <f>VLOOKUP(Googleadssales[[#This Row],[Ad_ID]],'[1]pre processed data'!A:Q,17,0)</f>
        <v>45611</v>
      </c>
      <c r="K613" t="str">
        <f>VLOOKUP(Googleadssales[[#This Row],[Ad_ID]],'[1]pre processed data'!A:R,18,0)</f>
        <v>Hyderabad</v>
      </c>
      <c r="L613" t="str">
        <f>VLOOKUP(Googleadssales[[#This Row],[Ad_ID]],'[1]pre processed data'!A:S,19,0)</f>
        <v>Mobile</v>
      </c>
      <c r="M613" t="str">
        <f>VLOOKUP(Googleadssales[[#This Row],[Ad_ID]],'[1]pre processed data'!A:T,20,0)</f>
        <v>learn data analytics</v>
      </c>
    </row>
    <row r="614" spans="1:13" x14ac:dyDescent="0.3">
      <c r="A614" t="s">
        <v>627</v>
      </c>
      <c r="B614" t="s">
        <v>18</v>
      </c>
      <c r="C614" s="4">
        <f>VLOOKUP(Googleadssales[[#This Row],[Ad_ID]],'[1]pre processed data'!A:C,3,0)</f>
        <v>193</v>
      </c>
      <c r="D614" s="4">
        <f>VLOOKUP(Googleadssales[[#This Row],[Ad_ID]],'[1]pre processed data'!A:E,5,0)</f>
        <v>4860</v>
      </c>
      <c r="E614" s="5" t="str">
        <f>VLOOKUP(Googleadssales[[#This Row],[Ad_ID]],[1]!Table3[[Ad_ID]:[Cost-imputed]],7,0)</f>
        <v>$181.27</v>
      </c>
      <c r="F614" s="4">
        <f>VLOOKUP(Googleadssales[[#This Row],[Ad_ID]],'[1]pre processed data'!A:I,9,0)</f>
        <v>14</v>
      </c>
      <c r="G614" s="4">
        <f>VLOOKUP(Googleadssales[[#This Row],[Ad_ID]],'[1]pre processed data'!A:K,11,0)</f>
        <v>5</v>
      </c>
      <c r="H614" s="2">
        <f>Googleadssales[[#This Row],[Conversions]]/Googleadssales[[#This Row],[Clicks]]</f>
        <v>2.5906735751295335E-2</v>
      </c>
      <c r="I614" t="str">
        <f>VLOOKUP(Googleadssales[[#This Row],[Ad_ID]],'[1]pre processed data'!A:O,15,0)</f>
        <v>$1500</v>
      </c>
      <c r="J614" s="3">
        <f>VLOOKUP(Googleadssales[[#This Row],[Ad_ID]],'[1]pre processed data'!A:Q,17,0)</f>
        <v>45612</v>
      </c>
      <c r="K614" t="str">
        <f>VLOOKUP(Googleadssales[[#This Row],[Ad_ID]],'[1]pre processed data'!A:R,18,0)</f>
        <v>Hyderabad</v>
      </c>
      <c r="L614" t="str">
        <f>VLOOKUP(Googleadssales[[#This Row],[Ad_ID]],'[1]pre processed data'!A:S,19,0)</f>
        <v>Desktop</v>
      </c>
      <c r="M614" t="str">
        <f>VLOOKUP(Googleadssales[[#This Row],[Ad_ID]],'[1]pre processed data'!A:T,20,0)</f>
        <v>online data analytic</v>
      </c>
    </row>
    <row r="615" spans="1:13" x14ac:dyDescent="0.3">
      <c r="A615" t="s">
        <v>628</v>
      </c>
      <c r="B615" t="s">
        <v>14</v>
      </c>
      <c r="C615" s="4">
        <f>VLOOKUP(Googleadssales[[#This Row],[Ad_ID]],'[1]pre processed data'!A:C,3,0)</f>
        <v>109</v>
      </c>
      <c r="D615" s="4">
        <f>VLOOKUP(Googleadssales[[#This Row],[Ad_ID]],'[1]pre processed data'!A:E,5,0)</f>
        <v>4396</v>
      </c>
      <c r="E615" s="5" t="str">
        <f>VLOOKUP(Googleadssales[[#This Row],[Ad_ID]],[1]!Table3[[Ad_ID]:[Cost-imputed]],7,0)</f>
        <v>$188.6</v>
      </c>
      <c r="F615" s="4">
        <f>VLOOKUP(Googleadssales[[#This Row],[Ad_ID]],'[1]pre processed data'!A:I,9,0)</f>
        <v>11</v>
      </c>
      <c r="G615" s="4">
        <f>VLOOKUP(Googleadssales[[#This Row],[Ad_ID]],'[1]pre processed data'!A:K,11,0)</f>
        <v>10</v>
      </c>
      <c r="H615" s="2">
        <f>Googleadssales[[#This Row],[Conversions]]/Googleadssales[[#This Row],[Clicks]]</f>
        <v>9.1743119266055051E-2</v>
      </c>
      <c r="I615" t="str">
        <f>VLOOKUP(Googleadssales[[#This Row],[Ad_ID]],'[1]pre processed data'!A:O,15,0)</f>
        <v>$1451</v>
      </c>
      <c r="J615" s="3">
        <f>VLOOKUP(Googleadssales[[#This Row],[Ad_ID]],'[1]pre processed data'!A:Q,17,0)</f>
        <v>45614</v>
      </c>
      <c r="K615" t="str">
        <f>VLOOKUP(Googleadssales[[#This Row],[Ad_ID]],'[1]pre processed data'!A:R,18,0)</f>
        <v>Hyderabad</v>
      </c>
      <c r="L615" t="str">
        <f>VLOOKUP(Googleadssales[[#This Row],[Ad_ID]],'[1]pre processed data'!A:S,19,0)</f>
        <v>Mobile</v>
      </c>
      <c r="M615" t="str">
        <f>VLOOKUP(Googleadssales[[#This Row],[Ad_ID]],'[1]pre processed data'!A:T,20,0)</f>
        <v>data analytics training</v>
      </c>
    </row>
    <row r="616" spans="1:13" x14ac:dyDescent="0.3">
      <c r="A616" t="s">
        <v>629</v>
      </c>
      <c r="B616" t="s">
        <v>14</v>
      </c>
      <c r="C616" s="4">
        <f>VLOOKUP(Googleadssales[[#This Row],[Ad_ID]],'[1]pre processed data'!A:C,3,0)</f>
        <v>141</v>
      </c>
      <c r="D616" s="4">
        <f>VLOOKUP(Googleadssales[[#This Row],[Ad_ID]],'[1]pre processed data'!A:E,5,0)</f>
        <v>5000</v>
      </c>
      <c r="E616" s="5" t="str">
        <f>VLOOKUP(Googleadssales[[#This Row],[Ad_ID]],[1]!Table3[[Ad_ID]:[Cost-imputed]],7,0)</f>
        <v>$223.7</v>
      </c>
      <c r="F616" s="4">
        <f>VLOOKUP(Googleadssales[[#This Row],[Ad_ID]],'[1]pre processed data'!A:I,9,0)</f>
        <v>29</v>
      </c>
      <c r="G616" s="4">
        <f>VLOOKUP(Googleadssales[[#This Row],[Ad_ID]],'[1]pre processed data'!A:K,11,0)</f>
        <v>10</v>
      </c>
      <c r="H616" s="2">
        <f>Googleadssales[[#This Row],[Conversions]]/Googleadssales[[#This Row],[Clicks]]</f>
        <v>7.0921985815602842E-2</v>
      </c>
      <c r="I616" t="str">
        <f>VLOOKUP(Googleadssales[[#This Row],[Ad_ID]],'[1]pre processed data'!A:O,15,0)</f>
        <v>$1909</v>
      </c>
      <c r="J616" s="3">
        <f>VLOOKUP(Googleadssales[[#This Row],[Ad_ID]],'[1]pre processed data'!A:Q,17,0)</f>
        <v>45608</v>
      </c>
      <c r="K616" t="str">
        <f>VLOOKUP(Googleadssales[[#This Row],[Ad_ID]],'[1]pre processed data'!A:R,18,0)</f>
        <v>Bangaluru</v>
      </c>
      <c r="L616" t="str">
        <f>VLOOKUP(Googleadssales[[#This Row],[Ad_ID]],'[1]pre processed data'!A:S,19,0)</f>
        <v>Tablet</v>
      </c>
      <c r="M616" t="str">
        <f>VLOOKUP(Googleadssales[[#This Row],[Ad_ID]],'[1]pre processed data'!A:T,20,0)</f>
        <v>data analytics online</v>
      </c>
    </row>
    <row r="617" spans="1:13" x14ac:dyDescent="0.3">
      <c r="A617" t="s">
        <v>630</v>
      </c>
      <c r="B617" t="s">
        <v>14</v>
      </c>
      <c r="C617" s="4">
        <f>VLOOKUP(Googleadssales[[#This Row],[Ad_ID]],'[1]pre processed data'!A:C,3,0)</f>
        <v>182</v>
      </c>
      <c r="D617" s="4">
        <f>VLOOKUP(Googleadssales[[#This Row],[Ad_ID]],'[1]pre processed data'!A:E,5,0)</f>
        <v>3487</v>
      </c>
      <c r="E617" s="5" t="str">
        <f>VLOOKUP(Googleadssales[[#This Row],[Ad_ID]],[1]!Table3[[Ad_ID]:[Cost-imputed]],7,0)</f>
        <v>$211.71</v>
      </c>
      <c r="F617" s="4">
        <f>VLOOKUP(Googleadssales[[#This Row],[Ad_ID]],'[1]pre processed data'!A:I,9,0)</f>
        <v>23</v>
      </c>
      <c r="G617" s="4">
        <f>VLOOKUP(Googleadssales[[#This Row],[Ad_ID]],'[1]pre processed data'!A:K,11,0)</f>
        <v>7</v>
      </c>
      <c r="H617" s="2">
        <f>Googleadssales[[#This Row],[Conversions]]/Googleadssales[[#This Row],[Clicks]]</f>
        <v>3.8461538461538464E-2</v>
      </c>
      <c r="I617" t="str">
        <f>VLOOKUP(Googleadssales[[#This Row],[Ad_ID]],'[1]pre processed data'!A:O,15,0)</f>
        <v>$1027</v>
      </c>
      <c r="J617" s="3">
        <f>VLOOKUP(Googleadssales[[#This Row],[Ad_ID]],'[1]pre processed data'!A:Q,17,0)</f>
        <v>45620</v>
      </c>
      <c r="K617" t="str">
        <f>VLOOKUP(Googleadssales[[#This Row],[Ad_ID]],'[1]pre processed data'!A:R,18,0)</f>
        <v>Hyderabad</v>
      </c>
      <c r="L617" t="str">
        <f>VLOOKUP(Googleadssales[[#This Row],[Ad_ID]],'[1]pre processed data'!A:S,19,0)</f>
        <v>Mobile</v>
      </c>
      <c r="M617" t="str">
        <f>VLOOKUP(Googleadssales[[#This Row],[Ad_ID]],'[1]pre processed data'!A:T,20,0)</f>
        <v>data analytics online</v>
      </c>
    </row>
    <row r="618" spans="1:13" x14ac:dyDescent="0.3">
      <c r="A618" t="s">
        <v>631</v>
      </c>
      <c r="B618" t="s">
        <v>18</v>
      </c>
      <c r="C618" s="4">
        <f>VLOOKUP(Googleadssales[[#This Row],[Ad_ID]],'[1]pre processed data'!A:C,3,0)</f>
        <v>179</v>
      </c>
      <c r="D618" s="4">
        <f>VLOOKUP(Googleadssales[[#This Row],[Ad_ID]],'[1]pre processed data'!A:E,5,0)</f>
        <v>4236</v>
      </c>
      <c r="E618" s="5" t="str">
        <f>VLOOKUP(Googleadssales[[#This Row],[Ad_ID]],[1]!Table3[[Ad_ID]:[Cost-imputed]],7,0)</f>
        <v>$245.01</v>
      </c>
      <c r="F618" s="4">
        <f>VLOOKUP(Googleadssales[[#This Row],[Ad_ID]],'[1]pre processed data'!A:I,9,0)</f>
        <v>23</v>
      </c>
      <c r="G618" s="4">
        <f>VLOOKUP(Googleadssales[[#This Row],[Ad_ID]],'[1]pre processed data'!A:K,11,0)</f>
        <v>7</v>
      </c>
      <c r="H618" s="2">
        <f>Googleadssales[[#This Row],[Conversions]]/Googleadssales[[#This Row],[Clicks]]</f>
        <v>3.9106145251396648E-2</v>
      </c>
      <c r="I618" t="str">
        <f>VLOOKUP(Googleadssales[[#This Row],[Ad_ID]],'[1]pre processed data'!A:O,15,0)</f>
        <v>$1822</v>
      </c>
      <c r="J618" s="3">
        <f>VLOOKUP(Googleadssales[[#This Row],[Ad_ID]],'[1]pre processed data'!A:Q,17,0)</f>
        <v>45603</v>
      </c>
      <c r="K618" t="str">
        <f>VLOOKUP(Googleadssales[[#This Row],[Ad_ID]],'[1]pre processed data'!A:R,18,0)</f>
        <v>Bangaluru</v>
      </c>
      <c r="L618" t="str">
        <f>VLOOKUP(Googleadssales[[#This Row],[Ad_ID]],'[1]pre processed data'!A:S,19,0)</f>
        <v>Mobile</v>
      </c>
      <c r="M618" t="str">
        <f>VLOOKUP(Googleadssales[[#This Row],[Ad_ID]],'[1]pre processed data'!A:T,20,0)</f>
        <v>learn data analytics</v>
      </c>
    </row>
    <row r="619" spans="1:13" x14ac:dyDescent="0.3">
      <c r="A619" t="s">
        <v>632</v>
      </c>
      <c r="B619" t="s">
        <v>18</v>
      </c>
      <c r="C619" s="4">
        <f>VLOOKUP(Googleadssales[[#This Row],[Ad_ID]],'[1]pre processed data'!A:C,3,0)</f>
        <v>89</v>
      </c>
      <c r="D619" s="4">
        <f>VLOOKUP(Googleadssales[[#This Row],[Ad_ID]],'[1]pre processed data'!A:E,5,0)</f>
        <v>5349</v>
      </c>
      <c r="E619" s="5" t="str">
        <f>VLOOKUP(Googleadssales[[#This Row],[Ad_ID]],[1]!Table3[[Ad_ID]:[Cost-imputed]],7,0)</f>
        <v>$200.00</v>
      </c>
      <c r="F619" s="4">
        <f>VLOOKUP(Googleadssales[[#This Row],[Ad_ID]],'[1]pre processed data'!A:I,9,0)</f>
        <v>19.980422462648118</v>
      </c>
      <c r="G619" s="4">
        <f>VLOOKUP(Googleadssales[[#This Row],[Ad_ID]],'[1]pre processed data'!A:K,11,0)</f>
        <v>8</v>
      </c>
      <c r="H619" s="2">
        <f>Googleadssales[[#This Row],[Conversions]]/Googleadssales[[#This Row],[Clicks]]</f>
        <v>8.98876404494382E-2</v>
      </c>
      <c r="I619" t="str">
        <f>VLOOKUP(Googleadssales[[#This Row],[Ad_ID]],'[1]pre processed data'!A:O,15,0)</f>
        <v>$1371</v>
      </c>
      <c r="J619" s="3">
        <f>VLOOKUP(Googleadssales[[#This Row],[Ad_ID]],'[1]pre processed data'!A:Q,17,0)</f>
        <v>45624</v>
      </c>
      <c r="K619" t="str">
        <f>VLOOKUP(Googleadssales[[#This Row],[Ad_ID]],'[1]pre processed data'!A:R,18,0)</f>
        <v>Bangaluru</v>
      </c>
      <c r="L619" t="str">
        <f>VLOOKUP(Googleadssales[[#This Row],[Ad_ID]],'[1]pre processed data'!A:S,19,0)</f>
        <v>Tablet</v>
      </c>
      <c r="M619" t="str">
        <f>VLOOKUP(Googleadssales[[#This Row],[Ad_ID]],'[1]pre processed data'!A:T,20,0)</f>
        <v>data analytics online</v>
      </c>
    </row>
    <row r="620" spans="1:13" x14ac:dyDescent="0.3">
      <c r="A620" t="s">
        <v>633</v>
      </c>
      <c r="B620" t="s">
        <v>14</v>
      </c>
      <c r="C620" s="4">
        <f>VLOOKUP(Googleadssales[[#This Row],[Ad_ID]],'[1]pre processed data'!A:C,3,0)</f>
        <v>181</v>
      </c>
      <c r="D620" s="4">
        <f>VLOOKUP(Googleadssales[[#This Row],[Ad_ID]],'[1]pre processed data'!A:E,5,0)</f>
        <v>5678</v>
      </c>
      <c r="E620" s="5" t="str">
        <f>VLOOKUP(Googleadssales[[#This Row],[Ad_ID]],[1]!Table3[[Ad_ID]:[Cost-imputed]],7,0)</f>
        <v>$226.89</v>
      </c>
      <c r="F620" s="4">
        <f>VLOOKUP(Googleadssales[[#This Row],[Ad_ID]],'[1]pre processed data'!A:I,9,0)</f>
        <v>22</v>
      </c>
      <c r="G620" s="4">
        <f>VLOOKUP(Googleadssales[[#This Row],[Ad_ID]],'[1]pre processed data'!A:K,11,0)</f>
        <v>10</v>
      </c>
      <c r="H620" s="2">
        <f>Googleadssales[[#This Row],[Conversions]]/Googleadssales[[#This Row],[Clicks]]</f>
        <v>5.5248618784530384E-2</v>
      </c>
      <c r="I620" t="str">
        <f>VLOOKUP(Googleadssales[[#This Row],[Ad_ID]],'[1]pre processed data'!A:O,15,0)</f>
        <v>$1992</v>
      </c>
      <c r="J620" s="3">
        <f>VLOOKUP(Googleadssales[[#This Row],[Ad_ID]],'[1]pre processed data'!A:Q,17,0)</f>
        <v>45598</v>
      </c>
      <c r="K620" t="str">
        <f>VLOOKUP(Googleadssales[[#This Row],[Ad_ID]],'[1]pre processed data'!A:R,18,0)</f>
        <v>Chennai</v>
      </c>
      <c r="L620" t="str">
        <f>VLOOKUP(Googleadssales[[#This Row],[Ad_ID]],'[1]pre processed data'!A:S,19,0)</f>
        <v>Tablet</v>
      </c>
      <c r="M620" t="str">
        <f>VLOOKUP(Googleadssales[[#This Row],[Ad_ID]],'[1]pre processed data'!A:T,20,0)</f>
        <v>data analytics training</v>
      </c>
    </row>
    <row r="621" spans="1:13" x14ac:dyDescent="0.3">
      <c r="A621" t="s">
        <v>634</v>
      </c>
      <c r="B621" t="s">
        <v>14</v>
      </c>
      <c r="C621" s="4">
        <f>VLOOKUP(Googleadssales[[#This Row],[Ad_ID]],'[1]pre processed data'!A:C,3,0)</f>
        <v>85</v>
      </c>
      <c r="D621" s="4">
        <f>VLOOKUP(Googleadssales[[#This Row],[Ad_ID]],'[1]pre processed data'!A:E,5,0)</f>
        <v>5247</v>
      </c>
      <c r="E621" s="5" t="str">
        <f>VLOOKUP(Googleadssales[[#This Row],[Ad_ID]],[1]!Table3[[Ad_ID]:[Cost-imputed]],7,0)</f>
        <v>$219.97</v>
      </c>
      <c r="F621" s="4">
        <f>VLOOKUP(Googleadssales[[#This Row],[Ad_ID]],'[1]pre processed data'!A:I,9,0)</f>
        <v>15</v>
      </c>
      <c r="G621" s="4">
        <f>VLOOKUP(Googleadssales[[#This Row],[Ad_ID]],'[1]pre processed data'!A:K,11,0)</f>
        <v>7</v>
      </c>
      <c r="H621" s="2">
        <f>Googleadssales[[#This Row],[Conversions]]/Googleadssales[[#This Row],[Clicks]]</f>
        <v>8.2352941176470587E-2</v>
      </c>
      <c r="I621" t="str">
        <f>VLOOKUP(Googleadssales[[#This Row],[Ad_ID]],'[1]pre processed data'!A:O,15,0)</f>
        <v>$1612</v>
      </c>
      <c r="J621" s="3">
        <f>VLOOKUP(Googleadssales[[#This Row],[Ad_ID]],'[1]pre processed data'!A:Q,17,0)</f>
        <v>45616</v>
      </c>
      <c r="K621" t="str">
        <f>VLOOKUP(Googleadssales[[#This Row],[Ad_ID]],'[1]pre processed data'!A:R,18,0)</f>
        <v>Hyderabad</v>
      </c>
      <c r="L621" t="str">
        <f>VLOOKUP(Googleadssales[[#This Row],[Ad_ID]],'[1]pre processed data'!A:S,19,0)</f>
        <v>Desktop</v>
      </c>
      <c r="M621" t="str">
        <f>VLOOKUP(Googleadssales[[#This Row],[Ad_ID]],'[1]pre processed data'!A:T,20,0)</f>
        <v>analytics for data</v>
      </c>
    </row>
    <row r="622" spans="1:13" x14ac:dyDescent="0.3">
      <c r="A622" t="s">
        <v>635</v>
      </c>
      <c r="B622" t="s">
        <v>14</v>
      </c>
      <c r="C622" s="4">
        <f>VLOOKUP(Googleadssales[[#This Row],[Ad_ID]],'[1]pre processed data'!A:C,3,0)</f>
        <v>179</v>
      </c>
      <c r="D622" s="4">
        <f>VLOOKUP(Googleadssales[[#This Row],[Ad_ID]],'[1]pre processed data'!A:E,5,0)</f>
        <v>3685</v>
      </c>
      <c r="E622" s="5" t="str">
        <f>VLOOKUP(Googleadssales[[#This Row],[Ad_ID]],[1]!Table3[[Ad_ID]:[Cost-imputed]],7,0)</f>
        <v>$202.66</v>
      </c>
      <c r="F622" s="4">
        <f>VLOOKUP(Googleadssales[[#This Row],[Ad_ID]],'[1]pre processed data'!A:I,9,0)</f>
        <v>15</v>
      </c>
      <c r="G622" s="4">
        <f>VLOOKUP(Googleadssales[[#This Row],[Ad_ID]],'[1]pre processed data'!A:K,11,0)</f>
        <v>6.5148669796557117</v>
      </c>
      <c r="H622" s="2">
        <f>Googleadssales[[#This Row],[Conversions]]/Googleadssales[[#This Row],[Clicks]]</f>
        <v>3.6395904914277716E-2</v>
      </c>
      <c r="I622" t="str">
        <f>VLOOKUP(Googleadssales[[#This Row],[Ad_ID]],'[1]pre processed data'!A:O,15,0)</f>
        <v>$1634</v>
      </c>
      <c r="J622" s="3">
        <f>VLOOKUP(Googleadssales[[#This Row],[Ad_ID]],'[1]pre processed data'!A:Q,17,0)</f>
        <v>45614</v>
      </c>
      <c r="K622" t="str">
        <f>VLOOKUP(Googleadssales[[#This Row],[Ad_ID]],'[1]pre processed data'!A:R,18,0)</f>
        <v>Hyderabad</v>
      </c>
      <c r="L622" t="str">
        <f>VLOOKUP(Googleadssales[[#This Row],[Ad_ID]],'[1]pre processed data'!A:S,19,0)</f>
        <v>Desktop</v>
      </c>
      <c r="M622" t="str">
        <f>VLOOKUP(Googleadssales[[#This Row],[Ad_ID]],'[1]pre processed data'!A:T,20,0)</f>
        <v>data analytics course</v>
      </c>
    </row>
    <row r="623" spans="1:13" x14ac:dyDescent="0.3">
      <c r="A623" t="s">
        <v>636</v>
      </c>
      <c r="B623" t="s">
        <v>14</v>
      </c>
      <c r="C623" s="4">
        <f>VLOOKUP(Googleadssales[[#This Row],[Ad_ID]],'[1]pre processed data'!A:C,3,0)</f>
        <v>172</v>
      </c>
      <c r="D623" s="4">
        <f>VLOOKUP(Googleadssales[[#This Row],[Ad_ID]],'[1]pre processed data'!A:E,5,0)</f>
        <v>5862</v>
      </c>
      <c r="E623" s="5" t="str">
        <f>VLOOKUP(Googleadssales[[#This Row],[Ad_ID]],[1]!Table3[[Ad_ID]:[Cost-imputed]],7,0)</f>
        <v>$202.0</v>
      </c>
      <c r="F623" s="4">
        <f>VLOOKUP(Googleadssales[[#This Row],[Ad_ID]],'[1]pre processed data'!A:I,9,0)</f>
        <v>23</v>
      </c>
      <c r="G623" s="4">
        <f>VLOOKUP(Googleadssales[[#This Row],[Ad_ID]],'[1]pre processed data'!A:K,11,0)</f>
        <v>4</v>
      </c>
      <c r="H623" s="2">
        <f>Googleadssales[[#This Row],[Conversions]]/Googleadssales[[#This Row],[Clicks]]</f>
        <v>2.3255813953488372E-2</v>
      </c>
      <c r="I623" t="str">
        <f>VLOOKUP(Googleadssales[[#This Row],[Ad_ID]],'[1]pre processed data'!A:O,15,0)</f>
        <v>$1469</v>
      </c>
      <c r="J623" s="3">
        <f>VLOOKUP(Googleadssales[[#This Row],[Ad_ID]],'[1]pre processed data'!A:Q,17,0)</f>
        <v>45624</v>
      </c>
      <c r="K623" t="str">
        <f>VLOOKUP(Googleadssales[[#This Row],[Ad_ID]],'[1]pre processed data'!A:R,18,0)</f>
        <v>Chennai</v>
      </c>
      <c r="L623" t="str">
        <f>VLOOKUP(Googleadssales[[#This Row],[Ad_ID]],'[1]pre processed data'!A:S,19,0)</f>
        <v>Desktop</v>
      </c>
      <c r="M623" t="str">
        <f>VLOOKUP(Googleadssales[[#This Row],[Ad_ID]],'[1]pre processed data'!A:T,20,0)</f>
        <v>online data analytic</v>
      </c>
    </row>
    <row r="624" spans="1:13" x14ac:dyDescent="0.3">
      <c r="A624" t="s">
        <v>637</v>
      </c>
      <c r="B624" t="s">
        <v>14</v>
      </c>
      <c r="C624" s="4">
        <f>VLOOKUP(Googleadssales[[#This Row],[Ad_ID]],'[1]pre processed data'!A:C,3,0)</f>
        <v>196</v>
      </c>
      <c r="D624" s="4">
        <f>VLOOKUP(Googleadssales[[#This Row],[Ad_ID]],'[1]pre processed data'!A:E,5,0)</f>
        <v>5040</v>
      </c>
      <c r="E624" s="5" t="str">
        <f>VLOOKUP(Googleadssales[[#This Row],[Ad_ID]],[1]!Table3[[Ad_ID]:[Cost-imputed]],7,0)</f>
        <v>$197.08</v>
      </c>
      <c r="F624" s="4">
        <f>VLOOKUP(Googleadssales[[#This Row],[Ad_ID]],'[1]pre processed data'!A:I,9,0)</f>
        <v>11</v>
      </c>
      <c r="G624" s="4">
        <f>VLOOKUP(Googleadssales[[#This Row],[Ad_ID]],'[1]pre processed data'!A:K,11,0)</f>
        <v>9</v>
      </c>
      <c r="H624" s="2">
        <f>Googleadssales[[#This Row],[Conversions]]/Googleadssales[[#This Row],[Clicks]]</f>
        <v>4.5918367346938778E-2</v>
      </c>
      <c r="I624" t="str">
        <f>VLOOKUP(Googleadssales[[#This Row],[Ad_ID]],'[1]pre processed data'!A:O,15,0)</f>
        <v>$1774</v>
      </c>
      <c r="J624" s="3">
        <f>VLOOKUP(Googleadssales[[#This Row],[Ad_ID]],'[1]pre processed data'!A:Q,17,0)</f>
        <v>45618</v>
      </c>
      <c r="K624" t="str">
        <f>VLOOKUP(Googleadssales[[#This Row],[Ad_ID]],'[1]pre processed data'!A:R,18,0)</f>
        <v>Bangaluru</v>
      </c>
      <c r="L624" t="str">
        <f>VLOOKUP(Googleadssales[[#This Row],[Ad_ID]],'[1]pre processed data'!A:S,19,0)</f>
        <v>Desktop</v>
      </c>
      <c r="M624" t="str">
        <f>VLOOKUP(Googleadssales[[#This Row],[Ad_ID]],'[1]pre processed data'!A:T,20,0)</f>
        <v>data analytics course</v>
      </c>
    </row>
    <row r="625" spans="1:13" x14ac:dyDescent="0.3">
      <c r="A625" t="s">
        <v>638</v>
      </c>
      <c r="B625" t="s">
        <v>14</v>
      </c>
      <c r="C625" s="4">
        <f>VLOOKUP(Googleadssales[[#This Row],[Ad_ID]],'[1]pre processed data'!A:C,3,0)</f>
        <v>138.95699356913184</v>
      </c>
      <c r="D625" s="4">
        <f>VLOOKUP(Googleadssales[[#This Row],[Ad_ID]],'[1]pre processed data'!A:E,5,0)</f>
        <v>3423</v>
      </c>
      <c r="E625" s="5" t="str">
        <f>VLOOKUP(Googleadssales[[#This Row],[Ad_ID]],[1]!Table3[[Ad_ID]:[Cost-imputed]],7,0)</f>
        <v>$223.95</v>
      </c>
      <c r="F625" s="4">
        <f>VLOOKUP(Googleadssales[[#This Row],[Ad_ID]],'[1]pre processed data'!A:I,9,0)</f>
        <v>30</v>
      </c>
      <c r="G625" s="4">
        <f>VLOOKUP(Googleadssales[[#This Row],[Ad_ID]],'[1]pre processed data'!A:K,11,0)</f>
        <v>4</v>
      </c>
      <c r="H625" s="2">
        <f>Googleadssales[[#This Row],[Conversions]]/Googleadssales[[#This Row],[Clicks]]</f>
        <v>2.8785884734977219E-2</v>
      </c>
      <c r="I625" t="str">
        <f>VLOOKUP(Googleadssales[[#This Row],[Ad_ID]],'[1]pre processed data'!A:O,15,0)</f>
        <v>$1480</v>
      </c>
      <c r="J625" s="3">
        <f>VLOOKUP(Googleadssales[[#This Row],[Ad_ID]],'[1]pre processed data'!A:Q,17,0)</f>
        <v>45599</v>
      </c>
      <c r="K625" t="str">
        <f>VLOOKUP(Googleadssales[[#This Row],[Ad_ID]],'[1]pre processed data'!A:R,18,0)</f>
        <v>Hyderabad</v>
      </c>
      <c r="L625" t="str">
        <f>VLOOKUP(Googleadssales[[#This Row],[Ad_ID]],'[1]pre processed data'!A:S,19,0)</f>
        <v>Desktop</v>
      </c>
      <c r="M625" t="str">
        <f>VLOOKUP(Googleadssales[[#This Row],[Ad_ID]],'[1]pre processed data'!A:T,20,0)</f>
        <v>analytics for data</v>
      </c>
    </row>
    <row r="626" spans="1:13" x14ac:dyDescent="0.3">
      <c r="A626" t="s">
        <v>639</v>
      </c>
      <c r="B626" t="s">
        <v>14</v>
      </c>
      <c r="C626" s="4">
        <f>VLOOKUP(Googleadssales[[#This Row],[Ad_ID]],'[1]pre processed data'!A:C,3,0)</f>
        <v>135</v>
      </c>
      <c r="D626" s="4">
        <f>VLOOKUP(Googleadssales[[#This Row],[Ad_ID]],'[1]pre processed data'!A:E,5,0)</f>
        <v>5981</v>
      </c>
      <c r="E626" s="5" t="str">
        <f>VLOOKUP(Googleadssales[[#This Row],[Ad_ID]],[1]!Table3[[Ad_ID]:[Cost-imputed]],7,0)</f>
        <v>$228.66</v>
      </c>
      <c r="F626" s="4">
        <f>VLOOKUP(Googleadssales[[#This Row],[Ad_ID]],'[1]pre processed data'!A:I,9,0)</f>
        <v>26</v>
      </c>
      <c r="G626" s="4">
        <f>VLOOKUP(Googleadssales[[#This Row],[Ad_ID]],'[1]pre processed data'!A:K,11,0)</f>
        <v>6</v>
      </c>
      <c r="H626" s="2">
        <f>Googleadssales[[#This Row],[Conversions]]/Googleadssales[[#This Row],[Clicks]]</f>
        <v>4.4444444444444446E-2</v>
      </c>
      <c r="I626" t="str">
        <f>VLOOKUP(Googleadssales[[#This Row],[Ad_ID]],'[1]pre processed data'!A:O,15,0)</f>
        <v>$1515</v>
      </c>
      <c r="J626" s="3">
        <f>VLOOKUP(Googleadssales[[#This Row],[Ad_ID]],'[1]pre processed data'!A:Q,17,0)</f>
        <v>45608</v>
      </c>
      <c r="K626" t="str">
        <f>VLOOKUP(Googleadssales[[#This Row],[Ad_ID]],'[1]pre processed data'!A:R,18,0)</f>
        <v>Hyderabad</v>
      </c>
      <c r="L626" t="str">
        <f>VLOOKUP(Googleadssales[[#This Row],[Ad_ID]],'[1]pre processed data'!A:S,19,0)</f>
        <v>Desktop</v>
      </c>
      <c r="M626" t="str">
        <f>VLOOKUP(Googleadssales[[#This Row],[Ad_ID]],'[1]pre processed data'!A:T,20,0)</f>
        <v>data analytics training</v>
      </c>
    </row>
    <row r="627" spans="1:13" x14ac:dyDescent="0.3">
      <c r="A627" t="s">
        <v>640</v>
      </c>
      <c r="B627" t="s">
        <v>18</v>
      </c>
      <c r="C627" s="4">
        <f>VLOOKUP(Googleadssales[[#This Row],[Ad_ID]],'[1]pre processed data'!A:C,3,0)</f>
        <v>97</v>
      </c>
      <c r="D627" s="4">
        <f>VLOOKUP(Googleadssales[[#This Row],[Ad_ID]],'[1]pre processed data'!A:E,5,0)</f>
        <v>3495</v>
      </c>
      <c r="E627" s="5" t="str">
        <f>VLOOKUP(Googleadssales[[#This Row],[Ad_ID]],[1]!Table3[[Ad_ID]:[Cost-imputed]],7,0)</f>
        <v>$230.83</v>
      </c>
      <c r="F627" s="4">
        <f>VLOOKUP(Googleadssales[[#This Row],[Ad_ID]],'[1]pre processed data'!A:I,9,0)</f>
        <v>16</v>
      </c>
      <c r="G627" s="4">
        <f>VLOOKUP(Googleadssales[[#This Row],[Ad_ID]],'[1]pre processed data'!A:K,11,0)</f>
        <v>6</v>
      </c>
      <c r="H627" s="2">
        <f>Googleadssales[[#This Row],[Conversions]]/Googleadssales[[#This Row],[Clicks]]</f>
        <v>6.1855670103092786E-2</v>
      </c>
      <c r="I627" t="str">
        <f>VLOOKUP(Googleadssales[[#This Row],[Ad_ID]],'[1]pre processed data'!A:O,15,0)</f>
        <v>$1675</v>
      </c>
      <c r="J627" s="3">
        <f>VLOOKUP(Googleadssales[[#This Row],[Ad_ID]],'[1]pre processed data'!A:Q,17,0)</f>
        <v>45619</v>
      </c>
      <c r="K627" t="str">
        <f>VLOOKUP(Googleadssales[[#This Row],[Ad_ID]],'[1]pre processed data'!A:R,18,0)</f>
        <v>Hyderabad</v>
      </c>
      <c r="L627" t="str">
        <f>VLOOKUP(Googleadssales[[#This Row],[Ad_ID]],'[1]pre processed data'!A:S,19,0)</f>
        <v>Tablet</v>
      </c>
      <c r="M627" t="str">
        <f>VLOOKUP(Googleadssales[[#This Row],[Ad_ID]],'[1]pre processed data'!A:T,20,0)</f>
        <v>analytics for data</v>
      </c>
    </row>
    <row r="628" spans="1:13" x14ac:dyDescent="0.3">
      <c r="A628" t="s">
        <v>641</v>
      </c>
      <c r="B628" t="s">
        <v>14</v>
      </c>
      <c r="C628" s="4">
        <f>VLOOKUP(Googleadssales[[#This Row],[Ad_ID]],'[1]pre processed data'!A:C,3,0)</f>
        <v>137</v>
      </c>
      <c r="D628" s="4">
        <f>VLOOKUP(Googleadssales[[#This Row],[Ad_ID]],'[1]pre processed data'!A:E,5,0)</f>
        <v>3702</v>
      </c>
      <c r="E628" s="5" t="str">
        <f>VLOOKUP(Googleadssales[[#This Row],[Ad_ID]],[1]!Table3[[Ad_ID]:[Cost-imputed]],7,0)</f>
        <v>$215.41</v>
      </c>
      <c r="F628" s="4">
        <f>VLOOKUP(Googleadssales[[#This Row],[Ad_ID]],'[1]pre processed data'!A:I,9,0)</f>
        <v>25</v>
      </c>
      <c r="G628" s="4">
        <f>VLOOKUP(Googleadssales[[#This Row],[Ad_ID]],'[1]pre processed data'!A:K,11,0)</f>
        <v>9</v>
      </c>
      <c r="H628" s="2">
        <f>Googleadssales[[#This Row],[Conversions]]/Googleadssales[[#This Row],[Clicks]]</f>
        <v>6.569343065693431E-2</v>
      </c>
      <c r="I628" t="str">
        <f>VLOOKUP(Googleadssales[[#This Row],[Ad_ID]],'[1]pre processed data'!A:O,15,0)</f>
        <v>$1010</v>
      </c>
      <c r="J628" s="3">
        <f>VLOOKUP(Googleadssales[[#This Row],[Ad_ID]],'[1]pre processed data'!A:Q,17,0)</f>
        <v>45606</v>
      </c>
      <c r="K628" t="str">
        <f>VLOOKUP(Googleadssales[[#This Row],[Ad_ID]],'[1]pre processed data'!A:R,18,0)</f>
        <v>Hyderabad</v>
      </c>
      <c r="L628" t="str">
        <f>VLOOKUP(Googleadssales[[#This Row],[Ad_ID]],'[1]pre processed data'!A:S,19,0)</f>
        <v>Desktop</v>
      </c>
      <c r="M628" t="str">
        <f>VLOOKUP(Googleadssales[[#This Row],[Ad_ID]],'[1]pre processed data'!A:T,20,0)</f>
        <v>learn data analytics</v>
      </c>
    </row>
    <row r="629" spans="1:13" x14ac:dyDescent="0.3">
      <c r="A629" t="s">
        <v>642</v>
      </c>
      <c r="B629" t="s">
        <v>18</v>
      </c>
      <c r="C629" s="4">
        <f>VLOOKUP(Googleadssales[[#This Row],[Ad_ID]],'[1]pre processed data'!A:C,3,0)</f>
        <v>164</v>
      </c>
      <c r="D629" s="4">
        <f>VLOOKUP(Googleadssales[[#This Row],[Ad_ID]],'[1]pre processed data'!A:E,5,0)</f>
        <v>3405</v>
      </c>
      <c r="E629" s="5" t="str">
        <f>VLOOKUP(Googleadssales[[#This Row],[Ad_ID]],[1]!Table3[[Ad_ID]:[Cost-imputed]],7,0)</f>
        <v>$217.58</v>
      </c>
      <c r="F629" s="4">
        <f>VLOOKUP(Googleadssales[[#This Row],[Ad_ID]],'[1]pre processed data'!A:I,9,0)</f>
        <v>10</v>
      </c>
      <c r="G629" s="4">
        <f>VLOOKUP(Googleadssales[[#This Row],[Ad_ID]],'[1]pre processed data'!A:K,11,0)</f>
        <v>3</v>
      </c>
      <c r="H629" s="2">
        <f>Googleadssales[[#This Row],[Conversions]]/Googleadssales[[#This Row],[Clicks]]</f>
        <v>1.8292682926829267E-2</v>
      </c>
      <c r="I629" t="str">
        <f>VLOOKUP(Googleadssales[[#This Row],[Ad_ID]],'[1]pre processed data'!A:O,15,0)</f>
        <v>$1885</v>
      </c>
      <c r="J629" s="3">
        <f>VLOOKUP(Googleadssales[[#This Row],[Ad_ID]],'[1]pre processed data'!A:Q,17,0)</f>
        <v>45626</v>
      </c>
      <c r="K629" t="str">
        <f>VLOOKUP(Googleadssales[[#This Row],[Ad_ID]],'[1]pre processed data'!A:R,18,0)</f>
        <v>Chennai</v>
      </c>
      <c r="L629" t="str">
        <f>VLOOKUP(Googleadssales[[#This Row],[Ad_ID]],'[1]pre processed data'!A:S,19,0)</f>
        <v>Desktop</v>
      </c>
      <c r="M629" t="str">
        <f>VLOOKUP(Googleadssales[[#This Row],[Ad_ID]],'[1]pre processed data'!A:T,20,0)</f>
        <v>data analytics online</v>
      </c>
    </row>
    <row r="630" spans="1:13" x14ac:dyDescent="0.3">
      <c r="A630" t="s">
        <v>643</v>
      </c>
      <c r="B630" t="s">
        <v>14</v>
      </c>
      <c r="C630" s="4">
        <f>VLOOKUP(Googleadssales[[#This Row],[Ad_ID]],'[1]pre processed data'!A:C,3,0)</f>
        <v>178</v>
      </c>
      <c r="D630" s="4">
        <f>VLOOKUP(Googleadssales[[#This Row],[Ad_ID]],'[1]pre processed data'!A:E,5,0)</f>
        <v>3370</v>
      </c>
      <c r="E630" s="5" t="str">
        <f>VLOOKUP(Googleadssales[[#This Row],[Ad_ID]],[1]!Table3[[Ad_ID]:[Cost-imputed]],7,0)</f>
        <v>$180.66</v>
      </c>
      <c r="F630" s="4">
        <f>VLOOKUP(Googleadssales[[#This Row],[Ad_ID]],'[1]pre processed data'!A:I,9,0)</f>
        <v>25</v>
      </c>
      <c r="G630" s="4">
        <f>VLOOKUP(Googleadssales[[#This Row],[Ad_ID]],'[1]pre processed data'!A:K,11,0)</f>
        <v>9</v>
      </c>
      <c r="H630" s="2">
        <f>Googleadssales[[#This Row],[Conversions]]/Googleadssales[[#This Row],[Clicks]]</f>
        <v>5.0561797752808987E-2</v>
      </c>
      <c r="I630" t="str">
        <f>VLOOKUP(Googleadssales[[#This Row],[Ad_ID]],'[1]pre processed data'!A:O,15,0)</f>
        <v>$1830</v>
      </c>
      <c r="J630" s="3">
        <f>VLOOKUP(Googleadssales[[#This Row],[Ad_ID]],'[1]pre processed data'!A:Q,17,0)</f>
        <v>45620</v>
      </c>
      <c r="K630" t="str">
        <f>VLOOKUP(Googleadssales[[#This Row],[Ad_ID]],'[1]pre processed data'!A:R,18,0)</f>
        <v>Chennai</v>
      </c>
      <c r="L630" t="str">
        <f>VLOOKUP(Googleadssales[[#This Row],[Ad_ID]],'[1]pre processed data'!A:S,19,0)</f>
        <v>Desktop</v>
      </c>
      <c r="M630" t="str">
        <f>VLOOKUP(Googleadssales[[#This Row],[Ad_ID]],'[1]pre processed data'!A:T,20,0)</f>
        <v>online data analytic</v>
      </c>
    </row>
    <row r="631" spans="1:13" x14ac:dyDescent="0.3">
      <c r="A631" t="s">
        <v>644</v>
      </c>
      <c r="B631" t="s">
        <v>14</v>
      </c>
      <c r="C631" s="4">
        <f>VLOOKUP(Googleadssales[[#This Row],[Ad_ID]],'[1]pre processed data'!A:C,3,0)</f>
        <v>146</v>
      </c>
      <c r="D631" s="4">
        <f>VLOOKUP(Googleadssales[[#This Row],[Ad_ID]],'[1]pre processed data'!A:E,5,0)</f>
        <v>4455</v>
      </c>
      <c r="E631" s="5" t="str">
        <f>VLOOKUP(Googleadssales[[#This Row],[Ad_ID]],[1]!Table3[[Ad_ID]:[Cost-imputed]],7,0)</f>
        <v>$227.13</v>
      </c>
      <c r="F631" s="4">
        <f>VLOOKUP(Googleadssales[[#This Row],[Ad_ID]],'[1]pre processed data'!A:I,9,0)</f>
        <v>16</v>
      </c>
      <c r="G631" s="4">
        <f>VLOOKUP(Googleadssales[[#This Row],[Ad_ID]],'[1]pre processed data'!A:K,11,0)</f>
        <v>5</v>
      </c>
      <c r="H631" s="2">
        <f>Googleadssales[[#This Row],[Conversions]]/Googleadssales[[#This Row],[Clicks]]</f>
        <v>3.4246575342465752E-2</v>
      </c>
      <c r="I631" t="str">
        <f>VLOOKUP(Googleadssales[[#This Row],[Ad_ID]],'[1]pre processed data'!A:O,15,0)</f>
        <v>$1040</v>
      </c>
      <c r="J631" s="3">
        <f>VLOOKUP(Googleadssales[[#This Row],[Ad_ID]],'[1]pre processed data'!A:Q,17,0)</f>
        <v>45620</v>
      </c>
      <c r="K631" t="str">
        <f>VLOOKUP(Googleadssales[[#This Row],[Ad_ID]],'[1]pre processed data'!A:R,18,0)</f>
        <v>Chennai</v>
      </c>
      <c r="L631" t="str">
        <f>VLOOKUP(Googleadssales[[#This Row],[Ad_ID]],'[1]pre processed data'!A:S,19,0)</f>
        <v>Tablet</v>
      </c>
      <c r="M631" t="str">
        <f>VLOOKUP(Googleadssales[[#This Row],[Ad_ID]],'[1]pre processed data'!A:T,20,0)</f>
        <v>online data analytic</v>
      </c>
    </row>
    <row r="632" spans="1:13" x14ac:dyDescent="0.3">
      <c r="A632" t="s">
        <v>645</v>
      </c>
      <c r="B632" t="s">
        <v>14</v>
      </c>
      <c r="C632" s="4">
        <f>VLOOKUP(Googleadssales[[#This Row],[Ad_ID]],'[1]pre processed data'!A:C,3,0)</f>
        <v>149</v>
      </c>
      <c r="D632" s="4">
        <f>VLOOKUP(Googleadssales[[#This Row],[Ad_ID]],'[1]pre processed data'!A:E,5,0)</f>
        <v>4670</v>
      </c>
      <c r="E632" s="5" t="str">
        <f>VLOOKUP(Googleadssales[[#This Row],[Ad_ID]],[1]!Table3[[Ad_ID]:[Cost-imputed]],7,0)</f>
        <v>$218.31</v>
      </c>
      <c r="F632" s="4">
        <f>VLOOKUP(Googleadssales[[#This Row],[Ad_ID]],'[1]pre processed data'!A:I,9,0)</f>
        <v>10</v>
      </c>
      <c r="G632" s="4">
        <f>VLOOKUP(Googleadssales[[#This Row],[Ad_ID]],'[1]pre processed data'!A:K,11,0)</f>
        <v>10</v>
      </c>
      <c r="H632" s="2">
        <f>Googleadssales[[#This Row],[Conversions]]/Googleadssales[[#This Row],[Clicks]]</f>
        <v>6.7114093959731544E-2</v>
      </c>
      <c r="I632" t="str">
        <f>VLOOKUP(Googleadssales[[#This Row],[Ad_ID]],'[1]pre processed data'!A:O,15,0)</f>
        <v>$1623</v>
      </c>
      <c r="J632" s="3">
        <f>VLOOKUP(Googleadssales[[#This Row],[Ad_ID]],'[1]pre processed data'!A:Q,17,0)</f>
        <v>45598</v>
      </c>
      <c r="K632" t="str">
        <f>VLOOKUP(Googleadssales[[#This Row],[Ad_ID]],'[1]pre processed data'!A:R,18,0)</f>
        <v>Chennai</v>
      </c>
      <c r="L632" t="str">
        <f>VLOOKUP(Googleadssales[[#This Row],[Ad_ID]],'[1]pre processed data'!A:S,19,0)</f>
        <v>Mobile</v>
      </c>
      <c r="M632" t="str">
        <f>VLOOKUP(Googleadssales[[#This Row],[Ad_ID]],'[1]pre processed data'!A:T,20,0)</f>
        <v>analytics for data</v>
      </c>
    </row>
    <row r="633" spans="1:13" x14ac:dyDescent="0.3">
      <c r="A633" t="s">
        <v>646</v>
      </c>
      <c r="B633" t="s">
        <v>14</v>
      </c>
      <c r="C633" s="4">
        <f>VLOOKUP(Googleadssales[[#This Row],[Ad_ID]],'[1]pre processed data'!A:C,3,0)</f>
        <v>193</v>
      </c>
      <c r="D633" s="4">
        <f>VLOOKUP(Googleadssales[[#This Row],[Ad_ID]],'[1]pre processed data'!A:E,5,0)</f>
        <v>4287</v>
      </c>
      <c r="E633" s="5" t="str">
        <f>VLOOKUP(Googleadssales[[#This Row],[Ad_ID]],[1]!Table3[[Ad_ID]:[Cost-imputed]],7,0)</f>
        <v>$204.62</v>
      </c>
      <c r="F633" s="4">
        <f>VLOOKUP(Googleadssales[[#This Row],[Ad_ID]],'[1]pre processed data'!A:I,9,0)</f>
        <v>15</v>
      </c>
      <c r="G633" s="4">
        <f>VLOOKUP(Googleadssales[[#This Row],[Ad_ID]],'[1]pre processed data'!A:K,11,0)</f>
        <v>3</v>
      </c>
      <c r="H633" s="2">
        <f>Googleadssales[[#This Row],[Conversions]]/Googleadssales[[#This Row],[Clicks]]</f>
        <v>1.5544041450777202E-2</v>
      </c>
      <c r="I633" t="str">
        <f>VLOOKUP(Googleadssales[[#This Row],[Ad_ID]],'[1]pre processed data'!A:O,15,0)</f>
        <v>$1800</v>
      </c>
      <c r="J633" s="3">
        <f>VLOOKUP(Googleadssales[[#This Row],[Ad_ID]],'[1]pre processed data'!A:Q,17,0)</f>
        <v>45605</v>
      </c>
      <c r="K633" t="str">
        <f>VLOOKUP(Googleadssales[[#This Row],[Ad_ID]],'[1]pre processed data'!A:R,18,0)</f>
        <v>Hyderabad</v>
      </c>
      <c r="L633" t="str">
        <f>VLOOKUP(Googleadssales[[#This Row],[Ad_ID]],'[1]pre processed data'!A:S,19,0)</f>
        <v>Tablet</v>
      </c>
      <c r="M633" t="str">
        <f>VLOOKUP(Googleadssales[[#This Row],[Ad_ID]],'[1]pre processed data'!A:T,20,0)</f>
        <v>data analytics training</v>
      </c>
    </row>
    <row r="634" spans="1:13" x14ac:dyDescent="0.3">
      <c r="A634" t="s">
        <v>647</v>
      </c>
      <c r="B634" t="s">
        <v>14</v>
      </c>
      <c r="C634" s="4">
        <f>VLOOKUP(Googleadssales[[#This Row],[Ad_ID]],'[1]pre processed data'!A:C,3,0)</f>
        <v>138.95699356913184</v>
      </c>
      <c r="D634" s="4">
        <f>VLOOKUP(Googleadssales[[#This Row],[Ad_ID]],'[1]pre processed data'!A:E,5,0)</f>
        <v>3546</v>
      </c>
      <c r="E634" s="5" t="str">
        <f>VLOOKUP(Googleadssales[[#This Row],[Ad_ID]],[1]!Table3[[Ad_ID]:[Cost-imputed]],7,0)</f>
        <v>$183.41</v>
      </c>
      <c r="F634" s="4">
        <f>VLOOKUP(Googleadssales[[#This Row],[Ad_ID]],'[1]pre processed data'!A:I,9,0)</f>
        <v>27</v>
      </c>
      <c r="G634" s="4">
        <f>VLOOKUP(Googleadssales[[#This Row],[Ad_ID]],'[1]pre processed data'!A:K,11,0)</f>
        <v>7</v>
      </c>
      <c r="H634" s="2">
        <f>Googleadssales[[#This Row],[Conversions]]/Googleadssales[[#This Row],[Clicks]]</f>
        <v>5.0375298286210138E-2</v>
      </c>
      <c r="I634" t="str">
        <f>VLOOKUP(Googleadssales[[#This Row],[Ad_ID]],'[1]pre processed data'!A:O,15,0)</f>
        <v>$1701</v>
      </c>
      <c r="J634" s="3">
        <f>VLOOKUP(Googleadssales[[#This Row],[Ad_ID]],'[1]pre processed data'!A:Q,17,0)</f>
        <v>45624</v>
      </c>
      <c r="K634" t="str">
        <f>VLOOKUP(Googleadssales[[#This Row],[Ad_ID]],'[1]pre processed data'!A:R,18,0)</f>
        <v>Bangaluru</v>
      </c>
      <c r="L634" t="str">
        <f>VLOOKUP(Googleadssales[[#This Row],[Ad_ID]],'[1]pre processed data'!A:S,19,0)</f>
        <v>Mobile</v>
      </c>
      <c r="M634" t="str">
        <f>VLOOKUP(Googleadssales[[#This Row],[Ad_ID]],'[1]pre processed data'!A:T,20,0)</f>
        <v>data analytics training</v>
      </c>
    </row>
    <row r="635" spans="1:13" x14ac:dyDescent="0.3">
      <c r="A635" t="s">
        <v>648</v>
      </c>
      <c r="B635" t="s">
        <v>18</v>
      </c>
      <c r="C635" s="4">
        <f>VLOOKUP(Googleadssales[[#This Row],[Ad_ID]],'[1]pre processed data'!A:C,3,0)</f>
        <v>106</v>
      </c>
      <c r="D635" s="4">
        <f>VLOOKUP(Googleadssales[[#This Row],[Ad_ID]],'[1]pre processed data'!A:E,5,0)</f>
        <v>4740</v>
      </c>
      <c r="E635" s="5" t="str">
        <f>VLOOKUP(Googleadssales[[#This Row],[Ad_ID]],[1]!Table3[[Ad_ID]:[Cost-imputed]],7,0)</f>
        <v>$229.13</v>
      </c>
      <c r="F635" s="4">
        <f>VLOOKUP(Googleadssales[[#This Row],[Ad_ID]],'[1]pre processed data'!A:I,9,0)</f>
        <v>19</v>
      </c>
      <c r="G635" s="4">
        <f>VLOOKUP(Googleadssales[[#This Row],[Ad_ID]],'[1]pre processed data'!A:K,11,0)</f>
        <v>3</v>
      </c>
      <c r="H635" s="2">
        <f>Googleadssales[[#This Row],[Conversions]]/Googleadssales[[#This Row],[Clicks]]</f>
        <v>2.8301886792452831E-2</v>
      </c>
      <c r="I635" t="str">
        <f>VLOOKUP(Googleadssales[[#This Row],[Ad_ID]],'[1]pre processed data'!A:O,15,0)</f>
        <v>$1149</v>
      </c>
      <c r="J635" s="3">
        <f>VLOOKUP(Googleadssales[[#This Row],[Ad_ID]],'[1]pre processed data'!A:Q,17,0)</f>
        <v>45607</v>
      </c>
      <c r="K635" t="str">
        <f>VLOOKUP(Googleadssales[[#This Row],[Ad_ID]],'[1]pre processed data'!A:R,18,0)</f>
        <v>Hyderabad</v>
      </c>
      <c r="L635" t="str">
        <f>VLOOKUP(Googleadssales[[#This Row],[Ad_ID]],'[1]pre processed data'!A:S,19,0)</f>
        <v>Desktop</v>
      </c>
      <c r="M635" t="str">
        <f>VLOOKUP(Googleadssales[[#This Row],[Ad_ID]],'[1]pre processed data'!A:T,20,0)</f>
        <v>online data analytic</v>
      </c>
    </row>
    <row r="636" spans="1:13" x14ac:dyDescent="0.3">
      <c r="A636" t="s">
        <v>649</v>
      </c>
      <c r="B636" t="s">
        <v>14</v>
      </c>
      <c r="C636" s="4">
        <f>VLOOKUP(Googleadssales[[#This Row],[Ad_ID]],'[1]pre processed data'!A:C,3,0)</f>
        <v>131</v>
      </c>
      <c r="D636" s="4">
        <f>VLOOKUP(Googleadssales[[#This Row],[Ad_ID]],'[1]pre processed data'!A:E,5,0)</f>
        <v>5642</v>
      </c>
      <c r="E636" s="5" t="str">
        <f>VLOOKUP(Googleadssales[[#This Row],[Ad_ID]],[1]!Table3[[Ad_ID]:[Cost-imputed]],7,0)</f>
        <v>$184.57</v>
      </c>
      <c r="F636" s="4">
        <f>VLOOKUP(Googleadssales[[#This Row],[Ad_ID]],'[1]pre processed data'!A:I,9,0)</f>
        <v>20</v>
      </c>
      <c r="G636" s="4">
        <f>VLOOKUP(Googleadssales[[#This Row],[Ad_ID]],'[1]pre processed data'!A:K,11,0)</f>
        <v>9</v>
      </c>
      <c r="H636" s="2">
        <f>Googleadssales[[#This Row],[Conversions]]/Googleadssales[[#This Row],[Clicks]]</f>
        <v>6.8702290076335881E-2</v>
      </c>
      <c r="I636" t="str">
        <f>VLOOKUP(Googleadssales[[#This Row],[Ad_ID]],'[1]pre processed data'!A:O,15,0)</f>
        <v>$1827</v>
      </c>
      <c r="J636" s="3">
        <f>VLOOKUP(Googleadssales[[#This Row],[Ad_ID]],'[1]pre processed data'!A:Q,17,0)</f>
        <v>45612</v>
      </c>
      <c r="K636" t="str">
        <f>VLOOKUP(Googleadssales[[#This Row],[Ad_ID]],'[1]pre processed data'!A:R,18,0)</f>
        <v>Hyderabad</v>
      </c>
      <c r="L636" t="str">
        <f>VLOOKUP(Googleadssales[[#This Row],[Ad_ID]],'[1]pre processed data'!A:S,19,0)</f>
        <v>Mobile</v>
      </c>
      <c r="M636" t="str">
        <f>VLOOKUP(Googleadssales[[#This Row],[Ad_ID]],'[1]pre processed data'!A:T,20,0)</f>
        <v>data analytics course</v>
      </c>
    </row>
    <row r="637" spans="1:13" x14ac:dyDescent="0.3">
      <c r="A637" t="s">
        <v>650</v>
      </c>
      <c r="B637" t="s">
        <v>18</v>
      </c>
      <c r="C637" s="4">
        <f>VLOOKUP(Googleadssales[[#This Row],[Ad_ID]],'[1]pre processed data'!A:C,3,0)</f>
        <v>111</v>
      </c>
      <c r="D637" s="4">
        <f>VLOOKUP(Googleadssales[[#This Row],[Ad_ID]],'[1]pre processed data'!A:E,5,0)</f>
        <v>4161</v>
      </c>
      <c r="E637" s="5" t="str">
        <f>VLOOKUP(Googleadssales[[#This Row],[Ad_ID]],[1]!Table3[[Ad_ID]:[Cost-imputed]],7,0)</f>
        <v>$185.58</v>
      </c>
      <c r="F637" s="4">
        <f>VLOOKUP(Googleadssales[[#This Row],[Ad_ID]],'[1]pre processed data'!A:I,9,0)</f>
        <v>10</v>
      </c>
      <c r="G637" s="4">
        <f>VLOOKUP(Googleadssales[[#This Row],[Ad_ID]],'[1]pre processed data'!A:K,11,0)</f>
        <v>7</v>
      </c>
      <c r="H637" s="2">
        <f>Googleadssales[[#This Row],[Conversions]]/Googleadssales[[#This Row],[Clicks]]</f>
        <v>6.3063063063063057E-2</v>
      </c>
      <c r="I637" t="str">
        <f>VLOOKUP(Googleadssales[[#This Row],[Ad_ID]],'[1]pre processed data'!A:O,15,0)</f>
        <v>$1434</v>
      </c>
      <c r="J637" s="3">
        <f>VLOOKUP(Googleadssales[[#This Row],[Ad_ID]],'[1]pre processed data'!A:Q,17,0)</f>
        <v>45600</v>
      </c>
      <c r="K637" t="str">
        <f>VLOOKUP(Googleadssales[[#This Row],[Ad_ID]],'[1]pre processed data'!A:R,18,0)</f>
        <v>Hyderabad</v>
      </c>
      <c r="L637" t="str">
        <f>VLOOKUP(Googleadssales[[#This Row],[Ad_ID]],'[1]pre processed data'!A:S,19,0)</f>
        <v>Desktop</v>
      </c>
      <c r="M637" t="str">
        <f>VLOOKUP(Googleadssales[[#This Row],[Ad_ID]],'[1]pre processed data'!A:T,20,0)</f>
        <v>data analytics training</v>
      </c>
    </row>
    <row r="638" spans="1:13" x14ac:dyDescent="0.3">
      <c r="A638" t="s">
        <v>651</v>
      </c>
      <c r="B638" t="s">
        <v>18</v>
      </c>
      <c r="C638" s="4">
        <f>VLOOKUP(Googleadssales[[#This Row],[Ad_ID]],'[1]pre processed data'!A:C,3,0)</f>
        <v>144</v>
      </c>
      <c r="D638" s="4">
        <f>VLOOKUP(Googleadssales[[#This Row],[Ad_ID]],'[1]pre processed data'!A:E,5,0)</f>
        <v>4241</v>
      </c>
      <c r="E638" s="5" t="str">
        <f>VLOOKUP(Googleadssales[[#This Row],[Ad_ID]],[1]!Table3[[Ad_ID]:[Cost-imputed]],7,0)</f>
        <v>$181.4</v>
      </c>
      <c r="F638" s="4">
        <f>VLOOKUP(Googleadssales[[#This Row],[Ad_ID]],'[1]pre processed data'!A:I,9,0)</f>
        <v>24</v>
      </c>
      <c r="G638" s="4">
        <f>VLOOKUP(Googleadssales[[#This Row],[Ad_ID]],'[1]pre processed data'!A:K,11,0)</f>
        <v>5</v>
      </c>
      <c r="H638" s="2">
        <f>Googleadssales[[#This Row],[Conversions]]/Googleadssales[[#This Row],[Clicks]]</f>
        <v>3.4722222222222224E-2</v>
      </c>
      <c r="I638" t="str">
        <f>VLOOKUP(Googleadssales[[#This Row],[Ad_ID]],'[1]pre processed data'!A:O,15,0)</f>
        <v>$1693</v>
      </c>
      <c r="J638" s="3">
        <f>VLOOKUP(Googleadssales[[#This Row],[Ad_ID]],'[1]pre processed data'!A:Q,17,0)</f>
        <v>45615</v>
      </c>
      <c r="K638" t="str">
        <f>VLOOKUP(Googleadssales[[#This Row],[Ad_ID]],'[1]pre processed data'!A:R,18,0)</f>
        <v>Bangaluru</v>
      </c>
      <c r="L638" t="str">
        <f>VLOOKUP(Googleadssales[[#This Row],[Ad_ID]],'[1]pre processed data'!A:S,19,0)</f>
        <v>Mobile</v>
      </c>
      <c r="M638" t="str">
        <f>VLOOKUP(Googleadssales[[#This Row],[Ad_ID]],'[1]pre processed data'!A:T,20,0)</f>
        <v>online data analytic</v>
      </c>
    </row>
    <row r="639" spans="1:13" x14ac:dyDescent="0.3">
      <c r="A639" t="s">
        <v>652</v>
      </c>
      <c r="B639" t="s">
        <v>14</v>
      </c>
      <c r="C639" s="4">
        <f>VLOOKUP(Googleadssales[[#This Row],[Ad_ID]],'[1]pre processed data'!A:C,3,0)</f>
        <v>151</v>
      </c>
      <c r="D639" s="4">
        <f>VLOOKUP(Googleadssales[[#This Row],[Ad_ID]],'[1]pre processed data'!A:E,5,0)</f>
        <v>5875</v>
      </c>
      <c r="E639" s="5" t="str">
        <f>VLOOKUP(Googleadssales[[#This Row],[Ad_ID]],[1]!Table3[[Ad_ID]:[Cost-imputed]],7,0)</f>
        <v>$192.46</v>
      </c>
      <c r="F639" s="4">
        <f>VLOOKUP(Googleadssales[[#This Row],[Ad_ID]],'[1]pre processed data'!A:I,9,0)</f>
        <v>28</v>
      </c>
      <c r="G639" s="4">
        <f>VLOOKUP(Googleadssales[[#This Row],[Ad_ID]],'[1]pre processed data'!A:K,11,0)</f>
        <v>6.5176223040504997</v>
      </c>
      <c r="H639" s="2">
        <f>Googleadssales[[#This Row],[Conversions]]/Googleadssales[[#This Row],[Clicks]]</f>
        <v>4.3163061616228474E-2</v>
      </c>
      <c r="I639" t="str">
        <f>VLOOKUP(Googleadssales[[#This Row],[Ad_ID]],'[1]pre processed data'!A:O,15,0)</f>
        <v>$1459</v>
      </c>
      <c r="J639" s="3">
        <f>VLOOKUP(Googleadssales[[#This Row],[Ad_ID]],'[1]pre processed data'!A:Q,17,0)</f>
        <v>45614</v>
      </c>
      <c r="K639" t="str">
        <f>VLOOKUP(Googleadssales[[#This Row],[Ad_ID]],'[1]pre processed data'!A:R,18,0)</f>
        <v>Hyderabad</v>
      </c>
      <c r="L639" t="str">
        <f>VLOOKUP(Googleadssales[[#This Row],[Ad_ID]],'[1]pre processed data'!A:S,19,0)</f>
        <v>Mobile</v>
      </c>
      <c r="M639" t="str">
        <f>VLOOKUP(Googleadssales[[#This Row],[Ad_ID]],'[1]pre processed data'!A:T,20,0)</f>
        <v>data analytics online</v>
      </c>
    </row>
    <row r="640" spans="1:13" x14ac:dyDescent="0.3">
      <c r="A640" t="s">
        <v>653</v>
      </c>
      <c r="B640" t="s">
        <v>14</v>
      </c>
      <c r="C640" s="4">
        <f>VLOOKUP(Googleadssales[[#This Row],[Ad_ID]],'[1]pre processed data'!A:C,3,0)</f>
        <v>146</v>
      </c>
      <c r="D640" s="4">
        <f>VLOOKUP(Googleadssales[[#This Row],[Ad_ID]],'[1]pre processed data'!A:E,5,0)</f>
        <v>5457</v>
      </c>
      <c r="E640" s="5" t="str">
        <f>VLOOKUP(Googleadssales[[#This Row],[Ad_ID]],[1]!Table3[[Ad_ID]:[Cost-imputed]],7,0)</f>
        <v>$200.00</v>
      </c>
      <c r="F640" s="4">
        <f>VLOOKUP(Googleadssales[[#This Row],[Ad_ID]],'[1]pre processed data'!A:I,9,0)</f>
        <v>15</v>
      </c>
      <c r="G640" s="4">
        <f>VLOOKUP(Googleadssales[[#This Row],[Ad_ID]],'[1]pre processed data'!A:K,11,0)</f>
        <v>5</v>
      </c>
      <c r="H640" s="2">
        <f>Googleadssales[[#This Row],[Conversions]]/Googleadssales[[#This Row],[Clicks]]</f>
        <v>3.4246575342465752E-2</v>
      </c>
      <c r="I640" t="str">
        <f>VLOOKUP(Googleadssales[[#This Row],[Ad_ID]],'[1]pre processed data'!A:O,15,0)</f>
        <v>$1029</v>
      </c>
      <c r="J640" s="3">
        <f>VLOOKUP(Googleadssales[[#This Row],[Ad_ID]],'[1]pre processed data'!A:Q,17,0)</f>
        <v>45598</v>
      </c>
      <c r="K640" t="str">
        <f>VLOOKUP(Googleadssales[[#This Row],[Ad_ID]],'[1]pre processed data'!A:R,18,0)</f>
        <v>Chennai</v>
      </c>
      <c r="L640" t="str">
        <f>VLOOKUP(Googleadssales[[#This Row],[Ad_ID]],'[1]pre processed data'!A:S,19,0)</f>
        <v>Desktop</v>
      </c>
      <c r="M640" t="str">
        <f>VLOOKUP(Googleadssales[[#This Row],[Ad_ID]],'[1]pre processed data'!A:T,20,0)</f>
        <v>data analytics course</v>
      </c>
    </row>
    <row r="641" spans="1:13" x14ac:dyDescent="0.3">
      <c r="A641" t="s">
        <v>654</v>
      </c>
      <c r="B641" t="s">
        <v>14</v>
      </c>
      <c r="C641" s="4">
        <f>VLOOKUP(Googleadssales[[#This Row],[Ad_ID]],'[1]pre processed data'!A:C,3,0)</f>
        <v>133</v>
      </c>
      <c r="D641" s="4">
        <f>VLOOKUP(Googleadssales[[#This Row],[Ad_ID]],'[1]pre processed data'!A:E,5,0)</f>
        <v>4780</v>
      </c>
      <c r="E641" s="5" t="str">
        <f>VLOOKUP(Googleadssales[[#This Row],[Ad_ID]],[1]!Table3[[Ad_ID]:[Cost-imputed]],7,0)</f>
        <v>$198.66</v>
      </c>
      <c r="F641" s="4">
        <f>VLOOKUP(Googleadssales[[#This Row],[Ad_ID]],'[1]pre processed data'!A:I,9,0)</f>
        <v>22</v>
      </c>
      <c r="G641" s="4">
        <f>VLOOKUP(Googleadssales[[#This Row],[Ad_ID]],'[1]pre processed data'!A:K,11,0)</f>
        <v>4</v>
      </c>
      <c r="H641" s="2">
        <f>Googleadssales[[#This Row],[Conversions]]/Googleadssales[[#This Row],[Clicks]]</f>
        <v>3.007518796992481E-2</v>
      </c>
      <c r="I641" t="str">
        <f>VLOOKUP(Googleadssales[[#This Row],[Ad_ID]],'[1]pre processed data'!A:O,15,0)</f>
        <v>$1905</v>
      </c>
      <c r="J641" s="3">
        <f>VLOOKUP(Googleadssales[[#This Row],[Ad_ID]],'[1]pre processed data'!A:Q,17,0)</f>
        <v>45605</v>
      </c>
      <c r="K641" t="str">
        <f>VLOOKUP(Googleadssales[[#This Row],[Ad_ID]],'[1]pre processed data'!A:R,18,0)</f>
        <v>Bangaluru</v>
      </c>
      <c r="L641" t="str">
        <f>VLOOKUP(Googleadssales[[#This Row],[Ad_ID]],'[1]pre processed data'!A:S,19,0)</f>
        <v>Tablet</v>
      </c>
      <c r="M641" t="str">
        <f>VLOOKUP(Googleadssales[[#This Row],[Ad_ID]],'[1]pre processed data'!A:T,20,0)</f>
        <v>online data analytic</v>
      </c>
    </row>
    <row r="642" spans="1:13" x14ac:dyDescent="0.3">
      <c r="A642" t="s">
        <v>655</v>
      </c>
      <c r="B642" t="s">
        <v>14</v>
      </c>
      <c r="C642" s="4">
        <f>VLOOKUP(Googleadssales[[#This Row],[Ad_ID]],'[1]pre processed data'!A:C,3,0)</f>
        <v>138.95699356913184</v>
      </c>
      <c r="D642" s="4">
        <f>VLOOKUP(Googleadssales[[#This Row],[Ad_ID]],'[1]pre processed data'!A:E,5,0)</f>
        <v>5922</v>
      </c>
      <c r="E642" s="5" t="str">
        <f>VLOOKUP(Googleadssales[[#This Row],[Ad_ID]],[1]!Table3[[Ad_ID]:[Cost-imputed]],7,0)</f>
        <v>$239.1</v>
      </c>
      <c r="F642" s="4">
        <f>VLOOKUP(Googleadssales[[#This Row],[Ad_ID]],'[1]pre processed data'!A:I,9,0)</f>
        <v>12</v>
      </c>
      <c r="G642" s="4">
        <f>VLOOKUP(Googleadssales[[#This Row],[Ad_ID]],'[1]pre processed data'!A:K,11,0)</f>
        <v>3</v>
      </c>
      <c r="H642" s="2">
        <f>Googleadssales[[#This Row],[Conversions]]/Googleadssales[[#This Row],[Clicks]]</f>
        <v>2.1589413551232915E-2</v>
      </c>
      <c r="I642" t="str">
        <f>VLOOKUP(Googleadssales[[#This Row],[Ad_ID]],'[1]pre processed data'!A:O,15,0)</f>
        <v>$1733</v>
      </c>
      <c r="J642" s="3">
        <f>VLOOKUP(Googleadssales[[#This Row],[Ad_ID]],'[1]pre processed data'!A:Q,17,0)</f>
        <v>45602</v>
      </c>
      <c r="K642" t="str">
        <f>VLOOKUP(Googleadssales[[#This Row],[Ad_ID]],'[1]pre processed data'!A:R,18,0)</f>
        <v>Hyderabad</v>
      </c>
      <c r="L642" t="str">
        <f>VLOOKUP(Googleadssales[[#This Row],[Ad_ID]],'[1]pre processed data'!A:S,19,0)</f>
        <v>Desktop</v>
      </c>
      <c r="M642" t="str">
        <f>VLOOKUP(Googleadssales[[#This Row],[Ad_ID]],'[1]pre processed data'!A:T,20,0)</f>
        <v>data analytics course</v>
      </c>
    </row>
    <row r="643" spans="1:13" x14ac:dyDescent="0.3">
      <c r="A643" t="s">
        <v>656</v>
      </c>
      <c r="B643" t="s">
        <v>18</v>
      </c>
      <c r="C643" s="4">
        <f>VLOOKUP(Googleadssales[[#This Row],[Ad_ID]],'[1]pre processed data'!A:C,3,0)</f>
        <v>82</v>
      </c>
      <c r="D643" s="4">
        <f>VLOOKUP(Googleadssales[[#This Row],[Ad_ID]],'[1]pre processed data'!A:E,5,0)</f>
        <v>3454</v>
      </c>
      <c r="E643" s="5" t="str">
        <f>VLOOKUP(Googleadssales[[#This Row],[Ad_ID]],[1]!Table3[[Ad_ID]:[Cost-imputed]],7,0)</f>
        <v>$228.02</v>
      </c>
      <c r="F643" s="4">
        <f>VLOOKUP(Googleadssales[[#This Row],[Ad_ID]],'[1]pre processed data'!A:I,9,0)</f>
        <v>30</v>
      </c>
      <c r="G643" s="4">
        <f>VLOOKUP(Googleadssales[[#This Row],[Ad_ID]],'[1]pre processed data'!A:K,11,0)</f>
        <v>7</v>
      </c>
      <c r="H643" s="2">
        <f>Googleadssales[[#This Row],[Conversions]]/Googleadssales[[#This Row],[Clicks]]</f>
        <v>8.5365853658536592E-2</v>
      </c>
      <c r="I643" t="str">
        <f>VLOOKUP(Googleadssales[[#This Row],[Ad_ID]],'[1]pre processed data'!A:O,15,0)</f>
        <v>$1463</v>
      </c>
      <c r="J643" s="3">
        <f>VLOOKUP(Googleadssales[[#This Row],[Ad_ID]],'[1]pre processed data'!A:Q,17,0)</f>
        <v>45605</v>
      </c>
      <c r="K643" t="str">
        <f>VLOOKUP(Googleadssales[[#This Row],[Ad_ID]],'[1]pre processed data'!A:R,18,0)</f>
        <v>Hyderabad</v>
      </c>
      <c r="L643" t="str">
        <f>VLOOKUP(Googleadssales[[#This Row],[Ad_ID]],'[1]pre processed data'!A:S,19,0)</f>
        <v>Desktop</v>
      </c>
      <c r="M643" t="str">
        <f>VLOOKUP(Googleadssales[[#This Row],[Ad_ID]],'[1]pre processed data'!A:T,20,0)</f>
        <v>learn data analytics</v>
      </c>
    </row>
    <row r="644" spans="1:13" x14ac:dyDescent="0.3">
      <c r="A644" t="s">
        <v>657</v>
      </c>
      <c r="B644" t="s">
        <v>18</v>
      </c>
      <c r="C644" s="4">
        <f>VLOOKUP(Googleadssales[[#This Row],[Ad_ID]],'[1]pre processed data'!A:C,3,0)</f>
        <v>135</v>
      </c>
      <c r="D644" s="4">
        <f>VLOOKUP(Googleadssales[[#This Row],[Ad_ID]],'[1]pre processed data'!A:E,5,0)</f>
        <v>3449</v>
      </c>
      <c r="E644" s="5" t="str">
        <f>VLOOKUP(Googleadssales[[#This Row],[Ad_ID]],[1]!Table3[[Ad_ID]:[Cost-imputed]],7,0)</f>
        <v>$200.06</v>
      </c>
      <c r="F644" s="4">
        <f>VLOOKUP(Googleadssales[[#This Row],[Ad_ID]],'[1]pre processed data'!A:I,9,0)</f>
        <v>17</v>
      </c>
      <c r="G644" s="4">
        <f>VLOOKUP(Googleadssales[[#This Row],[Ad_ID]],'[1]pre processed data'!A:K,11,0)</f>
        <v>5</v>
      </c>
      <c r="H644" s="2">
        <f>Googleadssales[[#This Row],[Conversions]]/Googleadssales[[#This Row],[Clicks]]</f>
        <v>3.7037037037037035E-2</v>
      </c>
      <c r="I644" t="str">
        <f>VLOOKUP(Googleadssales[[#This Row],[Ad_ID]],'[1]pre processed data'!A:O,15,0)</f>
        <v>$1950</v>
      </c>
      <c r="J644" s="3">
        <f>VLOOKUP(Googleadssales[[#This Row],[Ad_ID]],'[1]pre processed data'!A:Q,17,0)</f>
        <v>45603</v>
      </c>
      <c r="K644" t="str">
        <f>VLOOKUP(Googleadssales[[#This Row],[Ad_ID]],'[1]pre processed data'!A:R,18,0)</f>
        <v>Bangaluru</v>
      </c>
      <c r="L644" t="str">
        <f>VLOOKUP(Googleadssales[[#This Row],[Ad_ID]],'[1]pre processed data'!A:S,19,0)</f>
        <v>Mobile</v>
      </c>
      <c r="M644" t="str">
        <f>VLOOKUP(Googleadssales[[#This Row],[Ad_ID]],'[1]pre processed data'!A:T,20,0)</f>
        <v>data analytics course</v>
      </c>
    </row>
    <row r="645" spans="1:13" x14ac:dyDescent="0.3">
      <c r="A645" t="s">
        <v>658</v>
      </c>
      <c r="B645" t="s">
        <v>18</v>
      </c>
      <c r="C645" s="4">
        <f>VLOOKUP(Googleadssales[[#This Row],[Ad_ID]],'[1]pre processed data'!A:C,3,0)</f>
        <v>199</v>
      </c>
      <c r="D645" s="4">
        <f>VLOOKUP(Googleadssales[[#This Row],[Ad_ID]],'[1]pre processed data'!A:E,5,0)</f>
        <v>4287</v>
      </c>
      <c r="E645" s="5" t="str">
        <f>VLOOKUP(Googleadssales[[#This Row],[Ad_ID]],[1]!Table3[[Ad_ID]:[Cost-imputed]],7,0)</f>
        <v>$235.58</v>
      </c>
      <c r="F645" s="4">
        <f>VLOOKUP(Googleadssales[[#This Row],[Ad_ID]],'[1]pre processed data'!A:I,9,0)</f>
        <v>12</v>
      </c>
      <c r="G645" s="4">
        <f>VLOOKUP(Googleadssales[[#This Row],[Ad_ID]],'[1]pre processed data'!A:K,11,0)</f>
        <v>10</v>
      </c>
      <c r="H645" s="2">
        <f>Googleadssales[[#This Row],[Conversions]]/Googleadssales[[#This Row],[Clicks]]</f>
        <v>5.0251256281407038E-2</v>
      </c>
      <c r="I645" t="str">
        <f>VLOOKUP(Googleadssales[[#This Row],[Ad_ID]],'[1]pre processed data'!A:O,15,0)</f>
        <v>$1276</v>
      </c>
      <c r="J645" s="3">
        <f>VLOOKUP(Googleadssales[[#This Row],[Ad_ID]],'[1]pre processed data'!A:Q,17,0)</f>
        <v>45606</v>
      </c>
      <c r="K645" t="str">
        <f>VLOOKUP(Googleadssales[[#This Row],[Ad_ID]],'[1]pre processed data'!A:R,18,0)</f>
        <v>Bangaluru</v>
      </c>
      <c r="L645" t="str">
        <f>VLOOKUP(Googleadssales[[#This Row],[Ad_ID]],'[1]pre processed data'!A:S,19,0)</f>
        <v>Tablet</v>
      </c>
      <c r="M645" t="str">
        <f>VLOOKUP(Googleadssales[[#This Row],[Ad_ID]],'[1]pre processed data'!A:T,20,0)</f>
        <v>data analytics course</v>
      </c>
    </row>
    <row r="646" spans="1:13" x14ac:dyDescent="0.3">
      <c r="A646" t="s">
        <v>659</v>
      </c>
      <c r="B646" t="s">
        <v>14</v>
      </c>
      <c r="C646" s="4">
        <f>VLOOKUP(Googleadssales[[#This Row],[Ad_ID]],'[1]pre processed data'!A:C,3,0)</f>
        <v>123</v>
      </c>
      <c r="D646" s="4">
        <f>VLOOKUP(Googleadssales[[#This Row],[Ad_ID]],'[1]pre processed data'!A:E,5,0)</f>
        <v>5000</v>
      </c>
      <c r="E646" s="5" t="str">
        <f>VLOOKUP(Googleadssales[[#This Row],[Ad_ID]],[1]!Table3[[Ad_ID]:[Cost-imputed]],7,0)</f>
        <v>$187.67</v>
      </c>
      <c r="F646" s="4">
        <f>VLOOKUP(Googleadssales[[#This Row],[Ad_ID]],'[1]pre processed data'!A:I,9,0)</f>
        <v>25</v>
      </c>
      <c r="G646" s="4">
        <f>VLOOKUP(Googleadssales[[#This Row],[Ad_ID]],'[1]pre processed data'!A:K,11,0)</f>
        <v>3</v>
      </c>
      <c r="H646" s="2">
        <f>Googleadssales[[#This Row],[Conversions]]/Googleadssales[[#This Row],[Clicks]]</f>
        <v>2.4390243902439025E-2</v>
      </c>
      <c r="I646" t="str">
        <f>VLOOKUP(Googleadssales[[#This Row],[Ad_ID]],'[1]pre processed data'!A:O,15,0)</f>
        <v>$1351</v>
      </c>
      <c r="J646" s="3">
        <f>VLOOKUP(Googleadssales[[#This Row],[Ad_ID]],'[1]pre processed data'!A:Q,17,0)</f>
        <v>45603</v>
      </c>
      <c r="K646" t="str">
        <f>VLOOKUP(Googleadssales[[#This Row],[Ad_ID]],'[1]pre processed data'!A:R,18,0)</f>
        <v>Hyderabad</v>
      </c>
      <c r="L646" t="str">
        <f>VLOOKUP(Googleadssales[[#This Row],[Ad_ID]],'[1]pre processed data'!A:S,19,0)</f>
        <v>Tablet</v>
      </c>
      <c r="M646" t="str">
        <f>VLOOKUP(Googleadssales[[#This Row],[Ad_ID]],'[1]pre processed data'!A:T,20,0)</f>
        <v>data analytics online</v>
      </c>
    </row>
    <row r="647" spans="1:13" x14ac:dyDescent="0.3">
      <c r="A647" t="s">
        <v>660</v>
      </c>
      <c r="B647" t="s">
        <v>14</v>
      </c>
      <c r="C647" s="4">
        <f>VLOOKUP(Googleadssales[[#This Row],[Ad_ID]],'[1]pre processed data'!A:C,3,0)</f>
        <v>154</v>
      </c>
      <c r="D647" s="4">
        <f>VLOOKUP(Googleadssales[[#This Row],[Ad_ID]],'[1]pre processed data'!A:E,5,0)</f>
        <v>3437</v>
      </c>
      <c r="E647" s="5" t="str">
        <f>VLOOKUP(Googleadssales[[#This Row],[Ad_ID]],[1]!Table3[[Ad_ID]:[Cost-imputed]],7,0)</f>
        <v>$211.63</v>
      </c>
      <c r="F647" s="4">
        <f>VLOOKUP(Googleadssales[[#This Row],[Ad_ID]],'[1]pre processed data'!A:I,9,0)</f>
        <v>28</v>
      </c>
      <c r="G647" s="4">
        <f>VLOOKUP(Googleadssales[[#This Row],[Ad_ID]],'[1]pre processed data'!A:K,11,0)</f>
        <v>4</v>
      </c>
      <c r="H647" s="2">
        <f>Googleadssales[[#This Row],[Conversions]]/Googleadssales[[#This Row],[Clicks]]</f>
        <v>2.5974025974025976E-2</v>
      </c>
      <c r="I647" t="str">
        <f>VLOOKUP(Googleadssales[[#This Row],[Ad_ID]],'[1]pre processed data'!A:O,15,0)</f>
        <v>$1604</v>
      </c>
      <c r="J647" s="3">
        <f>VLOOKUP(Googleadssales[[#This Row],[Ad_ID]],'[1]pre processed data'!A:Q,17,0)</f>
        <v>45610</v>
      </c>
      <c r="K647" t="str">
        <f>VLOOKUP(Googleadssales[[#This Row],[Ad_ID]],'[1]pre processed data'!A:R,18,0)</f>
        <v>Bangaluru</v>
      </c>
      <c r="L647" t="str">
        <f>VLOOKUP(Googleadssales[[#This Row],[Ad_ID]],'[1]pre processed data'!A:S,19,0)</f>
        <v>Tablet</v>
      </c>
      <c r="M647" t="str">
        <f>VLOOKUP(Googleadssales[[#This Row],[Ad_ID]],'[1]pre processed data'!A:T,20,0)</f>
        <v>data analytics training</v>
      </c>
    </row>
    <row r="648" spans="1:13" x14ac:dyDescent="0.3">
      <c r="A648" t="s">
        <v>661</v>
      </c>
      <c r="B648" t="s">
        <v>14</v>
      </c>
      <c r="C648" s="4">
        <f>VLOOKUP(Googleadssales[[#This Row],[Ad_ID]],'[1]pre processed data'!A:C,3,0)</f>
        <v>88</v>
      </c>
      <c r="D648" s="4">
        <f>VLOOKUP(Googleadssales[[#This Row],[Ad_ID]],'[1]pre processed data'!A:E,5,0)</f>
        <v>3475</v>
      </c>
      <c r="E648" s="5" t="str">
        <f>VLOOKUP(Googleadssales[[#This Row],[Ad_ID]],[1]!Table3[[Ad_ID]:[Cost-imputed]],7,0)</f>
        <v>$191.96</v>
      </c>
      <c r="F648" s="4">
        <f>VLOOKUP(Googleadssales[[#This Row],[Ad_ID]],'[1]pre processed data'!A:I,9,0)</f>
        <v>12</v>
      </c>
      <c r="G648" s="4">
        <f>VLOOKUP(Googleadssales[[#This Row],[Ad_ID]],'[1]pre processed data'!A:K,11,0)</f>
        <v>7</v>
      </c>
      <c r="H648" s="2">
        <f>Googleadssales[[#This Row],[Conversions]]/Googleadssales[[#This Row],[Clicks]]</f>
        <v>7.9545454545454544E-2</v>
      </c>
      <c r="I648" t="str">
        <f>VLOOKUP(Googleadssales[[#This Row],[Ad_ID]],'[1]pre processed data'!A:O,15,0)</f>
        <v>$1204</v>
      </c>
      <c r="J648" s="3">
        <f>VLOOKUP(Googleadssales[[#This Row],[Ad_ID]],'[1]pre processed data'!A:Q,17,0)</f>
        <v>45621</v>
      </c>
      <c r="K648" t="str">
        <f>VLOOKUP(Googleadssales[[#This Row],[Ad_ID]],'[1]pre processed data'!A:R,18,0)</f>
        <v>Hyderabad</v>
      </c>
      <c r="L648" t="str">
        <f>VLOOKUP(Googleadssales[[#This Row],[Ad_ID]],'[1]pre processed data'!A:S,19,0)</f>
        <v>Desktop</v>
      </c>
      <c r="M648" t="str">
        <f>VLOOKUP(Googleadssales[[#This Row],[Ad_ID]],'[1]pre processed data'!A:T,20,0)</f>
        <v>online data analytic</v>
      </c>
    </row>
    <row r="649" spans="1:13" x14ac:dyDescent="0.3">
      <c r="A649" t="s">
        <v>662</v>
      </c>
      <c r="B649" t="s">
        <v>14</v>
      </c>
      <c r="C649" s="4">
        <f>VLOOKUP(Googleadssales[[#This Row],[Ad_ID]],'[1]pre processed data'!A:C,3,0)</f>
        <v>165</v>
      </c>
      <c r="D649" s="4">
        <f>VLOOKUP(Googleadssales[[#This Row],[Ad_ID]],'[1]pre processed data'!A:E,5,0)</f>
        <v>4889</v>
      </c>
      <c r="E649" s="5" t="str">
        <f>VLOOKUP(Googleadssales[[#This Row],[Ad_ID]],[1]!Table3[[Ad_ID]:[Cost-imputed]],7,0)</f>
        <v>$180.19</v>
      </c>
      <c r="F649" s="4">
        <f>VLOOKUP(Googleadssales[[#This Row],[Ad_ID]],'[1]pre processed data'!A:I,9,0)</f>
        <v>21</v>
      </c>
      <c r="G649" s="4">
        <f>VLOOKUP(Googleadssales[[#This Row],[Ad_ID]],'[1]pre processed data'!A:K,11,0)</f>
        <v>4</v>
      </c>
      <c r="H649" s="2">
        <f>Googleadssales[[#This Row],[Conversions]]/Googleadssales[[#This Row],[Clicks]]</f>
        <v>2.4242424242424242E-2</v>
      </c>
      <c r="I649" t="str">
        <f>VLOOKUP(Googleadssales[[#This Row],[Ad_ID]],'[1]pre processed data'!A:O,15,0)</f>
        <v>$1458</v>
      </c>
      <c r="J649" s="3">
        <f>VLOOKUP(Googleadssales[[#This Row],[Ad_ID]],'[1]pre processed data'!A:Q,17,0)</f>
        <v>45615</v>
      </c>
      <c r="K649" t="str">
        <f>VLOOKUP(Googleadssales[[#This Row],[Ad_ID]],'[1]pre processed data'!A:R,18,0)</f>
        <v>Bangaluru</v>
      </c>
      <c r="L649" t="str">
        <f>VLOOKUP(Googleadssales[[#This Row],[Ad_ID]],'[1]pre processed data'!A:S,19,0)</f>
        <v>Mobile</v>
      </c>
      <c r="M649" t="str">
        <f>VLOOKUP(Googleadssales[[#This Row],[Ad_ID]],'[1]pre processed data'!A:T,20,0)</f>
        <v>analytics for data</v>
      </c>
    </row>
    <row r="650" spans="1:13" x14ac:dyDescent="0.3">
      <c r="A650" t="s">
        <v>663</v>
      </c>
      <c r="B650" t="s">
        <v>14</v>
      </c>
      <c r="C650" s="4">
        <f>VLOOKUP(Googleadssales[[#This Row],[Ad_ID]],'[1]pre processed data'!A:C,3,0)</f>
        <v>87</v>
      </c>
      <c r="D650" s="4">
        <f>VLOOKUP(Googleadssales[[#This Row],[Ad_ID]],'[1]pre processed data'!A:E,5,0)</f>
        <v>3639</v>
      </c>
      <c r="E650" s="5" t="str">
        <f>VLOOKUP(Googleadssales[[#This Row],[Ad_ID]],[1]!Table3[[Ad_ID]:[Cost-imputed]],7,0)</f>
        <v>$220.76</v>
      </c>
      <c r="F650" s="4">
        <f>VLOOKUP(Googleadssales[[#This Row],[Ad_ID]],'[1]pre processed data'!A:I,9,0)</f>
        <v>22</v>
      </c>
      <c r="G650" s="4">
        <f>VLOOKUP(Googleadssales[[#This Row],[Ad_ID]],'[1]pre processed data'!A:K,11,0)</f>
        <v>3</v>
      </c>
      <c r="H650" s="2">
        <f>Googleadssales[[#This Row],[Conversions]]/Googleadssales[[#This Row],[Clicks]]</f>
        <v>3.4482758620689655E-2</v>
      </c>
      <c r="I650" t="str">
        <f>VLOOKUP(Googleadssales[[#This Row],[Ad_ID]],'[1]pre processed data'!A:O,15,0)</f>
        <v>$1231</v>
      </c>
      <c r="J650" s="3">
        <f>VLOOKUP(Googleadssales[[#This Row],[Ad_ID]],'[1]pre processed data'!A:Q,17,0)</f>
        <v>45610</v>
      </c>
      <c r="K650" t="str">
        <f>VLOOKUP(Googleadssales[[#This Row],[Ad_ID]],'[1]pre processed data'!A:R,18,0)</f>
        <v>Hyderabad</v>
      </c>
      <c r="L650" t="str">
        <f>VLOOKUP(Googleadssales[[#This Row],[Ad_ID]],'[1]pre processed data'!A:S,19,0)</f>
        <v>Mobile</v>
      </c>
      <c r="M650" t="str">
        <f>VLOOKUP(Googleadssales[[#This Row],[Ad_ID]],'[1]pre processed data'!A:T,20,0)</f>
        <v>analytics for data</v>
      </c>
    </row>
    <row r="651" spans="1:13" x14ac:dyDescent="0.3">
      <c r="A651" t="s">
        <v>664</v>
      </c>
      <c r="B651" t="s">
        <v>14</v>
      </c>
      <c r="C651" s="4">
        <f>VLOOKUP(Googleadssales[[#This Row],[Ad_ID]],'[1]pre processed data'!A:C,3,0)</f>
        <v>147</v>
      </c>
      <c r="D651" s="4">
        <f>VLOOKUP(Googleadssales[[#This Row],[Ad_ID]],'[1]pre processed data'!A:E,5,0)</f>
        <v>3959</v>
      </c>
      <c r="E651" s="5" t="str">
        <f>VLOOKUP(Googleadssales[[#This Row],[Ad_ID]],[1]!Table3[[Ad_ID]:[Cost-imputed]],7,0)</f>
        <v>$181.18</v>
      </c>
      <c r="F651" s="4">
        <f>VLOOKUP(Googleadssales[[#This Row],[Ad_ID]],'[1]pre processed data'!A:I,9,0)</f>
        <v>27</v>
      </c>
      <c r="G651" s="4">
        <f>VLOOKUP(Googleadssales[[#This Row],[Ad_ID]],'[1]pre processed data'!A:K,11,0)</f>
        <v>9</v>
      </c>
      <c r="H651" s="2">
        <f>Googleadssales[[#This Row],[Conversions]]/Googleadssales[[#This Row],[Clicks]]</f>
        <v>6.1224489795918366E-2</v>
      </c>
      <c r="I651" t="str">
        <f>VLOOKUP(Googleadssales[[#This Row],[Ad_ID]],'[1]pre processed data'!A:O,15,0)</f>
        <v>$1627</v>
      </c>
      <c r="J651" s="3">
        <f>VLOOKUP(Googleadssales[[#This Row],[Ad_ID]],'[1]pre processed data'!A:Q,17,0)</f>
        <v>45622</v>
      </c>
      <c r="K651" t="str">
        <f>VLOOKUP(Googleadssales[[#This Row],[Ad_ID]],'[1]pre processed data'!A:R,18,0)</f>
        <v>Chennai</v>
      </c>
      <c r="L651" t="str">
        <f>VLOOKUP(Googleadssales[[#This Row],[Ad_ID]],'[1]pre processed data'!A:S,19,0)</f>
        <v>Mobile</v>
      </c>
      <c r="M651" t="str">
        <f>VLOOKUP(Googleadssales[[#This Row],[Ad_ID]],'[1]pre processed data'!A:T,20,0)</f>
        <v>analytics for data</v>
      </c>
    </row>
    <row r="652" spans="1:13" x14ac:dyDescent="0.3">
      <c r="A652" t="s">
        <v>665</v>
      </c>
      <c r="B652" t="s">
        <v>18</v>
      </c>
      <c r="C652" s="4">
        <f>VLOOKUP(Googleadssales[[#This Row],[Ad_ID]],'[1]pre processed data'!A:C,3,0)</f>
        <v>137</v>
      </c>
      <c r="D652" s="4">
        <f>VLOOKUP(Googleadssales[[#This Row],[Ad_ID]],'[1]pre processed data'!A:E,5,0)</f>
        <v>5400</v>
      </c>
      <c r="E652" s="5" t="str">
        <f>VLOOKUP(Googleadssales[[#This Row],[Ad_ID]],[1]!Table3[[Ad_ID]:[Cost-imputed]],7,0)</f>
        <v>$180.04</v>
      </c>
      <c r="F652" s="4">
        <f>VLOOKUP(Googleadssales[[#This Row],[Ad_ID]],'[1]pre processed data'!A:I,9,0)</f>
        <v>10</v>
      </c>
      <c r="G652" s="4">
        <f>VLOOKUP(Googleadssales[[#This Row],[Ad_ID]],'[1]pre processed data'!A:K,11,0)</f>
        <v>10</v>
      </c>
      <c r="H652" s="2">
        <f>Googleadssales[[#This Row],[Conversions]]/Googleadssales[[#This Row],[Clicks]]</f>
        <v>7.2992700729927001E-2</v>
      </c>
      <c r="I652" t="str">
        <f>VLOOKUP(Googleadssales[[#This Row],[Ad_ID]],'[1]pre processed data'!A:O,15,0)</f>
        <v>$1375</v>
      </c>
      <c r="J652" s="3">
        <f>VLOOKUP(Googleadssales[[#This Row],[Ad_ID]],'[1]pre processed data'!A:Q,17,0)</f>
        <v>45625</v>
      </c>
      <c r="K652" t="str">
        <f>VLOOKUP(Googleadssales[[#This Row],[Ad_ID]],'[1]pre processed data'!A:R,18,0)</f>
        <v>Bangaluru</v>
      </c>
      <c r="L652" t="str">
        <f>VLOOKUP(Googleadssales[[#This Row],[Ad_ID]],'[1]pre processed data'!A:S,19,0)</f>
        <v>Tablet</v>
      </c>
      <c r="M652" t="str">
        <f>VLOOKUP(Googleadssales[[#This Row],[Ad_ID]],'[1]pre processed data'!A:T,20,0)</f>
        <v>analytics for data</v>
      </c>
    </row>
    <row r="653" spans="1:13" x14ac:dyDescent="0.3">
      <c r="A653" t="s">
        <v>666</v>
      </c>
      <c r="B653" t="s">
        <v>14</v>
      </c>
      <c r="C653" s="4">
        <f>VLOOKUP(Googleadssales[[#This Row],[Ad_ID]],'[1]pre processed data'!A:C,3,0)</f>
        <v>188</v>
      </c>
      <c r="D653" s="4">
        <f>VLOOKUP(Googleadssales[[#This Row],[Ad_ID]],'[1]pre processed data'!A:E,5,0)</f>
        <v>5528</v>
      </c>
      <c r="E653" s="5" t="str">
        <f>VLOOKUP(Googleadssales[[#This Row],[Ad_ID]],[1]!Table3[[Ad_ID]:[Cost-imputed]],7,0)</f>
        <v>$245.03</v>
      </c>
      <c r="F653" s="4">
        <f>VLOOKUP(Googleadssales[[#This Row],[Ad_ID]],'[1]pre processed data'!A:I,9,0)</f>
        <v>13</v>
      </c>
      <c r="G653" s="4">
        <f>VLOOKUP(Googleadssales[[#This Row],[Ad_ID]],'[1]pre processed data'!A:K,11,0)</f>
        <v>10</v>
      </c>
      <c r="H653" s="2">
        <f>Googleadssales[[#This Row],[Conversions]]/Googleadssales[[#This Row],[Clicks]]</f>
        <v>5.3191489361702128E-2</v>
      </c>
      <c r="I653" t="str">
        <f>VLOOKUP(Googleadssales[[#This Row],[Ad_ID]],'[1]pre processed data'!A:O,15,0)</f>
        <v>$1202</v>
      </c>
      <c r="J653" s="3">
        <f>VLOOKUP(Googleadssales[[#This Row],[Ad_ID]],'[1]pre processed data'!A:Q,17,0)</f>
        <v>45625</v>
      </c>
      <c r="K653" t="str">
        <f>VLOOKUP(Googleadssales[[#This Row],[Ad_ID]],'[1]pre processed data'!A:R,18,0)</f>
        <v>Hyderabad</v>
      </c>
      <c r="L653" t="str">
        <f>VLOOKUP(Googleadssales[[#This Row],[Ad_ID]],'[1]pre processed data'!A:S,19,0)</f>
        <v>Desktop</v>
      </c>
      <c r="M653" t="str">
        <f>VLOOKUP(Googleadssales[[#This Row],[Ad_ID]],'[1]pre processed data'!A:T,20,0)</f>
        <v>analytics for data</v>
      </c>
    </row>
    <row r="654" spans="1:13" x14ac:dyDescent="0.3">
      <c r="A654" t="s">
        <v>667</v>
      </c>
      <c r="B654" t="s">
        <v>14</v>
      </c>
      <c r="C654" s="4">
        <f>VLOOKUP(Googleadssales[[#This Row],[Ad_ID]],'[1]pre processed data'!A:C,3,0)</f>
        <v>162</v>
      </c>
      <c r="D654" s="4">
        <f>VLOOKUP(Googleadssales[[#This Row],[Ad_ID]],'[1]pre processed data'!A:E,5,0)</f>
        <v>5456</v>
      </c>
      <c r="E654" s="5" t="str">
        <f>VLOOKUP(Googleadssales[[#This Row],[Ad_ID]],[1]!Table3[[Ad_ID]:[Cost-imputed]],7,0)</f>
        <v>$193.69</v>
      </c>
      <c r="F654" s="4">
        <f>VLOOKUP(Googleadssales[[#This Row],[Ad_ID]],'[1]pre processed data'!A:I,9,0)</f>
        <v>10</v>
      </c>
      <c r="G654" s="4">
        <f>VLOOKUP(Googleadssales[[#This Row],[Ad_ID]],'[1]pre processed data'!A:K,11,0)</f>
        <v>6</v>
      </c>
      <c r="H654" s="2">
        <f>Googleadssales[[#This Row],[Conversions]]/Googleadssales[[#This Row],[Clicks]]</f>
        <v>3.7037037037037035E-2</v>
      </c>
      <c r="I654" t="str">
        <f>VLOOKUP(Googleadssales[[#This Row],[Ad_ID]],'[1]pre processed data'!A:O,15,0)</f>
        <v>$1992</v>
      </c>
      <c r="J654" s="3">
        <f>VLOOKUP(Googleadssales[[#This Row],[Ad_ID]],'[1]pre processed data'!A:Q,17,0)</f>
        <v>45625</v>
      </c>
      <c r="K654" t="str">
        <f>VLOOKUP(Googleadssales[[#This Row],[Ad_ID]],'[1]pre processed data'!A:R,18,0)</f>
        <v>Hyderabad</v>
      </c>
      <c r="L654" t="str">
        <f>VLOOKUP(Googleadssales[[#This Row],[Ad_ID]],'[1]pre processed data'!A:S,19,0)</f>
        <v>Tablet</v>
      </c>
      <c r="M654" t="str">
        <f>VLOOKUP(Googleadssales[[#This Row],[Ad_ID]],'[1]pre processed data'!A:T,20,0)</f>
        <v>online data analytic</v>
      </c>
    </row>
    <row r="655" spans="1:13" x14ac:dyDescent="0.3">
      <c r="A655" t="s">
        <v>668</v>
      </c>
      <c r="B655" t="s">
        <v>18</v>
      </c>
      <c r="C655" s="4">
        <f>VLOOKUP(Googleadssales[[#This Row],[Ad_ID]],'[1]pre processed data'!A:C,3,0)</f>
        <v>102</v>
      </c>
      <c r="D655" s="4">
        <f>VLOOKUP(Googleadssales[[#This Row],[Ad_ID]],'[1]pre processed data'!A:E,5,0)</f>
        <v>4308</v>
      </c>
      <c r="E655" s="5" t="str">
        <f>VLOOKUP(Googleadssales[[#This Row],[Ad_ID]],[1]!Table3[[Ad_ID]:[Cost-imputed]],7,0)</f>
        <v>$221.54</v>
      </c>
      <c r="F655" s="4">
        <f>VLOOKUP(Googleadssales[[#This Row],[Ad_ID]],'[1]pre processed data'!A:I,9,0)</f>
        <v>13</v>
      </c>
      <c r="G655" s="4">
        <f>VLOOKUP(Googleadssales[[#This Row],[Ad_ID]],'[1]pre processed data'!A:K,11,0)</f>
        <v>7</v>
      </c>
      <c r="H655" s="2">
        <f>Googleadssales[[#This Row],[Conversions]]/Googleadssales[[#This Row],[Clicks]]</f>
        <v>6.8627450980392163E-2</v>
      </c>
      <c r="I655" t="str">
        <f>VLOOKUP(Googleadssales[[#This Row],[Ad_ID]],'[1]pre processed data'!A:O,15,0)</f>
        <v>$1096</v>
      </c>
      <c r="J655" s="3">
        <f>VLOOKUP(Googleadssales[[#This Row],[Ad_ID]],'[1]pre processed data'!A:Q,17,0)</f>
        <v>45604</v>
      </c>
      <c r="K655" t="str">
        <f>VLOOKUP(Googleadssales[[#This Row],[Ad_ID]],'[1]pre processed data'!A:R,18,0)</f>
        <v>Hyderabad</v>
      </c>
      <c r="L655" t="str">
        <f>VLOOKUP(Googleadssales[[#This Row],[Ad_ID]],'[1]pre processed data'!A:S,19,0)</f>
        <v>Mobile</v>
      </c>
      <c r="M655" t="str">
        <f>VLOOKUP(Googleadssales[[#This Row],[Ad_ID]],'[1]pre processed data'!A:T,20,0)</f>
        <v>data analytics online</v>
      </c>
    </row>
    <row r="656" spans="1:13" x14ac:dyDescent="0.3">
      <c r="A656" t="s">
        <v>669</v>
      </c>
      <c r="B656" t="s">
        <v>14</v>
      </c>
      <c r="C656" s="4">
        <f>VLOOKUP(Googleadssales[[#This Row],[Ad_ID]],'[1]pre processed data'!A:C,3,0)</f>
        <v>120</v>
      </c>
      <c r="D656" s="4">
        <f>VLOOKUP(Googleadssales[[#This Row],[Ad_ID]],'[1]pre processed data'!A:E,5,0)</f>
        <v>3245</v>
      </c>
      <c r="E656" s="5" t="str">
        <f>VLOOKUP(Googleadssales[[#This Row],[Ad_ID]],[1]!Table3[[Ad_ID]:[Cost-imputed]],7,0)</f>
        <v>$196.09</v>
      </c>
      <c r="F656" s="4">
        <f>VLOOKUP(Googleadssales[[#This Row],[Ad_ID]],'[1]pre processed data'!A:I,9,0)</f>
        <v>15</v>
      </c>
      <c r="G656" s="4">
        <f>VLOOKUP(Googleadssales[[#This Row],[Ad_ID]],'[1]pre processed data'!A:K,11,0)</f>
        <v>9</v>
      </c>
      <c r="H656" s="2">
        <f>Googleadssales[[#This Row],[Conversions]]/Googleadssales[[#This Row],[Clicks]]</f>
        <v>7.4999999999999997E-2</v>
      </c>
      <c r="I656" t="str">
        <f>VLOOKUP(Googleadssales[[#This Row],[Ad_ID]],'[1]pre processed data'!A:O,15,0)</f>
        <v>$1056</v>
      </c>
      <c r="J656" s="3">
        <f>VLOOKUP(Googleadssales[[#This Row],[Ad_ID]],'[1]pre processed data'!A:Q,17,0)</f>
        <v>45618</v>
      </c>
      <c r="K656" t="str">
        <f>VLOOKUP(Googleadssales[[#This Row],[Ad_ID]],'[1]pre processed data'!A:R,18,0)</f>
        <v>Hyderabad</v>
      </c>
      <c r="L656" t="str">
        <f>VLOOKUP(Googleadssales[[#This Row],[Ad_ID]],'[1]pre processed data'!A:S,19,0)</f>
        <v>Desktop</v>
      </c>
      <c r="M656" t="str">
        <f>VLOOKUP(Googleadssales[[#This Row],[Ad_ID]],'[1]pre processed data'!A:T,20,0)</f>
        <v>data analytics training</v>
      </c>
    </row>
    <row r="657" spans="1:13" x14ac:dyDescent="0.3">
      <c r="A657" t="s">
        <v>670</v>
      </c>
      <c r="B657" t="s">
        <v>18</v>
      </c>
      <c r="C657" s="4">
        <f>VLOOKUP(Googleadssales[[#This Row],[Ad_ID]],'[1]pre processed data'!A:C,3,0)</f>
        <v>125</v>
      </c>
      <c r="D657" s="4">
        <f>VLOOKUP(Googleadssales[[#This Row],[Ad_ID]],'[1]pre processed data'!A:E,5,0)</f>
        <v>3339</v>
      </c>
      <c r="E657" s="5" t="str">
        <f>VLOOKUP(Googleadssales[[#This Row],[Ad_ID]],[1]!Table3[[Ad_ID]:[Cost-imputed]],7,0)</f>
        <v>$205.32</v>
      </c>
      <c r="F657" s="4">
        <f>VLOOKUP(Googleadssales[[#This Row],[Ad_ID]],'[1]pre processed data'!A:I,9,0)</f>
        <v>18</v>
      </c>
      <c r="G657" s="4">
        <f>VLOOKUP(Googleadssales[[#This Row],[Ad_ID]],'[1]pre processed data'!A:K,11,0)</f>
        <v>4</v>
      </c>
      <c r="H657" s="2">
        <f>Googleadssales[[#This Row],[Conversions]]/Googleadssales[[#This Row],[Clicks]]</f>
        <v>3.2000000000000001E-2</v>
      </c>
      <c r="I657" t="str">
        <f>VLOOKUP(Googleadssales[[#This Row],[Ad_ID]],'[1]pre processed data'!A:O,15,0)</f>
        <v>$1985</v>
      </c>
      <c r="J657" s="3">
        <f>VLOOKUP(Googleadssales[[#This Row],[Ad_ID]],'[1]pre processed data'!A:Q,17,0)</f>
        <v>45624</v>
      </c>
      <c r="K657" t="str">
        <f>VLOOKUP(Googleadssales[[#This Row],[Ad_ID]],'[1]pre processed data'!A:R,18,0)</f>
        <v>Bangaluru</v>
      </c>
      <c r="L657" t="str">
        <f>VLOOKUP(Googleadssales[[#This Row],[Ad_ID]],'[1]pre processed data'!A:S,19,0)</f>
        <v>Desktop</v>
      </c>
      <c r="M657" t="str">
        <f>VLOOKUP(Googleadssales[[#This Row],[Ad_ID]],'[1]pre processed data'!A:T,20,0)</f>
        <v>data analytics course</v>
      </c>
    </row>
    <row r="658" spans="1:13" x14ac:dyDescent="0.3">
      <c r="A658" t="s">
        <v>671</v>
      </c>
      <c r="B658" t="s">
        <v>14</v>
      </c>
      <c r="C658" s="4">
        <f>VLOOKUP(Googleadssales[[#This Row],[Ad_ID]],'[1]pre processed data'!A:C,3,0)</f>
        <v>155</v>
      </c>
      <c r="D658" s="4">
        <f>VLOOKUP(Googleadssales[[#This Row],[Ad_ID]],'[1]pre processed data'!A:E,5,0)</f>
        <v>5977</v>
      </c>
      <c r="E658" s="5" t="str">
        <f>VLOOKUP(Googleadssales[[#This Row],[Ad_ID]],[1]!Table3[[Ad_ID]:[Cost-imputed]],7,0)</f>
        <v>$187.28</v>
      </c>
      <c r="F658" s="4">
        <f>VLOOKUP(Googleadssales[[#This Row],[Ad_ID]],'[1]pre processed data'!A:I,9,0)</f>
        <v>16</v>
      </c>
      <c r="G658" s="4">
        <f>VLOOKUP(Googleadssales[[#This Row],[Ad_ID]],'[1]pre processed data'!A:K,11,0)</f>
        <v>7</v>
      </c>
      <c r="H658" s="2">
        <f>Googleadssales[[#This Row],[Conversions]]/Googleadssales[[#This Row],[Clicks]]</f>
        <v>4.5161290322580643E-2</v>
      </c>
      <c r="I658" t="str">
        <f>VLOOKUP(Googleadssales[[#This Row],[Ad_ID]],'[1]pre processed data'!A:O,15,0)</f>
        <v>$1607</v>
      </c>
      <c r="J658" s="3">
        <f>VLOOKUP(Googleadssales[[#This Row],[Ad_ID]],'[1]pre processed data'!A:Q,17,0)</f>
        <v>45606</v>
      </c>
      <c r="K658" t="str">
        <f>VLOOKUP(Googleadssales[[#This Row],[Ad_ID]],'[1]pre processed data'!A:R,18,0)</f>
        <v>Hyderabad</v>
      </c>
      <c r="L658" t="str">
        <f>VLOOKUP(Googleadssales[[#This Row],[Ad_ID]],'[1]pre processed data'!A:S,19,0)</f>
        <v>Desktop</v>
      </c>
      <c r="M658" t="str">
        <f>VLOOKUP(Googleadssales[[#This Row],[Ad_ID]],'[1]pre processed data'!A:T,20,0)</f>
        <v>online data analytic</v>
      </c>
    </row>
    <row r="659" spans="1:13" x14ac:dyDescent="0.3">
      <c r="A659" t="s">
        <v>672</v>
      </c>
      <c r="B659" t="s">
        <v>18</v>
      </c>
      <c r="C659" s="4">
        <f>VLOOKUP(Googleadssales[[#This Row],[Ad_ID]],'[1]pre processed data'!A:C,3,0)</f>
        <v>137</v>
      </c>
      <c r="D659" s="4">
        <f>VLOOKUP(Googleadssales[[#This Row],[Ad_ID]],'[1]pre processed data'!A:E,5,0)</f>
        <v>4231</v>
      </c>
      <c r="E659" s="5" t="str">
        <f>VLOOKUP(Googleadssales[[#This Row],[Ad_ID]],[1]!Table3[[Ad_ID]:[Cost-imputed]],7,0)</f>
        <v>$226.49</v>
      </c>
      <c r="F659" s="4">
        <f>VLOOKUP(Googleadssales[[#This Row],[Ad_ID]],'[1]pre processed data'!A:I,9,0)</f>
        <v>25</v>
      </c>
      <c r="G659" s="4">
        <f>VLOOKUP(Googleadssales[[#This Row],[Ad_ID]],'[1]pre processed data'!A:K,11,0)</f>
        <v>5</v>
      </c>
      <c r="H659" s="2">
        <f>Googleadssales[[#This Row],[Conversions]]/Googleadssales[[#This Row],[Clicks]]</f>
        <v>3.6496350364963501E-2</v>
      </c>
      <c r="I659" t="str">
        <f>VLOOKUP(Googleadssales[[#This Row],[Ad_ID]],'[1]pre processed data'!A:O,15,0)</f>
        <v>$1078</v>
      </c>
      <c r="J659" s="3">
        <f>VLOOKUP(Googleadssales[[#This Row],[Ad_ID]],'[1]pre processed data'!A:Q,17,0)</f>
        <v>45608</v>
      </c>
      <c r="K659" t="str">
        <f>VLOOKUP(Googleadssales[[#This Row],[Ad_ID]],'[1]pre processed data'!A:R,18,0)</f>
        <v>Bangaluru</v>
      </c>
      <c r="L659" t="str">
        <f>VLOOKUP(Googleadssales[[#This Row],[Ad_ID]],'[1]pre processed data'!A:S,19,0)</f>
        <v>Tablet</v>
      </c>
      <c r="M659" t="str">
        <f>VLOOKUP(Googleadssales[[#This Row],[Ad_ID]],'[1]pre processed data'!A:T,20,0)</f>
        <v>analytics for data</v>
      </c>
    </row>
    <row r="660" spans="1:13" x14ac:dyDescent="0.3">
      <c r="A660" t="s">
        <v>673</v>
      </c>
      <c r="B660" t="s">
        <v>18</v>
      </c>
      <c r="C660" s="4">
        <f>VLOOKUP(Googleadssales[[#This Row],[Ad_ID]],'[1]pre processed data'!A:C,3,0)</f>
        <v>91</v>
      </c>
      <c r="D660" s="4">
        <f>VLOOKUP(Googleadssales[[#This Row],[Ad_ID]],'[1]pre processed data'!A:E,5,0)</f>
        <v>4506</v>
      </c>
      <c r="E660" s="5" t="str">
        <f>VLOOKUP(Googleadssales[[#This Row],[Ad_ID]],[1]!Table3[[Ad_ID]:[Cost-imputed]],7,0)</f>
        <v>$195.99</v>
      </c>
      <c r="F660" s="4">
        <f>VLOOKUP(Googleadssales[[#This Row],[Ad_ID]],'[1]pre processed data'!A:I,9,0)</f>
        <v>12</v>
      </c>
      <c r="G660" s="4">
        <f>VLOOKUP(Googleadssales[[#This Row],[Ad_ID]],'[1]pre processed data'!A:K,11,0)</f>
        <v>3</v>
      </c>
      <c r="H660" s="2">
        <f>Googleadssales[[#This Row],[Conversions]]/Googleadssales[[#This Row],[Clicks]]</f>
        <v>3.2967032967032968E-2</v>
      </c>
      <c r="I660" t="str">
        <f>VLOOKUP(Googleadssales[[#This Row],[Ad_ID]],'[1]pre processed data'!A:O,15,0)</f>
        <v>$1179</v>
      </c>
      <c r="J660" s="3">
        <f>VLOOKUP(Googleadssales[[#This Row],[Ad_ID]],'[1]pre processed data'!A:Q,17,0)</f>
        <v>45618</v>
      </c>
      <c r="K660" t="str">
        <f>VLOOKUP(Googleadssales[[#This Row],[Ad_ID]],'[1]pre processed data'!A:R,18,0)</f>
        <v>Chennai</v>
      </c>
      <c r="L660" t="str">
        <f>VLOOKUP(Googleadssales[[#This Row],[Ad_ID]],'[1]pre processed data'!A:S,19,0)</f>
        <v>Tablet</v>
      </c>
      <c r="M660" t="str">
        <f>VLOOKUP(Googleadssales[[#This Row],[Ad_ID]],'[1]pre processed data'!A:T,20,0)</f>
        <v>learn data analytics</v>
      </c>
    </row>
    <row r="661" spans="1:13" x14ac:dyDescent="0.3">
      <c r="A661" t="s">
        <v>674</v>
      </c>
      <c r="B661" t="s">
        <v>14</v>
      </c>
      <c r="C661" s="4">
        <f>VLOOKUP(Googleadssales[[#This Row],[Ad_ID]],'[1]pre processed data'!A:C,3,0)</f>
        <v>87</v>
      </c>
      <c r="D661" s="4">
        <f>VLOOKUP(Googleadssales[[#This Row],[Ad_ID]],'[1]pre processed data'!A:E,5,0)</f>
        <v>4869</v>
      </c>
      <c r="E661" s="5" t="str">
        <f>VLOOKUP(Googleadssales[[#This Row],[Ad_ID]],[1]!Table3[[Ad_ID]:[Cost-imputed]],7,0)</f>
        <v>$220.97</v>
      </c>
      <c r="F661" s="4">
        <f>VLOOKUP(Googleadssales[[#This Row],[Ad_ID]],'[1]pre processed data'!A:I,9,0)</f>
        <v>29</v>
      </c>
      <c r="G661" s="4">
        <f>VLOOKUP(Googleadssales[[#This Row],[Ad_ID]],'[1]pre processed data'!A:K,11,0)</f>
        <v>5</v>
      </c>
      <c r="H661" s="2">
        <f>Googleadssales[[#This Row],[Conversions]]/Googleadssales[[#This Row],[Clicks]]</f>
        <v>5.7471264367816091E-2</v>
      </c>
      <c r="I661" t="str">
        <f>VLOOKUP(Googleadssales[[#This Row],[Ad_ID]],'[1]pre processed data'!A:O,15,0)</f>
        <v>$1480</v>
      </c>
      <c r="J661" s="3">
        <f>VLOOKUP(Googleadssales[[#This Row],[Ad_ID]],'[1]pre processed data'!A:Q,17,0)</f>
        <v>45601</v>
      </c>
      <c r="K661" t="str">
        <f>VLOOKUP(Googleadssales[[#This Row],[Ad_ID]],'[1]pre processed data'!A:R,18,0)</f>
        <v>Bangaluru</v>
      </c>
      <c r="L661" t="str">
        <f>VLOOKUP(Googleadssales[[#This Row],[Ad_ID]],'[1]pre processed data'!A:S,19,0)</f>
        <v>Desktop</v>
      </c>
      <c r="M661" t="str">
        <f>VLOOKUP(Googleadssales[[#This Row],[Ad_ID]],'[1]pre processed data'!A:T,20,0)</f>
        <v>data analytics training</v>
      </c>
    </row>
    <row r="662" spans="1:13" x14ac:dyDescent="0.3">
      <c r="A662" t="s">
        <v>675</v>
      </c>
      <c r="B662" t="s">
        <v>14</v>
      </c>
      <c r="C662" s="4">
        <f>VLOOKUP(Googleadssales[[#This Row],[Ad_ID]],'[1]pre processed data'!A:C,3,0)</f>
        <v>124</v>
      </c>
      <c r="D662" s="4">
        <f>VLOOKUP(Googleadssales[[#This Row],[Ad_ID]],'[1]pre processed data'!A:E,5,0)</f>
        <v>5716</v>
      </c>
      <c r="E662" s="5" t="str">
        <f>VLOOKUP(Googleadssales[[#This Row],[Ad_ID]],[1]!Table3[[Ad_ID]:[Cost-imputed]],7,0)</f>
        <v>$217.84</v>
      </c>
      <c r="F662" s="4">
        <f>VLOOKUP(Googleadssales[[#This Row],[Ad_ID]],'[1]pre processed data'!A:I,9,0)</f>
        <v>28</v>
      </c>
      <c r="G662" s="4">
        <f>VLOOKUP(Googleadssales[[#This Row],[Ad_ID]],'[1]pre processed data'!A:K,11,0)</f>
        <v>8</v>
      </c>
      <c r="H662" s="2">
        <f>Googleadssales[[#This Row],[Conversions]]/Googleadssales[[#This Row],[Clicks]]</f>
        <v>6.4516129032258063E-2</v>
      </c>
      <c r="I662" t="str">
        <f>VLOOKUP(Googleadssales[[#This Row],[Ad_ID]],'[1]pre processed data'!A:O,15,0)</f>
        <v>$1791</v>
      </c>
      <c r="J662" s="3">
        <f>VLOOKUP(Googleadssales[[#This Row],[Ad_ID]],'[1]pre processed data'!A:Q,17,0)</f>
        <v>45620</v>
      </c>
      <c r="K662" t="str">
        <f>VLOOKUP(Googleadssales[[#This Row],[Ad_ID]],'[1]pre processed data'!A:R,18,0)</f>
        <v>Hyderabad</v>
      </c>
      <c r="L662" t="str">
        <f>VLOOKUP(Googleadssales[[#This Row],[Ad_ID]],'[1]pre processed data'!A:S,19,0)</f>
        <v>Mobile</v>
      </c>
      <c r="M662" t="str">
        <f>VLOOKUP(Googleadssales[[#This Row],[Ad_ID]],'[1]pre processed data'!A:T,20,0)</f>
        <v>data analytics training</v>
      </c>
    </row>
    <row r="663" spans="1:13" x14ac:dyDescent="0.3">
      <c r="A663" t="s">
        <v>676</v>
      </c>
      <c r="B663" t="s">
        <v>14</v>
      </c>
      <c r="C663" s="4">
        <f>VLOOKUP(Googleadssales[[#This Row],[Ad_ID]],'[1]pre processed data'!A:C,3,0)</f>
        <v>128</v>
      </c>
      <c r="D663" s="4">
        <f>VLOOKUP(Googleadssales[[#This Row],[Ad_ID]],'[1]pre processed data'!A:E,5,0)</f>
        <v>3243</v>
      </c>
      <c r="E663" s="5" t="str">
        <f>VLOOKUP(Googleadssales[[#This Row],[Ad_ID]],[1]!Table3[[Ad_ID]:[Cost-imputed]],7,0)</f>
        <v>$208.41</v>
      </c>
      <c r="F663" s="4">
        <f>VLOOKUP(Googleadssales[[#This Row],[Ad_ID]],'[1]pre processed data'!A:I,9,0)</f>
        <v>14</v>
      </c>
      <c r="G663" s="4">
        <f>VLOOKUP(Googleadssales[[#This Row],[Ad_ID]],'[1]pre processed data'!A:K,11,0)</f>
        <v>6</v>
      </c>
      <c r="H663" s="2">
        <f>Googleadssales[[#This Row],[Conversions]]/Googleadssales[[#This Row],[Clicks]]</f>
        <v>4.6875E-2</v>
      </c>
      <c r="I663" t="str">
        <f>VLOOKUP(Googleadssales[[#This Row],[Ad_ID]],'[1]pre processed data'!A:O,15,0)</f>
        <v>$1514</v>
      </c>
      <c r="J663" s="3">
        <f>VLOOKUP(Googleadssales[[#This Row],[Ad_ID]],'[1]pre processed data'!A:Q,17,0)</f>
        <v>45598</v>
      </c>
      <c r="K663" t="str">
        <f>VLOOKUP(Googleadssales[[#This Row],[Ad_ID]],'[1]pre processed data'!A:R,18,0)</f>
        <v>Hyderabad</v>
      </c>
      <c r="L663" t="str">
        <f>VLOOKUP(Googleadssales[[#This Row],[Ad_ID]],'[1]pre processed data'!A:S,19,0)</f>
        <v>Mobile</v>
      </c>
      <c r="M663" t="str">
        <f>VLOOKUP(Googleadssales[[#This Row],[Ad_ID]],'[1]pre processed data'!A:T,20,0)</f>
        <v>online data analytic</v>
      </c>
    </row>
    <row r="664" spans="1:13" x14ac:dyDescent="0.3">
      <c r="A664" t="s">
        <v>677</v>
      </c>
      <c r="B664" t="s">
        <v>18</v>
      </c>
      <c r="C664" s="4">
        <f>VLOOKUP(Googleadssales[[#This Row],[Ad_ID]],'[1]pre processed data'!A:C,3,0)</f>
        <v>111</v>
      </c>
      <c r="D664" s="4">
        <f>VLOOKUP(Googleadssales[[#This Row],[Ad_ID]],'[1]pre processed data'!A:E,5,0)</f>
        <v>3911</v>
      </c>
      <c r="E664" s="5" t="str">
        <f>VLOOKUP(Googleadssales[[#This Row],[Ad_ID]],[1]!Table3[[Ad_ID]:[Cost-imputed]],7,0)</f>
        <v>$239.24</v>
      </c>
      <c r="F664" s="4">
        <f>VLOOKUP(Googleadssales[[#This Row],[Ad_ID]],'[1]pre processed data'!A:I,9,0)</f>
        <v>28</v>
      </c>
      <c r="G664" s="4">
        <f>VLOOKUP(Googleadssales[[#This Row],[Ad_ID]],'[1]pre processed data'!A:K,11,0)</f>
        <v>9</v>
      </c>
      <c r="H664" s="2">
        <f>Googleadssales[[#This Row],[Conversions]]/Googleadssales[[#This Row],[Clicks]]</f>
        <v>8.1081081081081086E-2</v>
      </c>
      <c r="I664" t="str">
        <f>VLOOKUP(Googleadssales[[#This Row],[Ad_ID]],'[1]pre processed data'!A:O,15,0)</f>
        <v>$1097</v>
      </c>
      <c r="J664" s="3">
        <f>VLOOKUP(Googleadssales[[#This Row],[Ad_ID]],'[1]pre processed data'!A:Q,17,0)</f>
        <v>45597</v>
      </c>
      <c r="K664" t="str">
        <f>VLOOKUP(Googleadssales[[#This Row],[Ad_ID]],'[1]pre processed data'!A:R,18,0)</f>
        <v>Hyderabad</v>
      </c>
      <c r="L664" t="str">
        <f>VLOOKUP(Googleadssales[[#This Row],[Ad_ID]],'[1]pre processed data'!A:S,19,0)</f>
        <v>Tablet</v>
      </c>
      <c r="M664" t="str">
        <f>VLOOKUP(Googleadssales[[#This Row],[Ad_ID]],'[1]pre processed data'!A:T,20,0)</f>
        <v>online data analytic</v>
      </c>
    </row>
    <row r="665" spans="1:13" x14ac:dyDescent="0.3">
      <c r="A665" t="s">
        <v>678</v>
      </c>
      <c r="B665" t="s">
        <v>14</v>
      </c>
      <c r="C665" s="4">
        <f>VLOOKUP(Googleadssales[[#This Row],[Ad_ID]],'[1]pre processed data'!A:C,3,0)</f>
        <v>89</v>
      </c>
      <c r="D665" s="4">
        <f>VLOOKUP(Googleadssales[[#This Row],[Ad_ID]],'[1]pre processed data'!A:E,5,0)</f>
        <v>3982</v>
      </c>
      <c r="E665" s="5" t="str">
        <f>VLOOKUP(Googleadssales[[#This Row],[Ad_ID]],[1]!Table3[[Ad_ID]:[Cost-imputed]],7,0)</f>
        <v>$209.87</v>
      </c>
      <c r="F665" s="4">
        <f>VLOOKUP(Googleadssales[[#This Row],[Ad_ID]],'[1]pre processed data'!A:I,9,0)</f>
        <v>27</v>
      </c>
      <c r="G665" s="4">
        <f>VLOOKUP(Googleadssales[[#This Row],[Ad_ID]],'[1]pre processed data'!A:K,11,0)</f>
        <v>7</v>
      </c>
      <c r="H665" s="2">
        <f>Googleadssales[[#This Row],[Conversions]]/Googleadssales[[#This Row],[Clicks]]</f>
        <v>7.8651685393258425E-2</v>
      </c>
      <c r="I665" t="str">
        <f>VLOOKUP(Googleadssales[[#This Row],[Ad_ID]],'[1]pre processed data'!A:O,15,0)</f>
        <v>$1920</v>
      </c>
      <c r="J665" s="3">
        <f>VLOOKUP(Googleadssales[[#This Row],[Ad_ID]],'[1]pre processed data'!A:Q,17,0)</f>
        <v>45600</v>
      </c>
      <c r="K665" t="str">
        <f>VLOOKUP(Googleadssales[[#This Row],[Ad_ID]],'[1]pre processed data'!A:R,18,0)</f>
        <v>Bangaluru</v>
      </c>
      <c r="L665" t="str">
        <f>VLOOKUP(Googleadssales[[#This Row],[Ad_ID]],'[1]pre processed data'!A:S,19,0)</f>
        <v>Desktop</v>
      </c>
      <c r="M665" t="str">
        <f>VLOOKUP(Googleadssales[[#This Row],[Ad_ID]],'[1]pre processed data'!A:T,20,0)</f>
        <v>data analytics course</v>
      </c>
    </row>
    <row r="666" spans="1:13" x14ac:dyDescent="0.3">
      <c r="A666" t="s">
        <v>679</v>
      </c>
      <c r="B666" t="s">
        <v>14</v>
      </c>
      <c r="C666" s="4">
        <f>VLOOKUP(Googleadssales[[#This Row],[Ad_ID]],'[1]pre processed data'!A:C,3,0)</f>
        <v>107</v>
      </c>
      <c r="D666" s="4">
        <f>VLOOKUP(Googleadssales[[#This Row],[Ad_ID]],'[1]pre processed data'!A:E,5,0)</f>
        <v>5299</v>
      </c>
      <c r="E666" s="5" t="str">
        <f>VLOOKUP(Googleadssales[[#This Row],[Ad_ID]],[1]!Table3[[Ad_ID]:[Cost-imputed]],7,0)</f>
        <v>$207.36</v>
      </c>
      <c r="F666" s="4">
        <f>VLOOKUP(Googleadssales[[#This Row],[Ad_ID]],'[1]pre processed data'!A:I,9,0)</f>
        <v>19</v>
      </c>
      <c r="G666" s="4">
        <f>VLOOKUP(Googleadssales[[#This Row],[Ad_ID]],'[1]pre processed data'!A:K,11,0)</f>
        <v>8</v>
      </c>
      <c r="H666" s="2">
        <f>Googleadssales[[#This Row],[Conversions]]/Googleadssales[[#This Row],[Clicks]]</f>
        <v>7.476635514018691E-2</v>
      </c>
      <c r="I666" t="str">
        <f>VLOOKUP(Googleadssales[[#This Row],[Ad_ID]],'[1]pre processed data'!A:O,15,0)</f>
        <v>$1567</v>
      </c>
      <c r="J666" s="3">
        <f>VLOOKUP(Googleadssales[[#This Row],[Ad_ID]],'[1]pre processed data'!A:Q,17,0)</f>
        <v>45622</v>
      </c>
      <c r="K666" t="str">
        <f>VLOOKUP(Googleadssales[[#This Row],[Ad_ID]],'[1]pre processed data'!A:R,18,0)</f>
        <v>Bangaluru</v>
      </c>
      <c r="L666" t="str">
        <f>VLOOKUP(Googleadssales[[#This Row],[Ad_ID]],'[1]pre processed data'!A:S,19,0)</f>
        <v>Tablet</v>
      </c>
      <c r="M666" t="str">
        <f>VLOOKUP(Googleadssales[[#This Row],[Ad_ID]],'[1]pre processed data'!A:T,20,0)</f>
        <v>data analytics training</v>
      </c>
    </row>
    <row r="667" spans="1:13" x14ac:dyDescent="0.3">
      <c r="A667" t="s">
        <v>680</v>
      </c>
      <c r="B667" t="s">
        <v>14</v>
      </c>
      <c r="C667" s="4">
        <f>VLOOKUP(Googleadssales[[#This Row],[Ad_ID]],'[1]pre processed data'!A:C,3,0)</f>
        <v>181</v>
      </c>
      <c r="D667" s="4">
        <f>VLOOKUP(Googleadssales[[#This Row],[Ad_ID]],'[1]pre processed data'!A:E,5,0)</f>
        <v>4150</v>
      </c>
      <c r="E667" s="5" t="str">
        <f>VLOOKUP(Googleadssales[[#This Row],[Ad_ID]],[1]!Table3[[Ad_ID]:[Cost-imputed]],7,0)</f>
        <v>$236.69</v>
      </c>
      <c r="F667" s="4">
        <f>VLOOKUP(Googleadssales[[#This Row],[Ad_ID]],'[1]pre processed data'!A:I,9,0)</f>
        <v>15</v>
      </c>
      <c r="G667" s="4">
        <f>VLOOKUP(Googleadssales[[#This Row],[Ad_ID]],'[1]pre processed data'!A:K,11,0)</f>
        <v>5</v>
      </c>
      <c r="H667" s="2">
        <f>Googleadssales[[#This Row],[Conversions]]/Googleadssales[[#This Row],[Clicks]]</f>
        <v>2.7624309392265192E-2</v>
      </c>
      <c r="I667" t="str">
        <f>VLOOKUP(Googleadssales[[#This Row],[Ad_ID]],'[1]pre processed data'!A:O,15,0)</f>
        <v>$1251</v>
      </c>
      <c r="J667" s="3">
        <f>VLOOKUP(Googleadssales[[#This Row],[Ad_ID]],'[1]pre processed data'!A:Q,17,0)</f>
        <v>45606</v>
      </c>
      <c r="K667" t="str">
        <f>VLOOKUP(Googleadssales[[#This Row],[Ad_ID]],'[1]pre processed data'!A:R,18,0)</f>
        <v>Hyderabad</v>
      </c>
      <c r="L667" t="str">
        <f>VLOOKUP(Googleadssales[[#This Row],[Ad_ID]],'[1]pre processed data'!A:S,19,0)</f>
        <v>Mobile</v>
      </c>
      <c r="M667" t="str">
        <f>VLOOKUP(Googleadssales[[#This Row],[Ad_ID]],'[1]pre processed data'!A:T,20,0)</f>
        <v>data analytics online</v>
      </c>
    </row>
    <row r="668" spans="1:13" x14ac:dyDescent="0.3">
      <c r="A668" t="s">
        <v>681</v>
      </c>
      <c r="B668" t="s">
        <v>14</v>
      </c>
      <c r="C668" s="4">
        <f>VLOOKUP(Googleadssales[[#This Row],[Ad_ID]],'[1]pre processed data'!A:C,3,0)</f>
        <v>110</v>
      </c>
      <c r="D668" s="4">
        <f>VLOOKUP(Googleadssales[[#This Row],[Ad_ID]],'[1]pre processed data'!A:E,5,0)</f>
        <v>5925</v>
      </c>
      <c r="E668" s="5" t="str">
        <f>VLOOKUP(Googleadssales[[#This Row],[Ad_ID]],[1]!Table3[[Ad_ID]:[Cost-imputed]],7,0)</f>
        <v>$188.18</v>
      </c>
      <c r="F668" s="4">
        <f>VLOOKUP(Googleadssales[[#This Row],[Ad_ID]],'[1]pre processed data'!A:I,9,0)</f>
        <v>29</v>
      </c>
      <c r="G668" s="4">
        <f>VLOOKUP(Googleadssales[[#This Row],[Ad_ID]],'[1]pre processed data'!A:K,11,0)</f>
        <v>9</v>
      </c>
      <c r="H668" s="2">
        <f>Googleadssales[[#This Row],[Conversions]]/Googleadssales[[#This Row],[Clicks]]</f>
        <v>8.1818181818181818E-2</v>
      </c>
      <c r="I668" t="str">
        <f>VLOOKUP(Googleadssales[[#This Row],[Ad_ID]],'[1]pre processed data'!A:O,15,0)</f>
        <v>$1682</v>
      </c>
      <c r="J668" s="3">
        <f>VLOOKUP(Googleadssales[[#This Row],[Ad_ID]],'[1]pre processed data'!A:Q,17,0)</f>
        <v>45619</v>
      </c>
      <c r="K668" t="str">
        <f>VLOOKUP(Googleadssales[[#This Row],[Ad_ID]],'[1]pre processed data'!A:R,18,0)</f>
        <v>Bangaluru</v>
      </c>
      <c r="L668" t="str">
        <f>VLOOKUP(Googleadssales[[#This Row],[Ad_ID]],'[1]pre processed data'!A:S,19,0)</f>
        <v>Desktop</v>
      </c>
      <c r="M668" t="str">
        <f>VLOOKUP(Googleadssales[[#This Row],[Ad_ID]],'[1]pre processed data'!A:T,20,0)</f>
        <v>data analytics training</v>
      </c>
    </row>
    <row r="669" spans="1:13" x14ac:dyDescent="0.3">
      <c r="A669" t="s">
        <v>682</v>
      </c>
      <c r="B669" t="s">
        <v>18</v>
      </c>
      <c r="C669" s="4">
        <f>VLOOKUP(Googleadssales[[#This Row],[Ad_ID]],'[1]pre processed data'!A:C,3,0)</f>
        <v>85</v>
      </c>
      <c r="D669" s="4">
        <f>VLOOKUP(Googleadssales[[#This Row],[Ad_ID]],'[1]pre processed data'!A:E,5,0)</f>
        <v>4010</v>
      </c>
      <c r="E669" s="5" t="str">
        <f>VLOOKUP(Googleadssales[[#This Row],[Ad_ID]],[1]!Table3[[Ad_ID]:[Cost-imputed]],7,0)</f>
        <v>$195.26</v>
      </c>
      <c r="F669" s="4">
        <f>VLOOKUP(Googleadssales[[#This Row],[Ad_ID]],'[1]pre processed data'!A:I,9,0)</f>
        <v>17</v>
      </c>
      <c r="G669" s="4">
        <f>VLOOKUP(Googleadssales[[#This Row],[Ad_ID]],'[1]pre processed data'!A:K,11,0)</f>
        <v>4</v>
      </c>
      <c r="H669" s="2">
        <f>Googleadssales[[#This Row],[Conversions]]/Googleadssales[[#This Row],[Clicks]]</f>
        <v>4.7058823529411764E-2</v>
      </c>
      <c r="I669" t="str">
        <f>VLOOKUP(Googleadssales[[#This Row],[Ad_ID]],'[1]pre processed data'!A:O,15,0)</f>
        <v>$1853</v>
      </c>
      <c r="J669" s="3">
        <f>VLOOKUP(Googleadssales[[#This Row],[Ad_ID]],'[1]pre processed data'!A:Q,17,0)</f>
        <v>45602</v>
      </c>
      <c r="K669" t="str">
        <f>VLOOKUP(Googleadssales[[#This Row],[Ad_ID]],'[1]pre processed data'!A:R,18,0)</f>
        <v>Bangaluru</v>
      </c>
      <c r="L669" t="str">
        <f>VLOOKUP(Googleadssales[[#This Row],[Ad_ID]],'[1]pre processed data'!A:S,19,0)</f>
        <v>Mobile</v>
      </c>
      <c r="M669" t="str">
        <f>VLOOKUP(Googleadssales[[#This Row],[Ad_ID]],'[1]pre processed data'!A:T,20,0)</f>
        <v>data analytics online</v>
      </c>
    </row>
    <row r="670" spans="1:13" x14ac:dyDescent="0.3">
      <c r="A670" t="s">
        <v>683</v>
      </c>
      <c r="B670" t="s">
        <v>14</v>
      </c>
      <c r="C670" s="4">
        <f>VLOOKUP(Googleadssales[[#This Row],[Ad_ID]],'[1]pre processed data'!A:C,3,0)</f>
        <v>125</v>
      </c>
      <c r="D670" s="4">
        <f>VLOOKUP(Googleadssales[[#This Row],[Ad_ID]],'[1]pre processed data'!A:E,5,0)</f>
        <v>5767</v>
      </c>
      <c r="E670" s="5" t="str">
        <f>VLOOKUP(Googleadssales[[#This Row],[Ad_ID]],[1]!Table3[[Ad_ID]:[Cost-imputed]],7,0)</f>
        <v>$200.00</v>
      </c>
      <c r="F670" s="4">
        <f>VLOOKUP(Googleadssales[[#This Row],[Ad_ID]],'[1]pre processed data'!A:I,9,0)</f>
        <v>12</v>
      </c>
      <c r="G670" s="4">
        <f>VLOOKUP(Googleadssales[[#This Row],[Ad_ID]],'[1]pre processed data'!A:K,11,0)</f>
        <v>8</v>
      </c>
      <c r="H670" s="2">
        <f>Googleadssales[[#This Row],[Conversions]]/Googleadssales[[#This Row],[Clicks]]</f>
        <v>6.4000000000000001E-2</v>
      </c>
      <c r="I670" t="str">
        <f>VLOOKUP(Googleadssales[[#This Row],[Ad_ID]],'[1]pre processed data'!A:O,15,0)</f>
        <v>$1020</v>
      </c>
      <c r="J670" s="3">
        <f>VLOOKUP(Googleadssales[[#This Row],[Ad_ID]],'[1]pre processed data'!A:Q,17,0)</f>
        <v>45615</v>
      </c>
      <c r="K670" t="str">
        <f>VLOOKUP(Googleadssales[[#This Row],[Ad_ID]],'[1]pre processed data'!A:R,18,0)</f>
        <v>Hyderabad</v>
      </c>
      <c r="L670" t="str">
        <f>VLOOKUP(Googleadssales[[#This Row],[Ad_ID]],'[1]pre processed data'!A:S,19,0)</f>
        <v>Tablet</v>
      </c>
      <c r="M670" t="str">
        <f>VLOOKUP(Googleadssales[[#This Row],[Ad_ID]],'[1]pre processed data'!A:T,20,0)</f>
        <v>data analytics online</v>
      </c>
    </row>
    <row r="671" spans="1:13" x14ac:dyDescent="0.3">
      <c r="A671" t="s">
        <v>684</v>
      </c>
      <c r="B671" t="s">
        <v>14</v>
      </c>
      <c r="C671" s="4">
        <f>VLOOKUP(Googleadssales[[#This Row],[Ad_ID]],'[1]pre processed data'!A:C,3,0)</f>
        <v>163</v>
      </c>
      <c r="D671" s="4">
        <f>VLOOKUP(Googleadssales[[#This Row],[Ad_ID]],'[1]pre processed data'!A:E,5,0)</f>
        <v>4523.2808326787117</v>
      </c>
      <c r="E671" s="5" t="str">
        <f>VLOOKUP(Googleadssales[[#This Row],[Ad_ID]],[1]!Table3[[Ad_ID]:[Cost-imputed]],7,0)</f>
        <v>$200.00</v>
      </c>
      <c r="F671" s="4">
        <f>VLOOKUP(Googleadssales[[#This Row],[Ad_ID]],'[1]pre processed data'!A:I,9,0)</f>
        <v>11</v>
      </c>
      <c r="G671" s="4">
        <f>VLOOKUP(Googleadssales[[#This Row],[Ad_ID]],'[1]pre processed data'!A:K,11,0)</f>
        <v>3</v>
      </c>
      <c r="H671" s="2">
        <f>Googleadssales[[#This Row],[Conversions]]/Googleadssales[[#This Row],[Clicks]]</f>
        <v>1.8404907975460124E-2</v>
      </c>
      <c r="I671" t="str">
        <f>VLOOKUP(Googleadssales[[#This Row],[Ad_ID]],'[1]pre processed data'!A:O,15,0)</f>
        <v>$1819</v>
      </c>
      <c r="J671" s="3">
        <f>VLOOKUP(Googleadssales[[#This Row],[Ad_ID]],'[1]pre processed data'!A:Q,17,0)</f>
        <v>45616</v>
      </c>
      <c r="K671" t="str">
        <f>VLOOKUP(Googleadssales[[#This Row],[Ad_ID]],'[1]pre processed data'!A:R,18,0)</f>
        <v>Bangaluru</v>
      </c>
      <c r="L671" t="str">
        <f>VLOOKUP(Googleadssales[[#This Row],[Ad_ID]],'[1]pre processed data'!A:S,19,0)</f>
        <v>Tablet</v>
      </c>
      <c r="M671" t="str">
        <f>VLOOKUP(Googleadssales[[#This Row],[Ad_ID]],'[1]pre processed data'!A:T,20,0)</f>
        <v>data analytics training</v>
      </c>
    </row>
    <row r="672" spans="1:13" x14ac:dyDescent="0.3">
      <c r="A672" t="s">
        <v>685</v>
      </c>
      <c r="B672" t="s">
        <v>14</v>
      </c>
      <c r="C672" s="4">
        <f>VLOOKUP(Googleadssales[[#This Row],[Ad_ID]],'[1]pre processed data'!A:C,3,0)</f>
        <v>129</v>
      </c>
      <c r="D672" s="4">
        <f>VLOOKUP(Googleadssales[[#This Row],[Ad_ID]],'[1]pre processed data'!A:E,5,0)</f>
        <v>3787</v>
      </c>
      <c r="E672" s="5" t="str">
        <f>VLOOKUP(Googleadssales[[#This Row],[Ad_ID]],[1]!Table3[[Ad_ID]:[Cost-imputed]],7,0)</f>
        <v>$229.81</v>
      </c>
      <c r="F672" s="4">
        <f>VLOOKUP(Googleadssales[[#This Row],[Ad_ID]],'[1]pre processed data'!A:I,9,0)</f>
        <v>10</v>
      </c>
      <c r="G672" s="4">
        <f>VLOOKUP(Googleadssales[[#This Row],[Ad_ID]],'[1]pre processed data'!A:K,11,0)</f>
        <v>6</v>
      </c>
      <c r="H672" s="2">
        <f>Googleadssales[[#This Row],[Conversions]]/Googleadssales[[#This Row],[Clicks]]</f>
        <v>4.6511627906976744E-2</v>
      </c>
      <c r="I672" t="str">
        <f>VLOOKUP(Googleadssales[[#This Row],[Ad_ID]],'[1]pre processed data'!A:O,15,0)</f>
        <v>$1221</v>
      </c>
      <c r="J672" s="3">
        <f>VLOOKUP(Googleadssales[[#This Row],[Ad_ID]],'[1]pre processed data'!A:Q,17,0)</f>
        <v>45609</v>
      </c>
      <c r="K672" t="str">
        <f>VLOOKUP(Googleadssales[[#This Row],[Ad_ID]],'[1]pre processed data'!A:R,18,0)</f>
        <v>Bangaluru</v>
      </c>
      <c r="L672" t="str">
        <f>VLOOKUP(Googleadssales[[#This Row],[Ad_ID]],'[1]pre processed data'!A:S,19,0)</f>
        <v>Desktop</v>
      </c>
      <c r="M672" t="str">
        <f>VLOOKUP(Googleadssales[[#This Row],[Ad_ID]],'[1]pre processed data'!A:T,20,0)</f>
        <v>online data analytic</v>
      </c>
    </row>
    <row r="673" spans="1:13" x14ac:dyDescent="0.3">
      <c r="A673" t="s">
        <v>686</v>
      </c>
      <c r="B673" t="s">
        <v>18</v>
      </c>
      <c r="C673" s="4">
        <f>VLOOKUP(Googleadssales[[#This Row],[Ad_ID]],'[1]pre processed data'!A:C,3,0)</f>
        <v>112</v>
      </c>
      <c r="D673" s="4">
        <f>VLOOKUP(Googleadssales[[#This Row],[Ad_ID]],'[1]pre processed data'!A:E,5,0)</f>
        <v>4834</v>
      </c>
      <c r="E673" s="5" t="str">
        <f>VLOOKUP(Googleadssales[[#This Row],[Ad_ID]],[1]!Table3[[Ad_ID]:[Cost-imputed]],7,0)</f>
        <v>$212.27</v>
      </c>
      <c r="F673" s="4">
        <f>VLOOKUP(Googleadssales[[#This Row],[Ad_ID]],'[1]pre processed data'!A:I,9,0)</f>
        <v>11</v>
      </c>
      <c r="G673" s="4">
        <f>VLOOKUP(Googleadssales[[#This Row],[Ad_ID]],'[1]pre processed data'!A:K,11,0)</f>
        <v>7</v>
      </c>
      <c r="H673" s="2">
        <f>Googleadssales[[#This Row],[Conversions]]/Googleadssales[[#This Row],[Clicks]]</f>
        <v>6.25E-2</v>
      </c>
      <c r="I673" t="str">
        <f>VLOOKUP(Googleadssales[[#This Row],[Ad_ID]],'[1]pre processed data'!A:O,15,0)</f>
        <v>$1524</v>
      </c>
      <c r="J673" s="3">
        <f>VLOOKUP(Googleadssales[[#This Row],[Ad_ID]],'[1]pre processed data'!A:Q,17,0)</f>
        <v>45623</v>
      </c>
      <c r="K673" t="str">
        <f>VLOOKUP(Googleadssales[[#This Row],[Ad_ID]],'[1]pre processed data'!A:R,18,0)</f>
        <v>Hyderabad</v>
      </c>
      <c r="L673" t="str">
        <f>VLOOKUP(Googleadssales[[#This Row],[Ad_ID]],'[1]pre processed data'!A:S,19,0)</f>
        <v>Mobile</v>
      </c>
      <c r="M673" t="str">
        <f>VLOOKUP(Googleadssales[[#This Row],[Ad_ID]],'[1]pre processed data'!A:T,20,0)</f>
        <v>data analytics online</v>
      </c>
    </row>
    <row r="674" spans="1:13" x14ac:dyDescent="0.3">
      <c r="A674" t="s">
        <v>687</v>
      </c>
      <c r="B674" t="s">
        <v>18</v>
      </c>
      <c r="C674" s="4">
        <f>VLOOKUP(Googleadssales[[#This Row],[Ad_ID]],'[1]pre processed data'!A:C,3,0)</f>
        <v>104</v>
      </c>
      <c r="D674" s="4">
        <f>VLOOKUP(Googleadssales[[#This Row],[Ad_ID]],'[1]pre processed data'!A:E,5,0)</f>
        <v>3031</v>
      </c>
      <c r="E674" s="5" t="str">
        <f>VLOOKUP(Googleadssales[[#This Row],[Ad_ID]],[1]!Table3[[Ad_ID]:[Cost-imputed]],7,0)</f>
        <v>$188.47</v>
      </c>
      <c r="F674" s="4">
        <f>VLOOKUP(Googleadssales[[#This Row],[Ad_ID]],'[1]pre processed data'!A:I,9,0)</f>
        <v>13</v>
      </c>
      <c r="G674" s="4">
        <f>VLOOKUP(Googleadssales[[#This Row],[Ad_ID]],'[1]pre processed data'!A:K,11,0)</f>
        <v>6</v>
      </c>
      <c r="H674" s="2">
        <f>Googleadssales[[#This Row],[Conversions]]/Googleadssales[[#This Row],[Clicks]]</f>
        <v>5.7692307692307696E-2</v>
      </c>
      <c r="I674" t="str">
        <f>VLOOKUP(Googleadssales[[#This Row],[Ad_ID]],'[1]pre processed data'!A:O,15,0)</f>
        <v>$1998</v>
      </c>
      <c r="J674" s="3">
        <f>VLOOKUP(Googleadssales[[#This Row],[Ad_ID]],'[1]pre processed data'!A:Q,17,0)</f>
        <v>45601</v>
      </c>
      <c r="K674" t="str">
        <f>VLOOKUP(Googleadssales[[#This Row],[Ad_ID]],'[1]pre processed data'!A:R,18,0)</f>
        <v>Bangaluru</v>
      </c>
      <c r="L674" t="str">
        <f>VLOOKUP(Googleadssales[[#This Row],[Ad_ID]],'[1]pre processed data'!A:S,19,0)</f>
        <v>Desktop</v>
      </c>
      <c r="M674" t="str">
        <f>VLOOKUP(Googleadssales[[#This Row],[Ad_ID]],'[1]pre processed data'!A:T,20,0)</f>
        <v>data analytics training</v>
      </c>
    </row>
    <row r="675" spans="1:13" x14ac:dyDescent="0.3">
      <c r="A675" t="s">
        <v>688</v>
      </c>
      <c r="B675" t="s">
        <v>14</v>
      </c>
      <c r="C675" s="4">
        <f>VLOOKUP(Googleadssales[[#This Row],[Ad_ID]],'[1]pre processed data'!A:C,3,0)</f>
        <v>132</v>
      </c>
      <c r="D675" s="4">
        <f>VLOOKUP(Googleadssales[[#This Row],[Ad_ID]],'[1]pre processed data'!A:E,5,0)</f>
        <v>3754</v>
      </c>
      <c r="E675" s="5" t="str">
        <f>VLOOKUP(Googleadssales[[#This Row],[Ad_ID]],[1]!Table3[[Ad_ID]:[Cost-imputed]],7,0)</f>
        <v>$180.88</v>
      </c>
      <c r="F675" s="4">
        <f>VLOOKUP(Googleadssales[[#This Row],[Ad_ID]],'[1]pre processed data'!A:I,9,0)</f>
        <v>21</v>
      </c>
      <c r="G675" s="4">
        <f>VLOOKUP(Googleadssales[[#This Row],[Ad_ID]],'[1]pre processed data'!A:K,11,0)</f>
        <v>10</v>
      </c>
      <c r="H675" s="2">
        <f>Googleadssales[[#This Row],[Conversions]]/Googleadssales[[#This Row],[Clicks]]</f>
        <v>7.575757575757576E-2</v>
      </c>
      <c r="I675" t="str">
        <f>VLOOKUP(Googleadssales[[#This Row],[Ad_ID]],'[1]pre processed data'!A:O,15,0)</f>
        <v>$1601</v>
      </c>
      <c r="J675" s="3">
        <f>VLOOKUP(Googleadssales[[#This Row],[Ad_ID]],'[1]pre processed data'!A:Q,17,0)</f>
        <v>45620</v>
      </c>
      <c r="K675" t="str">
        <f>VLOOKUP(Googleadssales[[#This Row],[Ad_ID]],'[1]pre processed data'!A:R,18,0)</f>
        <v>Hyderabad</v>
      </c>
      <c r="L675" t="str">
        <f>VLOOKUP(Googleadssales[[#This Row],[Ad_ID]],'[1]pre processed data'!A:S,19,0)</f>
        <v>Mobile</v>
      </c>
      <c r="M675" t="str">
        <f>VLOOKUP(Googleadssales[[#This Row],[Ad_ID]],'[1]pre processed data'!A:T,20,0)</f>
        <v>online data analytic</v>
      </c>
    </row>
    <row r="676" spans="1:13" x14ac:dyDescent="0.3">
      <c r="A676" t="s">
        <v>689</v>
      </c>
      <c r="B676" t="s">
        <v>14</v>
      </c>
      <c r="C676" s="4">
        <f>VLOOKUP(Googleadssales[[#This Row],[Ad_ID]],'[1]pre processed data'!A:C,3,0)</f>
        <v>113</v>
      </c>
      <c r="D676" s="4">
        <f>VLOOKUP(Googleadssales[[#This Row],[Ad_ID]],'[1]pre processed data'!A:E,5,0)</f>
        <v>3281</v>
      </c>
      <c r="E676" s="5" t="str">
        <f>VLOOKUP(Googleadssales[[#This Row],[Ad_ID]],[1]!Table3[[Ad_ID]:[Cost-imputed]],7,0)</f>
        <v>$241.85</v>
      </c>
      <c r="F676" s="4">
        <f>VLOOKUP(Googleadssales[[#This Row],[Ad_ID]],'[1]pre processed data'!A:I,9,0)</f>
        <v>16</v>
      </c>
      <c r="G676" s="4">
        <f>VLOOKUP(Googleadssales[[#This Row],[Ad_ID]],'[1]pre processed data'!A:K,11,0)</f>
        <v>6</v>
      </c>
      <c r="H676" s="2">
        <f>Googleadssales[[#This Row],[Conversions]]/Googleadssales[[#This Row],[Clicks]]</f>
        <v>5.3097345132743362E-2</v>
      </c>
      <c r="I676" t="str">
        <f>VLOOKUP(Googleadssales[[#This Row],[Ad_ID]],'[1]pre processed data'!A:O,15,0)</f>
        <v>$1500</v>
      </c>
      <c r="J676" s="3">
        <f>VLOOKUP(Googleadssales[[#This Row],[Ad_ID]],'[1]pre processed data'!A:Q,17,0)</f>
        <v>45604</v>
      </c>
      <c r="K676" t="str">
        <f>VLOOKUP(Googleadssales[[#This Row],[Ad_ID]],'[1]pre processed data'!A:R,18,0)</f>
        <v>Hyderabad</v>
      </c>
      <c r="L676" t="str">
        <f>VLOOKUP(Googleadssales[[#This Row],[Ad_ID]],'[1]pre processed data'!A:S,19,0)</f>
        <v>Tablet</v>
      </c>
      <c r="M676" t="str">
        <f>VLOOKUP(Googleadssales[[#This Row],[Ad_ID]],'[1]pre processed data'!A:T,20,0)</f>
        <v>data analytics online</v>
      </c>
    </row>
    <row r="677" spans="1:13" x14ac:dyDescent="0.3">
      <c r="A677" t="s">
        <v>690</v>
      </c>
      <c r="B677" t="s">
        <v>14</v>
      </c>
      <c r="C677" s="4">
        <f>VLOOKUP(Googleadssales[[#This Row],[Ad_ID]],'[1]pre processed data'!A:C,3,0)</f>
        <v>109</v>
      </c>
      <c r="D677" s="4">
        <f>VLOOKUP(Googleadssales[[#This Row],[Ad_ID]],'[1]pre processed data'!A:E,5,0)</f>
        <v>4910</v>
      </c>
      <c r="E677" s="5" t="str">
        <f>VLOOKUP(Googleadssales[[#This Row],[Ad_ID]],[1]!Table3[[Ad_ID]:[Cost-imputed]],7,0)</f>
        <v>$236.2</v>
      </c>
      <c r="F677" s="4">
        <f>VLOOKUP(Googleadssales[[#This Row],[Ad_ID]],'[1]pre processed data'!A:I,9,0)</f>
        <v>20.021231422505309</v>
      </c>
      <c r="G677" s="4">
        <f>VLOOKUP(Googleadssales[[#This Row],[Ad_ID]],'[1]pre processed data'!A:K,11,0)</f>
        <v>8</v>
      </c>
      <c r="H677" s="2">
        <f>Googleadssales[[#This Row],[Conversions]]/Googleadssales[[#This Row],[Clicks]]</f>
        <v>7.3394495412844041E-2</v>
      </c>
      <c r="I677" t="str">
        <f>VLOOKUP(Googleadssales[[#This Row],[Ad_ID]],'[1]pre processed data'!A:O,15,0)</f>
        <v>$1145</v>
      </c>
      <c r="J677" s="3">
        <f>VLOOKUP(Googleadssales[[#This Row],[Ad_ID]],'[1]pre processed data'!A:Q,17,0)</f>
        <v>45604</v>
      </c>
      <c r="K677" t="str">
        <f>VLOOKUP(Googleadssales[[#This Row],[Ad_ID]],'[1]pre processed data'!A:R,18,0)</f>
        <v>Bangaluru</v>
      </c>
      <c r="L677" t="str">
        <f>VLOOKUP(Googleadssales[[#This Row],[Ad_ID]],'[1]pre processed data'!A:S,19,0)</f>
        <v>Tablet</v>
      </c>
      <c r="M677" t="str">
        <f>VLOOKUP(Googleadssales[[#This Row],[Ad_ID]],'[1]pre processed data'!A:T,20,0)</f>
        <v>data analytics training</v>
      </c>
    </row>
    <row r="678" spans="1:13" x14ac:dyDescent="0.3">
      <c r="A678" t="s">
        <v>691</v>
      </c>
      <c r="B678" t="s">
        <v>14</v>
      </c>
      <c r="C678" s="4">
        <f>VLOOKUP(Googleadssales[[#This Row],[Ad_ID]],'[1]pre processed data'!A:C,3,0)</f>
        <v>144</v>
      </c>
      <c r="D678" s="4">
        <f>VLOOKUP(Googleadssales[[#This Row],[Ad_ID]],'[1]pre processed data'!A:E,5,0)</f>
        <v>5026</v>
      </c>
      <c r="E678" s="5" t="str">
        <f>VLOOKUP(Googleadssales[[#This Row],[Ad_ID]],[1]!Table3[[Ad_ID]:[Cost-imputed]],7,0)</f>
        <v>$231.82</v>
      </c>
      <c r="F678" s="4">
        <f>VLOOKUP(Googleadssales[[#This Row],[Ad_ID]],'[1]pre processed data'!A:I,9,0)</f>
        <v>14</v>
      </c>
      <c r="G678" s="4">
        <f>VLOOKUP(Googleadssales[[#This Row],[Ad_ID]],'[1]pre processed data'!A:K,11,0)</f>
        <v>4</v>
      </c>
      <c r="H678" s="2">
        <f>Googleadssales[[#This Row],[Conversions]]/Googleadssales[[#This Row],[Clicks]]</f>
        <v>2.7777777777777776E-2</v>
      </c>
      <c r="I678" t="str">
        <f>VLOOKUP(Googleadssales[[#This Row],[Ad_ID]],'[1]pre processed data'!A:O,15,0)</f>
        <v>$1645</v>
      </c>
      <c r="J678" s="3">
        <f>VLOOKUP(Googleadssales[[#This Row],[Ad_ID]],'[1]pre processed data'!A:Q,17,0)</f>
        <v>45606</v>
      </c>
      <c r="K678" t="str">
        <f>VLOOKUP(Googleadssales[[#This Row],[Ad_ID]],'[1]pre processed data'!A:R,18,0)</f>
        <v>Chennai</v>
      </c>
      <c r="L678" t="str">
        <f>VLOOKUP(Googleadssales[[#This Row],[Ad_ID]],'[1]pre processed data'!A:S,19,0)</f>
        <v>Desktop</v>
      </c>
      <c r="M678" t="str">
        <f>VLOOKUP(Googleadssales[[#This Row],[Ad_ID]],'[1]pre processed data'!A:T,20,0)</f>
        <v>data analytics course</v>
      </c>
    </row>
    <row r="679" spans="1:13" x14ac:dyDescent="0.3">
      <c r="A679" t="s">
        <v>692</v>
      </c>
      <c r="B679" t="s">
        <v>14</v>
      </c>
      <c r="C679" s="4">
        <f>VLOOKUP(Googleadssales[[#This Row],[Ad_ID]],'[1]pre processed data'!A:C,3,0)</f>
        <v>179</v>
      </c>
      <c r="D679" s="4">
        <f>VLOOKUP(Googleadssales[[#This Row],[Ad_ID]],'[1]pre processed data'!A:E,5,0)</f>
        <v>5091</v>
      </c>
      <c r="E679" s="5" t="str">
        <f>VLOOKUP(Googleadssales[[#This Row],[Ad_ID]],[1]!Table3[[Ad_ID]:[Cost-imputed]],7,0)</f>
        <v>$238.62</v>
      </c>
      <c r="F679" s="4">
        <f>VLOOKUP(Googleadssales[[#This Row],[Ad_ID]],'[1]pre processed data'!A:I,9,0)</f>
        <v>10</v>
      </c>
      <c r="G679" s="4">
        <f>VLOOKUP(Googleadssales[[#This Row],[Ad_ID]],'[1]pre processed data'!A:K,11,0)</f>
        <v>6</v>
      </c>
      <c r="H679" s="2">
        <f>Googleadssales[[#This Row],[Conversions]]/Googleadssales[[#This Row],[Clicks]]</f>
        <v>3.3519553072625698E-2</v>
      </c>
      <c r="I679" t="str">
        <f>VLOOKUP(Googleadssales[[#This Row],[Ad_ID]],'[1]pre processed data'!A:O,15,0)</f>
        <v>$1259</v>
      </c>
      <c r="J679" s="3">
        <f>VLOOKUP(Googleadssales[[#This Row],[Ad_ID]],'[1]pre processed data'!A:Q,17,0)</f>
        <v>45620</v>
      </c>
      <c r="K679" t="str">
        <f>VLOOKUP(Googleadssales[[#This Row],[Ad_ID]],'[1]pre processed data'!A:R,18,0)</f>
        <v>Hyderabad</v>
      </c>
      <c r="L679" t="str">
        <f>VLOOKUP(Googleadssales[[#This Row],[Ad_ID]],'[1]pre processed data'!A:S,19,0)</f>
        <v>Mobile</v>
      </c>
      <c r="M679" t="str">
        <f>VLOOKUP(Googleadssales[[#This Row],[Ad_ID]],'[1]pre processed data'!A:T,20,0)</f>
        <v>learn data analytics</v>
      </c>
    </row>
    <row r="680" spans="1:13" x14ac:dyDescent="0.3">
      <c r="A680" t="s">
        <v>693</v>
      </c>
      <c r="B680" t="s">
        <v>18</v>
      </c>
      <c r="C680" s="4">
        <f>VLOOKUP(Googleadssales[[#This Row],[Ad_ID]],'[1]pre processed data'!A:C,3,0)</f>
        <v>138.95699356913184</v>
      </c>
      <c r="D680" s="4">
        <f>VLOOKUP(Googleadssales[[#This Row],[Ad_ID]],'[1]pre processed data'!A:E,5,0)</f>
        <v>5622</v>
      </c>
      <c r="E680" s="5" t="str">
        <f>VLOOKUP(Googleadssales[[#This Row],[Ad_ID]],[1]!Table3[[Ad_ID]:[Cost-imputed]],7,0)</f>
        <v>$190.87</v>
      </c>
      <c r="F680" s="4">
        <f>VLOOKUP(Googleadssales[[#This Row],[Ad_ID]],'[1]pre processed data'!A:I,9,0)</f>
        <v>14</v>
      </c>
      <c r="G680" s="4">
        <f>VLOOKUP(Googleadssales[[#This Row],[Ad_ID]],'[1]pre processed data'!A:K,11,0)</f>
        <v>8</v>
      </c>
      <c r="H680" s="2">
        <f>Googleadssales[[#This Row],[Conversions]]/Googleadssales[[#This Row],[Clicks]]</f>
        <v>5.7571769469954438E-2</v>
      </c>
      <c r="I680" t="str">
        <f>VLOOKUP(Googleadssales[[#This Row],[Ad_ID]],'[1]pre processed data'!A:O,15,0)</f>
        <v>$1400</v>
      </c>
      <c r="J680" s="3">
        <f>VLOOKUP(Googleadssales[[#This Row],[Ad_ID]],'[1]pre processed data'!A:Q,17,0)</f>
        <v>45613</v>
      </c>
      <c r="K680" t="str">
        <f>VLOOKUP(Googleadssales[[#This Row],[Ad_ID]],'[1]pre processed data'!A:R,18,0)</f>
        <v>Chennai</v>
      </c>
      <c r="L680" t="str">
        <f>VLOOKUP(Googleadssales[[#This Row],[Ad_ID]],'[1]pre processed data'!A:S,19,0)</f>
        <v>Mobile</v>
      </c>
      <c r="M680" t="str">
        <f>VLOOKUP(Googleadssales[[#This Row],[Ad_ID]],'[1]pre processed data'!A:T,20,0)</f>
        <v>analytics for data</v>
      </c>
    </row>
    <row r="681" spans="1:13" x14ac:dyDescent="0.3">
      <c r="A681" t="s">
        <v>694</v>
      </c>
      <c r="B681" t="s">
        <v>14</v>
      </c>
      <c r="C681" s="4">
        <f>VLOOKUP(Googleadssales[[#This Row],[Ad_ID]],'[1]pre processed data'!A:C,3,0)</f>
        <v>116</v>
      </c>
      <c r="D681" s="4">
        <f>VLOOKUP(Googleadssales[[#This Row],[Ad_ID]],'[1]pre processed data'!A:E,5,0)</f>
        <v>4538</v>
      </c>
      <c r="E681" s="5" t="str">
        <f>VLOOKUP(Googleadssales[[#This Row],[Ad_ID]],[1]!Table3[[Ad_ID]:[Cost-imputed]],7,0)</f>
        <v>$221.74</v>
      </c>
      <c r="F681" s="4">
        <f>VLOOKUP(Googleadssales[[#This Row],[Ad_ID]],'[1]pre processed data'!A:I,9,0)</f>
        <v>23</v>
      </c>
      <c r="G681" s="4">
        <f>VLOOKUP(Googleadssales[[#This Row],[Ad_ID]],'[1]pre processed data'!A:K,11,0)</f>
        <v>9</v>
      </c>
      <c r="H681" s="2">
        <f>Googleadssales[[#This Row],[Conversions]]/Googleadssales[[#This Row],[Clicks]]</f>
        <v>7.7586206896551727E-2</v>
      </c>
      <c r="I681" t="str">
        <f>VLOOKUP(Googleadssales[[#This Row],[Ad_ID]],'[1]pre processed data'!A:O,15,0)</f>
        <v>$1639</v>
      </c>
      <c r="J681" s="3">
        <f>VLOOKUP(Googleadssales[[#This Row],[Ad_ID]],'[1]pre processed data'!A:Q,17,0)</f>
        <v>45620</v>
      </c>
      <c r="K681" t="str">
        <f>VLOOKUP(Googleadssales[[#This Row],[Ad_ID]],'[1]pre processed data'!A:R,18,0)</f>
        <v>Chennai</v>
      </c>
      <c r="L681" t="str">
        <f>VLOOKUP(Googleadssales[[#This Row],[Ad_ID]],'[1]pre processed data'!A:S,19,0)</f>
        <v>Desktop</v>
      </c>
      <c r="M681" t="str">
        <f>VLOOKUP(Googleadssales[[#This Row],[Ad_ID]],'[1]pre processed data'!A:T,20,0)</f>
        <v>data analytics training</v>
      </c>
    </row>
    <row r="682" spans="1:13" x14ac:dyDescent="0.3">
      <c r="A682" t="s">
        <v>695</v>
      </c>
      <c r="B682" t="s">
        <v>14</v>
      </c>
      <c r="C682" s="4">
        <f>VLOOKUP(Googleadssales[[#This Row],[Ad_ID]],'[1]pre processed data'!A:C,3,0)</f>
        <v>89</v>
      </c>
      <c r="D682" s="4">
        <f>VLOOKUP(Googleadssales[[#This Row],[Ad_ID]],'[1]pre processed data'!A:E,5,0)</f>
        <v>3509</v>
      </c>
      <c r="E682" s="5" t="str">
        <f>VLOOKUP(Googleadssales[[#This Row],[Ad_ID]],[1]!Table3[[Ad_ID]:[Cost-imputed]],7,0)</f>
        <v>$192.14</v>
      </c>
      <c r="F682" s="4">
        <f>VLOOKUP(Googleadssales[[#This Row],[Ad_ID]],'[1]pre processed data'!A:I,9,0)</f>
        <v>27</v>
      </c>
      <c r="G682" s="4">
        <f>VLOOKUP(Googleadssales[[#This Row],[Ad_ID]],'[1]pre processed data'!A:K,11,0)</f>
        <v>9</v>
      </c>
      <c r="H682" s="2">
        <f>Googleadssales[[#This Row],[Conversions]]/Googleadssales[[#This Row],[Clicks]]</f>
        <v>0.10112359550561797</v>
      </c>
      <c r="I682" t="str">
        <f>VLOOKUP(Googleadssales[[#This Row],[Ad_ID]],'[1]pre processed data'!A:O,15,0)</f>
        <v>$1564</v>
      </c>
      <c r="J682" s="3">
        <f>VLOOKUP(Googleadssales[[#This Row],[Ad_ID]],'[1]pre processed data'!A:Q,17,0)</f>
        <v>45608</v>
      </c>
      <c r="K682" t="str">
        <f>VLOOKUP(Googleadssales[[#This Row],[Ad_ID]],'[1]pre processed data'!A:R,18,0)</f>
        <v>Hyderabad</v>
      </c>
      <c r="L682" t="str">
        <f>VLOOKUP(Googleadssales[[#This Row],[Ad_ID]],'[1]pre processed data'!A:S,19,0)</f>
        <v>Mobile</v>
      </c>
      <c r="M682" t="str">
        <f>VLOOKUP(Googleadssales[[#This Row],[Ad_ID]],'[1]pre processed data'!A:T,20,0)</f>
        <v>online data analytic</v>
      </c>
    </row>
    <row r="683" spans="1:13" x14ac:dyDescent="0.3">
      <c r="A683" t="s">
        <v>696</v>
      </c>
      <c r="B683" t="s">
        <v>14</v>
      </c>
      <c r="C683" s="4">
        <f>VLOOKUP(Googleadssales[[#This Row],[Ad_ID]],'[1]pre processed data'!A:C,3,0)</f>
        <v>96</v>
      </c>
      <c r="D683" s="4">
        <f>VLOOKUP(Googleadssales[[#This Row],[Ad_ID]],'[1]pre processed data'!A:E,5,0)</f>
        <v>3346</v>
      </c>
      <c r="E683" s="5" t="str">
        <f>VLOOKUP(Googleadssales[[#This Row],[Ad_ID]],[1]!Table3[[Ad_ID]:[Cost-imputed]],7,0)</f>
        <v>$248.48</v>
      </c>
      <c r="F683" s="4">
        <f>VLOOKUP(Googleadssales[[#This Row],[Ad_ID]],'[1]pre processed data'!A:I,9,0)</f>
        <v>15</v>
      </c>
      <c r="G683" s="4">
        <f>VLOOKUP(Googleadssales[[#This Row],[Ad_ID]],'[1]pre processed data'!A:K,11,0)</f>
        <v>7</v>
      </c>
      <c r="H683" s="2">
        <f>Googleadssales[[#This Row],[Conversions]]/Googleadssales[[#This Row],[Clicks]]</f>
        <v>7.2916666666666671E-2</v>
      </c>
      <c r="I683" t="str">
        <f>VLOOKUP(Googleadssales[[#This Row],[Ad_ID]],'[1]pre processed data'!A:O,15,0)</f>
        <v>$1118</v>
      </c>
      <c r="J683" s="3">
        <f>VLOOKUP(Googleadssales[[#This Row],[Ad_ID]],'[1]pre processed data'!A:Q,17,0)</f>
        <v>45624</v>
      </c>
      <c r="K683" t="str">
        <f>VLOOKUP(Googleadssales[[#This Row],[Ad_ID]],'[1]pre processed data'!A:R,18,0)</f>
        <v>Chennai</v>
      </c>
      <c r="L683" t="str">
        <f>VLOOKUP(Googleadssales[[#This Row],[Ad_ID]],'[1]pre processed data'!A:S,19,0)</f>
        <v>Desktop</v>
      </c>
      <c r="M683" t="str">
        <f>VLOOKUP(Googleadssales[[#This Row],[Ad_ID]],'[1]pre processed data'!A:T,20,0)</f>
        <v>data analytics online</v>
      </c>
    </row>
    <row r="684" spans="1:13" x14ac:dyDescent="0.3">
      <c r="A684" t="s">
        <v>697</v>
      </c>
      <c r="B684" t="s">
        <v>14</v>
      </c>
      <c r="C684" s="4">
        <f>VLOOKUP(Googleadssales[[#This Row],[Ad_ID]],'[1]pre processed data'!A:C,3,0)</f>
        <v>193</v>
      </c>
      <c r="D684" s="4">
        <f>VLOOKUP(Googleadssales[[#This Row],[Ad_ID]],'[1]pre processed data'!A:E,5,0)</f>
        <v>4706</v>
      </c>
      <c r="E684" s="5" t="str">
        <f>VLOOKUP(Googleadssales[[#This Row],[Ad_ID]],[1]!Table3[[Ad_ID]:[Cost-imputed]],7,0)</f>
        <v>$213.41</v>
      </c>
      <c r="F684" s="4">
        <f>VLOOKUP(Googleadssales[[#This Row],[Ad_ID]],'[1]pre processed data'!A:I,9,0)</f>
        <v>24</v>
      </c>
      <c r="G684" s="4">
        <f>VLOOKUP(Googleadssales[[#This Row],[Ad_ID]],'[1]pre processed data'!A:K,11,0)</f>
        <v>8</v>
      </c>
      <c r="H684" s="2">
        <f>Googleadssales[[#This Row],[Conversions]]/Googleadssales[[#This Row],[Clicks]]</f>
        <v>4.145077720207254E-2</v>
      </c>
      <c r="I684" t="str">
        <f>VLOOKUP(Googleadssales[[#This Row],[Ad_ID]],'[1]pre processed data'!A:O,15,0)</f>
        <v>$1058</v>
      </c>
      <c r="J684" s="3">
        <f>VLOOKUP(Googleadssales[[#This Row],[Ad_ID]],'[1]pre processed data'!A:Q,17,0)</f>
        <v>45605</v>
      </c>
      <c r="K684" t="str">
        <f>VLOOKUP(Googleadssales[[#This Row],[Ad_ID]],'[1]pre processed data'!A:R,18,0)</f>
        <v>Hyderabad</v>
      </c>
      <c r="L684" t="str">
        <f>VLOOKUP(Googleadssales[[#This Row],[Ad_ID]],'[1]pre processed data'!A:S,19,0)</f>
        <v>Desktop</v>
      </c>
      <c r="M684" t="str">
        <f>VLOOKUP(Googleadssales[[#This Row],[Ad_ID]],'[1]pre processed data'!A:T,20,0)</f>
        <v>data analytics course</v>
      </c>
    </row>
    <row r="685" spans="1:13" x14ac:dyDescent="0.3">
      <c r="A685" t="s">
        <v>698</v>
      </c>
      <c r="B685" t="s">
        <v>18</v>
      </c>
      <c r="C685" s="4">
        <f>VLOOKUP(Googleadssales[[#This Row],[Ad_ID]],'[1]pre processed data'!A:C,3,0)</f>
        <v>122</v>
      </c>
      <c r="D685" s="4">
        <f>VLOOKUP(Googleadssales[[#This Row],[Ad_ID]],'[1]pre processed data'!A:E,5,0)</f>
        <v>3896</v>
      </c>
      <c r="E685" s="5" t="str">
        <f>VLOOKUP(Googleadssales[[#This Row],[Ad_ID]],[1]!Table3[[Ad_ID]:[Cost-imputed]],7,0)</f>
        <v>$194.3</v>
      </c>
      <c r="F685" s="4">
        <f>VLOOKUP(Googleadssales[[#This Row],[Ad_ID]],'[1]pre processed data'!A:I,9,0)</f>
        <v>23</v>
      </c>
      <c r="G685" s="4">
        <f>VLOOKUP(Googleadssales[[#This Row],[Ad_ID]],'[1]pre processed data'!A:K,11,0)</f>
        <v>3</v>
      </c>
      <c r="H685" s="2">
        <f>Googleadssales[[#This Row],[Conversions]]/Googleadssales[[#This Row],[Clicks]]</f>
        <v>2.4590163934426229E-2</v>
      </c>
      <c r="I685" t="str">
        <f>VLOOKUP(Googleadssales[[#This Row],[Ad_ID]],'[1]pre processed data'!A:O,15,0)</f>
        <v>$1355</v>
      </c>
      <c r="J685" s="3">
        <f>VLOOKUP(Googleadssales[[#This Row],[Ad_ID]],'[1]pre processed data'!A:Q,17,0)</f>
        <v>45617</v>
      </c>
      <c r="K685" t="str">
        <f>VLOOKUP(Googleadssales[[#This Row],[Ad_ID]],'[1]pre processed data'!A:R,18,0)</f>
        <v>Hyderabad</v>
      </c>
      <c r="L685" t="str">
        <f>VLOOKUP(Googleadssales[[#This Row],[Ad_ID]],'[1]pre processed data'!A:S,19,0)</f>
        <v>Mobile</v>
      </c>
      <c r="M685" t="str">
        <f>VLOOKUP(Googleadssales[[#This Row],[Ad_ID]],'[1]pre processed data'!A:T,20,0)</f>
        <v>data analytics course</v>
      </c>
    </row>
    <row r="686" spans="1:13" x14ac:dyDescent="0.3">
      <c r="A686" t="s">
        <v>699</v>
      </c>
      <c r="B686" t="s">
        <v>14</v>
      </c>
      <c r="C686" s="4">
        <f>VLOOKUP(Googleadssales[[#This Row],[Ad_ID]],'[1]pre processed data'!A:C,3,0)</f>
        <v>133</v>
      </c>
      <c r="D686" s="4">
        <f>VLOOKUP(Googleadssales[[#This Row],[Ad_ID]],'[1]pre processed data'!A:E,5,0)</f>
        <v>3332</v>
      </c>
      <c r="E686" s="5" t="str">
        <f>VLOOKUP(Googleadssales[[#This Row],[Ad_ID]],[1]!Table3[[Ad_ID]:[Cost-imputed]],7,0)</f>
        <v>$201.59</v>
      </c>
      <c r="F686" s="4">
        <f>VLOOKUP(Googleadssales[[#This Row],[Ad_ID]],'[1]pre processed data'!A:I,9,0)</f>
        <v>14</v>
      </c>
      <c r="G686" s="4">
        <f>VLOOKUP(Googleadssales[[#This Row],[Ad_ID]],'[1]pre processed data'!A:K,11,0)</f>
        <v>7</v>
      </c>
      <c r="H686" s="2">
        <f>Googleadssales[[#This Row],[Conversions]]/Googleadssales[[#This Row],[Clicks]]</f>
        <v>5.2631578947368418E-2</v>
      </c>
      <c r="I686" t="str">
        <f>VLOOKUP(Googleadssales[[#This Row],[Ad_ID]],'[1]pre processed data'!A:O,15,0)</f>
        <v>$1943</v>
      </c>
      <c r="J686" s="3">
        <f>VLOOKUP(Googleadssales[[#This Row],[Ad_ID]],'[1]pre processed data'!A:Q,17,0)</f>
        <v>45611</v>
      </c>
      <c r="K686" t="str">
        <f>VLOOKUP(Googleadssales[[#This Row],[Ad_ID]],'[1]pre processed data'!A:R,18,0)</f>
        <v>Hyderabad</v>
      </c>
      <c r="L686" t="str">
        <f>VLOOKUP(Googleadssales[[#This Row],[Ad_ID]],'[1]pre processed data'!A:S,19,0)</f>
        <v>Tablet</v>
      </c>
      <c r="M686" t="str">
        <f>VLOOKUP(Googleadssales[[#This Row],[Ad_ID]],'[1]pre processed data'!A:T,20,0)</f>
        <v>data analytics course</v>
      </c>
    </row>
    <row r="687" spans="1:13" x14ac:dyDescent="0.3">
      <c r="A687" t="s">
        <v>700</v>
      </c>
      <c r="B687" t="s">
        <v>14</v>
      </c>
      <c r="C687" s="4">
        <f>VLOOKUP(Googleadssales[[#This Row],[Ad_ID]],'[1]pre processed data'!A:C,3,0)</f>
        <v>177</v>
      </c>
      <c r="D687" s="4">
        <f>VLOOKUP(Googleadssales[[#This Row],[Ad_ID]],'[1]pre processed data'!A:E,5,0)</f>
        <v>5738</v>
      </c>
      <c r="E687" s="5" t="str">
        <f>VLOOKUP(Googleadssales[[#This Row],[Ad_ID]],[1]!Table3[[Ad_ID]:[Cost-imputed]],7,0)</f>
        <v>$249.21</v>
      </c>
      <c r="F687" s="4">
        <f>VLOOKUP(Googleadssales[[#This Row],[Ad_ID]],'[1]pre processed data'!A:I,9,0)</f>
        <v>11</v>
      </c>
      <c r="G687" s="4">
        <f>VLOOKUP(Googleadssales[[#This Row],[Ad_ID]],'[1]pre processed data'!A:K,11,0)</f>
        <v>7</v>
      </c>
      <c r="H687" s="2">
        <f>Googleadssales[[#This Row],[Conversions]]/Googleadssales[[#This Row],[Clicks]]</f>
        <v>3.954802259887006E-2</v>
      </c>
      <c r="I687" t="str">
        <f>VLOOKUP(Googleadssales[[#This Row],[Ad_ID]],'[1]pre processed data'!A:O,15,0)</f>
        <v>$1435</v>
      </c>
      <c r="J687" s="3">
        <f>VLOOKUP(Googleadssales[[#This Row],[Ad_ID]],'[1]pre processed data'!A:Q,17,0)</f>
        <v>45612</v>
      </c>
      <c r="K687" t="str">
        <f>VLOOKUP(Googleadssales[[#This Row],[Ad_ID]],'[1]pre processed data'!A:R,18,0)</f>
        <v>Hyderabad</v>
      </c>
      <c r="L687" t="str">
        <f>VLOOKUP(Googleadssales[[#This Row],[Ad_ID]],'[1]pre processed data'!A:S,19,0)</f>
        <v>Mobile</v>
      </c>
      <c r="M687" t="str">
        <f>VLOOKUP(Googleadssales[[#This Row],[Ad_ID]],'[1]pre processed data'!A:T,20,0)</f>
        <v>data analytics training</v>
      </c>
    </row>
    <row r="688" spans="1:13" x14ac:dyDescent="0.3">
      <c r="A688" t="s">
        <v>701</v>
      </c>
      <c r="B688" t="s">
        <v>14</v>
      </c>
      <c r="C688" s="4">
        <f>VLOOKUP(Googleadssales[[#This Row],[Ad_ID]],'[1]pre processed data'!A:C,3,0)</f>
        <v>162</v>
      </c>
      <c r="D688" s="4">
        <f>VLOOKUP(Googleadssales[[#This Row],[Ad_ID]],'[1]pre processed data'!A:E,5,0)</f>
        <v>5346</v>
      </c>
      <c r="E688" s="5" t="str">
        <f>VLOOKUP(Googleadssales[[#This Row],[Ad_ID]],[1]!Table3[[Ad_ID]:[Cost-imputed]],7,0)</f>
        <v>$223.12</v>
      </c>
      <c r="F688" s="4">
        <f>VLOOKUP(Googleadssales[[#This Row],[Ad_ID]],'[1]pre processed data'!A:I,9,0)</f>
        <v>25</v>
      </c>
      <c r="G688" s="4">
        <f>VLOOKUP(Googleadssales[[#This Row],[Ad_ID]],'[1]pre processed data'!A:K,11,0)</f>
        <v>5</v>
      </c>
      <c r="H688" s="2">
        <f>Googleadssales[[#This Row],[Conversions]]/Googleadssales[[#This Row],[Clicks]]</f>
        <v>3.0864197530864196E-2</v>
      </c>
      <c r="I688" t="str">
        <f>VLOOKUP(Googleadssales[[#This Row],[Ad_ID]],'[1]pre processed data'!A:O,15,0)</f>
        <v>$1052</v>
      </c>
      <c r="J688" s="3">
        <f>VLOOKUP(Googleadssales[[#This Row],[Ad_ID]],'[1]pre processed data'!A:Q,17,0)</f>
        <v>45624</v>
      </c>
      <c r="K688" t="str">
        <f>VLOOKUP(Googleadssales[[#This Row],[Ad_ID]],'[1]pre processed data'!A:R,18,0)</f>
        <v>Chennai</v>
      </c>
      <c r="L688" t="str">
        <f>VLOOKUP(Googleadssales[[#This Row],[Ad_ID]],'[1]pre processed data'!A:S,19,0)</f>
        <v>Desktop</v>
      </c>
      <c r="M688" t="str">
        <f>VLOOKUP(Googleadssales[[#This Row],[Ad_ID]],'[1]pre processed data'!A:T,20,0)</f>
        <v>data analytics course</v>
      </c>
    </row>
    <row r="689" spans="1:13" x14ac:dyDescent="0.3">
      <c r="A689" t="s">
        <v>702</v>
      </c>
      <c r="B689" t="s">
        <v>14</v>
      </c>
      <c r="C689" s="4">
        <f>VLOOKUP(Googleadssales[[#This Row],[Ad_ID]],'[1]pre processed data'!A:C,3,0)</f>
        <v>182</v>
      </c>
      <c r="D689" s="4">
        <f>VLOOKUP(Googleadssales[[#This Row],[Ad_ID]],'[1]pre processed data'!A:E,5,0)</f>
        <v>5857</v>
      </c>
      <c r="E689" s="5" t="str">
        <f>VLOOKUP(Googleadssales[[#This Row],[Ad_ID]],[1]!Table3[[Ad_ID]:[Cost-imputed]],7,0)</f>
        <v>$192.69</v>
      </c>
      <c r="F689" s="4">
        <f>VLOOKUP(Googleadssales[[#This Row],[Ad_ID]],'[1]pre processed data'!A:I,9,0)</f>
        <v>15</v>
      </c>
      <c r="G689" s="4">
        <f>VLOOKUP(Googleadssales[[#This Row],[Ad_ID]],'[1]pre processed data'!A:K,11,0)</f>
        <v>4</v>
      </c>
      <c r="H689" s="2">
        <f>Googleadssales[[#This Row],[Conversions]]/Googleadssales[[#This Row],[Clicks]]</f>
        <v>2.197802197802198E-2</v>
      </c>
      <c r="I689" t="str">
        <f>VLOOKUP(Googleadssales[[#This Row],[Ad_ID]],'[1]pre processed data'!A:O,15,0)</f>
        <v>$1384</v>
      </c>
      <c r="J689" s="3">
        <f>VLOOKUP(Googleadssales[[#This Row],[Ad_ID]],'[1]pre processed data'!A:Q,17,0)</f>
        <v>45598</v>
      </c>
      <c r="K689" t="str">
        <f>VLOOKUP(Googleadssales[[#This Row],[Ad_ID]],'[1]pre processed data'!A:R,18,0)</f>
        <v>Hyderabad</v>
      </c>
      <c r="L689" t="str">
        <f>VLOOKUP(Googleadssales[[#This Row],[Ad_ID]],'[1]pre processed data'!A:S,19,0)</f>
        <v>Desktop</v>
      </c>
      <c r="M689" t="str">
        <f>VLOOKUP(Googleadssales[[#This Row],[Ad_ID]],'[1]pre processed data'!A:T,20,0)</f>
        <v>data analytics course</v>
      </c>
    </row>
    <row r="690" spans="1:13" x14ac:dyDescent="0.3">
      <c r="A690" t="s">
        <v>703</v>
      </c>
      <c r="B690" t="s">
        <v>14</v>
      </c>
      <c r="C690" s="4">
        <f>VLOOKUP(Googleadssales[[#This Row],[Ad_ID]],'[1]pre processed data'!A:C,3,0)</f>
        <v>154</v>
      </c>
      <c r="D690" s="4">
        <f>VLOOKUP(Googleadssales[[#This Row],[Ad_ID]],'[1]pre processed data'!A:E,5,0)</f>
        <v>4836</v>
      </c>
      <c r="E690" s="5" t="str">
        <f>VLOOKUP(Googleadssales[[#This Row],[Ad_ID]],[1]!Table3[[Ad_ID]:[Cost-imputed]],7,0)</f>
        <v>$233.8</v>
      </c>
      <c r="F690" s="4">
        <f>VLOOKUP(Googleadssales[[#This Row],[Ad_ID]],'[1]pre processed data'!A:I,9,0)</f>
        <v>26</v>
      </c>
      <c r="G690" s="4">
        <f>VLOOKUP(Googleadssales[[#This Row],[Ad_ID]],'[1]pre processed data'!A:K,11,0)</f>
        <v>10</v>
      </c>
      <c r="H690" s="2">
        <f>Googleadssales[[#This Row],[Conversions]]/Googleadssales[[#This Row],[Clicks]]</f>
        <v>6.4935064935064929E-2</v>
      </c>
      <c r="I690" t="str">
        <f>VLOOKUP(Googleadssales[[#This Row],[Ad_ID]],'[1]pre processed data'!A:O,15,0)</f>
        <v>$1838</v>
      </c>
      <c r="J690" s="3">
        <f>VLOOKUP(Googleadssales[[#This Row],[Ad_ID]],'[1]pre processed data'!A:Q,17,0)</f>
        <v>45626</v>
      </c>
      <c r="K690" t="str">
        <f>VLOOKUP(Googleadssales[[#This Row],[Ad_ID]],'[1]pre processed data'!A:R,18,0)</f>
        <v>Bangaluru</v>
      </c>
      <c r="L690" t="str">
        <f>VLOOKUP(Googleadssales[[#This Row],[Ad_ID]],'[1]pre processed data'!A:S,19,0)</f>
        <v>Desktop</v>
      </c>
      <c r="M690" t="str">
        <f>VLOOKUP(Googleadssales[[#This Row],[Ad_ID]],'[1]pre processed data'!A:T,20,0)</f>
        <v>data analytics course</v>
      </c>
    </row>
    <row r="691" spans="1:13" x14ac:dyDescent="0.3">
      <c r="A691" t="s">
        <v>704</v>
      </c>
      <c r="B691" t="s">
        <v>14</v>
      </c>
      <c r="C691" s="4">
        <f>VLOOKUP(Googleadssales[[#This Row],[Ad_ID]],'[1]pre processed data'!A:C,3,0)</f>
        <v>104</v>
      </c>
      <c r="D691" s="4">
        <f>VLOOKUP(Googleadssales[[#This Row],[Ad_ID]],'[1]pre processed data'!A:E,5,0)</f>
        <v>5291</v>
      </c>
      <c r="E691" s="5" t="str">
        <f>VLOOKUP(Googleadssales[[#This Row],[Ad_ID]],[1]!Table3[[Ad_ID]:[Cost-imputed]],7,0)</f>
        <v>$186.93</v>
      </c>
      <c r="F691" s="4">
        <f>VLOOKUP(Googleadssales[[#This Row],[Ad_ID]],'[1]pre processed data'!A:I,9,0)</f>
        <v>19</v>
      </c>
      <c r="G691" s="4">
        <f>VLOOKUP(Googleadssales[[#This Row],[Ad_ID]],'[1]pre processed data'!A:K,11,0)</f>
        <v>10</v>
      </c>
      <c r="H691" s="2">
        <f>Googleadssales[[#This Row],[Conversions]]/Googleadssales[[#This Row],[Clicks]]</f>
        <v>9.6153846153846159E-2</v>
      </c>
      <c r="I691" t="str">
        <f>VLOOKUP(Googleadssales[[#This Row],[Ad_ID]],'[1]pre processed data'!A:O,15,0)</f>
        <v>$1805</v>
      </c>
      <c r="J691" s="3">
        <f>VLOOKUP(Googleadssales[[#This Row],[Ad_ID]],'[1]pre processed data'!A:Q,17,0)</f>
        <v>45625</v>
      </c>
      <c r="K691" t="str">
        <f>VLOOKUP(Googleadssales[[#This Row],[Ad_ID]],'[1]pre processed data'!A:R,18,0)</f>
        <v>Chennai</v>
      </c>
      <c r="L691" t="str">
        <f>VLOOKUP(Googleadssales[[#This Row],[Ad_ID]],'[1]pre processed data'!A:S,19,0)</f>
        <v>Tablet</v>
      </c>
      <c r="M691" t="str">
        <f>VLOOKUP(Googleadssales[[#This Row],[Ad_ID]],'[1]pre processed data'!A:T,20,0)</f>
        <v>data analytics course</v>
      </c>
    </row>
    <row r="692" spans="1:13" x14ac:dyDescent="0.3">
      <c r="A692" t="s">
        <v>705</v>
      </c>
      <c r="B692" t="s">
        <v>18</v>
      </c>
      <c r="C692" s="4">
        <f>VLOOKUP(Googleadssales[[#This Row],[Ad_ID]],'[1]pre processed data'!A:C,3,0)</f>
        <v>101</v>
      </c>
      <c r="D692" s="4">
        <f>VLOOKUP(Googleadssales[[#This Row],[Ad_ID]],'[1]pre processed data'!A:E,5,0)</f>
        <v>4840</v>
      </c>
      <c r="E692" s="5" t="str">
        <f>VLOOKUP(Googleadssales[[#This Row],[Ad_ID]],[1]!Table3[[Ad_ID]:[Cost-imputed]],7,0)</f>
        <v>$230.68</v>
      </c>
      <c r="F692" s="4">
        <f>VLOOKUP(Googleadssales[[#This Row],[Ad_ID]],'[1]pre processed data'!A:I,9,0)</f>
        <v>21</v>
      </c>
      <c r="G692" s="4">
        <f>VLOOKUP(Googleadssales[[#This Row],[Ad_ID]],'[1]pre processed data'!A:K,11,0)</f>
        <v>9</v>
      </c>
      <c r="H692" s="2">
        <f>Googleadssales[[#This Row],[Conversions]]/Googleadssales[[#This Row],[Clicks]]</f>
        <v>8.9108910891089105E-2</v>
      </c>
      <c r="I692" t="str">
        <f>VLOOKUP(Googleadssales[[#This Row],[Ad_ID]],'[1]pre processed data'!A:O,15,0)</f>
        <v>$1556</v>
      </c>
      <c r="J692" s="3">
        <f>VLOOKUP(Googleadssales[[#This Row],[Ad_ID]],'[1]pre processed data'!A:Q,17,0)</f>
        <v>45618</v>
      </c>
      <c r="K692" t="str">
        <f>VLOOKUP(Googleadssales[[#This Row],[Ad_ID]],'[1]pre processed data'!A:R,18,0)</f>
        <v>Bangaluru</v>
      </c>
      <c r="L692" t="str">
        <f>VLOOKUP(Googleadssales[[#This Row],[Ad_ID]],'[1]pre processed data'!A:S,19,0)</f>
        <v>Desktop</v>
      </c>
      <c r="M692" t="str">
        <f>VLOOKUP(Googleadssales[[#This Row],[Ad_ID]],'[1]pre processed data'!A:T,20,0)</f>
        <v>data analytics training</v>
      </c>
    </row>
    <row r="693" spans="1:13" x14ac:dyDescent="0.3">
      <c r="A693" t="s">
        <v>706</v>
      </c>
      <c r="B693" t="s">
        <v>18</v>
      </c>
      <c r="C693" s="4">
        <f>VLOOKUP(Googleadssales[[#This Row],[Ad_ID]],'[1]pre processed data'!A:C,3,0)</f>
        <v>173</v>
      </c>
      <c r="D693" s="4">
        <f>VLOOKUP(Googleadssales[[#This Row],[Ad_ID]],'[1]pre processed data'!A:E,5,0)</f>
        <v>4246</v>
      </c>
      <c r="E693" s="5" t="str">
        <f>VLOOKUP(Googleadssales[[#This Row],[Ad_ID]],[1]!Table3[[Ad_ID]:[Cost-imputed]],7,0)</f>
        <v>$202.95</v>
      </c>
      <c r="F693" s="4">
        <f>VLOOKUP(Googleadssales[[#This Row],[Ad_ID]],'[1]pre processed data'!A:I,9,0)</f>
        <v>27</v>
      </c>
      <c r="G693" s="4">
        <f>VLOOKUP(Googleadssales[[#This Row],[Ad_ID]],'[1]pre processed data'!A:K,11,0)</f>
        <v>3</v>
      </c>
      <c r="H693" s="2">
        <f>Googleadssales[[#This Row],[Conversions]]/Googleadssales[[#This Row],[Clicks]]</f>
        <v>1.7341040462427744E-2</v>
      </c>
      <c r="I693" t="str">
        <f>VLOOKUP(Googleadssales[[#This Row],[Ad_ID]],'[1]pre processed data'!A:O,15,0)</f>
        <v>$1276</v>
      </c>
      <c r="J693" s="3">
        <f>VLOOKUP(Googleadssales[[#This Row],[Ad_ID]],'[1]pre processed data'!A:Q,17,0)</f>
        <v>45625</v>
      </c>
      <c r="K693" t="str">
        <f>VLOOKUP(Googleadssales[[#This Row],[Ad_ID]],'[1]pre processed data'!A:R,18,0)</f>
        <v>Hyderabad</v>
      </c>
      <c r="L693" t="str">
        <f>VLOOKUP(Googleadssales[[#This Row],[Ad_ID]],'[1]pre processed data'!A:S,19,0)</f>
        <v>Tablet</v>
      </c>
      <c r="M693" t="str">
        <f>VLOOKUP(Googleadssales[[#This Row],[Ad_ID]],'[1]pre processed data'!A:T,20,0)</f>
        <v>learn data analytics</v>
      </c>
    </row>
    <row r="694" spans="1:13" x14ac:dyDescent="0.3">
      <c r="A694" t="s">
        <v>707</v>
      </c>
      <c r="B694" t="s">
        <v>14</v>
      </c>
      <c r="C694" s="4">
        <f>VLOOKUP(Googleadssales[[#This Row],[Ad_ID]],'[1]pre processed data'!A:C,3,0)</f>
        <v>186</v>
      </c>
      <c r="D694" s="4">
        <f>VLOOKUP(Googleadssales[[#This Row],[Ad_ID]],'[1]pre processed data'!A:E,5,0)</f>
        <v>5824</v>
      </c>
      <c r="E694" s="5" t="str">
        <f>VLOOKUP(Googleadssales[[#This Row],[Ad_ID]],[1]!Table3[[Ad_ID]:[Cost-imputed]],7,0)</f>
        <v>$224.48</v>
      </c>
      <c r="F694" s="4">
        <f>VLOOKUP(Googleadssales[[#This Row],[Ad_ID]],'[1]pre processed data'!A:I,9,0)</f>
        <v>29</v>
      </c>
      <c r="G694" s="4">
        <f>VLOOKUP(Googleadssales[[#This Row],[Ad_ID]],'[1]pre processed data'!A:K,11,0)</f>
        <v>6</v>
      </c>
      <c r="H694" s="2">
        <f>Googleadssales[[#This Row],[Conversions]]/Googleadssales[[#This Row],[Clicks]]</f>
        <v>3.2258064516129031E-2</v>
      </c>
      <c r="I694" t="str">
        <f>VLOOKUP(Googleadssales[[#This Row],[Ad_ID]],'[1]pre processed data'!A:O,15,0)</f>
        <v>$1882</v>
      </c>
      <c r="J694" s="3">
        <f>VLOOKUP(Googleadssales[[#This Row],[Ad_ID]],'[1]pre processed data'!A:Q,17,0)</f>
        <v>45624</v>
      </c>
      <c r="K694" t="str">
        <f>VLOOKUP(Googleadssales[[#This Row],[Ad_ID]],'[1]pre processed data'!A:R,18,0)</f>
        <v>Hyderabad</v>
      </c>
      <c r="L694" t="str">
        <f>VLOOKUP(Googleadssales[[#This Row],[Ad_ID]],'[1]pre processed data'!A:S,19,0)</f>
        <v>Mobile</v>
      </c>
      <c r="M694" t="str">
        <f>VLOOKUP(Googleadssales[[#This Row],[Ad_ID]],'[1]pre processed data'!A:T,20,0)</f>
        <v>data analytics online</v>
      </c>
    </row>
    <row r="695" spans="1:13" x14ac:dyDescent="0.3">
      <c r="A695" t="s">
        <v>708</v>
      </c>
      <c r="B695" t="s">
        <v>18</v>
      </c>
      <c r="C695" s="4">
        <f>VLOOKUP(Googleadssales[[#This Row],[Ad_ID]],'[1]pre processed data'!A:C,3,0)</f>
        <v>148</v>
      </c>
      <c r="D695" s="4">
        <f>VLOOKUP(Googleadssales[[#This Row],[Ad_ID]],'[1]pre processed data'!A:E,5,0)</f>
        <v>5952</v>
      </c>
      <c r="E695" s="5" t="str">
        <f>VLOOKUP(Googleadssales[[#This Row],[Ad_ID]],[1]!Table3[[Ad_ID]:[Cost-imputed]],7,0)</f>
        <v>$186.32</v>
      </c>
      <c r="F695" s="4">
        <f>VLOOKUP(Googleadssales[[#This Row],[Ad_ID]],'[1]pre processed data'!A:I,9,0)</f>
        <v>14</v>
      </c>
      <c r="G695" s="4">
        <f>VLOOKUP(Googleadssales[[#This Row],[Ad_ID]],'[1]pre processed data'!A:K,11,0)</f>
        <v>4</v>
      </c>
      <c r="H695" s="2">
        <f>Googleadssales[[#This Row],[Conversions]]/Googleadssales[[#This Row],[Clicks]]</f>
        <v>2.7027027027027029E-2</v>
      </c>
      <c r="I695" t="str">
        <f>VLOOKUP(Googleadssales[[#This Row],[Ad_ID]],'[1]pre processed data'!A:O,15,0)</f>
        <v>$1469</v>
      </c>
      <c r="J695" s="3">
        <f>VLOOKUP(Googleadssales[[#This Row],[Ad_ID]],'[1]pre processed data'!A:Q,17,0)</f>
        <v>45606</v>
      </c>
      <c r="K695" t="str">
        <f>VLOOKUP(Googleadssales[[#This Row],[Ad_ID]],'[1]pre processed data'!A:R,18,0)</f>
        <v>Bangaluru</v>
      </c>
      <c r="L695" t="str">
        <f>VLOOKUP(Googleadssales[[#This Row],[Ad_ID]],'[1]pre processed data'!A:S,19,0)</f>
        <v>Mobile</v>
      </c>
      <c r="M695" t="str">
        <f>VLOOKUP(Googleadssales[[#This Row],[Ad_ID]],'[1]pre processed data'!A:T,20,0)</f>
        <v>data analytics course</v>
      </c>
    </row>
    <row r="696" spans="1:13" x14ac:dyDescent="0.3">
      <c r="A696" t="s">
        <v>709</v>
      </c>
      <c r="B696" t="s">
        <v>14</v>
      </c>
      <c r="C696" s="4">
        <f>VLOOKUP(Googleadssales[[#This Row],[Ad_ID]],'[1]pre processed data'!A:C,3,0)</f>
        <v>181</v>
      </c>
      <c r="D696" s="4">
        <f>VLOOKUP(Googleadssales[[#This Row],[Ad_ID]],'[1]pre processed data'!A:E,5,0)</f>
        <v>3691</v>
      </c>
      <c r="E696" s="5" t="str">
        <f>VLOOKUP(Googleadssales[[#This Row],[Ad_ID]],[1]!Table3[[Ad_ID]:[Cost-imputed]],7,0)</f>
        <v>$229.14</v>
      </c>
      <c r="F696" s="4">
        <f>VLOOKUP(Googleadssales[[#This Row],[Ad_ID]],'[1]pre processed data'!A:I,9,0)</f>
        <v>25</v>
      </c>
      <c r="G696" s="4">
        <f>VLOOKUP(Googleadssales[[#This Row],[Ad_ID]],'[1]pre processed data'!A:K,11,0)</f>
        <v>10</v>
      </c>
      <c r="H696" s="2">
        <f>Googleadssales[[#This Row],[Conversions]]/Googleadssales[[#This Row],[Clicks]]</f>
        <v>5.5248618784530384E-2</v>
      </c>
      <c r="I696" t="str">
        <f>VLOOKUP(Googleadssales[[#This Row],[Ad_ID]],'[1]pre processed data'!A:O,15,0)</f>
        <v>$1375</v>
      </c>
      <c r="J696" s="3">
        <f>VLOOKUP(Googleadssales[[#This Row],[Ad_ID]],'[1]pre processed data'!A:Q,17,0)</f>
        <v>45602</v>
      </c>
      <c r="K696" t="str">
        <f>VLOOKUP(Googleadssales[[#This Row],[Ad_ID]],'[1]pre processed data'!A:R,18,0)</f>
        <v>Chennai</v>
      </c>
      <c r="L696" t="str">
        <f>VLOOKUP(Googleadssales[[#This Row],[Ad_ID]],'[1]pre processed data'!A:S,19,0)</f>
        <v>Mobile</v>
      </c>
      <c r="M696" t="str">
        <f>VLOOKUP(Googleadssales[[#This Row],[Ad_ID]],'[1]pre processed data'!A:T,20,0)</f>
        <v>analytics for data</v>
      </c>
    </row>
    <row r="697" spans="1:13" x14ac:dyDescent="0.3">
      <c r="A697" t="s">
        <v>710</v>
      </c>
      <c r="B697" t="s">
        <v>18</v>
      </c>
      <c r="C697" s="4">
        <f>VLOOKUP(Googleadssales[[#This Row],[Ad_ID]],'[1]pre processed data'!A:C,3,0)</f>
        <v>110</v>
      </c>
      <c r="D697" s="4">
        <f>VLOOKUP(Googleadssales[[#This Row],[Ad_ID]],'[1]pre processed data'!A:E,5,0)</f>
        <v>4350</v>
      </c>
      <c r="E697" s="5" t="str">
        <f>VLOOKUP(Googleadssales[[#This Row],[Ad_ID]],[1]!Table3[[Ad_ID]:[Cost-imputed]],7,0)</f>
        <v>$243.88</v>
      </c>
      <c r="F697" s="4">
        <f>VLOOKUP(Googleadssales[[#This Row],[Ad_ID]],'[1]pre processed data'!A:I,9,0)</f>
        <v>16</v>
      </c>
      <c r="G697" s="4">
        <f>VLOOKUP(Googleadssales[[#This Row],[Ad_ID]],'[1]pre processed data'!A:K,11,0)</f>
        <v>9</v>
      </c>
      <c r="H697" s="2">
        <f>Googleadssales[[#This Row],[Conversions]]/Googleadssales[[#This Row],[Clicks]]</f>
        <v>8.1818181818181818E-2</v>
      </c>
      <c r="I697" t="str">
        <f>VLOOKUP(Googleadssales[[#This Row],[Ad_ID]],'[1]pre processed data'!A:O,15,0)</f>
        <v>$1157</v>
      </c>
      <c r="J697" s="3">
        <f>VLOOKUP(Googleadssales[[#This Row],[Ad_ID]],'[1]pre processed data'!A:Q,17,0)</f>
        <v>45611</v>
      </c>
      <c r="K697" t="str">
        <f>VLOOKUP(Googleadssales[[#This Row],[Ad_ID]],'[1]pre processed data'!A:R,18,0)</f>
        <v>Chennai</v>
      </c>
      <c r="L697" t="str">
        <f>VLOOKUP(Googleadssales[[#This Row],[Ad_ID]],'[1]pre processed data'!A:S,19,0)</f>
        <v>Tablet</v>
      </c>
      <c r="M697" t="str">
        <f>VLOOKUP(Googleadssales[[#This Row],[Ad_ID]],'[1]pre processed data'!A:T,20,0)</f>
        <v>online data analytic</v>
      </c>
    </row>
    <row r="698" spans="1:13" x14ac:dyDescent="0.3">
      <c r="A698" t="s">
        <v>711</v>
      </c>
      <c r="B698" t="s">
        <v>14</v>
      </c>
      <c r="C698" s="4">
        <f>VLOOKUP(Googleadssales[[#This Row],[Ad_ID]],'[1]pre processed data'!A:C,3,0)</f>
        <v>151</v>
      </c>
      <c r="D698" s="4">
        <f>VLOOKUP(Googleadssales[[#This Row],[Ad_ID]],'[1]pre processed data'!A:E,5,0)</f>
        <v>5656</v>
      </c>
      <c r="E698" s="5" t="str">
        <f>VLOOKUP(Googleadssales[[#This Row],[Ad_ID]],[1]!Table3[[Ad_ID]:[Cost-imputed]],7,0)</f>
        <v>$191.95</v>
      </c>
      <c r="F698" s="4">
        <f>VLOOKUP(Googleadssales[[#This Row],[Ad_ID]],'[1]pre processed data'!A:I,9,0)</f>
        <v>18</v>
      </c>
      <c r="G698" s="4">
        <f>VLOOKUP(Googleadssales[[#This Row],[Ad_ID]],'[1]pre processed data'!A:K,11,0)</f>
        <v>7</v>
      </c>
      <c r="H698" s="2">
        <f>Googleadssales[[#This Row],[Conversions]]/Googleadssales[[#This Row],[Clicks]]</f>
        <v>4.6357615894039736E-2</v>
      </c>
      <c r="I698" t="str">
        <f>VLOOKUP(Googleadssales[[#This Row],[Ad_ID]],'[1]pre processed data'!A:O,15,0)</f>
        <v>$1813</v>
      </c>
      <c r="J698" s="3">
        <f>VLOOKUP(Googleadssales[[#This Row],[Ad_ID]],'[1]pre processed data'!A:Q,17,0)</f>
        <v>45598</v>
      </c>
      <c r="K698" t="str">
        <f>VLOOKUP(Googleadssales[[#This Row],[Ad_ID]],'[1]pre processed data'!A:R,18,0)</f>
        <v>Bangaluru</v>
      </c>
      <c r="L698" t="str">
        <f>VLOOKUP(Googleadssales[[#This Row],[Ad_ID]],'[1]pre processed data'!A:S,19,0)</f>
        <v>Mobile</v>
      </c>
      <c r="M698" t="str">
        <f>VLOOKUP(Googleadssales[[#This Row],[Ad_ID]],'[1]pre processed data'!A:T,20,0)</f>
        <v>data analytics online</v>
      </c>
    </row>
    <row r="699" spans="1:13" x14ac:dyDescent="0.3">
      <c r="A699" t="s">
        <v>712</v>
      </c>
      <c r="B699" t="s">
        <v>18</v>
      </c>
      <c r="C699" s="4">
        <f>VLOOKUP(Googleadssales[[#This Row],[Ad_ID]],'[1]pre processed data'!A:C,3,0)</f>
        <v>90</v>
      </c>
      <c r="D699" s="4">
        <f>VLOOKUP(Googleadssales[[#This Row],[Ad_ID]],'[1]pre processed data'!A:E,5,0)</f>
        <v>4566</v>
      </c>
      <c r="E699" s="5" t="str">
        <f>VLOOKUP(Googleadssales[[#This Row],[Ad_ID]],[1]!Table3[[Ad_ID]:[Cost-imputed]],7,0)</f>
        <v>$228.82</v>
      </c>
      <c r="F699" s="4">
        <f>VLOOKUP(Googleadssales[[#This Row],[Ad_ID]],'[1]pre processed data'!A:I,9,0)</f>
        <v>29</v>
      </c>
      <c r="G699" s="4">
        <f>VLOOKUP(Googleadssales[[#This Row],[Ad_ID]],'[1]pre processed data'!A:K,11,0)</f>
        <v>9</v>
      </c>
      <c r="H699" s="2">
        <f>Googleadssales[[#This Row],[Conversions]]/Googleadssales[[#This Row],[Clicks]]</f>
        <v>0.1</v>
      </c>
      <c r="I699" t="str">
        <f>VLOOKUP(Googleadssales[[#This Row],[Ad_ID]],'[1]pre processed data'!A:O,15,0)</f>
        <v>$1697</v>
      </c>
      <c r="J699" s="3">
        <f>VLOOKUP(Googleadssales[[#This Row],[Ad_ID]],'[1]pre processed data'!A:Q,17,0)</f>
        <v>45609</v>
      </c>
      <c r="K699" t="str">
        <f>VLOOKUP(Googleadssales[[#This Row],[Ad_ID]],'[1]pre processed data'!A:R,18,0)</f>
        <v>Chennai</v>
      </c>
      <c r="L699" t="str">
        <f>VLOOKUP(Googleadssales[[#This Row],[Ad_ID]],'[1]pre processed data'!A:S,19,0)</f>
        <v>Desktop</v>
      </c>
      <c r="M699" t="str">
        <f>VLOOKUP(Googleadssales[[#This Row],[Ad_ID]],'[1]pre processed data'!A:T,20,0)</f>
        <v>data analytics training</v>
      </c>
    </row>
    <row r="700" spans="1:13" x14ac:dyDescent="0.3">
      <c r="A700" t="s">
        <v>713</v>
      </c>
      <c r="B700" t="s">
        <v>14</v>
      </c>
      <c r="C700" s="4">
        <f>VLOOKUP(Googleadssales[[#This Row],[Ad_ID]],'[1]pre processed data'!A:C,3,0)</f>
        <v>111</v>
      </c>
      <c r="D700" s="4">
        <f>VLOOKUP(Googleadssales[[#This Row],[Ad_ID]],'[1]pre processed data'!A:E,5,0)</f>
        <v>4245</v>
      </c>
      <c r="E700" s="5" t="str">
        <f>VLOOKUP(Googleadssales[[#This Row],[Ad_ID]],[1]!Table3[[Ad_ID]:[Cost-imputed]],7,0)</f>
        <v>$245.76</v>
      </c>
      <c r="F700" s="4">
        <f>VLOOKUP(Googleadssales[[#This Row],[Ad_ID]],'[1]pre processed data'!A:I,9,0)</f>
        <v>22</v>
      </c>
      <c r="G700" s="4">
        <f>VLOOKUP(Googleadssales[[#This Row],[Ad_ID]],'[1]pre processed data'!A:K,11,0)</f>
        <v>8</v>
      </c>
      <c r="H700" s="2">
        <f>Googleadssales[[#This Row],[Conversions]]/Googleadssales[[#This Row],[Clicks]]</f>
        <v>7.2072072072072071E-2</v>
      </c>
      <c r="I700" t="str">
        <f>VLOOKUP(Googleadssales[[#This Row],[Ad_ID]],'[1]pre processed data'!A:O,15,0)</f>
        <v>$1500</v>
      </c>
      <c r="J700" s="3">
        <f>VLOOKUP(Googleadssales[[#This Row],[Ad_ID]],'[1]pre processed data'!A:Q,17,0)</f>
        <v>45603</v>
      </c>
      <c r="K700" t="str">
        <f>VLOOKUP(Googleadssales[[#This Row],[Ad_ID]],'[1]pre processed data'!A:R,18,0)</f>
        <v>Chennai</v>
      </c>
      <c r="L700" t="str">
        <f>VLOOKUP(Googleadssales[[#This Row],[Ad_ID]],'[1]pre processed data'!A:S,19,0)</f>
        <v>Desktop</v>
      </c>
      <c r="M700" t="str">
        <f>VLOOKUP(Googleadssales[[#This Row],[Ad_ID]],'[1]pre processed data'!A:T,20,0)</f>
        <v>online data analytic</v>
      </c>
    </row>
    <row r="701" spans="1:13" x14ac:dyDescent="0.3">
      <c r="A701" t="s">
        <v>714</v>
      </c>
      <c r="B701" t="s">
        <v>14</v>
      </c>
      <c r="C701" s="4">
        <f>VLOOKUP(Googleadssales[[#This Row],[Ad_ID]],'[1]pre processed data'!A:C,3,0)</f>
        <v>170</v>
      </c>
      <c r="D701" s="4">
        <f>VLOOKUP(Googleadssales[[#This Row],[Ad_ID]],'[1]pre processed data'!A:E,5,0)</f>
        <v>5053</v>
      </c>
      <c r="E701" s="5" t="str">
        <f>VLOOKUP(Googleadssales[[#This Row],[Ad_ID]],[1]!Table3[[Ad_ID]:[Cost-imputed]],7,0)</f>
        <v>$217.41</v>
      </c>
      <c r="F701" s="4">
        <f>VLOOKUP(Googleadssales[[#This Row],[Ad_ID]],'[1]pre processed data'!A:I,9,0)</f>
        <v>16</v>
      </c>
      <c r="G701" s="4">
        <f>VLOOKUP(Googleadssales[[#This Row],[Ad_ID]],'[1]pre processed data'!A:K,11,0)</f>
        <v>9</v>
      </c>
      <c r="H701" s="2">
        <f>Googleadssales[[#This Row],[Conversions]]/Googleadssales[[#This Row],[Clicks]]</f>
        <v>5.2941176470588235E-2</v>
      </c>
      <c r="I701" t="str">
        <f>VLOOKUP(Googleadssales[[#This Row],[Ad_ID]],'[1]pre processed data'!A:O,15,0)</f>
        <v>$1497</v>
      </c>
      <c r="J701" s="3">
        <f>VLOOKUP(Googleadssales[[#This Row],[Ad_ID]],'[1]pre processed data'!A:Q,17,0)</f>
        <v>45613</v>
      </c>
      <c r="K701" t="str">
        <f>VLOOKUP(Googleadssales[[#This Row],[Ad_ID]],'[1]pre processed data'!A:R,18,0)</f>
        <v>Hyderabad</v>
      </c>
      <c r="L701" t="str">
        <f>VLOOKUP(Googleadssales[[#This Row],[Ad_ID]],'[1]pre processed data'!A:S,19,0)</f>
        <v>Mobile</v>
      </c>
      <c r="M701" t="str">
        <f>VLOOKUP(Googleadssales[[#This Row],[Ad_ID]],'[1]pre processed data'!A:T,20,0)</f>
        <v>data analytics training</v>
      </c>
    </row>
    <row r="702" spans="1:13" x14ac:dyDescent="0.3">
      <c r="A702" t="s">
        <v>715</v>
      </c>
      <c r="B702" t="s">
        <v>14</v>
      </c>
      <c r="C702" s="4">
        <f>VLOOKUP(Googleadssales[[#This Row],[Ad_ID]],'[1]pre processed data'!A:C,3,0)</f>
        <v>112</v>
      </c>
      <c r="D702" s="4">
        <f>VLOOKUP(Googleadssales[[#This Row],[Ad_ID]],'[1]pre processed data'!A:E,5,0)</f>
        <v>5093</v>
      </c>
      <c r="E702" s="5" t="str">
        <f>VLOOKUP(Googleadssales[[#This Row],[Ad_ID]],[1]!Table3[[Ad_ID]:[Cost-imputed]],7,0)</f>
        <v>$228.8</v>
      </c>
      <c r="F702" s="4">
        <f>VLOOKUP(Googleadssales[[#This Row],[Ad_ID]],'[1]pre processed data'!A:I,9,0)</f>
        <v>23</v>
      </c>
      <c r="G702" s="4">
        <f>VLOOKUP(Googleadssales[[#This Row],[Ad_ID]],'[1]pre processed data'!A:K,11,0)</f>
        <v>7</v>
      </c>
      <c r="H702" s="2">
        <f>Googleadssales[[#This Row],[Conversions]]/Googleadssales[[#This Row],[Clicks]]</f>
        <v>6.25E-2</v>
      </c>
      <c r="I702" t="str">
        <f>VLOOKUP(Googleadssales[[#This Row],[Ad_ID]],'[1]pre processed data'!A:O,15,0)</f>
        <v>$1188</v>
      </c>
      <c r="J702" s="3">
        <f>VLOOKUP(Googleadssales[[#This Row],[Ad_ID]],'[1]pre processed data'!A:Q,17,0)</f>
        <v>45613</v>
      </c>
      <c r="K702" t="str">
        <f>VLOOKUP(Googleadssales[[#This Row],[Ad_ID]],'[1]pre processed data'!A:R,18,0)</f>
        <v>Hyderabad</v>
      </c>
      <c r="L702" t="str">
        <f>VLOOKUP(Googleadssales[[#This Row],[Ad_ID]],'[1]pre processed data'!A:S,19,0)</f>
        <v>Desktop</v>
      </c>
      <c r="M702" t="str">
        <f>VLOOKUP(Googleadssales[[#This Row],[Ad_ID]],'[1]pre processed data'!A:T,20,0)</f>
        <v>analytics for data</v>
      </c>
    </row>
    <row r="703" spans="1:13" x14ac:dyDescent="0.3">
      <c r="A703" t="s">
        <v>716</v>
      </c>
      <c r="B703" t="s">
        <v>14</v>
      </c>
      <c r="C703" s="4">
        <f>VLOOKUP(Googleadssales[[#This Row],[Ad_ID]],'[1]pre processed data'!A:C,3,0)</f>
        <v>188</v>
      </c>
      <c r="D703" s="4">
        <f>VLOOKUP(Googleadssales[[#This Row],[Ad_ID]],'[1]pre processed data'!A:E,5,0)</f>
        <v>5336</v>
      </c>
      <c r="E703" s="5" t="str">
        <f>VLOOKUP(Googleadssales[[#This Row],[Ad_ID]],[1]!Table3[[Ad_ID]:[Cost-imputed]],7,0)</f>
        <v>$188.73</v>
      </c>
      <c r="F703" s="4">
        <f>VLOOKUP(Googleadssales[[#This Row],[Ad_ID]],'[1]pre processed data'!A:I,9,0)</f>
        <v>17</v>
      </c>
      <c r="G703" s="4">
        <f>VLOOKUP(Googleadssales[[#This Row],[Ad_ID]],'[1]pre processed data'!A:K,11,0)</f>
        <v>3</v>
      </c>
      <c r="H703" s="2">
        <f>Googleadssales[[#This Row],[Conversions]]/Googleadssales[[#This Row],[Clicks]]</f>
        <v>1.5957446808510637E-2</v>
      </c>
      <c r="I703" t="str">
        <f>VLOOKUP(Googleadssales[[#This Row],[Ad_ID]],'[1]pre processed data'!A:O,15,0)</f>
        <v>$1601</v>
      </c>
      <c r="J703" s="3">
        <f>VLOOKUP(Googleadssales[[#This Row],[Ad_ID]],'[1]pre processed data'!A:Q,17,0)</f>
        <v>45599</v>
      </c>
      <c r="K703" t="str">
        <f>VLOOKUP(Googleadssales[[#This Row],[Ad_ID]],'[1]pre processed data'!A:R,18,0)</f>
        <v>Hyderabad</v>
      </c>
      <c r="L703" t="str">
        <f>VLOOKUP(Googleadssales[[#This Row],[Ad_ID]],'[1]pre processed data'!A:S,19,0)</f>
        <v>Tablet</v>
      </c>
      <c r="M703" t="str">
        <f>VLOOKUP(Googleadssales[[#This Row],[Ad_ID]],'[1]pre processed data'!A:T,20,0)</f>
        <v>online data analytic</v>
      </c>
    </row>
    <row r="704" spans="1:13" x14ac:dyDescent="0.3">
      <c r="A704" t="s">
        <v>717</v>
      </c>
      <c r="B704" t="s">
        <v>14</v>
      </c>
      <c r="C704" s="4">
        <f>VLOOKUP(Googleadssales[[#This Row],[Ad_ID]],'[1]pre processed data'!A:C,3,0)</f>
        <v>85</v>
      </c>
      <c r="D704" s="4">
        <f>VLOOKUP(Googleadssales[[#This Row],[Ad_ID]],'[1]pre processed data'!A:E,5,0)</f>
        <v>4963</v>
      </c>
      <c r="E704" s="5" t="str">
        <f>VLOOKUP(Googleadssales[[#This Row],[Ad_ID]],[1]!Table3[[Ad_ID]:[Cost-imputed]],7,0)</f>
        <v>$186.21</v>
      </c>
      <c r="F704" s="4">
        <f>VLOOKUP(Googleadssales[[#This Row],[Ad_ID]],'[1]pre processed data'!A:I,9,0)</f>
        <v>14</v>
      </c>
      <c r="G704" s="4">
        <f>VLOOKUP(Googleadssales[[#This Row],[Ad_ID]],'[1]pre processed data'!A:K,11,0)</f>
        <v>6</v>
      </c>
      <c r="H704" s="2">
        <f>Googleadssales[[#This Row],[Conversions]]/Googleadssales[[#This Row],[Clicks]]</f>
        <v>7.0588235294117646E-2</v>
      </c>
      <c r="I704" t="str">
        <f>VLOOKUP(Googleadssales[[#This Row],[Ad_ID]],'[1]pre processed data'!A:O,15,0)</f>
        <v>$1747</v>
      </c>
      <c r="J704" s="3">
        <f>VLOOKUP(Googleadssales[[#This Row],[Ad_ID]],'[1]pre processed data'!A:Q,17,0)</f>
        <v>45601</v>
      </c>
      <c r="K704" t="str">
        <f>VLOOKUP(Googleadssales[[#This Row],[Ad_ID]],'[1]pre processed data'!A:R,18,0)</f>
        <v>Hyderabad</v>
      </c>
      <c r="L704" t="str">
        <f>VLOOKUP(Googleadssales[[#This Row],[Ad_ID]],'[1]pre processed data'!A:S,19,0)</f>
        <v>Mobile</v>
      </c>
      <c r="M704" t="str">
        <f>VLOOKUP(Googleadssales[[#This Row],[Ad_ID]],'[1]pre processed data'!A:T,20,0)</f>
        <v>data analytics course</v>
      </c>
    </row>
    <row r="705" spans="1:13" x14ac:dyDescent="0.3">
      <c r="A705" t="s">
        <v>718</v>
      </c>
      <c r="B705" t="s">
        <v>18</v>
      </c>
      <c r="C705" s="4">
        <f>VLOOKUP(Googleadssales[[#This Row],[Ad_ID]],'[1]pre processed data'!A:C,3,0)</f>
        <v>94</v>
      </c>
      <c r="D705" s="4">
        <f>VLOOKUP(Googleadssales[[#This Row],[Ad_ID]],'[1]pre processed data'!A:E,5,0)</f>
        <v>4544</v>
      </c>
      <c r="E705" s="5" t="str">
        <f>VLOOKUP(Googleadssales[[#This Row],[Ad_ID]],[1]!Table3[[Ad_ID]:[Cost-imputed]],7,0)</f>
        <v>$235.77</v>
      </c>
      <c r="F705" s="4">
        <f>VLOOKUP(Googleadssales[[#This Row],[Ad_ID]],'[1]pre processed data'!A:I,9,0)</f>
        <v>23</v>
      </c>
      <c r="G705" s="4">
        <f>VLOOKUP(Googleadssales[[#This Row],[Ad_ID]],'[1]pre processed data'!A:K,11,0)</f>
        <v>8</v>
      </c>
      <c r="H705" s="2">
        <f>Googleadssales[[#This Row],[Conversions]]/Googleadssales[[#This Row],[Clicks]]</f>
        <v>8.5106382978723402E-2</v>
      </c>
      <c r="I705" t="str">
        <f>VLOOKUP(Googleadssales[[#This Row],[Ad_ID]],'[1]pre processed data'!A:O,15,0)</f>
        <v>$1342</v>
      </c>
      <c r="J705" s="3">
        <f>VLOOKUP(Googleadssales[[#This Row],[Ad_ID]],'[1]pre processed data'!A:Q,17,0)</f>
        <v>45601</v>
      </c>
      <c r="K705" t="str">
        <f>VLOOKUP(Googleadssales[[#This Row],[Ad_ID]],'[1]pre processed data'!A:R,18,0)</f>
        <v>Hyderabad</v>
      </c>
      <c r="L705" t="str">
        <f>VLOOKUP(Googleadssales[[#This Row],[Ad_ID]],'[1]pre processed data'!A:S,19,0)</f>
        <v>Tablet</v>
      </c>
      <c r="M705" t="str">
        <f>VLOOKUP(Googleadssales[[#This Row],[Ad_ID]],'[1]pre processed data'!A:T,20,0)</f>
        <v>online data analytic</v>
      </c>
    </row>
    <row r="706" spans="1:13" x14ac:dyDescent="0.3">
      <c r="A706" t="s">
        <v>719</v>
      </c>
      <c r="B706" t="s">
        <v>18</v>
      </c>
      <c r="C706" s="4">
        <f>VLOOKUP(Googleadssales[[#This Row],[Ad_ID]],'[1]pre processed data'!A:C,3,0)</f>
        <v>177</v>
      </c>
      <c r="D706" s="4">
        <f>VLOOKUP(Googleadssales[[#This Row],[Ad_ID]],'[1]pre processed data'!A:E,5,0)</f>
        <v>4901</v>
      </c>
      <c r="E706" s="5" t="str">
        <f>VLOOKUP(Googleadssales[[#This Row],[Ad_ID]],[1]!Table3[[Ad_ID]:[Cost-imputed]],7,0)</f>
        <v>$217.54</v>
      </c>
      <c r="F706" s="4">
        <f>VLOOKUP(Googleadssales[[#This Row],[Ad_ID]],'[1]pre processed data'!A:I,9,0)</f>
        <v>20</v>
      </c>
      <c r="G706" s="4">
        <f>VLOOKUP(Googleadssales[[#This Row],[Ad_ID]],'[1]pre processed data'!A:K,11,0)</f>
        <v>10</v>
      </c>
      <c r="H706" s="2">
        <f>Googleadssales[[#This Row],[Conversions]]/Googleadssales[[#This Row],[Clicks]]</f>
        <v>5.6497175141242938E-2</v>
      </c>
      <c r="I706" t="str">
        <f>VLOOKUP(Googleadssales[[#This Row],[Ad_ID]],'[1]pre processed data'!A:O,15,0)</f>
        <v>$1975</v>
      </c>
      <c r="J706" s="3">
        <f>VLOOKUP(Googleadssales[[#This Row],[Ad_ID]],'[1]pre processed data'!A:Q,17,0)</f>
        <v>45609</v>
      </c>
      <c r="K706" t="str">
        <f>VLOOKUP(Googleadssales[[#This Row],[Ad_ID]],'[1]pre processed data'!A:R,18,0)</f>
        <v>Hyderabad</v>
      </c>
      <c r="L706" t="str">
        <f>VLOOKUP(Googleadssales[[#This Row],[Ad_ID]],'[1]pre processed data'!A:S,19,0)</f>
        <v>Tablet</v>
      </c>
      <c r="M706" t="str">
        <f>VLOOKUP(Googleadssales[[#This Row],[Ad_ID]],'[1]pre processed data'!A:T,20,0)</f>
        <v>data analytics online</v>
      </c>
    </row>
    <row r="707" spans="1:13" x14ac:dyDescent="0.3">
      <c r="A707" t="s">
        <v>720</v>
      </c>
      <c r="B707" t="s">
        <v>14</v>
      </c>
      <c r="C707" s="4">
        <f>VLOOKUP(Googleadssales[[#This Row],[Ad_ID]],'[1]pre processed data'!A:C,3,0)</f>
        <v>150</v>
      </c>
      <c r="D707" s="4">
        <f>VLOOKUP(Googleadssales[[#This Row],[Ad_ID]],'[1]pre processed data'!A:E,5,0)</f>
        <v>5275</v>
      </c>
      <c r="E707" s="5" t="str">
        <f>VLOOKUP(Googleadssales[[#This Row],[Ad_ID]],[1]!Table3[[Ad_ID]:[Cost-imputed]],7,0)</f>
        <v>$192.7</v>
      </c>
      <c r="F707" s="4">
        <f>VLOOKUP(Googleadssales[[#This Row],[Ad_ID]],'[1]pre processed data'!A:I,9,0)</f>
        <v>14</v>
      </c>
      <c r="G707" s="4">
        <f>VLOOKUP(Googleadssales[[#This Row],[Ad_ID]],'[1]pre processed data'!A:K,11,0)</f>
        <v>4</v>
      </c>
      <c r="H707" s="2">
        <f>Googleadssales[[#This Row],[Conversions]]/Googleadssales[[#This Row],[Clicks]]</f>
        <v>2.6666666666666668E-2</v>
      </c>
      <c r="I707" t="str">
        <f>VLOOKUP(Googleadssales[[#This Row],[Ad_ID]],'[1]pre processed data'!A:O,15,0)</f>
        <v>$1170</v>
      </c>
      <c r="J707" s="3">
        <f>VLOOKUP(Googleadssales[[#This Row],[Ad_ID]],'[1]pre processed data'!A:Q,17,0)</f>
        <v>45623</v>
      </c>
      <c r="K707" t="str">
        <f>VLOOKUP(Googleadssales[[#This Row],[Ad_ID]],'[1]pre processed data'!A:R,18,0)</f>
        <v>Bangaluru</v>
      </c>
      <c r="L707" t="str">
        <f>VLOOKUP(Googleadssales[[#This Row],[Ad_ID]],'[1]pre processed data'!A:S,19,0)</f>
        <v>Tablet</v>
      </c>
      <c r="M707" t="str">
        <f>VLOOKUP(Googleadssales[[#This Row],[Ad_ID]],'[1]pre processed data'!A:T,20,0)</f>
        <v>data analytics online</v>
      </c>
    </row>
    <row r="708" spans="1:13" x14ac:dyDescent="0.3">
      <c r="A708" t="s">
        <v>721</v>
      </c>
      <c r="B708" t="s">
        <v>18</v>
      </c>
      <c r="C708" s="4">
        <f>VLOOKUP(Googleadssales[[#This Row],[Ad_ID]],'[1]pre processed data'!A:C,3,0)</f>
        <v>88</v>
      </c>
      <c r="D708" s="4">
        <f>VLOOKUP(Googleadssales[[#This Row],[Ad_ID]],'[1]pre processed data'!A:E,5,0)</f>
        <v>5225</v>
      </c>
      <c r="E708" s="5" t="str">
        <f>VLOOKUP(Googleadssales[[#This Row],[Ad_ID]],[1]!Table3[[Ad_ID]:[Cost-imputed]],7,0)</f>
        <v>$202.97</v>
      </c>
      <c r="F708" s="4">
        <f>VLOOKUP(Googleadssales[[#This Row],[Ad_ID]],'[1]pre processed data'!A:I,9,0)</f>
        <v>22</v>
      </c>
      <c r="G708" s="4">
        <f>VLOOKUP(Googleadssales[[#This Row],[Ad_ID]],'[1]pre processed data'!A:K,11,0)</f>
        <v>6</v>
      </c>
      <c r="H708" s="2">
        <f>Googleadssales[[#This Row],[Conversions]]/Googleadssales[[#This Row],[Clicks]]</f>
        <v>6.8181818181818177E-2</v>
      </c>
      <c r="I708" t="str">
        <f>VLOOKUP(Googleadssales[[#This Row],[Ad_ID]],'[1]pre processed data'!A:O,15,0)</f>
        <v>$1128</v>
      </c>
      <c r="J708" s="3">
        <f>VLOOKUP(Googleadssales[[#This Row],[Ad_ID]],'[1]pre processed data'!A:Q,17,0)</f>
        <v>45609</v>
      </c>
      <c r="K708" t="str">
        <f>VLOOKUP(Googleadssales[[#This Row],[Ad_ID]],'[1]pre processed data'!A:R,18,0)</f>
        <v>Chennai</v>
      </c>
      <c r="L708" t="str">
        <f>VLOOKUP(Googleadssales[[#This Row],[Ad_ID]],'[1]pre processed data'!A:S,19,0)</f>
        <v>Tablet</v>
      </c>
      <c r="M708" t="str">
        <f>VLOOKUP(Googleadssales[[#This Row],[Ad_ID]],'[1]pre processed data'!A:T,20,0)</f>
        <v>online data analytic</v>
      </c>
    </row>
    <row r="709" spans="1:13" x14ac:dyDescent="0.3">
      <c r="A709" t="s">
        <v>722</v>
      </c>
      <c r="B709" t="s">
        <v>14</v>
      </c>
      <c r="C709" s="4">
        <f>VLOOKUP(Googleadssales[[#This Row],[Ad_ID]],'[1]pre processed data'!A:C,3,0)</f>
        <v>128</v>
      </c>
      <c r="D709" s="4">
        <f>VLOOKUP(Googleadssales[[#This Row],[Ad_ID]],'[1]pre processed data'!A:E,5,0)</f>
        <v>4857</v>
      </c>
      <c r="E709" s="5" t="str">
        <f>VLOOKUP(Googleadssales[[#This Row],[Ad_ID]],[1]!Table3[[Ad_ID]:[Cost-imputed]],7,0)</f>
        <v>$212.61</v>
      </c>
      <c r="F709" s="4">
        <f>VLOOKUP(Googleadssales[[#This Row],[Ad_ID]],'[1]pre processed data'!A:I,9,0)</f>
        <v>14</v>
      </c>
      <c r="G709" s="4">
        <f>VLOOKUP(Googleadssales[[#This Row],[Ad_ID]],'[1]pre processed data'!A:K,11,0)</f>
        <v>5</v>
      </c>
      <c r="H709" s="2">
        <f>Googleadssales[[#This Row],[Conversions]]/Googleadssales[[#This Row],[Clicks]]</f>
        <v>3.90625E-2</v>
      </c>
      <c r="I709" t="str">
        <f>VLOOKUP(Googleadssales[[#This Row],[Ad_ID]],'[1]pre processed data'!A:O,15,0)</f>
        <v>$1538</v>
      </c>
      <c r="J709" s="3">
        <f>VLOOKUP(Googleadssales[[#This Row],[Ad_ID]],'[1]pre processed data'!A:Q,17,0)</f>
        <v>45621</v>
      </c>
      <c r="K709" t="str">
        <f>VLOOKUP(Googleadssales[[#This Row],[Ad_ID]],'[1]pre processed data'!A:R,18,0)</f>
        <v>Chennai</v>
      </c>
      <c r="L709" t="str">
        <f>VLOOKUP(Googleadssales[[#This Row],[Ad_ID]],'[1]pre processed data'!A:S,19,0)</f>
        <v>Desktop</v>
      </c>
      <c r="M709" t="str">
        <f>VLOOKUP(Googleadssales[[#This Row],[Ad_ID]],'[1]pre processed data'!A:T,20,0)</f>
        <v>data analytics online</v>
      </c>
    </row>
    <row r="710" spans="1:13" x14ac:dyDescent="0.3">
      <c r="A710" t="s">
        <v>723</v>
      </c>
      <c r="B710" t="s">
        <v>18</v>
      </c>
      <c r="C710" s="4">
        <f>VLOOKUP(Googleadssales[[#This Row],[Ad_ID]],'[1]pre processed data'!A:C,3,0)</f>
        <v>163</v>
      </c>
      <c r="D710" s="4">
        <f>VLOOKUP(Googleadssales[[#This Row],[Ad_ID]],'[1]pre processed data'!A:E,5,0)</f>
        <v>5310</v>
      </c>
      <c r="E710" s="5" t="str">
        <f>VLOOKUP(Googleadssales[[#This Row],[Ad_ID]],[1]!Table3[[Ad_ID]:[Cost-imputed]],7,0)</f>
        <v>$242.76</v>
      </c>
      <c r="F710" s="4">
        <f>VLOOKUP(Googleadssales[[#This Row],[Ad_ID]],'[1]pre processed data'!A:I,9,0)</f>
        <v>26</v>
      </c>
      <c r="G710" s="4">
        <f>VLOOKUP(Googleadssales[[#This Row],[Ad_ID]],'[1]pre processed data'!A:K,11,0)</f>
        <v>9</v>
      </c>
      <c r="H710" s="2">
        <f>Googleadssales[[#This Row],[Conversions]]/Googleadssales[[#This Row],[Clicks]]</f>
        <v>5.5214723926380369E-2</v>
      </c>
      <c r="I710" t="str">
        <f>VLOOKUP(Googleadssales[[#This Row],[Ad_ID]],'[1]pre processed data'!A:O,15,0)</f>
        <v>$1793</v>
      </c>
      <c r="J710" s="3">
        <f>VLOOKUP(Googleadssales[[#This Row],[Ad_ID]],'[1]pre processed data'!A:Q,17,0)</f>
        <v>45608</v>
      </c>
      <c r="K710" t="str">
        <f>VLOOKUP(Googleadssales[[#This Row],[Ad_ID]],'[1]pre processed data'!A:R,18,0)</f>
        <v>Hyderabad</v>
      </c>
      <c r="L710" t="str">
        <f>VLOOKUP(Googleadssales[[#This Row],[Ad_ID]],'[1]pre processed data'!A:S,19,0)</f>
        <v>Mobile</v>
      </c>
      <c r="M710" t="str">
        <f>VLOOKUP(Googleadssales[[#This Row],[Ad_ID]],'[1]pre processed data'!A:T,20,0)</f>
        <v>learn data analytics</v>
      </c>
    </row>
    <row r="711" spans="1:13" x14ac:dyDescent="0.3">
      <c r="A711" t="s">
        <v>724</v>
      </c>
      <c r="B711" t="s">
        <v>14</v>
      </c>
      <c r="C711" s="4">
        <f>VLOOKUP(Googleadssales[[#This Row],[Ad_ID]],'[1]pre processed data'!A:C,3,0)</f>
        <v>147</v>
      </c>
      <c r="D711" s="4">
        <f>VLOOKUP(Googleadssales[[#This Row],[Ad_ID]],'[1]pre processed data'!A:E,5,0)</f>
        <v>5014</v>
      </c>
      <c r="E711" s="5" t="str">
        <f>VLOOKUP(Googleadssales[[#This Row],[Ad_ID]],[1]!Table3[[Ad_ID]:[Cost-imputed]],7,0)</f>
        <v>$193.08</v>
      </c>
      <c r="F711" s="4">
        <f>VLOOKUP(Googleadssales[[#This Row],[Ad_ID]],'[1]pre processed data'!A:I,9,0)</f>
        <v>12</v>
      </c>
      <c r="G711" s="4">
        <f>VLOOKUP(Googleadssales[[#This Row],[Ad_ID]],'[1]pre processed data'!A:K,11,0)</f>
        <v>8</v>
      </c>
      <c r="H711" s="2">
        <f>Googleadssales[[#This Row],[Conversions]]/Googleadssales[[#This Row],[Clicks]]</f>
        <v>5.4421768707482991E-2</v>
      </c>
      <c r="I711" t="str">
        <f>VLOOKUP(Googleadssales[[#This Row],[Ad_ID]],'[1]pre processed data'!A:O,15,0)</f>
        <v>$1017</v>
      </c>
      <c r="J711" s="3">
        <f>VLOOKUP(Googleadssales[[#This Row],[Ad_ID]],'[1]pre processed data'!A:Q,17,0)</f>
        <v>45607</v>
      </c>
      <c r="K711" t="str">
        <f>VLOOKUP(Googleadssales[[#This Row],[Ad_ID]],'[1]pre processed data'!A:R,18,0)</f>
        <v>Hyderabad</v>
      </c>
      <c r="L711" t="str">
        <f>VLOOKUP(Googleadssales[[#This Row],[Ad_ID]],'[1]pre processed data'!A:S,19,0)</f>
        <v>Tablet</v>
      </c>
      <c r="M711" t="str">
        <f>VLOOKUP(Googleadssales[[#This Row],[Ad_ID]],'[1]pre processed data'!A:T,20,0)</f>
        <v>online data analytic</v>
      </c>
    </row>
    <row r="712" spans="1:13" x14ac:dyDescent="0.3">
      <c r="A712" t="s">
        <v>725</v>
      </c>
      <c r="B712" t="s">
        <v>14</v>
      </c>
      <c r="C712" s="4">
        <f>VLOOKUP(Googleadssales[[#This Row],[Ad_ID]],'[1]pre processed data'!A:C,3,0)</f>
        <v>191</v>
      </c>
      <c r="D712" s="4">
        <f>VLOOKUP(Googleadssales[[#This Row],[Ad_ID]],'[1]pre processed data'!A:E,5,0)</f>
        <v>5855</v>
      </c>
      <c r="E712" s="5" t="str">
        <f>VLOOKUP(Googleadssales[[#This Row],[Ad_ID]],[1]!Table3[[Ad_ID]:[Cost-imputed]],7,0)</f>
        <v>$196.54</v>
      </c>
      <c r="F712" s="4">
        <f>VLOOKUP(Googleadssales[[#This Row],[Ad_ID]],'[1]pre processed data'!A:I,9,0)</f>
        <v>29</v>
      </c>
      <c r="G712" s="4">
        <f>VLOOKUP(Googleadssales[[#This Row],[Ad_ID]],'[1]pre processed data'!A:K,11,0)</f>
        <v>3</v>
      </c>
      <c r="H712" s="2">
        <f>Googleadssales[[#This Row],[Conversions]]/Googleadssales[[#This Row],[Clicks]]</f>
        <v>1.5706806282722512E-2</v>
      </c>
      <c r="I712" t="str">
        <f>VLOOKUP(Googleadssales[[#This Row],[Ad_ID]],'[1]pre processed data'!A:O,15,0)</f>
        <v>$1085</v>
      </c>
      <c r="J712" s="3">
        <f>VLOOKUP(Googleadssales[[#This Row],[Ad_ID]],'[1]pre processed data'!A:Q,17,0)</f>
        <v>45617</v>
      </c>
      <c r="K712" t="str">
        <f>VLOOKUP(Googleadssales[[#This Row],[Ad_ID]],'[1]pre processed data'!A:R,18,0)</f>
        <v>Chennai</v>
      </c>
      <c r="L712" t="str">
        <f>VLOOKUP(Googleadssales[[#This Row],[Ad_ID]],'[1]pre processed data'!A:S,19,0)</f>
        <v>Desktop</v>
      </c>
      <c r="M712" t="str">
        <f>VLOOKUP(Googleadssales[[#This Row],[Ad_ID]],'[1]pre processed data'!A:T,20,0)</f>
        <v>data analytics course</v>
      </c>
    </row>
    <row r="713" spans="1:13" x14ac:dyDescent="0.3">
      <c r="A713" t="s">
        <v>726</v>
      </c>
      <c r="B713" t="s">
        <v>14</v>
      </c>
      <c r="C713" s="4">
        <f>VLOOKUP(Googleadssales[[#This Row],[Ad_ID]],'[1]pre processed data'!A:C,3,0)</f>
        <v>138.95699356913184</v>
      </c>
      <c r="D713" s="4">
        <f>VLOOKUP(Googleadssales[[#This Row],[Ad_ID]],'[1]pre processed data'!A:E,5,0)</f>
        <v>5916</v>
      </c>
      <c r="E713" s="5" t="str">
        <f>VLOOKUP(Googleadssales[[#This Row],[Ad_ID]],[1]!Table3[[Ad_ID]:[Cost-imputed]],7,0)</f>
        <v>$234.46</v>
      </c>
      <c r="F713" s="4">
        <f>VLOOKUP(Googleadssales[[#This Row],[Ad_ID]],'[1]pre processed data'!A:I,9,0)</f>
        <v>17</v>
      </c>
      <c r="G713" s="4">
        <f>VLOOKUP(Googleadssales[[#This Row],[Ad_ID]],'[1]pre processed data'!A:K,11,0)</f>
        <v>6</v>
      </c>
      <c r="H713" s="2">
        <f>Googleadssales[[#This Row],[Conversions]]/Googleadssales[[#This Row],[Clicks]]</f>
        <v>4.317882710246583E-2</v>
      </c>
      <c r="I713" t="str">
        <f>VLOOKUP(Googleadssales[[#This Row],[Ad_ID]],'[1]pre processed data'!A:O,15,0)</f>
        <v>$1982</v>
      </c>
      <c r="J713" s="3">
        <f>VLOOKUP(Googleadssales[[#This Row],[Ad_ID]],'[1]pre processed data'!A:Q,17,0)</f>
        <v>45598</v>
      </c>
      <c r="K713" t="str">
        <f>VLOOKUP(Googleadssales[[#This Row],[Ad_ID]],'[1]pre processed data'!A:R,18,0)</f>
        <v>Bangaluru</v>
      </c>
      <c r="L713" t="str">
        <f>VLOOKUP(Googleadssales[[#This Row],[Ad_ID]],'[1]pre processed data'!A:S,19,0)</f>
        <v>Desktop</v>
      </c>
      <c r="M713" t="str">
        <f>VLOOKUP(Googleadssales[[#This Row],[Ad_ID]],'[1]pre processed data'!A:T,20,0)</f>
        <v>data analytics course</v>
      </c>
    </row>
    <row r="714" spans="1:13" x14ac:dyDescent="0.3">
      <c r="A714" t="s">
        <v>727</v>
      </c>
      <c r="B714" t="s">
        <v>18</v>
      </c>
      <c r="C714" s="4">
        <f>VLOOKUP(Googleadssales[[#This Row],[Ad_ID]],'[1]pre processed data'!A:C,3,0)</f>
        <v>115</v>
      </c>
      <c r="D714" s="4">
        <f>VLOOKUP(Googleadssales[[#This Row],[Ad_ID]],'[1]pre processed data'!A:E,5,0)</f>
        <v>3952</v>
      </c>
      <c r="E714" s="5" t="str">
        <f>VLOOKUP(Googleadssales[[#This Row],[Ad_ID]],[1]!Table3[[Ad_ID]:[Cost-imputed]],7,0)</f>
        <v>$229.18</v>
      </c>
      <c r="F714" s="4">
        <f>VLOOKUP(Googleadssales[[#This Row],[Ad_ID]],'[1]pre processed data'!A:I,9,0)</f>
        <v>25</v>
      </c>
      <c r="G714" s="4">
        <f>VLOOKUP(Googleadssales[[#This Row],[Ad_ID]],'[1]pre processed data'!A:K,11,0)</f>
        <v>4</v>
      </c>
      <c r="H714" s="2">
        <f>Googleadssales[[#This Row],[Conversions]]/Googleadssales[[#This Row],[Clicks]]</f>
        <v>3.4782608695652174E-2</v>
      </c>
      <c r="I714" t="str">
        <f>VLOOKUP(Googleadssales[[#This Row],[Ad_ID]],'[1]pre processed data'!A:O,15,0)</f>
        <v>$1440</v>
      </c>
      <c r="J714" s="3">
        <f>VLOOKUP(Googleadssales[[#This Row],[Ad_ID]],'[1]pre processed data'!A:Q,17,0)</f>
        <v>45616</v>
      </c>
      <c r="K714" t="str">
        <f>VLOOKUP(Googleadssales[[#This Row],[Ad_ID]],'[1]pre processed data'!A:R,18,0)</f>
        <v>Hyderabad</v>
      </c>
      <c r="L714" t="str">
        <f>VLOOKUP(Googleadssales[[#This Row],[Ad_ID]],'[1]pre processed data'!A:S,19,0)</f>
        <v>Tablet</v>
      </c>
      <c r="M714" t="str">
        <f>VLOOKUP(Googleadssales[[#This Row],[Ad_ID]],'[1]pre processed data'!A:T,20,0)</f>
        <v>online data analytic</v>
      </c>
    </row>
    <row r="715" spans="1:13" x14ac:dyDescent="0.3">
      <c r="A715" t="s">
        <v>728</v>
      </c>
      <c r="B715" t="s">
        <v>14</v>
      </c>
      <c r="C715" s="4">
        <f>VLOOKUP(Googleadssales[[#This Row],[Ad_ID]],'[1]pre processed data'!A:C,3,0)</f>
        <v>123</v>
      </c>
      <c r="D715" s="4">
        <f>VLOOKUP(Googleadssales[[#This Row],[Ad_ID]],'[1]pre processed data'!A:E,5,0)</f>
        <v>4208</v>
      </c>
      <c r="E715" s="5" t="str">
        <f>VLOOKUP(Googleadssales[[#This Row],[Ad_ID]],[1]!Table3[[Ad_ID]:[Cost-imputed]],7,0)</f>
        <v>$212.92</v>
      </c>
      <c r="F715" s="4">
        <f>VLOOKUP(Googleadssales[[#This Row],[Ad_ID]],'[1]pre processed data'!A:I,9,0)</f>
        <v>29</v>
      </c>
      <c r="G715" s="4">
        <f>VLOOKUP(Googleadssales[[#This Row],[Ad_ID]],'[1]pre processed data'!A:K,11,0)</f>
        <v>6</v>
      </c>
      <c r="H715" s="2">
        <f>Googleadssales[[#This Row],[Conversions]]/Googleadssales[[#This Row],[Clicks]]</f>
        <v>4.878048780487805E-2</v>
      </c>
      <c r="I715" t="str">
        <f>VLOOKUP(Googleadssales[[#This Row],[Ad_ID]],'[1]pre processed data'!A:O,15,0)</f>
        <v>$1184</v>
      </c>
      <c r="J715" s="3">
        <f>VLOOKUP(Googleadssales[[#This Row],[Ad_ID]],'[1]pre processed data'!A:Q,17,0)</f>
        <v>45601</v>
      </c>
      <c r="K715" t="str">
        <f>VLOOKUP(Googleadssales[[#This Row],[Ad_ID]],'[1]pre processed data'!A:R,18,0)</f>
        <v>Chennai</v>
      </c>
      <c r="L715" t="str">
        <f>VLOOKUP(Googleadssales[[#This Row],[Ad_ID]],'[1]pre processed data'!A:S,19,0)</f>
        <v>Desktop</v>
      </c>
      <c r="M715" t="str">
        <f>VLOOKUP(Googleadssales[[#This Row],[Ad_ID]],'[1]pre processed data'!A:T,20,0)</f>
        <v>learn data analytics</v>
      </c>
    </row>
    <row r="716" spans="1:13" x14ac:dyDescent="0.3">
      <c r="A716" t="s">
        <v>729</v>
      </c>
      <c r="B716" t="s">
        <v>14</v>
      </c>
      <c r="C716" s="4">
        <f>VLOOKUP(Googleadssales[[#This Row],[Ad_ID]],'[1]pre processed data'!A:C,3,0)</f>
        <v>121</v>
      </c>
      <c r="D716" s="4">
        <f>VLOOKUP(Googleadssales[[#This Row],[Ad_ID]],'[1]pre processed data'!A:E,5,0)</f>
        <v>5517</v>
      </c>
      <c r="E716" s="5" t="str">
        <f>VLOOKUP(Googleadssales[[#This Row],[Ad_ID]],[1]!Table3[[Ad_ID]:[Cost-imputed]],7,0)</f>
        <v>$222.14</v>
      </c>
      <c r="F716" s="4">
        <f>VLOOKUP(Googleadssales[[#This Row],[Ad_ID]],'[1]pre processed data'!A:I,9,0)</f>
        <v>16</v>
      </c>
      <c r="G716" s="4">
        <f>VLOOKUP(Googleadssales[[#This Row],[Ad_ID]],'[1]pre processed data'!A:K,11,0)</f>
        <v>7</v>
      </c>
      <c r="H716" s="2">
        <f>Googleadssales[[#This Row],[Conversions]]/Googleadssales[[#This Row],[Clicks]]</f>
        <v>5.7851239669421489E-2</v>
      </c>
      <c r="I716" t="str">
        <f>VLOOKUP(Googleadssales[[#This Row],[Ad_ID]],'[1]pre processed data'!A:O,15,0)</f>
        <v>$1682</v>
      </c>
      <c r="J716" s="3">
        <f>VLOOKUP(Googleadssales[[#This Row],[Ad_ID]],'[1]pre processed data'!A:Q,17,0)</f>
        <v>45598</v>
      </c>
      <c r="K716" t="str">
        <f>VLOOKUP(Googleadssales[[#This Row],[Ad_ID]],'[1]pre processed data'!A:R,18,0)</f>
        <v>Hyderabad</v>
      </c>
      <c r="L716" t="str">
        <f>VLOOKUP(Googleadssales[[#This Row],[Ad_ID]],'[1]pre processed data'!A:S,19,0)</f>
        <v>Tablet</v>
      </c>
      <c r="M716" t="str">
        <f>VLOOKUP(Googleadssales[[#This Row],[Ad_ID]],'[1]pre processed data'!A:T,20,0)</f>
        <v>learn data analytics</v>
      </c>
    </row>
    <row r="717" spans="1:13" x14ac:dyDescent="0.3">
      <c r="A717" t="s">
        <v>730</v>
      </c>
      <c r="B717" t="s">
        <v>18</v>
      </c>
      <c r="C717" s="4">
        <f>VLOOKUP(Googleadssales[[#This Row],[Ad_ID]],'[1]pre processed data'!A:C,3,0)</f>
        <v>126</v>
      </c>
      <c r="D717" s="4">
        <f>VLOOKUP(Googleadssales[[#This Row],[Ad_ID]],'[1]pre processed data'!A:E,5,0)</f>
        <v>5460</v>
      </c>
      <c r="E717" s="5" t="str">
        <f>VLOOKUP(Googleadssales[[#This Row],[Ad_ID]],[1]!Table3[[Ad_ID]:[Cost-imputed]],7,0)</f>
        <v>$210.83</v>
      </c>
      <c r="F717" s="4">
        <f>VLOOKUP(Googleadssales[[#This Row],[Ad_ID]],'[1]pre processed data'!A:I,9,0)</f>
        <v>24</v>
      </c>
      <c r="G717" s="4">
        <f>VLOOKUP(Googleadssales[[#This Row],[Ad_ID]],'[1]pre processed data'!A:K,11,0)</f>
        <v>10</v>
      </c>
      <c r="H717" s="2">
        <f>Googleadssales[[#This Row],[Conversions]]/Googleadssales[[#This Row],[Clicks]]</f>
        <v>7.9365079365079361E-2</v>
      </c>
      <c r="I717" t="str">
        <f>VLOOKUP(Googleadssales[[#This Row],[Ad_ID]],'[1]pre processed data'!A:O,15,0)</f>
        <v>$1326</v>
      </c>
      <c r="J717" s="3">
        <f>VLOOKUP(Googleadssales[[#This Row],[Ad_ID]],'[1]pre processed data'!A:Q,17,0)</f>
        <v>45610</v>
      </c>
      <c r="K717" t="str">
        <f>VLOOKUP(Googleadssales[[#This Row],[Ad_ID]],'[1]pre processed data'!A:R,18,0)</f>
        <v>Bangaluru</v>
      </c>
      <c r="L717" t="str">
        <f>VLOOKUP(Googleadssales[[#This Row],[Ad_ID]],'[1]pre processed data'!A:S,19,0)</f>
        <v>Tablet</v>
      </c>
      <c r="M717" t="str">
        <f>VLOOKUP(Googleadssales[[#This Row],[Ad_ID]],'[1]pre processed data'!A:T,20,0)</f>
        <v>online data analytic</v>
      </c>
    </row>
    <row r="718" spans="1:13" x14ac:dyDescent="0.3">
      <c r="A718" t="s">
        <v>731</v>
      </c>
      <c r="B718" t="s">
        <v>14</v>
      </c>
      <c r="C718" s="4">
        <f>VLOOKUP(Googleadssales[[#This Row],[Ad_ID]],'[1]pre processed data'!A:C,3,0)</f>
        <v>110</v>
      </c>
      <c r="D718" s="4">
        <f>VLOOKUP(Googleadssales[[#This Row],[Ad_ID]],'[1]pre processed data'!A:E,5,0)</f>
        <v>3159</v>
      </c>
      <c r="E718" s="5" t="str">
        <f>VLOOKUP(Googleadssales[[#This Row],[Ad_ID]],[1]!Table3[[Ad_ID]:[Cost-imputed]],7,0)</f>
        <v>$197.92</v>
      </c>
      <c r="F718" s="4">
        <f>VLOOKUP(Googleadssales[[#This Row],[Ad_ID]],'[1]pre processed data'!A:I,9,0)</f>
        <v>26</v>
      </c>
      <c r="G718" s="4">
        <f>VLOOKUP(Googleadssales[[#This Row],[Ad_ID]],'[1]pre processed data'!A:K,11,0)</f>
        <v>10</v>
      </c>
      <c r="H718" s="2">
        <f>Googleadssales[[#This Row],[Conversions]]/Googleadssales[[#This Row],[Clicks]]</f>
        <v>9.0909090909090912E-2</v>
      </c>
      <c r="I718" t="str">
        <f>VLOOKUP(Googleadssales[[#This Row],[Ad_ID]],'[1]pre processed data'!A:O,15,0)</f>
        <v>$1608</v>
      </c>
      <c r="J718" s="3">
        <f>VLOOKUP(Googleadssales[[#This Row],[Ad_ID]],'[1]pre processed data'!A:Q,17,0)</f>
        <v>45614</v>
      </c>
      <c r="K718" t="str">
        <f>VLOOKUP(Googleadssales[[#This Row],[Ad_ID]],'[1]pre processed data'!A:R,18,0)</f>
        <v>Bangaluru</v>
      </c>
      <c r="L718" t="str">
        <f>VLOOKUP(Googleadssales[[#This Row],[Ad_ID]],'[1]pre processed data'!A:S,19,0)</f>
        <v>Mobile</v>
      </c>
      <c r="M718" t="str">
        <f>VLOOKUP(Googleadssales[[#This Row],[Ad_ID]],'[1]pre processed data'!A:T,20,0)</f>
        <v>data analytics online</v>
      </c>
    </row>
    <row r="719" spans="1:13" x14ac:dyDescent="0.3">
      <c r="A719" t="s">
        <v>732</v>
      </c>
      <c r="B719" t="s">
        <v>14</v>
      </c>
      <c r="C719" s="4">
        <f>VLOOKUP(Googleadssales[[#This Row],[Ad_ID]],'[1]pre processed data'!A:C,3,0)</f>
        <v>190</v>
      </c>
      <c r="D719" s="4">
        <f>VLOOKUP(Googleadssales[[#This Row],[Ad_ID]],'[1]pre processed data'!A:E,5,0)</f>
        <v>5545</v>
      </c>
      <c r="E719" s="5" t="str">
        <f>VLOOKUP(Googleadssales[[#This Row],[Ad_ID]],[1]!Table3[[Ad_ID]:[Cost-imputed]],7,0)</f>
        <v>$223.96</v>
      </c>
      <c r="F719" s="4">
        <f>VLOOKUP(Googleadssales[[#This Row],[Ad_ID]],'[1]pre processed data'!A:I,9,0)</f>
        <v>13</v>
      </c>
      <c r="G719" s="4">
        <f>VLOOKUP(Googleadssales[[#This Row],[Ad_ID]],'[1]pre processed data'!A:K,11,0)</f>
        <v>7</v>
      </c>
      <c r="H719" s="2">
        <f>Googleadssales[[#This Row],[Conversions]]/Googleadssales[[#This Row],[Clicks]]</f>
        <v>3.6842105263157891E-2</v>
      </c>
      <c r="I719" t="str">
        <f>VLOOKUP(Googleadssales[[#This Row],[Ad_ID]],'[1]pre processed data'!A:O,15,0)</f>
        <v>$1344</v>
      </c>
      <c r="J719" s="3">
        <f>VLOOKUP(Googleadssales[[#This Row],[Ad_ID]],'[1]pre processed data'!A:Q,17,0)</f>
        <v>45610</v>
      </c>
      <c r="K719" t="str">
        <f>VLOOKUP(Googleadssales[[#This Row],[Ad_ID]],'[1]pre processed data'!A:R,18,0)</f>
        <v>Chennai</v>
      </c>
      <c r="L719" t="str">
        <f>VLOOKUP(Googleadssales[[#This Row],[Ad_ID]],'[1]pre processed data'!A:S,19,0)</f>
        <v>Tablet</v>
      </c>
      <c r="M719" t="str">
        <f>VLOOKUP(Googleadssales[[#This Row],[Ad_ID]],'[1]pre processed data'!A:T,20,0)</f>
        <v>analytics for data</v>
      </c>
    </row>
    <row r="720" spans="1:13" x14ac:dyDescent="0.3">
      <c r="A720" t="s">
        <v>733</v>
      </c>
      <c r="B720" t="s">
        <v>14</v>
      </c>
      <c r="C720" s="4">
        <f>VLOOKUP(Googleadssales[[#This Row],[Ad_ID]],'[1]pre processed data'!A:C,3,0)</f>
        <v>148</v>
      </c>
      <c r="D720" s="4">
        <f>VLOOKUP(Googleadssales[[#This Row],[Ad_ID]],'[1]pre processed data'!A:E,5,0)</f>
        <v>3668</v>
      </c>
      <c r="E720" s="5" t="str">
        <f>VLOOKUP(Googleadssales[[#This Row],[Ad_ID]],[1]!Table3[[Ad_ID]:[Cost-imputed]],7,0)</f>
        <v>$245.79</v>
      </c>
      <c r="F720" s="4">
        <f>VLOOKUP(Googleadssales[[#This Row],[Ad_ID]],'[1]pre processed data'!A:I,9,0)</f>
        <v>15</v>
      </c>
      <c r="G720" s="4">
        <f>VLOOKUP(Googleadssales[[#This Row],[Ad_ID]],'[1]pre processed data'!A:K,11,0)</f>
        <v>10</v>
      </c>
      <c r="H720" s="2">
        <f>Googleadssales[[#This Row],[Conversions]]/Googleadssales[[#This Row],[Clicks]]</f>
        <v>6.7567567567567571E-2</v>
      </c>
      <c r="I720" t="str">
        <f>VLOOKUP(Googleadssales[[#This Row],[Ad_ID]],'[1]pre processed data'!A:O,15,0)</f>
        <v>$1718</v>
      </c>
      <c r="J720" s="3">
        <f>VLOOKUP(Googleadssales[[#This Row],[Ad_ID]],'[1]pre processed data'!A:Q,17,0)</f>
        <v>45621</v>
      </c>
      <c r="K720" t="str">
        <f>VLOOKUP(Googleadssales[[#This Row],[Ad_ID]],'[1]pre processed data'!A:R,18,0)</f>
        <v>Hyderabad</v>
      </c>
      <c r="L720" t="str">
        <f>VLOOKUP(Googleadssales[[#This Row],[Ad_ID]],'[1]pre processed data'!A:S,19,0)</f>
        <v>Desktop</v>
      </c>
      <c r="M720" t="str">
        <f>VLOOKUP(Googleadssales[[#This Row],[Ad_ID]],'[1]pre processed data'!A:T,20,0)</f>
        <v>data analytics course</v>
      </c>
    </row>
    <row r="721" spans="1:13" x14ac:dyDescent="0.3">
      <c r="A721" t="s">
        <v>734</v>
      </c>
      <c r="B721" t="s">
        <v>14</v>
      </c>
      <c r="C721" s="4">
        <f>VLOOKUP(Googleadssales[[#This Row],[Ad_ID]],'[1]pre processed data'!A:C,3,0)</f>
        <v>86</v>
      </c>
      <c r="D721" s="4">
        <f>VLOOKUP(Googleadssales[[#This Row],[Ad_ID]],'[1]pre processed data'!A:E,5,0)</f>
        <v>5663</v>
      </c>
      <c r="E721" s="5" t="str">
        <f>VLOOKUP(Googleadssales[[#This Row],[Ad_ID]],[1]!Table3[[Ad_ID]:[Cost-imputed]],7,0)</f>
        <v>$231.79</v>
      </c>
      <c r="F721" s="4">
        <f>VLOOKUP(Googleadssales[[#This Row],[Ad_ID]],'[1]pre processed data'!A:I,9,0)</f>
        <v>19</v>
      </c>
      <c r="G721" s="4">
        <f>VLOOKUP(Googleadssales[[#This Row],[Ad_ID]],'[1]pre processed data'!A:K,11,0)</f>
        <v>10</v>
      </c>
      <c r="H721" s="2">
        <f>Googleadssales[[#This Row],[Conversions]]/Googleadssales[[#This Row],[Clicks]]</f>
        <v>0.11627906976744186</v>
      </c>
      <c r="I721" t="str">
        <f>VLOOKUP(Googleadssales[[#This Row],[Ad_ID]],'[1]pre processed data'!A:O,15,0)</f>
        <v>$1547</v>
      </c>
      <c r="J721" s="3">
        <f>VLOOKUP(Googleadssales[[#This Row],[Ad_ID]],'[1]pre processed data'!A:Q,17,0)</f>
        <v>45613</v>
      </c>
      <c r="K721" t="str">
        <f>VLOOKUP(Googleadssales[[#This Row],[Ad_ID]],'[1]pre processed data'!A:R,18,0)</f>
        <v>Hyderabad</v>
      </c>
      <c r="L721" t="str">
        <f>VLOOKUP(Googleadssales[[#This Row],[Ad_ID]],'[1]pre processed data'!A:S,19,0)</f>
        <v>Mobile</v>
      </c>
      <c r="M721" t="str">
        <f>VLOOKUP(Googleadssales[[#This Row],[Ad_ID]],'[1]pre processed data'!A:T,20,0)</f>
        <v>data analytics training</v>
      </c>
    </row>
    <row r="722" spans="1:13" x14ac:dyDescent="0.3">
      <c r="A722" t="s">
        <v>735</v>
      </c>
      <c r="B722" t="s">
        <v>14</v>
      </c>
      <c r="C722" s="4">
        <f>VLOOKUP(Googleadssales[[#This Row],[Ad_ID]],'[1]pre processed data'!A:C,3,0)</f>
        <v>172</v>
      </c>
      <c r="D722" s="4">
        <f>VLOOKUP(Googleadssales[[#This Row],[Ad_ID]],'[1]pre processed data'!A:E,5,0)</f>
        <v>3123</v>
      </c>
      <c r="E722" s="5" t="str">
        <f>VLOOKUP(Googleadssales[[#This Row],[Ad_ID]],[1]!Table3[[Ad_ID]:[Cost-imputed]],7,0)</f>
        <v>$216.67</v>
      </c>
      <c r="F722" s="4">
        <f>VLOOKUP(Googleadssales[[#This Row],[Ad_ID]],'[1]pre processed data'!A:I,9,0)</f>
        <v>15</v>
      </c>
      <c r="G722" s="4">
        <f>VLOOKUP(Googleadssales[[#This Row],[Ad_ID]],'[1]pre processed data'!A:K,11,0)</f>
        <v>6.5090709180868611</v>
      </c>
      <c r="H722" s="2">
        <f>Googleadssales[[#This Row],[Conversions]]/Googleadssales[[#This Row],[Clicks]]</f>
        <v>3.7843435570272449E-2</v>
      </c>
      <c r="I722" t="str">
        <f>VLOOKUP(Googleadssales[[#This Row],[Ad_ID]],'[1]pre processed data'!A:O,15,0)</f>
        <v>$1759</v>
      </c>
      <c r="J722" s="3">
        <f>VLOOKUP(Googleadssales[[#This Row],[Ad_ID]],'[1]pre processed data'!A:Q,17,0)</f>
        <v>45598</v>
      </c>
      <c r="K722" t="str">
        <f>VLOOKUP(Googleadssales[[#This Row],[Ad_ID]],'[1]pre processed data'!A:R,18,0)</f>
        <v>Bangaluru</v>
      </c>
      <c r="L722" t="str">
        <f>VLOOKUP(Googleadssales[[#This Row],[Ad_ID]],'[1]pre processed data'!A:S,19,0)</f>
        <v>Desktop</v>
      </c>
      <c r="M722" t="str">
        <f>VLOOKUP(Googleadssales[[#This Row],[Ad_ID]],'[1]pre processed data'!A:T,20,0)</f>
        <v>online data analytic</v>
      </c>
    </row>
    <row r="723" spans="1:13" x14ac:dyDescent="0.3">
      <c r="A723" t="s">
        <v>736</v>
      </c>
      <c r="B723" t="s">
        <v>14</v>
      </c>
      <c r="C723" s="4">
        <f>VLOOKUP(Googleadssales[[#This Row],[Ad_ID]],'[1]pre processed data'!A:C,3,0)</f>
        <v>143</v>
      </c>
      <c r="D723" s="4">
        <f>VLOOKUP(Googleadssales[[#This Row],[Ad_ID]],'[1]pre processed data'!A:E,5,0)</f>
        <v>5638</v>
      </c>
      <c r="E723" s="5" t="str">
        <f>VLOOKUP(Googleadssales[[#This Row],[Ad_ID]],[1]!Table3[[Ad_ID]:[Cost-imputed]],7,0)</f>
        <v>$229.41</v>
      </c>
      <c r="F723" s="4">
        <f>VLOOKUP(Googleadssales[[#This Row],[Ad_ID]],'[1]pre processed data'!A:I,9,0)</f>
        <v>23</v>
      </c>
      <c r="G723" s="4">
        <f>VLOOKUP(Googleadssales[[#This Row],[Ad_ID]],'[1]pre processed data'!A:K,11,0)</f>
        <v>4</v>
      </c>
      <c r="H723" s="2">
        <f>Googleadssales[[#This Row],[Conversions]]/Googleadssales[[#This Row],[Clicks]]</f>
        <v>2.7972027972027972E-2</v>
      </c>
      <c r="I723" t="str">
        <f>VLOOKUP(Googleadssales[[#This Row],[Ad_ID]],'[1]pre processed data'!A:O,15,0)</f>
        <v>$1398</v>
      </c>
      <c r="J723" s="3">
        <f>VLOOKUP(Googleadssales[[#This Row],[Ad_ID]],'[1]pre processed data'!A:Q,17,0)</f>
        <v>45599</v>
      </c>
      <c r="K723" t="str">
        <f>VLOOKUP(Googleadssales[[#This Row],[Ad_ID]],'[1]pre processed data'!A:R,18,0)</f>
        <v>Chennai</v>
      </c>
      <c r="L723" t="str">
        <f>VLOOKUP(Googleadssales[[#This Row],[Ad_ID]],'[1]pre processed data'!A:S,19,0)</f>
        <v>Desktop</v>
      </c>
      <c r="M723" t="str">
        <f>VLOOKUP(Googleadssales[[#This Row],[Ad_ID]],'[1]pre processed data'!A:T,20,0)</f>
        <v>online data analytic</v>
      </c>
    </row>
    <row r="724" spans="1:13" x14ac:dyDescent="0.3">
      <c r="A724" t="s">
        <v>737</v>
      </c>
      <c r="B724" t="s">
        <v>14</v>
      </c>
      <c r="C724" s="4">
        <f>VLOOKUP(Googleadssales[[#This Row],[Ad_ID]],'[1]pre processed data'!A:C,3,0)</f>
        <v>172</v>
      </c>
      <c r="D724" s="4">
        <f>VLOOKUP(Googleadssales[[#This Row],[Ad_ID]],'[1]pre processed data'!A:E,5,0)</f>
        <v>4436</v>
      </c>
      <c r="E724" s="5" t="str">
        <f>VLOOKUP(Googleadssales[[#This Row],[Ad_ID]],[1]!Table3[[Ad_ID]:[Cost-imputed]],7,0)</f>
        <v>$232.16</v>
      </c>
      <c r="F724" s="4">
        <f>VLOOKUP(Googleadssales[[#This Row],[Ad_ID]],'[1]pre processed data'!A:I,9,0)</f>
        <v>21</v>
      </c>
      <c r="G724" s="4">
        <f>VLOOKUP(Googleadssales[[#This Row],[Ad_ID]],'[1]pre processed data'!A:K,11,0)</f>
        <v>7</v>
      </c>
      <c r="H724" s="2">
        <f>Googleadssales[[#This Row],[Conversions]]/Googleadssales[[#This Row],[Clicks]]</f>
        <v>4.0697674418604654E-2</v>
      </c>
      <c r="I724" t="str">
        <f>VLOOKUP(Googleadssales[[#This Row],[Ad_ID]],'[1]pre processed data'!A:O,15,0)</f>
        <v>$1050</v>
      </c>
      <c r="J724" s="3">
        <f>VLOOKUP(Googleadssales[[#This Row],[Ad_ID]],'[1]pre processed data'!A:Q,17,0)</f>
        <v>45623</v>
      </c>
      <c r="K724" t="str">
        <f>VLOOKUP(Googleadssales[[#This Row],[Ad_ID]],'[1]pre processed data'!A:R,18,0)</f>
        <v>Hyderabad</v>
      </c>
      <c r="L724" t="str">
        <f>VLOOKUP(Googleadssales[[#This Row],[Ad_ID]],'[1]pre processed data'!A:S,19,0)</f>
        <v>Mobile</v>
      </c>
      <c r="M724" t="str">
        <f>VLOOKUP(Googleadssales[[#This Row],[Ad_ID]],'[1]pre processed data'!A:T,20,0)</f>
        <v>learn data analytics</v>
      </c>
    </row>
    <row r="725" spans="1:13" x14ac:dyDescent="0.3">
      <c r="A725" t="s">
        <v>738</v>
      </c>
      <c r="B725" t="s">
        <v>18</v>
      </c>
      <c r="C725" s="4">
        <f>VLOOKUP(Googleadssales[[#This Row],[Ad_ID]],'[1]pre processed data'!A:C,3,0)</f>
        <v>138</v>
      </c>
      <c r="D725" s="4">
        <f>VLOOKUP(Googleadssales[[#This Row],[Ad_ID]],'[1]pre processed data'!A:E,5,0)</f>
        <v>5555</v>
      </c>
      <c r="E725" s="5" t="str">
        <f>VLOOKUP(Googleadssales[[#This Row],[Ad_ID]],[1]!Table3[[Ad_ID]:[Cost-imputed]],7,0)</f>
        <v>$188.55</v>
      </c>
      <c r="F725" s="4">
        <f>VLOOKUP(Googleadssales[[#This Row],[Ad_ID]],'[1]pre processed data'!A:I,9,0)</f>
        <v>14</v>
      </c>
      <c r="G725" s="4">
        <f>VLOOKUP(Googleadssales[[#This Row],[Ad_ID]],'[1]pre processed data'!A:K,11,0)</f>
        <v>8</v>
      </c>
      <c r="H725" s="2">
        <f>Googleadssales[[#This Row],[Conversions]]/Googleadssales[[#This Row],[Clicks]]</f>
        <v>5.7971014492753624E-2</v>
      </c>
      <c r="I725" t="str">
        <f>VLOOKUP(Googleadssales[[#This Row],[Ad_ID]],'[1]pre processed data'!A:O,15,0)</f>
        <v>$1593</v>
      </c>
      <c r="J725" s="3">
        <f>VLOOKUP(Googleadssales[[#This Row],[Ad_ID]],'[1]pre processed data'!A:Q,17,0)</f>
        <v>45620</v>
      </c>
      <c r="K725" t="str">
        <f>VLOOKUP(Googleadssales[[#This Row],[Ad_ID]],'[1]pre processed data'!A:R,18,0)</f>
        <v>Bangaluru</v>
      </c>
      <c r="L725" t="str">
        <f>VLOOKUP(Googleadssales[[#This Row],[Ad_ID]],'[1]pre processed data'!A:S,19,0)</f>
        <v>Desktop</v>
      </c>
      <c r="M725" t="str">
        <f>VLOOKUP(Googleadssales[[#This Row],[Ad_ID]],'[1]pre processed data'!A:T,20,0)</f>
        <v>data analytics training</v>
      </c>
    </row>
    <row r="726" spans="1:13" x14ac:dyDescent="0.3">
      <c r="A726" t="s">
        <v>739</v>
      </c>
      <c r="B726" t="s">
        <v>18</v>
      </c>
      <c r="C726" s="4">
        <f>VLOOKUP(Googleadssales[[#This Row],[Ad_ID]],'[1]pre processed data'!A:C,3,0)</f>
        <v>132</v>
      </c>
      <c r="D726" s="4">
        <f>VLOOKUP(Googleadssales[[#This Row],[Ad_ID]],'[1]pre processed data'!A:E,5,0)</f>
        <v>4972</v>
      </c>
      <c r="E726" s="5" t="str">
        <f>VLOOKUP(Googleadssales[[#This Row],[Ad_ID]],[1]!Table3[[Ad_ID]:[Cost-imputed]],7,0)</f>
        <v>$248.45</v>
      </c>
      <c r="F726" s="4">
        <f>VLOOKUP(Googleadssales[[#This Row],[Ad_ID]],'[1]pre processed data'!A:I,9,0)</f>
        <v>25</v>
      </c>
      <c r="G726" s="4">
        <f>VLOOKUP(Googleadssales[[#This Row],[Ad_ID]],'[1]pre processed data'!A:K,11,0)</f>
        <v>9</v>
      </c>
      <c r="H726" s="2">
        <f>Googleadssales[[#This Row],[Conversions]]/Googleadssales[[#This Row],[Clicks]]</f>
        <v>6.8181818181818177E-2</v>
      </c>
      <c r="I726" t="str">
        <f>VLOOKUP(Googleadssales[[#This Row],[Ad_ID]],'[1]pre processed data'!A:O,15,0)</f>
        <v>$1126</v>
      </c>
      <c r="J726" s="3">
        <f>VLOOKUP(Googleadssales[[#This Row],[Ad_ID]],'[1]pre processed data'!A:Q,17,0)</f>
        <v>45615</v>
      </c>
      <c r="K726" t="str">
        <f>VLOOKUP(Googleadssales[[#This Row],[Ad_ID]],'[1]pre processed data'!A:R,18,0)</f>
        <v>Hyderabad</v>
      </c>
      <c r="L726" t="str">
        <f>VLOOKUP(Googleadssales[[#This Row],[Ad_ID]],'[1]pre processed data'!A:S,19,0)</f>
        <v>Tablet</v>
      </c>
      <c r="M726" t="str">
        <f>VLOOKUP(Googleadssales[[#This Row],[Ad_ID]],'[1]pre processed data'!A:T,20,0)</f>
        <v>data analytics online</v>
      </c>
    </row>
    <row r="727" spans="1:13" x14ac:dyDescent="0.3">
      <c r="A727" t="s">
        <v>740</v>
      </c>
      <c r="B727" t="s">
        <v>18</v>
      </c>
      <c r="C727" s="4">
        <f>VLOOKUP(Googleadssales[[#This Row],[Ad_ID]],'[1]pre processed data'!A:C,3,0)</f>
        <v>174</v>
      </c>
      <c r="D727" s="4">
        <f>VLOOKUP(Googleadssales[[#This Row],[Ad_ID]],'[1]pre processed data'!A:E,5,0)</f>
        <v>3231</v>
      </c>
      <c r="E727" s="5" t="str">
        <f>VLOOKUP(Googleadssales[[#This Row],[Ad_ID]],[1]!Table3[[Ad_ID]:[Cost-imputed]],7,0)</f>
        <v>$200.00</v>
      </c>
      <c r="F727" s="4">
        <f>VLOOKUP(Googleadssales[[#This Row],[Ad_ID]],'[1]pre processed data'!A:I,9,0)</f>
        <v>10</v>
      </c>
      <c r="G727" s="4">
        <f>VLOOKUP(Googleadssales[[#This Row],[Ad_ID]],'[1]pre processed data'!A:K,11,0)</f>
        <v>7</v>
      </c>
      <c r="H727" s="2">
        <f>Googleadssales[[#This Row],[Conversions]]/Googleadssales[[#This Row],[Clicks]]</f>
        <v>4.0229885057471264E-2</v>
      </c>
      <c r="I727" t="str">
        <f>VLOOKUP(Googleadssales[[#This Row],[Ad_ID]],'[1]pre processed data'!A:O,15,0)</f>
        <v>$1128</v>
      </c>
      <c r="J727" s="3">
        <f>VLOOKUP(Googleadssales[[#This Row],[Ad_ID]],'[1]pre processed data'!A:Q,17,0)</f>
        <v>45608</v>
      </c>
      <c r="K727" t="str">
        <f>VLOOKUP(Googleadssales[[#This Row],[Ad_ID]],'[1]pre processed data'!A:R,18,0)</f>
        <v>Hyderabad</v>
      </c>
      <c r="L727" t="str">
        <f>VLOOKUP(Googleadssales[[#This Row],[Ad_ID]],'[1]pre processed data'!A:S,19,0)</f>
        <v>Mobile</v>
      </c>
      <c r="M727" t="str">
        <f>VLOOKUP(Googleadssales[[#This Row],[Ad_ID]],'[1]pre processed data'!A:T,20,0)</f>
        <v>data analytics course</v>
      </c>
    </row>
    <row r="728" spans="1:13" x14ac:dyDescent="0.3">
      <c r="A728" t="s">
        <v>741</v>
      </c>
      <c r="B728" t="s">
        <v>18</v>
      </c>
      <c r="C728" s="4">
        <f>VLOOKUP(Googleadssales[[#This Row],[Ad_ID]],'[1]pre processed data'!A:C,3,0)</f>
        <v>154</v>
      </c>
      <c r="D728" s="4">
        <f>VLOOKUP(Googleadssales[[#This Row],[Ad_ID]],'[1]pre processed data'!A:E,5,0)</f>
        <v>3461</v>
      </c>
      <c r="E728" s="5" t="str">
        <f>VLOOKUP(Googleadssales[[#This Row],[Ad_ID]],[1]!Table3[[Ad_ID]:[Cost-imputed]],7,0)</f>
        <v>$235.36</v>
      </c>
      <c r="F728" s="4">
        <f>VLOOKUP(Googleadssales[[#This Row],[Ad_ID]],'[1]pre processed data'!A:I,9,0)</f>
        <v>18</v>
      </c>
      <c r="G728" s="4">
        <f>VLOOKUP(Googleadssales[[#This Row],[Ad_ID]],'[1]pre processed data'!A:K,11,0)</f>
        <v>4</v>
      </c>
      <c r="H728" s="2">
        <f>Googleadssales[[#This Row],[Conversions]]/Googleadssales[[#This Row],[Clicks]]</f>
        <v>2.5974025974025976E-2</v>
      </c>
      <c r="I728" t="str">
        <f>VLOOKUP(Googleadssales[[#This Row],[Ad_ID]],'[1]pre processed data'!A:O,15,0)</f>
        <v>$1212</v>
      </c>
      <c r="J728" s="3">
        <f>VLOOKUP(Googleadssales[[#This Row],[Ad_ID]],'[1]pre processed data'!A:Q,17,0)</f>
        <v>45614</v>
      </c>
      <c r="K728" t="str">
        <f>VLOOKUP(Googleadssales[[#This Row],[Ad_ID]],'[1]pre processed data'!A:R,18,0)</f>
        <v>Bangaluru</v>
      </c>
      <c r="L728" t="str">
        <f>VLOOKUP(Googleadssales[[#This Row],[Ad_ID]],'[1]pre processed data'!A:S,19,0)</f>
        <v>Tablet</v>
      </c>
      <c r="M728" t="str">
        <f>VLOOKUP(Googleadssales[[#This Row],[Ad_ID]],'[1]pre processed data'!A:T,20,0)</f>
        <v>data analytics online</v>
      </c>
    </row>
    <row r="729" spans="1:13" x14ac:dyDescent="0.3">
      <c r="A729" t="s">
        <v>742</v>
      </c>
      <c r="B729" t="s">
        <v>18</v>
      </c>
      <c r="C729" s="4">
        <f>VLOOKUP(Googleadssales[[#This Row],[Ad_ID]],'[1]pre processed data'!A:C,3,0)</f>
        <v>126</v>
      </c>
      <c r="D729" s="4">
        <f>VLOOKUP(Googleadssales[[#This Row],[Ad_ID]],'[1]pre processed data'!A:E,5,0)</f>
        <v>3423</v>
      </c>
      <c r="E729" s="5" t="str">
        <f>VLOOKUP(Googleadssales[[#This Row],[Ad_ID]],[1]!Table3[[Ad_ID]:[Cost-imputed]],7,0)</f>
        <v>$236.21</v>
      </c>
      <c r="F729" s="4">
        <f>VLOOKUP(Googleadssales[[#This Row],[Ad_ID]],'[1]pre processed data'!A:I,9,0)</f>
        <v>25</v>
      </c>
      <c r="G729" s="4">
        <f>VLOOKUP(Googleadssales[[#This Row],[Ad_ID]],'[1]pre processed data'!A:K,11,0)</f>
        <v>9</v>
      </c>
      <c r="H729" s="2">
        <f>Googleadssales[[#This Row],[Conversions]]/Googleadssales[[#This Row],[Clicks]]</f>
        <v>7.1428571428571425E-2</v>
      </c>
      <c r="I729" t="str">
        <f>VLOOKUP(Googleadssales[[#This Row],[Ad_ID]],'[1]pre processed data'!A:O,15,0)</f>
        <v>$1106</v>
      </c>
      <c r="J729" s="3">
        <f>VLOOKUP(Googleadssales[[#This Row],[Ad_ID]],'[1]pre processed data'!A:Q,17,0)</f>
        <v>45616</v>
      </c>
      <c r="K729" t="str">
        <f>VLOOKUP(Googleadssales[[#This Row],[Ad_ID]],'[1]pre processed data'!A:R,18,0)</f>
        <v>Hyderabad</v>
      </c>
      <c r="L729" t="str">
        <f>VLOOKUP(Googleadssales[[#This Row],[Ad_ID]],'[1]pre processed data'!A:S,19,0)</f>
        <v>Tablet</v>
      </c>
      <c r="M729" t="str">
        <f>VLOOKUP(Googleadssales[[#This Row],[Ad_ID]],'[1]pre processed data'!A:T,20,0)</f>
        <v>data analytics training</v>
      </c>
    </row>
    <row r="730" spans="1:13" x14ac:dyDescent="0.3">
      <c r="A730" t="s">
        <v>743</v>
      </c>
      <c r="B730" t="s">
        <v>14</v>
      </c>
      <c r="C730" s="4">
        <f>VLOOKUP(Googleadssales[[#This Row],[Ad_ID]],'[1]pre processed data'!A:C,3,0)</f>
        <v>138</v>
      </c>
      <c r="D730" s="4">
        <f>VLOOKUP(Googleadssales[[#This Row],[Ad_ID]],'[1]pre processed data'!A:E,5,0)</f>
        <v>4025</v>
      </c>
      <c r="E730" s="5" t="str">
        <f>VLOOKUP(Googleadssales[[#This Row],[Ad_ID]],[1]!Table3[[Ad_ID]:[Cost-imputed]],7,0)</f>
        <v>$220.96</v>
      </c>
      <c r="F730" s="4">
        <f>VLOOKUP(Googleadssales[[#This Row],[Ad_ID]],'[1]pre processed data'!A:I,9,0)</f>
        <v>21</v>
      </c>
      <c r="G730" s="4">
        <f>VLOOKUP(Googleadssales[[#This Row],[Ad_ID]],'[1]pre processed data'!A:K,11,0)</f>
        <v>7</v>
      </c>
      <c r="H730" s="2">
        <f>Googleadssales[[#This Row],[Conversions]]/Googleadssales[[#This Row],[Clicks]]</f>
        <v>5.0724637681159424E-2</v>
      </c>
      <c r="I730" t="str">
        <f>VLOOKUP(Googleadssales[[#This Row],[Ad_ID]],'[1]pre processed data'!A:O,15,0)</f>
        <v>$1416</v>
      </c>
      <c r="J730" s="3">
        <f>VLOOKUP(Googleadssales[[#This Row],[Ad_ID]],'[1]pre processed data'!A:Q,17,0)</f>
        <v>45620</v>
      </c>
      <c r="K730" t="str">
        <f>VLOOKUP(Googleadssales[[#This Row],[Ad_ID]],'[1]pre processed data'!A:R,18,0)</f>
        <v>Hyderabad</v>
      </c>
      <c r="L730" t="str">
        <f>VLOOKUP(Googleadssales[[#This Row],[Ad_ID]],'[1]pre processed data'!A:S,19,0)</f>
        <v>Tablet</v>
      </c>
      <c r="M730" t="str">
        <f>VLOOKUP(Googleadssales[[#This Row],[Ad_ID]],'[1]pre processed data'!A:T,20,0)</f>
        <v>data analytics online</v>
      </c>
    </row>
    <row r="731" spans="1:13" x14ac:dyDescent="0.3">
      <c r="A731" t="s">
        <v>744</v>
      </c>
      <c r="B731" t="s">
        <v>18</v>
      </c>
      <c r="C731" s="4">
        <f>VLOOKUP(Googleadssales[[#This Row],[Ad_ID]],'[1]pre processed data'!A:C,3,0)</f>
        <v>193</v>
      </c>
      <c r="D731" s="4">
        <f>VLOOKUP(Googleadssales[[#This Row],[Ad_ID]],'[1]pre processed data'!A:E,5,0)</f>
        <v>3800</v>
      </c>
      <c r="E731" s="5" t="str">
        <f>VLOOKUP(Googleadssales[[#This Row],[Ad_ID]],[1]!Table3[[Ad_ID]:[Cost-imputed]],7,0)</f>
        <v>$199.76</v>
      </c>
      <c r="F731" s="4">
        <f>VLOOKUP(Googleadssales[[#This Row],[Ad_ID]],'[1]pre processed data'!A:I,9,0)</f>
        <v>27</v>
      </c>
      <c r="G731" s="4">
        <f>VLOOKUP(Googleadssales[[#This Row],[Ad_ID]],'[1]pre processed data'!A:K,11,0)</f>
        <v>9</v>
      </c>
      <c r="H731" s="2">
        <f>Googleadssales[[#This Row],[Conversions]]/Googleadssales[[#This Row],[Clicks]]</f>
        <v>4.6632124352331605E-2</v>
      </c>
      <c r="I731" t="str">
        <f>VLOOKUP(Googleadssales[[#This Row],[Ad_ID]],'[1]pre processed data'!A:O,15,0)</f>
        <v>$1393</v>
      </c>
      <c r="J731" s="3">
        <f>VLOOKUP(Googleadssales[[#This Row],[Ad_ID]],'[1]pre processed data'!A:Q,17,0)</f>
        <v>45613</v>
      </c>
      <c r="K731" t="str">
        <f>VLOOKUP(Googleadssales[[#This Row],[Ad_ID]],'[1]pre processed data'!A:R,18,0)</f>
        <v>Hyderabad</v>
      </c>
      <c r="L731" t="str">
        <f>VLOOKUP(Googleadssales[[#This Row],[Ad_ID]],'[1]pre processed data'!A:S,19,0)</f>
        <v>Mobile</v>
      </c>
      <c r="M731" t="str">
        <f>VLOOKUP(Googleadssales[[#This Row],[Ad_ID]],'[1]pre processed data'!A:T,20,0)</f>
        <v>data analytics course</v>
      </c>
    </row>
    <row r="732" spans="1:13" x14ac:dyDescent="0.3">
      <c r="A732" t="s">
        <v>745</v>
      </c>
      <c r="B732" t="s">
        <v>14</v>
      </c>
      <c r="C732" s="4">
        <f>VLOOKUP(Googleadssales[[#This Row],[Ad_ID]],'[1]pre processed data'!A:C,3,0)</f>
        <v>156</v>
      </c>
      <c r="D732" s="4">
        <f>VLOOKUP(Googleadssales[[#This Row],[Ad_ID]],'[1]pre processed data'!A:E,5,0)</f>
        <v>5293</v>
      </c>
      <c r="E732" s="5" t="str">
        <f>VLOOKUP(Googleadssales[[#This Row],[Ad_ID]],[1]!Table3[[Ad_ID]:[Cost-imputed]],7,0)</f>
        <v>$210.43</v>
      </c>
      <c r="F732" s="4">
        <f>VLOOKUP(Googleadssales[[#This Row],[Ad_ID]],'[1]pre processed data'!A:I,9,0)</f>
        <v>26</v>
      </c>
      <c r="G732" s="4">
        <f>VLOOKUP(Googleadssales[[#This Row],[Ad_ID]],'[1]pre processed data'!A:K,11,0)</f>
        <v>6</v>
      </c>
      <c r="H732" s="2">
        <f>Googleadssales[[#This Row],[Conversions]]/Googleadssales[[#This Row],[Clicks]]</f>
        <v>3.8461538461538464E-2</v>
      </c>
      <c r="I732" t="str">
        <f>VLOOKUP(Googleadssales[[#This Row],[Ad_ID]],'[1]pre processed data'!A:O,15,0)</f>
        <v>$1449</v>
      </c>
      <c r="J732" s="3">
        <f>VLOOKUP(Googleadssales[[#This Row],[Ad_ID]],'[1]pre processed data'!A:Q,17,0)</f>
        <v>45624</v>
      </c>
      <c r="K732" t="str">
        <f>VLOOKUP(Googleadssales[[#This Row],[Ad_ID]],'[1]pre processed data'!A:R,18,0)</f>
        <v>Bangaluru</v>
      </c>
      <c r="L732" t="str">
        <f>VLOOKUP(Googleadssales[[#This Row],[Ad_ID]],'[1]pre processed data'!A:S,19,0)</f>
        <v>Tablet</v>
      </c>
      <c r="M732" t="str">
        <f>VLOOKUP(Googleadssales[[#This Row],[Ad_ID]],'[1]pre processed data'!A:T,20,0)</f>
        <v>data analytics course</v>
      </c>
    </row>
    <row r="733" spans="1:13" x14ac:dyDescent="0.3">
      <c r="A733" t="s">
        <v>746</v>
      </c>
      <c r="B733" t="s">
        <v>14</v>
      </c>
      <c r="C733" s="4">
        <f>VLOOKUP(Googleadssales[[#This Row],[Ad_ID]],'[1]pre processed data'!A:C,3,0)</f>
        <v>142</v>
      </c>
      <c r="D733" s="4">
        <f>VLOOKUP(Googleadssales[[#This Row],[Ad_ID]],'[1]pre processed data'!A:E,5,0)</f>
        <v>3565</v>
      </c>
      <c r="E733" s="5" t="str">
        <f>VLOOKUP(Googleadssales[[#This Row],[Ad_ID]],[1]!Table3[[Ad_ID]:[Cost-imputed]],7,0)</f>
        <v>$180.39</v>
      </c>
      <c r="F733" s="4">
        <f>VLOOKUP(Googleadssales[[#This Row],[Ad_ID]],'[1]pre processed data'!A:I,9,0)</f>
        <v>26</v>
      </c>
      <c r="G733" s="4">
        <f>VLOOKUP(Googleadssales[[#This Row],[Ad_ID]],'[1]pre processed data'!A:K,11,0)</f>
        <v>5</v>
      </c>
      <c r="H733" s="2">
        <f>Googleadssales[[#This Row],[Conversions]]/Googleadssales[[#This Row],[Clicks]]</f>
        <v>3.5211267605633804E-2</v>
      </c>
      <c r="I733" t="str">
        <f>VLOOKUP(Googleadssales[[#This Row],[Ad_ID]],'[1]pre processed data'!A:O,15,0)</f>
        <v>$1147</v>
      </c>
      <c r="J733" s="3">
        <f>VLOOKUP(Googleadssales[[#This Row],[Ad_ID]],'[1]pre processed data'!A:Q,17,0)</f>
        <v>45597</v>
      </c>
      <c r="K733" t="str">
        <f>VLOOKUP(Googleadssales[[#This Row],[Ad_ID]],'[1]pre processed data'!A:R,18,0)</f>
        <v>Bangaluru</v>
      </c>
      <c r="L733" t="str">
        <f>VLOOKUP(Googleadssales[[#This Row],[Ad_ID]],'[1]pre processed data'!A:S,19,0)</f>
        <v>Tablet</v>
      </c>
      <c r="M733" t="str">
        <f>VLOOKUP(Googleadssales[[#This Row],[Ad_ID]],'[1]pre processed data'!A:T,20,0)</f>
        <v>data analytics training</v>
      </c>
    </row>
    <row r="734" spans="1:13" x14ac:dyDescent="0.3">
      <c r="A734" t="s">
        <v>747</v>
      </c>
      <c r="B734" t="s">
        <v>18</v>
      </c>
      <c r="C734" s="4">
        <f>VLOOKUP(Googleadssales[[#This Row],[Ad_ID]],'[1]pre processed data'!A:C,3,0)</f>
        <v>92</v>
      </c>
      <c r="D734" s="4">
        <f>VLOOKUP(Googleadssales[[#This Row],[Ad_ID]],'[1]pre processed data'!A:E,5,0)</f>
        <v>4296</v>
      </c>
      <c r="E734" s="5" t="str">
        <f>VLOOKUP(Googleadssales[[#This Row],[Ad_ID]],[1]!Table3[[Ad_ID]:[Cost-imputed]],7,0)</f>
        <v>$239.12</v>
      </c>
      <c r="F734" s="4">
        <f>VLOOKUP(Googleadssales[[#This Row],[Ad_ID]],'[1]pre processed data'!A:I,9,0)</f>
        <v>11</v>
      </c>
      <c r="G734" s="4">
        <f>VLOOKUP(Googleadssales[[#This Row],[Ad_ID]],'[1]pre processed data'!A:K,11,0)</f>
        <v>10</v>
      </c>
      <c r="H734" s="2">
        <f>Googleadssales[[#This Row],[Conversions]]/Googleadssales[[#This Row],[Clicks]]</f>
        <v>0.10869565217391304</v>
      </c>
      <c r="I734" t="str">
        <f>VLOOKUP(Googleadssales[[#This Row],[Ad_ID]],'[1]pre processed data'!A:O,15,0)</f>
        <v>$1169</v>
      </c>
      <c r="J734" s="3">
        <f>VLOOKUP(Googleadssales[[#This Row],[Ad_ID]],'[1]pre processed data'!A:Q,17,0)</f>
        <v>45598</v>
      </c>
      <c r="K734" t="str">
        <f>VLOOKUP(Googleadssales[[#This Row],[Ad_ID]],'[1]pre processed data'!A:R,18,0)</f>
        <v>Hyderabad</v>
      </c>
      <c r="L734" t="str">
        <f>VLOOKUP(Googleadssales[[#This Row],[Ad_ID]],'[1]pre processed data'!A:S,19,0)</f>
        <v>Tablet</v>
      </c>
      <c r="M734" t="str">
        <f>VLOOKUP(Googleadssales[[#This Row],[Ad_ID]],'[1]pre processed data'!A:T,20,0)</f>
        <v>data analytics training</v>
      </c>
    </row>
    <row r="735" spans="1:13" x14ac:dyDescent="0.3">
      <c r="A735" t="s">
        <v>748</v>
      </c>
      <c r="B735" t="s">
        <v>14</v>
      </c>
      <c r="C735" s="4">
        <f>VLOOKUP(Googleadssales[[#This Row],[Ad_ID]],'[1]pre processed data'!A:C,3,0)</f>
        <v>190</v>
      </c>
      <c r="D735" s="4">
        <f>VLOOKUP(Googleadssales[[#This Row],[Ad_ID]],'[1]pre processed data'!A:E,5,0)</f>
        <v>3567</v>
      </c>
      <c r="E735" s="5" t="str">
        <f>VLOOKUP(Googleadssales[[#This Row],[Ad_ID]],[1]!Table3[[Ad_ID]:[Cost-imputed]],7,0)</f>
        <v>$249.26</v>
      </c>
      <c r="F735" s="4">
        <f>VLOOKUP(Googleadssales[[#This Row],[Ad_ID]],'[1]pre processed data'!A:I,9,0)</f>
        <v>20.023535851122059</v>
      </c>
      <c r="G735" s="4">
        <f>VLOOKUP(Googleadssales[[#This Row],[Ad_ID]],'[1]pre processed data'!A:K,11,0)</f>
        <v>7</v>
      </c>
      <c r="H735" s="2">
        <f>Googleadssales[[#This Row],[Conversions]]/Googleadssales[[#This Row],[Clicks]]</f>
        <v>3.6842105263157891E-2</v>
      </c>
      <c r="I735" t="str">
        <f>VLOOKUP(Googleadssales[[#This Row],[Ad_ID]],'[1]pre processed data'!A:O,15,0)</f>
        <v>$1517</v>
      </c>
      <c r="J735" s="3">
        <f>VLOOKUP(Googleadssales[[#This Row],[Ad_ID]],'[1]pre processed data'!A:Q,17,0)</f>
        <v>45622</v>
      </c>
      <c r="K735" t="str">
        <f>VLOOKUP(Googleadssales[[#This Row],[Ad_ID]],'[1]pre processed data'!A:R,18,0)</f>
        <v>Chennai</v>
      </c>
      <c r="L735" t="str">
        <f>VLOOKUP(Googleadssales[[#This Row],[Ad_ID]],'[1]pre processed data'!A:S,19,0)</f>
        <v>Desktop</v>
      </c>
      <c r="M735" t="str">
        <f>VLOOKUP(Googleadssales[[#This Row],[Ad_ID]],'[1]pre processed data'!A:T,20,0)</f>
        <v>data analytics online</v>
      </c>
    </row>
    <row r="736" spans="1:13" x14ac:dyDescent="0.3">
      <c r="A736" t="s">
        <v>749</v>
      </c>
      <c r="B736" t="s">
        <v>14</v>
      </c>
      <c r="C736" s="4">
        <f>VLOOKUP(Googleadssales[[#This Row],[Ad_ID]],'[1]pre processed data'!A:C,3,0)</f>
        <v>134</v>
      </c>
      <c r="D736" s="4">
        <f>VLOOKUP(Googleadssales[[#This Row],[Ad_ID]],'[1]pre processed data'!A:E,5,0)</f>
        <v>4854</v>
      </c>
      <c r="E736" s="5" t="str">
        <f>VLOOKUP(Googleadssales[[#This Row],[Ad_ID]],[1]!Table3[[Ad_ID]:[Cost-imputed]],7,0)</f>
        <v>$198.93</v>
      </c>
      <c r="F736" s="4">
        <f>VLOOKUP(Googleadssales[[#This Row],[Ad_ID]],'[1]pre processed data'!A:I,9,0)</f>
        <v>21</v>
      </c>
      <c r="G736" s="4">
        <f>VLOOKUP(Googleadssales[[#This Row],[Ad_ID]],'[1]pre processed data'!A:K,11,0)</f>
        <v>8</v>
      </c>
      <c r="H736" s="2">
        <f>Googleadssales[[#This Row],[Conversions]]/Googleadssales[[#This Row],[Clicks]]</f>
        <v>5.9701492537313432E-2</v>
      </c>
      <c r="I736" t="str">
        <f>VLOOKUP(Googleadssales[[#This Row],[Ad_ID]],'[1]pre processed data'!A:O,15,0)</f>
        <v>$1101</v>
      </c>
      <c r="J736" s="3">
        <f>VLOOKUP(Googleadssales[[#This Row],[Ad_ID]],'[1]pre processed data'!A:Q,17,0)</f>
        <v>45599</v>
      </c>
      <c r="K736" t="str">
        <f>VLOOKUP(Googleadssales[[#This Row],[Ad_ID]],'[1]pre processed data'!A:R,18,0)</f>
        <v>Bangaluru</v>
      </c>
      <c r="L736" t="str">
        <f>VLOOKUP(Googleadssales[[#This Row],[Ad_ID]],'[1]pre processed data'!A:S,19,0)</f>
        <v>Desktop</v>
      </c>
      <c r="M736" t="str">
        <f>VLOOKUP(Googleadssales[[#This Row],[Ad_ID]],'[1]pre processed data'!A:T,20,0)</f>
        <v>analytics for data</v>
      </c>
    </row>
    <row r="737" spans="1:13" x14ac:dyDescent="0.3">
      <c r="A737" t="s">
        <v>750</v>
      </c>
      <c r="B737" t="s">
        <v>14</v>
      </c>
      <c r="C737" s="4">
        <f>VLOOKUP(Googleadssales[[#This Row],[Ad_ID]],'[1]pre processed data'!A:C,3,0)</f>
        <v>144</v>
      </c>
      <c r="D737" s="4">
        <f>VLOOKUP(Googleadssales[[#This Row],[Ad_ID]],'[1]pre processed data'!A:E,5,0)</f>
        <v>4523.2808326787117</v>
      </c>
      <c r="E737" s="5" t="str">
        <f>VLOOKUP(Googleadssales[[#This Row],[Ad_ID]],[1]!Table3[[Ad_ID]:[Cost-imputed]],7,0)</f>
        <v>$186.47</v>
      </c>
      <c r="F737" s="4">
        <f>VLOOKUP(Googleadssales[[#This Row],[Ad_ID]],'[1]pre processed data'!A:I,9,0)</f>
        <v>29</v>
      </c>
      <c r="G737" s="4">
        <f>VLOOKUP(Googleadssales[[#This Row],[Ad_ID]],'[1]pre processed data'!A:K,11,0)</f>
        <v>8</v>
      </c>
      <c r="H737" s="2">
        <f>Googleadssales[[#This Row],[Conversions]]/Googleadssales[[#This Row],[Clicks]]</f>
        <v>5.5555555555555552E-2</v>
      </c>
      <c r="I737" t="str">
        <f>VLOOKUP(Googleadssales[[#This Row],[Ad_ID]],'[1]pre processed data'!A:O,15,0)</f>
        <v>$1437</v>
      </c>
      <c r="J737" s="3">
        <f>VLOOKUP(Googleadssales[[#This Row],[Ad_ID]],'[1]pre processed data'!A:Q,17,0)</f>
        <v>45625</v>
      </c>
      <c r="K737" t="str">
        <f>VLOOKUP(Googleadssales[[#This Row],[Ad_ID]],'[1]pre processed data'!A:R,18,0)</f>
        <v>Bangaluru</v>
      </c>
      <c r="L737" t="str">
        <f>VLOOKUP(Googleadssales[[#This Row],[Ad_ID]],'[1]pre processed data'!A:S,19,0)</f>
        <v>Mobile</v>
      </c>
      <c r="M737" t="str">
        <f>VLOOKUP(Googleadssales[[#This Row],[Ad_ID]],'[1]pre processed data'!A:T,20,0)</f>
        <v>data analytics course</v>
      </c>
    </row>
    <row r="738" spans="1:13" x14ac:dyDescent="0.3">
      <c r="A738" t="s">
        <v>751</v>
      </c>
      <c r="B738" t="s">
        <v>14</v>
      </c>
      <c r="C738" s="4">
        <f>VLOOKUP(Googleadssales[[#This Row],[Ad_ID]],'[1]pre processed data'!A:C,3,0)</f>
        <v>117</v>
      </c>
      <c r="D738" s="4">
        <f>VLOOKUP(Googleadssales[[#This Row],[Ad_ID]],'[1]pre processed data'!A:E,5,0)</f>
        <v>4630</v>
      </c>
      <c r="E738" s="5" t="str">
        <f>VLOOKUP(Googleadssales[[#This Row],[Ad_ID]],[1]!Table3[[Ad_ID]:[Cost-imputed]],7,0)</f>
        <v>$196.66</v>
      </c>
      <c r="F738" s="4">
        <f>VLOOKUP(Googleadssales[[#This Row],[Ad_ID]],'[1]pre processed data'!A:I,9,0)</f>
        <v>15</v>
      </c>
      <c r="G738" s="4">
        <f>VLOOKUP(Googleadssales[[#This Row],[Ad_ID]],'[1]pre processed data'!A:K,11,0)</f>
        <v>8</v>
      </c>
      <c r="H738" s="2">
        <f>Googleadssales[[#This Row],[Conversions]]/Googleadssales[[#This Row],[Clicks]]</f>
        <v>6.8376068376068383E-2</v>
      </c>
      <c r="I738" t="str">
        <f>VLOOKUP(Googleadssales[[#This Row],[Ad_ID]],'[1]pre processed data'!A:O,15,0)</f>
        <v>$1361</v>
      </c>
      <c r="J738" s="3">
        <f>VLOOKUP(Googleadssales[[#This Row],[Ad_ID]],'[1]pre processed data'!A:Q,17,0)</f>
        <v>45613</v>
      </c>
      <c r="K738" t="str">
        <f>VLOOKUP(Googleadssales[[#This Row],[Ad_ID]],'[1]pre processed data'!A:R,18,0)</f>
        <v>Bangaluru</v>
      </c>
      <c r="L738" t="str">
        <f>VLOOKUP(Googleadssales[[#This Row],[Ad_ID]],'[1]pre processed data'!A:S,19,0)</f>
        <v>Desktop</v>
      </c>
      <c r="M738" t="str">
        <f>VLOOKUP(Googleadssales[[#This Row],[Ad_ID]],'[1]pre processed data'!A:T,20,0)</f>
        <v>online data analytic</v>
      </c>
    </row>
    <row r="739" spans="1:13" x14ac:dyDescent="0.3">
      <c r="A739" t="s">
        <v>752</v>
      </c>
      <c r="B739" t="s">
        <v>14</v>
      </c>
      <c r="C739" s="4">
        <f>VLOOKUP(Googleadssales[[#This Row],[Ad_ID]],'[1]pre processed data'!A:C,3,0)</f>
        <v>160</v>
      </c>
      <c r="D739" s="4">
        <f>VLOOKUP(Googleadssales[[#This Row],[Ad_ID]],'[1]pre processed data'!A:E,5,0)</f>
        <v>3448</v>
      </c>
      <c r="E739" s="5" t="str">
        <f>VLOOKUP(Googleadssales[[#This Row],[Ad_ID]],[1]!Table3[[Ad_ID]:[Cost-imputed]],7,0)</f>
        <v>$210.38</v>
      </c>
      <c r="F739" s="4">
        <f>VLOOKUP(Googleadssales[[#This Row],[Ad_ID]],'[1]pre processed data'!A:I,9,0)</f>
        <v>19</v>
      </c>
      <c r="G739" s="4">
        <f>VLOOKUP(Googleadssales[[#This Row],[Ad_ID]],'[1]pre processed data'!A:K,11,0)</f>
        <v>7</v>
      </c>
      <c r="H739" s="2">
        <f>Googleadssales[[#This Row],[Conversions]]/Googleadssales[[#This Row],[Clicks]]</f>
        <v>4.3749999999999997E-2</v>
      </c>
      <c r="I739" t="str">
        <f>VLOOKUP(Googleadssales[[#This Row],[Ad_ID]],'[1]pre processed data'!A:O,15,0)</f>
        <v>$1705</v>
      </c>
      <c r="J739" s="3">
        <f>VLOOKUP(Googleadssales[[#This Row],[Ad_ID]],'[1]pre processed data'!A:Q,17,0)</f>
        <v>45610</v>
      </c>
      <c r="K739" t="str">
        <f>VLOOKUP(Googleadssales[[#This Row],[Ad_ID]],'[1]pre processed data'!A:R,18,0)</f>
        <v>Chennai</v>
      </c>
      <c r="L739" t="str">
        <f>VLOOKUP(Googleadssales[[#This Row],[Ad_ID]],'[1]pre processed data'!A:S,19,0)</f>
        <v>Desktop</v>
      </c>
      <c r="M739" t="str">
        <f>VLOOKUP(Googleadssales[[#This Row],[Ad_ID]],'[1]pre processed data'!A:T,20,0)</f>
        <v>data analytics course</v>
      </c>
    </row>
    <row r="740" spans="1:13" x14ac:dyDescent="0.3">
      <c r="A740" t="s">
        <v>753</v>
      </c>
      <c r="B740" t="s">
        <v>14</v>
      </c>
      <c r="C740" s="4">
        <f>VLOOKUP(Googleadssales[[#This Row],[Ad_ID]],'[1]pre processed data'!A:C,3,0)</f>
        <v>146</v>
      </c>
      <c r="D740" s="4">
        <f>VLOOKUP(Googleadssales[[#This Row],[Ad_ID]],'[1]pre processed data'!A:E,5,0)</f>
        <v>5297</v>
      </c>
      <c r="E740" s="5" t="str">
        <f>VLOOKUP(Googleadssales[[#This Row],[Ad_ID]],[1]!Table3[[Ad_ID]:[Cost-imputed]],7,0)</f>
        <v>$198.89</v>
      </c>
      <c r="F740" s="4">
        <f>VLOOKUP(Googleadssales[[#This Row],[Ad_ID]],'[1]pre processed data'!A:I,9,0)</f>
        <v>30</v>
      </c>
      <c r="G740" s="4">
        <f>VLOOKUP(Googleadssales[[#This Row],[Ad_ID]],'[1]pre processed data'!A:K,11,0)</f>
        <v>8</v>
      </c>
      <c r="H740" s="2">
        <f>Googleadssales[[#This Row],[Conversions]]/Googleadssales[[#This Row],[Clicks]]</f>
        <v>5.4794520547945202E-2</v>
      </c>
      <c r="I740" t="str">
        <f>VLOOKUP(Googleadssales[[#This Row],[Ad_ID]],'[1]pre processed data'!A:O,15,0)</f>
        <v>$2000</v>
      </c>
      <c r="J740" s="3">
        <f>VLOOKUP(Googleadssales[[#This Row],[Ad_ID]],'[1]pre processed data'!A:Q,17,0)</f>
        <v>45598</v>
      </c>
      <c r="K740" t="str">
        <f>VLOOKUP(Googleadssales[[#This Row],[Ad_ID]],'[1]pre processed data'!A:R,18,0)</f>
        <v>Chennai</v>
      </c>
      <c r="L740" t="str">
        <f>VLOOKUP(Googleadssales[[#This Row],[Ad_ID]],'[1]pre processed data'!A:S,19,0)</f>
        <v>Desktop</v>
      </c>
      <c r="M740" t="str">
        <f>VLOOKUP(Googleadssales[[#This Row],[Ad_ID]],'[1]pre processed data'!A:T,20,0)</f>
        <v>data analytics training</v>
      </c>
    </row>
    <row r="741" spans="1:13" x14ac:dyDescent="0.3">
      <c r="A741" t="s">
        <v>754</v>
      </c>
      <c r="B741" t="s">
        <v>18</v>
      </c>
      <c r="C741" s="4">
        <f>VLOOKUP(Googleadssales[[#This Row],[Ad_ID]],'[1]pre processed data'!A:C,3,0)</f>
        <v>175</v>
      </c>
      <c r="D741" s="4">
        <f>VLOOKUP(Googleadssales[[#This Row],[Ad_ID]],'[1]pre processed data'!A:E,5,0)</f>
        <v>3818</v>
      </c>
      <c r="E741" s="5" t="str">
        <f>VLOOKUP(Googleadssales[[#This Row],[Ad_ID]],[1]!Table3[[Ad_ID]:[Cost-imputed]],7,0)</f>
        <v>$190.89</v>
      </c>
      <c r="F741" s="4">
        <f>VLOOKUP(Googleadssales[[#This Row],[Ad_ID]],'[1]pre processed data'!A:I,9,0)</f>
        <v>30</v>
      </c>
      <c r="G741" s="4">
        <f>VLOOKUP(Googleadssales[[#This Row],[Ad_ID]],'[1]pre processed data'!A:K,11,0)</f>
        <v>10</v>
      </c>
      <c r="H741" s="2">
        <f>Googleadssales[[#This Row],[Conversions]]/Googleadssales[[#This Row],[Clicks]]</f>
        <v>5.7142857142857141E-2</v>
      </c>
      <c r="I741" t="str">
        <f>VLOOKUP(Googleadssales[[#This Row],[Ad_ID]],'[1]pre processed data'!A:O,15,0)</f>
        <v>$1088</v>
      </c>
      <c r="J741" s="3">
        <f>VLOOKUP(Googleadssales[[#This Row],[Ad_ID]],'[1]pre processed data'!A:Q,17,0)</f>
        <v>45606</v>
      </c>
      <c r="K741" t="str">
        <f>VLOOKUP(Googleadssales[[#This Row],[Ad_ID]],'[1]pre processed data'!A:R,18,0)</f>
        <v>Bangaluru</v>
      </c>
      <c r="L741" t="str">
        <f>VLOOKUP(Googleadssales[[#This Row],[Ad_ID]],'[1]pre processed data'!A:S,19,0)</f>
        <v>Tablet</v>
      </c>
      <c r="M741" t="str">
        <f>VLOOKUP(Googleadssales[[#This Row],[Ad_ID]],'[1]pre processed data'!A:T,20,0)</f>
        <v>data analytics online</v>
      </c>
    </row>
    <row r="742" spans="1:13" x14ac:dyDescent="0.3">
      <c r="A742" t="s">
        <v>755</v>
      </c>
      <c r="B742" t="s">
        <v>18</v>
      </c>
      <c r="C742" s="4">
        <f>VLOOKUP(Googleadssales[[#This Row],[Ad_ID]],'[1]pre processed data'!A:C,3,0)</f>
        <v>122</v>
      </c>
      <c r="D742" s="4">
        <f>VLOOKUP(Googleadssales[[#This Row],[Ad_ID]],'[1]pre processed data'!A:E,5,0)</f>
        <v>4791</v>
      </c>
      <c r="E742" s="5" t="str">
        <f>VLOOKUP(Googleadssales[[#This Row],[Ad_ID]],[1]!Table3[[Ad_ID]:[Cost-imputed]],7,0)</f>
        <v>$223.16</v>
      </c>
      <c r="F742" s="4">
        <f>VLOOKUP(Googleadssales[[#This Row],[Ad_ID]],'[1]pre processed data'!A:I,9,0)</f>
        <v>12</v>
      </c>
      <c r="G742" s="4">
        <f>VLOOKUP(Googleadssales[[#This Row],[Ad_ID]],'[1]pre processed data'!A:K,11,0)</f>
        <v>4</v>
      </c>
      <c r="H742" s="2">
        <f>Googleadssales[[#This Row],[Conversions]]/Googleadssales[[#This Row],[Clicks]]</f>
        <v>3.2786885245901641E-2</v>
      </c>
      <c r="I742" t="str">
        <f>VLOOKUP(Googleadssales[[#This Row],[Ad_ID]],'[1]pre processed data'!A:O,15,0)</f>
        <v>$1246</v>
      </c>
      <c r="J742" s="3">
        <f>VLOOKUP(Googleadssales[[#This Row],[Ad_ID]],'[1]pre processed data'!A:Q,17,0)</f>
        <v>45601</v>
      </c>
      <c r="K742" t="str">
        <f>VLOOKUP(Googleadssales[[#This Row],[Ad_ID]],'[1]pre processed data'!A:R,18,0)</f>
        <v>Chennai</v>
      </c>
      <c r="L742" t="str">
        <f>VLOOKUP(Googleadssales[[#This Row],[Ad_ID]],'[1]pre processed data'!A:S,19,0)</f>
        <v>Tablet</v>
      </c>
      <c r="M742" t="str">
        <f>VLOOKUP(Googleadssales[[#This Row],[Ad_ID]],'[1]pre processed data'!A:T,20,0)</f>
        <v>learn data analytics</v>
      </c>
    </row>
    <row r="743" spans="1:13" x14ac:dyDescent="0.3">
      <c r="A743" t="s">
        <v>756</v>
      </c>
      <c r="B743" t="s">
        <v>18</v>
      </c>
      <c r="C743" s="4">
        <f>VLOOKUP(Googleadssales[[#This Row],[Ad_ID]],'[1]pre processed data'!A:C,3,0)</f>
        <v>85</v>
      </c>
      <c r="D743" s="4">
        <f>VLOOKUP(Googleadssales[[#This Row],[Ad_ID]],'[1]pre processed data'!A:E,5,0)</f>
        <v>3713</v>
      </c>
      <c r="E743" s="5" t="str">
        <f>VLOOKUP(Googleadssales[[#This Row],[Ad_ID]],[1]!Table3[[Ad_ID]:[Cost-imputed]],7,0)</f>
        <v>$225.74</v>
      </c>
      <c r="F743" s="4">
        <f>VLOOKUP(Googleadssales[[#This Row],[Ad_ID]],'[1]pre processed data'!A:I,9,0)</f>
        <v>23</v>
      </c>
      <c r="G743" s="4">
        <f>VLOOKUP(Googleadssales[[#This Row],[Ad_ID]],'[1]pre processed data'!A:K,11,0)</f>
        <v>5</v>
      </c>
      <c r="H743" s="2">
        <f>Googleadssales[[#This Row],[Conversions]]/Googleadssales[[#This Row],[Clicks]]</f>
        <v>5.8823529411764705E-2</v>
      </c>
      <c r="I743" t="str">
        <f>VLOOKUP(Googleadssales[[#This Row],[Ad_ID]],'[1]pre processed data'!A:O,15,0)</f>
        <v>$1867</v>
      </c>
      <c r="J743" s="3">
        <f>VLOOKUP(Googleadssales[[#This Row],[Ad_ID]],'[1]pre processed data'!A:Q,17,0)</f>
        <v>45620</v>
      </c>
      <c r="K743" t="str">
        <f>VLOOKUP(Googleadssales[[#This Row],[Ad_ID]],'[1]pre processed data'!A:R,18,0)</f>
        <v>Bangaluru</v>
      </c>
      <c r="L743" t="str">
        <f>VLOOKUP(Googleadssales[[#This Row],[Ad_ID]],'[1]pre processed data'!A:S,19,0)</f>
        <v>Tablet</v>
      </c>
      <c r="M743" t="str">
        <f>VLOOKUP(Googleadssales[[#This Row],[Ad_ID]],'[1]pre processed data'!A:T,20,0)</f>
        <v>data analytics online</v>
      </c>
    </row>
    <row r="744" spans="1:13" x14ac:dyDescent="0.3">
      <c r="A744" t="s">
        <v>757</v>
      </c>
      <c r="B744" t="s">
        <v>14</v>
      </c>
      <c r="C744" s="4">
        <f>VLOOKUP(Googleadssales[[#This Row],[Ad_ID]],'[1]pre processed data'!A:C,3,0)</f>
        <v>167</v>
      </c>
      <c r="D744" s="4">
        <f>VLOOKUP(Googleadssales[[#This Row],[Ad_ID]],'[1]pre processed data'!A:E,5,0)</f>
        <v>3634</v>
      </c>
      <c r="E744" s="5" t="str">
        <f>VLOOKUP(Googleadssales[[#This Row],[Ad_ID]],[1]!Table3[[Ad_ID]:[Cost-imputed]],7,0)</f>
        <v>$202.75</v>
      </c>
      <c r="F744" s="4">
        <f>VLOOKUP(Googleadssales[[#This Row],[Ad_ID]],'[1]pre processed data'!A:I,9,0)</f>
        <v>30</v>
      </c>
      <c r="G744" s="4">
        <f>VLOOKUP(Googleadssales[[#This Row],[Ad_ID]],'[1]pre processed data'!A:K,11,0)</f>
        <v>10</v>
      </c>
      <c r="H744" s="2">
        <f>Googleadssales[[#This Row],[Conversions]]/Googleadssales[[#This Row],[Clicks]]</f>
        <v>5.9880239520958084E-2</v>
      </c>
      <c r="I744" t="str">
        <f>VLOOKUP(Googleadssales[[#This Row],[Ad_ID]],'[1]pre processed data'!A:O,15,0)</f>
        <v>$1503</v>
      </c>
      <c r="J744" s="3">
        <f>VLOOKUP(Googleadssales[[#This Row],[Ad_ID]],'[1]pre processed data'!A:Q,17,0)</f>
        <v>45619</v>
      </c>
      <c r="K744" t="str">
        <f>VLOOKUP(Googleadssales[[#This Row],[Ad_ID]],'[1]pre processed data'!A:R,18,0)</f>
        <v>Chennai</v>
      </c>
      <c r="L744" t="str">
        <f>VLOOKUP(Googleadssales[[#This Row],[Ad_ID]],'[1]pre processed data'!A:S,19,0)</f>
        <v>Desktop</v>
      </c>
      <c r="M744" t="str">
        <f>VLOOKUP(Googleadssales[[#This Row],[Ad_ID]],'[1]pre processed data'!A:T,20,0)</f>
        <v>data analytics training</v>
      </c>
    </row>
    <row r="745" spans="1:13" x14ac:dyDescent="0.3">
      <c r="A745" t="s">
        <v>758</v>
      </c>
      <c r="B745" t="s">
        <v>14</v>
      </c>
      <c r="C745" s="4">
        <f>VLOOKUP(Googleadssales[[#This Row],[Ad_ID]],'[1]pre processed data'!A:C,3,0)</f>
        <v>158</v>
      </c>
      <c r="D745" s="4">
        <f>VLOOKUP(Googleadssales[[#This Row],[Ad_ID]],'[1]pre processed data'!A:E,5,0)</f>
        <v>3025</v>
      </c>
      <c r="E745" s="5" t="str">
        <f>VLOOKUP(Googleadssales[[#This Row],[Ad_ID]],[1]!Table3[[Ad_ID]:[Cost-imputed]],7,0)</f>
        <v>$180.5</v>
      </c>
      <c r="F745" s="4">
        <f>VLOOKUP(Googleadssales[[#This Row],[Ad_ID]],'[1]pre processed data'!A:I,9,0)</f>
        <v>24</v>
      </c>
      <c r="G745" s="4">
        <f>VLOOKUP(Googleadssales[[#This Row],[Ad_ID]],'[1]pre processed data'!A:K,11,0)</f>
        <v>9</v>
      </c>
      <c r="H745" s="2">
        <f>Googleadssales[[#This Row],[Conversions]]/Googleadssales[[#This Row],[Clicks]]</f>
        <v>5.6962025316455694E-2</v>
      </c>
      <c r="I745" t="str">
        <f>VLOOKUP(Googleadssales[[#This Row],[Ad_ID]],'[1]pre processed data'!A:O,15,0)</f>
        <v>$1725</v>
      </c>
      <c r="J745" s="3">
        <f>VLOOKUP(Googleadssales[[#This Row],[Ad_ID]],'[1]pre processed data'!A:Q,17,0)</f>
        <v>45622</v>
      </c>
      <c r="K745" t="str">
        <f>VLOOKUP(Googleadssales[[#This Row],[Ad_ID]],'[1]pre processed data'!A:R,18,0)</f>
        <v>Hyderabad</v>
      </c>
      <c r="L745" t="str">
        <f>VLOOKUP(Googleadssales[[#This Row],[Ad_ID]],'[1]pre processed data'!A:S,19,0)</f>
        <v>Tablet</v>
      </c>
      <c r="M745" t="str">
        <f>VLOOKUP(Googleadssales[[#This Row],[Ad_ID]],'[1]pre processed data'!A:T,20,0)</f>
        <v>data analytics training</v>
      </c>
    </row>
    <row r="746" spans="1:13" x14ac:dyDescent="0.3">
      <c r="A746" t="s">
        <v>759</v>
      </c>
      <c r="B746" t="s">
        <v>14</v>
      </c>
      <c r="C746" s="4">
        <f>VLOOKUP(Googleadssales[[#This Row],[Ad_ID]],'[1]pre processed data'!A:C,3,0)</f>
        <v>176</v>
      </c>
      <c r="D746" s="4">
        <f>VLOOKUP(Googleadssales[[#This Row],[Ad_ID]],'[1]pre processed data'!A:E,5,0)</f>
        <v>5868</v>
      </c>
      <c r="E746" s="5" t="str">
        <f>VLOOKUP(Googleadssales[[#This Row],[Ad_ID]],[1]!Table3[[Ad_ID]:[Cost-imputed]],7,0)</f>
        <v>$184.46</v>
      </c>
      <c r="F746" s="4">
        <f>VLOOKUP(Googleadssales[[#This Row],[Ad_ID]],'[1]pre processed data'!A:I,9,0)</f>
        <v>20.005503577325261</v>
      </c>
      <c r="G746" s="4">
        <f>VLOOKUP(Googleadssales[[#This Row],[Ad_ID]],'[1]pre processed data'!A:K,11,0)</f>
        <v>4</v>
      </c>
      <c r="H746" s="2">
        <f>Googleadssales[[#This Row],[Conversions]]/Googleadssales[[#This Row],[Clicks]]</f>
        <v>2.2727272727272728E-2</v>
      </c>
      <c r="I746" t="str">
        <f>VLOOKUP(Googleadssales[[#This Row],[Ad_ID]],'[1]pre processed data'!A:O,15,0)</f>
        <v>$1229</v>
      </c>
      <c r="J746" s="3">
        <f>VLOOKUP(Googleadssales[[#This Row],[Ad_ID]],'[1]pre processed data'!A:Q,17,0)</f>
        <v>45616</v>
      </c>
      <c r="K746" t="str">
        <f>VLOOKUP(Googleadssales[[#This Row],[Ad_ID]],'[1]pre processed data'!A:R,18,0)</f>
        <v>Hyderabad</v>
      </c>
      <c r="L746" t="str">
        <f>VLOOKUP(Googleadssales[[#This Row],[Ad_ID]],'[1]pre processed data'!A:S,19,0)</f>
        <v>Desktop</v>
      </c>
      <c r="M746" t="str">
        <f>VLOOKUP(Googleadssales[[#This Row],[Ad_ID]],'[1]pre processed data'!A:T,20,0)</f>
        <v>data analytics course</v>
      </c>
    </row>
    <row r="747" spans="1:13" x14ac:dyDescent="0.3">
      <c r="A747" t="s">
        <v>760</v>
      </c>
      <c r="B747" t="s">
        <v>14</v>
      </c>
      <c r="C747" s="4">
        <f>VLOOKUP(Googleadssales[[#This Row],[Ad_ID]],'[1]pre processed data'!A:C,3,0)</f>
        <v>111</v>
      </c>
      <c r="D747" s="4">
        <f>VLOOKUP(Googleadssales[[#This Row],[Ad_ID]],'[1]pre processed data'!A:E,5,0)</f>
        <v>3050</v>
      </c>
      <c r="E747" s="5" t="str">
        <f>VLOOKUP(Googleadssales[[#This Row],[Ad_ID]],[1]!Table3[[Ad_ID]:[Cost-imputed]],7,0)</f>
        <v>$208.87</v>
      </c>
      <c r="F747" s="4">
        <f>VLOOKUP(Googleadssales[[#This Row],[Ad_ID]],'[1]pre processed data'!A:I,9,0)</f>
        <v>10</v>
      </c>
      <c r="G747" s="4">
        <f>VLOOKUP(Googleadssales[[#This Row],[Ad_ID]],'[1]pre processed data'!A:K,11,0)</f>
        <v>7</v>
      </c>
      <c r="H747" s="2">
        <f>Googleadssales[[#This Row],[Conversions]]/Googleadssales[[#This Row],[Clicks]]</f>
        <v>6.3063063063063057E-2</v>
      </c>
      <c r="I747" t="str">
        <f>VLOOKUP(Googleadssales[[#This Row],[Ad_ID]],'[1]pre processed data'!A:O,15,0)</f>
        <v>$1774</v>
      </c>
      <c r="J747" s="3">
        <f>VLOOKUP(Googleadssales[[#This Row],[Ad_ID]],'[1]pre processed data'!A:Q,17,0)</f>
        <v>45622</v>
      </c>
      <c r="K747" t="str">
        <f>VLOOKUP(Googleadssales[[#This Row],[Ad_ID]],'[1]pre processed data'!A:R,18,0)</f>
        <v>Hyderabad</v>
      </c>
      <c r="L747" t="str">
        <f>VLOOKUP(Googleadssales[[#This Row],[Ad_ID]],'[1]pre processed data'!A:S,19,0)</f>
        <v>Tablet</v>
      </c>
      <c r="M747" t="str">
        <f>VLOOKUP(Googleadssales[[#This Row],[Ad_ID]],'[1]pre processed data'!A:T,20,0)</f>
        <v>analytics for data</v>
      </c>
    </row>
    <row r="748" spans="1:13" x14ac:dyDescent="0.3">
      <c r="A748" t="s">
        <v>761</v>
      </c>
      <c r="B748" t="s">
        <v>14</v>
      </c>
      <c r="C748" s="4">
        <f>VLOOKUP(Googleadssales[[#This Row],[Ad_ID]],'[1]pre processed data'!A:C,3,0)</f>
        <v>186</v>
      </c>
      <c r="D748" s="4">
        <f>VLOOKUP(Googleadssales[[#This Row],[Ad_ID]],'[1]pre processed data'!A:E,5,0)</f>
        <v>5301</v>
      </c>
      <c r="E748" s="5" t="str">
        <f>VLOOKUP(Googleadssales[[#This Row],[Ad_ID]],[1]!Table3[[Ad_ID]:[Cost-imputed]],7,0)</f>
        <v>$200.00</v>
      </c>
      <c r="F748" s="4">
        <f>VLOOKUP(Googleadssales[[#This Row],[Ad_ID]],'[1]pre processed data'!A:I,9,0)</f>
        <v>14</v>
      </c>
      <c r="G748" s="4">
        <f>VLOOKUP(Googleadssales[[#This Row],[Ad_ID]],'[1]pre processed data'!A:K,11,0)</f>
        <v>9</v>
      </c>
      <c r="H748" s="2">
        <f>Googleadssales[[#This Row],[Conversions]]/Googleadssales[[#This Row],[Clicks]]</f>
        <v>4.8387096774193547E-2</v>
      </c>
      <c r="I748" t="str">
        <f>VLOOKUP(Googleadssales[[#This Row],[Ad_ID]],'[1]pre processed data'!A:O,15,0)</f>
        <v>$1230</v>
      </c>
      <c r="J748" s="3">
        <f>VLOOKUP(Googleadssales[[#This Row],[Ad_ID]],'[1]pre processed data'!A:Q,17,0)</f>
        <v>45613</v>
      </c>
      <c r="K748" t="str">
        <f>VLOOKUP(Googleadssales[[#This Row],[Ad_ID]],'[1]pre processed data'!A:R,18,0)</f>
        <v>Bangaluru</v>
      </c>
      <c r="L748" t="str">
        <f>VLOOKUP(Googleadssales[[#This Row],[Ad_ID]],'[1]pre processed data'!A:S,19,0)</f>
        <v>Desktop</v>
      </c>
      <c r="M748" t="str">
        <f>VLOOKUP(Googleadssales[[#This Row],[Ad_ID]],'[1]pre processed data'!A:T,20,0)</f>
        <v>learn data analytics</v>
      </c>
    </row>
    <row r="749" spans="1:13" x14ac:dyDescent="0.3">
      <c r="A749" t="s">
        <v>762</v>
      </c>
      <c r="B749" t="s">
        <v>14</v>
      </c>
      <c r="C749" s="4">
        <f>VLOOKUP(Googleadssales[[#This Row],[Ad_ID]],'[1]pre processed data'!A:C,3,0)</f>
        <v>177</v>
      </c>
      <c r="D749" s="4">
        <f>VLOOKUP(Googleadssales[[#This Row],[Ad_ID]],'[1]pre processed data'!A:E,5,0)</f>
        <v>3042</v>
      </c>
      <c r="E749" s="5" t="str">
        <f>VLOOKUP(Googleadssales[[#This Row],[Ad_ID]],[1]!Table3[[Ad_ID]:[Cost-imputed]],7,0)</f>
        <v>$239.64</v>
      </c>
      <c r="F749" s="4">
        <f>VLOOKUP(Googleadssales[[#This Row],[Ad_ID]],'[1]pre processed data'!A:I,9,0)</f>
        <v>26</v>
      </c>
      <c r="G749" s="4">
        <f>VLOOKUP(Googleadssales[[#This Row],[Ad_ID]],'[1]pre processed data'!A:K,11,0)</f>
        <v>4</v>
      </c>
      <c r="H749" s="2">
        <f>Googleadssales[[#This Row],[Conversions]]/Googleadssales[[#This Row],[Clicks]]</f>
        <v>2.2598870056497175E-2</v>
      </c>
      <c r="I749" t="str">
        <f>VLOOKUP(Googleadssales[[#This Row],[Ad_ID]],'[1]pre processed data'!A:O,15,0)</f>
        <v>$1646</v>
      </c>
      <c r="J749" s="3">
        <f>VLOOKUP(Googleadssales[[#This Row],[Ad_ID]],'[1]pre processed data'!A:Q,17,0)</f>
        <v>45616</v>
      </c>
      <c r="K749" t="str">
        <f>VLOOKUP(Googleadssales[[#This Row],[Ad_ID]],'[1]pre processed data'!A:R,18,0)</f>
        <v>Hyderabad</v>
      </c>
      <c r="L749" t="str">
        <f>VLOOKUP(Googleadssales[[#This Row],[Ad_ID]],'[1]pre processed data'!A:S,19,0)</f>
        <v>Mobile</v>
      </c>
      <c r="M749" t="str">
        <f>VLOOKUP(Googleadssales[[#This Row],[Ad_ID]],'[1]pre processed data'!A:T,20,0)</f>
        <v>data analytics course</v>
      </c>
    </row>
    <row r="750" spans="1:13" x14ac:dyDescent="0.3">
      <c r="A750" t="s">
        <v>763</v>
      </c>
      <c r="B750" t="s">
        <v>18</v>
      </c>
      <c r="C750" s="4">
        <f>VLOOKUP(Googleadssales[[#This Row],[Ad_ID]],'[1]pre processed data'!A:C,3,0)</f>
        <v>150</v>
      </c>
      <c r="D750" s="4">
        <f>VLOOKUP(Googleadssales[[#This Row],[Ad_ID]],'[1]pre processed data'!A:E,5,0)</f>
        <v>5272</v>
      </c>
      <c r="E750" s="5" t="str">
        <f>VLOOKUP(Googleadssales[[#This Row],[Ad_ID]],[1]!Table3[[Ad_ID]:[Cost-imputed]],7,0)</f>
        <v>$239.06</v>
      </c>
      <c r="F750" s="4">
        <f>VLOOKUP(Googleadssales[[#This Row],[Ad_ID]],'[1]pre processed data'!A:I,9,0)</f>
        <v>13</v>
      </c>
      <c r="G750" s="4">
        <f>VLOOKUP(Googleadssales[[#This Row],[Ad_ID]],'[1]pre processed data'!A:K,11,0)</f>
        <v>9</v>
      </c>
      <c r="H750" s="2">
        <f>Googleadssales[[#This Row],[Conversions]]/Googleadssales[[#This Row],[Clicks]]</f>
        <v>0.06</v>
      </c>
      <c r="I750" t="str">
        <f>VLOOKUP(Googleadssales[[#This Row],[Ad_ID]],'[1]pre processed data'!A:O,15,0)</f>
        <v>$1232</v>
      </c>
      <c r="J750" s="3">
        <f>VLOOKUP(Googleadssales[[#This Row],[Ad_ID]],'[1]pre processed data'!A:Q,17,0)</f>
        <v>45597</v>
      </c>
      <c r="K750" t="str">
        <f>VLOOKUP(Googleadssales[[#This Row],[Ad_ID]],'[1]pre processed data'!A:R,18,0)</f>
        <v>Hyderabad</v>
      </c>
      <c r="L750" t="str">
        <f>VLOOKUP(Googleadssales[[#This Row],[Ad_ID]],'[1]pre processed data'!A:S,19,0)</f>
        <v>Desktop</v>
      </c>
      <c r="M750" t="str">
        <f>VLOOKUP(Googleadssales[[#This Row],[Ad_ID]],'[1]pre processed data'!A:T,20,0)</f>
        <v>online data analytic</v>
      </c>
    </row>
    <row r="751" spans="1:13" x14ac:dyDescent="0.3">
      <c r="A751" t="s">
        <v>764</v>
      </c>
      <c r="B751" t="s">
        <v>14</v>
      </c>
      <c r="C751" s="4">
        <f>VLOOKUP(Googleadssales[[#This Row],[Ad_ID]],'[1]pre processed data'!A:C,3,0)</f>
        <v>160</v>
      </c>
      <c r="D751" s="4">
        <f>VLOOKUP(Googleadssales[[#This Row],[Ad_ID]],'[1]pre processed data'!A:E,5,0)</f>
        <v>4279</v>
      </c>
      <c r="E751" s="5" t="str">
        <f>VLOOKUP(Googleadssales[[#This Row],[Ad_ID]],[1]!Table3[[Ad_ID]:[Cost-imputed]],7,0)</f>
        <v>$191.56</v>
      </c>
      <c r="F751" s="4">
        <f>VLOOKUP(Googleadssales[[#This Row],[Ad_ID]],'[1]pre processed data'!A:I,9,0)</f>
        <v>22</v>
      </c>
      <c r="G751" s="4">
        <f>VLOOKUP(Googleadssales[[#This Row],[Ad_ID]],'[1]pre processed data'!A:K,11,0)</f>
        <v>10</v>
      </c>
      <c r="H751" s="2">
        <f>Googleadssales[[#This Row],[Conversions]]/Googleadssales[[#This Row],[Clicks]]</f>
        <v>6.25E-2</v>
      </c>
      <c r="I751" t="str">
        <f>VLOOKUP(Googleadssales[[#This Row],[Ad_ID]],'[1]pre processed data'!A:O,15,0)</f>
        <v>$1234</v>
      </c>
      <c r="J751" s="3">
        <f>VLOOKUP(Googleadssales[[#This Row],[Ad_ID]],'[1]pre processed data'!A:Q,17,0)</f>
        <v>45608</v>
      </c>
      <c r="K751" t="str">
        <f>VLOOKUP(Googleadssales[[#This Row],[Ad_ID]],'[1]pre processed data'!A:R,18,0)</f>
        <v>Chennai</v>
      </c>
      <c r="L751" t="str">
        <f>VLOOKUP(Googleadssales[[#This Row],[Ad_ID]],'[1]pre processed data'!A:S,19,0)</f>
        <v>Mobile</v>
      </c>
      <c r="M751" t="str">
        <f>VLOOKUP(Googleadssales[[#This Row],[Ad_ID]],'[1]pre processed data'!A:T,20,0)</f>
        <v>data analytics course</v>
      </c>
    </row>
    <row r="752" spans="1:13" x14ac:dyDescent="0.3">
      <c r="A752" t="s">
        <v>765</v>
      </c>
      <c r="B752" t="s">
        <v>14</v>
      </c>
      <c r="C752" s="4">
        <f>VLOOKUP(Googleadssales[[#This Row],[Ad_ID]],'[1]pre processed data'!A:C,3,0)</f>
        <v>147</v>
      </c>
      <c r="D752" s="4">
        <f>VLOOKUP(Googleadssales[[#This Row],[Ad_ID]],'[1]pre processed data'!A:E,5,0)</f>
        <v>5659</v>
      </c>
      <c r="E752" s="5" t="str">
        <f>VLOOKUP(Googleadssales[[#This Row],[Ad_ID]],[1]!Table3[[Ad_ID]:[Cost-imputed]],7,0)</f>
        <v>$188.07</v>
      </c>
      <c r="F752" s="4">
        <f>VLOOKUP(Googleadssales[[#This Row],[Ad_ID]],'[1]pre processed data'!A:I,9,0)</f>
        <v>22</v>
      </c>
      <c r="G752" s="4">
        <f>VLOOKUP(Googleadssales[[#This Row],[Ad_ID]],'[1]pre processed data'!A:K,11,0)</f>
        <v>4</v>
      </c>
      <c r="H752" s="2">
        <f>Googleadssales[[#This Row],[Conversions]]/Googleadssales[[#This Row],[Clicks]]</f>
        <v>2.7210884353741496E-2</v>
      </c>
      <c r="I752" t="str">
        <f>VLOOKUP(Googleadssales[[#This Row],[Ad_ID]],'[1]pre processed data'!A:O,15,0)</f>
        <v>$1796</v>
      </c>
      <c r="J752" s="3">
        <f>VLOOKUP(Googleadssales[[#This Row],[Ad_ID]],'[1]pre processed data'!A:Q,17,0)</f>
        <v>45621</v>
      </c>
      <c r="K752" t="str">
        <f>VLOOKUP(Googleadssales[[#This Row],[Ad_ID]],'[1]pre processed data'!A:R,18,0)</f>
        <v>Hyderabad</v>
      </c>
      <c r="L752" t="str">
        <f>VLOOKUP(Googleadssales[[#This Row],[Ad_ID]],'[1]pre processed data'!A:S,19,0)</f>
        <v>Mobile</v>
      </c>
      <c r="M752" t="str">
        <f>VLOOKUP(Googleadssales[[#This Row],[Ad_ID]],'[1]pre processed data'!A:T,20,0)</f>
        <v>analytics for data</v>
      </c>
    </row>
    <row r="753" spans="1:13" x14ac:dyDescent="0.3">
      <c r="A753" t="s">
        <v>766</v>
      </c>
      <c r="B753" t="s">
        <v>14</v>
      </c>
      <c r="C753" s="4">
        <f>VLOOKUP(Googleadssales[[#This Row],[Ad_ID]],'[1]pre processed data'!A:C,3,0)</f>
        <v>198</v>
      </c>
      <c r="D753" s="4">
        <f>VLOOKUP(Googleadssales[[#This Row],[Ad_ID]],'[1]pre processed data'!A:E,5,0)</f>
        <v>4816</v>
      </c>
      <c r="E753" s="5" t="str">
        <f>VLOOKUP(Googleadssales[[#This Row],[Ad_ID]],[1]!Table3[[Ad_ID]:[Cost-imputed]],7,0)</f>
        <v>$224.96</v>
      </c>
      <c r="F753" s="4">
        <f>VLOOKUP(Googleadssales[[#This Row],[Ad_ID]],'[1]pre processed data'!A:I,9,0)</f>
        <v>21</v>
      </c>
      <c r="G753" s="4">
        <f>VLOOKUP(Googleadssales[[#This Row],[Ad_ID]],'[1]pre processed data'!A:K,11,0)</f>
        <v>4</v>
      </c>
      <c r="H753" s="2">
        <f>Googleadssales[[#This Row],[Conversions]]/Googleadssales[[#This Row],[Clicks]]</f>
        <v>2.0202020202020204E-2</v>
      </c>
      <c r="I753" t="str">
        <f>VLOOKUP(Googleadssales[[#This Row],[Ad_ID]],'[1]pre processed data'!A:O,15,0)</f>
        <v>$1601</v>
      </c>
      <c r="J753" s="3">
        <f>VLOOKUP(Googleadssales[[#This Row],[Ad_ID]],'[1]pre processed data'!A:Q,17,0)</f>
        <v>45601</v>
      </c>
      <c r="K753" t="str">
        <f>VLOOKUP(Googleadssales[[#This Row],[Ad_ID]],'[1]pre processed data'!A:R,18,0)</f>
        <v>Bangaluru</v>
      </c>
      <c r="L753" t="str">
        <f>VLOOKUP(Googleadssales[[#This Row],[Ad_ID]],'[1]pre processed data'!A:S,19,0)</f>
        <v>Mobile</v>
      </c>
      <c r="M753" t="str">
        <f>VLOOKUP(Googleadssales[[#This Row],[Ad_ID]],'[1]pre processed data'!A:T,20,0)</f>
        <v>online data analytic</v>
      </c>
    </row>
    <row r="754" spans="1:13" x14ac:dyDescent="0.3">
      <c r="A754" t="s">
        <v>767</v>
      </c>
      <c r="B754" t="s">
        <v>14</v>
      </c>
      <c r="C754" s="4">
        <f>VLOOKUP(Googleadssales[[#This Row],[Ad_ID]],'[1]pre processed data'!A:C,3,0)</f>
        <v>145</v>
      </c>
      <c r="D754" s="4">
        <f>VLOOKUP(Googleadssales[[#This Row],[Ad_ID]],'[1]pre processed data'!A:E,5,0)</f>
        <v>3874</v>
      </c>
      <c r="E754" s="5" t="str">
        <f>VLOOKUP(Googleadssales[[#This Row],[Ad_ID]],[1]!Table3[[Ad_ID]:[Cost-imputed]],7,0)</f>
        <v>$200.00</v>
      </c>
      <c r="F754" s="4">
        <f>VLOOKUP(Googleadssales[[#This Row],[Ad_ID]],'[1]pre processed data'!A:I,9,0)</f>
        <v>10</v>
      </c>
      <c r="G754" s="4">
        <f>VLOOKUP(Googleadssales[[#This Row],[Ad_ID]],'[1]pre processed data'!A:K,11,0)</f>
        <v>10</v>
      </c>
      <c r="H754" s="2">
        <f>Googleadssales[[#This Row],[Conversions]]/Googleadssales[[#This Row],[Clicks]]</f>
        <v>6.8965517241379309E-2</v>
      </c>
      <c r="I754" t="str">
        <f>VLOOKUP(Googleadssales[[#This Row],[Ad_ID]],'[1]pre processed data'!A:O,15,0)</f>
        <v>$1153</v>
      </c>
      <c r="J754" s="3">
        <f>VLOOKUP(Googleadssales[[#This Row],[Ad_ID]],'[1]pre processed data'!A:Q,17,0)</f>
        <v>45626</v>
      </c>
      <c r="K754" t="str">
        <f>VLOOKUP(Googleadssales[[#This Row],[Ad_ID]],'[1]pre processed data'!A:R,18,0)</f>
        <v>Hyderabad</v>
      </c>
      <c r="L754" t="str">
        <f>VLOOKUP(Googleadssales[[#This Row],[Ad_ID]],'[1]pre processed data'!A:S,19,0)</f>
        <v>Mobile</v>
      </c>
      <c r="M754" t="str">
        <f>VLOOKUP(Googleadssales[[#This Row],[Ad_ID]],'[1]pre processed data'!A:T,20,0)</f>
        <v>data analytics training</v>
      </c>
    </row>
    <row r="755" spans="1:13" x14ac:dyDescent="0.3">
      <c r="A755" t="s">
        <v>768</v>
      </c>
      <c r="B755" t="s">
        <v>14</v>
      </c>
      <c r="C755" s="4">
        <f>VLOOKUP(Googleadssales[[#This Row],[Ad_ID]],'[1]pre processed data'!A:C,3,0)</f>
        <v>94</v>
      </c>
      <c r="D755" s="4">
        <f>VLOOKUP(Googleadssales[[#This Row],[Ad_ID]],'[1]pre processed data'!A:E,5,0)</f>
        <v>5221</v>
      </c>
      <c r="E755" s="5" t="str">
        <f>VLOOKUP(Googleadssales[[#This Row],[Ad_ID]],[1]!Table3[[Ad_ID]:[Cost-imputed]],7,0)</f>
        <v>$225.23</v>
      </c>
      <c r="F755" s="4">
        <f>VLOOKUP(Googleadssales[[#This Row],[Ad_ID]],'[1]pre processed data'!A:I,9,0)</f>
        <v>17</v>
      </c>
      <c r="G755" s="4">
        <f>VLOOKUP(Googleadssales[[#This Row],[Ad_ID]],'[1]pre processed data'!A:K,11,0)</f>
        <v>3</v>
      </c>
      <c r="H755" s="2">
        <f>Googleadssales[[#This Row],[Conversions]]/Googleadssales[[#This Row],[Clicks]]</f>
        <v>3.1914893617021274E-2</v>
      </c>
      <c r="I755" t="str">
        <f>VLOOKUP(Googleadssales[[#This Row],[Ad_ID]],'[1]pre processed data'!A:O,15,0)</f>
        <v>$1209</v>
      </c>
      <c r="J755" s="3">
        <f>VLOOKUP(Googleadssales[[#This Row],[Ad_ID]],'[1]pre processed data'!A:Q,17,0)</f>
        <v>45615</v>
      </c>
      <c r="K755" t="str">
        <f>VLOOKUP(Googleadssales[[#This Row],[Ad_ID]],'[1]pre processed data'!A:R,18,0)</f>
        <v>Chennai</v>
      </c>
      <c r="L755" t="str">
        <f>VLOOKUP(Googleadssales[[#This Row],[Ad_ID]],'[1]pre processed data'!A:S,19,0)</f>
        <v>Tablet</v>
      </c>
      <c r="M755" t="str">
        <f>VLOOKUP(Googleadssales[[#This Row],[Ad_ID]],'[1]pre processed data'!A:T,20,0)</f>
        <v>learn data analytics</v>
      </c>
    </row>
    <row r="756" spans="1:13" x14ac:dyDescent="0.3">
      <c r="A756" t="s">
        <v>769</v>
      </c>
      <c r="B756" t="s">
        <v>14</v>
      </c>
      <c r="C756" s="4">
        <f>VLOOKUP(Googleadssales[[#This Row],[Ad_ID]],'[1]pre processed data'!A:C,3,0)</f>
        <v>90</v>
      </c>
      <c r="D756" s="4">
        <f>VLOOKUP(Googleadssales[[#This Row],[Ad_ID]],'[1]pre processed data'!A:E,5,0)</f>
        <v>5859</v>
      </c>
      <c r="E756" s="5" t="str">
        <f>VLOOKUP(Googleadssales[[#This Row],[Ad_ID]],[1]!Table3[[Ad_ID]:[Cost-imputed]],7,0)</f>
        <v>$187.29</v>
      </c>
      <c r="F756" s="4">
        <f>VLOOKUP(Googleadssales[[#This Row],[Ad_ID]],'[1]pre processed data'!A:I,9,0)</f>
        <v>17</v>
      </c>
      <c r="G756" s="4">
        <f>VLOOKUP(Googleadssales[[#This Row],[Ad_ID]],'[1]pre processed data'!A:K,11,0)</f>
        <v>5</v>
      </c>
      <c r="H756" s="2">
        <f>Googleadssales[[#This Row],[Conversions]]/Googleadssales[[#This Row],[Clicks]]</f>
        <v>5.5555555555555552E-2</v>
      </c>
      <c r="I756" t="str">
        <f>VLOOKUP(Googleadssales[[#This Row],[Ad_ID]],'[1]pre processed data'!A:O,15,0)</f>
        <v>$1375</v>
      </c>
      <c r="J756" s="3">
        <f>VLOOKUP(Googleadssales[[#This Row],[Ad_ID]],'[1]pre processed data'!A:Q,17,0)</f>
        <v>45612</v>
      </c>
      <c r="K756" t="str">
        <f>VLOOKUP(Googleadssales[[#This Row],[Ad_ID]],'[1]pre processed data'!A:R,18,0)</f>
        <v>Chennai</v>
      </c>
      <c r="L756" t="str">
        <f>VLOOKUP(Googleadssales[[#This Row],[Ad_ID]],'[1]pre processed data'!A:S,19,0)</f>
        <v>Mobile</v>
      </c>
      <c r="M756" t="str">
        <f>VLOOKUP(Googleadssales[[#This Row],[Ad_ID]],'[1]pre processed data'!A:T,20,0)</f>
        <v>analytics for data</v>
      </c>
    </row>
    <row r="757" spans="1:13" x14ac:dyDescent="0.3">
      <c r="A757" t="s">
        <v>770</v>
      </c>
      <c r="B757" t="s">
        <v>14</v>
      </c>
      <c r="C757" s="4">
        <f>VLOOKUP(Googleadssales[[#This Row],[Ad_ID]],'[1]pre processed data'!A:C,3,0)</f>
        <v>182</v>
      </c>
      <c r="D757" s="4">
        <f>VLOOKUP(Googleadssales[[#This Row],[Ad_ID]],'[1]pre processed data'!A:E,5,0)</f>
        <v>5055</v>
      </c>
      <c r="E757" s="5" t="str">
        <f>VLOOKUP(Googleadssales[[#This Row],[Ad_ID]],[1]!Table3[[Ad_ID]:[Cost-imputed]],7,0)</f>
        <v>$232.64</v>
      </c>
      <c r="F757" s="4">
        <f>VLOOKUP(Googleadssales[[#This Row],[Ad_ID]],'[1]pre processed data'!A:I,9,0)</f>
        <v>26</v>
      </c>
      <c r="G757" s="4">
        <f>VLOOKUP(Googleadssales[[#This Row],[Ad_ID]],'[1]pre processed data'!A:K,11,0)</f>
        <v>8</v>
      </c>
      <c r="H757" s="2">
        <f>Googleadssales[[#This Row],[Conversions]]/Googleadssales[[#This Row],[Clicks]]</f>
        <v>4.3956043956043959E-2</v>
      </c>
      <c r="I757" t="str">
        <f>VLOOKUP(Googleadssales[[#This Row],[Ad_ID]],'[1]pre processed data'!A:O,15,0)</f>
        <v>$1815</v>
      </c>
      <c r="J757" s="3">
        <f>VLOOKUP(Googleadssales[[#This Row],[Ad_ID]],'[1]pre processed data'!A:Q,17,0)</f>
        <v>45606</v>
      </c>
      <c r="K757" t="str">
        <f>VLOOKUP(Googleadssales[[#This Row],[Ad_ID]],'[1]pre processed data'!A:R,18,0)</f>
        <v>Hyderabad</v>
      </c>
      <c r="L757" t="str">
        <f>VLOOKUP(Googleadssales[[#This Row],[Ad_ID]],'[1]pre processed data'!A:S,19,0)</f>
        <v>Mobile</v>
      </c>
      <c r="M757" t="str">
        <f>VLOOKUP(Googleadssales[[#This Row],[Ad_ID]],'[1]pre processed data'!A:T,20,0)</f>
        <v>data analytics training</v>
      </c>
    </row>
    <row r="758" spans="1:13" x14ac:dyDescent="0.3">
      <c r="A758" t="s">
        <v>771</v>
      </c>
      <c r="B758" t="s">
        <v>14</v>
      </c>
      <c r="C758" s="4">
        <f>VLOOKUP(Googleadssales[[#This Row],[Ad_ID]],'[1]pre processed data'!A:C,3,0)</f>
        <v>138.95699356913184</v>
      </c>
      <c r="D758" s="4">
        <f>VLOOKUP(Googleadssales[[#This Row],[Ad_ID]],'[1]pre processed data'!A:E,5,0)</f>
        <v>4373</v>
      </c>
      <c r="E758" s="5" t="str">
        <f>VLOOKUP(Googleadssales[[#This Row],[Ad_ID]],[1]!Table3[[Ad_ID]:[Cost-imputed]],7,0)</f>
        <v>$199.32</v>
      </c>
      <c r="F758" s="4">
        <f>VLOOKUP(Googleadssales[[#This Row],[Ad_ID]],'[1]pre processed data'!A:I,9,0)</f>
        <v>16</v>
      </c>
      <c r="G758" s="4">
        <f>VLOOKUP(Googleadssales[[#This Row],[Ad_ID]],'[1]pre processed data'!A:K,11,0)</f>
        <v>5</v>
      </c>
      <c r="H758" s="2">
        <f>Googleadssales[[#This Row],[Conversions]]/Googleadssales[[#This Row],[Clicks]]</f>
        <v>3.5982355918721523E-2</v>
      </c>
      <c r="I758" t="str">
        <f>VLOOKUP(Googleadssales[[#This Row],[Ad_ID]],'[1]pre processed data'!A:O,15,0)</f>
        <v>$1150</v>
      </c>
      <c r="J758" s="3">
        <f>VLOOKUP(Googleadssales[[#This Row],[Ad_ID]],'[1]pre processed data'!A:Q,17,0)</f>
        <v>45598</v>
      </c>
      <c r="K758" t="str">
        <f>VLOOKUP(Googleadssales[[#This Row],[Ad_ID]],'[1]pre processed data'!A:R,18,0)</f>
        <v>Chennai</v>
      </c>
      <c r="L758" t="str">
        <f>VLOOKUP(Googleadssales[[#This Row],[Ad_ID]],'[1]pre processed data'!A:S,19,0)</f>
        <v>Desktop</v>
      </c>
      <c r="M758" t="str">
        <f>VLOOKUP(Googleadssales[[#This Row],[Ad_ID]],'[1]pre processed data'!A:T,20,0)</f>
        <v>data analytics training</v>
      </c>
    </row>
    <row r="759" spans="1:13" x14ac:dyDescent="0.3">
      <c r="A759" t="s">
        <v>772</v>
      </c>
      <c r="B759" t="s">
        <v>14</v>
      </c>
      <c r="C759" s="4">
        <f>VLOOKUP(Googleadssales[[#This Row],[Ad_ID]],'[1]pre processed data'!A:C,3,0)</f>
        <v>138.95699356913184</v>
      </c>
      <c r="D759" s="4">
        <f>VLOOKUP(Googleadssales[[#This Row],[Ad_ID]],'[1]pre processed data'!A:E,5,0)</f>
        <v>4523.2808326787117</v>
      </c>
      <c r="E759" s="5" t="str">
        <f>VLOOKUP(Googleadssales[[#This Row],[Ad_ID]],[1]!Table3[[Ad_ID]:[Cost-imputed]],7,0)</f>
        <v>$234.85</v>
      </c>
      <c r="F759" s="4">
        <f>VLOOKUP(Googleadssales[[#This Row],[Ad_ID]],'[1]pre processed data'!A:I,9,0)</f>
        <v>11</v>
      </c>
      <c r="G759" s="4">
        <f>VLOOKUP(Googleadssales[[#This Row],[Ad_ID]],'[1]pre processed data'!A:K,11,0)</f>
        <v>8</v>
      </c>
      <c r="H759" s="2">
        <f>Googleadssales[[#This Row],[Conversions]]/Googleadssales[[#This Row],[Clicks]]</f>
        <v>5.7571769469954438E-2</v>
      </c>
      <c r="I759" t="str">
        <f>VLOOKUP(Googleadssales[[#This Row],[Ad_ID]],'[1]pre processed data'!A:O,15,0)</f>
        <v>$1398</v>
      </c>
      <c r="J759" s="3">
        <f>VLOOKUP(Googleadssales[[#This Row],[Ad_ID]],'[1]pre processed data'!A:Q,17,0)</f>
        <v>45600</v>
      </c>
      <c r="K759" t="str">
        <f>VLOOKUP(Googleadssales[[#This Row],[Ad_ID]],'[1]pre processed data'!A:R,18,0)</f>
        <v>Hyderabad</v>
      </c>
      <c r="L759" t="str">
        <f>VLOOKUP(Googleadssales[[#This Row],[Ad_ID]],'[1]pre processed data'!A:S,19,0)</f>
        <v>Desktop</v>
      </c>
      <c r="M759" t="str">
        <f>VLOOKUP(Googleadssales[[#This Row],[Ad_ID]],'[1]pre processed data'!A:T,20,0)</f>
        <v>data analytics training</v>
      </c>
    </row>
    <row r="760" spans="1:13" x14ac:dyDescent="0.3">
      <c r="A760" t="s">
        <v>773</v>
      </c>
      <c r="B760" t="s">
        <v>18</v>
      </c>
      <c r="C760" s="4">
        <f>VLOOKUP(Googleadssales[[#This Row],[Ad_ID]],'[1]pre processed data'!A:C,3,0)</f>
        <v>103</v>
      </c>
      <c r="D760" s="4">
        <f>VLOOKUP(Googleadssales[[#This Row],[Ad_ID]],'[1]pre processed data'!A:E,5,0)</f>
        <v>3547</v>
      </c>
      <c r="E760" s="5" t="str">
        <f>VLOOKUP(Googleadssales[[#This Row],[Ad_ID]],[1]!Table3[[Ad_ID]:[Cost-imputed]],7,0)</f>
        <v>$232.35</v>
      </c>
      <c r="F760" s="4">
        <f>VLOOKUP(Googleadssales[[#This Row],[Ad_ID]],'[1]pre processed data'!A:I,9,0)</f>
        <v>11</v>
      </c>
      <c r="G760" s="4">
        <f>VLOOKUP(Googleadssales[[#This Row],[Ad_ID]],'[1]pre processed data'!A:K,11,0)</f>
        <v>8</v>
      </c>
      <c r="H760" s="2">
        <f>Googleadssales[[#This Row],[Conversions]]/Googleadssales[[#This Row],[Clicks]]</f>
        <v>7.7669902912621352E-2</v>
      </c>
      <c r="I760" t="str">
        <f>VLOOKUP(Googleadssales[[#This Row],[Ad_ID]],'[1]pre processed data'!A:O,15,0)</f>
        <v>$1663</v>
      </c>
      <c r="J760" s="3">
        <f>VLOOKUP(Googleadssales[[#This Row],[Ad_ID]],'[1]pre processed data'!A:Q,17,0)</f>
        <v>45622</v>
      </c>
      <c r="K760" t="str">
        <f>VLOOKUP(Googleadssales[[#This Row],[Ad_ID]],'[1]pre processed data'!A:R,18,0)</f>
        <v>Chennai</v>
      </c>
      <c r="L760" t="str">
        <f>VLOOKUP(Googleadssales[[#This Row],[Ad_ID]],'[1]pre processed data'!A:S,19,0)</f>
        <v>Tablet</v>
      </c>
      <c r="M760" t="str">
        <f>VLOOKUP(Googleadssales[[#This Row],[Ad_ID]],'[1]pre processed data'!A:T,20,0)</f>
        <v>learn data analytics</v>
      </c>
    </row>
    <row r="761" spans="1:13" x14ac:dyDescent="0.3">
      <c r="A761" t="s">
        <v>774</v>
      </c>
      <c r="B761" t="s">
        <v>14</v>
      </c>
      <c r="C761" s="4">
        <f>VLOOKUP(Googleadssales[[#This Row],[Ad_ID]],'[1]pre processed data'!A:C,3,0)</f>
        <v>148</v>
      </c>
      <c r="D761" s="4">
        <f>VLOOKUP(Googleadssales[[#This Row],[Ad_ID]],'[1]pre processed data'!A:E,5,0)</f>
        <v>3128</v>
      </c>
      <c r="E761" s="5" t="str">
        <f>VLOOKUP(Googleadssales[[#This Row],[Ad_ID]],[1]!Table3[[Ad_ID]:[Cost-imputed]],7,0)</f>
        <v>$197.02</v>
      </c>
      <c r="F761" s="4">
        <f>VLOOKUP(Googleadssales[[#This Row],[Ad_ID]],'[1]pre processed data'!A:I,9,0)</f>
        <v>27</v>
      </c>
      <c r="G761" s="4">
        <f>VLOOKUP(Googleadssales[[#This Row],[Ad_ID]],'[1]pre processed data'!A:K,11,0)</f>
        <v>9</v>
      </c>
      <c r="H761" s="2">
        <f>Googleadssales[[#This Row],[Conversions]]/Googleadssales[[#This Row],[Clicks]]</f>
        <v>6.0810810810810814E-2</v>
      </c>
      <c r="I761" t="str">
        <f>VLOOKUP(Googleadssales[[#This Row],[Ad_ID]],'[1]pre processed data'!A:O,15,0)</f>
        <v>$1214</v>
      </c>
      <c r="J761" s="3">
        <f>VLOOKUP(Googleadssales[[#This Row],[Ad_ID]],'[1]pre processed data'!A:Q,17,0)</f>
        <v>45608</v>
      </c>
      <c r="K761" t="str">
        <f>VLOOKUP(Googleadssales[[#This Row],[Ad_ID]],'[1]pre processed data'!A:R,18,0)</f>
        <v>Hyderabad</v>
      </c>
      <c r="L761" t="str">
        <f>VLOOKUP(Googleadssales[[#This Row],[Ad_ID]],'[1]pre processed data'!A:S,19,0)</f>
        <v>Tablet</v>
      </c>
      <c r="M761" t="str">
        <f>VLOOKUP(Googleadssales[[#This Row],[Ad_ID]],'[1]pre processed data'!A:T,20,0)</f>
        <v>data analytics training</v>
      </c>
    </row>
    <row r="762" spans="1:13" x14ac:dyDescent="0.3">
      <c r="A762" t="s">
        <v>775</v>
      </c>
      <c r="B762" t="s">
        <v>14</v>
      </c>
      <c r="C762" s="4">
        <f>VLOOKUP(Googleadssales[[#This Row],[Ad_ID]],'[1]pre processed data'!A:C,3,0)</f>
        <v>151</v>
      </c>
      <c r="D762" s="4">
        <f>VLOOKUP(Googleadssales[[#This Row],[Ad_ID]],'[1]pre processed data'!A:E,5,0)</f>
        <v>5201</v>
      </c>
      <c r="E762" s="5" t="str">
        <f>VLOOKUP(Googleadssales[[#This Row],[Ad_ID]],[1]!Table3[[Ad_ID]:[Cost-imputed]],7,0)</f>
        <v>$198.56</v>
      </c>
      <c r="F762" s="4">
        <f>VLOOKUP(Googleadssales[[#This Row],[Ad_ID]],'[1]pre processed data'!A:I,9,0)</f>
        <v>15</v>
      </c>
      <c r="G762" s="4">
        <f>VLOOKUP(Googleadssales[[#This Row],[Ad_ID]],'[1]pre processed data'!A:K,11,0)</f>
        <v>10</v>
      </c>
      <c r="H762" s="2">
        <f>Googleadssales[[#This Row],[Conversions]]/Googleadssales[[#This Row],[Clicks]]</f>
        <v>6.6225165562913912E-2</v>
      </c>
      <c r="I762" t="str">
        <f>VLOOKUP(Googleadssales[[#This Row],[Ad_ID]],'[1]pre processed data'!A:O,15,0)</f>
        <v>$1716</v>
      </c>
      <c r="J762" s="3">
        <f>VLOOKUP(Googleadssales[[#This Row],[Ad_ID]],'[1]pre processed data'!A:Q,17,0)</f>
        <v>45601</v>
      </c>
      <c r="K762" t="str">
        <f>VLOOKUP(Googleadssales[[#This Row],[Ad_ID]],'[1]pre processed data'!A:R,18,0)</f>
        <v>Bangaluru</v>
      </c>
      <c r="L762" t="str">
        <f>VLOOKUP(Googleadssales[[#This Row],[Ad_ID]],'[1]pre processed data'!A:S,19,0)</f>
        <v>Tablet</v>
      </c>
      <c r="M762" t="str">
        <f>VLOOKUP(Googleadssales[[#This Row],[Ad_ID]],'[1]pre processed data'!A:T,20,0)</f>
        <v>data analytics training</v>
      </c>
    </row>
    <row r="763" spans="1:13" x14ac:dyDescent="0.3">
      <c r="A763" t="s">
        <v>776</v>
      </c>
      <c r="B763" t="s">
        <v>18</v>
      </c>
      <c r="C763" s="4">
        <f>VLOOKUP(Googleadssales[[#This Row],[Ad_ID]],'[1]pre processed data'!A:C,3,0)</f>
        <v>148</v>
      </c>
      <c r="D763" s="4">
        <f>VLOOKUP(Googleadssales[[#This Row],[Ad_ID]],'[1]pre processed data'!A:E,5,0)</f>
        <v>5510</v>
      </c>
      <c r="E763" s="5" t="str">
        <f>VLOOKUP(Googleadssales[[#This Row],[Ad_ID]],[1]!Table3[[Ad_ID]:[Cost-imputed]],7,0)</f>
        <v>$210.42</v>
      </c>
      <c r="F763" s="4">
        <f>VLOOKUP(Googleadssales[[#This Row],[Ad_ID]],'[1]pre processed data'!A:I,9,0)</f>
        <v>27</v>
      </c>
      <c r="G763" s="4">
        <f>VLOOKUP(Googleadssales[[#This Row],[Ad_ID]],'[1]pre processed data'!A:K,11,0)</f>
        <v>4</v>
      </c>
      <c r="H763" s="2">
        <f>Googleadssales[[#This Row],[Conversions]]/Googleadssales[[#This Row],[Clicks]]</f>
        <v>2.7027027027027029E-2</v>
      </c>
      <c r="I763" t="str">
        <f>VLOOKUP(Googleadssales[[#This Row],[Ad_ID]],'[1]pre processed data'!A:O,15,0)</f>
        <v>$1352</v>
      </c>
      <c r="J763" s="3">
        <f>VLOOKUP(Googleadssales[[#This Row],[Ad_ID]],'[1]pre processed data'!A:Q,17,0)</f>
        <v>45602</v>
      </c>
      <c r="K763" t="str">
        <f>VLOOKUP(Googleadssales[[#This Row],[Ad_ID]],'[1]pre processed data'!A:R,18,0)</f>
        <v>Bangaluru</v>
      </c>
      <c r="L763" t="str">
        <f>VLOOKUP(Googleadssales[[#This Row],[Ad_ID]],'[1]pre processed data'!A:S,19,0)</f>
        <v>Mobile</v>
      </c>
      <c r="M763" t="str">
        <f>VLOOKUP(Googleadssales[[#This Row],[Ad_ID]],'[1]pre processed data'!A:T,20,0)</f>
        <v>learn data analytics</v>
      </c>
    </row>
    <row r="764" spans="1:13" x14ac:dyDescent="0.3">
      <c r="A764" t="s">
        <v>777</v>
      </c>
      <c r="B764" t="s">
        <v>14</v>
      </c>
      <c r="C764" s="4">
        <f>VLOOKUP(Googleadssales[[#This Row],[Ad_ID]],'[1]pre processed data'!A:C,3,0)</f>
        <v>103</v>
      </c>
      <c r="D764" s="4">
        <f>VLOOKUP(Googleadssales[[#This Row],[Ad_ID]],'[1]pre processed data'!A:E,5,0)</f>
        <v>5628</v>
      </c>
      <c r="E764" s="5" t="str">
        <f>VLOOKUP(Googleadssales[[#This Row],[Ad_ID]],[1]!Table3[[Ad_ID]:[Cost-imputed]],7,0)</f>
        <v>$195.6</v>
      </c>
      <c r="F764" s="4">
        <f>VLOOKUP(Googleadssales[[#This Row],[Ad_ID]],'[1]pre processed data'!A:I,9,0)</f>
        <v>24</v>
      </c>
      <c r="G764" s="4">
        <f>VLOOKUP(Googleadssales[[#This Row],[Ad_ID]],'[1]pre processed data'!A:K,11,0)</f>
        <v>8</v>
      </c>
      <c r="H764" s="2">
        <f>Googleadssales[[#This Row],[Conversions]]/Googleadssales[[#This Row],[Clicks]]</f>
        <v>7.7669902912621352E-2</v>
      </c>
      <c r="I764" t="str">
        <f>VLOOKUP(Googleadssales[[#This Row],[Ad_ID]],'[1]pre processed data'!A:O,15,0)</f>
        <v>$1065</v>
      </c>
      <c r="J764" s="3">
        <f>VLOOKUP(Googleadssales[[#This Row],[Ad_ID]],'[1]pre processed data'!A:Q,17,0)</f>
        <v>45605</v>
      </c>
      <c r="K764" t="str">
        <f>VLOOKUP(Googleadssales[[#This Row],[Ad_ID]],'[1]pre processed data'!A:R,18,0)</f>
        <v>Hyderabad</v>
      </c>
      <c r="L764" t="str">
        <f>VLOOKUP(Googleadssales[[#This Row],[Ad_ID]],'[1]pre processed data'!A:S,19,0)</f>
        <v>Mobile</v>
      </c>
      <c r="M764" t="str">
        <f>VLOOKUP(Googleadssales[[#This Row],[Ad_ID]],'[1]pre processed data'!A:T,20,0)</f>
        <v>analytics for data</v>
      </c>
    </row>
    <row r="765" spans="1:13" x14ac:dyDescent="0.3">
      <c r="A765" t="s">
        <v>778</v>
      </c>
      <c r="B765" t="s">
        <v>18</v>
      </c>
      <c r="C765" s="4">
        <f>VLOOKUP(Googleadssales[[#This Row],[Ad_ID]],'[1]pre processed data'!A:C,3,0)</f>
        <v>115</v>
      </c>
      <c r="D765" s="4">
        <f>VLOOKUP(Googleadssales[[#This Row],[Ad_ID]],'[1]pre processed data'!A:E,5,0)</f>
        <v>5445</v>
      </c>
      <c r="E765" s="5" t="str">
        <f>VLOOKUP(Googleadssales[[#This Row],[Ad_ID]],[1]!Table3[[Ad_ID]:[Cost-imputed]],7,0)</f>
        <v>$183.55</v>
      </c>
      <c r="F765" s="4">
        <f>VLOOKUP(Googleadssales[[#This Row],[Ad_ID]],'[1]pre processed data'!A:I,9,0)</f>
        <v>21</v>
      </c>
      <c r="G765" s="4">
        <f>VLOOKUP(Googleadssales[[#This Row],[Ad_ID]],'[1]pre processed data'!A:K,11,0)</f>
        <v>7</v>
      </c>
      <c r="H765" s="2">
        <f>Googleadssales[[#This Row],[Conversions]]/Googleadssales[[#This Row],[Clicks]]</f>
        <v>6.0869565217391307E-2</v>
      </c>
      <c r="I765" t="str">
        <f>VLOOKUP(Googleadssales[[#This Row],[Ad_ID]],'[1]pre processed data'!A:O,15,0)</f>
        <v>$1721</v>
      </c>
      <c r="J765" s="3">
        <f>VLOOKUP(Googleadssales[[#This Row],[Ad_ID]],'[1]pre processed data'!A:Q,17,0)</f>
        <v>45603</v>
      </c>
      <c r="K765" t="str">
        <f>VLOOKUP(Googleadssales[[#This Row],[Ad_ID]],'[1]pre processed data'!A:R,18,0)</f>
        <v>Hyderabad</v>
      </c>
      <c r="L765" t="str">
        <f>VLOOKUP(Googleadssales[[#This Row],[Ad_ID]],'[1]pre processed data'!A:S,19,0)</f>
        <v>Tablet</v>
      </c>
      <c r="M765" t="str">
        <f>VLOOKUP(Googleadssales[[#This Row],[Ad_ID]],'[1]pre processed data'!A:T,20,0)</f>
        <v>data analytics course</v>
      </c>
    </row>
    <row r="766" spans="1:13" x14ac:dyDescent="0.3">
      <c r="A766" t="s">
        <v>779</v>
      </c>
      <c r="B766" t="s">
        <v>14</v>
      </c>
      <c r="C766" s="4">
        <f>VLOOKUP(Googleadssales[[#This Row],[Ad_ID]],'[1]pre processed data'!A:C,3,0)</f>
        <v>160</v>
      </c>
      <c r="D766" s="4">
        <f>VLOOKUP(Googleadssales[[#This Row],[Ad_ID]],'[1]pre processed data'!A:E,5,0)</f>
        <v>5936</v>
      </c>
      <c r="E766" s="5" t="str">
        <f>VLOOKUP(Googleadssales[[#This Row],[Ad_ID]],[1]!Table3[[Ad_ID]:[Cost-imputed]],7,0)</f>
        <v>$239.87</v>
      </c>
      <c r="F766" s="4">
        <f>VLOOKUP(Googleadssales[[#This Row],[Ad_ID]],'[1]pre processed data'!A:I,9,0)</f>
        <v>29</v>
      </c>
      <c r="G766" s="4">
        <f>VLOOKUP(Googleadssales[[#This Row],[Ad_ID]],'[1]pre processed data'!A:K,11,0)</f>
        <v>4</v>
      </c>
      <c r="H766" s="2">
        <f>Googleadssales[[#This Row],[Conversions]]/Googleadssales[[#This Row],[Clicks]]</f>
        <v>2.5000000000000001E-2</v>
      </c>
      <c r="I766" t="str">
        <f>VLOOKUP(Googleadssales[[#This Row],[Ad_ID]],'[1]pre processed data'!A:O,15,0)</f>
        <v>$1320</v>
      </c>
      <c r="J766" s="3">
        <f>VLOOKUP(Googleadssales[[#This Row],[Ad_ID]],'[1]pre processed data'!A:Q,17,0)</f>
        <v>45620</v>
      </c>
      <c r="K766" t="str">
        <f>VLOOKUP(Googleadssales[[#This Row],[Ad_ID]],'[1]pre processed data'!A:R,18,0)</f>
        <v>Hyderabad</v>
      </c>
      <c r="L766" t="str">
        <f>VLOOKUP(Googleadssales[[#This Row],[Ad_ID]],'[1]pre processed data'!A:S,19,0)</f>
        <v>Mobile</v>
      </c>
      <c r="M766" t="str">
        <f>VLOOKUP(Googleadssales[[#This Row],[Ad_ID]],'[1]pre processed data'!A:T,20,0)</f>
        <v>analytics for data</v>
      </c>
    </row>
    <row r="767" spans="1:13" x14ac:dyDescent="0.3">
      <c r="A767" t="s">
        <v>780</v>
      </c>
      <c r="B767" t="s">
        <v>14</v>
      </c>
      <c r="C767" s="4">
        <f>VLOOKUP(Googleadssales[[#This Row],[Ad_ID]],'[1]pre processed data'!A:C,3,0)</f>
        <v>166</v>
      </c>
      <c r="D767" s="4">
        <f>VLOOKUP(Googleadssales[[#This Row],[Ad_ID]],'[1]pre processed data'!A:E,5,0)</f>
        <v>5808</v>
      </c>
      <c r="E767" s="5" t="str">
        <f>VLOOKUP(Googleadssales[[#This Row],[Ad_ID]],[1]!Table3[[Ad_ID]:[Cost-imputed]],7,0)</f>
        <v>$194.79</v>
      </c>
      <c r="F767" s="4">
        <f>VLOOKUP(Googleadssales[[#This Row],[Ad_ID]],'[1]pre processed data'!A:I,9,0)</f>
        <v>14</v>
      </c>
      <c r="G767" s="4">
        <f>VLOOKUP(Googleadssales[[#This Row],[Ad_ID]],'[1]pre processed data'!A:K,11,0)</f>
        <v>8</v>
      </c>
      <c r="H767" s="2">
        <f>Googleadssales[[#This Row],[Conversions]]/Googleadssales[[#This Row],[Clicks]]</f>
        <v>4.8192771084337352E-2</v>
      </c>
      <c r="I767" t="str">
        <f>VLOOKUP(Googleadssales[[#This Row],[Ad_ID]],'[1]pre processed data'!A:O,15,0)</f>
        <v>$1799</v>
      </c>
      <c r="J767" s="3">
        <f>VLOOKUP(Googleadssales[[#This Row],[Ad_ID]],'[1]pre processed data'!A:Q,17,0)</f>
        <v>45610</v>
      </c>
      <c r="K767" t="str">
        <f>VLOOKUP(Googleadssales[[#This Row],[Ad_ID]],'[1]pre processed data'!A:R,18,0)</f>
        <v>Hyderabad</v>
      </c>
      <c r="L767" t="str">
        <f>VLOOKUP(Googleadssales[[#This Row],[Ad_ID]],'[1]pre processed data'!A:S,19,0)</f>
        <v>Tablet</v>
      </c>
      <c r="M767" t="str">
        <f>VLOOKUP(Googleadssales[[#This Row],[Ad_ID]],'[1]pre processed data'!A:T,20,0)</f>
        <v>data analytics training</v>
      </c>
    </row>
    <row r="768" spans="1:13" x14ac:dyDescent="0.3">
      <c r="A768" t="s">
        <v>781</v>
      </c>
      <c r="B768" t="s">
        <v>18</v>
      </c>
      <c r="C768" s="4">
        <f>VLOOKUP(Googleadssales[[#This Row],[Ad_ID]],'[1]pre processed data'!A:C,3,0)</f>
        <v>187</v>
      </c>
      <c r="D768" s="4">
        <f>VLOOKUP(Googleadssales[[#This Row],[Ad_ID]],'[1]pre processed data'!A:E,5,0)</f>
        <v>3282</v>
      </c>
      <c r="E768" s="5" t="str">
        <f>VLOOKUP(Googleadssales[[#This Row],[Ad_ID]],[1]!Table3[[Ad_ID]:[Cost-imputed]],7,0)</f>
        <v>$234.91</v>
      </c>
      <c r="F768" s="4">
        <f>VLOOKUP(Googleadssales[[#This Row],[Ad_ID]],'[1]pre processed data'!A:I,9,0)</f>
        <v>10</v>
      </c>
      <c r="G768" s="4">
        <f>VLOOKUP(Googleadssales[[#This Row],[Ad_ID]],'[1]pre processed data'!A:K,11,0)</f>
        <v>7</v>
      </c>
      <c r="H768" s="2">
        <f>Googleadssales[[#This Row],[Conversions]]/Googleadssales[[#This Row],[Clicks]]</f>
        <v>3.7433155080213901E-2</v>
      </c>
      <c r="I768" t="str">
        <f>VLOOKUP(Googleadssales[[#This Row],[Ad_ID]],'[1]pre processed data'!A:O,15,0)</f>
        <v>$1525</v>
      </c>
      <c r="J768" s="3">
        <f>VLOOKUP(Googleadssales[[#This Row],[Ad_ID]],'[1]pre processed data'!A:Q,17,0)</f>
        <v>45625</v>
      </c>
      <c r="K768" t="str">
        <f>VLOOKUP(Googleadssales[[#This Row],[Ad_ID]],'[1]pre processed data'!A:R,18,0)</f>
        <v>Chennai</v>
      </c>
      <c r="L768" t="str">
        <f>VLOOKUP(Googleadssales[[#This Row],[Ad_ID]],'[1]pre processed data'!A:S,19,0)</f>
        <v>Mobile</v>
      </c>
      <c r="M768" t="str">
        <f>VLOOKUP(Googleadssales[[#This Row],[Ad_ID]],'[1]pre processed data'!A:T,20,0)</f>
        <v>online data analytic</v>
      </c>
    </row>
    <row r="769" spans="1:13" x14ac:dyDescent="0.3">
      <c r="A769" t="s">
        <v>782</v>
      </c>
      <c r="B769" t="s">
        <v>14</v>
      </c>
      <c r="C769" s="4">
        <f>VLOOKUP(Googleadssales[[#This Row],[Ad_ID]],'[1]pre processed data'!A:C,3,0)</f>
        <v>172</v>
      </c>
      <c r="D769" s="4">
        <f>VLOOKUP(Googleadssales[[#This Row],[Ad_ID]],'[1]pre processed data'!A:E,5,0)</f>
        <v>3334</v>
      </c>
      <c r="E769" s="5" t="str">
        <f>VLOOKUP(Googleadssales[[#This Row],[Ad_ID]],[1]!Table3[[Ad_ID]:[Cost-imputed]],7,0)</f>
        <v>$243.12</v>
      </c>
      <c r="F769" s="4">
        <f>VLOOKUP(Googleadssales[[#This Row],[Ad_ID]],'[1]pre processed data'!A:I,9,0)</f>
        <v>30</v>
      </c>
      <c r="G769" s="4">
        <f>VLOOKUP(Googleadssales[[#This Row],[Ad_ID]],'[1]pre processed data'!A:K,11,0)</f>
        <v>9</v>
      </c>
      <c r="H769" s="2">
        <f>Googleadssales[[#This Row],[Conversions]]/Googleadssales[[#This Row],[Clicks]]</f>
        <v>5.232558139534884E-2</v>
      </c>
      <c r="I769" t="str">
        <f>VLOOKUP(Googleadssales[[#This Row],[Ad_ID]],'[1]pre processed data'!A:O,15,0)</f>
        <v>$1500</v>
      </c>
      <c r="J769" s="3">
        <f>VLOOKUP(Googleadssales[[#This Row],[Ad_ID]],'[1]pre processed data'!A:Q,17,0)</f>
        <v>45604</v>
      </c>
      <c r="K769" t="str">
        <f>VLOOKUP(Googleadssales[[#This Row],[Ad_ID]],'[1]pre processed data'!A:R,18,0)</f>
        <v>Bangaluru</v>
      </c>
      <c r="L769" t="str">
        <f>VLOOKUP(Googleadssales[[#This Row],[Ad_ID]],'[1]pre processed data'!A:S,19,0)</f>
        <v>Mobile</v>
      </c>
      <c r="M769" t="str">
        <f>VLOOKUP(Googleadssales[[#This Row],[Ad_ID]],'[1]pre processed data'!A:T,20,0)</f>
        <v>online data analytic</v>
      </c>
    </row>
    <row r="770" spans="1:13" x14ac:dyDescent="0.3">
      <c r="A770" t="s">
        <v>783</v>
      </c>
      <c r="B770" t="s">
        <v>14</v>
      </c>
      <c r="C770" s="4">
        <f>VLOOKUP(Googleadssales[[#This Row],[Ad_ID]],'[1]pre processed data'!A:C,3,0)</f>
        <v>172</v>
      </c>
      <c r="D770" s="4">
        <f>VLOOKUP(Googleadssales[[#This Row],[Ad_ID]],'[1]pre processed data'!A:E,5,0)</f>
        <v>5546</v>
      </c>
      <c r="E770" s="5" t="str">
        <f>VLOOKUP(Googleadssales[[#This Row],[Ad_ID]],[1]!Table3[[Ad_ID]:[Cost-imputed]],7,0)</f>
        <v>$241.81</v>
      </c>
      <c r="F770" s="4">
        <f>VLOOKUP(Googleadssales[[#This Row],[Ad_ID]],'[1]pre processed data'!A:I,9,0)</f>
        <v>24</v>
      </c>
      <c r="G770" s="4">
        <f>VLOOKUP(Googleadssales[[#This Row],[Ad_ID]],'[1]pre processed data'!A:K,11,0)</f>
        <v>10</v>
      </c>
      <c r="H770" s="2">
        <f>Googleadssales[[#This Row],[Conversions]]/Googleadssales[[#This Row],[Clicks]]</f>
        <v>5.8139534883720929E-2</v>
      </c>
      <c r="I770" t="str">
        <f>VLOOKUP(Googleadssales[[#This Row],[Ad_ID]],'[1]pre processed data'!A:O,15,0)</f>
        <v>$1681</v>
      </c>
      <c r="J770" s="3">
        <f>VLOOKUP(Googleadssales[[#This Row],[Ad_ID]],'[1]pre processed data'!A:Q,17,0)</f>
        <v>45599</v>
      </c>
      <c r="K770" t="str">
        <f>VLOOKUP(Googleadssales[[#This Row],[Ad_ID]],'[1]pre processed data'!A:R,18,0)</f>
        <v>Hyderabad</v>
      </c>
      <c r="L770" t="str">
        <f>VLOOKUP(Googleadssales[[#This Row],[Ad_ID]],'[1]pre processed data'!A:S,19,0)</f>
        <v>Desktop</v>
      </c>
      <c r="M770" t="str">
        <f>VLOOKUP(Googleadssales[[#This Row],[Ad_ID]],'[1]pre processed data'!A:T,20,0)</f>
        <v>learn data analytics</v>
      </c>
    </row>
    <row r="771" spans="1:13" x14ac:dyDescent="0.3">
      <c r="A771" t="s">
        <v>784</v>
      </c>
      <c r="B771" t="s">
        <v>18</v>
      </c>
      <c r="C771" s="4">
        <f>VLOOKUP(Googleadssales[[#This Row],[Ad_ID]],'[1]pre processed data'!A:C,3,0)</f>
        <v>187</v>
      </c>
      <c r="D771" s="4">
        <f>VLOOKUP(Googleadssales[[#This Row],[Ad_ID]],'[1]pre processed data'!A:E,5,0)</f>
        <v>5734</v>
      </c>
      <c r="E771" s="5" t="str">
        <f>VLOOKUP(Googleadssales[[#This Row],[Ad_ID]],[1]!Table3[[Ad_ID]:[Cost-imputed]],7,0)</f>
        <v>$187.44</v>
      </c>
      <c r="F771" s="4">
        <f>VLOOKUP(Googleadssales[[#This Row],[Ad_ID]],'[1]pre processed data'!A:I,9,0)</f>
        <v>10</v>
      </c>
      <c r="G771" s="4">
        <f>VLOOKUP(Googleadssales[[#This Row],[Ad_ID]],'[1]pre processed data'!A:K,11,0)</f>
        <v>8</v>
      </c>
      <c r="H771" s="2">
        <f>Googleadssales[[#This Row],[Conversions]]/Googleadssales[[#This Row],[Clicks]]</f>
        <v>4.2780748663101602E-2</v>
      </c>
      <c r="I771" t="str">
        <f>VLOOKUP(Googleadssales[[#This Row],[Ad_ID]],'[1]pre processed data'!A:O,15,0)</f>
        <v>$1183</v>
      </c>
      <c r="J771" s="3">
        <f>VLOOKUP(Googleadssales[[#This Row],[Ad_ID]],'[1]pre processed data'!A:Q,17,0)</f>
        <v>45619</v>
      </c>
      <c r="K771" t="str">
        <f>VLOOKUP(Googleadssales[[#This Row],[Ad_ID]],'[1]pre processed data'!A:R,18,0)</f>
        <v>Hyderabad</v>
      </c>
      <c r="L771" t="str">
        <f>VLOOKUP(Googleadssales[[#This Row],[Ad_ID]],'[1]pre processed data'!A:S,19,0)</f>
        <v>Tablet</v>
      </c>
      <c r="M771" t="str">
        <f>VLOOKUP(Googleadssales[[#This Row],[Ad_ID]],'[1]pre processed data'!A:T,20,0)</f>
        <v>analytics for data</v>
      </c>
    </row>
    <row r="772" spans="1:13" x14ac:dyDescent="0.3">
      <c r="A772" t="s">
        <v>785</v>
      </c>
      <c r="B772" t="s">
        <v>14</v>
      </c>
      <c r="C772" s="4">
        <f>VLOOKUP(Googleadssales[[#This Row],[Ad_ID]],'[1]pre processed data'!A:C,3,0)</f>
        <v>196</v>
      </c>
      <c r="D772" s="4">
        <f>VLOOKUP(Googleadssales[[#This Row],[Ad_ID]],'[1]pre processed data'!A:E,5,0)</f>
        <v>4964</v>
      </c>
      <c r="E772" s="5" t="str">
        <f>VLOOKUP(Googleadssales[[#This Row],[Ad_ID]],[1]!Table3[[Ad_ID]:[Cost-imputed]],7,0)</f>
        <v>$249.47</v>
      </c>
      <c r="F772" s="4">
        <f>VLOOKUP(Googleadssales[[#This Row],[Ad_ID]],'[1]pre processed data'!A:I,9,0)</f>
        <v>26</v>
      </c>
      <c r="G772" s="4">
        <f>VLOOKUP(Googleadssales[[#This Row],[Ad_ID]],'[1]pre processed data'!A:K,11,0)</f>
        <v>9</v>
      </c>
      <c r="H772" s="2">
        <f>Googleadssales[[#This Row],[Conversions]]/Googleadssales[[#This Row],[Clicks]]</f>
        <v>4.5918367346938778E-2</v>
      </c>
      <c r="I772" t="str">
        <f>VLOOKUP(Googleadssales[[#This Row],[Ad_ID]],'[1]pre processed data'!A:O,15,0)</f>
        <v>$1996</v>
      </c>
      <c r="J772" s="3">
        <f>VLOOKUP(Googleadssales[[#This Row],[Ad_ID]],'[1]pre processed data'!A:Q,17,0)</f>
        <v>45615</v>
      </c>
      <c r="K772" t="str">
        <f>VLOOKUP(Googleadssales[[#This Row],[Ad_ID]],'[1]pre processed data'!A:R,18,0)</f>
        <v>Hyderabad</v>
      </c>
      <c r="L772" t="str">
        <f>VLOOKUP(Googleadssales[[#This Row],[Ad_ID]],'[1]pre processed data'!A:S,19,0)</f>
        <v>Mobile</v>
      </c>
      <c r="M772" t="str">
        <f>VLOOKUP(Googleadssales[[#This Row],[Ad_ID]],'[1]pre processed data'!A:T,20,0)</f>
        <v>learn data analytics</v>
      </c>
    </row>
    <row r="773" spans="1:13" x14ac:dyDescent="0.3">
      <c r="A773" t="s">
        <v>786</v>
      </c>
      <c r="B773" t="s">
        <v>18</v>
      </c>
      <c r="C773" s="4">
        <f>VLOOKUP(Googleadssales[[#This Row],[Ad_ID]],'[1]pre processed data'!A:C,3,0)</f>
        <v>131</v>
      </c>
      <c r="D773" s="4">
        <f>VLOOKUP(Googleadssales[[#This Row],[Ad_ID]],'[1]pre processed data'!A:E,5,0)</f>
        <v>4774</v>
      </c>
      <c r="E773" s="5" t="str">
        <f>VLOOKUP(Googleadssales[[#This Row],[Ad_ID]],[1]!Table3[[Ad_ID]:[Cost-imputed]],7,0)</f>
        <v>$240.53</v>
      </c>
      <c r="F773" s="4">
        <f>VLOOKUP(Googleadssales[[#This Row],[Ad_ID]],'[1]pre processed data'!A:I,9,0)</f>
        <v>24</v>
      </c>
      <c r="G773" s="4">
        <f>VLOOKUP(Googleadssales[[#This Row],[Ad_ID]],'[1]pre processed data'!A:K,11,0)</f>
        <v>7</v>
      </c>
      <c r="H773" s="2">
        <f>Googleadssales[[#This Row],[Conversions]]/Googleadssales[[#This Row],[Clicks]]</f>
        <v>5.3435114503816793E-2</v>
      </c>
      <c r="I773" t="str">
        <f>VLOOKUP(Googleadssales[[#This Row],[Ad_ID]],'[1]pre processed data'!A:O,15,0)</f>
        <v>$1500</v>
      </c>
      <c r="J773" s="3">
        <f>VLOOKUP(Googleadssales[[#This Row],[Ad_ID]],'[1]pre processed data'!A:Q,17,0)</f>
        <v>45605</v>
      </c>
      <c r="K773" t="str">
        <f>VLOOKUP(Googleadssales[[#This Row],[Ad_ID]],'[1]pre processed data'!A:R,18,0)</f>
        <v>Chennai</v>
      </c>
      <c r="L773" t="str">
        <f>VLOOKUP(Googleadssales[[#This Row],[Ad_ID]],'[1]pre processed data'!A:S,19,0)</f>
        <v>Tablet</v>
      </c>
      <c r="M773" t="str">
        <f>VLOOKUP(Googleadssales[[#This Row],[Ad_ID]],'[1]pre processed data'!A:T,20,0)</f>
        <v>data analytics training</v>
      </c>
    </row>
    <row r="774" spans="1:13" x14ac:dyDescent="0.3">
      <c r="A774" t="s">
        <v>787</v>
      </c>
      <c r="B774" t="s">
        <v>14</v>
      </c>
      <c r="C774" s="4">
        <f>VLOOKUP(Googleadssales[[#This Row],[Ad_ID]],'[1]pre processed data'!A:C,3,0)</f>
        <v>103</v>
      </c>
      <c r="D774" s="4">
        <f>VLOOKUP(Googleadssales[[#This Row],[Ad_ID]],'[1]pre processed data'!A:E,5,0)</f>
        <v>5244</v>
      </c>
      <c r="E774" s="5" t="str">
        <f>VLOOKUP(Googleadssales[[#This Row],[Ad_ID]],[1]!Table3[[Ad_ID]:[Cost-imputed]],7,0)</f>
        <v>$205.9</v>
      </c>
      <c r="F774" s="4">
        <f>VLOOKUP(Googleadssales[[#This Row],[Ad_ID]],'[1]pre processed data'!A:I,9,0)</f>
        <v>22</v>
      </c>
      <c r="G774" s="4">
        <f>VLOOKUP(Googleadssales[[#This Row],[Ad_ID]],'[1]pre processed data'!A:K,11,0)</f>
        <v>7</v>
      </c>
      <c r="H774" s="2">
        <f>Googleadssales[[#This Row],[Conversions]]/Googleadssales[[#This Row],[Clicks]]</f>
        <v>6.7961165048543687E-2</v>
      </c>
      <c r="I774" t="str">
        <f>VLOOKUP(Googleadssales[[#This Row],[Ad_ID]],'[1]pre processed data'!A:O,15,0)</f>
        <v>$1954</v>
      </c>
      <c r="J774" s="3">
        <f>VLOOKUP(Googleadssales[[#This Row],[Ad_ID]],'[1]pre processed data'!A:Q,17,0)</f>
        <v>45612</v>
      </c>
      <c r="K774" t="str">
        <f>VLOOKUP(Googleadssales[[#This Row],[Ad_ID]],'[1]pre processed data'!A:R,18,0)</f>
        <v>Hyderabad</v>
      </c>
      <c r="L774" t="str">
        <f>VLOOKUP(Googleadssales[[#This Row],[Ad_ID]],'[1]pre processed data'!A:S,19,0)</f>
        <v>Mobile</v>
      </c>
      <c r="M774" t="str">
        <f>VLOOKUP(Googleadssales[[#This Row],[Ad_ID]],'[1]pre processed data'!A:T,20,0)</f>
        <v>analytics for data</v>
      </c>
    </row>
    <row r="775" spans="1:13" x14ac:dyDescent="0.3">
      <c r="A775" t="s">
        <v>788</v>
      </c>
      <c r="B775" t="s">
        <v>18</v>
      </c>
      <c r="C775" s="4">
        <f>VLOOKUP(Googleadssales[[#This Row],[Ad_ID]],'[1]pre processed data'!A:C,3,0)</f>
        <v>114</v>
      </c>
      <c r="D775" s="4">
        <f>VLOOKUP(Googleadssales[[#This Row],[Ad_ID]],'[1]pre processed data'!A:E,5,0)</f>
        <v>3064</v>
      </c>
      <c r="E775" s="5" t="str">
        <f>VLOOKUP(Googleadssales[[#This Row],[Ad_ID]],[1]!Table3[[Ad_ID]:[Cost-imputed]],7,0)</f>
        <v>$196.01</v>
      </c>
      <c r="F775" s="4">
        <f>VLOOKUP(Googleadssales[[#This Row],[Ad_ID]],'[1]pre processed data'!A:I,9,0)</f>
        <v>23</v>
      </c>
      <c r="G775" s="4">
        <f>VLOOKUP(Googleadssales[[#This Row],[Ad_ID]],'[1]pre processed data'!A:K,11,0)</f>
        <v>6</v>
      </c>
      <c r="H775" s="2">
        <f>Googleadssales[[#This Row],[Conversions]]/Googleadssales[[#This Row],[Clicks]]</f>
        <v>5.2631578947368418E-2</v>
      </c>
      <c r="I775" t="str">
        <f>VLOOKUP(Googleadssales[[#This Row],[Ad_ID]],'[1]pre processed data'!A:O,15,0)</f>
        <v>$1348</v>
      </c>
      <c r="J775" s="3">
        <f>VLOOKUP(Googleadssales[[#This Row],[Ad_ID]],'[1]pre processed data'!A:Q,17,0)</f>
        <v>45626</v>
      </c>
      <c r="K775" t="str">
        <f>VLOOKUP(Googleadssales[[#This Row],[Ad_ID]],'[1]pre processed data'!A:R,18,0)</f>
        <v>Bangaluru</v>
      </c>
      <c r="L775" t="str">
        <f>VLOOKUP(Googleadssales[[#This Row],[Ad_ID]],'[1]pre processed data'!A:S,19,0)</f>
        <v>Mobile</v>
      </c>
      <c r="M775" t="str">
        <f>VLOOKUP(Googleadssales[[#This Row],[Ad_ID]],'[1]pre processed data'!A:T,20,0)</f>
        <v>learn data analytics</v>
      </c>
    </row>
    <row r="776" spans="1:13" x14ac:dyDescent="0.3">
      <c r="A776" t="s">
        <v>789</v>
      </c>
      <c r="B776" t="s">
        <v>14</v>
      </c>
      <c r="C776" s="4">
        <f>VLOOKUP(Googleadssales[[#This Row],[Ad_ID]],'[1]pre processed data'!A:C,3,0)</f>
        <v>116</v>
      </c>
      <c r="D776" s="4">
        <f>VLOOKUP(Googleadssales[[#This Row],[Ad_ID]],'[1]pre processed data'!A:E,5,0)</f>
        <v>3265</v>
      </c>
      <c r="E776" s="5" t="str">
        <f>VLOOKUP(Googleadssales[[#This Row],[Ad_ID]],[1]!Table3[[Ad_ID]:[Cost-imputed]],7,0)</f>
        <v>$199.21</v>
      </c>
      <c r="F776" s="4">
        <f>VLOOKUP(Googleadssales[[#This Row],[Ad_ID]],'[1]pre processed data'!A:I,9,0)</f>
        <v>24</v>
      </c>
      <c r="G776" s="4">
        <f>VLOOKUP(Googleadssales[[#This Row],[Ad_ID]],'[1]pre processed data'!A:K,11,0)</f>
        <v>10</v>
      </c>
      <c r="H776" s="2">
        <f>Googleadssales[[#This Row],[Conversions]]/Googleadssales[[#This Row],[Clicks]]</f>
        <v>8.6206896551724144E-2</v>
      </c>
      <c r="I776" t="str">
        <f>VLOOKUP(Googleadssales[[#This Row],[Ad_ID]],'[1]pre processed data'!A:O,15,0)</f>
        <v>$1006</v>
      </c>
      <c r="J776" s="3">
        <f>VLOOKUP(Googleadssales[[#This Row],[Ad_ID]],'[1]pre processed data'!A:Q,17,0)</f>
        <v>45617</v>
      </c>
      <c r="K776" t="str">
        <f>VLOOKUP(Googleadssales[[#This Row],[Ad_ID]],'[1]pre processed data'!A:R,18,0)</f>
        <v>Chennai</v>
      </c>
      <c r="L776" t="str">
        <f>VLOOKUP(Googleadssales[[#This Row],[Ad_ID]],'[1]pre processed data'!A:S,19,0)</f>
        <v>Mobile</v>
      </c>
      <c r="M776" t="str">
        <f>VLOOKUP(Googleadssales[[#This Row],[Ad_ID]],'[1]pre processed data'!A:T,20,0)</f>
        <v>learn data analytics</v>
      </c>
    </row>
    <row r="777" spans="1:13" x14ac:dyDescent="0.3">
      <c r="A777" t="s">
        <v>790</v>
      </c>
      <c r="B777" t="s">
        <v>14</v>
      </c>
      <c r="C777" s="4">
        <f>VLOOKUP(Googleadssales[[#This Row],[Ad_ID]],'[1]pre processed data'!A:C,3,0)</f>
        <v>164</v>
      </c>
      <c r="D777" s="4">
        <f>VLOOKUP(Googleadssales[[#This Row],[Ad_ID]],'[1]pre processed data'!A:E,5,0)</f>
        <v>5351</v>
      </c>
      <c r="E777" s="5" t="str">
        <f>VLOOKUP(Googleadssales[[#This Row],[Ad_ID]],[1]!Table3[[Ad_ID]:[Cost-imputed]],7,0)</f>
        <v>$217.9</v>
      </c>
      <c r="F777" s="4">
        <f>VLOOKUP(Googleadssales[[#This Row],[Ad_ID]],'[1]pre processed data'!A:I,9,0)</f>
        <v>10</v>
      </c>
      <c r="G777" s="4">
        <f>VLOOKUP(Googleadssales[[#This Row],[Ad_ID]],'[1]pre processed data'!A:K,11,0)</f>
        <v>9</v>
      </c>
      <c r="H777" s="2">
        <f>Googleadssales[[#This Row],[Conversions]]/Googleadssales[[#This Row],[Clicks]]</f>
        <v>5.4878048780487805E-2</v>
      </c>
      <c r="I777" t="str">
        <f>VLOOKUP(Googleadssales[[#This Row],[Ad_ID]],'[1]pre processed data'!A:O,15,0)</f>
        <v>$1431</v>
      </c>
      <c r="J777" s="3">
        <f>VLOOKUP(Googleadssales[[#This Row],[Ad_ID]],'[1]pre processed data'!A:Q,17,0)</f>
        <v>45608</v>
      </c>
      <c r="K777" t="str">
        <f>VLOOKUP(Googleadssales[[#This Row],[Ad_ID]],'[1]pre processed data'!A:R,18,0)</f>
        <v>Bangaluru</v>
      </c>
      <c r="L777" t="str">
        <f>VLOOKUP(Googleadssales[[#This Row],[Ad_ID]],'[1]pre processed data'!A:S,19,0)</f>
        <v>Tablet</v>
      </c>
      <c r="M777" t="str">
        <f>VLOOKUP(Googleadssales[[#This Row],[Ad_ID]],'[1]pre processed data'!A:T,20,0)</f>
        <v>online data analytic</v>
      </c>
    </row>
    <row r="778" spans="1:13" x14ac:dyDescent="0.3">
      <c r="A778" t="s">
        <v>791</v>
      </c>
      <c r="B778" t="s">
        <v>14</v>
      </c>
      <c r="C778" s="4">
        <f>VLOOKUP(Googleadssales[[#This Row],[Ad_ID]],'[1]pre processed data'!A:C,3,0)</f>
        <v>160</v>
      </c>
      <c r="D778" s="4">
        <f>VLOOKUP(Googleadssales[[#This Row],[Ad_ID]],'[1]pre processed data'!A:E,5,0)</f>
        <v>5830</v>
      </c>
      <c r="E778" s="5" t="str">
        <f>VLOOKUP(Googleadssales[[#This Row],[Ad_ID]],[1]!Table3[[Ad_ID]:[Cost-imputed]],7,0)</f>
        <v>$200.00</v>
      </c>
      <c r="F778" s="4">
        <f>VLOOKUP(Googleadssales[[#This Row],[Ad_ID]],'[1]pre processed data'!A:I,9,0)</f>
        <v>15</v>
      </c>
      <c r="G778" s="4">
        <f>VLOOKUP(Googleadssales[[#This Row],[Ad_ID]],'[1]pre processed data'!A:K,11,0)</f>
        <v>10</v>
      </c>
      <c r="H778" s="2">
        <f>Googleadssales[[#This Row],[Conversions]]/Googleadssales[[#This Row],[Clicks]]</f>
        <v>6.25E-2</v>
      </c>
      <c r="I778" t="str">
        <f>VLOOKUP(Googleadssales[[#This Row],[Ad_ID]],'[1]pre processed data'!A:O,15,0)</f>
        <v>$1270</v>
      </c>
      <c r="J778" s="3">
        <f>VLOOKUP(Googleadssales[[#This Row],[Ad_ID]],'[1]pre processed data'!A:Q,17,0)</f>
        <v>45622</v>
      </c>
      <c r="K778" t="str">
        <f>VLOOKUP(Googleadssales[[#This Row],[Ad_ID]],'[1]pre processed data'!A:R,18,0)</f>
        <v>Hyderabad</v>
      </c>
      <c r="L778" t="str">
        <f>VLOOKUP(Googleadssales[[#This Row],[Ad_ID]],'[1]pre processed data'!A:S,19,0)</f>
        <v>Mobile</v>
      </c>
      <c r="M778" t="str">
        <f>VLOOKUP(Googleadssales[[#This Row],[Ad_ID]],'[1]pre processed data'!A:T,20,0)</f>
        <v>online data analytic</v>
      </c>
    </row>
    <row r="779" spans="1:13" x14ac:dyDescent="0.3">
      <c r="A779" t="s">
        <v>792</v>
      </c>
      <c r="B779" t="s">
        <v>14</v>
      </c>
      <c r="C779" s="4">
        <f>VLOOKUP(Googleadssales[[#This Row],[Ad_ID]],'[1]pre processed data'!A:C,3,0)</f>
        <v>112</v>
      </c>
      <c r="D779" s="4">
        <f>VLOOKUP(Googleadssales[[#This Row],[Ad_ID]],'[1]pre processed data'!A:E,5,0)</f>
        <v>4808</v>
      </c>
      <c r="E779" s="5" t="str">
        <f>VLOOKUP(Googleadssales[[#This Row],[Ad_ID]],[1]!Table3[[Ad_ID]:[Cost-imputed]],7,0)</f>
        <v>$221.57</v>
      </c>
      <c r="F779" s="4">
        <f>VLOOKUP(Googleadssales[[#This Row],[Ad_ID]],'[1]pre processed data'!A:I,9,0)</f>
        <v>17</v>
      </c>
      <c r="G779" s="4">
        <f>VLOOKUP(Googleadssales[[#This Row],[Ad_ID]],'[1]pre processed data'!A:K,11,0)</f>
        <v>7</v>
      </c>
      <c r="H779" s="2">
        <f>Googleadssales[[#This Row],[Conversions]]/Googleadssales[[#This Row],[Clicks]]</f>
        <v>6.25E-2</v>
      </c>
      <c r="I779" t="str">
        <f>VLOOKUP(Googleadssales[[#This Row],[Ad_ID]],'[1]pre processed data'!A:O,15,0)</f>
        <v>$1186</v>
      </c>
      <c r="J779" s="3">
        <f>VLOOKUP(Googleadssales[[#This Row],[Ad_ID]],'[1]pre processed data'!A:Q,17,0)</f>
        <v>45621</v>
      </c>
      <c r="K779" t="str">
        <f>VLOOKUP(Googleadssales[[#This Row],[Ad_ID]],'[1]pre processed data'!A:R,18,0)</f>
        <v>Hyderabad</v>
      </c>
      <c r="L779" t="str">
        <f>VLOOKUP(Googleadssales[[#This Row],[Ad_ID]],'[1]pre processed data'!A:S,19,0)</f>
        <v>Desktop</v>
      </c>
      <c r="M779" t="str">
        <f>VLOOKUP(Googleadssales[[#This Row],[Ad_ID]],'[1]pre processed data'!A:T,20,0)</f>
        <v>data analytics online</v>
      </c>
    </row>
    <row r="780" spans="1:13" x14ac:dyDescent="0.3">
      <c r="A780" t="s">
        <v>793</v>
      </c>
      <c r="B780" t="s">
        <v>14</v>
      </c>
      <c r="C780" s="4">
        <f>VLOOKUP(Googleadssales[[#This Row],[Ad_ID]],'[1]pre processed data'!A:C,3,0)</f>
        <v>87</v>
      </c>
      <c r="D780" s="4">
        <f>VLOOKUP(Googleadssales[[#This Row],[Ad_ID]],'[1]pre processed data'!A:E,5,0)</f>
        <v>5506</v>
      </c>
      <c r="E780" s="5" t="str">
        <f>VLOOKUP(Googleadssales[[#This Row],[Ad_ID]],[1]!Table3[[Ad_ID]:[Cost-imputed]],7,0)</f>
        <v>$188.77</v>
      </c>
      <c r="F780" s="4">
        <f>VLOOKUP(Googleadssales[[#This Row],[Ad_ID]],'[1]pre processed data'!A:I,9,0)</f>
        <v>11</v>
      </c>
      <c r="G780" s="4">
        <f>VLOOKUP(Googleadssales[[#This Row],[Ad_ID]],'[1]pre processed data'!A:K,11,0)</f>
        <v>5</v>
      </c>
      <c r="H780" s="2">
        <f>Googleadssales[[#This Row],[Conversions]]/Googleadssales[[#This Row],[Clicks]]</f>
        <v>5.7471264367816091E-2</v>
      </c>
      <c r="I780" t="str">
        <f>VLOOKUP(Googleadssales[[#This Row],[Ad_ID]],'[1]pre processed data'!A:O,15,0)</f>
        <v>$1774</v>
      </c>
      <c r="J780" s="3">
        <f>VLOOKUP(Googleadssales[[#This Row],[Ad_ID]],'[1]pre processed data'!A:Q,17,0)</f>
        <v>45618</v>
      </c>
      <c r="K780" t="str">
        <f>VLOOKUP(Googleadssales[[#This Row],[Ad_ID]],'[1]pre processed data'!A:R,18,0)</f>
        <v>Bangaluru</v>
      </c>
      <c r="L780" t="str">
        <f>VLOOKUP(Googleadssales[[#This Row],[Ad_ID]],'[1]pre processed data'!A:S,19,0)</f>
        <v>Mobile</v>
      </c>
      <c r="M780" t="str">
        <f>VLOOKUP(Googleadssales[[#This Row],[Ad_ID]],'[1]pre processed data'!A:T,20,0)</f>
        <v>learn data analytics</v>
      </c>
    </row>
    <row r="781" spans="1:13" x14ac:dyDescent="0.3">
      <c r="A781" t="s">
        <v>794</v>
      </c>
      <c r="B781" t="s">
        <v>18</v>
      </c>
      <c r="C781" s="4">
        <f>VLOOKUP(Googleadssales[[#This Row],[Ad_ID]],'[1]pre processed data'!A:C,3,0)</f>
        <v>138.95699356913184</v>
      </c>
      <c r="D781" s="4">
        <f>VLOOKUP(Googleadssales[[#This Row],[Ad_ID]],'[1]pre processed data'!A:E,5,0)</f>
        <v>4798</v>
      </c>
      <c r="E781" s="5" t="str">
        <f>VLOOKUP(Googleadssales[[#This Row],[Ad_ID]],[1]!Table3[[Ad_ID]:[Cost-imputed]],7,0)</f>
        <v>$198.45</v>
      </c>
      <c r="F781" s="4">
        <f>VLOOKUP(Googleadssales[[#This Row],[Ad_ID]],'[1]pre processed data'!A:I,9,0)</f>
        <v>20</v>
      </c>
      <c r="G781" s="4">
        <f>VLOOKUP(Googleadssales[[#This Row],[Ad_ID]],'[1]pre processed data'!A:K,11,0)</f>
        <v>10</v>
      </c>
      <c r="H781" s="2">
        <f>Googleadssales[[#This Row],[Conversions]]/Googleadssales[[#This Row],[Clicks]]</f>
        <v>7.1964711837443046E-2</v>
      </c>
      <c r="I781" t="str">
        <f>VLOOKUP(Googleadssales[[#This Row],[Ad_ID]],'[1]pre processed data'!A:O,15,0)</f>
        <v>$1937</v>
      </c>
      <c r="J781" s="3">
        <f>VLOOKUP(Googleadssales[[#This Row],[Ad_ID]],'[1]pre processed data'!A:Q,17,0)</f>
        <v>45610</v>
      </c>
      <c r="K781" t="str">
        <f>VLOOKUP(Googleadssales[[#This Row],[Ad_ID]],'[1]pre processed data'!A:R,18,0)</f>
        <v>Chennai</v>
      </c>
      <c r="L781" t="str">
        <f>VLOOKUP(Googleadssales[[#This Row],[Ad_ID]],'[1]pre processed data'!A:S,19,0)</f>
        <v>Mobile</v>
      </c>
      <c r="M781" t="str">
        <f>VLOOKUP(Googleadssales[[#This Row],[Ad_ID]],'[1]pre processed data'!A:T,20,0)</f>
        <v>data analytics training</v>
      </c>
    </row>
    <row r="782" spans="1:13" x14ac:dyDescent="0.3">
      <c r="A782" t="s">
        <v>795</v>
      </c>
      <c r="B782" t="s">
        <v>14</v>
      </c>
      <c r="C782" s="4">
        <f>VLOOKUP(Googleadssales[[#This Row],[Ad_ID]],'[1]pre processed data'!A:C,3,0)</f>
        <v>139</v>
      </c>
      <c r="D782" s="4">
        <f>VLOOKUP(Googleadssales[[#This Row],[Ad_ID]],'[1]pre processed data'!A:E,5,0)</f>
        <v>5763</v>
      </c>
      <c r="E782" s="5" t="str">
        <f>VLOOKUP(Googleadssales[[#This Row],[Ad_ID]],[1]!Table3[[Ad_ID]:[Cost-imputed]],7,0)</f>
        <v>$214.49</v>
      </c>
      <c r="F782" s="4">
        <f>VLOOKUP(Googleadssales[[#This Row],[Ad_ID]],'[1]pre processed data'!A:I,9,0)</f>
        <v>15</v>
      </c>
      <c r="G782" s="4">
        <f>VLOOKUP(Googleadssales[[#This Row],[Ad_ID]],'[1]pre processed data'!A:K,11,0)</f>
        <v>5</v>
      </c>
      <c r="H782" s="2">
        <f>Googleadssales[[#This Row],[Conversions]]/Googleadssales[[#This Row],[Clicks]]</f>
        <v>3.5971223021582732E-2</v>
      </c>
      <c r="I782" t="str">
        <f>VLOOKUP(Googleadssales[[#This Row],[Ad_ID]],'[1]pre processed data'!A:O,15,0)</f>
        <v>$1781</v>
      </c>
      <c r="J782" s="3">
        <f>VLOOKUP(Googleadssales[[#This Row],[Ad_ID]],'[1]pre processed data'!A:Q,17,0)</f>
        <v>45597</v>
      </c>
      <c r="K782" t="str">
        <f>VLOOKUP(Googleadssales[[#This Row],[Ad_ID]],'[1]pre processed data'!A:R,18,0)</f>
        <v>Chennai</v>
      </c>
      <c r="L782" t="str">
        <f>VLOOKUP(Googleadssales[[#This Row],[Ad_ID]],'[1]pre processed data'!A:S,19,0)</f>
        <v>Desktop</v>
      </c>
      <c r="M782" t="str">
        <f>VLOOKUP(Googleadssales[[#This Row],[Ad_ID]],'[1]pre processed data'!A:T,20,0)</f>
        <v>data analytics online</v>
      </c>
    </row>
    <row r="783" spans="1:13" x14ac:dyDescent="0.3">
      <c r="A783" t="s">
        <v>796</v>
      </c>
      <c r="B783" t="s">
        <v>18</v>
      </c>
      <c r="C783" s="4">
        <f>VLOOKUP(Googleadssales[[#This Row],[Ad_ID]],'[1]pre processed data'!A:C,3,0)</f>
        <v>193</v>
      </c>
      <c r="D783" s="4">
        <f>VLOOKUP(Googleadssales[[#This Row],[Ad_ID]],'[1]pre processed data'!A:E,5,0)</f>
        <v>3271</v>
      </c>
      <c r="E783" s="5" t="str">
        <f>VLOOKUP(Googleadssales[[#This Row],[Ad_ID]],[1]!Table3[[Ad_ID]:[Cost-imputed]],7,0)</f>
        <v>$187.76</v>
      </c>
      <c r="F783" s="4">
        <f>VLOOKUP(Googleadssales[[#This Row],[Ad_ID]],'[1]pre processed data'!A:I,9,0)</f>
        <v>30</v>
      </c>
      <c r="G783" s="4">
        <f>VLOOKUP(Googleadssales[[#This Row],[Ad_ID]],'[1]pre processed data'!A:K,11,0)</f>
        <v>9</v>
      </c>
      <c r="H783" s="2">
        <f>Googleadssales[[#This Row],[Conversions]]/Googleadssales[[#This Row],[Clicks]]</f>
        <v>4.6632124352331605E-2</v>
      </c>
      <c r="I783" t="str">
        <f>VLOOKUP(Googleadssales[[#This Row],[Ad_ID]],'[1]pre processed data'!A:O,15,0)</f>
        <v>$1209</v>
      </c>
      <c r="J783" s="3">
        <f>VLOOKUP(Googleadssales[[#This Row],[Ad_ID]],'[1]pre processed data'!A:Q,17,0)</f>
        <v>45609</v>
      </c>
      <c r="K783" t="str">
        <f>VLOOKUP(Googleadssales[[#This Row],[Ad_ID]],'[1]pre processed data'!A:R,18,0)</f>
        <v>Hyderabad</v>
      </c>
      <c r="L783" t="str">
        <f>VLOOKUP(Googleadssales[[#This Row],[Ad_ID]],'[1]pre processed data'!A:S,19,0)</f>
        <v>Tablet</v>
      </c>
      <c r="M783" t="str">
        <f>VLOOKUP(Googleadssales[[#This Row],[Ad_ID]],'[1]pre processed data'!A:T,20,0)</f>
        <v>online data analytic</v>
      </c>
    </row>
    <row r="784" spans="1:13" x14ac:dyDescent="0.3">
      <c r="A784" t="s">
        <v>797</v>
      </c>
      <c r="B784" t="s">
        <v>14</v>
      </c>
      <c r="C784" s="4">
        <f>VLOOKUP(Googleadssales[[#This Row],[Ad_ID]],'[1]pre processed data'!A:C,3,0)</f>
        <v>151</v>
      </c>
      <c r="D784" s="4">
        <f>VLOOKUP(Googleadssales[[#This Row],[Ad_ID]],'[1]pre processed data'!A:E,5,0)</f>
        <v>4402</v>
      </c>
      <c r="E784" s="5" t="str">
        <f>VLOOKUP(Googleadssales[[#This Row],[Ad_ID]],[1]!Table3[[Ad_ID]:[Cost-imputed]],7,0)</f>
        <v>$248.65</v>
      </c>
      <c r="F784" s="4">
        <f>VLOOKUP(Googleadssales[[#This Row],[Ad_ID]],'[1]pre processed data'!A:I,9,0)</f>
        <v>21</v>
      </c>
      <c r="G784" s="4">
        <f>VLOOKUP(Googleadssales[[#This Row],[Ad_ID]],'[1]pre processed data'!A:K,11,0)</f>
        <v>4</v>
      </c>
      <c r="H784" s="2">
        <f>Googleadssales[[#This Row],[Conversions]]/Googleadssales[[#This Row],[Clicks]]</f>
        <v>2.6490066225165563E-2</v>
      </c>
      <c r="I784" t="str">
        <f>VLOOKUP(Googleadssales[[#This Row],[Ad_ID]],'[1]pre processed data'!A:O,15,0)</f>
        <v>$1722</v>
      </c>
      <c r="J784" s="3">
        <f>VLOOKUP(Googleadssales[[#This Row],[Ad_ID]],'[1]pre processed data'!A:Q,17,0)</f>
        <v>45615</v>
      </c>
      <c r="K784" t="str">
        <f>VLOOKUP(Googleadssales[[#This Row],[Ad_ID]],'[1]pre processed data'!A:R,18,0)</f>
        <v>Chennai</v>
      </c>
      <c r="L784" t="str">
        <f>VLOOKUP(Googleadssales[[#This Row],[Ad_ID]],'[1]pre processed data'!A:S,19,0)</f>
        <v>Desktop</v>
      </c>
      <c r="M784" t="str">
        <f>VLOOKUP(Googleadssales[[#This Row],[Ad_ID]],'[1]pre processed data'!A:T,20,0)</f>
        <v>data analytics online</v>
      </c>
    </row>
    <row r="785" spans="1:13" x14ac:dyDescent="0.3">
      <c r="A785" t="s">
        <v>798</v>
      </c>
      <c r="B785" t="s">
        <v>14</v>
      </c>
      <c r="C785" s="4">
        <f>VLOOKUP(Googleadssales[[#This Row],[Ad_ID]],'[1]pre processed data'!A:C,3,0)</f>
        <v>90</v>
      </c>
      <c r="D785" s="4">
        <f>VLOOKUP(Googleadssales[[#This Row],[Ad_ID]],'[1]pre processed data'!A:E,5,0)</f>
        <v>4281</v>
      </c>
      <c r="E785" s="5" t="str">
        <f>VLOOKUP(Googleadssales[[#This Row],[Ad_ID]],[1]!Table3[[Ad_ID]:[Cost-imputed]],7,0)</f>
        <v>$216.36</v>
      </c>
      <c r="F785" s="4">
        <f>VLOOKUP(Googleadssales[[#This Row],[Ad_ID]],'[1]pre processed data'!A:I,9,0)</f>
        <v>24</v>
      </c>
      <c r="G785" s="4">
        <f>VLOOKUP(Googleadssales[[#This Row],[Ad_ID]],'[1]pre processed data'!A:K,11,0)</f>
        <v>4</v>
      </c>
      <c r="H785" s="2">
        <f>Googleadssales[[#This Row],[Conversions]]/Googleadssales[[#This Row],[Clicks]]</f>
        <v>4.4444444444444446E-2</v>
      </c>
      <c r="I785" t="str">
        <f>VLOOKUP(Googleadssales[[#This Row],[Ad_ID]],'[1]pre processed data'!A:O,15,0)</f>
        <v>$1768</v>
      </c>
      <c r="J785" s="3">
        <f>VLOOKUP(Googleadssales[[#This Row],[Ad_ID]],'[1]pre processed data'!A:Q,17,0)</f>
        <v>45600</v>
      </c>
      <c r="K785" t="str">
        <f>VLOOKUP(Googleadssales[[#This Row],[Ad_ID]],'[1]pre processed data'!A:R,18,0)</f>
        <v>Hyderabad</v>
      </c>
      <c r="L785" t="str">
        <f>VLOOKUP(Googleadssales[[#This Row],[Ad_ID]],'[1]pre processed data'!A:S,19,0)</f>
        <v>Mobile</v>
      </c>
      <c r="M785" t="str">
        <f>VLOOKUP(Googleadssales[[#This Row],[Ad_ID]],'[1]pre processed data'!A:T,20,0)</f>
        <v>learn data analytics</v>
      </c>
    </row>
    <row r="786" spans="1:13" x14ac:dyDescent="0.3">
      <c r="A786" t="s">
        <v>799</v>
      </c>
      <c r="B786" t="s">
        <v>14</v>
      </c>
      <c r="C786" s="4">
        <f>VLOOKUP(Googleadssales[[#This Row],[Ad_ID]],'[1]pre processed data'!A:C,3,0)</f>
        <v>169</v>
      </c>
      <c r="D786" s="4">
        <f>VLOOKUP(Googleadssales[[#This Row],[Ad_ID]],'[1]pre processed data'!A:E,5,0)</f>
        <v>4480</v>
      </c>
      <c r="E786" s="5" t="str">
        <f>VLOOKUP(Googleadssales[[#This Row],[Ad_ID]],[1]!Table3[[Ad_ID]:[Cost-imputed]],7,0)</f>
        <v>$200.00</v>
      </c>
      <c r="F786" s="4">
        <f>VLOOKUP(Googleadssales[[#This Row],[Ad_ID]],'[1]pre processed data'!A:I,9,0)</f>
        <v>11</v>
      </c>
      <c r="G786" s="4">
        <f>VLOOKUP(Googleadssales[[#This Row],[Ad_ID]],'[1]pre processed data'!A:K,11,0)</f>
        <v>10</v>
      </c>
      <c r="H786" s="2">
        <f>Googleadssales[[#This Row],[Conversions]]/Googleadssales[[#This Row],[Clicks]]</f>
        <v>5.9171597633136092E-2</v>
      </c>
      <c r="I786" t="str">
        <f>VLOOKUP(Googleadssales[[#This Row],[Ad_ID]],'[1]pre processed data'!A:O,15,0)</f>
        <v>$1769</v>
      </c>
      <c r="J786" s="3">
        <f>VLOOKUP(Googleadssales[[#This Row],[Ad_ID]],'[1]pre processed data'!A:Q,17,0)</f>
        <v>45624</v>
      </c>
      <c r="K786" t="str">
        <f>VLOOKUP(Googleadssales[[#This Row],[Ad_ID]],'[1]pre processed data'!A:R,18,0)</f>
        <v>Chennai</v>
      </c>
      <c r="L786" t="str">
        <f>VLOOKUP(Googleadssales[[#This Row],[Ad_ID]],'[1]pre processed data'!A:S,19,0)</f>
        <v>Tablet</v>
      </c>
      <c r="M786" t="str">
        <f>VLOOKUP(Googleadssales[[#This Row],[Ad_ID]],'[1]pre processed data'!A:T,20,0)</f>
        <v>online data analytic</v>
      </c>
    </row>
    <row r="787" spans="1:13" x14ac:dyDescent="0.3">
      <c r="A787" t="s">
        <v>800</v>
      </c>
      <c r="B787" t="s">
        <v>14</v>
      </c>
      <c r="C787" s="4">
        <f>VLOOKUP(Googleadssales[[#This Row],[Ad_ID]],'[1]pre processed data'!A:C,3,0)</f>
        <v>197</v>
      </c>
      <c r="D787" s="4">
        <f>VLOOKUP(Googleadssales[[#This Row],[Ad_ID]],'[1]pre processed data'!A:E,5,0)</f>
        <v>4373</v>
      </c>
      <c r="E787" s="5" t="str">
        <f>VLOOKUP(Googleadssales[[#This Row],[Ad_ID]],[1]!Table3[[Ad_ID]:[Cost-imputed]],7,0)</f>
        <v>$218.3</v>
      </c>
      <c r="F787" s="4">
        <f>VLOOKUP(Googleadssales[[#This Row],[Ad_ID]],'[1]pre processed data'!A:I,9,0)</f>
        <v>18</v>
      </c>
      <c r="G787" s="4">
        <f>VLOOKUP(Googleadssales[[#This Row],[Ad_ID]],'[1]pre processed data'!A:K,11,0)</f>
        <v>9</v>
      </c>
      <c r="H787" s="2">
        <f>Googleadssales[[#This Row],[Conversions]]/Googleadssales[[#This Row],[Clicks]]</f>
        <v>4.5685279187817257E-2</v>
      </c>
      <c r="I787" t="str">
        <f>VLOOKUP(Googleadssales[[#This Row],[Ad_ID]],'[1]pre processed data'!A:O,15,0)</f>
        <v>$1988</v>
      </c>
      <c r="J787" s="3">
        <f>VLOOKUP(Googleadssales[[#This Row],[Ad_ID]],'[1]pre processed data'!A:Q,17,0)</f>
        <v>45610</v>
      </c>
      <c r="K787" t="str">
        <f>VLOOKUP(Googleadssales[[#This Row],[Ad_ID]],'[1]pre processed data'!A:R,18,0)</f>
        <v>Bangaluru</v>
      </c>
      <c r="L787" t="str">
        <f>VLOOKUP(Googleadssales[[#This Row],[Ad_ID]],'[1]pre processed data'!A:S,19,0)</f>
        <v>Desktop</v>
      </c>
      <c r="M787" t="str">
        <f>VLOOKUP(Googleadssales[[#This Row],[Ad_ID]],'[1]pre processed data'!A:T,20,0)</f>
        <v>learn data analytics</v>
      </c>
    </row>
    <row r="788" spans="1:13" x14ac:dyDescent="0.3">
      <c r="A788" t="s">
        <v>801</v>
      </c>
      <c r="B788" t="s">
        <v>14</v>
      </c>
      <c r="C788" s="4">
        <f>VLOOKUP(Googleadssales[[#This Row],[Ad_ID]],'[1]pre processed data'!A:C,3,0)</f>
        <v>132</v>
      </c>
      <c r="D788" s="4">
        <f>VLOOKUP(Googleadssales[[#This Row],[Ad_ID]],'[1]pre processed data'!A:E,5,0)</f>
        <v>4523.2808326787117</v>
      </c>
      <c r="E788" s="5" t="str">
        <f>VLOOKUP(Googleadssales[[#This Row],[Ad_ID]],[1]!Table3[[Ad_ID]:[Cost-imputed]],7,0)</f>
        <v>$219.44</v>
      </c>
      <c r="F788" s="4">
        <f>VLOOKUP(Googleadssales[[#This Row],[Ad_ID]],'[1]pre processed data'!A:I,9,0)</f>
        <v>17</v>
      </c>
      <c r="G788" s="4">
        <f>VLOOKUP(Googleadssales[[#This Row],[Ad_ID]],'[1]pre processed data'!A:K,11,0)</f>
        <v>3</v>
      </c>
      <c r="H788" s="2">
        <f>Googleadssales[[#This Row],[Conversions]]/Googleadssales[[#This Row],[Clicks]]</f>
        <v>2.2727272727272728E-2</v>
      </c>
      <c r="I788" t="str">
        <f>VLOOKUP(Googleadssales[[#This Row],[Ad_ID]],'[1]pre processed data'!A:O,15,0)</f>
        <v>$1949</v>
      </c>
      <c r="J788" s="3">
        <f>VLOOKUP(Googleadssales[[#This Row],[Ad_ID]],'[1]pre processed data'!A:Q,17,0)</f>
        <v>45620</v>
      </c>
      <c r="K788" t="str">
        <f>VLOOKUP(Googleadssales[[#This Row],[Ad_ID]],'[1]pre processed data'!A:R,18,0)</f>
        <v>Hyderabad</v>
      </c>
      <c r="L788" t="str">
        <f>VLOOKUP(Googleadssales[[#This Row],[Ad_ID]],'[1]pre processed data'!A:S,19,0)</f>
        <v>Desktop</v>
      </c>
      <c r="M788" t="str">
        <f>VLOOKUP(Googleadssales[[#This Row],[Ad_ID]],'[1]pre processed data'!A:T,20,0)</f>
        <v>learn data analytics</v>
      </c>
    </row>
    <row r="789" spans="1:13" x14ac:dyDescent="0.3">
      <c r="A789" t="s">
        <v>802</v>
      </c>
      <c r="B789" t="s">
        <v>14</v>
      </c>
      <c r="C789" s="4">
        <f>VLOOKUP(Googleadssales[[#This Row],[Ad_ID]],'[1]pre processed data'!A:C,3,0)</f>
        <v>96</v>
      </c>
      <c r="D789" s="4">
        <f>VLOOKUP(Googleadssales[[#This Row],[Ad_ID]],'[1]pre processed data'!A:E,5,0)</f>
        <v>5503</v>
      </c>
      <c r="E789" s="5" t="str">
        <f>VLOOKUP(Googleadssales[[#This Row],[Ad_ID]],[1]!Table3[[Ad_ID]:[Cost-imputed]],7,0)</f>
        <v>$243.51</v>
      </c>
      <c r="F789" s="4">
        <f>VLOOKUP(Googleadssales[[#This Row],[Ad_ID]],'[1]pre processed data'!A:I,9,0)</f>
        <v>11</v>
      </c>
      <c r="G789" s="4">
        <f>VLOOKUP(Googleadssales[[#This Row],[Ad_ID]],'[1]pre processed data'!A:K,11,0)</f>
        <v>6</v>
      </c>
      <c r="H789" s="2">
        <f>Googleadssales[[#This Row],[Conversions]]/Googleadssales[[#This Row],[Clicks]]</f>
        <v>6.25E-2</v>
      </c>
      <c r="I789" t="str">
        <f>VLOOKUP(Googleadssales[[#This Row],[Ad_ID]],'[1]pre processed data'!A:O,15,0)</f>
        <v>$1687</v>
      </c>
      <c r="J789" s="3">
        <f>VLOOKUP(Googleadssales[[#This Row],[Ad_ID]],'[1]pre processed data'!A:Q,17,0)</f>
        <v>45598</v>
      </c>
      <c r="K789" t="str">
        <f>VLOOKUP(Googleadssales[[#This Row],[Ad_ID]],'[1]pre processed data'!A:R,18,0)</f>
        <v>Bangaluru</v>
      </c>
      <c r="L789" t="str">
        <f>VLOOKUP(Googleadssales[[#This Row],[Ad_ID]],'[1]pre processed data'!A:S,19,0)</f>
        <v>Desktop</v>
      </c>
      <c r="M789" t="str">
        <f>VLOOKUP(Googleadssales[[#This Row],[Ad_ID]],'[1]pre processed data'!A:T,20,0)</f>
        <v>data analytics online</v>
      </c>
    </row>
    <row r="790" spans="1:13" x14ac:dyDescent="0.3">
      <c r="A790" t="s">
        <v>803</v>
      </c>
      <c r="B790" t="s">
        <v>14</v>
      </c>
      <c r="C790" s="4">
        <f>VLOOKUP(Googleadssales[[#This Row],[Ad_ID]],'[1]pre processed data'!A:C,3,0)</f>
        <v>160</v>
      </c>
      <c r="D790" s="4">
        <f>VLOOKUP(Googleadssales[[#This Row],[Ad_ID]],'[1]pre processed data'!A:E,5,0)</f>
        <v>4154</v>
      </c>
      <c r="E790" s="5" t="str">
        <f>VLOOKUP(Googleadssales[[#This Row],[Ad_ID]],[1]!Table3[[Ad_ID]:[Cost-imputed]],7,0)</f>
        <v>$230.16</v>
      </c>
      <c r="F790" s="4">
        <f>VLOOKUP(Googleadssales[[#This Row],[Ad_ID]],'[1]pre processed data'!A:I,9,0)</f>
        <v>15</v>
      </c>
      <c r="G790" s="4">
        <f>VLOOKUP(Googleadssales[[#This Row],[Ad_ID]],'[1]pre processed data'!A:K,11,0)</f>
        <v>6</v>
      </c>
      <c r="H790" s="2">
        <f>Googleadssales[[#This Row],[Conversions]]/Googleadssales[[#This Row],[Clicks]]</f>
        <v>3.7499999999999999E-2</v>
      </c>
      <c r="I790" t="str">
        <f>VLOOKUP(Googleadssales[[#This Row],[Ad_ID]],'[1]pre processed data'!A:O,15,0)</f>
        <v>$1667</v>
      </c>
      <c r="J790" s="3">
        <f>VLOOKUP(Googleadssales[[#This Row],[Ad_ID]],'[1]pre processed data'!A:Q,17,0)</f>
        <v>45612</v>
      </c>
      <c r="K790" t="str">
        <f>VLOOKUP(Googleadssales[[#This Row],[Ad_ID]],'[1]pre processed data'!A:R,18,0)</f>
        <v>Chennai</v>
      </c>
      <c r="L790" t="str">
        <f>VLOOKUP(Googleadssales[[#This Row],[Ad_ID]],'[1]pre processed data'!A:S,19,0)</f>
        <v>Mobile</v>
      </c>
      <c r="M790" t="str">
        <f>VLOOKUP(Googleadssales[[#This Row],[Ad_ID]],'[1]pre processed data'!A:T,20,0)</f>
        <v>online data analytic</v>
      </c>
    </row>
    <row r="791" spans="1:13" x14ac:dyDescent="0.3">
      <c r="A791" t="s">
        <v>804</v>
      </c>
      <c r="B791" t="s">
        <v>14</v>
      </c>
      <c r="C791" s="4">
        <f>VLOOKUP(Googleadssales[[#This Row],[Ad_ID]],'[1]pre processed data'!A:C,3,0)</f>
        <v>162</v>
      </c>
      <c r="D791" s="4">
        <f>VLOOKUP(Googleadssales[[#This Row],[Ad_ID]],'[1]pre processed data'!A:E,5,0)</f>
        <v>5161</v>
      </c>
      <c r="E791" s="5" t="str">
        <f>VLOOKUP(Googleadssales[[#This Row],[Ad_ID]],[1]!Table3[[Ad_ID]:[Cost-imputed]],7,0)</f>
        <v>$240.72</v>
      </c>
      <c r="F791" s="4">
        <f>VLOOKUP(Googleadssales[[#This Row],[Ad_ID]],'[1]pre processed data'!A:I,9,0)</f>
        <v>16</v>
      </c>
      <c r="G791" s="4">
        <f>VLOOKUP(Googleadssales[[#This Row],[Ad_ID]],'[1]pre processed data'!A:K,11,0)</f>
        <v>7</v>
      </c>
      <c r="H791" s="2">
        <f>Googleadssales[[#This Row],[Conversions]]/Googleadssales[[#This Row],[Clicks]]</f>
        <v>4.3209876543209874E-2</v>
      </c>
      <c r="I791" t="str">
        <f>VLOOKUP(Googleadssales[[#This Row],[Ad_ID]],'[1]pre processed data'!A:O,15,0)</f>
        <v>$1649</v>
      </c>
      <c r="J791" s="3">
        <f>VLOOKUP(Googleadssales[[#This Row],[Ad_ID]],'[1]pre processed data'!A:Q,17,0)</f>
        <v>45611</v>
      </c>
      <c r="K791" t="str">
        <f>VLOOKUP(Googleadssales[[#This Row],[Ad_ID]],'[1]pre processed data'!A:R,18,0)</f>
        <v>Hyderabad</v>
      </c>
      <c r="L791" t="str">
        <f>VLOOKUP(Googleadssales[[#This Row],[Ad_ID]],'[1]pre processed data'!A:S,19,0)</f>
        <v>Tablet</v>
      </c>
      <c r="M791" t="str">
        <f>VLOOKUP(Googleadssales[[#This Row],[Ad_ID]],'[1]pre processed data'!A:T,20,0)</f>
        <v>learn data analytics</v>
      </c>
    </row>
    <row r="792" spans="1:13" x14ac:dyDescent="0.3">
      <c r="A792" t="s">
        <v>805</v>
      </c>
      <c r="B792" t="s">
        <v>14</v>
      </c>
      <c r="C792" s="4">
        <f>VLOOKUP(Googleadssales[[#This Row],[Ad_ID]],'[1]pre processed data'!A:C,3,0)</f>
        <v>171</v>
      </c>
      <c r="D792" s="4">
        <f>VLOOKUP(Googleadssales[[#This Row],[Ad_ID]],'[1]pre processed data'!A:E,5,0)</f>
        <v>5517</v>
      </c>
      <c r="E792" s="5" t="str">
        <f>VLOOKUP(Googleadssales[[#This Row],[Ad_ID]],[1]!Table3[[Ad_ID]:[Cost-imputed]],7,0)</f>
        <v>$233.86</v>
      </c>
      <c r="F792" s="4">
        <f>VLOOKUP(Googleadssales[[#This Row],[Ad_ID]],'[1]pre processed data'!A:I,9,0)</f>
        <v>23</v>
      </c>
      <c r="G792" s="4">
        <f>VLOOKUP(Googleadssales[[#This Row],[Ad_ID]],'[1]pre processed data'!A:K,11,0)</f>
        <v>5</v>
      </c>
      <c r="H792" s="2">
        <f>Googleadssales[[#This Row],[Conversions]]/Googleadssales[[#This Row],[Clicks]]</f>
        <v>2.9239766081871343E-2</v>
      </c>
      <c r="I792" t="str">
        <f>VLOOKUP(Googleadssales[[#This Row],[Ad_ID]],'[1]pre processed data'!A:O,15,0)</f>
        <v>$1349</v>
      </c>
      <c r="J792" s="3">
        <f>VLOOKUP(Googleadssales[[#This Row],[Ad_ID]],'[1]pre processed data'!A:Q,17,0)</f>
        <v>45620</v>
      </c>
      <c r="K792" t="str">
        <f>VLOOKUP(Googleadssales[[#This Row],[Ad_ID]],'[1]pre processed data'!A:R,18,0)</f>
        <v>Hyderabad</v>
      </c>
      <c r="L792" t="str">
        <f>VLOOKUP(Googleadssales[[#This Row],[Ad_ID]],'[1]pre processed data'!A:S,19,0)</f>
        <v>Tablet</v>
      </c>
      <c r="M792" t="str">
        <f>VLOOKUP(Googleadssales[[#This Row],[Ad_ID]],'[1]pre processed data'!A:T,20,0)</f>
        <v>data analytics course</v>
      </c>
    </row>
    <row r="793" spans="1:13" x14ac:dyDescent="0.3">
      <c r="A793" t="s">
        <v>806</v>
      </c>
      <c r="B793" t="s">
        <v>14</v>
      </c>
      <c r="C793" s="4">
        <f>VLOOKUP(Googleadssales[[#This Row],[Ad_ID]],'[1]pre processed data'!A:C,3,0)</f>
        <v>110</v>
      </c>
      <c r="D793" s="4">
        <f>VLOOKUP(Googleadssales[[#This Row],[Ad_ID]],'[1]pre processed data'!A:E,5,0)</f>
        <v>4161</v>
      </c>
      <c r="E793" s="5" t="str">
        <f>VLOOKUP(Googleadssales[[#This Row],[Ad_ID]],[1]!Table3[[Ad_ID]:[Cost-imputed]],7,0)</f>
        <v>$204.28</v>
      </c>
      <c r="F793" s="4">
        <f>VLOOKUP(Googleadssales[[#This Row],[Ad_ID]],'[1]pre processed data'!A:I,9,0)</f>
        <v>16</v>
      </c>
      <c r="G793" s="4">
        <f>VLOOKUP(Googleadssales[[#This Row],[Ad_ID]],'[1]pre processed data'!A:K,11,0)</f>
        <v>10</v>
      </c>
      <c r="H793" s="2">
        <f>Googleadssales[[#This Row],[Conversions]]/Googleadssales[[#This Row],[Clicks]]</f>
        <v>9.0909090909090912E-2</v>
      </c>
      <c r="I793" t="str">
        <f>VLOOKUP(Googleadssales[[#This Row],[Ad_ID]],'[1]pre processed data'!A:O,15,0)</f>
        <v>$1447</v>
      </c>
      <c r="J793" s="3">
        <f>VLOOKUP(Googleadssales[[#This Row],[Ad_ID]],'[1]pre processed data'!A:Q,17,0)</f>
        <v>45610</v>
      </c>
      <c r="K793" t="str">
        <f>VLOOKUP(Googleadssales[[#This Row],[Ad_ID]],'[1]pre processed data'!A:R,18,0)</f>
        <v>Chennai</v>
      </c>
      <c r="L793" t="str">
        <f>VLOOKUP(Googleadssales[[#This Row],[Ad_ID]],'[1]pre processed data'!A:S,19,0)</f>
        <v>Mobile</v>
      </c>
      <c r="M793" t="str">
        <f>VLOOKUP(Googleadssales[[#This Row],[Ad_ID]],'[1]pre processed data'!A:T,20,0)</f>
        <v>data analytics online</v>
      </c>
    </row>
    <row r="794" spans="1:13" x14ac:dyDescent="0.3">
      <c r="A794" t="s">
        <v>807</v>
      </c>
      <c r="B794" t="s">
        <v>14</v>
      </c>
      <c r="C794" s="4">
        <f>VLOOKUP(Googleadssales[[#This Row],[Ad_ID]],'[1]pre processed data'!A:C,3,0)</f>
        <v>103</v>
      </c>
      <c r="D794" s="4">
        <f>VLOOKUP(Googleadssales[[#This Row],[Ad_ID]],'[1]pre processed data'!A:E,5,0)</f>
        <v>5332</v>
      </c>
      <c r="E794" s="5" t="str">
        <f>VLOOKUP(Googleadssales[[#This Row],[Ad_ID]],[1]!Table3[[Ad_ID]:[Cost-imputed]],7,0)</f>
        <v>$243.72</v>
      </c>
      <c r="F794" s="4">
        <f>VLOOKUP(Googleadssales[[#This Row],[Ad_ID]],'[1]pre processed data'!A:I,9,0)</f>
        <v>16</v>
      </c>
      <c r="G794" s="4">
        <f>VLOOKUP(Googleadssales[[#This Row],[Ad_ID]],'[1]pre processed data'!A:K,11,0)</f>
        <v>3</v>
      </c>
      <c r="H794" s="2">
        <f>Googleadssales[[#This Row],[Conversions]]/Googleadssales[[#This Row],[Clicks]]</f>
        <v>2.9126213592233011E-2</v>
      </c>
      <c r="I794" t="str">
        <f>VLOOKUP(Googleadssales[[#This Row],[Ad_ID]],'[1]pre processed data'!A:O,15,0)</f>
        <v>$1882</v>
      </c>
      <c r="J794" s="3">
        <f>VLOOKUP(Googleadssales[[#This Row],[Ad_ID]],'[1]pre processed data'!A:Q,17,0)</f>
        <v>45624</v>
      </c>
      <c r="K794" t="str">
        <f>VLOOKUP(Googleadssales[[#This Row],[Ad_ID]],'[1]pre processed data'!A:R,18,0)</f>
        <v>Hyderabad</v>
      </c>
      <c r="L794" t="str">
        <f>VLOOKUP(Googleadssales[[#This Row],[Ad_ID]],'[1]pre processed data'!A:S,19,0)</f>
        <v>Desktop</v>
      </c>
      <c r="M794" t="str">
        <f>VLOOKUP(Googleadssales[[#This Row],[Ad_ID]],'[1]pre processed data'!A:T,20,0)</f>
        <v>online data analytic</v>
      </c>
    </row>
    <row r="795" spans="1:13" x14ac:dyDescent="0.3">
      <c r="A795" t="s">
        <v>808</v>
      </c>
      <c r="B795" t="s">
        <v>18</v>
      </c>
      <c r="C795" s="4">
        <f>VLOOKUP(Googleadssales[[#This Row],[Ad_ID]],'[1]pre processed data'!A:C,3,0)</f>
        <v>167</v>
      </c>
      <c r="D795" s="4">
        <f>VLOOKUP(Googleadssales[[#This Row],[Ad_ID]],'[1]pre processed data'!A:E,5,0)</f>
        <v>3620</v>
      </c>
      <c r="E795" s="5" t="str">
        <f>VLOOKUP(Googleadssales[[#This Row],[Ad_ID]],[1]!Table3[[Ad_ID]:[Cost-imputed]],7,0)</f>
        <v>$243.81</v>
      </c>
      <c r="F795" s="4">
        <f>VLOOKUP(Googleadssales[[#This Row],[Ad_ID]],'[1]pre processed data'!A:I,9,0)</f>
        <v>24</v>
      </c>
      <c r="G795" s="4">
        <f>VLOOKUP(Googleadssales[[#This Row],[Ad_ID]],'[1]pre processed data'!A:K,11,0)</f>
        <v>8</v>
      </c>
      <c r="H795" s="2">
        <f>Googleadssales[[#This Row],[Conversions]]/Googleadssales[[#This Row],[Clicks]]</f>
        <v>4.790419161676647E-2</v>
      </c>
      <c r="I795" t="str">
        <f>VLOOKUP(Googleadssales[[#This Row],[Ad_ID]],'[1]pre processed data'!A:O,15,0)</f>
        <v>$1001</v>
      </c>
      <c r="J795" s="3">
        <f>VLOOKUP(Googleadssales[[#This Row],[Ad_ID]],'[1]pre processed data'!A:Q,17,0)</f>
        <v>45601</v>
      </c>
      <c r="K795" t="str">
        <f>VLOOKUP(Googleadssales[[#This Row],[Ad_ID]],'[1]pre processed data'!A:R,18,0)</f>
        <v>Hyderabad</v>
      </c>
      <c r="L795" t="str">
        <f>VLOOKUP(Googleadssales[[#This Row],[Ad_ID]],'[1]pre processed data'!A:S,19,0)</f>
        <v>Desktop</v>
      </c>
      <c r="M795" t="str">
        <f>VLOOKUP(Googleadssales[[#This Row],[Ad_ID]],'[1]pre processed data'!A:T,20,0)</f>
        <v>data analytics course</v>
      </c>
    </row>
    <row r="796" spans="1:13" x14ac:dyDescent="0.3">
      <c r="A796" t="s">
        <v>809</v>
      </c>
      <c r="B796" t="s">
        <v>14</v>
      </c>
      <c r="C796" s="4">
        <f>VLOOKUP(Googleadssales[[#This Row],[Ad_ID]],'[1]pre processed data'!A:C,3,0)</f>
        <v>132</v>
      </c>
      <c r="D796" s="4">
        <f>VLOOKUP(Googleadssales[[#This Row],[Ad_ID]],'[1]pre processed data'!A:E,5,0)</f>
        <v>4117</v>
      </c>
      <c r="E796" s="5" t="str">
        <f>VLOOKUP(Googleadssales[[#This Row],[Ad_ID]],[1]!Table3[[Ad_ID]:[Cost-imputed]],7,0)</f>
        <v>$239.04</v>
      </c>
      <c r="F796" s="4">
        <f>VLOOKUP(Googleadssales[[#This Row],[Ad_ID]],'[1]pre processed data'!A:I,9,0)</f>
        <v>28</v>
      </c>
      <c r="G796" s="4">
        <f>VLOOKUP(Googleadssales[[#This Row],[Ad_ID]],'[1]pre processed data'!A:K,11,0)</f>
        <v>3</v>
      </c>
      <c r="H796" s="2">
        <f>Googleadssales[[#This Row],[Conversions]]/Googleadssales[[#This Row],[Clicks]]</f>
        <v>2.2727272727272728E-2</v>
      </c>
      <c r="I796" t="str">
        <f>VLOOKUP(Googleadssales[[#This Row],[Ad_ID]],'[1]pre processed data'!A:O,15,0)</f>
        <v>$1761</v>
      </c>
      <c r="J796" s="3">
        <f>VLOOKUP(Googleadssales[[#This Row],[Ad_ID]],'[1]pre processed data'!A:Q,17,0)</f>
        <v>45603</v>
      </c>
      <c r="K796" t="str">
        <f>VLOOKUP(Googleadssales[[#This Row],[Ad_ID]],'[1]pre processed data'!A:R,18,0)</f>
        <v>Chennai</v>
      </c>
      <c r="L796" t="str">
        <f>VLOOKUP(Googleadssales[[#This Row],[Ad_ID]],'[1]pre processed data'!A:S,19,0)</f>
        <v>Mobile</v>
      </c>
      <c r="M796" t="str">
        <f>VLOOKUP(Googleadssales[[#This Row],[Ad_ID]],'[1]pre processed data'!A:T,20,0)</f>
        <v>analytics for data</v>
      </c>
    </row>
    <row r="797" spans="1:13" x14ac:dyDescent="0.3">
      <c r="A797" t="s">
        <v>810</v>
      </c>
      <c r="B797" t="s">
        <v>14</v>
      </c>
      <c r="C797" s="4">
        <f>VLOOKUP(Googleadssales[[#This Row],[Ad_ID]],'[1]pre processed data'!A:C,3,0)</f>
        <v>145</v>
      </c>
      <c r="D797" s="4">
        <f>VLOOKUP(Googleadssales[[#This Row],[Ad_ID]],'[1]pre processed data'!A:E,5,0)</f>
        <v>5400</v>
      </c>
      <c r="E797" s="5" t="str">
        <f>VLOOKUP(Googleadssales[[#This Row],[Ad_ID]],[1]!Table3[[Ad_ID]:[Cost-imputed]],7,0)</f>
        <v>$219.89</v>
      </c>
      <c r="F797" s="4">
        <f>VLOOKUP(Googleadssales[[#This Row],[Ad_ID]],'[1]pre processed data'!A:I,9,0)</f>
        <v>29</v>
      </c>
      <c r="G797" s="4">
        <f>VLOOKUP(Googleadssales[[#This Row],[Ad_ID]],'[1]pre processed data'!A:K,11,0)</f>
        <v>3</v>
      </c>
      <c r="H797" s="2">
        <f>Googleadssales[[#This Row],[Conversions]]/Googleadssales[[#This Row],[Clicks]]</f>
        <v>2.0689655172413793E-2</v>
      </c>
      <c r="I797" t="str">
        <f>VLOOKUP(Googleadssales[[#This Row],[Ad_ID]],'[1]pre processed data'!A:O,15,0)</f>
        <v>$1152</v>
      </c>
      <c r="J797" s="3">
        <f>VLOOKUP(Googleadssales[[#This Row],[Ad_ID]],'[1]pre processed data'!A:Q,17,0)</f>
        <v>45616</v>
      </c>
      <c r="K797" t="str">
        <f>VLOOKUP(Googleadssales[[#This Row],[Ad_ID]],'[1]pre processed data'!A:R,18,0)</f>
        <v>Chennai</v>
      </c>
      <c r="L797" t="str">
        <f>VLOOKUP(Googleadssales[[#This Row],[Ad_ID]],'[1]pre processed data'!A:S,19,0)</f>
        <v>Tablet</v>
      </c>
      <c r="M797" t="str">
        <f>VLOOKUP(Googleadssales[[#This Row],[Ad_ID]],'[1]pre processed data'!A:T,20,0)</f>
        <v>data analytics course</v>
      </c>
    </row>
    <row r="798" spans="1:13" x14ac:dyDescent="0.3">
      <c r="A798" t="s">
        <v>811</v>
      </c>
      <c r="B798" t="s">
        <v>18</v>
      </c>
      <c r="C798" s="4">
        <f>VLOOKUP(Googleadssales[[#This Row],[Ad_ID]],'[1]pre processed data'!A:C,3,0)</f>
        <v>140</v>
      </c>
      <c r="D798" s="4">
        <f>VLOOKUP(Googleadssales[[#This Row],[Ad_ID]],'[1]pre processed data'!A:E,5,0)</f>
        <v>5220</v>
      </c>
      <c r="E798" s="5" t="str">
        <f>VLOOKUP(Googleadssales[[#This Row],[Ad_ID]],[1]!Table3[[Ad_ID]:[Cost-imputed]],7,0)</f>
        <v>$183.39</v>
      </c>
      <c r="F798" s="4">
        <f>VLOOKUP(Googleadssales[[#This Row],[Ad_ID]],'[1]pre processed data'!A:I,9,0)</f>
        <v>25</v>
      </c>
      <c r="G798" s="4">
        <f>VLOOKUP(Googleadssales[[#This Row],[Ad_ID]],'[1]pre processed data'!A:K,11,0)</f>
        <v>8</v>
      </c>
      <c r="H798" s="2">
        <f>Googleadssales[[#This Row],[Conversions]]/Googleadssales[[#This Row],[Clicks]]</f>
        <v>5.7142857142857141E-2</v>
      </c>
      <c r="I798" t="str">
        <f>VLOOKUP(Googleadssales[[#This Row],[Ad_ID]],'[1]pre processed data'!A:O,15,0)</f>
        <v>$1918</v>
      </c>
      <c r="J798" s="3">
        <f>VLOOKUP(Googleadssales[[#This Row],[Ad_ID]],'[1]pre processed data'!A:Q,17,0)</f>
        <v>45607</v>
      </c>
      <c r="K798" t="str">
        <f>VLOOKUP(Googleadssales[[#This Row],[Ad_ID]],'[1]pre processed data'!A:R,18,0)</f>
        <v>Bangaluru</v>
      </c>
      <c r="L798" t="str">
        <f>VLOOKUP(Googleadssales[[#This Row],[Ad_ID]],'[1]pre processed data'!A:S,19,0)</f>
        <v>Desktop</v>
      </c>
      <c r="M798" t="str">
        <f>VLOOKUP(Googleadssales[[#This Row],[Ad_ID]],'[1]pre processed data'!A:T,20,0)</f>
        <v>learn data analytics</v>
      </c>
    </row>
    <row r="799" spans="1:13" x14ac:dyDescent="0.3">
      <c r="A799" t="s">
        <v>812</v>
      </c>
      <c r="B799" t="s">
        <v>14</v>
      </c>
      <c r="C799" s="4">
        <f>VLOOKUP(Googleadssales[[#This Row],[Ad_ID]],'[1]pre processed data'!A:C,3,0)</f>
        <v>122</v>
      </c>
      <c r="D799" s="4">
        <f>VLOOKUP(Googleadssales[[#This Row],[Ad_ID]],'[1]pre processed data'!A:E,5,0)</f>
        <v>4523.2808326787117</v>
      </c>
      <c r="E799" s="5" t="str">
        <f>VLOOKUP(Googleadssales[[#This Row],[Ad_ID]],[1]!Table3[[Ad_ID]:[Cost-imputed]],7,0)</f>
        <v>$217.66</v>
      </c>
      <c r="F799" s="4">
        <f>VLOOKUP(Googleadssales[[#This Row],[Ad_ID]],'[1]pre processed data'!A:I,9,0)</f>
        <v>25</v>
      </c>
      <c r="G799" s="4">
        <f>VLOOKUP(Googleadssales[[#This Row],[Ad_ID]],'[1]pre processed data'!A:K,11,0)</f>
        <v>10</v>
      </c>
      <c r="H799" s="2">
        <f>Googleadssales[[#This Row],[Conversions]]/Googleadssales[[#This Row],[Clicks]]</f>
        <v>8.1967213114754092E-2</v>
      </c>
      <c r="I799" t="str">
        <f>VLOOKUP(Googleadssales[[#This Row],[Ad_ID]],'[1]pre processed data'!A:O,15,0)</f>
        <v>$1799</v>
      </c>
      <c r="J799" s="3">
        <f>VLOOKUP(Googleadssales[[#This Row],[Ad_ID]],'[1]pre processed data'!A:Q,17,0)</f>
        <v>45622</v>
      </c>
      <c r="K799" t="str">
        <f>VLOOKUP(Googleadssales[[#This Row],[Ad_ID]],'[1]pre processed data'!A:R,18,0)</f>
        <v>Chennai</v>
      </c>
      <c r="L799" t="str">
        <f>VLOOKUP(Googleadssales[[#This Row],[Ad_ID]],'[1]pre processed data'!A:S,19,0)</f>
        <v>Tablet</v>
      </c>
      <c r="M799" t="str">
        <f>VLOOKUP(Googleadssales[[#This Row],[Ad_ID]],'[1]pre processed data'!A:T,20,0)</f>
        <v>data analytics online</v>
      </c>
    </row>
    <row r="800" spans="1:13" x14ac:dyDescent="0.3">
      <c r="A800" t="s">
        <v>813</v>
      </c>
      <c r="B800" t="s">
        <v>18</v>
      </c>
      <c r="C800" s="4">
        <f>VLOOKUP(Googleadssales[[#This Row],[Ad_ID]],'[1]pre processed data'!A:C,3,0)</f>
        <v>87</v>
      </c>
      <c r="D800" s="4">
        <f>VLOOKUP(Googleadssales[[#This Row],[Ad_ID]],'[1]pre processed data'!A:E,5,0)</f>
        <v>4081</v>
      </c>
      <c r="E800" s="5" t="str">
        <f>VLOOKUP(Googleadssales[[#This Row],[Ad_ID]],[1]!Table3[[Ad_ID]:[Cost-imputed]],7,0)</f>
        <v>$180.63</v>
      </c>
      <c r="F800" s="4">
        <f>VLOOKUP(Googleadssales[[#This Row],[Ad_ID]],'[1]pre processed data'!A:I,9,0)</f>
        <v>20</v>
      </c>
      <c r="G800" s="4">
        <f>VLOOKUP(Googleadssales[[#This Row],[Ad_ID]],'[1]pre processed data'!A:K,11,0)</f>
        <v>4</v>
      </c>
      <c r="H800" s="2">
        <f>Googleadssales[[#This Row],[Conversions]]/Googleadssales[[#This Row],[Clicks]]</f>
        <v>4.5977011494252873E-2</v>
      </c>
      <c r="I800" t="str">
        <f>VLOOKUP(Googleadssales[[#This Row],[Ad_ID]],'[1]pre processed data'!A:O,15,0)</f>
        <v>$1665</v>
      </c>
      <c r="J800" s="3">
        <f>VLOOKUP(Googleadssales[[#This Row],[Ad_ID]],'[1]pre processed data'!A:Q,17,0)</f>
        <v>45604</v>
      </c>
      <c r="K800" t="str">
        <f>VLOOKUP(Googleadssales[[#This Row],[Ad_ID]],'[1]pre processed data'!A:R,18,0)</f>
        <v>Hyderabad</v>
      </c>
      <c r="L800" t="str">
        <f>VLOOKUP(Googleadssales[[#This Row],[Ad_ID]],'[1]pre processed data'!A:S,19,0)</f>
        <v>Tablet</v>
      </c>
      <c r="M800" t="str">
        <f>VLOOKUP(Googleadssales[[#This Row],[Ad_ID]],'[1]pre processed data'!A:T,20,0)</f>
        <v>data analytics online</v>
      </c>
    </row>
    <row r="801" spans="1:13" x14ac:dyDescent="0.3">
      <c r="A801" t="s">
        <v>814</v>
      </c>
      <c r="B801" t="s">
        <v>14</v>
      </c>
      <c r="C801" s="4">
        <f>VLOOKUP(Googleadssales[[#This Row],[Ad_ID]],'[1]pre processed data'!A:C,3,0)</f>
        <v>141</v>
      </c>
      <c r="D801" s="4">
        <f>VLOOKUP(Googleadssales[[#This Row],[Ad_ID]],'[1]pre processed data'!A:E,5,0)</f>
        <v>4239</v>
      </c>
      <c r="E801" s="5" t="str">
        <f>VLOOKUP(Googleadssales[[#This Row],[Ad_ID]],[1]!Table3[[Ad_ID]:[Cost-imputed]],7,0)</f>
        <v>$199.82</v>
      </c>
      <c r="F801" s="4">
        <f>VLOOKUP(Googleadssales[[#This Row],[Ad_ID]],'[1]pre processed data'!A:I,9,0)</f>
        <v>15</v>
      </c>
      <c r="G801" s="4">
        <f>VLOOKUP(Googleadssales[[#This Row],[Ad_ID]],'[1]pre processed data'!A:K,11,0)</f>
        <v>5</v>
      </c>
      <c r="H801" s="2">
        <f>Googleadssales[[#This Row],[Conversions]]/Googleadssales[[#This Row],[Clicks]]</f>
        <v>3.5460992907801421E-2</v>
      </c>
      <c r="I801" t="str">
        <f>VLOOKUP(Googleadssales[[#This Row],[Ad_ID]],'[1]pre processed data'!A:O,15,0)</f>
        <v>$1639</v>
      </c>
      <c r="J801" s="3">
        <f>VLOOKUP(Googleadssales[[#This Row],[Ad_ID]],'[1]pre processed data'!A:Q,17,0)</f>
        <v>45623</v>
      </c>
      <c r="K801" t="str">
        <f>VLOOKUP(Googleadssales[[#This Row],[Ad_ID]],'[1]pre processed data'!A:R,18,0)</f>
        <v>Chennai</v>
      </c>
      <c r="L801" t="str">
        <f>VLOOKUP(Googleadssales[[#This Row],[Ad_ID]],'[1]pre processed data'!A:S,19,0)</f>
        <v>Mobile</v>
      </c>
      <c r="M801" t="str">
        <f>VLOOKUP(Googleadssales[[#This Row],[Ad_ID]],'[1]pre processed data'!A:T,20,0)</f>
        <v>data analytics training</v>
      </c>
    </row>
    <row r="802" spans="1:13" x14ac:dyDescent="0.3">
      <c r="A802" t="s">
        <v>815</v>
      </c>
      <c r="B802" t="s">
        <v>14</v>
      </c>
      <c r="C802" s="4">
        <f>VLOOKUP(Googleadssales[[#This Row],[Ad_ID]],'[1]pre processed data'!A:C,3,0)</f>
        <v>157</v>
      </c>
      <c r="D802" s="4">
        <f>VLOOKUP(Googleadssales[[#This Row],[Ad_ID]],'[1]pre processed data'!A:E,5,0)</f>
        <v>3367</v>
      </c>
      <c r="E802" s="5" t="str">
        <f>VLOOKUP(Googleadssales[[#This Row],[Ad_ID]],[1]!Table3[[Ad_ID]:[Cost-imputed]],7,0)</f>
        <v>$248.9</v>
      </c>
      <c r="F802" s="4">
        <f>VLOOKUP(Googleadssales[[#This Row],[Ad_ID]],'[1]pre processed data'!A:I,9,0)</f>
        <v>20.029511918274689</v>
      </c>
      <c r="G802" s="4">
        <f>VLOOKUP(Googleadssales[[#This Row],[Ad_ID]],'[1]pre processed data'!A:K,11,0)</f>
        <v>8</v>
      </c>
      <c r="H802" s="2">
        <f>Googleadssales[[#This Row],[Conversions]]/Googleadssales[[#This Row],[Clicks]]</f>
        <v>5.0955414012738856E-2</v>
      </c>
      <c r="I802" t="str">
        <f>VLOOKUP(Googleadssales[[#This Row],[Ad_ID]],'[1]pre processed data'!A:O,15,0)</f>
        <v>$1470</v>
      </c>
      <c r="J802" s="3">
        <f>VLOOKUP(Googleadssales[[#This Row],[Ad_ID]],'[1]pre processed data'!A:Q,17,0)</f>
        <v>45626</v>
      </c>
      <c r="K802" t="str">
        <f>VLOOKUP(Googleadssales[[#This Row],[Ad_ID]],'[1]pre processed data'!A:R,18,0)</f>
        <v>Bangaluru</v>
      </c>
      <c r="L802" t="str">
        <f>VLOOKUP(Googleadssales[[#This Row],[Ad_ID]],'[1]pre processed data'!A:S,19,0)</f>
        <v>Tablet</v>
      </c>
      <c r="M802" t="str">
        <f>VLOOKUP(Googleadssales[[#This Row],[Ad_ID]],'[1]pre processed data'!A:T,20,0)</f>
        <v>data analytics training</v>
      </c>
    </row>
    <row r="803" spans="1:13" x14ac:dyDescent="0.3">
      <c r="A803" t="s">
        <v>816</v>
      </c>
      <c r="B803" t="s">
        <v>18</v>
      </c>
      <c r="C803" s="4">
        <f>VLOOKUP(Googleadssales[[#This Row],[Ad_ID]],'[1]pre processed data'!A:C,3,0)</f>
        <v>95</v>
      </c>
      <c r="D803" s="4">
        <f>VLOOKUP(Googleadssales[[#This Row],[Ad_ID]],'[1]pre processed data'!A:E,5,0)</f>
        <v>5721</v>
      </c>
      <c r="E803" s="5" t="str">
        <f>VLOOKUP(Googleadssales[[#This Row],[Ad_ID]],[1]!Table3[[Ad_ID]:[Cost-imputed]],7,0)</f>
        <v>$208.53</v>
      </c>
      <c r="F803" s="4">
        <f>VLOOKUP(Googleadssales[[#This Row],[Ad_ID]],'[1]pre processed data'!A:I,9,0)</f>
        <v>16</v>
      </c>
      <c r="G803" s="4">
        <f>VLOOKUP(Googleadssales[[#This Row],[Ad_ID]],'[1]pre processed data'!A:K,11,0)</f>
        <v>6</v>
      </c>
      <c r="H803" s="2">
        <f>Googleadssales[[#This Row],[Conversions]]/Googleadssales[[#This Row],[Clicks]]</f>
        <v>6.3157894736842107E-2</v>
      </c>
      <c r="I803" t="str">
        <f>VLOOKUP(Googleadssales[[#This Row],[Ad_ID]],'[1]pre processed data'!A:O,15,0)</f>
        <v>$1863</v>
      </c>
      <c r="J803" s="3">
        <f>VLOOKUP(Googleadssales[[#This Row],[Ad_ID]],'[1]pre processed data'!A:Q,17,0)</f>
        <v>45601</v>
      </c>
      <c r="K803" t="str">
        <f>VLOOKUP(Googleadssales[[#This Row],[Ad_ID]],'[1]pre processed data'!A:R,18,0)</f>
        <v>Hyderabad</v>
      </c>
      <c r="L803" t="str">
        <f>VLOOKUP(Googleadssales[[#This Row],[Ad_ID]],'[1]pre processed data'!A:S,19,0)</f>
        <v>Mobile</v>
      </c>
      <c r="M803" t="str">
        <f>VLOOKUP(Googleadssales[[#This Row],[Ad_ID]],'[1]pre processed data'!A:T,20,0)</f>
        <v>data analytics course</v>
      </c>
    </row>
    <row r="804" spans="1:13" x14ac:dyDescent="0.3">
      <c r="A804" t="s">
        <v>817</v>
      </c>
      <c r="B804" t="s">
        <v>14</v>
      </c>
      <c r="C804" s="4">
        <f>VLOOKUP(Googleadssales[[#This Row],[Ad_ID]],'[1]pre processed data'!A:C,3,0)</f>
        <v>160</v>
      </c>
      <c r="D804" s="4">
        <f>VLOOKUP(Googleadssales[[#This Row],[Ad_ID]],'[1]pre processed data'!A:E,5,0)</f>
        <v>5166</v>
      </c>
      <c r="E804" s="5" t="str">
        <f>VLOOKUP(Googleadssales[[#This Row],[Ad_ID]],[1]!Table3[[Ad_ID]:[Cost-imputed]],7,0)</f>
        <v>$210.21</v>
      </c>
      <c r="F804" s="4">
        <f>VLOOKUP(Googleadssales[[#This Row],[Ad_ID]],'[1]pre processed data'!A:I,9,0)</f>
        <v>20</v>
      </c>
      <c r="G804" s="4">
        <f>VLOOKUP(Googleadssales[[#This Row],[Ad_ID]],'[1]pre processed data'!A:K,11,0)</f>
        <v>7</v>
      </c>
      <c r="H804" s="2">
        <f>Googleadssales[[#This Row],[Conversions]]/Googleadssales[[#This Row],[Clicks]]</f>
        <v>4.3749999999999997E-2</v>
      </c>
      <c r="I804" t="str">
        <f>VLOOKUP(Googleadssales[[#This Row],[Ad_ID]],'[1]pre processed data'!A:O,15,0)</f>
        <v>$1850</v>
      </c>
      <c r="J804" s="3">
        <f>VLOOKUP(Googleadssales[[#This Row],[Ad_ID]],'[1]pre processed data'!A:Q,17,0)</f>
        <v>45617</v>
      </c>
      <c r="K804" t="str">
        <f>VLOOKUP(Googleadssales[[#This Row],[Ad_ID]],'[1]pre processed data'!A:R,18,0)</f>
        <v>Chennai</v>
      </c>
      <c r="L804" t="str">
        <f>VLOOKUP(Googleadssales[[#This Row],[Ad_ID]],'[1]pre processed data'!A:S,19,0)</f>
        <v>Desktop</v>
      </c>
      <c r="M804" t="str">
        <f>VLOOKUP(Googleadssales[[#This Row],[Ad_ID]],'[1]pre processed data'!A:T,20,0)</f>
        <v>data analytics course</v>
      </c>
    </row>
    <row r="805" spans="1:13" x14ac:dyDescent="0.3">
      <c r="A805" t="s">
        <v>818</v>
      </c>
      <c r="B805" t="s">
        <v>14</v>
      </c>
      <c r="C805" s="4">
        <f>VLOOKUP(Googleadssales[[#This Row],[Ad_ID]],'[1]pre processed data'!A:C,3,0)</f>
        <v>133</v>
      </c>
      <c r="D805" s="4">
        <f>VLOOKUP(Googleadssales[[#This Row],[Ad_ID]],'[1]pre processed data'!A:E,5,0)</f>
        <v>5430</v>
      </c>
      <c r="E805" s="5" t="str">
        <f>VLOOKUP(Googleadssales[[#This Row],[Ad_ID]],[1]!Table3[[Ad_ID]:[Cost-imputed]],7,0)</f>
        <v>$217.34</v>
      </c>
      <c r="F805" s="4">
        <f>VLOOKUP(Googleadssales[[#This Row],[Ad_ID]],'[1]pre processed data'!A:I,9,0)</f>
        <v>16</v>
      </c>
      <c r="G805" s="4">
        <f>VLOOKUP(Googleadssales[[#This Row],[Ad_ID]],'[1]pre processed data'!A:K,11,0)</f>
        <v>6</v>
      </c>
      <c r="H805" s="2">
        <f>Googleadssales[[#This Row],[Conversions]]/Googleadssales[[#This Row],[Clicks]]</f>
        <v>4.5112781954887216E-2</v>
      </c>
      <c r="I805" t="str">
        <f>VLOOKUP(Googleadssales[[#This Row],[Ad_ID]],'[1]pre processed data'!A:O,15,0)</f>
        <v>$1199</v>
      </c>
      <c r="J805" s="3">
        <f>VLOOKUP(Googleadssales[[#This Row],[Ad_ID]],'[1]pre processed data'!A:Q,17,0)</f>
        <v>45610</v>
      </c>
      <c r="K805" t="str">
        <f>VLOOKUP(Googleadssales[[#This Row],[Ad_ID]],'[1]pre processed data'!A:R,18,0)</f>
        <v>Hyderabad</v>
      </c>
      <c r="L805" t="str">
        <f>VLOOKUP(Googleadssales[[#This Row],[Ad_ID]],'[1]pre processed data'!A:S,19,0)</f>
        <v>Mobile</v>
      </c>
      <c r="M805" t="str">
        <f>VLOOKUP(Googleadssales[[#This Row],[Ad_ID]],'[1]pre processed data'!A:T,20,0)</f>
        <v>data analytics online</v>
      </c>
    </row>
    <row r="806" spans="1:13" x14ac:dyDescent="0.3">
      <c r="A806" t="s">
        <v>819</v>
      </c>
      <c r="B806" t="s">
        <v>18</v>
      </c>
      <c r="C806" s="4">
        <f>VLOOKUP(Googleadssales[[#This Row],[Ad_ID]],'[1]pre processed data'!A:C,3,0)</f>
        <v>154</v>
      </c>
      <c r="D806" s="4">
        <f>VLOOKUP(Googleadssales[[#This Row],[Ad_ID]],'[1]pre processed data'!A:E,5,0)</f>
        <v>3452</v>
      </c>
      <c r="E806" s="5" t="str">
        <f>VLOOKUP(Googleadssales[[#This Row],[Ad_ID]],[1]!Table3[[Ad_ID]:[Cost-imputed]],7,0)</f>
        <v>$215.61</v>
      </c>
      <c r="F806" s="4">
        <f>VLOOKUP(Googleadssales[[#This Row],[Ad_ID]],'[1]pre processed data'!A:I,9,0)</f>
        <v>21</v>
      </c>
      <c r="G806" s="4">
        <f>VLOOKUP(Googleadssales[[#This Row],[Ad_ID]],'[1]pre processed data'!A:K,11,0)</f>
        <v>7</v>
      </c>
      <c r="H806" s="2">
        <f>Googleadssales[[#This Row],[Conversions]]/Googleadssales[[#This Row],[Clicks]]</f>
        <v>4.5454545454545456E-2</v>
      </c>
      <c r="I806" t="str">
        <f>VLOOKUP(Googleadssales[[#This Row],[Ad_ID]],'[1]pre processed data'!A:O,15,0)</f>
        <v>$1631</v>
      </c>
      <c r="J806" s="3">
        <f>VLOOKUP(Googleadssales[[#This Row],[Ad_ID]],'[1]pre processed data'!A:Q,17,0)</f>
        <v>45598</v>
      </c>
      <c r="K806" t="str">
        <f>VLOOKUP(Googleadssales[[#This Row],[Ad_ID]],'[1]pre processed data'!A:R,18,0)</f>
        <v>Bangaluru</v>
      </c>
      <c r="L806" t="str">
        <f>VLOOKUP(Googleadssales[[#This Row],[Ad_ID]],'[1]pre processed data'!A:S,19,0)</f>
        <v>Mobile</v>
      </c>
      <c r="M806" t="str">
        <f>VLOOKUP(Googleadssales[[#This Row],[Ad_ID]],'[1]pre processed data'!A:T,20,0)</f>
        <v>analytics for data</v>
      </c>
    </row>
    <row r="807" spans="1:13" x14ac:dyDescent="0.3">
      <c r="A807" t="s">
        <v>820</v>
      </c>
      <c r="B807" t="s">
        <v>18</v>
      </c>
      <c r="C807" s="4">
        <f>VLOOKUP(Googleadssales[[#This Row],[Ad_ID]],'[1]pre processed data'!A:C,3,0)</f>
        <v>188</v>
      </c>
      <c r="D807" s="4">
        <f>VLOOKUP(Googleadssales[[#This Row],[Ad_ID]],'[1]pre processed data'!A:E,5,0)</f>
        <v>4523.2808326787117</v>
      </c>
      <c r="E807" s="5" t="str">
        <f>VLOOKUP(Googleadssales[[#This Row],[Ad_ID]],[1]!Table3[[Ad_ID]:[Cost-imputed]],7,0)</f>
        <v>$220.11</v>
      </c>
      <c r="F807" s="4">
        <f>VLOOKUP(Googleadssales[[#This Row],[Ad_ID]],'[1]pre processed data'!A:I,9,0)</f>
        <v>13</v>
      </c>
      <c r="G807" s="4">
        <f>VLOOKUP(Googleadssales[[#This Row],[Ad_ID]],'[1]pre processed data'!A:K,11,0)</f>
        <v>4</v>
      </c>
      <c r="H807" s="2">
        <f>Googleadssales[[#This Row],[Conversions]]/Googleadssales[[#This Row],[Clicks]]</f>
        <v>2.1276595744680851E-2</v>
      </c>
      <c r="I807" t="str">
        <f>VLOOKUP(Googleadssales[[#This Row],[Ad_ID]],'[1]pre processed data'!A:O,15,0)</f>
        <v>$1262</v>
      </c>
      <c r="J807" s="3">
        <f>VLOOKUP(Googleadssales[[#This Row],[Ad_ID]],'[1]pre processed data'!A:Q,17,0)</f>
        <v>45625</v>
      </c>
      <c r="K807" t="str">
        <f>VLOOKUP(Googleadssales[[#This Row],[Ad_ID]],'[1]pre processed data'!A:R,18,0)</f>
        <v>Bangaluru</v>
      </c>
      <c r="L807" t="str">
        <f>VLOOKUP(Googleadssales[[#This Row],[Ad_ID]],'[1]pre processed data'!A:S,19,0)</f>
        <v>Tablet</v>
      </c>
      <c r="M807" t="str">
        <f>VLOOKUP(Googleadssales[[#This Row],[Ad_ID]],'[1]pre processed data'!A:T,20,0)</f>
        <v>data analytics online</v>
      </c>
    </row>
    <row r="808" spans="1:13" x14ac:dyDescent="0.3">
      <c r="A808" t="s">
        <v>821</v>
      </c>
      <c r="B808" t="s">
        <v>14</v>
      </c>
      <c r="C808" s="4">
        <f>VLOOKUP(Googleadssales[[#This Row],[Ad_ID]],'[1]pre processed data'!A:C,3,0)</f>
        <v>186</v>
      </c>
      <c r="D808" s="4">
        <f>VLOOKUP(Googleadssales[[#This Row],[Ad_ID]],'[1]pre processed data'!A:E,5,0)</f>
        <v>5073</v>
      </c>
      <c r="E808" s="5" t="str">
        <f>VLOOKUP(Googleadssales[[#This Row],[Ad_ID]],[1]!Table3[[Ad_ID]:[Cost-imputed]],7,0)</f>
        <v>$233.58</v>
      </c>
      <c r="F808" s="4">
        <f>VLOOKUP(Googleadssales[[#This Row],[Ad_ID]],'[1]pre processed data'!A:I,9,0)</f>
        <v>15</v>
      </c>
      <c r="G808" s="4">
        <f>VLOOKUP(Googleadssales[[#This Row],[Ad_ID]],'[1]pre processed data'!A:K,11,0)</f>
        <v>4</v>
      </c>
      <c r="H808" s="2">
        <f>Googleadssales[[#This Row],[Conversions]]/Googleadssales[[#This Row],[Clicks]]</f>
        <v>2.1505376344086023E-2</v>
      </c>
      <c r="I808" t="str">
        <f>VLOOKUP(Googleadssales[[#This Row],[Ad_ID]],'[1]pre processed data'!A:O,15,0)</f>
        <v>$1965</v>
      </c>
      <c r="J808" s="3">
        <f>VLOOKUP(Googleadssales[[#This Row],[Ad_ID]],'[1]pre processed data'!A:Q,17,0)</f>
        <v>45600</v>
      </c>
      <c r="K808" t="str">
        <f>VLOOKUP(Googleadssales[[#This Row],[Ad_ID]],'[1]pre processed data'!A:R,18,0)</f>
        <v>Chennai</v>
      </c>
      <c r="L808" t="str">
        <f>VLOOKUP(Googleadssales[[#This Row],[Ad_ID]],'[1]pre processed data'!A:S,19,0)</f>
        <v>Tablet</v>
      </c>
      <c r="M808" t="str">
        <f>VLOOKUP(Googleadssales[[#This Row],[Ad_ID]],'[1]pre processed data'!A:T,20,0)</f>
        <v>online data analytic</v>
      </c>
    </row>
    <row r="809" spans="1:13" x14ac:dyDescent="0.3">
      <c r="A809" t="s">
        <v>822</v>
      </c>
      <c r="B809" t="s">
        <v>18</v>
      </c>
      <c r="C809" s="4">
        <f>VLOOKUP(Googleadssales[[#This Row],[Ad_ID]],'[1]pre processed data'!A:C,3,0)</f>
        <v>101</v>
      </c>
      <c r="D809" s="4">
        <f>VLOOKUP(Googleadssales[[#This Row],[Ad_ID]],'[1]pre processed data'!A:E,5,0)</f>
        <v>5757</v>
      </c>
      <c r="E809" s="5" t="str">
        <f>VLOOKUP(Googleadssales[[#This Row],[Ad_ID]],[1]!Table3[[Ad_ID]:[Cost-imputed]],7,0)</f>
        <v>$249.33</v>
      </c>
      <c r="F809" s="4">
        <f>VLOOKUP(Googleadssales[[#This Row],[Ad_ID]],'[1]pre processed data'!A:I,9,0)</f>
        <v>25</v>
      </c>
      <c r="G809" s="4">
        <f>VLOOKUP(Googleadssales[[#This Row],[Ad_ID]],'[1]pre processed data'!A:K,11,0)</f>
        <v>9</v>
      </c>
      <c r="H809" s="2">
        <f>Googleadssales[[#This Row],[Conversions]]/Googleadssales[[#This Row],[Clicks]]</f>
        <v>8.9108910891089105E-2</v>
      </c>
      <c r="I809" t="str">
        <f>VLOOKUP(Googleadssales[[#This Row],[Ad_ID]],'[1]pre processed data'!A:O,15,0)</f>
        <v>$1129</v>
      </c>
      <c r="J809" s="3">
        <f>VLOOKUP(Googleadssales[[#This Row],[Ad_ID]],'[1]pre processed data'!A:Q,17,0)</f>
        <v>45597</v>
      </c>
      <c r="K809" t="str">
        <f>VLOOKUP(Googleadssales[[#This Row],[Ad_ID]],'[1]pre processed data'!A:R,18,0)</f>
        <v>Hyderabad</v>
      </c>
      <c r="L809" t="str">
        <f>VLOOKUP(Googleadssales[[#This Row],[Ad_ID]],'[1]pre processed data'!A:S,19,0)</f>
        <v>Mobile</v>
      </c>
      <c r="M809" t="str">
        <f>VLOOKUP(Googleadssales[[#This Row],[Ad_ID]],'[1]pre processed data'!A:T,20,0)</f>
        <v>learn data analytics</v>
      </c>
    </row>
    <row r="810" spans="1:13" x14ac:dyDescent="0.3">
      <c r="A810" t="s">
        <v>823</v>
      </c>
      <c r="B810" t="s">
        <v>14</v>
      </c>
      <c r="C810" s="4">
        <f>VLOOKUP(Googleadssales[[#This Row],[Ad_ID]],'[1]pre processed data'!A:C,3,0)</f>
        <v>150</v>
      </c>
      <c r="D810" s="4">
        <f>VLOOKUP(Googleadssales[[#This Row],[Ad_ID]],'[1]pre processed data'!A:E,5,0)</f>
        <v>3323</v>
      </c>
      <c r="E810" s="5" t="str">
        <f>VLOOKUP(Googleadssales[[#This Row],[Ad_ID]],[1]!Table3[[Ad_ID]:[Cost-imputed]],7,0)</f>
        <v>$227.55</v>
      </c>
      <c r="F810" s="4">
        <f>VLOOKUP(Googleadssales[[#This Row],[Ad_ID]],'[1]pre processed data'!A:I,9,0)</f>
        <v>14</v>
      </c>
      <c r="G810" s="4">
        <f>VLOOKUP(Googleadssales[[#This Row],[Ad_ID]],'[1]pre processed data'!A:K,11,0)</f>
        <v>4</v>
      </c>
      <c r="H810" s="2">
        <f>Googleadssales[[#This Row],[Conversions]]/Googleadssales[[#This Row],[Clicks]]</f>
        <v>2.6666666666666668E-2</v>
      </c>
      <c r="I810" t="str">
        <f>VLOOKUP(Googleadssales[[#This Row],[Ad_ID]],'[1]pre processed data'!A:O,15,0)</f>
        <v>$1931</v>
      </c>
      <c r="J810" s="3">
        <f>VLOOKUP(Googleadssales[[#This Row],[Ad_ID]],'[1]pre processed data'!A:Q,17,0)</f>
        <v>45614</v>
      </c>
      <c r="K810" t="str">
        <f>VLOOKUP(Googleadssales[[#This Row],[Ad_ID]],'[1]pre processed data'!A:R,18,0)</f>
        <v>Chennai</v>
      </c>
      <c r="L810" t="str">
        <f>VLOOKUP(Googleadssales[[#This Row],[Ad_ID]],'[1]pre processed data'!A:S,19,0)</f>
        <v>Mobile</v>
      </c>
      <c r="M810" t="str">
        <f>VLOOKUP(Googleadssales[[#This Row],[Ad_ID]],'[1]pre processed data'!A:T,20,0)</f>
        <v>data analytics course</v>
      </c>
    </row>
    <row r="811" spans="1:13" x14ac:dyDescent="0.3">
      <c r="A811" t="s">
        <v>824</v>
      </c>
      <c r="B811" t="s">
        <v>14</v>
      </c>
      <c r="C811" s="4">
        <f>VLOOKUP(Googleadssales[[#This Row],[Ad_ID]],'[1]pre processed data'!A:C,3,0)</f>
        <v>127</v>
      </c>
      <c r="D811" s="4">
        <f>VLOOKUP(Googleadssales[[#This Row],[Ad_ID]],'[1]pre processed data'!A:E,5,0)</f>
        <v>5417</v>
      </c>
      <c r="E811" s="5" t="str">
        <f>VLOOKUP(Googleadssales[[#This Row],[Ad_ID]],[1]!Table3[[Ad_ID]:[Cost-imputed]],7,0)</f>
        <v>$229.06</v>
      </c>
      <c r="F811" s="4">
        <f>VLOOKUP(Googleadssales[[#This Row],[Ad_ID]],'[1]pre processed data'!A:I,9,0)</f>
        <v>26</v>
      </c>
      <c r="G811" s="4">
        <f>VLOOKUP(Googleadssales[[#This Row],[Ad_ID]],'[1]pre processed data'!A:K,11,0)</f>
        <v>8</v>
      </c>
      <c r="H811" s="2">
        <f>Googleadssales[[#This Row],[Conversions]]/Googleadssales[[#This Row],[Clicks]]</f>
        <v>6.2992125984251968E-2</v>
      </c>
      <c r="I811" t="str">
        <f>VLOOKUP(Googleadssales[[#This Row],[Ad_ID]],'[1]pre processed data'!A:O,15,0)</f>
        <v>$1086</v>
      </c>
      <c r="J811" s="3">
        <f>VLOOKUP(Googleadssales[[#This Row],[Ad_ID]],'[1]pre processed data'!A:Q,17,0)</f>
        <v>45617</v>
      </c>
      <c r="K811" t="str">
        <f>VLOOKUP(Googleadssales[[#This Row],[Ad_ID]],'[1]pre processed data'!A:R,18,0)</f>
        <v>Bangaluru</v>
      </c>
      <c r="L811" t="str">
        <f>VLOOKUP(Googleadssales[[#This Row],[Ad_ID]],'[1]pre processed data'!A:S,19,0)</f>
        <v>Tablet</v>
      </c>
      <c r="M811" t="str">
        <f>VLOOKUP(Googleadssales[[#This Row],[Ad_ID]],'[1]pre processed data'!A:T,20,0)</f>
        <v>learn data analytics</v>
      </c>
    </row>
    <row r="812" spans="1:13" x14ac:dyDescent="0.3">
      <c r="A812" t="s">
        <v>825</v>
      </c>
      <c r="B812" t="s">
        <v>18</v>
      </c>
      <c r="C812" s="4">
        <f>VLOOKUP(Googleadssales[[#This Row],[Ad_ID]],'[1]pre processed data'!A:C,3,0)</f>
        <v>117</v>
      </c>
      <c r="D812" s="4">
        <f>VLOOKUP(Googleadssales[[#This Row],[Ad_ID]],'[1]pre processed data'!A:E,5,0)</f>
        <v>5445</v>
      </c>
      <c r="E812" s="5" t="str">
        <f>VLOOKUP(Googleadssales[[#This Row],[Ad_ID]],[1]!Table3[[Ad_ID]:[Cost-imputed]],7,0)</f>
        <v>$213.9</v>
      </c>
      <c r="F812" s="4">
        <f>VLOOKUP(Googleadssales[[#This Row],[Ad_ID]],'[1]pre processed data'!A:I,9,0)</f>
        <v>10</v>
      </c>
      <c r="G812" s="4">
        <f>VLOOKUP(Googleadssales[[#This Row],[Ad_ID]],'[1]pre processed data'!A:K,11,0)</f>
        <v>5</v>
      </c>
      <c r="H812" s="2">
        <f>Googleadssales[[#This Row],[Conversions]]/Googleadssales[[#This Row],[Clicks]]</f>
        <v>4.2735042735042736E-2</v>
      </c>
      <c r="I812" t="str">
        <f>VLOOKUP(Googleadssales[[#This Row],[Ad_ID]],'[1]pre processed data'!A:O,15,0)</f>
        <v>$1804</v>
      </c>
      <c r="J812" s="3">
        <f>VLOOKUP(Googleadssales[[#This Row],[Ad_ID]],'[1]pre processed data'!A:Q,17,0)</f>
        <v>45615</v>
      </c>
      <c r="K812" t="str">
        <f>VLOOKUP(Googleadssales[[#This Row],[Ad_ID]],'[1]pre processed data'!A:R,18,0)</f>
        <v>Hyderabad</v>
      </c>
      <c r="L812" t="str">
        <f>VLOOKUP(Googleadssales[[#This Row],[Ad_ID]],'[1]pre processed data'!A:S,19,0)</f>
        <v>Desktop</v>
      </c>
      <c r="M812" t="str">
        <f>VLOOKUP(Googleadssales[[#This Row],[Ad_ID]],'[1]pre processed data'!A:T,20,0)</f>
        <v>data analytics course</v>
      </c>
    </row>
    <row r="813" spans="1:13" x14ac:dyDescent="0.3">
      <c r="A813" t="s">
        <v>826</v>
      </c>
      <c r="B813" t="s">
        <v>14</v>
      </c>
      <c r="C813" s="4">
        <f>VLOOKUP(Googleadssales[[#This Row],[Ad_ID]],'[1]pre processed data'!A:C,3,0)</f>
        <v>152</v>
      </c>
      <c r="D813" s="4">
        <f>VLOOKUP(Googleadssales[[#This Row],[Ad_ID]],'[1]pre processed data'!A:E,5,0)</f>
        <v>5173</v>
      </c>
      <c r="E813" s="5" t="str">
        <f>VLOOKUP(Googleadssales[[#This Row],[Ad_ID]],[1]!Table3[[Ad_ID]:[Cost-imputed]],7,0)</f>
        <v>$230.47</v>
      </c>
      <c r="F813" s="4">
        <f>VLOOKUP(Googleadssales[[#This Row],[Ad_ID]],'[1]pre processed data'!A:I,9,0)</f>
        <v>15</v>
      </c>
      <c r="G813" s="4">
        <f>VLOOKUP(Googleadssales[[#This Row],[Ad_ID]],'[1]pre processed data'!A:K,11,0)</f>
        <v>5</v>
      </c>
      <c r="H813" s="2">
        <f>Googleadssales[[#This Row],[Conversions]]/Googleadssales[[#This Row],[Clicks]]</f>
        <v>3.2894736842105261E-2</v>
      </c>
      <c r="I813" t="str">
        <f>VLOOKUP(Googleadssales[[#This Row],[Ad_ID]],'[1]pre processed data'!A:O,15,0)</f>
        <v>$1779</v>
      </c>
      <c r="J813" s="3">
        <f>VLOOKUP(Googleadssales[[#This Row],[Ad_ID]],'[1]pre processed data'!A:Q,17,0)</f>
        <v>45622</v>
      </c>
      <c r="K813" t="str">
        <f>VLOOKUP(Googleadssales[[#This Row],[Ad_ID]],'[1]pre processed data'!A:R,18,0)</f>
        <v>Bangaluru</v>
      </c>
      <c r="L813" t="str">
        <f>VLOOKUP(Googleadssales[[#This Row],[Ad_ID]],'[1]pre processed data'!A:S,19,0)</f>
        <v>Desktop</v>
      </c>
      <c r="M813" t="str">
        <f>VLOOKUP(Googleadssales[[#This Row],[Ad_ID]],'[1]pre processed data'!A:T,20,0)</f>
        <v>learn data analytics</v>
      </c>
    </row>
    <row r="814" spans="1:13" x14ac:dyDescent="0.3">
      <c r="A814" t="s">
        <v>827</v>
      </c>
      <c r="B814" t="s">
        <v>14</v>
      </c>
      <c r="C814" s="4">
        <f>VLOOKUP(Googleadssales[[#This Row],[Ad_ID]],'[1]pre processed data'!A:C,3,0)</f>
        <v>87</v>
      </c>
      <c r="D814" s="4">
        <f>VLOOKUP(Googleadssales[[#This Row],[Ad_ID]],'[1]pre processed data'!A:E,5,0)</f>
        <v>3643</v>
      </c>
      <c r="E814" s="5" t="str">
        <f>VLOOKUP(Googleadssales[[#This Row],[Ad_ID]],[1]!Table3[[Ad_ID]:[Cost-imputed]],7,0)</f>
        <v>$220.76</v>
      </c>
      <c r="F814" s="4">
        <f>VLOOKUP(Googleadssales[[#This Row],[Ad_ID]],'[1]pre processed data'!A:I,9,0)</f>
        <v>27</v>
      </c>
      <c r="G814" s="4">
        <f>VLOOKUP(Googleadssales[[#This Row],[Ad_ID]],'[1]pre processed data'!A:K,11,0)</f>
        <v>7</v>
      </c>
      <c r="H814" s="2">
        <f>Googleadssales[[#This Row],[Conversions]]/Googleadssales[[#This Row],[Clicks]]</f>
        <v>8.0459770114942528E-2</v>
      </c>
      <c r="I814" t="str">
        <f>VLOOKUP(Googleadssales[[#This Row],[Ad_ID]],'[1]pre processed data'!A:O,15,0)</f>
        <v>$1393</v>
      </c>
      <c r="J814" s="3">
        <f>VLOOKUP(Googleadssales[[#This Row],[Ad_ID]],'[1]pre processed data'!A:Q,17,0)</f>
        <v>45599</v>
      </c>
      <c r="K814" t="str">
        <f>VLOOKUP(Googleadssales[[#This Row],[Ad_ID]],'[1]pre processed data'!A:R,18,0)</f>
        <v>Hyderabad</v>
      </c>
      <c r="L814" t="str">
        <f>VLOOKUP(Googleadssales[[#This Row],[Ad_ID]],'[1]pre processed data'!A:S,19,0)</f>
        <v>Desktop</v>
      </c>
      <c r="M814" t="str">
        <f>VLOOKUP(Googleadssales[[#This Row],[Ad_ID]],'[1]pre processed data'!A:T,20,0)</f>
        <v>data analytics online</v>
      </c>
    </row>
    <row r="815" spans="1:13" x14ac:dyDescent="0.3">
      <c r="A815" t="s">
        <v>828</v>
      </c>
      <c r="B815" t="s">
        <v>14</v>
      </c>
      <c r="C815" s="4">
        <f>VLOOKUP(Googleadssales[[#This Row],[Ad_ID]],'[1]pre processed data'!A:C,3,0)</f>
        <v>181</v>
      </c>
      <c r="D815" s="4">
        <f>VLOOKUP(Googleadssales[[#This Row],[Ad_ID]],'[1]pre processed data'!A:E,5,0)</f>
        <v>3863</v>
      </c>
      <c r="E815" s="5" t="str">
        <f>VLOOKUP(Googleadssales[[#This Row],[Ad_ID]],[1]!Table3[[Ad_ID]:[Cost-imputed]],7,0)</f>
        <v>$180.12</v>
      </c>
      <c r="F815" s="4">
        <f>VLOOKUP(Googleadssales[[#This Row],[Ad_ID]],'[1]pre processed data'!A:I,9,0)</f>
        <v>17</v>
      </c>
      <c r="G815" s="4">
        <f>VLOOKUP(Googleadssales[[#This Row],[Ad_ID]],'[1]pre processed data'!A:K,11,0)</f>
        <v>7</v>
      </c>
      <c r="H815" s="2">
        <f>Googleadssales[[#This Row],[Conversions]]/Googleadssales[[#This Row],[Clicks]]</f>
        <v>3.8674033149171269E-2</v>
      </c>
      <c r="I815" t="str">
        <f>VLOOKUP(Googleadssales[[#This Row],[Ad_ID]],'[1]pre processed data'!A:O,15,0)</f>
        <v>$1892</v>
      </c>
      <c r="J815" s="3">
        <f>VLOOKUP(Googleadssales[[#This Row],[Ad_ID]],'[1]pre processed data'!A:Q,17,0)</f>
        <v>45624</v>
      </c>
      <c r="K815" t="str">
        <f>VLOOKUP(Googleadssales[[#This Row],[Ad_ID]],'[1]pre processed data'!A:R,18,0)</f>
        <v>Chennai</v>
      </c>
      <c r="L815" t="str">
        <f>VLOOKUP(Googleadssales[[#This Row],[Ad_ID]],'[1]pre processed data'!A:S,19,0)</f>
        <v>Desktop</v>
      </c>
      <c r="M815" t="str">
        <f>VLOOKUP(Googleadssales[[#This Row],[Ad_ID]],'[1]pre processed data'!A:T,20,0)</f>
        <v>data analytics course</v>
      </c>
    </row>
    <row r="816" spans="1:13" x14ac:dyDescent="0.3">
      <c r="A816" t="s">
        <v>829</v>
      </c>
      <c r="B816" t="s">
        <v>14</v>
      </c>
      <c r="C816" s="4">
        <f>VLOOKUP(Googleadssales[[#This Row],[Ad_ID]],'[1]pre processed data'!A:C,3,0)</f>
        <v>147</v>
      </c>
      <c r="D816" s="4">
        <f>VLOOKUP(Googleadssales[[#This Row],[Ad_ID]],'[1]pre processed data'!A:E,5,0)</f>
        <v>3661</v>
      </c>
      <c r="E816" s="5" t="str">
        <f>VLOOKUP(Googleadssales[[#This Row],[Ad_ID]],[1]!Table3[[Ad_ID]:[Cost-imputed]],7,0)</f>
        <v>$191.67</v>
      </c>
      <c r="F816" s="4">
        <f>VLOOKUP(Googleadssales[[#This Row],[Ad_ID]],'[1]pre processed data'!A:I,9,0)</f>
        <v>17</v>
      </c>
      <c r="G816" s="4">
        <f>VLOOKUP(Googleadssales[[#This Row],[Ad_ID]],'[1]pre processed data'!A:K,11,0)</f>
        <v>4</v>
      </c>
      <c r="H816" s="2">
        <f>Googleadssales[[#This Row],[Conversions]]/Googleadssales[[#This Row],[Clicks]]</f>
        <v>2.7210884353741496E-2</v>
      </c>
      <c r="I816" t="str">
        <f>VLOOKUP(Googleadssales[[#This Row],[Ad_ID]],'[1]pre processed data'!A:O,15,0)</f>
        <v>$1500</v>
      </c>
      <c r="J816" s="3">
        <f>VLOOKUP(Googleadssales[[#This Row],[Ad_ID]],'[1]pre processed data'!A:Q,17,0)</f>
        <v>45620</v>
      </c>
      <c r="K816" t="str">
        <f>VLOOKUP(Googleadssales[[#This Row],[Ad_ID]],'[1]pre processed data'!A:R,18,0)</f>
        <v>Chennai</v>
      </c>
      <c r="L816" t="str">
        <f>VLOOKUP(Googleadssales[[#This Row],[Ad_ID]],'[1]pre processed data'!A:S,19,0)</f>
        <v>Desktop</v>
      </c>
      <c r="M816" t="str">
        <f>VLOOKUP(Googleadssales[[#This Row],[Ad_ID]],'[1]pre processed data'!A:T,20,0)</f>
        <v>online data analytic</v>
      </c>
    </row>
    <row r="817" spans="1:13" x14ac:dyDescent="0.3">
      <c r="A817" t="s">
        <v>830</v>
      </c>
      <c r="B817" t="s">
        <v>18</v>
      </c>
      <c r="C817" s="4">
        <f>VLOOKUP(Googleadssales[[#This Row],[Ad_ID]],'[1]pre processed data'!A:C,3,0)</f>
        <v>173</v>
      </c>
      <c r="D817" s="4">
        <f>VLOOKUP(Googleadssales[[#This Row],[Ad_ID]],'[1]pre processed data'!A:E,5,0)</f>
        <v>5463</v>
      </c>
      <c r="E817" s="5" t="str">
        <f>VLOOKUP(Googleadssales[[#This Row],[Ad_ID]],[1]!Table3[[Ad_ID]:[Cost-imputed]],7,0)</f>
        <v>$232.38</v>
      </c>
      <c r="F817" s="4">
        <f>VLOOKUP(Googleadssales[[#This Row],[Ad_ID]],'[1]pre processed data'!A:I,9,0)</f>
        <v>17</v>
      </c>
      <c r="G817" s="4">
        <f>VLOOKUP(Googleadssales[[#This Row],[Ad_ID]],'[1]pre processed data'!A:K,11,0)</f>
        <v>5</v>
      </c>
      <c r="H817" s="2">
        <f>Googleadssales[[#This Row],[Conversions]]/Googleadssales[[#This Row],[Clicks]]</f>
        <v>2.8901734104046242E-2</v>
      </c>
      <c r="I817" t="str">
        <f>VLOOKUP(Googleadssales[[#This Row],[Ad_ID]],'[1]pre processed data'!A:O,15,0)</f>
        <v>$1568</v>
      </c>
      <c r="J817" s="3">
        <f>VLOOKUP(Googleadssales[[#This Row],[Ad_ID]],'[1]pre processed data'!A:Q,17,0)</f>
        <v>45622</v>
      </c>
      <c r="K817" t="str">
        <f>VLOOKUP(Googleadssales[[#This Row],[Ad_ID]],'[1]pre processed data'!A:R,18,0)</f>
        <v>Hyderabad</v>
      </c>
      <c r="L817" t="str">
        <f>VLOOKUP(Googleadssales[[#This Row],[Ad_ID]],'[1]pre processed data'!A:S,19,0)</f>
        <v>Desktop</v>
      </c>
      <c r="M817" t="str">
        <f>VLOOKUP(Googleadssales[[#This Row],[Ad_ID]],'[1]pre processed data'!A:T,20,0)</f>
        <v>analytics for data</v>
      </c>
    </row>
    <row r="818" spans="1:13" x14ac:dyDescent="0.3">
      <c r="A818" t="s">
        <v>831</v>
      </c>
      <c r="B818" t="s">
        <v>14</v>
      </c>
      <c r="C818" s="4">
        <f>VLOOKUP(Googleadssales[[#This Row],[Ad_ID]],'[1]pre processed data'!A:C,3,0)</f>
        <v>123</v>
      </c>
      <c r="D818" s="4">
        <f>VLOOKUP(Googleadssales[[#This Row],[Ad_ID]],'[1]pre processed data'!A:E,5,0)</f>
        <v>3459</v>
      </c>
      <c r="E818" s="5" t="str">
        <f>VLOOKUP(Googleadssales[[#This Row],[Ad_ID]],[1]!Table3[[Ad_ID]:[Cost-imputed]],7,0)</f>
        <v>$211.88</v>
      </c>
      <c r="F818" s="4">
        <f>VLOOKUP(Googleadssales[[#This Row],[Ad_ID]],'[1]pre processed data'!A:I,9,0)</f>
        <v>21</v>
      </c>
      <c r="G818" s="4">
        <f>VLOOKUP(Googleadssales[[#This Row],[Ad_ID]],'[1]pre processed data'!A:K,11,0)</f>
        <v>4</v>
      </c>
      <c r="H818" s="2">
        <f>Googleadssales[[#This Row],[Conversions]]/Googleadssales[[#This Row],[Clicks]]</f>
        <v>3.2520325203252036E-2</v>
      </c>
      <c r="I818" t="str">
        <f>VLOOKUP(Googleadssales[[#This Row],[Ad_ID]],'[1]pre processed data'!A:O,15,0)</f>
        <v>$1223</v>
      </c>
      <c r="J818" s="3">
        <f>VLOOKUP(Googleadssales[[#This Row],[Ad_ID]],'[1]pre processed data'!A:Q,17,0)</f>
        <v>45620</v>
      </c>
      <c r="K818" t="str">
        <f>VLOOKUP(Googleadssales[[#This Row],[Ad_ID]],'[1]pre processed data'!A:R,18,0)</f>
        <v>Hyderabad</v>
      </c>
      <c r="L818" t="str">
        <f>VLOOKUP(Googleadssales[[#This Row],[Ad_ID]],'[1]pre processed data'!A:S,19,0)</f>
        <v>Tablet</v>
      </c>
      <c r="M818" t="str">
        <f>VLOOKUP(Googleadssales[[#This Row],[Ad_ID]],'[1]pre processed data'!A:T,20,0)</f>
        <v>learn data analytics</v>
      </c>
    </row>
    <row r="819" spans="1:13" x14ac:dyDescent="0.3">
      <c r="A819" t="s">
        <v>832</v>
      </c>
      <c r="B819" t="s">
        <v>14</v>
      </c>
      <c r="C819" s="4">
        <f>VLOOKUP(Googleadssales[[#This Row],[Ad_ID]],'[1]pre processed data'!A:C,3,0)</f>
        <v>162</v>
      </c>
      <c r="D819" s="4">
        <f>VLOOKUP(Googleadssales[[#This Row],[Ad_ID]],'[1]pre processed data'!A:E,5,0)</f>
        <v>3906</v>
      </c>
      <c r="E819" s="5" t="str">
        <f>VLOOKUP(Googleadssales[[#This Row],[Ad_ID]],[1]!Table3[[Ad_ID]:[Cost-imputed]],7,0)</f>
        <v>$237.24</v>
      </c>
      <c r="F819" s="4">
        <f>VLOOKUP(Googleadssales[[#This Row],[Ad_ID]],'[1]pre processed data'!A:I,9,0)</f>
        <v>13</v>
      </c>
      <c r="G819" s="4">
        <f>VLOOKUP(Googleadssales[[#This Row],[Ad_ID]],'[1]pre processed data'!A:K,11,0)</f>
        <v>5</v>
      </c>
      <c r="H819" s="2">
        <f>Googleadssales[[#This Row],[Conversions]]/Googleadssales[[#This Row],[Clicks]]</f>
        <v>3.0864197530864196E-2</v>
      </c>
      <c r="I819" t="str">
        <f>VLOOKUP(Googleadssales[[#This Row],[Ad_ID]],'[1]pre processed data'!A:O,15,0)</f>
        <v>$1062</v>
      </c>
      <c r="J819" s="3">
        <f>VLOOKUP(Googleadssales[[#This Row],[Ad_ID]],'[1]pre processed data'!A:Q,17,0)</f>
        <v>45606</v>
      </c>
      <c r="K819" t="str">
        <f>VLOOKUP(Googleadssales[[#This Row],[Ad_ID]],'[1]pre processed data'!A:R,18,0)</f>
        <v>Bangaluru</v>
      </c>
      <c r="L819" t="str">
        <f>VLOOKUP(Googleadssales[[#This Row],[Ad_ID]],'[1]pre processed data'!A:S,19,0)</f>
        <v>Desktop</v>
      </c>
      <c r="M819" t="str">
        <f>VLOOKUP(Googleadssales[[#This Row],[Ad_ID]],'[1]pre processed data'!A:T,20,0)</f>
        <v>data analytics training</v>
      </c>
    </row>
    <row r="820" spans="1:13" x14ac:dyDescent="0.3">
      <c r="A820" t="s">
        <v>833</v>
      </c>
      <c r="B820" t="s">
        <v>18</v>
      </c>
      <c r="C820" s="4">
        <f>VLOOKUP(Googleadssales[[#This Row],[Ad_ID]],'[1]pre processed data'!A:C,3,0)</f>
        <v>135</v>
      </c>
      <c r="D820" s="4">
        <f>VLOOKUP(Googleadssales[[#This Row],[Ad_ID]],'[1]pre processed data'!A:E,5,0)</f>
        <v>4645</v>
      </c>
      <c r="E820" s="5" t="str">
        <f>VLOOKUP(Googleadssales[[#This Row],[Ad_ID]],[1]!Table3[[Ad_ID]:[Cost-imputed]],7,0)</f>
        <v>$182.94</v>
      </c>
      <c r="F820" s="4">
        <f>VLOOKUP(Googleadssales[[#This Row],[Ad_ID]],'[1]pre processed data'!A:I,9,0)</f>
        <v>12</v>
      </c>
      <c r="G820" s="4">
        <f>VLOOKUP(Googleadssales[[#This Row],[Ad_ID]],'[1]pre processed data'!A:K,11,0)</f>
        <v>6.4936120789779324</v>
      </c>
      <c r="H820" s="2">
        <f>Googleadssales[[#This Row],[Conversions]]/Googleadssales[[#This Row],[Clicks]]</f>
        <v>4.8100830214651349E-2</v>
      </c>
      <c r="I820" t="str">
        <f>VLOOKUP(Googleadssales[[#This Row],[Ad_ID]],'[1]pre processed data'!A:O,15,0)</f>
        <v>$1927</v>
      </c>
      <c r="J820" s="3">
        <f>VLOOKUP(Googleadssales[[#This Row],[Ad_ID]],'[1]pre processed data'!A:Q,17,0)</f>
        <v>45626</v>
      </c>
      <c r="K820" t="str">
        <f>VLOOKUP(Googleadssales[[#This Row],[Ad_ID]],'[1]pre processed data'!A:R,18,0)</f>
        <v>Bangaluru</v>
      </c>
      <c r="L820" t="str">
        <f>VLOOKUP(Googleadssales[[#This Row],[Ad_ID]],'[1]pre processed data'!A:S,19,0)</f>
        <v>Desktop</v>
      </c>
      <c r="M820" t="str">
        <f>VLOOKUP(Googleadssales[[#This Row],[Ad_ID]],'[1]pre processed data'!A:T,20,0)</f>
        <v>online data analytic</v>
      </c>
    </row>
    <row r="821" spans="1:13" x14ac:dyDescent="0.3">
      <c r="A821" t="s">
        <v>834</v>
      </c>
      <c r="B821" t="s">
        <v>14</v>
      </c>
      <c r="C821" s="4">
        <f>VLOOKUP(Googleadssales[[#This Row],[Ad_ID]],'[1]pre processed data'!A:C,3,0)</f>
        <v>169</v>
      </c>
      <c r="D821" s="4">
        <f>VLOOKUP(Googleadssales[[#This Row],[Ad_ID]],'[1]pre processed data'!A:E,5,0)</f>
        <v>3317</v>
      </c>
      <c r="E821" s="5" t="str">
        <f>VLOOKUP(Googleadssales[[#This Row],[Ad_ID]],[1]!Table3[[Ad_ID]:[Cost-imputed]],7,0)</f>
        <v>$232.35</v>
      </c>
      <c r="F821" s="4">
        <f>VLOOKUP(Googleadssales[[#This Row],[Ad_ID]],'[1]pre processed data'!A:I,9,0)</f>
        <v>29</v>
      </c>
      <c r="G821" s="4">
        <f>VLOOKUP(Googleadssales[[#This Row],[Ad_ID]],'[1]pre processed data'!A:K,11,0)</f>
        <v>3</v>
      </c>
      <c r="H821" s="2">
        <f>Googleadssales[[#This Row],[Conversions]]/Googleadssales[[#This Row],[Clicks]]</f>
        <v>1.7751479289940829E-2</v>
      </c>
      <c r="I821" t="str">
        <f>VLOOKUP(Googleadssales[[#This Row],[Ad_ID]],'[1]pre processed data'!A:O,15,0)</f>
        <v>$1988</v>
      </c>
      <c r="J821" s="3">
        <f>VLOOKUP(Googleadssales[[#This Row],[Ad_ID]],'[1]pre processed data'!A:Q,17,0)</f>
        <v>45620</v>
      </c>
      <c r="K821" t="str">
        <f>VLOOKUP(Googleadssales[[#This Row],[Ad_ID]],'[1]pre processed data'!A:R,18,0)</f>
        <v>Hyderabad</v>
      </c>
      <c r="L821" t="str">
        <f>VLOOKUP(Googleadssales[[#This Row],[Ad_ID]],'[1]pre processed data'!A:S,19,0)</f>
        <v>Mobile</v>
      </c>
      <c r="M821" t="str">
        <f>VLOOKUP(Googleadssales[[#This Row],[Ad_ID]],'[1]pre processed data'!A:T,20,0)</f>
        <v>data analytics training</v>
      </c>
    </row>
    <row r="822" spans="1:13" x14ac:dyDescent="0.3">
      <c r="A822" t="s">
        <v>835</v>
      </c>
      <c r="B822" t="s">
        <v>18</v>
      </c>
      <c r="C822" s="4">
        <f>VLOOKUP(Googleadssales[[#This Row],[Ad_ID]],'[1]pre processed data'!A:C,3,0)</f>
        <v>120</v>
      </c>
      <c r="D822" s="4">
        <f>VLOOKUP(Googleadssales[[#This Row],[Ad_ID]],'[1]pre processed data'!A:E,5,0)</f>
        <v>3235</v>
      </c>
      <c r="E822" s="5" t="str">
        <f>VLOOKUP(Googleadssales[[#This Row],[Ad_ID]],[1]!Table3[[Ad_ID]:[Cost-imputed]],7,0)</f>
        <v>$220.67</v>
      </c>
      <c r="F822" s="4">
        <f>VLOOKUP(Googleadssales[[#This Row],[Ad_ID]],'[1]pre processed data'!A:I,9,0)</f>
        <v>11</v>
      </c>
      <c r="G822" s="4">
        <f>VLOOKUP(Googleadssales[[#This Row],[Ad_ID]],'[1]pre processed data'!A:K,11,0)</f>
        <v>4</v>
      </c>
      <c r="H822" s="2">
        <f>Googleadssales[[#This Row],[Conversions]]/Googleadssales[[#This Row],[Clicks]]</f>
        <v>3.3333333333333333E-2</v>
      </c>
      <c r="I822" t="str">
        <f>VLOOKUP(Googleadssales[[#This Row],[Ad_ID]],'[1]pre processed data'!A:O,15,0)</f>
        <v>$1890</v>
      </c>
      <c r="J822" s="3">
        <f>VLOOKUP(Googleadssales[[#This Row],[Ad_ID]],'[1]pre processed data'!A:Q,17,0)</f>
        <v>45613</v>
      </c>
      <c r="K822" t="str">
        <f>VLOOKUP(Googleadssales[[#This Row],[Ad_ID]],'[1]pre processed data'!A:R,18,0)</f>
        <v>Hyderabad</v>
      </c>
      <c r="L822" t="str">
        <f>VLOOKUP(Googleadssales[[#This Row],[Ad_ID]],'[1]pre processed data'!A:S,19,0)</f>
        <v>Mobile</v>
      </c>
      <c r="M822" t="str">
        <f>VLOOKUP(Googleadssales[[#This Row],[Ad_ID]],'[1]pre processed data'!A:T,20,0)</f>
        <v>learn data analytics</v>
      </c>
    </row>
    <row r="823" spans="1:13" x14ac:dyDescent="0.3">
      <c r="A823" t="s">
        <v>836</v>
      </c>
      <c r="B823" t="s">
        <v>18</v>
      </c>
      <c r="C823" s="4">
        <f>VLOOKUP(Googleadssales[[#This Row],[Ad_ID]],'[1]pre processed data'!A:C,3,0)</f>
        <v>138.95699356913184</v>
      </c>
      <c r="D823" s="4">
        <f>VLOOKUP(Googleadssales[[#This Row],[Ad_ID]],'[1]pre processed data'!A:E,5,0)</f>
        <v>4823</v>
      </c>
      <c r="E823" s="5" t="str">
        <f>VLOOKUP(Googleadssales[[#This Row],[Ad_ID]],[1]!Table3[[Ad_ID]:[Cost-imputed]],7,0)</f>
        <v>$234.73</v>
      </c>
      <c r="F823" s="4">
        <f>VLOOKUP(Googleadssales[[#This Row],[Ad_ID]],'[1]pre processed data'!A:I,9,0)</f>
        <v>30</v>
      </c>
      <c r="G823" s="4">
        <f>VLOOKUP(Googleadssales[[#This Row],[Ad_ID]],'[1]pre processed data'!A:K,11,0)</f>
        <v>5</v>
      </c>
      <c r="H823" s="2">
        <f>Googleadssales[[#This Row],[Conversions]]/Googleadssales[[#This Row],[Clicks]]</f>
        <v>3.5982355918721523E-2</v>
      </c>
      <c r="I823" t="str">
        <f>VLOOKUP(Googleadssales[[#This Row],[Ad_ID]],'[1]pre processed data'!A:O,15,0)</f>
        <v>$1361</v>
      </c>
      <c r="J823" s="3">
        <f>VLOOKUP(Googleadssales[[#This Row],[Ad_ID]],'[1]pre processed data'!A:Q,17,0)</f>
        <v>45621</v>
      </c>
      <c r="K823" t="str">
        <f>VLOOKUP(Googleadssales[[#This Row],[Ad_ID]],'[1]pre processed data'!A:R,18,0)</f>
        <v>Hyderabad</v>
      </c>
      <c r="L823" t="str">
        <f>VLOOKUP(Googleadssales[[#This Row],[Ad_ID]],'[1]pre processed data'!A:S,19,0)</f>
        <v>Mobile</v>
      </c>
      <c r="M823" t="str">
        <f>VLOOKUP(Googleadssales[[#This Row],[Ad_ID]],'[1]pre processed data'!A:T,20,0)</f>
        <v>data analytics training</v>
      </c>
    </row>
    <row r="824" spans="1:13" x14ac:dyDescent="0.3">
      <c r="A824" t="s">
        <v>837</v>
      </c>
      <c r="B824" t="s">
        <v>14</v>
      </c>
      <c r="C824" s="4">
        <f>VLOOKUP(Googleadssales[[#This Row],[Ad_ID]],'[1]pre processed data'!A:C,3,0)</f>
        <v>167</v>
      </c>
      <c r="D824" s="4">
        <f>VLOOKUP(Googleadssales[[#This Row],[Ad_ID]],'[1]pre processed data'!A:E,5,0)</f>
        <v>4403</v>
      </c>
      <c r="E824" s="5" t="str">
        <f>VLOOKUP(Googleadssales[[#This Row],[Ad_ID]],[1]!Table3[[Ad_ID]:[Cost-imputed]],7,0)</f>
        <v>$189.36</v>
      </c>
      <c r="F824" s="4">
        <f>VLOOKUP(Googleadssales[[#This Row],[Ad_ID]],'[1]pre processed data'!A:I,9,0)</f>
        <v>25</v>
      </c>
      <c r="G824" s="4">
        <f>VLOOKUP(Googleadssales[[#This Row],[Ad_ID]],'[1]pre processed data'!A:K,11,0)</f>
        <v>4</v>
      </c>
      <c r="H824" s="2">
        <f>Googleadssales[[#This Row],[Conversions]]/Googleadssales[[#This Row],[Clicks]]</f>
        <v>2.3952095808383235E-2</v>
      </c>
      <c r="I824" t="str">
        <f>VLOOKUP(Googleadssales[[#This Row],[Ad_ID]],'[1]pre processed data'!A:O,15,0)</f>
        <v>$1572</v>
      </c>
      <c r="J824" s="3">
        <f>VLOOKUP(Googleadssales[[#This Row],[Ad_ID]],'[1]pre processed data'!A:Q,17,0)</f>
        <v>45602</v>
      </c>
      <c r="K824" t="str">
        <f>VLOOKUP(Googleadssales[[#This Row],[Ad_ID]],'[1]pre processed data'!A:R,18,0)</f>
        <v>Hyderabad</v>
      </c>
      <c r="L824" t="str">
        <f>VLOOKUP(Googleadssales[[#This Row],[Ad_ID]],'[1]pre processed data'!A:S,19,0)</f>
        <v>Desktop</v>
      </c>
      <c r="M824" t="str">
        <f>VLOOKUP(Googleadssales[[#This Row],[Ad_ID]],'[1]pre processed data'!A:T,20,0)</f>
        <v>learn data analytics</v>
      </c>
    </row>
    <row r="825" spans="1:13" x14ac:dyDescent="0.3">
      <c r="A825" t="s">
        <v>838</v>
      </c>
      <c r="B825" t="s">
        <v>14</v>
      </c>
      <c r="C825" s="4">
        <f>VLOOKUP(Googleadssales[[#This Row],[Ad_ID]],'[1]pre processed data'!A:C,3,0)</f>
        <v>101</v>
      </c>
      <c r="D825" s="4">
        <f>VLOOKUP(Googleadssales[[#This Row],[Ad_ID]],'[1]pre processed data'!A:E,5,0)</f>
        <v>3530</v>
      </c>
      <c r="E825" s="5" t="str">
        <f>VLOOKUP(Googleadssales[[#This Row],[Ad_ID]],[1]!Table3[[Ad_ID]:[Cost-imputed]],7,0)</f>
        <v>$184.83</v>
      </c>
      <c r="F825" s="4">
        <f>VLOOKUP(Googleadssales[[#This Row],[Ad_ID]],'[1]pre processed data'!A:I,9,0)</f>
        <v>22</v>
      </c>
      <c r="G825" s="4">
        <f>VLOOKUP(Googleadssales[[#This Row],[Ad_ID]],'[1]pre processed data'!A:K,11,0)</f>
        <v>5</v>
      </c>
      <c r="H825" s="2">
        <f>Googleadssales[[#This Row],[Conversions]]/Googleadssales[[#This Row],[Clicks]]</f>
        <v>4.9504950495049507E-2</v>
      </c>
      <c r="I825" t="str">
        <f>VLOOKUP(Googleadssales[[#This Row],[Ad_ID]],'[1]pre processed data'!A:O,15,0)</f>
        <v>$1802</v>
      </c>
      <c r="J825" s="3">
        <f>VLOOKUP(Googleadssales[[#This Row],[Ad_ID]],'[1]pre processed data'!A:Q,17,0)</f>
        <v>45609</v>
      </c>
      <c r="K825" t="str">
        <f>VLOOKUP(Googleadssales[[#This Row],[Ad_ID]],'[1]pre processed data'!A:R,18,0)</f>
        <v>Hyderabad</v>
      </c>
      <c r="L825" t="str">
        <f>VLOOKUP(Googleadssales[[#This Row],[Ad_ID]],'[1]pre processed data'!A:S,19,0)</f>
        <v>Mobile</v>
      </c>
      <c r="M825" t="str">
        <f>VLOOKUP(Googleadssales[[#This Row],[Ad_ID]],'[1]pre processed data'!A:T,20,0)</f>
        <v>learn data analytics</v>
      </c>
    </row>
    <row r="826" spans="1:13" x14ac:dyDescent="0.3">
      <c r="A826" t="s">
        <v>839</v>
      </c>
      <c r="B826" t="s">
        <v>18</v>
      </c>
      <c r="C826" s="4">
        <f>VLOOKUP(Googleadssales[[#This Row],[Ad_ID]],'[1]pre processed data'!A:C,3,0)</f>
        <v>129</v>
      </c>
      <c r="D826" s="4">
        <f>VLOOKUP(Googleadssales[[#This Row],[Ad_ID]],'[1]pre processed data'!A:E,5,0)</f>
        <v>4679</v>
      </c>
      <c r="E826" s="5" t="str">
        <f>VLOOKUP(Googleadssales[[#This Row],[Ad_ID]],[1]!Table3[[Ad_ID]:[Cost-imputed]],7,0)</f>
        <v>$239.21</v>
      </c>
      <c r="F826" s="4">
        <f>VLOOKUP(Googleadssales[[#This Row],[Ad_ID]],'[1]pre processed data'!A:I,9,0)</f>
        <v>19</v>
      </c>
      <c r="G826" s="4">
        <f>VLOOKUP(Googleadssales[[#This Row],[Ad_ID]],'[1]pre processed data'!A:K,11,0)</f>
        <v>3</v>
      </c>
      <c r="H826" s="2">
        <f>Googleadssales[[#This Row],[Conversions]]/Googleadssales[[#This Row],[Clicks]]</f>
        <v>2.3255813953488372E-2</v>
      </c>
      <c r="I826" t="str">
        <f>VLOOKUP(Googleadssales[[#This Row],[Ad_ID]],'[1]pre processed data'!A:O,15,0)</f>
        <v>$1215</v>
      </c>
      <c r="J826" s="3">
        <f>VLOOKUP(Googleadssales[[#This Row],[Ad_ID]],'[1]pre processed data'!A:Q,17,0)</f>
        <v>45600</v>
      </c>
      <c r="K826" t="str">
        <f>VLOOKUP(Googleadssales[[#This Row],[Ad_ID]],'[1]pre processed data'!A:R,18,0)</f>
        <v>Bangaluru</v>
      </c>
      <c r="L826" t="str">
        <f>VLOOKUP(Googleadssales[[#This Row],[Ad_ID]],'[1]pre processed data'!A:S,19,0)</f>
        <v>Mobile</v>
      </c>
      <c r="M826" t="str">
        <f>VLOOKUP(Googleadssales[[#This Row],[Ad_ID]],'[1]pre processed data'!A:T,20,0)</f>
        <v>data analytics online</v>
      </c>
    </row>
    <row r="827" spans="1:13" x14ac:dyDescent="0.3">
      <c r="A827" t="s">
        <v>840</v>
      </c>
      <c r="B827" t="s">
        <v>14</v>
      </c>
      <c r="C827" s="4">
        <f>VLOOKUP(Googleadssales[[#This Row],[Ad_ID]],'[1]pre processed data'!A:C,3,0)</f>
        <v>153</v>
      </c>
      <c r="D827" s="4">
        <f>VLOOKUP(Googleadssales[[#This Row],[Ad_ID]],'[1]pre processed data'!A:E,5,0)</f>
        <v>5396</v>
      </c>
      <c r="E827" s="5" t="str">
        <f>VLOOKUP(Googleadssales[[#This Row],[Ad_ID]],[1]!Table3[[Ad_ID]:[Cost-imputed]],7,0)</f>
        <v>$233.79</v>
      </c>
      <c r="F827" s="4">
        <f>VLOOKUP(Googleadssales[[#This Row],[Ad_ID]],'[1]pre processed data'!A:I,9,0)</f>
        <v>13</v>
      </c>
      <c r="G827" s="4">
        <f>VLOOKUP(Googleadssales[[#This Row],[Ad_ID]],'[1]pre processed data'!A:K,11,0)</f>
        <v>8</v>
      </c>
      <c r="H827" s="2">
        <f>Googleadssales[[#This Row],[Conversions]]/Googleadssales[[#This Row],[Clicks]]</f>
        <v>5.2287581699346407E-2</v>
      </c>
      <c r="I827" t="str">
        <f>VLOOKUP(Googleadssales[[#This Row],[Ad_ID]],'[1]pre processed data'!A:O,15,0)</f>
        <v>$1571</v>
      </c>
      <c r="J827" s="3">
        <f>VLOOKUP(Googleadssales[[#This Row],[Ad_ID]],'[1]pre processed data'!A:Q,17,0)</f>
        <v>45597</v>
      </c>
      <c r="K827" t="str">
        <f>VLOOKUP(Googleadssales[[#This Row],[Ad_ID]],'[1]pre processed data'!A:R,18,0)</f>
        <v>Bangaluru</v>
      </c>
      <c r="L827" t="str">
        <f>VLOOKUP(Googleadssales[[#This Row],[Ad_ID]],'[1]pre processed data'!A:S,19,0)</f>
        <v>Mobile</v>
      </c>
      <c r="M827" t="str">
        <f>VLOOKUP(Googleadssales[[#This Row],[Ad_ID]],'[1]pre processed data'!A:T,20,0)</f>
        <v>data analytics training</v>
      </c>
    </row>
    <row r="828" spans="1:13" x14ac:dyDescent="0.3">
      <c r="A828" t="s">
        <v>841</v>
      </c>
      <c r="B828" t="s">
        <v>18</v>
      </c>
      <c r="C828" s="4">
        <f>VLOOKUP(Googleadssales[[#This Row],[Ad_ID]],'[1]pre processed data'!A:C,3,0)</f>
        <v>138.95699356913184</v>
      </c>
      <c r="D828" s="4">
        <f>VLOOKUP(Googleadssales[[#This Row],[Ad_ID]],'[1]pre processed data'!A:E,5,0)</f>
        <v>3976</v>
      </c>
      <c r="E828" s="5" t="str">
        <f>VLOOKUP(Googleadssales[[#This Row],[Ad_ID]],[1]!Table3[[Ad_ID]:[Cost-imputed]],7,0)</f>
        <v>$248.65</v>
      </c>
      <c r="F828" s="4">
        <f>VLOOKUP(Googleadssales[[#This Row],[Ad_ID]],'[1]pre processed data'!A:I,9,0)</f>
        <v>16</v>
      </c>
      <c r="G828" s="4">
        <f>VLOOKUP(Googleadssales[[#This Row],[Ad_ID]],'[1]pre processed data'!A:K,11,0)</f>
        <v>4</v>
      </c>
      <c r="H828" s="2">
        <f>Googleadssales[[#This Row],[Conversions]]/Googleadssales[[#This Row],[Clicks]]</f>
        <v>2.8785884734977219E-2</v>
      </c>
      <c r="I828" t="str">
        <f>VLOOKUP(Googleadssales[[#This Row],[Ad_ID]],'[1]pre processed data'!A:O,15,0)</f>
        <v>$1160</v>
      </c>
      <c r="J828" s="3">
        <f>VLOOKUP(Googleadssales[[#This Row],[Ad_ID]],'[1]pre processed data'!A:Q,17,0)</f>
        <v>45611</v>
      </c>
      <c r="K828" t="str">
        <f>VLOOKUP(Googleadssales[[#This Row],[Ad_ID]],'[1]pre processed data'!A:R,18,0)</f>
        <v>Hyderabad</v>
      </c>
      <c r="L828" t="str">
        <f>VLOOKUP(Googleadssales[[#This Row],[Ad_ID]],'[1]pre processed data'!A:S,19,0)</f>
        <v>Mobile</v>
      </c>
      <c r="M828" t="str">
        <f>VLOOKUP(Googleadssales[[#This Row],[Ad_ID]],'[1]pre processed data'!A:T,20,0)</f>
        <v>data analytics training</v>
      </c>
    </row>
    <row r="829" spans="1:13" x14ac:dyDescent="0.3">
      <c r="A829" t="s">
        <v>842</v>
      </c>
      <c r="B829" t="s">
        <v>14</v>
      </c>
      <c r="C829" s="4">
        <f>VLOOKUP(Googleadssales[[#This Row],[Ad_ID]],'[1]pre processed data'!A:C,3,0)</f>
        <v>108</v>
      </c>
      <c r="D829" s="4">
        <f>VLOOKUP(Googleadssales[[#This Row],[Ad_ID]],'[1]pre processed data'!A:E,5,0)</f>
        <v>5545</v>
      </c>
      <c r="E829" s="5" t="str">
        <f>VLOOKUP(Googleadssales[[#This Row],[Ad_ID]],[1]!Table3[[Ad_ID]:[Cost-imputed]],7,0)</f>
        <v>$209.82</v>
      </c>
      <c r="F829" s="4">
        <f>VLOOKUP(Googleadssales[[#This Row],[Ad_ID]],'[1]pre processed data'!A:I,9,0)</f>
        <v>11</v>
      </c>
      <c r="G829" s="4">
        <f>VLOOKUP(Googleadssales[[#This Row],[Ad_ID]],'[1]pre processed data'!A:K,11,0)</f>
        <v>8</v>
      </c>
      <c r="H829" s="2">
        <f>Googleadssales[[#This Row],[Conversions]]/Googleadssales[[#This Row],[Clicks]]</f>
        <v>7.407407407407407E-2</v>
      </c>
      <c r="I829" t="str">
        <f>VLOOKUP(Googleadssales[[#This Row],[Ad_ID]],'[1]pre processed data'!A:O,15,0)</f>
        <v>$1491</v>
      </c>
      <c r="J829" s="3">
        <f>VLOOKUP(Googleadssales[[#This Row],[Ad_ID]],'[1]pre processed data'!A:Q,17,0)</f>
        <v>45604</v>
      </c>
      <c r="K829" t="str">
        <f>VLOOKUP(Googleadssales[[#This Row],[Ad_ID]],'[1]pre processed data'!A:R,18,0)</f>
        <v>Hyderabad</v>
      </c>
      <c r="L829" t="str">
        <f>VLOOKUP(Googleadssales[[#This Row],[Ad_ID]],'[1]pre processed data'!A:S,19,0)</f>
        <v>Mobile</v>
      </c>
      <c r="M829" t="str">
        <f>VLOOKUP(Googleadssales[[#This Row],[Ad_ID]],'[1]pre processed data'!A:T,20,0)</f>
        <v>analytics for data</v>
      </c>
    </row>
    <row r="830" spans="1:13" x14ac:dyDescent="0.3">
      <c r="A830" t="s">
        <v>843</v>
      </c>
      <c r="B830" t="s">
        <v>14</v>
      </c>
      <c r="C830" s="4">
        <f>VLOOKUP(Googleadssales[[#This Row],[Ad_ID]],'[1]pre processed data'!A:C,3,0)</f>
        <v>85</v>
      </c>
      <c r="D830" s="4">
        <f>VLOOKUP(Googleadssales[[#This Row],[Ad_ID]],'[1]pre processed data'!A:E,5,0)</f>
        <v>4772</v>
      </c>
      <c r="E830" s="5" t="str">
        <f>VLOOKUP(Googleadssales[[#This Row],[Ad_ID]],[1]!Table3[[Ad_ID]:[Cost-imputed]],7,0)</f>
        <v>$211.62</v>
      </c>
      <c r="F830" s="4">
        <f>VLOOKUP(Googleadssales[[#This Row],[Ad_ID]],'[1]pre processed data'!A:I,9,0)</f>
        <v>15</v>
      </c>
      <c r="G830" s="4">
        <f>VLOOKUP(Googleadssales[[#This Row],[Ad_ID]],'[1]pre processed data'!A:K,11,0)</f>
        <v>10</v>
      </c>
      <c r="H830" s="2">
        <f>Googleadssales[[#This Row],[Conversions]]/Googleadssales[[#This Row],[Clicks]]</f>
        <v>0.11764705882352941</v>
      </c>
      <c r="I830" t="str">
        <f>VLOOKUP(Googleadssales[[#This Row],[Ad_ID]],'[1]pre processed data'!A:O,15,0)</f>
        <v>$1669</v>
      </c>
      <c r="J830" s="3">
        <f>VLOOKUP(Googleadssales[[#This Row],[Ad_ID]],'[1]pre processed data'!A:Q,17,0)</f>
        <v>45615</v>
      </c>
      <c r="K830" t="str">
        <f>VLOOKUP(Googleadssales[[#This Row],[Ad_ID]],'[1]pre processed data'!A:R,18,0)</f>
        <v>Chennai</v>
      </c>
      <c r="L830" t="str">
        <f>VLOOKUP(Googleadssales[[#This Row],[Ad_ID]],'[1]pre processed data'!A:S,19,0)</f>
        <v>Mobile</v>
      </c>
      <c r="M830" t="str">
        <f>VLOOKUP(Googleadssales[[#This Row],[Ad_ID]],'[1]pre processed data'!A:T,20,0)</f>
        <v>learn data analytics</v>
      </c>
    </row>
    <row r="831" spans="1:13" x14ac:dyDescent="0.3">
      <c r="A831" t="s">
        <v>844</v>
      </c>
      <c r="B831" t="s">
        <v>14</v>
      </c>
      <c r="C831" s="4">
        <f>VLOOKUP(Googleadssales[[#This Row],[Ad_ID]],'[1]pre processed data'!A:C,3,0)</f>
        <v>109</v>
      </c>
      <c r="D831" s="4">
        <f>VLOOKUP(Googleadssales[[#This Row],[Ad_ID]],'[1]pre processed data'!A:E,5,0)</f>
        <v>4941</v>
      </c>
      <c r="E831" s="5" t="str">
        <f>VLOOKUP(Googleadssales[[#This Row],[Ad_ID]],[1]!Table3[[Ad_ID]:[Cost-imputed]],7,0)</f>
        <v>$242.54</v>
      </c>
      <c r="F831" s="4">
        <f>VLOOKUP(Googleadssales[[#This Row],[Ad_ID]],'[1]pre processed data'!A:I,9,0)</f>
        <v>18</v>
      </c>
      <c r="G831" s="4">
        <f>VLOOKUP(Googleadssales[[#This Row],[Ad_ID]],'[1]pre processed data'!A:K,11,0)</f>
        <v>9</v>
      </c>
      <c r="H831" s="2">
        <f>Googleadssales[[#This Row],[Conversions]]/Googleadssales[[#This Row],[Clicks]]</f>
        <v>8.2568807339449546E-2</v>
      </c>
      <c r="I831" t="str">
        <f>VLOOKUP(Googleadssales[[#This Row],[Ad_ID]],'[1]pre processed data'!A:O,15,0)</f>
        <v>$1278</v>
      </c>
      <c r="J831" s="3">
        <f>VLOOKUP(Googleadssales[[#This Row],[Ad_ID]],'[1]pre processed data'!A:Q,17,0)</f>
        <v>45607</v>
      </c>
      <c r="K831" t="str">
        <f>VLOOKUP(Googleadssales[[#This Row],[Ad_ID]],'[1]pre processed data'!A:R,18,0)</f>
        <v>Chennai</v>
      </c>
      <c r="L831" t="str">
        <f>VLOOKUP(Googleadssales[[#This Row],[Ad_ID]],'[1]pre processed data'!A:S,19,0)</f>
        <v>Desktop</v>
      </c>
      <c r="M831" t="str">
        <f>VLOOKUP(Googleadssales[[#This Row],[Ad_ID]],'[1]pre processed data'!A:T,20,0)</f>
        <v>data analytics training</v>
      </c>
    </row>
    <row r="832" spans="1:13" x14ac:dyDescent="0.3">
      <c r="A832" t="s">
        <v>845</v>
      </c>
      <c r="B832" t="s">
        <v>14</v>
      </c>
      <c r="C832" s="4">
        <f>VLOOKUP(Googleadssales[[#This Row],[Ad_ID]],'[1]pre processed data'!A:C,3,0)</f>
        <v>119</v>
      </c>
      <c r="D832" s="4">
        <f>VLOOKUP(Googleadssales[[#This Row],[Ad_ID]],'[1]pre processed data'!A:E,5,0)</f>
        <v>4369</v>
      </c>
      <c r="E832" s="5" t="str">
        <f>VLOOKUP(Googleadssales[[#This Row],[Ad_ID]],[1]!Table3[[Ad_ID]:[Cost-imputed]],7,0)</f>
        <v>$216.29</v>
      </c>
      <c r="F832" s="4">
        <f>VLOOKUP(Googleadssales[[#This Row],[Ad_ID]],'[1]pre processed data'!A:I,9,0)</f>
        <v>16</v>
      </c>
      <c r="G832" s="4">
        <f>VLOOKUP(Googleadssales[[#This Row],[Ad_ID]],'[1]pre processed data'!A:K,11,0)</f>
        <v>4</v>
      </c>
      <c r="H832" s="2">
        <f>Googleadssales[[#This Row],[Conversions]]/Googleadssales[[#This Row],[Clicks]]</f>
        <v>3.3613445378151259E-2</v>
      </c>
      <c r="I832" t="str">
        <f>VLOOKUP(Googleadssales[[#This Row],[Ad_ID]],'[1]pre processed data'!A:O,15,0)</f>
        <v>$1500</v>
      </c>
      <c r="J832" s="3">
        <f>VLOOKUP(Googleadssales[[#This Row],[Ad_ID]],'[1]pre processed data'!A:Q,17,0)</f>
        <v>45618</v>
      </c>
      <c r="K832" t="str">
        <f>VLOOKUP(Googleadssales[[#This Row],[Ad_ID]],'[1]pre processed data'!A:R,18,0)</f>
        <v>Chennai</v>
      </c>
      <c r="L832" t="str">
        <f>VLOOKUP(Googleadssales[[#This Row],[Ad_ID]],'[1]pre processed data'!A:S,19,0)</f>
        <v>Tablet</v>
      </c>
      <c r="M832" t="str">
        <f>VLOOKUP(Googleadssales[[#This Row],[Ad_ID]],'[1]pre processed data'!A:T,20,0)</f>
        <v>learn data analytics</v>
      </c>
    </row>
    <row r="833" spans="1:13" x14ac:dyDescent="0.3">
      <c r="A833" t="s">
        <v>846</v>
      </c>
      <c r="B833" t="s">
        <v>14</v>
      </c>
      <c r="C833" s="4">
        <f>VLOOKUP(Googleadssales[[#This Row],[Ad_ID]],'[1]pre processed data'!A:C,3,0)</f>
        <v>143</v>
      </c>
      <c r="D833" s="4">
        <f>VLOOKUP(Googleadssales[[#This Row],[Ad_ID]],'[1]pre processed data'!A:E,5,0)</f>
        <v>5526</v>
      </c>
      <c r="E833" s="5" t="str">
        <f>VLOOKUP(Googleadssales[[#This Row],[Ad_ID]],[1]!Table3[[Ad_ID]:[Cost-imputed]],7,0)</f>
        <v>$185.94</v>
      </c>
      <c r="F833" s="4">
        <f>VLOOKUP(Googleadssales[[#This Row],[Ad_ID]],'[1]pre processed data'!A:I,9,0)</f>
        <v>15</v>
      </c>
      <c r="G833" s="4">
        <f>VLOOKUP(Googleadssales[[#This Row],[Ad_ID]],'[1]pre processed data'!A:K,11,0)</f>
        <v>8</v>
      </c>
      <c r="H833" s="2">
        <f>Googleadssales[[#This Row],[Conversions]]/Googleadssales[[#This Row],[Clicks]]</f>
        <v>5.5944055944055944E-2</v>
      </c>
      <c r="I833" t="str">
        <f>VLOOKUP(Googleadssales[[#This Row],[Ad_ID]],'[1]pre processed data'!A:O,15,0)</f>
        <v>$1712</v>
      </c>
      <c r="J833" s="3">
        <f>VLOOKUP(Googleadssales[[#This Row],[Ad_ID]],'[1]pre processed data'!A:Q,17,0)</f>
        <v>45621</v>
      </c>
      <c r="K833" t="str">
        <f>VLOOKUP(Googleadssales[[#This Row],[Ad_ID]],'[1]pre processed data'!A:R,18,0)</f>
        <v>Hyderabad</v>
      </c>
      <c r="L833" t="str">
        <f>VLOOKUP(Googleadssales[[#This Row],[Ad_ID]],'[1]pre processed data'!A:S,19,0)</f>
        <v>Desktop</v>
      </c>
      <c r="M833" t="str">
        <f>VLOOKUP(Googleadssales[[#This Row],[Ad_ID]],'[1]pre processed data'!A:T,20,0)</f>
        <v>analytics for data</v>
      </c>
    </row>
    <row r="834" spans="1:13" x14ac:dyDescent="0.3">
      <c r="A834" t="s">
        <v>847</v>
      </c>
      <c r="B834" t="s">
        <v>14</v>
      </c>
      <c r="C834" s="4">
        <f>VLOOKUP(Googleadssales[[#This Row],[Ad_ID]],'[1]pre processed data'!A:C,3,0)</f>
        <v>161</v>
      </c>
      <c r="D834" s="4">
        <f>VLOOKUP(Googleadssales[[#This Row],[Ad_ID]],'[1]pre processed data'!A:E,5,0)</f>
        <v>5302</v>
      </c>
      <c r="E834" s="5" t="str">
        <f>VLOOKUP(Googleadssales[[#This Row],[Ad_ID]],[1]!Table3[[Ad_ID]:[Cost-imputed]],7,0)</f>
        <v>$184.29</v>
      </c>
      <c r="F834" s="4">
        <f>VLOOKUP(Googleadssales[[#This Row],[Ad_ID]],'[1]pre processed data'!A:I,9,0)</f>
        <v>13</v>
      </c>
      <c r="G834" s="4">
        <f>VLOOKUP(Googleadssales[[#This Row],[Ad_ID]],'[1]pre processed data'!A:K,11,0)</f>
        <v>8</v>
      </c>
      <c r="H834" s="2">
        <f>Googleadssales[[#This Row],[Conversions]]/Googleadssales[[#This Row],[Clicks]]</f>
        <v>4.9689440993788817E-2</v>
      </c>
      <c r="I834" t="str">
        <f>VLOOKUP(Googleadssales[[#This Row],[Ad_ID]],'[1]pre processed data'!A:O,15,0)</f>
        <v>$1703</v>
      </c>
      <c r="J834" s="3">
        <f>VLOOKUP(Googleadssales[[#This Row],[Ad_ID]],'[1]pre processed data'!A:Q,17,0)</f>
        <v>45626</v>
      </c>
      <c r="K834" t="str">
        <f>VLOOKUP(Googleadssales[[#This Row],[Ad_ID]],'[1]pre processed data'!A:R,18,0)</f>
        <v>Hyderabad</v>
      </c>
      <c r="L834" t="str">
        <f>VLOOKUP(Googleadssales[[#This Row],[Ad_ID]],'[1]pre processed data'!A:S,19,0)</f>
        <v>Tablet</v>
      </c>
      <c r="M834" t="str">
        <f>VLOOKUP(Googleadssales[[#This Row],[Ad_ID]],'[1]pre processed data'!A:T,20,0)</f>
        <v>learn data analytics</v>
      </c>
    </row>
    <row r="835" spans="1:13" x14ac:dyDescent="0.3">
      <c r="A835" t="s">
        <v>848</v>
      </c>
      <c r="B835" t="s">
        <v>14</v>
      </c>
      <c r="C835" s="4">
        <f>VLOOKUP(Googleadssales[[#This Row],[Ad_ID]],'[1]pre processed data'!A:C,3,0)</f>
        <v>146</v>
      </c>
      <c r="D835" s="4">
        <f>VLOOKUP(Googleadssales[[#This Row],[Ad_ID]],'[1]pre processed data'!A:E,5,0)</f>
        <v>4424</v>
      </c>
      <c r="E835" s="5" t="str">
        <f>VLOOKUP(Googleadssales[[#This Row],[Ad_ID]],[1]!Table3[[Ad_ID]:[Cost-imputed]],7,0)</f>
        <v>$196.88</v>
      </c>
      <c r="F835" s="4">
        <f>VLOOKUP(Googleadssales[[#This Row],[Ad_ID]],'[1]pre processed data'!A:I,9,0)</f>
        <v>20</v>
      </c>
      <c r="G835" s="4">
        <f>VLOOKUP(Googleadssales[[#This Row],[Ad_ID]],'[1]pre processed data'!A:K,11,0)</f>
        <v>3</v>
      </c>
      <c r="H835" s="2">
        <f>Googleadssales[[#This Row],[Conversions]]/Googleadssales[[#This Row],[Clicks]]</f>
        <v>2.0547945205479451E-2</v>
      </c>
      <c r="I835" t="str">
        <f>VLOOKUP(Googleadssales[[#This Row],[Ad_ID]],'[1]pre processed data'!A:O,15,0)</f>
        <v>$1757</v>
      </c>
      <c r="J835" s="3">
        <f>VLOOKUP(Googleadssales[[#This Row],[Ad_ID]],'[1]pre processed data'!A:Q,17,0)</f>
        <v>45626</v>
      </c>
      <c r="K835" t="str">
        <f>VLOOKUP(Googleadssales[[#This Row],[Ad_ID]],'[1]pre processed data'!A:R,18,0)</f>
        <v>Hyderabad</v>
      </c>
      <c r="L835" t="str">
        <f>VLOOKUP(Googleadssales[[#This Row],[Ad_ID]],'[1]pre processed data'!A:S,19,0)</f>
        <v>Tablet</v>
      </c>
      <c r="M835" t="str">
        <f>VLOOKUP(Googleadssales[[#This Row],[Ad_ID]],'[1]pre processed data'!A:T,20,0)</f>
        <v>online data analytic</v>
      </c>
    </row>
    <row r="836" spans="1:13" x14ac:dyDescent="0.3">
      <c r="A836" t="s">
        <v>849</v>
      </c>
      <c r="B836" t="s">
        <v>18</v>
      </c>
      <c r="C836" s="4">
        <f>VLOOKUP(Googleadssales[[#This Row],[Ad_ID]],'[1]pre processed data'!A:C,3,0)</f>
        <v>82</v>
      </c>
      <c r="D836" s="4">
        <f>VLOOKUP(Googleadssales[[#This Row],[Ad_ID]],'[1]pre processed data'!A:E,5,0)</f>
        <v>5971</v>
      </c>
      <c r="E836" s="5" t="str">
        <f>VLOOKUP(Googleadssales[[#This Row],[Ad_ID]],[1]!Table3[[Ad_ID]:[Cost-imputed]],7,0)</f>
        <v>$235.52</v>
      </c>
      <c r="F836" s="4">
        <f>VLOOKUP(Googleadssales[[#This Row],[Ad_ID]],'[1]pre processed data'!A:I,9,0)</f>
        <v>14</v>
      </c>
      <c r="G836" s="4">
        <f>VLOOKUP(Googleadssales[[#This Row],[Ad_ID]],'[1]pre processed data'!A:K,11,0)</f>
        <v>8</v>
      </c>
      <c r="H836" s="2">
        <f>Googleadssales[[#This Row],[Conversions]]/Googleadssales[[#This Row],[Clicks]]</f>
        <v>9.7560975609756101E-2</v>
      </c>
      <c r="I836" t="str">
        <f>VLOOKUP(Googleadssales[[#This Row],[Ad_ID]],'[1]pre processed data'!A:O,15,0)</f>
        <v>$1568</v>
      </c>
      <c r="J836" s="3">
        <f>VLOOKUP(Googleadssales[[#This Row],[Ad_ID]],'[1]pre processed data'!A:Q,17,0)</f>
        <v>45602</v>
      </c>
      <c r="K836" t="str">
        <f>VLOOKUP(Googleadssales[[#This Row],[Ad_ID]],'[1]pre processed data'!A:R,18,0)</f>
        <v>Chennai</v>
      </c>
      <c r="L836" t="str">
        <f>VLOOKUP(Googleadssales[[#This Row],[Ad_ID]],'[1]pre processed data'!A:S,19,0)</f>
        <v>Mobile</v>
      </c>
      <c r="M836" t="str">
        <f>VLOOKUP(Googleadssales[[#This Row],[Ad_ID]],'[1]pre processed data'!A:T,20,0)</f>
        <v>learn data analytics</v>
      </c>
    </row>
    <row r="837" spans="1:13" x14ac:dyDescent="0.3">
      <c r="A837" t="s">
        <v>850</v>
      </c>
      <c r="B837" t="s">
        <v>18</v>
      </c>
      <c r="C837" s="4">
        <f>VLOOKUP(Googleadssales[[#This Row],[Ad_ID]],'[1]pre processed data'!A:C,3,0)</f>
        <v>88</v>
      </c>
      <c r="D837" s="4">
        <f>VLOOKUP(Googleadssales[[#This Row],[Ad_ID]],'[1]pre processed data'!A:E,5,0)</f>
        <v>3733</v>
      </c>
      <c r="E837" s="5" t="str">
        <f>VLOOKUP(Googleadssales[[#This Row],[Ad_ID]],[1]!Table3[[Ad_ID]:[Cost-imputed]],7,0)</f>
        <v>$244.35</v>
      </c>
      <c r="F837" s="4">
        <f>VLOOKUP(Googleadssales[[#This Row],[Ad_ID]],'[1]pre processed data'!A:I,9,0)</f>
        <v>12</v>
      </c>
      <c r="G837" s="4">
        <f>VLOOKUP(Googleadssales[[#This Row],[Ad_ID]],'[1]pre processed data'!A:K,11,0)</f>
        <v>8</v>
      </c>
      <c r="H837" s="2">
        <f>Googleadssales[[#This Row],[Conversions]]/Googleadssales[[#This Row],[Clicks]]</f>
        <v>9.0909090909090912E-2</v>
      </c>
      <c r="I837" t="str">
        <f>VLOOKUP(Googleadssales[[#This Row],[Ad_ID]],'[1]pre processed data'!A:O,15,0)</f>
        <v>$1622</v>
      </c>
      <c r="J837" s="3">
        <f>VLOOKUP(Googleadssales[[#This Row],[Ad_ID]],'[1]pre processed data'!A:Q,17,0)</f>
        <v>45623</v>
      </c>
      <c r="K837" t="str">
        <f>VLOOKUP(Googleadssales[[#This Row],[Ad_ID]],'[1]pre processed data'!A:R,18,0)</f>
        <v>Hyderabad</v>
      </c>
      <c r="L837" t="str">
        <f>VLOOKUP(Googleadssales[[#This Row],[Ad_ID]],'[1]pre processed data'!A:S,19,0)</f>
        <v>Mobile</v>
      </c>
      <c r="M837" t="str">
        <f>VLOOKUP(Googleadssales[[#This Row],[Ad_ID]],'[1]pre processed data'!A:T,20,0)</f>
        <v>online data analytic</v>
      </c>
    </row>
    <row r="838" spans="1:13" x14ac:dyDescent="0.3">
      <c r="A838" t="s">
        <v>851</v>
      </c>
      <c r="B838" t="s">
        <v>18</v>
      </c>
      <c r="C838" s="4">
        <f>VLOOKUP(Googleadssales[[#This Row],[Ad_ID]],'[1]pre processed data'!A:C,3,0)</f>
        <v>127</v>
      </c>
      <c r="D838" s="4">
        <f>VLOOKUP(Googleadssales[[#This Row],[Ad_ID]],'[1]pre processed data'!A:E,5,0)</f>
        <v>4403</v>
      </c>
      <c r="E838" s="5" t="str">
        <f>VLOOKUP(Googleadssales[[#This Row],[Ad_ID]],[1]!Table3[[Ad_ID]:[Cost-imputed]],7,0)</f>
        <v>$244.3</v>
      </c>
      <c r="F838" s="4">
        <f>VLOOKUP(Googleadssales[[#This Row],[Ad_ID]],'[1]pre processed data'!A:I,9,0)</f>
        <v>15</v>
      </c>
      <c r="G838" s="4">
        <f>VLOOKUP(Googleadssales[[#This Row],[Ad_ID]],'[1]pre processed data'!A:K,11,0)</f>
        <v>7</v>
      </c>
      <c r="H838" s="2">
        <f>Googleadssales[[#This Row],[Conversions]]/Googleadssales[[#This Row],[Clicks]]</f>
        <v>5.5118110236220472E-2</v>
      </c>
      <c r="I838" t="str">
        <f>VLOOKUP(Googleadssales[[#This Row],[Ad_ID]],'[1]pre processed data'!A:O,15,0)</f>
        <v>$1832</v>
      </c>
      <c r="J838" s="3">
        <f>VLOOKUP(Googleadssales[[#This Row],[Ad_ID]],'[1]pre processed data'!A:Q,17,0)</f>
        <v>45618</v>
      </c>
      <c r="K838" t="str">
        <f>VLOOKUP(Googleadssales[[#This Row],[Ad_ID]],'[1]pre processed data'!A:R,18,0)</f>
        <v>Hyderabad</v>
      </c>
      <c r="L838" t="str">
        <f>VLOOKUP(Googleadssales[[#This Row],[Ad_ID]],'[1]pre processed data'!A:S,19,0)</f>
        <v>Tablet</v>
      </c>
      <c r="M838" t="str">
        <f>VLOOKUP(Googleadssales[[#This Row],[Ad_ID]],'[1]pre processed data'!A:T,20,0)</f>
        <v>data analytics course</v>
      </c>
    </row>
    <row r="839" spans="1:13" x14ac:dyDescent="0.3">
      <c r="A839" t="s">
        <v>852</v>
      </c>
      <c r="B839" t="s">
        <v>14</v>
      </c>
      <c r="C839" s="4">
        <f>VLOOKUP(Googleadssales[[#This Row],[Ad_ID]],'[1]pre processed data'!A:C,3,0)</f>
        <v>179</v>
      </c>
      <c r="D839" s="4">
        <f>VLOOKUP(Googleadssales[[#This Row],[Ad_ID]],'[1]pre processed data'!A:E,5,0)</f>
        <v>5118</v>
      </c>
      <c r="E839" s="5" t="str">
        <f>VLOOKUP(Googleadssales[[#This Row],[Ad_ID]],[1]!Table3[[Ad_ID]:[Cost-imputed]],7,0)</f>
        <v>$189.59</v>
      </c>
      <c r="F839" s="4">
        <f>VLOOKUP(Googleadssales[[#This Row],[Ad_ID]],'[1]pre processed data'!A:I,9,0)</f>
        <v>15</v>
      </c>
      <c r="G839" s="4">
        <f>VLOOKUP(Googleadssales[[#This Row],[Ad_ID]],'[1]pre processed data'!A:K,11,0)</f>
        <v>6</v>
      </c>
      <c r="H839" s="2">
        <f>Googleadssales[[#This Row],[Conversions]]/Googleadssales[[#This Row],[Clicks]]</f>
        <v>3.3519553072625698E-2</v>
      </c>
      <c r="I839" t="str">
        <f>VLOOKUP(Googleadssales[[#This Row],[Ad_ID]],'[1]pre processed data'!A:O,15,0)</f>
        <v>$1892</v>
      </c>
      <c r="J839" s="3">
        <f>VLOOKUP(Googleadssales[[#This Row],[Ad_ID]],'[1]pre processed data'!A:Q,17,0)</f>
        <v>45624</v>
      </c>
      <c r="K839" t="str">
        <f>VLOOKUP(Googleadssales[[#This Row],[Ad_ID]],'[1]pre processed data'!A:R,18,0)</f>
        <v>Hyderabad</v>
      </c>
      <c r="L839" t="str">
        <f>VLOOKUP(Googleadssales[[#This Row],[Ad_ID]],'[1]pre processed data'!A:S,19,0)</f>
        <v>Tablet</v>
      </c>
      <c r="M839" t="str">
        <f>VLOOKUP(Googleadssales[[#This Row],[Ad_ID]],'[1]pre processed data'!A:T,20,0)</f>
        <v>data analytics course</v>
      </c>
    </row>
    <row r="840" spans="1:13" x14ac:dyDescent="0.3">
      <c r="A840" t="s">
        <v>853</v>
      </c>
      <c r="B840" t="s">
        <v>14</v>
      </c>
      <c r="C840" s="4">
        <f>VLOOKUP(Googleadssales[[#This Row],[Ad_ID]],'[1]pre processed data'!A:C,3,0)</f>
        <v>199</v>
      </c>
      <c r="D840" s="4">
        <f>VLOOKUP(Googleadssales[[#This Row],[Ad_ID]],'[1]pre processed data'!A:E,5,0)</f>
        <v>4407</v>
      </c>
      <c r="E840" s="5" t="str">
        <f>VLOOKUP(Googleadssales[[#This Row],[Ad_ID]],[1]!Table3[[Ad_ID]:[Cost-imputed]],7,0)</f>
        <v>$240.05</v>
      </c>
      <c r="F840" s="4">
        <f>VLOOKUP(Googleadssales[[#This Row],[Ad_ID]],'[1]pre processed data'!A:I,9,0)</f>
        <v>21</v>
      </c>
      <c r="G840" s="4">
        <f>VLOOKUP(Googleadssales[[#This Row],[Ad_ID]],'[1]pre processed data'!A:K,11,0)</f>
        <v>9</v>
      </c>
      <c r="H840" s="2">
        <f>Googleadssales[[#This Row],[Conversions]]/Googleadssales[[#This Row],[Clicks]]</f>
        <v>4.5226130653266333E-2</v>
      </c>
      <c r="I840" t="str">
        <f>VLOOKUP(Googleadssales[[#This Row],[Ad_ID]],'[1]pre processed data'!A:O,15,0)</f>
        <v>$1054</v>
      </c>
      <c r="J840" s="3">
        <f>VLOOKUP(Googleadssales[[#This Row],[Ad_ID]],'[1]pre processed data'!A:Q,17,0)</f>
        <v>45609</v>
      </c>
      <c r="K840" t="str">
        <f>VLOOKUP(Googleadssales[[#This Row],[Ad_ID]],'[1]pre processed data'!A:R,18,0)</f>
        <v>Hyderabad</v>
      </c>
      <c r="L840" t="str">
        <f>VLOOKUP(Googleadssales[[#This Row],[Ad_ID]],'[1]pre processed data'!A:S,19,0)</f>
        <v>Desktop</v>
      </c>
      <c r="M840" t="str">
        <f>VLOOKUP(Googleadssales[[#This Row],[Ad_ID]],'[1]pre processed data'!A:T,20,0)</f>
        <v>data analytics online</v>
      </c>
    </row>
    <row r="841" spans="1:13" x14ac:dyDescent="0.3">
      <c r="A841" t="s">
        <v>854</v>
      </c>
      <c r="B841" t="s">
        <v>14</v>
      </c>
      <c r="C841" s="4">
        <f>VLOOKUP(Googleadssales[[#This Row],[Ad_ID]],'[1]pre processed data'!A:C,3,0)</f>
        <v>191</v>
      </c>
      <c r="D841" s="4">
        <f>VLOOKUP(Googleadssales[[#This Row],[Ad_ID]],'[1]pre processed data'!A:E,5,0)</f>
        <v>3190</v>
      </c>
      <c r="E841" s="5" t="str">
        <f>VLOOKUP(Googleadssales[[#This Row],[Ad_ID]],[1]!Table3[[Ad_ID]:[Cost-imputed]],7,0)</f>
        <v>$211.1</v>
      </c>
      <c r="F841" s="4">
        <f>VLOOKUP(Googleadssales[[#This Row],[Ad_ID]],'[1]pre processed data'!A:I,9,0)</f>
        <v>10</v>
      </c>
      <c r="G841" s="4">
        <f>VLOOKUP(Googleadssales[[#This Row],[Ad_ID]],'[1]pre processed data'!A:K,11,0)</f>
        <v>7</v>
      </c>
      <c r="H841" s="2">
        <f>Googleadssales[[#This Row],[Conversions]]/Googleadssales[[#This Row],[Clicks]]</f>
        <v>3.6649214659685861E-2</v>
      </c>
      <c r="I841" t="str">
        <f>VLOOKUP(Googleadssales[[#This Row],[Ad_ID]],'[1]pre processed data'!A:O,15,0)</f>
        <v>$1500</v>
      </c>
      <c r="J841" s="3">
        <f>VLOOKUP(Googleadssales[[#This Row],[Ad_ID]],'[1]pre processed data'!A:Q,17,0)</f>
        <v>45618</v>
      </c>
      <c r="K841" t="str">
        <f>VLOOKUP(Googleadssales[[#This Row],[Ad_ID]],'[1]pre processed data'!A:R,18,0)</f>
        <v>Bangaluru</v>
      </c>
      <c r="L841" t="str">
        <f>VLOOKUP(Googleadssales[[#This Row],[Ad_ID]],'[1]pre processed data'!A:S,19,0)</f>
        <v>Tablet</v>
      </c>
      <c r="M841" t="str">
        <f>VLOOKUP(Googleadssales[[#This Row],[Ad_ID]],'[1]pre processed data'!A:T,20,0)</f>
        <v>learn data analytics</v>
      </c>
    </row>
    <row r="842" spans="1:13" x14ac:dyDescent="0.3">
      <c r="A842" t="s">
        <v>855</v>
      </c>
      <c r="B842" t="s">
        <v>18</v>
      </c>
      <c r="C842" s="4">
        <f>VLOOKUP(Googleadssales[[#This Row],[Ad_ID]],'[1]pre processed data'!A:C,3,0)</f>
        <v>99</v>
      </c>
      <c r="D842" s="4">
        <f>VLOOKUP(Googleadssales[[#This Row],[Ad_ID]],'[1]pre processed data'!A:E,5,0)</f>
        <v>4880</v>
      </c>
      <c r="E842" s="5" t="str">
        <f>VLOOKUP(Googleadssales[[#This Row],[Ad_ID]],[1]!Table3[[Ad_ID]:[Cost-imputed]],7,0)</f>
        <v>$245.13</v>
      </c>
      <c r="F842" s="4">
        <f>VLOOKUP(Googleadssales[[#This Row],[Ad_ID]],'[1]pre processed data'!A:I,9,0)</f>
        <v>25</v>
      </c>
      <c r="G842" s="4">
        <f>VLOOKUP(Googleadssales[[#This Row],[Ad_ID]],'[1]pre processed data'!A:K,11,0)</f>
        <v>8</v>
      </c>
      <c r="H842" s="2">
        <f>Googleadssales[[#This Row],[Conversions]]/Googleadssales[[#This Row],[Clicks]]</f>
        <v>8.0808080808080815E-2</v>
      </c>
      <c r="I842" t="str">
        <f>VLOOKUP(Googleadssales[[#This Row],[Ad_ID]],'[1]pre processed data'!A:O,15,0)</f>
        <v>$1236</v>
      </c>
      <c r="J842" s="3">
        <f>VLOOKUP(Googleadssales[[#This Row],[Ad_ID]],'[1]pre processed data'!A:Q,17,0)</f>
        <v>45615</v>
      </c>
      <c r="K842" t="str">
        <f>VLOOKUP(Googleadssales[[#This Row],[Ad_ID]],'[1]pre processed data'!A:R,18,0)</f>
        <v>Chennai</v>
      </c>
      <c r="L842" t="str">
        <f>VLOOKUP(Googleadssales[[#This Row],[Ad_ID]],'[1]pre processed data'!A:S,19,0)</f>
        <v>Tablet</v>
      </c>
      <c r="M842" t="str">
        <f>VLOOKUP(Googleadssales[[#This Row],[Ad_ID]],'[1]pre processed data'!A:T,20,0)</f>
        <v>data analytics course</v>
      </c>
    </row>
    <row r="843" spans="1:13" x14ac:dyDescent="0.3">
      <c r="A843" t="s">
        <v>856</v>
      </c>
      <c r="B843" t="s">
        <v>14</v>
      </c>
      <c r="C843" s="4">
        <f>VLOOKUP(Googleadssales[[#This Row],[Ad_ID]],'[1]pre processed data'!A:C,3,0)</f>
        <v>122</v>
      </c>
      <c r="D843" s="4">
        <f>VLOOKUP(Googleadssales[[#This Row],[Ad_ID]],'[1]pre processed data'!A:E,5,0)</f>
        <v>5774</v>
      </c>
      <c r="E843" s="5" t="str">
        <f>VLOOKUP(Googleadssales[[#This Row],[Ad_ID]],[1]!Table3[[Ad_ID]:[Cost-imputed]],7,0)</f>
        <v>$224.4</v>
      </c>
      <c r="F843" s="4">
        <f>VLOOKUP(Googleadssales[[#This Row],[Ad_ID]],'[1]pre processed data'!A:I,9,0)</f>
        <v>23</v>
      </c>
      <c r="G843" s="4">
        <f>VLOOKUP(Googleadssales[[#This Row],[Ad_ID]],'[1]pre processed data'!A:K,11,0)</f>
        <v>10</v>
      </c>
      <c r="H843" s="2">
        <f>Googleadssales[[#This Row],[Conversions]]/Googleadssales[[#This Row],[Clicks]]</f>
        <v>8.1967213114754092E-2</v>
      </c>
      <c r="I843" t="str">
        <f>VLOOKUP(Googleadssales[[#This Row],[Ad_ID]],'[1]pre processed data'!A:O,15,0)</f>
        <v>$1330</v>
      </c>
      <c r="J843" s="3">
        <f>VLOOKUP(Googleadssales[[#This Row],[Ad_ID]],'[1]pre processed data'!A:Q,17,0)</f>
        <v>45610</v>
      </c>
      <c r="K843" t="str">
        <f>VLOOKUP(Googleadssales[[#This Row],[Ad_ID]],'[1]pre processed data'!A:R,18,0)</f>
        <v>Bangaluru</v>
      </c>
      <c r="L843" t="str">
        <f>VLOOKUP(Googleadssales[[#This Row],[Ad_ID]],'[1]pre processed data'!A:S,19,0)</f>
        <v>Mobile</v>
      </c>
      <c r="M843" t="str">
        <f>VLOOKUP(Googleadssales[[#This Row],[Ad_ID]],'[1]pre processed data'!A:T,20,0)</f>
        <v>learn data analytics</v>
      </c>
    </row>
    <row r="844" spans="1:13" x14ac:dyDescent="0.3">
      <c r="A844" t="s">
        <v>857</v>
      </c>
      <c r="B844" t="s">
        <v>14</v>
      </c>
      <c r="C844" s="4">
        <f>VLOOKUP(Googleadssales[[#This Row],[Ad_ID]],'[1]pre processed data'!A:C,3,0)</f>
        <v>178</v>
      </c>
      <c r="D844" s="4">
        <f>VLOOKUP(Googleadssales[[#This Row],[Ad_ID]],'[1]pre processed data'!A:E,5,0)</f>
        <v>4103</v>
      </c>
      <c r="E844" s="5" t="str">
        <f>VLOOKUP(Googleadssales[[#This Row],[Ad_ID]],[1]!Table3[[Ad_ID]:[Cost-imputed]],7,0)</f>
        <v>$207.23</v>
      </c>
      <c r="F844" s="4">
        <f>VLOOKUP(Googleadssales[[#This Row],[Ad_ID]],'[1]pre processed data'!A:I,9,0)</f>
        <v>17</v>
      </c>
      <c r="G844" s="4">
        <f>VLOOKUP(Googleadssales[[#This Row],[Ad_ID]],'[1]pre processed data'!A:K,11,0)</f>
        <v>8</v>
      </c>
      <c r="H844" s="2">
        <f>Googleadssales[[#This Row],[Conversions]]/Googleadssales[[#This Row],[Clicks]]</f>
        <v>4.49438202247191E-2</v>
      </c>
      <c r="I844" t="str">
        <f>VLOOKUP(Googleadssales[[#This Row],[Ad_ID]],'[1]pre processed data'!A:O,15,0)</f>
        <v>$1612</v>
      </c>
      <c r="J844" s="3">
        <f>VLOOKUP(Googleadssales[[#This Row],[Ad_ID]],'[1]pre processed data'!A:Q,17,0)</f>
        <v>45611</v>
      </c>
      <c r="K844" t="str">
        <f>VLOOKUP(Googleadssales[[#This Row],[Ad_ID]],'[1]pre processed data'!A:R,18,0)</f>
        <v>Chennai</v>
      </c>
      <c r="L844" t="str">
        <f>VLOOKUP(Googleadssales[[#This Row],[Ad_ID]],'[1]pre processed data'!A:S,19,0)</f>
        <v>Mobile</v>
      </c>
      <c r="M844" t="str">
        <f>VLOOKUP(Googleadssales[[#This Row],[Ad_ID]],'[1]pre processed data'!A:T,20,0)</f>
        <v>analytics for data</v>
      </c>
    </row>
    <row r="845" spans="1:13" x14ac:dyDescent="0.3">
      <c r="A845" t="s">
        <v>858</v>
      </c>
      <c r="B845" t="s">
        <v>18</v>
      </c>
      <c r="C845" s="4">
        <f>VLOOKUP(Googleadssales[[#This Row],[Ad_ID]],'[1]pre processed data'!A:C,3,0)</f>
        <v>157</v>
      </c>
      <c r="D845" s="4">
        <f>VLOOKUP(Googleadssales[[#This Row],[Ad_ID]],'[1]pre processed data'!A:E,5,0)</f>
        <v>4414</v>
      </c>
      <c r="E845" s="5" t="str">
        <f>VLOOKUP(Googleadssales[[#This Row],[Ad_ID]],[1]!Table3[[Ad_ID]:[Cost-imputed]],7,0)</f>
        <v>$240.57</v>
      </c>
      <c r="F845" s="4">
        <f>VLOOKUP(Googleadssales[[#This Row],[Ad_ID]],'[1]pre processed data'!A:I,9,0)</f>
        <v>17</v>
      </c>
      <c r="G845" s="4">
        <f>VLOOKUP(Googleadssales[[#This Row],[Ad_ID]],'[1]pre processed data'!A:K,11,0)</f>
        <v>9</v>
      </c>
      <c r="H845" s="2">
        <f>Googleadssales[[#This Row],[Conversions]]/Googleadssales[[#This Row],[Clicks]]</f>
        <v>5.7324840764331211E-2</v>
      </c>
      <c r="I845" t="str">
        <f>VLOOKUP(Googleadssales[[#This Row],[Ad_ID]],'[1]pre processed data'!A:O,15,0)</f>
        <v>$1483</v>
      </c>
      <c r="J845" s="3">
        <f>VLOOKUP(Googleadssales[[#This Row],[Ad_ID]],'[1]pre processed data'!A:Q,17,0)</f>
        <v>45623</v>
      </c>
      <c r="K845" t="str">
        <f>VLOOKUP(Googleadssales[[#This Row],[Ad_ID]],'[1]pre processed data'!A:R,18,0)</f>
        <v>Hyderabad</v>
      </c>
      <c r="L845" t="str">
        <f>VLOOKUP(Googleadssales[[#This Row],[Ad_ID]],'[1]pre processed data'!A:S,19,0)</f>
        <v>Desktop</v>
      </c>
      <c r="M845" t="str">
        <f>VLOOKUP(Googleadssales[[#This Row],[Ad_ID]],'[1]pre processed data'!A:T,20,0)</f>
        <v>learn data analytics</v>
      </c>
    </row>
    <row r="846" spans="1:13" x14ac:dyDescent="0.3">
      <c r="A846" t="s">
        <v>859</v>
      </c>
      <c r="B846" t="s">
        <v>18</v>
      </c>
      <c r="C846" s="4">
        <f>VLOOKUP(Googleadssales[[#This Row],[Ad_ID]],'[1]pre processed data'!A:C,3,0)</f>
        <v>199</v>
      </c>
      <c r="D846" s="4">
        <f>VLOOKUP(Googleadssales[[#This Row],[Ad_ID]],'[1]pre processed data'!A:E,5,0)</f>
        <v>5319</v>
      </c>
      <c r="E846" s="5" t="str">
        <f>VLOOKUP(Googleadssales[[#This Row],[Ad_ID]],[1]!Table3[[Ad_ID]:[Cost-imputed]],7,0)</f>
        <v>$216.7</v>
      </c>
      <c r="F846" s="4">
        <f>VLOOKUP(Googleadssales[[#This Row],[Ad_ID]],'[1]pre processed data'!A:I,9,0)</f>
        <v>25</v>
      </c>
      <c r="G846" s="4">
        <f>VLOOKUP(Googleadssales[[#This Row],[Ad_ID]],'[1]pre processed data'!A:K,11,0)</f>
        <v>9</v>
      </c>
      <c r="H846" s="2">
        <f>Googleadssales[[#This Row],[Conversions]]/Googleadssales[[#This Row],[Clicks]]</f>
        <v>4.5226130653266333E-2</v>
      </c>
      <c r="I846" t="str">
        <f>VLOOKUP(Googleadssales[[#This Row],[Ad_ID]],'[1]pre processed data'!A:O,15,0)</f>
        <v>$1500</v>
      </c>
      <c r="J846" s="3">
        <f>VLOOKUP(Googleadssales[[#This Row],[Ad_ID]],'[1]pre processed data'!A:Q,17,0)</f>
        <v>45597</v>
      </c>
      <c r="K846" t="str">
        <f>VLOOKUP(Googleadssales[[#This Row],[Ad_ID]],'[1]pre processed data'!A:R,18,0)</f>
        <v>Chennai</v>
      </c>
      <c r="L846" t="str">
        <f>VLOOKUP(Googleadssales[[#This Row],[Ad_ID]],'[1]pre processed data'!A:S,19,0)</f>
        <v>Desktop</v>
      </c>
      <c r="M846" t="str">
        <f>VLOOKUP(Googleadssales[[#This Row],[Ad_ID]],'[1]pre processed data'!A:T,20,0)</f>
        <v>online data analytic</v>
      </c>
    </row>
    <row r="847" spans="1:13" x14ac:dyDescent="0.3">
      <c r="A847" t="s">
        <v>860</v>
      </c>
      <c r="B847" t="s">
        <v>14</v>
      </c>
      <c r="C847" s="4">
        <f>VLOOKUP(Googleadssales[[#This Row],[Ad_ID]],'[1]pre processed data'!A:C,3,0)</f>
        <v>192</v>
      </c>
      <c r="D847" s="4">
        <f>VLOOKUP(Googleadssales[[#This Row],[Ad_ID]],'[1]pre processed data'!A:E,5,0)</f>
        <v>3320</v>
      </c>
      <c r="E847" s="5" t="str">
        <f>VLOOKUP(Googleadssales[[#This Row],[Ad_ID]],[1]!Table3[[Ad_ID]:[Cost-imputed]],7,0)</f>
        <v>$208.09</v>
      </c>
      <c r="F847" s="4">
        <f>VLOOKUP(Googleadssales[[#This Row],[Ad_ID]],'[1]pre processed data'!A:I,9,0)</f>
        <v>17</v>
      </c>
      <c r="G847" s="4">
        <f>VLOOKUP(Googleadssales[[#This Row],[Ad_ID]],'[1]pre processed data'!A:K,11,0)</f>
        <v>3</v>
      </c>
      <c r="H847" s="2">
        <f>Googleadssales[[#This Row],[Conversions]]/Googleadssales[[#This Row],[Clicks]]</f>
        <v>1.5625E-2</v>
      </c>
      <c r="I847" t="str">
        <f>VLOOKUP(Googleadssales[[#This Row],[Ad_ID]],'[1]pre processed data'!A:O,15,0)</f>
        <v>$1169</v>
      </c>
      <c r="J847" s="3">
        <f>VLOOKUP(Googleadssales[[#This Row],[Ad_ID]],'[1]pre processed data'!A:Q,17,0)</f>
        <v>45614</v>
      </c>
      <c r="K847" t="str">
        <f>VLOOKUP(Googleadssales[[#This Row],[Ad_ID]],'[1]pre processed data'!A:R,18,0)</f>
        <v>Chennai</v>
      </c>
      <c r="L847" t="str">
        <f>VLOOKUP(Googleadssales[[#This Row],[Ad_ID]],'[1]pre processed data'!A:S,19,0)</f>
        <v>Mobile</v>
      </c>
      <c r="M847" t="str">
        <f>VLOOKUP(Googleadssales[[#This Row],[Ad_ID]],'[1]pre processed data'!A:T,20,0)</f>
        <v>data analytics training</v>
      </c>
    </row>
    <row r="848" spans="1:13" x14ac:dyDescent="0.3">
      <c r="A848" t="s">
        <v>861</v>
      </c>
      <c r="B848" t="s">
        <v>14</v>
      </c>
      <c r="C848" s="4">
        <f>VLOOKUP(Googleadssales[[#This Row],[Ad_ID]],'[1]pre processed data'!A:C,3,0)</f>
        <v>144</v>
      </c>
      <c r="D848" s="4">
        <f>VLOOKUP(Googleadssales[[#This Row],[Ad_ID]],'[1]pre processed data'!A:E,5,0)</f>
        <v>4146</v>
      </c>
      <c r="E848" s="5" t="str">
        <f>VLOOKUP(Googleadssales[[#This Row],[Ad_ID]],[1]!Table3[[Ad_ID]:[Cost-imputed]],7,0)</f>
        <v>$246.1</v>
      </c>
      <c r="F848" s="4">
        <f>VLOOKUP(Googleadssales[[#This Row],[Ad_ID]],'[1]pre processed data'!A:I,9,0)</f>
        <v>18</v>
      </c>
      <c r="G848" s="4">
        <f>VLOOKUP(Googleadssales[[#This Row],[Ad_ID]],'[1]pre processed data'!A:K,11,0)</f>
        <v>10</v>
      </c>
      <c r="H848" s="2">
        <f>Googleadssales[[#This Row],[Conversions]]/Googleadssales[[#This Row],[Clicks]]</f>
        <v>6.9444444444444448E-2</v>
      </c>
      <c r="I848" t="str">
        <f>VLOOKUP(Googleadssales[[#This Row],[Ad_ID]],'[1]pre processed data'!A:O,15,0)</f>
        <v>$1074</v>
      </c>
      <c r="J848" s="3">
        <f>VLOOKUP(Googleadssales[[#This Row],[Ad_ID]],'[1]pre processed data'!A:Q,17,0)</f>
        <v>45611</v>
      </c>
      <c r="K848" t="str">
        <f>VLOOKUP(Googleadssales[[#This Row],[Ad_ID]],'[1]pre processed data'!A:R,18,0)</f>
        <v>Hyderabad</v>
      </c>
      <c r="L848" t="str">
        <f>VLOOKUP(Googleadssales[[#This Row],[Ad_ID]],'[1]pre processed data'!A:S,19,0)</f>
        <v>Desktop</v>
      </c>
      <c r="M848" t="str">
        <f>VLOOKUP(Googleadssales[[#This Row],[Ad_ID]],'[1]pre processed data'!A:T,20,0)</f>
        <v>analytics for data</v>
      </c>
    </row>
    <row r="849" spans="1:13" x14ac:dyDescent="0.3">
      <c r="A849" t="s">
        <v>862</v>
      </c>
      <c r="B849" t="s">
        <v>14</v>
      </c>
      <c r="C849" s="4">
        <f>VLOOKUP(Googleadssales[[#This Row],[Ad_ID]],'[1]pre processed data'!A:C,3,0)</f>
        <v>147</v>
      </c>
      <c r="D849" s="4">
        <f>VLOOKUP(Googleadssales[[#This Row],[Ad_ID]],'[1]pre processed data'!A:E,5,0)</f>
        <v>4720</v>
      </c>
      <c r="E849" s="5" t="str">
        <f>VLOOKUP(Googleadssales[[#This Row],[Ad_ID]],[1]!Table3[[Ad_ID]:[Cost-imputed]],7,0)</f>
        <v>$227.6</v>
      </c>
      <c r="F849" s="4">
        <f>VLOOKUP(Googleadssales[[#This Row],[Ad_ID]],'[1]pre processed data'!A:I,9,0)</f>
        <v>23</v>
      </c>
      <c r="G849" s="4">
        <f>VLOOKUP(Googleadssales[[#This Row],[Ad_ID]],'[1]pre processed data'!A:K,11,0)</f>
        <v>8</v>
      </c>
      <c r="H849" s="2">
        <f>Googleadssales[[#This Row],[Conversions]]/Googleadssales[[#This Row],[Clicks]]</f>
        <v>5.4421768707482991E-2</v>
      </c>
      <c r="I849" t="str">
        <f>VLOOKUP(Googleadssales[[#This Row],[Ad_ID]],'[1]pre processed data'!A:O,15,0)</f>
        <v>$1907</v>
      </c>
      <c r="J849" s="3">
        <f>VLOOKUP(Googleadssales[[#This Row],[Ad_ID]],'[1]pre processed data'!A:Q,17,0)</f>
        <v>45601</v>
      </c>
      <c r="K849" t="str">
        <f>VLOOKUP(Googleadssales[[#This Row],[Ad_ID]],'[1]pre processed data'!A:R,18,0)</f>
        <v>Chennai</v>
      </c>
      <c r="L849" t="str">
        <f>VLOOKUP(Googleadssales[[#This Row],[Ad_ID]],'[1]pre processed data'!A:S,19,0)</f>
        <v>Tablet</v>
      </c>
      <c r="M849" t="str">
        <f>VLOOKUP(Googleadssales[[#This Row],[Ad_ID]],'[1]pre processed data'!A:T,20,0)</f>
        <v>online data analytic</v>
      </c>
    </row>
    <row r="850" spans="1:13" x14ac:dyDescent="0.3">
      <c r="A850" t="s">
        <v>863</v>
      </c>
      <c r="B850" t="s">
        <v>14</v>
      </c>
      <c r="C850" s="4">
        <f>VLOOKUP(Googleadssales[[#This Row],[Ad_ID]],'[1]pre processed data'!A:C,3,0)</f>
        <v>121</v>
      </c>
      <c r="D850" s="4">
        <f>VLOOKUP(Googleadssales[[#This Row],[Ad_ID]],'[1]pre processed data'!A:E,5,0)</f>
        <v>3557</v>
      </c>
      <c r="E850" s="5" t="str">
        <f>VLOOKUP(Googleadssales[[#This Row],[Ad_ID]],[1]!Table3[[Ad_ID]:[Cost-imputed]],7,0)</f>
        <v>$237.03</v>
      </c>
      <c r="F850" s="4">
        <f>VLOOKUP(Googleadssales[[#This Row],[Ad_ID]],'[1]pre processed data'!A:I,9,0)</f>
        <v>16</v>
      </c>
      <c r="G850" s="4">
        <f>VLOOKUP(Googleadssales[[#This Row],[Ad_ID]],'[1]pre processed data'!A:K,11,0)</f>
        <v>7</v>
      </c>
      <c r="H850" s="2">
        <f>Googleadssales[[#This Row],[Conversions]]/Googleadssales[[#This Row],[Clicks]]</f>
        <v>5.7851239669421489E-2</v>
      </c>
      <c r="I850" t="str">
        <f>VLOOKUP(Googleadssales[[#This Row],[Ad_ID]],'[1]pre processed data'!A:O,15,0)</f>
        <v>$1255</v>
      </c>
      <c r="J850" s="3">
        <f>VLOOKUP(Googleadssales[[#This Row],[Ad_ID]],'[1]pre processed data'!A:Q,17,0)</f>
        <v>45621</v>
      </c>
      <c r="K850" t="str">
        <f>VLOOKUP(Googleadssales[[#This Row],[Ad_ID]],'[1]pre processed data'!A:R,18,0)</f>
        <v>Hyderabad</v>
      </c>
      <c r="L850" t="str">
        <f>VLOOKUP(Googleadssales[[#This Row],[Ad_ID]],'[1]pre processed data'!A:S,19,0)</f>
        <v>Mobile</v>
      </c>
      <c r="M850" t="str">
        <f>VLOOKUP(Googleadssales[[#This Row],[Ad_ID]],'[1]pre processed data'!A:T,20,0)</f>
        <v>data analytics online</v>
      </c>
    </row>
    <row r="851" spans="1:13" x14ac:dyDescent="0.3">
      <c r="A851" t="s">
        <v>864</v>
      </c>
      <c r="B851" t="s">
        <v>14</v>
      </c>
      <c r="C851" s="4">
        <f>VLOOKUP(Googleadssales[[#This Row],[Ad_ID]],'[1]pre processed data'!A:C,3,0)</f>
        <v>193</v>
      </c>
      <c r="D851" s="4">
        <f>VLOOKUP(Googleadssales[[#This Row],[Ad_ID]],'[1]pre processed data'!A:E,5,0)</f>
        <v>5899</v>
      </c>
      <c r="E851" s="5" t="str">
        <f>VLOOKUP(Googleadssales[[#This Row],[Ad_ID]],[1]!Table3[[Ad_ID]:[Cost-imputed]],7,0)</f>
        <v>$227.24</v>
      </c>
      <c r="F851" s="4">
        <f>VLOOKUP(Googleadssales[[#This Row],[Ad_ID]],'[1]pre processed data'!A:I,9,0)</f>
        <v>12</v>
      </c>
      <c r="G851" s="4">
        <f>VLOOKUP(Googleadssales[[#This Row],[Ad_ID]],'[1]pre processed data'!A:K,11,0)</f>
        <v>9</v>
      </c>
      <c r="H851" s="2">
        <f>Googleadssales[[#This Row],[Conversions]]/Googleadssales[[#This Row],[Clicks]]</f>
        <v>4.6632124352331605E-2</v>
      </c>
      <c r="I851" t="str">
        <f>VLOOKUP(Googleadssales[[#This Row],[Ad_ID]],'[1]pre processed data'!A:O,15,0)</f>
        <v>$1832</v>
      </c>
      <c r="J851" s="3">
        <f>VLOOKUP(Googleadssales[[#This Row],[Ad_ID]],'[1]pre processed data'!A:Q,17,0)</f>
        <v>45598</v>
      </c>
      <c r="K851" t="str">
        <f>VLOOKUP(Googleadssales[[#This Row],[Ad_ID]],'[1]pre processed data'!A:R,18,0)</f>
        <v>Hyderabad</v>
      </c>
      <c r="L851" t="str">
        <f>VLOOKUP(Googleadssales[[#This Row],[Ad_ID]],'[1]pre processed data'!A:S,19,0)</f>
        <v>Desktop</v>
      </c>
      <c r="M851" t="str">
        <f>VLOOKUP(Googleadssales[[#This Row],[Ad_ID]],'[1]pre processed data'!A:T,20,0)</f>
        <v>analytics for data</v>
      </c>
    </row>
    <row r="852" spans="1:13" x14ac:dyDescent="0.3">
      <c r="A852" t="s">
        <v>865</v>
      </c>
      <c r="B852" t="s">
        <v>18</v>
      </c>
      <c r="C852" s="4">
        <f>VLOOKUP(Googleadssales[[#This Row],[Ad_ID]],'[1]pre processed data'!A:C,3,0)</f>
        <v>170</v>
      </c>
      <c r="D852" s="4">
        <f>VLOOKUP(Googleadssales[[#This Row],[Ad_ID]],'[1]pre processed data'!A:E,5,0)</f>
        <v>4968</v>
      </c>
      <c r="E852" s="5" t="str">
        <f>VLOOKUP(Googleadssales[[#This Row],[Ad_ID]],[1]!Table3[[Ad_ID]:[Cost-imputed]],7,0)</f>
        <v>$216.78</v>
      </c>
      <c r="F852" s="4">
        <f>VLOOKUP(Googleadssales[[#This Row],[Ad_ID]],'[1]pre processed data'!A:I,9,0)</f>
        <v>21</v>
      </c>
      <c r="G852" s="4">
        <f>VLOOKUP(Googleadssales[[#This Row],[Ad_ID]],'[1]pre processed data'!A:K,11,0)</f>
        <v>5</v>
      </c>
      <c r="H852" s="2">
        <f>Googleadssales[[#This Row],[Conversions]]/Googleadssales[[#This Row],[Clicks]]</f>
        <v>2.9411764705882353E-2</v>
      </c>
      <c r="I852" t="str">
        <f>VLOOKUP(Googleadssales[[#This Row],[Ad_ID]],'[1]pre processed data'!A:O,15,0)</f>
        <v>$1997</v>
      </c>
      <c r="J852" s="3">
        <f>VLOOKUP(Googleadssales[[#This Row],[Ad_ID]],'[1]pre processed data'!A:Q,17,0)</f>
        <v>45620</v>
      </c>
      <c r="K852" t="str">
        <f>VLOOKUP(Googleadssales[[#This Row],[Ad_ID]],'[1]pre processed data'!A:R,18,0)</f>
        <v>Hyderabad</v>
      </c>
      <c r="L852" t="str">
        <f>VLOOKUP(Googleadssales[[#This Row],[Ad_ID]],'[1]pre processed data'!A:S,19,0)</f>
        <v>Tablet</v>
      </c>
      <c r="M852" t="str">
        <f>VLOOKUP(Googleadssales[[#This Row],[Ad_ID]],'[1]pre processed data'!A:T,20,0)</f>
        <v>data analytics course</v>
      </c>
    </row>
    <row r="853" spans="1:13" x14ac:dyDescent="0.3">
      <c r="A853" t="s">
        <v>866</v>
      </c>
      <c r="B853" t="s">
        <v>14</v>
      </c>
      <c r="C853" s="4">
        <f>VLOOKUP(Googleadssales[[#This Row],[Ad_ID]],'[1]pre processed data'!A:C,3,0)</f>
        <v>198</v>
      </c>
      <c r="D853" s="4">
        <f>VLOOKUP(Googleadssales[[#This Row],[Ad_ID]],'[1]pre processed data'!A:E,5,0)</f>
        <v>5934</v>
      </c>
      <c r="E853" s="5" t="str">
        <f>VLOOKUP(Googleadssales[[#This Row],[Ad_ID]],[1]!Table3[[Ad_ID]:[Cost-imputed]],7,0)</f>
        <v>$199.61</v>
      </c>
      <c r="F853" s="4">
        <f>VLOOKUP(Googleadssales[[#This Row],[Ad_ID]],'[1]pre processed data'!A:I,9,0)</f>
        <v>14</v>
      </c>
      <c r="G853" s="4">
        <f>VLOOKUP(Googleadssales[[#This Row],[Ad_ID]],'[1]pre processed data'!A:K,11,0)</f>
        <v>6</v>
      </c>
      <c r="H853" s="2">
        <f>Googleadssales[[#This Row],[Conversions]]/Googleadssales[[#This Row],[Clicks]]</f>
        <v>3.0303030303030304E-2</v>
      </c>
      <c r="I853" t="str">
        <f>VLOOKUP(Googleadssales[[#This Row],[Ad_ID]],'[1]pre processed data'!A:O,15,0)</f>
        <v>$1500</v>
      </c>
      <c r="J853" s="3">
        <f>VLOOKUP(Googleadssales[[#This Row],[Ad_ID]],'[1]pre processed data'!A:Q,17,0)</f>
        <v>45609</v>
      </c>
      <c r="K853" t="str">
        <f>VLOOKUP(Googleadssales[[#This Row],[Ad_ID]],'[1]pre processed data'!A:R,18,0)</f>
        <v>Chennai</v>
      </c>
      <c r="L853" t="str">
        <f>VLOOKUP(Googleadssales[[#This Row],[Ad_ID]],'[1]pre processed data'!A:S,19,0)</f>
        <v>Tablet</v>
      </c>
      <c r="M853" t="str">
        <f>VLOOKUP(Googleadssales[[#This Row],[Ad_ID]],'[1]pre processed data'!A:T,20,0)</f>
        <v>learn data analytics</v>
      </c>
    </row>
    <row r="854" spans="1:13" x14ac:dyDescent="0.3">
      <c r="A854" t="s">
        <v>867</v>
      </c>
      <c r="B854" t="s">
        <v>18</v>
      </c>
      <c r="C854" s="4">
        <f>VLOOKUP(Googleadssales[[#This Row],[Ad_ID]],'[1]pre processed data'!A:C,3,0)</f>
        <v>133</v>
      </c>
      <c r="D854" s="4">
        <f>VLOOKUP(Googleadssales[[#This Row],[Ad_ID]],'[1]pre processed data'!A:E,5,0)</f>
        <v>4078</v>
      </c>
      <c r="E854" s="5" t="str">
        <f>VLOOKUP(Googleadssales[[#This Row],[Ad_ID]],[1]!Table3[[Ad_ID]:[Cost-imputed]],7,0)</f>
        <v>$189.42</v>
      </c>
      <c r="F854" s="4">
        <f>VLOOKUP(Googleadssales[[#This Row],[Ad_ID]],'[1]pre processed data'!A:I,9,0)</f>
        <v>21</v>
      </c>
      <c r="G854" s="4">
        <f>VLOOKUP(Googleadssales[[#This Row],[Ad_ID]],'[1]pre processed data'!A:K,11,0)</f>
        <v>6</v>
      </c>
      <c r="H854" s="2">
        <f>Googleadssales[[#This Row],[Conversions]]/Googleadssales[[#This Row],[Clicks]]</f>
        <v>4.5112781954887216E-2</v>
      </c>
      <c r="I854" t="str">
        <f>VLOOKUP(Googleadssales[[#This Row],[Ad_ID]],'[1]pre processed data'!A:O,15,0)</f>
        <v>$1969</v>
      </c>
      <c r="J854" s="3">
        <f>VLOOKUP(Googleadssales[[#This Row],[Ad_ID]],'[1]pre processed data'!A:Q,17,0)</f>
        <v>45617</v>
      </c>
      <c r="K854" t="str">
        <f>VLOOKUP(Googleadssales[[#This Row],[Ad_ID]],'[1]pre processed data'!A:R,18,0)</f>
        <v>Hyderabad</v>
      </c>
      <c r="L854" t="str">
        <f>VLOOKUP(Googleadssales[[#This Row],[Ad_ID]],'[1]pre processed data'!A:S,19,0)</f>
        <v>Desktop</v>
      </c>
      <c r="M854" t="str">
        <f>VLOOKUP(Googleadssales[[#This Row],[Ad_ID]],'[1]pre processed data'!A:T,20,0)</f>
        <v>data analytics online</v>
      </c>
    </row>
    <row r="855" spans="1:13" x14ac:dyDescent="0.3">
      <c r="A855" t="s">
        <v>868</v>
      </c>
      <c r="B855" t="s">
        <v>14</v>
      </c>
      <c r="C855" s="4">
        <f>VLOOKUP(Googleadssales[[#This Row],[Ad_ID]],'[1]pre processed data'!A:C,3,0)</f>
        <v>82</v>
      </c>
      <c r="D855" s="4">
        <f>VLOOKUP(Googleadssales[[#This Row],[Ad_ID]],'[1]pre processed data'!A:E,5,0)</f>
        <v>4163</v>
      </c>
      <c r="E855" s="5" t="str">
        <f>VLOOKUP(Googleadssales[[#This Row],[Ad_ID]],[1]!Table3[[Ad_ID]:[Cost-imputed]],7,0)</f>
        <v>$208.08</v>
      </c>
      <c r="F855" s="4">
        <f>VLOOKUP(Googleadssales[[#This Row],[Ad_ID]],'[1]pre processed data'!A:I,9,0)</f>
        <v>30</v>
      </c>
      <c r="G855" s="4">
        <f>VLOOKUP(Googleadssales[[#This Row],[Ad_ID]],'[1]pre processed data'!A:K,11,0)</f>
        <v>8</v>
      </c>
      <c r="H855" s="2">
        <f>Googleadssales[[#This Row],[Conversions]]/Googleadssales[[#This Row],[Clicks]]</f>
        <v>9.7560975609756101E-2</v>
      </c>
      <c r="I855" t="str">
        <f>VLOOKUP(Googleadssales[[#This Row],[Ad_ID]],'[1]pre processed data'!A:O,15,0)</f>
        <v>$1297</v>
      </c>
      <c r="J855" s="3">
        <f>VLOOKUP(Googleadssales[[#This Row],[Ad_ID]],'[1]pre processed data'!A:Q,17,0)</f>
        <v>45600</v>
      </c>
      <c r="K855" t="str">
        <f>VLOOKUP(Googleadssales[[#This Row],[Ad_ID]],'[1]pre processed data'!A:R,18,0)</f>
        <v>Hyderabad</v>
      </c>
      <c r="L855" t="str">
        <f>VLOOKUP(Googleadssales[[#This Row],[Ad_ID]],'[1]pre processed data'!A:S,19,0)</f>
        <v>Mobile</v>
      </c>
      <c r="M855" t="str">
        <f>VLOOKUP(Googleadssales[[#This Row],[Ad_ID]],'[1]pre processed data'!A:T,20,0)</f>
        <v>data analytics course</v>
      </c>
    </row>
    <row r="856" spans="1:13" x14ac:dyDescent="0.3">
      <c r="A856" t="s">
        <v>869</v>
      </c>
      <c r="B856" t="s">
        <v>14</v>
      </c>
      <c r="C856" s="4">
        <f>VLOOKUP(Googleadssales[[#This Row],[Ad_ID]],'[1]pre processed data'!A:C,3,0)</f>
        <v>90</v>
      </c>
      <c r="D856" s="4">
        <f>VLOOKUP(Googleadssales[[#This Row],[Ad_ID]],'[1]pre processed data'!A:E,5,0)</f>
        <v>4330</v>
      </c>
      <c r="E856" s="5" t="str">
        <f>VLOOKUP(Googleadssales[[#This Row],[Ad_ID]],[1]!Table3[[Ad_ID]:[Cost-imputed]],7,0)</f>
        <v>$249.24</v>
      </c>
      <c r="F856" s="4">
        <f>VLOOKUP(Googleadssales[[#This Row],[Ad_ID]],'[1]pre processed data'!A:I,9,0)</f>
        <v>20</v>
      </c>
      <c r="G856" s="4">
        <f>VLOOKUP(Googleadssales[[#This Row],[Ad_ID]],'[1]pre processed data'!A:K,11,0)</f>
        <v>4</v>
      </c>
      <c r="H856" s="2">
        <f>Googleadssales[[#This Row],[Conversions]]/Googleadssales[[#This Row],[Clicks]]</f>
        <v>4.4444444444444446E-2</v>
      </c>
      <c r="I856" t="str">
        <f>VLOOKUP(Googleadssales[[#This Row],[Ad_ID]],'[1]pre processed data'!A:O,15,0)</f>
        <v>$1618</v>
      </c>
      <c r="J856" s="3">
        <f>VLOOKUP(Googleadssales[[#This Row],[Ad_ID]],'[1]pre processed data'!A:Q,17,0)</f>
        <v>45611</v>
      </c>
      <c r="K856" t="str">
        <f>VLOOKUP(Googleadssales[[#This Row],[Ad_ID]],'[1]pre processed data'!A:R,18,0)</f>
        <v>Hyderabad</v>
      </c>
      <c r="L856" t="str">
        <f>VLOOKUP(Googleadssales[[#This Row],[Ad_ID]],'[1]pre processed data'!A:S,19,0)</f>
        <v>Tablet</v>
      </c>
      <c r="M856" t="str">
        <f>VLOOKUP(Googleadssales[[#This Row],[Ad_ID]],'[1]pre processed data'!A:T,20,0)</f>
        <v>data analytics training</v>
      </c>
    </row>
    <row r="857" spans="1:13" x14ac:dyDescent="0.3">
      <c r="A857" t="s">
        <v>870</v>
      </c>
      <c r="B857" t="s">
        <v>14</v>
      </c>
      <c r="C857" s="4">
        <f>VLOOKUP(Googleadssales[[#This Row],[Ad_ID]],'[1]pre processed data'!A:C,3,0)</f>
        <v>122</v>
      </c>
      <c r="D857" s="4">
        <f>VLOOKUP(Googleadssales[[#This Row],[Ad_ID]],'[1]pre processed data'!A:E,5,0)</f>
        <v>5882</v>
      </c>
      <c r="E857" s="5" t="str">
        <f>VLOOKUP(Googleadssales[[#This Row],[Ad_ID]],[1]!Table3[[Ad_ID]:[Cost-imputed]],7,0)</f>
        <v>$189.76</v>
      </c>
      <c r="F857" s="4">
        <f>VLOOKUP(Googleadssales[[#This Row],[Ad_ID]],'[1]pre processed data'!A:I,9,0)</f>
        <v>25</v>
      </c>
      <c r="G857" s="4">
        <f>VLOOKUP(Googleadssales[[#This Row],[Ad_ID]],'[1]pre processed data'!A:K,11,0)</f>
        <v>7</v>
      </c>
      <c r="H857" s="2">
        <f>Googleadssales[[#This Row],[Conversions]]/Googleadssales[[#This Row],[Clicks]]</f>
        <v>5.737704918032787E-2</v>
      </c>
      <c r="I857" t="str">
        <f>VLOOKUP(Googleadssales[[#This Row],[Ad_ID]],'[1]pre processed data'!A:O,15,0)</f>
        <v>$1357</v>
      </c>
      <c r="J857" s="3">
        <f>VLOOKUP(Googleadssales[[#This Row],[Ad_ID]],'[1]pre processed data'!A:Q,17,0)</f>
        <v>45621</v>
      </c>
      <c r="K857" t="str">
        <f>VLOOKUP(Googleadssales[[#This Row],[Ad_ID]],'[1]pre processed data'!A:R,18,0)</f>
        <v>Bangaluru</v>
      </c>
      <c r="L857" t="str">
        <f>VLOOKUP(Googleadssales[[#This Row],[Ad_ID]],'[1]pre processed data'!A:S,19,0)</f>
        <v>Tablet</v>
      </c>
      <c r="M857" t="str">
        <f>VLOOKUP(Googleadssales[[#This Row],[Ad_ID]],'[1]pre processed data'!A:T,20,0)</f>
        <v>analytics for data</v>
      </c>
    </row>
    <row r="858" spans="1:13" x14ac:dyDescent="0.3">
      <c r="A858" t="s">
        <v>871</v>
      </c>
      <c r="B858" t="s">
        <v>14</v>
      </c>
      <c r="C858" s="4">
        <f>VLOOKUP(Googleadssales[[#This Row],[Ad_ID]],'[1]pre processed data'!A:C,3,0)</f>
        <v>105</v>
      </c>
      <c r="D858" s="4">
        <f>VLOOKUP(Googleadssales[[#This Row],[Ad_ID]],'[1]pre processed data'!A:E,5,0)</f>
        <v>5645</v>
      </c>
      <c r="E858" s="5" t="str">
        <f>VLOOKUP(Googleadssales[[#This Row],[Ad_ID]],[1]!Table3[[Ad_ID]:[Cost-imputed]],7,0)</f>
        <v>$218.24</v>
      </c>
      <c r="F858" s="4">
        <f>VLOOKUP(Googleadssales[[#This Row],[Ad_ID]],'[1]pre processed data'!A:I,9,0)</f>
        <v>17</v>
      </c>
      <c r="G858" s="4">
        <f>VLOOKUP(Googleadssales[[#This Row],[Ad_ID]],'[1]pre processed data'!A:K,11,0)</f>
        <v>6</v>
      </c>
      <c r="H858" s="2">
        <f>Googleadssales[[#This Row],[Conversions]]/Googleadssales[[#This Row],[Clicks]]</f>
        <v>5.7142857142857141E-2</v>
      </c>
      <c r="I858" t="str">
        <f>VLOOKUP(Googleadssales[[#This Row],[Ad_ID]],'[1]pre processed data'!A:O,15,0)</f>
        <v>$1420</v>
      </c>
      <c r="J858" s="3">
        <f>VLOOKUP(Googleadssales[[#This Row],[Ad_ID]],'[1]pre processed data'!A:Q,17,0)</f>
        <v>45598</v>
      </c>
      <c r="K858" t="str">
        <f>VLOOKUP(Googleadssales[[#This Row],[Ad_ID]],'[1]pre processed data'!A:R,18,0)</f>
        <v>Hyderabad</v>
      </c>
      <c r="L858" t="str">
        <f>VLOOKUP(Googleadssales[[#This Row],[Ad_ID]],'[1]pre processed data'!A:S,19,0)</f>
        <v>Mobile</v>
      </c>
      <c r="M858" t="str">
        <f>VLOOKUP(Googleadssales[[#This Row],[Ad_ID]],'[1]pre processed data'!A:T,20,0)</f>
        <v>online data analytic</v>
      </c>
    </row>
    <row r="859" spans="1:13" x14ac:dyDescent="0.3">
      <c r="A859" t="s">
        <v>872</v>
      </c>
      <c r="B859" t="s">
        <v>14</v>
      </c>
      <c r="C859" s="4">
        <f>VLOOKUP(Googleadssales[[#This Row],[Ad_ID]],'[1]pre processed data'!A:C,3,0)</f>
        <v>179</v>
      </c>
      <c r="D859" s="4">
        <f>VLOOKUP(Googleadssales[[#This Row],[Ad_ID]],'[1]pre processed data'!A:E,5,0)</f>
        <v>3848</v>
      </c>
      <c r="E859" s="5" t="str">
        <f>VLOOKUP(Googleadssales[[#This Row],[Ad_ID]],[1]!Table3[[Ad_ID]:[Cost-imputed]],7,0)</f>
        <v>$213.26</v>
      </c>
      <c r="F859" s="4">
        <f>VLOOKUP(Googleadssales[[#This Row],[Ad_ID]],'[1]pre processed data'!A:I,9,0)</f>
        <v>12</v>
      </c>
      <c r="G859" s="4">
        <f>VLOOKUP(Googleadssales[[#This Row],[Ad_ID]],'[1]pre processed data'!A:K,11,0)</f>
        <v>5</v>
      </c>
      <c r="H859" s="2">
        <f>Googleadssales[[#This Row],[Conversions]]/Googleadssales[[#This Row],[Clicks]]</f>
        <v>2.7932960893854747E-2</v>
      </c>
      <c r="I859" t="str">
        <f>VLOOKUP(Googleadssales[[#This Row],[Ad_ID]],'[1]pre processed data'!A:O,15,0)</f>
        <v>$1807</v>
      </c>
      <c r="J859" s="3">
        <f>VLOOKUP(Googleadssales[[#This Row],[Ad_ID]],'[1]pre processed data'!A:Q,17,0)</f>
        <v>45625</v>
      </c>
      <c r="K859" t="str">
        <f>VLOOKUP(Googleadssales[[#This Row],[Ad_ID]],'[1]pre processed data'!A:R,18,0)</f>
        <v>Hyderabad</v>
      </c>
      <c r="L859" t="str">
        <f>VLOOKUP(Googleadssales[[#This Row],[Ad_ID]],'[1]pre processed data'!A:S,19,0)</f>
        <v>Desktop</v>
      </c>
      <c r="M859" t="str">
        <f>VLOOKUP(Googleadssales[[#This Row],[Ad_ID]],'[1]pre processed data'!A:T,20,0)</f>
        <v>data analytics course</v>
      </c>
    </row>
    <row r="860" spans="1:13" x14ac:dyDescent="0.3">
      <c r="A860" t="s">
        <v>873</v>
      </c>
      <c r="B860" t="s">
        <v>18</v>
      </c>
      <c r="C860" s="4">
        <f>VLOOKUP(Googleadssales[[#This Row],[Ad_ID]],'[1]pre processed data'!A:C,3,0)</f>
        <v>91</v>
      </c>
      <c r="D860" s="4">
        <f>VLOOKUP(Googleadssales[[#This Row],[Ad_ID]],'[1]pre processed data'!A:E,5,0)</f>
        <v>5609</v>
      </c>
      <c r="E860" s="5" t="str">
        <f>VLOOKUP(Googleadssales[[#This Row],[Ad_ID]],[1]!Table3[[Ad_ID]:[Cost-imputed]],7,0)</f>
        <v>$228.27</v>
      </c>
      <c r="F860" s="4">
        <f>VLOOKUP(Googleadssales[[#This Row],[Ad_ID]],'[1]pre processed data'!A:I,9,0)</f>
        <v>12</v>
      </c>
      <c r="G860" s="4">
        <f>VLOOKUP(Googleadssales[[#This Row],[Ad_ID]],'[1]pre processed data'!A:K,11,0)</f>
        <v>10</v>
      </c>
      <c r="H860" s="2">
        <f>Googleadssales[[#This Row],[Conversions]]/Googleadssales[[#This Row],[Clicks]]</f>
        <v>0.10989010989010989</v>
      </c>
      <c r="I860" t="str">
        <f>VLOOKUP(Googleadssales[[#This Row],[Ad_ID]],'[1]pre processed data'!A:O,15,0)</f>
        <v>$1098</v>
      </c>
      <c r="J860" s="3">
        <f>VLOOKUP(Googleadssales[[#This Row],[Ad_ID]],'[1]pre processed data'!A:Q,17,0)</f>
        <v>45607</v>
      </c>
      <c r="K860" t="str">
        <f>VLOOKUP(Googleadssales[[#This Row],[Ad_ID]],'[1]pre processed data'!A:R,18,0)</f>
        <v>Bangaluru</v>
      </c>
      <c r="L860" t="str">
        <f>VLOOKUP(Googleadssales[[#This Row],[Ad_ID]],'[1]pre processed data'!A:S,19,0)</f>
        <v>Desktop</v>
      </c>
      <c r="M860" t="str">
        <f>VLOOKUP(Googleadssales[[#This Row],[Ad_ID]],'[1]pre processed data'!A:T,20,0)</f>
        <v>analytics for data</v>
      </c>
    </row>
    <row r="861" spans="1:13" x14ac:dyDescent="0.3">
      <c r="A861" t="s">
        <v>874</v>
      </c>
      <c r="B861" t="s">
        <v>14</v>
      </c>
      <c r="C861" s="4">
        <f>VLOOKUP(Googleadssales[[#This Row],[Ad_ID]],'[1]pre processed data'!A:C,3,0)</f>
        <v>168</v>
      </c>
      <c r="D861" s="4">
        <f>VLOOKUP(Googleadssales[[#This Row],[Ad_ID]],'[1]pre processed data'!A:E,5,0)</f>
        <v>4390</v>
      </c>
      <c r="E861" s="5" t="str">
        <f>VLOOKUP(Googleadssales[[#This Row],[Ad_ID]],[1]!Table3[[Ad_ID]:[Cost-imputed]],7,0)</f>
        <v>$195.52</v>
      </c>
      <c r="F861" s="4">
        <f>VLOOKUP(Googleadssales[[#This Row],[Ad_ID]],'[1]pre processed data'!A:I,9,0)</f>
        <v>22</v>
      </c>
      <c r="G861" s="4">
        <f>VLOOKUP(Googleadssales[[#This Row],[Ad_ID]],'[1]pre processed data'!A:K,11,0)</f>
        <v>10</v>
      </c>
      <c r="H861" s="2">
        <f>Googleadssales[[#This Row],[Conversions]]/Googleadssales[[#This Row],[Clicks]]</f>
        <v>5.9523809523809521E-2</v>
      </c>
      <c r="I861" t="str">
        <f>VLOOKUP(Googleadssales[[#This Row],[Ad_ID]],'[1]pre processed data'!A:O,15,0)</f>
        <v>$1553</v>
      </c>
      <c r="J861" s="3">
        <f>VLOOKUP(Googleadssales[[#This Row],[Ad_ID]],'[1]pre processed data'!A:Q,17,0)</f>
        <v>45600</v>
      </c>
      <c r="K861" t="str">
        <f>VLOOKUP(Googleadssales[[#This Row],[Ad_ID]],'[1]pre processed data'!A:R,18,0)</f>
        <v>Hyderabad</v>
      </c>
      <c r="L861" t="str">
        <f>VLOOKUP(Googleadssales[[#This Row],[Ad_ID]],'[1]pre processed data'!A:S,19,0)</f>
        <v>Desktop</v>
      </c>
      <c r="M861" t="str">
        <f>VLOOKUP(Googleadssales[[#This Row],[Ad_ID]],'[1]pre processed data'!A:T,20,0)</f>
        <v>data analytics course</v>
      </c>
    </row>
    <row r="862" spans="1:13" x14ac:dyDescent="0.3">
      <c r="A862" t="s">
        <v>875</v>
      </c>
      <c r="B862" t="s">
        <v>14</v>
      </c>
      <c r="C862" s="4">
        <f>VLOOKUP(Googleadssales[[#This Row],[Ad_ID]],'[1]pre processed data'!A:C,3,0)</f>
        <v>162</v>
      </c>
      <c r="D862" s="4">
        <f>VLOOKUP(Googleadssales[[#This Row],[Ad_ID]],'[1]pre processed data'!A:E,5,0)</f>
        <v>4774</v>
      </c>
      <c r="E862" s="5" t="str">
        <f>VLOOKUP(Googleadssales[[#This Row],[Ad_ID]],[1]!Table3[[Ad_ID]:[Cost-imputed]],7,0)</f>
        <v>$210.8</v>
      </c>
      <c r="F862" s="4">
        <f>VLOOKUP(Googleadssales[[#This Row],[Ad_ID]],'[1]pre processed data'!A:I,9,0)</f>
        <v>20</v>
      </c>
      <c r="G862" s="4">
        <f>VLOOKUP(Googleadssales[[#This Row],[Ad_ID]],'[1]pre processed data'!A:K,11,0)</f>
        <v>7</v>
      </c>
      <c r="H862" s="2">
        <f>Googleadssales[[#This Row],[Conversions]]/Googleadssales[[#This Row],[Clicks]]</f>
        <v>4.3209876543209874E-2</v>
      </c>
      <c r="I862" t="str">
        <f>VLOOKUP(Googleadssales[[#This Row],[Ad_ID]],'[1]pre processed data'!A:O,15,0)</f>
        <v>$1387</v>
      </c>
      <c r="J862" s="3">
        <f>VLOOKUP(Googleadssales[[#This Row],[Ad_ID]],'[1]pre processed data'!A:Q,17,0)</f>
        <v>45625</v>
      </c>
      <c r="K862" t="str">
        <f>VLOOKUP(Googleadssales[[#This Row],[Ad_ID]],'[1]pre processed data'!A:R,18,0)</f>
        <v>Bangaluru</v>
      </c>
      <c r="L862" t="str">
        <f>VLOOKUP(Googleadssales[[#This Row],[Ad_ID]],'[1]pre processed data'!A:S,19,0)</f>
        <v>Tablet</v>
      </c>
      <c r="M862" t="str">
        <f>VLOOKUP(Googleadssales[[#This Row],[Ad_ID]],'[1]pre processed data'!A:T,20,0)</f>
        <v>analytics for data</v>
      </c>
    </row>
    <row r="863" spans="1:13" x14ac:dyDescent="0.3">
      <c r="A863" t="s">
        <v>876</v>
      </c>
      <c r="B863" t="s">
        <v>14</v>
      </c>
      <c r="C863" s="4">
        <f>VLOOKUP(Googleadssales[[#This Row],[Ad_ID]],'[1]pre processed data'!A:C,3,0)</f>
        <v>130</v>
      </c>
      <c r="D863" s="4">
        <f>VLOOKUP(Googleadssales[[#This Row],[Ad_ID]],'[1]pre processed data'!A:E,5,0)</f>
        <v>5787</v>
      </c>
      <c r="E863" s="5" t="str">
        <f>VLOOKUP(Googleadssales[[#This Row],[Ad_ID]],[1]!Table3[[Ad_ID]:[Cost-imputed]],7,0)</f>
        <v>$218.79</v>
      </c>
      <c r="F863" s="4">
        <f>VLOOKUP(Googleadssales[[#This Row],[Ad_ID]],'[1]pre processed data'!A:I,9,0)</f>
        <v>13</v>
      </c>
      <c r="G863" s="4">
        <f>VLOOKUP(Googleadssales[[#This Row],[Ad_ID]],'[1]pre processed data'!A:K,11,0)</f>
        <v>10</v>
      </c>
      <c r="H863" s="2">
        <f>Googleadssales[[#This Row],[Conversions]]/Googleadssales[[#This Row],[Clicks]]</f>
        <v>7.6923076923076927E-2</v>
      </c>
      <c r="I863" t="str">
        <f>VLOOKUP(Googleadssales[[#This Row],[Ad_ID]],'[1]pre processed data'!A:O,15,0)</f>
        <v>$1679</v>
      </c>
      <c r="J863" s="3">
        <f>VLOOKUP(Googleadssales[[#This Row],[Ad_ID]],'[1]pre processed data'!A:Q,17,0)</f>
        <v>45605</v>
      </c>
      <c r="K863" t="str">
        <f>VLOOKUP(Googleadssales[[#This Row],[Ad_ID]],'[1]pre processed data'!A:R,18,0)</f>
        <v>Hyderabad</v>
      </c>
      <c r="L863" t="str">
        <f>VLOOKUP(Googleadssales[[#This Row],[Ad_ID]],'[1]pre processed data'!A:S,19,0)</f>
        <v>Mobile</v>
      </c>
      <c r="M863" t="str">
        <f>VLOOKUP(Googleadssales[[#This Row],[Ad_ID]],'[1]pre processed data'!A:T,20,0)</f>
        <v>online data analytic</v>
      </c>
    </row>
    <row r="864" spans="1:13" x14ac:dyDescent="0.3">
      <c r="A864" t="s">
        <v>877</v>
      </c>
      <c r="B864" t="s">
        <v>14</v>
      </c>
      <c r="C864" s="4">
        <f>VLOOKUP(Googleadssales[[#This Row],[Ad_ID]],'[1]pre processed data'!A:C,3,0)</f>
        <v>97</v>
      </c>
      <c r="D864" s="4">
        <f>VLOOKUP(Googleadssales[[#This Row],[Ad_ID]],'[1]pre processed data'!A:E,5,0)</f>
        <v>5192</v>
      </c>
      <c r="E864" s="5" t="str">
        <f>VLOOKUP(Googleadssales[[#This Row],[Ad_ID]],[1]!Table3[[Ad_ID]:[Cost-imputed]],7,0)</f>
        <v>$184.79</v>
      </c>
      <c r="F864" s="4">
        <f>VLOOKUP(Googleadssales[[#This Row],[Ad_ID]],'[1]pre processed data'!A:I,9,0)</f>
        <v>13</v>
      </c>
      <c r="G864" s="4">
        <f>VLOOKUP(Googleadssales[[#This Row],[Ad_ID]],'[1]pre processed data'!A:K,11,0)</f>
        <v>10</v>
      </c>
      <c r="H864" s="2">
        <f>Googleadssales[[#This Row],[Conversions]]/Googleadssales[[#This Row],[Clicks]]</f>
        <v>0.10309278350515463</v>
      </c>
      <c r="I864" t="str">
        <f>VLOOKUP(Googleadssales[[#This Row],[Ad_ID]],'[1]pre processed data'!A:O,15,0)</f>
        <v>$1382</v>
      </c>
      <c r="J864" s="3">
        <f>VLOOKUP(Googleadssales[[#This Row],[Ad_ID]],'[1]pre processed data'!A:Q,17,0)</f>
        <v>45601</v>
      </c>
      <c r="K864" t="str">
        <f>VLOOKUP(Googleadssales[[#This Row],[Ad_ID]],'[1]pre processed data'!A:R,18,0)</f>
        <v>Bangaluru</v>
      </c>
      <c r="L864" t="str">
        <f>VLOOKUP(Googleadssales[[#This Row],[Ad_ID]],'[1]pre processed data'!A:S,19,0)</f>
        <v>Mobile</v>
      </c>
      <c r="M864" t="str">
        <f>VLOOKUP(Googleadssales[[#This Row],[Ad_ID]],'[1]pre processed data'!A:T,20,0)</f>
        <v>learn data analytics</v>
      </c>
    </row>
    <row r="865" spans="1:13" x14ac:dyDescent="0.3">
      <c r="A865" t="s">
        <v>878</v>
      </c>
      <c r="B865" t="s">
        <v>14</v>
      </c>
      <c r="C865" s="4">
        <f>VLOOKUP(Googleadssales[[#This Row],[Ad_ID]],'[1]pre processed data'!A:C,3,0)</f>
        <v>142</v>
      </c>
      <c r="D865" s="4">
        <f>VLOOKUP(Googleadssales[[#This Row],[Ad_ID]],'[1]pre processed data'!A:E,5,0)</f>
        <v>4223</v>
      </c>
      <c r="E865" s="5" t="str">
        <f>VLOOKUP(Googleadssales[[#This Row],[Ad_ID]],[1]!Table3[[Ad_ID]:[Cost-imputed]],7,0)</f>
        <v>$222.28</v>
      </c>
      <c r="F865" s="4">
        <f>VLOOKUP(Googleadssales[[#This Row],[Ad_ID]],'[1]pre processed data'!A:I,9,0)</f>
        <v>27</v>
      </c>
      <c r="G865" s="4">
        <f>VLOOKUP(Googleadssales[[#This Row],[Ad_ID]],'[1]pre processed data'!A:K,11,0)</f>
        <v>5</v>
      </c>
      <c r="H865" s="2">
        <f>Googleadssales[[#This Row],[Conversions]]/Googleadssales[[#This Row],[Clicks]]</f>
        <v>3.5211267605633804E-2</v>
      </c>
      <c r="I865" t="str">
        <f>VLOOKUP(Googleadssales[[#This Row],[Ad_ID]],'[1]pre processed data'!A:O,15,0)</f>
        <v>$1506</v>
      </c>
      <c r="J865" s="3">
        <f>VLOOKUP(Googleadssales[[#This Row],[Ad_ID]],'[1]pre processed data'!A:Q,17,0)</f>
        <v>45603</v>
      </c>
      <c r="K865" t="str">
        <f>VLOOKUP(Googleadssales[[#This Row],[Ad_ID]],'[1]pre processed data'!A:R,18,0)</f>
        <v>Hyderabad</v>
      </c>
      <c r="L865" t="str">
        <f>VLOOKUP(Googleadssales[[#This Row],[Ad_ID]],'[1]pre processed data'!A:S,19,0)</f>
        <v>Desktop</v>
      </c>
      <c r="M865" t="str">
        <f>VLOOKUP(Googleadssales[[#This Row],[Ad_ID]],'[1]pre processed data'!A:T,20,0)</f>
        <v>learn data analytics</v>
      </c>
    </row>
    <row r="866" spans="1:13" x14ac:dyDescent="0.3">
      <c r="A866" t="s">
        <v>879</v>
      </c>
      <c r="B866" t="s">
        <v>18</v>
      </c>
      <c r="C866" s="4">
        <f>VLOOKUP(Googleadssales[[#This Row],[Ad_ID]],'[1]pre processed data'!A:C,3,0)</f>
        <v>138</v>
      </c>
      <c r="D866" s="4">
        <f>VLOOKUP(Googleadssales[[#This Row],[Ad_ID]],'[1]pre processed data'!A:E,5,0)</f>
        <v>3146</v>
      </c>
      <c r="E866" s="5" t="str">
        <f>VLOOKUP(Googleadssales[[#This Row],[Ad_ID]],[1]!Table3[[Ad_ID]:[Cost-imputed]],7,0)</f>
        <v>$197.89</v>
      </c>
      <c r="F866" s="4">
        <f>VLOOKUP(Googleadssales[[#This Row],[Ad_ID]],'[1]pre processed data'!A:I,9,0)</f>
        <v>22</v>
      </c>
      <c r="G866" s="4">
        <f>VLOOKUP(Googleadssales[[#This Row],[Ad_ID]],'[1]pre processed data'!A:K,11,0)</f>
        <v>7</v>
      </c>
      <c r="H866" s="2">
        <f>Googleadssales[[#This Row],[Conversions]]/Googleadssales[[#This Row],[Clicks]]</f>
        <v>5.0724637681159424E-2</v>
      </c>
      <c r="I866" t="str">
        <f>VLOOKUP(Googleadssales[[#This Row],[Ad_ID]],'[1]pre processed data'!A:O,15,0)</f>
        <v>$1500</v>
      </c>
      <c r="J866" s="3">
        <f>VLOOKUP(Googleadssales[[#This Row],[Ad_ID]],'[1]pre processed data'!A:Q,17,0)</f>
        <v>45604</v>
      </c>
      <c r="K866" t="str">
        <f>VLOOKUP(Googleadssales[[#This Row],[Ad_ID]],'[1]pre processed data'!A:R,18,0)</f>
        <v>Bangaluru</v>
      </c>
      <c r="L866" t="str">
        <f>VLOOKUP(Googleadssales[[#This Row],[Ad_ID]],'[1]pre processed data'!A:S,19,0)</f>
        <v>Desktop</v>
      </c>
      <c r="M866" t="str">
        <f>VLOOKUP(Googleadssales[[#This Row],[Ad_ID]],'[1]pre processed data'!A:T,20,0)</f>
        <v>learn data analytics</v>
      </c>
    </row>
    <row r="867" spans="1:13" x14ac:dyDescent="0.3">
      <c r="A867" t="s">
        <v>880</v>
      </c>
      <c r="B867" t="s">
        <v>14</v>
      </c>
      <c r="C867" s="4">
        <f>VLOOKUP(Googleadssales[[#This Row],[Ad_ID]],'[1]pre processed data'!A:C,3,0)</f>
        <v>186</v>
      </c>
      <c r="D867" s="4">
        <f>VLOOKUP(Googleadssales[[#This Row],[Ad_ID]],'[1]pre processed data'!A:E,5,0)</f>
        <v>3988</v>
      </c>
      <c r="E867" s="5" t="str">
        <f>VLOOKUP(Googleadssales[[#This Row],[Ad_ID]],[1]!Table3[[Ad_ID]:[Cost-imputed]],7,0)</f>
        <v>$237.69</v>
      </c>
      <c r="F867" s="4">
        <f>VLOOKUP(Googleadssales[[#This Row],[Ad_ID]],'[1]pre processed data'!A:I,9,0)</f>
        <v>15</v>
      </c>
      <c r="G867" s="4">
        <f>VLOOKUP(Googleadssales[[#This Row],[Ad_ID]],'[1]pre processed data'!A:K,11,0)</f>
        <v>5</v>
      </c>
      <c r="H867" s="2">
        <f>Googleadssales[[#This Row],[Conversions]]/Googleadssales[[#This Row],[Clicks]]</f>
        <v>2.6881720430107527E-2</v>
      </c>
      <c r="I867" t="str">
        <f>VLOOKUP(Googleadssales[[#This Row],[Ad_ID]],'[1]pre processed data'!A:O,15,0)</f>
        <v>$1603</v>
      </c>
      <c r="J867" s="3">
        <f>VLOOKUP(Googleadssales[[#This Row],[Ad_ID]],'[1]pre processed data'!A:Q,17,0)</f>
        <v>45610</v>
      </c>
      <c r="K867" t="str">
        <f>VLOOKUP(Googleadssales[[#This Row],[Ad_ID]],'[1]pre processed data'!A:R,18,0)</f>
        <v>Chennai</v>
      </c>
      <c r="L867" t="str">
        <f>VLOOKUP(Googleadssales[[#This Row],[Ad_ID]],'[1]pre processed data'!A:S,19,0)</f>
        <v>Tablet</v>
      </c>
      <c r="M867" t="str">
        <f>VLOOKUP(Googleadssales[[#This Row],[Ad_ID]],'[1]pre processed data'!A:T,20,0)</f>
        <v>data analytics course</v>
      </c>
    </row>
    <row r="868" spans="1:13" x14ac:dyDescent="0.3">
      <c r="A868" t="s">
        <v>881</v>
      </c>
      <c r="B868" t="s">
        <v>14</v>
      </c>
      <c r="C868" s="4">
        <f>VLOOKUP(Googleadssales[[#This Row],[Ad_ID]],'[1]pre processed data'!A:C,3,0)</f>
        <v>170</v>
      </c>
      <c r="D868" s="4">
        <f>VLOOKUP(Googleadssales[[#This Row],[Ad_ID]],'[1]pre processed data'!A:E,5,0)</f>
        <v>3437</v>
      </c>
      <c r="E868" s="5" t="str">
        <f>VLOOKUP(Googleadssales[[#This Row],[Ad_ID]],[1]!Table3[[Ad_ID]:[Cost-imputed]],7,0)</f>
        <v>$232.08</v>
      </c>
      <c r="F868" s="4">
        <f>VLOOKUP(Googleadssales[[#This Row],[Ad_ID]],'[1]pre processed data'!A:I,9,0)</f>
        <v>23</v>
      </c>
      <c r="G868" s="4">
        <f>VLOOKUP(Googleadssales[[#This Row],[Ad_ID]],'[1]pre processed data'!A:K,11,0)</f>
        <v>5</v>
      </c>
      <c r="H868" s="2">
        <f>Googleadssales[[#This Row],[Conversions]]/Googleadssales[[#This Row],[Clicks]]</f>
        <v>2.9411764705882353E-2</v>
      </c>
      <c r="I868" t="str">
        <f>VLOOKUP(Googleadssales[[#This Row],[Ad_ID]],'[1]pre processed data'!A:O,15,0)</f>
        <v>$1405</v>
      </c>
      <c r="J868" s="3">
        <f>VLOOKUP(Googleadssales[[#This Row],[Ad_ID]],'[1]pre processed data'!A:Q,17,0)</f>
        <v>45625</v>
      </c>
      <c r="K868" t="str">
        <f>VLOOKUP(Googleadssales[[#This Row],[Ad_ID]],'[1]pre processed data'!A:R,18,0)</f>
        <v>Bangaluru</v>
      </c>
      <c r="L868" t="str">
        <f>VLOOKUP(Googleadssales[[#This Row],[Ad_ID]],'[1]pre processed data'!A:S,19,0)</f>
        <v>Mobile</v>
      </c>
      <c r="M868" t="str">
        <f>VLOOKUP(Googleadssales[[#This Row],[Ad_ID]],'[1]pre processed data'!A:T,20,0)</f>
        <v>learn data analytics</v>
      </c>
    </row>
    <row r="869" spans="1:13" x14ac:dyDescent="0.3">
      <c r="A869" t="s">
        <v>882</v>
      </c>
      <c r="B869" t="s">
        <v>14</v>
      </c>
      <c r="C869" s="4">
        <f>VLOOKUP(Googleadssales[[#This Row],[Ad_ID]],'[1]pre processed data'!A:C,3,0)</f>
        <v>85</v>
      </c>
      <c r="D869" s="4">
        <f>VLOOKUP(Googleadssales[[#This Row],[Ad_ID]],'[1]pre processed data'!A:E,5,0)</f>
        <v>3718</v>
      </c>
      <c r="E869" s="5" t="str">
        <f>VLOOKUP(Googleadssales[[#This Row],[Ad_ID]],[1]!Table3[[Ad_ID]:[Cost-imputed]],7,0)</f>
        <v>$224.14</v>
      </c>
      <c r="F869" s="4">
        <f>VLOOKUP(Googleadssales[[#This Row],[Ad_ID]],'[1]pre processed data'!A:I,9,0)</f>
        <v>21</v>
      </c>
      <c r="G869" s="4">
        <f>VLOOKUP(Googleadssales[[#This Row],[Ad_ID]],'[1]pre processed data'!A:K,11,0)</f>
        <v>6</v>
      </c>
      <c r="H869" s="2">
        <f>Googleadssales[[#This Row],[Conversions]]/Googleadssales[[#This Row],[Clicks]]</f>
        <v>7.0588235294117646E-2</v>
      </c>
      <c r="I869" t="str">
        <f>VLOOKUP(Googleadssales[[#This Row],[Ad_ID]],'[1]pre processed data'!A:O,15,0)</f>
        <v>$1938</v>
      </c>
      <c r="J869" s="3">
        <f>VLOOKUP(Googleadssales[[#This Row],[Ad_ID]],'[1]pre processed data'!A:Q,17,0)</f>
        <v>45600</v>
      </c>
      <c r="K869" t="str">
        <f>VLOOKUP(Googleadssales[[#This Row],[Ad_ID]],'[1]pre processed data'!A:R,18,0)</f>
        <v>Hyderabad</v>
      </c>
      <c r="L869" t="str">
        <f>VLOOKUP(Googleadssales[[#This Row],[Ad_ID]],'[1]pre processed data'!A:S,19,0)</f>
        <v>Desktop</v>
      </c>
      <c r="M869" t="str">
        <f>VLOOKUP(Googleadssales[[#This Row],[Ad_ID]],'[1]pre processed data'!A:T,20,0)</f>
        <v>online data analytic</v>
      </c>
    </row>
    <row r="870" spans="1:13" x14ac:dyDescent="0.3">
      <c r="A870" t="s">
        <v>883</v>
      </c>
      <c r="B870" t="s">
        <v>14</v>
      </c>
      <c r="C870" s="4">
        <f>VLOOKUP(Googleadssales[[#This Row],[Ad_ID]],'[1]pre processed data'!A:C,3,0)</f>
        <v>115</v>
      </c>
      <c r="D870" s="4">
        <f>VLOOKUP(Googleadssales[[#This Row],[Ad_ID]],'[1]pre processed data'!A:E,5,0)</f>
        <v>5343</v>
      </c>
      <c r="E870" s="5" t="str">
        <f>VLOOKUP(Googleadssales[[#This Row],[Ad_ID]],[1]!Table3[[Ad_ID]:[Cost-imputed]],7,0)</f>
        <v>$239.92</v>
      </c>
      <c r="F870" s="4">
        <f>VLOOKUP(Googleadssales[[#This Row],[Ad_ID]],'[1]pre processed data'!A:I,9,0)</f>
        <v>20</v>
      </c>
      <c r="G870" s="4">
        <f>VLOOKUP(Googleadssales[[#This Row],[Ad_ID]],'[1]pre processed data'!A:K,11,0)</f>
        <v>8</v>
      </c>
      <c r="H870" s="2">
        <f>Googleadssales[[#This Row],[Conversions]]/Googleadssales[[#This Row],[Clicks]]</f>
        <v>6.9565217391304349E-2</v>
      </c>
      <c r="I870" t="str">
        <f>VLOOKUP(Googleadssales[[#This Row],[Ad_ID]],'[1]pre processed data'!A:O,15,0)</f>
        <v>$1381</v>
      </c>
      <c r="J870" s="3">
        <f>VLOOKUP(Googleadssales[[#This Row],[Ad_ID]],'[1]pre processed data'!A:Q,17,0)</f>
        <v>45611</v>
      </c>
      <c r="K870" t="str">
        <f>VLOOKUP(Googleadssales[[#This Row],[Ad_ID]],'[1]pre processed data'!A:R,18,0)</f>
        <v>Bangaluru</v>
      </c>
      <c r="L870" t="str">
        <f>VLOOKUP(Googleadssales[[#This Row],[Ad_ID]],'[1]pre processed data'!A:S,19,0)</f>
        <v>Desktop</v>
      </c>
      <c r="M870" t="str">
        <f>VLOOKUP(Googleadssales[[#This Row],[Ad_ID]],'[1]pre processed data'!A:T,20,0)</f>
        <v>learn data analytics</v>
      </c>
    </row>
    <row r="871" spans="1:13" x14ac:dyDescent="0.3">
      <c r="A871" t="s">
        <v>884</v>
      </c>
      <c r="B871" t="s">
        <v>18</v>
      </c>
      <c r="C871" s="4">
        <f>VLOOKUP(Googleadssales[[#This Row],[Ad_ID]],'[1]pre processed data'!A:C,3,0)</f>
        <v>167</v>
      </c>
      <c r="D871" s="4">
        <f>VLOOKUP(Googleadssales[[#This Row],[Ad_ID]],'[1]pre processed data'!A:E,5,0)</f>
        <v>5170</v>
      </c>
      <c r="E871" s="5" t="str">
        <f>VLOOKUP(Googleadssales[[#This Row],[Ad_ID]],[1]!Table3[[Ad_ID]:[Cost-imputed]],7,0)</f>
        <v>$241.21</v>
      </c>
      <c r="F871" s="4">
        <f>VLOOKUP(Googleadssales[[#This Row],[Ad_ID]],'[1]pre processed data'!A:I,9,0)</f>
        <v>24</v>
      </c>
      <c r="G871" s="4">
        <f>VLOOKUP(Googleadssales[[#This Row],[Ad_ID]],'[1]pre processed data'!A:K,11,0)</f>
        <v>4</v>
      </c>
      <c r="H871" s="2">
        <f>Googleadssales[[#This Row],[Conversions]]/Googleadssales[[#This Row],[Clicks]]</f>
        <v>2.3952095808383235E-2</v>
      </c>
      <c r="I871" t="str">
        <f>VLOOKUP(Googleadssales[[#This Row],[Ad_ID]],'[1]pre processed data'!A:O,15,0)</f>
        <v>$1515</v>
      </c>
      <c r="J871" s="3">
        <f>VLOOKUP(Googleadssales[[#This Row],[Ad_ID]],'[1]pre processed data'!A:Q,17,0)</f>
        <v>45617</v>
      </c>
      <c r="K871" t="str">
        <f>VLOOKUP(Googleadssales[[#This Row],[Ad_ID]],'[1]pre processed data'!A:R,18,0)</f>
        <v>Bangaluru</v>
      </c>
      <c r="L871" t="str">
        <f>VLOOKUP(Googleadssales[[#This Row],[Ad_ID]],'[1]pre processed data'!A:S,19,0)</f>
        <v>Mobile</v>
      </c>
      <c r="M871" t="str">
        <f>VLOOKUP(Googleadssales[[#This Row],[Ad_ID]],'[1]pre processed data'!A:T,20,0)</f>
        <v>data analytics course</v>
      </c>
    </row>
    <row r="872" spans="1:13" x14ac:dyDescent="0.3">
      <c r="A872" t="s">
        <v>885</v>
      </c>
      <c r="B872" t="s">
        <v>14</v>
      </c>
      <c r="C872" s="4">
        <f>VLOOKUP(Googleadssales[[#This Row],[Ad_ID]],'[1]pre processed data'!A:C,3,0)</f>
        <v>113</v>
      </c>
      <c r="D872" s="4">
        <f>VLOOKUP(Googleadssales[[#This Row],[Ad_ID]],'[1]pre processed data'!A:E,5,0)</f>
        <v>5916</v>
      </c>
      <c r="E872" s="5" t="str">
        <f>VLOOKUP(Googleadssales[[#This Row],[Ad_ID]],[1]!Table3[[Ad_ID]:[Cost-imputed]],7,0)</f>
        <v>$234.58</v>
      </c>
      <c r="F872" s="4">
        <f>VLOOKUP(Googleadssales[[#This Row],[Ad_ID]],'[1]pre processed data'!A:I,9,0)</f>
        <v>18</v>
      </c>
      <c r="G872" s="4">
        <f>VLOOKUP(Googleadssales[[#This Row],[Ad_ID]],'[1]pre processed data'!A:K,11,0)</f>
        <v>5</v>
      </c>
      <c r="H872" s="2">
        <f>Googleadssales[[#This Row],[Conversions]]/Googleadssales[[#This Row],[Clicks]]</f>
        <v>4.4247787610619468E-2</v>
      </c>
      <c r="I872" t="str">
        <f>VLOOKUP(Googleadssales[[#This Row],[Ad_ID]],'[1]pre processed data'!A:O,15,0)</f>
        <v>$1165</v>
      </c>
      <c r="J872" s="3">
        <f>VLOOKUP(Googleadssales[[#This Row],[Ad_ID]],'[1]pre processed data'!A:Q,17,0)</f>
        <v>45608</v>
      </c>
      <c r="K872" t="str">
        <f>VLOOKUP(Googleadssales[[#This Row],[Ad_ID]],'[1]pre processed data'!A:R,18,0)</f>
        <v>Hyderabad</v>
      </c>
      <c r="L872" t="str">
        <f>VLOOKUP(Googleadssales[[#This Row],[Ad_ID]],'[1]pre processed data'!A:S,19,0)</f>
        <v>Mobile</v>
      </c>
      <c r="M872" t="str">
        <f>VLOOKUP(Googleadssales[[#This Row],[Ad_ID]],'[1]pre processed data'!A:T,20,0)</f>
        <v>data analytics course</v>
      </c>
    </row>
    <row r="873" spans="1:13" x14ac:dyDescent="0.3">
      <c r="A873" t="s">
        <v>886</v>
      </c>
      <c r="B873" t="s">
        <v>14</v>
      </c>
      <c r="C873" s="4">
        <f>VLOOKUP(Googleadssales[[#This Row],[Ad_ID]],'[1]pre processed data'!A:C,3,0)</f>
        <v>175</v>
      </c>
      <c r="D873" s="4">
        <f>VLOOKUP(Googleadssales[[#This Row],[Ad_ID]],'[1]pre processed data'!A:E,5,0)</f>
        <v>4958</v>
      </c>
      <c r="E873" s="5" t="str">
        <f>VLOOKUP(Googleadssales[[#This Row],[Ad_ID]],[1]!Table3[[Ad_ID]:[Cost-imputed]],7,0)</f>
        <v>$245.96</v>
      </c>
      <c r="F873" s="4">
        <f>VLOOKUP(Googleadssales[[#This Row],[Ad_ID]],'[1]pre processed data'!A:I,9,0)</f>
        <v>22</v>
      </c>
      <c r="G873" s="4">
        <f>VLOOKUP(Googleadssales[[#This Row],[Ad_ID]],'[1]pre processed data'!A:K,11,0)</f>
        <v>10</v>
      </c>
      <c r="H873" s="2">
        <f>Googleadssales[[#This Row],[Conversions]]/Googleadssales[[#This Row],[Clicks]]</f>
        <v>5.7142857142857141E-2</v>
      </c>
      <c r="I873" t="str">
        <f>VLOOKUP(Googleadssales[[#This Row],[Ad_ID]],'[1]pre processed data'!A:O,15,0)</f>
        <v>$1777</v>
      </c>
      <c r="J873" s="3">
        <f>VLOOKUP(Googleadssales[[#This Row],[Ad_ID]],'[1]pre processed data'!A:Q,17,0)</f>
        <v>45617</v>
      </c>
      <c r="K873" t="str">
        <f>VLOOKUP(Googleadssales[[#This Row],[Ad_ID]],'[1]pre processed data'!A:R,18,0)</f>
        <v>Chennai</v>
      </c>
      <c r="L873" t="str">
        <f>VLOOKUP(Googleadssales[[#This Row],[Ad_ID]],'[1]pre processed data'!A:S,19,0)</f>
        <v>Mobile</v>
      </c>
      <c r="M873" t="str">
        <f>VLOOKUP(Googleadssales[[#This Row],[Ad_ID]],'[1]pre processed data'!A:T,20,0)</f>
        <v>online data analytic</v>
      </c>
    </row>
    <row r="874" spans="1:13" x14ac:dyDescent="0.3">
      <c r="A874" t="s">
        <v>887</v>
      </c>
      <c r="B874" t="s">
        <v>14</v>
      </c>
      <c r="C874" s="4">
        <f>VLOOKUP(Googleadssales[[#This Row],[Ad_ID]],'[1]pre processed data'!A:C,3,0)</f>
        <v>112</v>
      </c>
      <c r="D874" s="4">
        <f>VLOOKUP(Googleadssales[[#This Row],[Ad_ID]],'[1]pre processed data'!A:E,5,0)</f>
        <v>5538</v>
      </c>
      <c r="E874" s="5" t="str">
        <f>VLOOKUP(Googleadssales[[#This Row],[Ad_ID]],[1]!Table3[[Ad_ID]:[Cost-imputed]],7,0)</f>
        <v>$225.66</v>
      </c>
      <c r="F874" s="4">
        <f>VLOOKUP(Googleadssales[[#This Row],[Ad_ID]],'[1]pre processed data'!A:I,9,0)</f>
        <v>22</v>
      </c>
      <c r="G874" s="4">
        <f>VLOOKUP(Googleadssales[[#This Row],[Ad_ID]],'[1]pre processed data'!A:K,11,0)</f>
        <v>4</v>
      </c>
      <c r="H874" s="2">
        <f>Googleadssales[[#This Row],[Conversions]]/Googleadssales[[#This Row],[Clicks]]</f>
        <v>3.5714285714285712E-2</v>
      </c>
      <c r="I874" t="str">
        <f>VLOOKUP(Googleadssales[[#This Row],[Ad_ID]],'[1]pre processed data'!A:O,15,0)</f>
        <v>$1500</v>
      </c>
      <c r="J874" s="3">
        <f>VLOOKUP(Googleadssales[[#This Row],[Ad_ID]],'[1]pre processed data'!A:Q,17,0)</f>
        <v>45618</v>
      </c>
      <c r="K874" t="str">
        <f>VLOOKUP(Googleadssales[[#This Row],[Ad_ID]],'[1]pre processed data'!A:R,18,0)</f>
        <v>Hyderabad</v>
      </c>
      <c r="L874" t="str">
        <f>VLOOKUP(Googleadssales[[#This Row],[Ad_ID]],'[1]pre processed data'!A:S,19,0)</f>
        <v>Desktop</v>
      </c>
      <c r="M874" t="str">
        <f>VLOOKUP(Googleadssales[[#This Row],[Ad_ID]],'[1]pre processed data'!A:T,20,0)</f>
        <v>online data analytic</v>
      </c>
    </row>
    <row r="875" spans="1:13" x14ac:dyDescent="0.3">
      <c r="A875" t="s">
        <v>888</v>
      </c>
      <c r="B875" t="s">
        <v>14</v>
      </c>
      <c r="C875" s="4">
        <f>VLOOKUP(Googleadssales[[#This Row],[Ad_ID]],'[1]pre processed data'!A:C,3,0)</f>
        <v>194</v>
      </c>
      <c r="D875" s="4">
        <f>VLOOKUP(Googleadssales[[#This Row],[Ad_ID]],'[1]pre processed data'!A:E,5,0)</f>
        <v>5309</v>
      </c>
      <c r="E875" s="5" t="str">
        <f>VLOOKUP(Googleadssales[[#This Row],[Ad_ID]],[1]!Table3[[Ad_ID]:[Cost-imputed]],7,0)</f>
        <v>$191.4</v>
      </c>
      <c r="F875" s="4">
        <f>VLOOKUP(Googleadssales[[#This Row],[Ad_ID]],'[1]pre processed data'!A:I,9,0)</f>
        <v>19</v>
      </c>
      <c r="G875" s="4">
        <f>VLOOKUP(Googleadssales[[#This Row],[Ad_ID]],'[1]pre processed data'!A:K,11,0)</f>
        <v>10</v>
      </c>
      <c r="H875" s="2">
        <f>Googleadssales[[#This Row],[Conversions]]/Googleadssales[[#This Row],[Clicks]]</f>
        <v>5.1546391752577317E-2</v>
      </c>
      <c r="I875" t="str">
        <f>VLOOKUP(Googleadssales[[#This Row],[Ad_ID]],'[1]pre processed data'!A:O,15,0)</f>
        <v>$1764</v>
      </c>
      <c r="J875" s="3">
        <f>VLOOKUP(Googleadssales[[#This Row],[Ad_ID]],'[1]pre processed data'!A:Q,17,0)</f>
        <v>45609</v>
      </c>
      <c r="K875" t="str">
        <f>VLOOKUP(Googleadssales[[#This Row],[Ad_ID]],'[1]pre processed data'!A:R,18,0)</f>
        <v>Chennai</v>
      </c>
      <c r="L875" t="str">
        <f>VLOOKUP(Googleadssales[[#This Row],[Ad_ID]],'[1]pre processed data'!A:S,19,0)</f>
        <v>Desktop</v>
      </c>
      <c r="M875" t="str">
        <f>VLOOKUP(Googleadssales[[#This Row],[Ad_ID]],'[1]pre processed data'!A:T,20,0)</f>
        <v>data analytics training</v>
      </c>
    </row>
    <row r="876" spans="1:13" x14ac:dyDescent="0.3">
      <c r="A876" t="s">
        <v>889</v>
      </c>
      <c r="B876" t="s">
        <v>14</v>
      </c>
      <c r="C876" s="4">
        <f>VLOOKUP(Googleadssales[[#This Row],[Ad_ID]],'[1]pre processed data'!A:C,3,0)</f>
        <v>138.95699356913184</v>
      </c>
      <c r="D876" s="4">
        <f>VLOOKUP(Googleadssales[[#This Row],[Ad_ID]],'[1]pre processed data'!A:E,5,0)</f>
        <v>4539</v>
      </c>
      <c r="E876" s="5" t="str">
        <f>VLOOKUP(Googleadssales[[#This Row],[Ad_ID]],[1]!Table3[[Ad_ID]:[Cost-imputed]],7,0)</f>
        <v>$244.4</v>
      </c>
      <c r="F876" s="4">
        <f>VLOOKUP(Googleadssales[[#This Row],[Ad_ID]],'[1]pre processed data'!A:I,9,0)</f>
        <v>18</v>
      </c>
      <c r="G876" s="4">
        <f>VLOOKUP(Googleadssales[[#This Row],[Ad_ID]],'[1]pre processed data'!A:K,11,0)</f>
        <v>6</v>
      </c>
      <c r="H876" s="2">
        <f>Googleadssales[[#This Row],[Conversions]]/Googleadssales[[#This Row],[Clicks]]</f>
        <v>4.317882710246583E-2</v>
      </c>
      <c r="I876" t="str">
        <f>VLOOKUP(Googleadssales[[#This Row],[Ad_ID]],'[1]pre processed data'!A:O,15,0)</f>
        <v>$1638</v>
      </c>
      <c r="J876" s="3">
        <f>VLOOKUP(Googleadssales[[#This Row],[Ad_ID]],'[1]pre processed data'!A:Q,17,0)</f>
        <v>45624</v>
      </c>
      <c r="K876" t="str">
        <f>VLOOKUP(Googleadssales[[#This Row],[Ad_ID]],'[1]pre processed data'!A:R,18,0)</f>
        <v>Hyderabad</v>
      </c>
      <c r="L876" t="str">
        <f>VLOOKUP(Googleadssales[[#This Row],[Ad_ID]],'[1]pre processed data'!A:S,19,0)</f>
        <v>Mobile</v>
      </c>
      <c r="M876" t="str">
        <f>VLOOKUP(Googleadssales[[#This Row],[Ad_ID]],'[1]pre processed data'!A:T,20,0)</f>
        <v>analytics for data</v>
      </c>
    </row>
    <row r="877" spans="1:13" x14ac:dyDescent="0.3">
      <c r="A877" t="s">
        <v>890</v>
      </c>
      <c r="B877" t="s">
        <v>14</v>
      </c>
      <c r="C877" s="4">
        <f>VLOOKUP(Googleadssales[[#This Row],[Ad_ID]],'[1]pre processed data'!A:C,3,0)</f>
        <v>82</v>
      </c>
      <c r="D877" s="4">
        <f>VLOOKUP(Googleadssales[[#This Row],[Ad_ID]],'[1]pre processed data'!A:E,5,0)</f>
        <v>4622</v>
      </c>
      <c r="E877" s="5" t="str">
        <f>VLOOKUP(Googleadssales[[#This Row],[Ad_ID]],[1]!Table3[[Ad_ID]:[Cost-imputed]],7,0)</f>
        <v>$203.99</v>
      </c>
      <c r="F877" s="4">
        <f>VLOOKUP(Googleadssales[[#This Row],[Ad_ID]],'[1]pre processed data'!A:I,9,0)</f>
        <v>17</v>
      </c>
      <c r="G877" s="4">
        <f>VLOOKUP(Googleadssales[[#This Row],[Ad_ID]],'[1]pre processed data'!A:K,11,0)</f>
        <v>9</v>
      </c>
      <c r="H877" s="2">
        <f>Googleadssales[[#This Row],[Conversions]]/Googleadssales[[#This Row],[Clicks]]</f>
        <v>0.10975609756097561</v>
      </c>
      <c r="I877" t="str">
        <f>VLOOKUP(Googleadssales[[#This Row],[Ad_ID]],'[1]pre processed data'!A:O,15,0)</f>
        <v>$1375</v>
      </c>
      <c r="J877" s="3">
        <f>VLOOKUP(Googleadssales[[#This Row],[Ad_ID]],'[1]pre processed data'!A:Q,17,0)</f>
        <v>45608</v>
      </c>
      <c r="K877" t="str">
        <f>VLOOKUP(Googleadssales[[#This Row],[Ad_ID]],'[1]pre processed data'!A:R,18,0)</f>
        <v>Bangaluru</v>
      </c>
      <c r="L877" t="str">
        <f>VLOOKUP(Googleadssales[[#This Row],[Ad_ID]],'[1]pre processed data'!A:S,19,0)</f>
        <v>Mobile</v>
      </c>
      <c r="M877" t="str">
        <f>VLOOKUP(Googleadssales[[#This Row],[Ad_ID]],'[1]pre processed data'!A:T,20,0)</f>
        <v>online data analytic</v>
      </c>
    </row>
    <row r="878" spans="1:13" x14ac:dyDescent="0.3">
      <c r="A878" t="s">
        <v>891</v>
      </c>
      <c r="B878" t="s">
        <v>14</v>
      </c>
      <c r="C878" s="4">
        <f>VLOOKUP(Googleadssales[[#This Row],[Ad_ID]],'[1]pre processed data'!A:C,3,0)</f>
        <v>138.95699356913184</v>
      </c>
      <c r="D878" s="4">
        <f>VLOOKUP(Googleadssales[[#This Row],[Ad_ID]],'[1]pre processed data'!A:E,5,0)</f>
        <v>3355</v>
      </c>
      <c r="E878" s="5" t="str">
        <f>VLOOKUP(Googleadssales[[#This Row],[Ad_ID]],[1]!Table3[[Ad_ID]:[Cost-imputed]],7,0)</f>
        <v>$193.57</v>
      </c>
      <c r="F878" s="4">
        <f>VLOOKUP(Googleadssales[[#This Row],[Ad_ID]],'[1]pre processed data'!A:I,9,0)</f>
        <v>26</v>
      </c>
      <c r="G878" s="4">
        <f>VLOOKUP(Googleadssales[[#This Row],[Ad_ID]],'[1]pre processed data'!A:K,11,0)</f>
        <v>9</v>
      </c>
      <c r="H878" s="2">
        <f>Googleadssales[[#This Row],[Conversions]]/Googleadssales[[#This Row],[Clicks]]</f>
        <v>6.4768240653698753E-2</v>
      </c>
      <c r="I878" t="str">
        <f>VLOOKUP(Googleadssales[[#This Row],[Ad_ID]],'[1]pre processed data'!A:O,15,0)</f>
        <v>$1961</v>
      </c>
      <c r="J878" s="3">
        <f>VLOOKUP(Googleadssales[[#This Row],[Ad_ID]],'[1]pre processed data'!A:Q,17,0)</f>
        <v>45607</v>
      </c>
      <c r="K878" t="str">
        <f>VLOOKUP(Googleadssales[[#This Row],[Ad_ID]],'[1]pre processed data'!A:R,18,0)</f>
        <v>Hyderabad</v>
      </c>
      <c r="L878" t="str">
        <f>VLOOKUP(Googleadssales[[#This Row],[Ad_ID]],'[1]pre processed data'!A:S,19,0)</f>
        <v>Mobile</v>
      </c>
      <c r="M878" t="str">
        <f>VLOOKUP(Googleadssales[[#This Row],[Ad_ID]],'[1]pre processed data'!A:T,20,0)</f>
        <v>learn data analytics</v>
      </c>
    </row>
    <row r="879" spans="1:13" x14ac:dyDescent="0.3">
      <c r="A879" t="s">
        <v>892</v>
      </c>
      <c r="B879" t="s">
        <v>14</v>
      </c>
      <c r="C879" s="4">
        <f>VLOOKUP(Googleadssales[[#This Row],[Ad_ID]],'[1]pre processed data'!A:C,3,0)</f>
        <v>179</v>
      </c>
      <c r="D879" s="4">
        <f>VLOOKUP(Googleadssales[[#This Row],[Ad_ID]],'[1]pre processed data'!A:E,5,0)</f>
        <v>4992</v>
      </c>
      <c r="E879" s="5" t="str">
        <f>VLOOKUP(Googleadssales[[#This Row],[Ad_ID]],[1]!Table3[[Ad_ID]:[Cost-imputed]],7,0)</f>
        <v>$221.48</v>
      </c>
      <c r="F879" s="4">
        <f>VLOOKUP(Googleadssales[[#This Row],[Ad_ID]],'[1]pre processed data'!A:I,9,0)</f>
        <v>27</v>
      </c>
      <c r="G879" s="4">
        <f>VLOOKUP(Googleadssales[[#This Row],[Ad_ID]],'[1]pre processed data'!A:K,11,0)</f>
        <v>10</v>
      </c>
      <c r="H879" s="2">
        <f>Googleadssales[[#This Row],[Conversions]]/Googleadssales[[#This Row],[Clicks]]</f>
        <v>5.5865921787709494E-2</v>
      </c>
      <c r="I879" t="str">
        <f>VLOOKUP(Googleadssales[[#This Row],[Ad_ID]],'[1]pre processed data'!A:O,15,0)</f>
        <v>$1062</v>
      </c>
      <c r="J879" s="3">
        <f>VLOOKUP(Googleadssales[[#This Row],[Ad_ID]],'[1]pre processed data'!A:Q,17,0)</f>
        <v>45602</v>
      </c>
      <c r="K879" t="str">
        <f>VLOOKUP(Googleadssales[[#This Row],[Ad_ID]],'[1]pre processed data'!A:R,18,0)</f>
        <v>Hyderabad</v>
      </c>
      <c r="L879" t="str">
        <f>VLOOKUP(Googleadssales[[#This Row],[Ad_ID]],'[1]pre processed data'!A:S,19,0)</f>
        <v>Tablet</v>
      </c>
      <c r="M879" t="str">
        <f>VLOOKUP(Googleadssales[[#This Row],[Ad_ID]],'[1]pre processed data'!A:T,20,0)</f>
        <v>learn data analytics</v>
      </c>
    </row>
    <row r="880" spans="1:13" x14ac:dyDescent="0.3">
      <c r="A880" t="s">
        <v>893</v>
      </c>
      <c r="B880" t="s">
        <v>14</v>
      </c>
      <c r="C880" s="4">
        <f>VLOOKUP(Googleadssales[[#This Row],[Ad_ID]],'[1]pre processed data'!A:C,3,0)</f>
        <v>93</v>
      </c>
      <c r="D880" s="4">
        <f>VLOOKUP(Googleadssales[[#This Row],[Ad_ID]],'[1]pre processed data'!A:E,5,0)</f>
        <v>3015</v>
      </c>
      <c r="E880" s="5" t="str">
        <f>VLOOKUP(Googleadssales[[#This Row],[Ad_ID]],[1]!Table3[[Ad_ID]:[Cost-imputed]],7,0)</f>
        <v>$232.01</v>
      </c>
      <c r="F880" s="4">
        <f>VLOOKUP(Googleadssales[[#This Row],[Ad_ID]],'[1]pre processed data'!A:I,9,0)</f>
        <v>21</v>
      </c>
      <c r="G880" s="4">
        <f>VLOOKUP(Googleadssales[[#This Row],[Ad_ID]],'[1]pre processed data'!A:K,11,0)</f>
        <v>4</v>
      </c>
      <c r="H880" s="2">
        <f>Googleadssales[[#This Row],[Conversions]]/Googleadssales[[#This Row],[Clicks]]</f>
        <v>4.3010752688172046E-2</v>
      </c>
      <c r="I880" t="str">
        <f>VLOOKUP(Googleadssales[[#This Row],[Ad_ID]],'[1]pre processed data'!A:O,15,0)</f>
        <v>$1770</v>
      </c>
      <c r="J880" s="3">
        <f>VLOOKUP(Googleadssales[[#This Row],[Ad_ID]],'[1]pre processed data'!A:Q,17,0)</f>
        <v>45622</v>
      </c>
      <c r="K880" t="str">
        <f>VLOOKUP(Googleadssales[[#This Row],[Ad_ID]],'[1]pre processed data'!A:R,18,0)</f>
        <v>Hyderabad</v>
      </c>
      <c r="L880" t="str">
        <f>VLOOKUP(Googleadssales[[#This Row],[Ad_ID]],'[1]pre processed data'!A:S,19,0)</f>
        <v>Mobile</v>
      </c>
      <c r="M880" t="str">
        <f>VLOOKUP(Googleadssales[[#This Row],[Ad_ID]],'[1]pre processed data'!A:T,20,0)</f>
        <v>learn data analytics</v>
      </c>
    </row>
    <row r="881" spans="1:13" x14ac:dyDescent="0.3">
      <c r="A881" t="s">
        <v>894</v>
      </c>
      <c r="B881" t="s">
        <v>18</v>
      </c>
      <c r="C881" s="4">
        <f>VLOOKUP(Googleadssales[[#This Row],[Ad_ID]],'[1]pre processed data'!A:C,3,0)</f>
        <v>152</v>
      </c>
      <c r="D881" s="4">
        <f>VLOOKUP(Googleadssales[[#This Row],[Ad_ID]],'[1]pre processed data'!A:E,5,0)</f>
        <v>4662</v>
      </c>
      <c r="E881" s="5" t="str">
        <f>VLOOKUP(Googleadssales[[#This Row],[Ad_ID]],[1]!Table3[[Ad_ID]:[Cost-imputed]],7,0)</f>
        <v>$249.13</v>
      </c>
      <c r="F881" s="4">
        <f>VLOOKUP(Googleadssales[[#This Row],[Ad_ID]],'[1]pre processed data'!A:I,9,0)</f>
        <v>24</v>
      </c>
      <c r="G881" s="4">
        <f>VLOOKUP(Googleadssales[[#This Row],[Ad_ID]],'[1]pre processed data'!A:K,11,0)</f>
        <v>7</v>
      </c>
      <c r="H881" s="2">
        <f>Googleadssales[[#This Row],[Conversions]]/Googleadssales[[#This Row],[Clicks]]</f>
        <v>4.6052631578947366E-2</v>
      </c>
      <c r="I881" t="str">
        <f>VLOOKUP(Googleadssales[[#This Row],[Ad_ID]],'[1]pre processed data'!A:O,15,0)</f>
        <v>$1951</v>
      </c>
      <c r="J881" s="3">
        <f>VLOOKUP(Googleadssales[[#This Row],[Ad_ID]],'[1]pre processed data'!A:Q,17,0)</f>
        <v>45607</v>
      </c>
      <c r="K881" t="str">
        <f>VLOOKUP(Googleadssales[[#This Row],[Ad_ID]],'[1]pre processed data'!A:R,18,0)</f>
        <v>Hyderabad</v>
      </c>
      <c r="L881" t="str">
        <f>VLOOKUP(Googleadssales[[#This Row],[Ad_ID]],'[1]pre processed data'!A:S,19,0)</f>
        <v>Desktop</v>
      </c>
      <c r="M881" t="str">
        <f>VLOOKUP(Googleadssales[[#This Row],[Ad_ID]],'[1]pre processed data'!A:T,20,0)</f>
        <v>online data analytic</v>
      </c>
    </row>
    <row r="882" spans="1:13" x14ac:dyDescent="0.3">
      <c r="A882" t="s">
        <v>895</v>
      </c>
      <c r="B882" t="s">
        <v>18</v>
      </c>
      <c r="C882" s="4">
        <f>VLOOKUP(Googleadssales[[#This Row],[Ad_ID]],'[1]pre processed data'!A:C,3,0)</f>
        <v>81</v>
      </c>
      <c r="D882" s="4">
        <f>VLOOKUP(Googleadssales[[#This Row],[Ad_ID]],'[1]pre processed data'!A:E,5,0)</f>
        <v>3766</v>
      </c>
      <c r="E882" s="5" t="str">
        <f>VLOOKUP(Googleadssales[[#This Row],[Ad_ID]],[1]!Table3[[Ad_ID]:[Cost-imputed]],7,0)</f>
        <v>$213.12</v>
      </c>
      <c r="F882" s="4">
        <f>VLOOKUP(Googleadssales[[#This Row],[Ad_ID]],'[1]pre processed data'!A:I,9,0)</f>
        <v>27</v>
      </c>
      <c r="G882" s="4">
        <f>VLOOKUP(Googleadssales[[#This Row],[Ad_ID]],'[1]pre processed data'!A:K,11,0)</f>
        <v>7</v>
      </c>
      <c r="H882" s="2">
        <f>Googleadssales[[#This Row],[Conversions]]/Googleadssales[[#This Row],[Clicks]]</f>
        <v>8.6419753086419748E-2</v>
      </c>
      <c r="I882" t="str">
        <f>VLOOKUP(Googleadssales[[#This Row],[Ad_ID]],'[1]pre processed data'!A:O,15,0)</f>
        <v>$1183</v>
      </c>
      <c r="J882" s="3">
        <f>VLOOKUP(Googleadssales[[#This Row],[Ad_ID]],'[1]pre processed data'!A:Q,17,0)</f>
        <v>45623</v>
      </c>
      <c r="K882" t="str">
        <f>VLOOKUP(Googleadssales[[#This Row],[Ad_ID]],'[1]pre processed data'!A:R,18,0)</f>
        <v>Hyderabad</v>
      </c>
      <c r="L882" t="str">
        <f>VLOOKUP(Googleadssales[[#This Row],[Ad_ID]],'[1]pre processed data'!A:S,19,0)</f>
        <v>Desktop</v>
      </c>
      <c r="M882" t="str">
        <f>VLOOKUP(Googleadssales[[#This Row],[Ad_ID]],'[1]pre processed data'!A:T,20,0)</f>
        <v>online data analytic</v>
      </c>
    </row>
    <row r="883" spans="1:13" x14ac:dyDescent="0.3">
      <c r="A883" t="s">
        <v>896</v>
      </c>
      <c r="B883" t="s">
        <v>14</v>
      </c>
      <c r="C883" s="4">
        <f>VLOOKUP(Googleadssales[[#This Row],[Ad_ID]],'[1]pre processed data'!A:C,3,0)</f>
        <v>130</v>
      </c>
      <c r="D883" s="4">
        <f>VLOOKUP(Googleadssales[[#This Row],[Ad_ID]],'[1]pre processed data'!A:E,5,0)</f>
        <v>5774</v>
      </c>
      <c r="E883" s="5" t="str">
        <f>VLOOKUP(Googleadssales[[#This Row],[Ad_ID]],[1]!Table3[[Ad_ID]:[Cost-imputed]],7,0)</f>
        <v>$241.97</v>
      </c>
      <c r="F883" s="4">
        <f>VLOOKUP(Googleadssales[[#This Row],[Ad_ID]],'[1]pre processed data'!A:I,9,0)</f>
        <v>11</v>
      </c>
      <c r="G883" s="4">
        <f>VLOOKUP(Googleadssales[[#This Row],[Ad_ID]],'[1]pre processed data'!A:K,11,0)</f>
        <v>7</v>
      </c>
      <c r="H883" s="2">
        <f>Googleadssales[[#This Row],[Conversions]]/Googleadssales[[#This Row],[Clicks]]</f>
        <v>5.3846153846153849E-2</v>
      </c>
      <c r="I883" t="str">
        <f>VLOOKUP(Googleadssales[[#This Row],[Ad_ID]],'[1]pre processed data'!A:O,15,0)</f>
        <v>$1708</v>
      </c>
      <c r="J883" s="3">
        <f>VLOOKUP(Googleadssales[[#This Row],[Ad_ID]],'[1]pre processed data'!A:Q,17,0)</f>
        <v>45616</v>
      </c>
      <c r="K883" t="str">
        <f>VLOOKUP(Googleadssales[[#This Row],[Ad_ID]],'[1]pre processed data'!A:R,18,0)</f>
        <v>Bangaluru</v>
      </c>
      <c r="L883" t="str">
        <f>VLOOKUP(Googleadssales[[#This Row],[Ad_ID]],'[1]pre processed data'!A:S,19,0)</f>
        <v>Desktop</v>
      </c>
      <c r="M883" t="str">
        <f>VLOOKUP(Googleadssales[[#This Row],[Ad_ID]],'[1]pre processed data'!A:T,20,0)</f>
        <v>data analytics course</v>
      </c>
    </row>
    <row r="884" spans="1:13" x14ac:dyDescent="0.3">
      <c r="A884" t="s">
        <v>897</v>
      </c>
      <c r="B884" t="s">
        <v>18</v>
      </c>
      <c r="C884" s="4">
        <f>VLOOKUP(Googleadssales[[#This Row],[Ad_ID]],'[1]pre processed data'!A:C,3,0)</f>
        <v>110</v>
      </c>
      <c r="D884" s="4">
        <f>VLOOKUP(Googleadssales[[#This Row],[Ad_ID]],'[1]pre processed data'!A:E,5,0)</f>
        <v>4542</v>
      </c>
      <c r="E884" s="5" t="str">
        <f>VLOOKUP(Googleadssales[[#This Row],[Ad_ID]],[1]!Table3[[Ad_ID]:[Cost-imputed]],7,0)</f>
        <v>$227.95</v>
      </c>
      <c r="F884" s="4">
        <f>VLOOKUP(Googleadssales[[#This Row],[Ad_ID]],'[1]pre processed data'!A:I,9,0)</f>
        <v>20</v>
      </c>
      <c r="G884" s="4">
        <f>VLOOKUP(Googleadssales[[#This Row],[Ad_ID]],'[1]pre processed data'!A:K,11,0)</f>
        <v>4</v>
      </c>
      <c r="H884" s="2">
        <f>Googleadssales[[#This Row],[Conversions]]/Googleadssales[[#This Row],[Clicks]]</f>
        <v>3.6363636363636362E-2</v>
      </c>
      <c r="I884" t="str">
        <f>VLOOKUP(Googleadssales[[#This Row],[Ad_ID]],'[1]pre processed data'!A:O,15,0)</f>
        <v>$1423</v>
      </c>
      <c r="J884" s="3">
        <f>VLOOKUP(Googleadssales[[#This Row],[Ad_ID]],'[1]pre processed data'!A:Q,17,0)</f>
        <v>45607</v>
      </c>
      <c r="K884" t="str">
        <f>VLOOKUP(Googleadssales[[#This Row],[Ad_ID]],'[1]pre processed data'!A:R,18,0)</f>
        <v>Chennai</v>
      </c>
      <c r="L884" t="str">
        <f>VLOOKUP(Googleadssales[[#This Row],[Ad_ID]],'[1]pre processed data'!A:S,19,0)</f>
        <v>Desktop</v>
      </c>
      <c r="M884" t="str">
        <f>VLOOKUP(Googleadssales[[#This Row],[Ad_ID]],'[1]pre processed data'!A:T,20,0)</f>
        <v>data analytics training</v>
      </c>
    </row>
    <row r="885" spans="1:13" x14ac:dyDescent="0.3">
      <c r="A885" t="s">
        <v>898</v>
      </c>
      <c r="B885" t="s">
        <v>14</v>
      </c>
      <c r="C885" s="4">
        <f>VLOOKUP(Googleadssales[[#This Row],[Ad_ID]],'[1]pre processed data'!A:C,3,0)</f>
        <v>122</v>
      </c>
      <c r="D885" s="4">
        <f>VLOOKUP(Googleadssales[[#This Row],[Ad_ID]],'[1]pre processed data'!A:E,5,0)</f>
        <v>5179</v>
      </c>
      <c r="E885" s="5" t="str">
        <f>VLOOKUP(Googleadssales[[#This Row],[Ad_ID]],[1]!Table3[[Ad_ID]:[Cost-imputed]],7,0)</f>
        <v>$200.00</v>
      </c>
      <c r="F885" s="4">
        <f>VLOOKUP(Googleadssales[[#This Row],[Ad_ID]],'[1]pre processed data'!A:I,9,0)</f>
        <v>11</v>
      </c>
      <c r="G885" s="4">
        <f>VLOOKUP(Googleadssales[[#This Row],[Ad_ID]],'[1]pre processed data'!A:K,11,0)</f>
        <v>4</v>
      </c>
      <c r="H885" s="2">
        <f>Googleadssales[[#This Row],[Conversions]]/Googleadssales[[#This Row],[Clicks]]</f>
        <v>3.2786885245901641E-2</v>
      </c>
      <c r="I885" t="str">
        <f>VLOOKUP(Googleadssales[[#This Row],[Ad_ID]],'[1]pre processed data'!A:O,15,0)</f>
        <v>$1507</v>
      </c>
      <c r="J885" s="3">
        <f>VLOOKUP(Googleadssales[[#This Row],[Ad_ID]],'[1]pre processed data'!A:Q,17,0)</f>
        <v>45614</v>
      </c>
      <c r="K885" t="str">
        <f>VLOOKUP(Googleadssales[[#This Row],[Ad_ID]],'[1]pre processed data'!A:R,18,0)</f>
        <v>Hyderabad</v>
      </c>
      <c r="L885" t="str">
        <f>VLOOKUP(Googleadssales[[#This Row],[Ad_ID]],'[1]pre processed data'!A:S,19,0)</f>
        <v>Tablet</v>
      </c>
      <c r="M885" t="str">
        <f>VLOOKUP(Googleadssales[[#This Row],[Ad_ID]],'[1]pre processed data'!A:T,20,0)</f>
        <v>analytics for data</v>
      </c>
    </row>
    <row r="886" spans="1:13" x14ac:dyDescent="0.3">
      <c r="A886" t="s">
        <v>899</v>
      </c>
      <c r="B886" t="s">
        <v>18</v>
      </c>
      <c r="C886" s="4">
        <f>VLOOKUP(Googleadssales[[#This Row],[Ad_ID]],'[1]pre processed data'!A:C,3,0)</f>
        <v>113</v>
      </c>
      <c r="D886" s="4">
        <f>VLOOKUP(Googleadssales[[#This Row],[Ad_ID]],'[1]pre processed data'!A:E,5,0)</f>
        <v>5265</v>
      </c>
      <c r="E886" s="5" t="str">
        <f>VLOOKUP(Googleadssales[[#This Row],[Ad_ID]],[1]!Table3[[Ad_ID]:[Cost-imputed]],7,0)</f>
        <v>$184.21</v>
      </c>
      <c r="F886" s="4">
        <f>VLOOKUP(Googleadssales[[#This Row],[Ad_ID]],'[1]pre processed data'!A:I,9,0)</f>
        <v>27</v>
      </c>
      <c r="G886" s="4">
        <f>VLOOKUP(Googleadssales[[#This Row],[Ad_ID]],'[1]pre processed data'!A:K,11,0)</f>
        <v>5</v>
      </c>
      <c r="H886" s="2">
        <f>Googleadssales[[#This Row],[Conversions]]/Googleadssales[[#This Row],[Clicks]]</f>
        <v>4.4247787610619468E-2</v>
      </c>
      <c r="I886" t="str">
        <f>VLOOKUP(Googleadssales[[#This Row],[Ad_ID]],'[1]pre processed data'!A:O,15,0)</f>
        <v>$1353</v>
      </c>
      <c r="J886" s="3">
        <f>VLOOKUP(Googleadssales[[#This Row],[Ad_ID]],'[1]pre processed data'!A:Q,17,0)</f>
        <v>45616</v>
      </c>
      <c r="K886" t="str">
        <f>VLOOKUP(Googleadssales[[#This Row],[Ad_ID]],'[1]pre processed data'!A:R,18,0)</f>
        <v>Chennai</v>
      </c>
      <c r="L886" t="str">
        <f>VLOOKUP(Googleadssales[[#This Row],[Ad_ID]],'[1]pre processed data'!A:S,19,0)</f>
        <v>Tablet</v>
      </c>
      <c r="M886" t="str">
        <f>VLOOKUP(Googleadssales[[#This Row],[Ad_ID]],'[1]pre processed data'!A:T,20,0)</f>
        <v>data analytics online</v>
      </c>
    </row>
    <row r="887" spans="1:13" x14ac:dyDescent="0.3">
      <c r="A887" t="s">
        <v>900</v>
      </c>
      <c r="B887" t="s">
        <v>14</v>
      </c>
      <c r="C887" s="4">
        <f>VLOOKUP(Googleadssales[[#This Row],[Ad_ID]],'[1]pre processed data'!A:C,3,0)</f>
        <v>140</v>
      </c>
      <c r="D887" s="4">
        <f>VLOOKUP(Googleadssales[[#This Row],[Ad_ID]],'[1]pre processed data'!A:E,5,0)</f>
        <v>5297</v>
      </c>
      <c r="E887" s="5" t="str">
        <f>VLOOKUP(Googleadssales[[#This Row],[Ad_ID]],[1]!Table3[[Ad_ID]:[Cost-imputed]],7,0)</f>
        <v>$223.9</v>
      </c>
      <c r="F887" s="4">
        <f>VLOOKUP(Googleadssales[[#This Row],[Ad_ID]],'[1]pre processed data'!A:I,9,0)</f>
        <v>28</v>
      </c>
      <c r="G887" s="4">
        <f>VLOOKUP(Googleadssales[[#This Row],[Ad_ID]],'[1]pre processed data'!A:K,11,0)</f>
        <v>6</v>
      </c>
      <c r="H887" s="2">
        <f>Googleadssales[[#This Row],[Conversions]]/Googleadssales[[#This Row],[Clicks]]</f>
        <v>4.2857142857142858E-2</v>
      </c>
      <c r="I887" t="str">
        <f>VLOOKUP(Googleadssales[[#This Row],[Ad_ID]],'[1]pre processed data'!A:O,15,0)</f>
        <v>$1630</v>
      </c>
      <c r="J887" s="3">
        <f>VLOOKUP(Googleadssales[[#This Row],[Ad_ID]],'[1]pre processed data'!A:Q,17,0)</f>
        <v>45617</v>
      </c>
      <c r="K887" t="str">
        <f>VLOOKUP(Googleadssales[[#This Row],[Ad_ID]],'[1]pre processed data'!A:R,18,0)</f>
        <v>Hyderabad</v>
      </c>
      <c r="L887" t="str">
        <f>VLOOKUP(Googleadssales[[#This Row],[Ad_ID]],'[1]pre processed data'!A:S,19,0)</f>
        <v>Mobile</v>
      </c>
      <c r="M887" t="str">
        <f>VLOOKUP(Googleadssales[[#This Row],[Ad_ID]],'[1]pre processed data'!A:T,20,0)</f>
        <v>data analytics course</v>
      </c>
    </row>
    <row r="888" spans="1:13" x14ac:dyDescent="0.3">
      <c r="A888" t="s">
        <v>901</v>
      </c>
      <c r="B888" t="s">
        <v>14</v>
      </c>
      <c r="C888" s="4">
        <f>VLOOKUP(Googleadssales[[#This Row],[Ad_ID]],'[1]pre processed data'!A:C,3,0)</f>
        <v>170</v>
      </c>
      <c r="D888" s="4">
        <f>VLOOKUP(Googleadssales[[#This Row],[Ad_ID]],'[1]pre processed data'!A:E,5,0)</f>
        <v>3347</v>
      </c>
      <c r="E888" s="5" t="str">
        <f>VLOOKUP(Googleadssales[[#This Row],[Ad_ID]],[1]!Table3[[Ad_ID]:[Cost-imputed]],7,0)</f>
        <v>$248.44</v>
      </c>
      <c r="F888" s="4">
        <f>VLOOKUP(Googleadssales[[#This Row],[Ad_ID]],'[1]pre processed data'!A:I,9,0)</f>
        <v>27</v>
      </c>
      <c r="G888" s="4">
        <f>VLOOKUP(Googleadssales[[#This Row],[Ad_ID]],'[1]pre processed data'!A:K,11,0)</f>
        <v>3</v>
      </c>
      <c r="H888" s="2">
        <f>Googleadssales[[#This Row],[Conversions]]/Googleadssales[[#This Row],[Clicks]]</f>
        <v>1.7647058823529412E-2</v>
      </c>
      <c r="I888" t="str">
        <f>VLOOKUP(Googleadssales[[#This Row],[Ad_ID]],'[1]pre processed data'!A:O,15,0)</f>
        <v>$1719</v>
      </c>
      <c r="J888" s="3">
        <f>VLOOKUP(Googleadssales[[#This Row],[Ad_ID]],'[1]pre processed data'!A:Q,17,0)</f>
        <v>45616</v>
      </c>
      <c r="K888" t="str">
        <f>VLOOKUP(Googleadssales[[#This Row],[Ad_ID]],'[1]pre processed data'!A:R,18,0)</f>
        <v>Hyderabad</v>
      </c>
      <c r="L888" t="str">
        <f>VLOOKUP(Googleadssales[[#This Row],[Ad_ID]],'[1]pre processed data'!A:S,19,0)</f>
        <v>Desktop</v>
      </c>
      <c r="M888" t="str">
        <f>VLOOKUP(Googleadssales[[#This Row],[Ad_ID]],'[1]pre processed data'!A:T,20,0)</f>
        <v>learn data analytics</v>
      </c>
    </row>
    <row r="889" spans="1:13" x14ac:dyDescent="0.3">
      <c r="A889" t="s">
        <v>902</v>
      </c>
      <c r="B889" t="s">
        <v>18</v>
      </c>
      <c r="C889" s="4">
        <f>VLOOKUP(Googleadssales[[#This Row],[Ad_ID]],'[1]pre processed data'!A:C,3,0)</f>
        <v>176</v>
      </c>
      <c r="D889" s="4">
        <f>VLOOKUP(Googleadssales[[#This Row],[Ad_ID]],'[1]pre processed data'!A:E,5,0)</f>
        <v>5960</v>
      </c>
      <c r="E889" s="5" t="str">
        <f>VLOOKUP(Googleadssales[[#This Row],[Ad_ID]],[1]!Table3[[Ad_ID]:[Cost-imputed]],7,0)</f>
        <v>$245.33</v>
      </c>
      <c r="F889" s="4">
        <f>VLOOKUP(Googleadssales[[#This Row],[Ad_ID]],'[1]pre processed data'!A:I,9,0)</f>
        <v>19</v>
      </c>
      <c r="G889" s="4">
        <f>VLOOKUP(Googleadssales[[#This Row],[Ad_ID]],'[1]pre processed data'!A:K,11,0)</f>
        <v>8</v>
      </c>
      <c r="H889" s="2">
        <f>Googleadssales[[#This Row],[Conversions]]/Googleadssales[[#This Row],[Clicks]]</f>
        <v>4.5454545454545456E-2</v>
      </c>
      <c r="I889" t="str">
        <f>VLOOKUP(Googleadssales[[#This Row],[Ad_ID]],'[1]pre processed data'!A:O,15,0)</f>
        <v>$1761</v>
      </c>
      <c r="J889" s="3">
        <f>VLOOKUP(Googleadssales[[#This Row],[Ad_ID]],'[1]pre processed data'!A:Q,17,0)</f>
        <v>45621</v>
      </c>
      <c r="K889" t="str">
        <f>VLOOKUP(Googleadssales[[#This Row],[Ad_ID]],'[1]pre processed data'!A:R,18,0)</f>
        <v>Bangaluru</v>
      </c>
      <c r="L889" t="str">
        <f>VLOOKUP(Googleadssales[[#This Row],[Ad_ID]],'[1]pre processed data'!A:S,19,0)</f>
        <v>Tablet</v>
      </c>
      <c r="M889" t="str">
        <f>VLOOKUP(Googleadssales[[#This Row],[Ad_ID]],'[1]pre processed data'!A:T,20,0)</f>
        <v>analytics for data</v>
      </c>
    </row>
    <row r="890" spans="1:13" x14ac:dyDescent="0.3">
      <c r="A890" t="s">
        <v>903</v>
      </c>
      <c r="B890" t="s">
        <v>14</v>
      </c>
      <c r="C890" s="4">
        <f>VLOOKUP(Googleadssales[[#This Row],[Ad_ID]],'[1]pre processed data'!A:C,3,0)</f>
        <v>138.95699356913184</v>
      </c>
      <c r="D890" s="4">
        <f>VLOOKUP(Googleadssales[[#This Row],[Ad_ID]],'[1]pre processed data'!A:E,5,0)</f>
        <v>5143</v>
      </c>
      <c r="E890" s="5" t="str">
        <f>VLOOKUP(Googleadssales[[#This Row],[Ad_ID]],[1]!Table3[[Ad_ID]:[Cost-imputed]],7,0)</f>
        <v>$246.3</v>
      </c>
      <c r="F890" s="4">
        <f>VLOOKUP(Googleadssales[[#This Row],[Ad_ID]],'[1]pre processed data'!A:I,9,0)</f>
        <v>19</v>
      </c>
      <c r="G890" s="4">
        <f>VLOOKUP(Googleadssales[[#This Row],[Ad_ID]],'[1]pre processed data'!A:K,11,0)</f>
        <v>5</v>
      </c>
      <c r="H890" s="2">
        <f>Googleadssales[[#This Row],[Conversions]]/Googleadssales[[#This Row],[Clicks]]</f>
        <v>3.5982355918721523E-2</v>
      </c>
      <c r="I890" t="str">
        <f>VLOOKUP(Googleadssales[[#This Row],[Ad_ID]],'[1]pre processed data'!A:O,15,0)</f>
        <v>$1346</v>
      </c>
      <c r="J890" s="3">
        <f>VLOOKUP(Googleadssales[[#This Row],[Ad_ID]],'[1]pre processed data'!A:Q,17,0)</f>
        <v>45601</v>
      </c>
      <c r="K890" t="str">
        <f>VLOOKUP(Googleadssales[[#This Row],[Ad_ID]],'[1]pre processed data'!A:R,18,0)</f>
        <v>Hyderabad</v>
      </c>
      <c r="L890" t="str">
        <f>VLOOKUP(Googleadssales[[#This Row],[Ad_ID]],'[1]pre processed data'!A:S,19,0)</f>
        <v>Mobile</v>
      </c>
      <c r="M890" t="str">
        <f>VLOOKUP(Googleadssales[[#This Row],[Ad_ID]],'[1]pre processed data'!A:T,20,0)</f>
        <v>data analytics training</v>
      </c>
    </row>
    <row r="891" spans="1:13" x14ac:dyDescent="0.3">
      <c r="A891" t="s">
        <v>904</v>
      </c>
      <c r="B891" t="s">
        <v>18</v>
      </c>
      <c r="C891" s="4">
        <f>VLOOKUP(Googleadssales[[#This Row],[Ad_ID]],'[1]pre processed data'!A:C,3,0)</f>
        <v>195</v>
      </c>
      <c r="D891" s="4">
        <f>VLOOKUP(Googleadssales[[#This Row],[Ad_ID]],'[1]pre processed data'!A:E,5,0)</f>
        <v>5265</v>
      </c>
      <c r="E891" s="5" t="str">
        <f>VLOOKUP(Googleadssales[[#This Row],[Ad_ID]],[1]!Table3[[Ad_ID]:[Cost-imputed]],7,0)</f>
        <v>$242.0</v>
      </c>
      <c r="F891" s="4">
        <f>VLOOKUP(Googleadssales[[#This Row],[Ad_ID]],'[1]pre processed data'!A:I,9,0)</f>
        <v>10</v>
      </c>
      <c r="G891" s="4">
        <f>VLOOKUP(Googleadssales[[#This Row],[Ad_ID]],'[1]pre processed data'!A:K,11,0)</f>
        <v>4</v>
      </c>
      <c r="H891" s="2">
        <f>Googleadssales[[#This Row],[Conversions]]/Googleadssales[[#This Row],[Clicks]]</f>
        <v>2.0512820512820513E-2</v>
      </c>
      <c r="I891" t="str">
        <f>VLOOKUP(Googleadssales[[#This Row],[Ad_ID]],'[1]pre processed data'!A:O,15,0)</f>
        <v>$1699</v>
      </c>
      <c r="J891" s="3">
        <f>VLOOKUP(Googleadssales[[#This Row],[Ad_ID]],'[1]pre processed data'!A:Q,17,0)</f>
        <v>45604</v>
      </c>
      <c r="K891" t="str">
        <f>VLOOKUP(Googleadssales[[#This Row],[Ad_ID]],'[1]pre processed data'!A:R,18,0)</f>
        <v>Hyderabad</v>
      </c>
      <c r="L891" t="str">
        <f>VLOOKUP(Googleadssales[[#This Row],[Ad_ID]],'[1]pre processed data'!A:S,19,0)</f>
        <v>Tablet</v>
      </c>
      <c r="M891" t="str">
        <f>VLOOKUP(Googleadssales[[#This Row],[Ad_ID]],'[1]pre processed data'!A:T,20,0)</f>
        <v>online data analytic</v>
      </c>
    </row>
    <row r="892" spans="1:13" x14ac:dyDescent="0.3">
      <c r="A892" t="s">
        <v>905</v>
      </c>
      <c r="B892" t="s">
        <v>14</v>
      </c>
      <c r="C892" s="4">
        <f>VLOOKUP(Googleadssales[[#This Row],[Ad_ID]],'[1]pre processed data'!A:C,3,0)</f>
        <v>162</v>
      </c>
      <c r="D892" s="4">
        <f>VLOOKUP(Googleadssales[[#This Row],[Ad_ID]],'[1]pre processed data'!A:E,5,0)</f>
        <v>4396</v>
      </c>
      <c r="E892" s="5" t="str">
        <f>VLOOKUP(Googleadssales[[#This Row],[Ad_ID]],[1]!Table3[[Ad_ID]:[Cost-imputed]],7,0)</f>
        <v>$183.96</v>
      </c>
      <c r="F892" s="4">
        <f>VLOOKUP(Googleadssales[[#This Row],[Ad_ID]],'[1]pre processed data'!A:I,9,0)</f>
        <v>18</v>
      </c>
      <c r="G892" s="4">
        <f>VLOOKUP(Googleadssales[[#This Row],[Ad_ID]],'[1]pre processed data'!A:K,11,0)</f>
        <v>4</v>
      </c>
      <c r="H892" s="2">
        <f>Googleadssales[[#This Row],[Conversions]]/Googleadssales[[#This Row],[Clicks]]</f>
        <v>2.4691358024691357E-2</v>
      </c>
      <c r="I892" t="str">
        <f>VLOOKUP(Googleadssales[[#This Row],[Ad_ID]],'[1]pre processed data'!A:O,15,0)</f>
        <v>$1054</v>
      </c>
      <c r="J892" s="3">
        <f>VLOOKUP(Googleadssales[[#This Row],[Ad_ID]],'[1]pre processed data'!A:Q,17,0)</f>
        <v>45614</v>
      </c>
      <c r="K892" t="str">
        <f>VLOOKUP(Googleadssales[[#This Row],[Ad_ID]],'[1]pre processed data'!A:R,18,0)</f>
        <v>Hyderabad</v>
      </c>
      <c r="L892" t="str">
        <f>VLOOKUP(Googleadssales[[#This Row],[Ad_ID]],'[1]pre processed data'!A:S,19,0)</f>
        <v>Tablet</v>
      </c>
      <c r="M892" t="str">
        <f>VLOOKUP(Googleadssales[[#This Row],[Ad_ID]],'[1]pre processed data'!A:T,20,0)</f>
        <v>data analytics online</v>
      </c>
    </row>
    <row r="893" spans="1:13" x14ac:dyDescent="0.3">
      <c r="A893" t="s">
        <v>906</v>
      </c>
      <c r="B893" t="s">
        <v>14</v>
      </c>
      <c r="C893" s="4">
        <f>VLOOKUP(Googleadssales[[#This Row],[Ad_ID]],'[1]pre processed data'!A:C,3,0)</f>
        <v>138</v>
      </c>
      <c r="D893" s="4">
        <f>VLOOKUP(Googleadssales[[#This Row],[Ad_ID]],'[1]pre processed data'!A:E,5,0)</f>
        <v>4381</v>
      </c>
      <c r="E893" s="5" t="str">
        <f>VLOOKUP(Googleadssales[[#This Row],[Ad_ID]],[1]!Table3[[Ad_ID]:[Cost-imputed]],7,0)</f>
        <v>$191.55</v>
      </c>
      <c r="F893" s="4">
        <f>VLOOKUP(Googleadssales[[#This Row],[Ad_ID]],'[1]pre processed data'!A:I,9,0)</f>
        <v>28</v>
      </c>
      <c r="G893" s="4">
        <f>VLOOKUP(Googleadssales[[#This Row],[Ad_ID]],'[1]pre processed data'!A:K,11,0)</f>
        <v>7</v>
      </c>
      <c r="H893" s="2">
        <f>Googleadssales[[#This Row],[Conversions]]/Googleadssales[[#This Row],[Clicks]]</f>
        <v>5.0724637681159424E-2</v>
      </c>
      <c r="I893" t="str">
        <f>VLOOKUP(Googleadssales[[#This Row],[Ad_ID]],'[1]pre processed data'!A:O,15,0)</f>
        <v>$1756</v>
      </c>
      <c r="J893" s="3">
        <f>VLOOKUP(Googleadssales[[#This Row],[Ad_ID]],'[1]pre processed data'!A:Q,17,0)</f>
        <v>45597</v>
      </c>
      <c r="K893" t="str">
        <f>VLOOKUP(Googleadssales[[#This Row],[Ad_ID]],'[1]pre processed data'!A:R,18,0)</f>
        <v>Bangaluru</v>
      </c>
      <c r="L893" t="str">
        <f>VLOOKUP(Googleadssales[[#This Row],[Ad_ID]],'[1]pre processed data'!A:S,19,0)</f>
        <v>Tablet</v>
      </c>
      <c r="M893" t="str">
        <f>VLOOKUP(Googleadssales[[#This Row],[Ad_ID]],'[1]pre processed data'!A:T,20,0)</f>
        <v>data analytics training</v>
      </c>
    </row>
    <row r="894" spans="1:13" x14ac:dyDescent="0.3">
      <c r="A894" t="s">
        <v>907</v>
      </c>
      <c r="B894" t="s">
        <v>14</v>
      </c>
      <c r="C894" s="4">
        <f>VLOOKUP(Googleadssales[[#This Row],[Ad_ID]],'[1]pre processed data'!A:C,3,0)</f>
        <v>177</v>
      </c>
      <c r="D894" s="4">
        <f>VLOOKUP(Googleadssales[[#This Row],[Ad_ID]],'[1]pre processed data'!A:E,5,0)</f>
        <v>3965</v>
      </c>
      <c r="E894" s="5" t="str">
        <f>VLOOKUP(Googleadssales[[#This Row],[Ad_ID]],[1]!Table3[[Ad_ID]:[Cost-imputed]],7,0)</f>
        <v>$225.82</v>
      </c>
      <c r="F894" s="4">
        <f>VLOOKUP(Googleadssales[[#This Row],[Ad_ID]],'[1]pre processed data'!A:I,9,0)</f>
        <v>15</v>
      </c>
      <c r="G894" s="4">
        <f>VLOOKUP(Googleadssales[[#This Row],[Ad_ID]],'[1]pre processed data'!A:K,11,0)</f>
        <v>4</v>
      </c>
      <c r="H894" s="2">
        <f>Googleadssales[[#This Row],[Conversions]]/Googleadssales[[#This Row],[Clicks]]</f>
        <v>2.2598870056497175E-2</v>
      </c>
      <c r="I894" t="str">
        <f>VLOOKUP(Googleadssales[[#This Row],[Ad_ID]],'[1]pre processed data'!A:O,15,0)</f>
        <v>$1530</v>
      </c>
      <c r="J894" s="3">
        <f>VLOOKUP(Googleadssales[[#This Row],[Ad_ID]],'[1]pre processed data'!A:Q,17,0)</f>
        <v>45618</v>
      </c>
      <c r="K894" t="str">
        <f>VLOOKUP(Googleadssales[[#This Row],[Ad_ID]],'[1]pre processed data'!A:R,18,0)</f>
        <v>Bangaluru</v>
      </c>
      <c r="L894" t="str">
        <f>VLOOKUP(Googleadssales[[#This Row],[Ad_ID]],'[1]pre processed data'!A:S,19,0)</f>
        <v>Mobile</v>
      </c>
      <c r="M894" t="str">
        <f>VLOOKUP(Googleadssales[[#This Row],[Ad_ID]],'[1]pre processed data'!A:T,20,0)</f>
        <v>online data analytic</v>
      </c>
    </row>
    <row r="895" spans="1:13" x14ac:dyDescent="0.3">
      <c r="A895" t="s">
        <v>908</v>
      </c>
      <c r="B895" t="s">
        <v>14</v>
      </c>
      <c r="C895" s="4">
        <f>VLOOKUP(Googleadssales[[#This Row],[Ad_ID]],'[1]pre processed data'!A:C,3,0)</f>
        <v>159</v>
      </c>
      <c r="D895" s="4">
        <f>VLOOKUP(Googleadssales[[#This Row],[Ad_ID]],'[1]pre processed data'!A:E,5,0)</f>
        <v>3366</v>
      </c>
      <c r="E895" s="5" t="str">
        <f>VLOOKUP(Googleadssales[[#This Row],[Ad_ID]],[1]!Table3[[Ad_ID]:[Cost-imputed]],7,0)</f>
        <v>$217.27</v>
      </c>
      <c r="F895" s="4">
        <f>VLOOKUP(Googleadssales[[#This Row],[Ad_ID]],'[1]pre processed data'!A:I,9,0)</f>
        <v>21</v>
      </c>
      <c r="G895" s="4">
        <f>VLOOKUP(Googleadssales[[#This Row],[Ad_ID]],'[1]pre processed data'!A:K,11,0)</f>
        <v>7</v>
      </c>
      <c r="H895" s="2">
        <f>Googleadssales[[#This Row],[Conversions]]/Googleadssales[[#This Row],[Clicks]]</f>
        <v>4.40251572327044E-2</v>
      </c>
      <c r="I895" t="str">
        <f>VLOOKUP(Googleadssales[[#This Row],[Ad_ID]],'[1]pre processed data'!A:O,15,0)</f>
        <v>$1515</v>
      </c>
      <c r="J895" s="3">
        <f>VLOOKUP(Googleadssales[[#This Row],[Ad_ID]],'[1]pre processed data'!A:Q,17,0)</f>
        <v>45613</v>
      </c>
      <c r="K895" t="str">
        <f>VLOOKUP(Googleadssales[[#This Row],[Ad_ID]],'[1]pre processed data'!A:R,18,0)</f>
        <v>Hyderabad</v>
      </c>
      <c r="L895" t="str">
        <f>VLOOKUP(Googleadssales[[#This Row],[Ad_ID]],'[1]pre processed data'!A:S,19,0)</f>
        <v>Tablet</v>
      </c>
      <c r="M895" t="str">
        <f>VLOOKUP(Googleadssales[[#This Row],[Ad_ID]],'[1]pre processed data'!A:T,20,0)</f>
        <v>online data analytic</v>
      </c>
    </row>
    <row r="896" spans="1:13" x14ac:dyDescent="0.3">
      <c r="A896" t="s">
        <v>909</v>
      </c>
      <c r="B896" t="s">
        <v>14</v>
      </c>
      <c r="C896" s="4">
        <f>VLOOKUP(Googleadssales[[#This Row],[Ad_ID]],'[1]pre processed data'!A:C,3,0)</f>
        <v>111</v>
      </c>
      <c r="D896" s="4">
        <f>VLOOKUP(Googleadssales[[#This Row],[Ad_ID]],'[1]pre processed data'!A:E,5,0)</f>
        <v>4026</v>
      </c>
      <c r="E896" s="5" t="str">
        <f>VLOOKUP(Googleadssales[[#This Row],[Ad_ID]],[1]!Table3[[Ad_ID]:[Cost-imputed]],7,0)</f>
        <v>$229.01</v>
      </c>
      <c r="F896" s="4">
        <f>VLOOKUP(Googleadssales[[#This Row],[Ad_ID]],'[1]pre processed data'!A:I,9,0)</f>
        <v>13</v>
      </c>
      <c r="G896" s="4">
        <f>VLOOKUP(Googleadssales[[#This Row],[Ad_ID]],'[1]pre processed data'!A:K,11,0)</f>
        <v>3</v>
      </c>
      <c r="H896" s="2">
        <f>Googleadssales[[#This Row],[Conversions]]/Googleadssales[[#This Row],[Clicks]]</f>
        <v>2.7027027027027029E-2</v>
      </c>
      <c r="I896" t="str">
        <f>VLOOKUP(Googleadssales[[#This Row],[Ad_ID]],'[1]pre processed data'!A:O,15,0)</f>
        <v>$1438</v>
      </c>
      <c r="J896" s="3">
        <f>VLOOKUP(Googleadssales[[#This Row],[Ad_ID]],'[1]pre processed data'!A:Q,17,0)</f>
        <v>45597</v>
      </c>
      <c r="K896" t="str">
        <f>VLOOKUP(Googleadssales[[#This Row],[Ad_ID]],'[1]pre processed data'!A:R,18,0)</f>
        <v>Bangaluru</v>
      </c>
      <c r="L896" t="str">
        <f>VLOOKUP(Googleadssales[[#This Row],[Ad_ID]],'[1]pre processed data'!A:S,19,0)</f>
        <v>Desktop</v>
      </c>
      <c r="M896" t="str">
        <f>VLOOKUP(Googleadssales[[#This Row],[Ad_ID]],'[1]pre processed data'!A:T,20,0)</f>
        <v>learn data analytics</v>
      </c>
    </row>
    <row r="897" spans="1:13" x14ac:dyDescent="0.3">
      <c r="A897" t="s">
        <v>910</v>
      </c>
      <c r="B897" t="s">
        <v>14</v>
      </c>
      <c r="C897" s="4">
        <f>VLOOKUP(Googleadssales[[#This Row],[Ad_ID]],'[1]pre processed data'!A:C,3,0)</f>
        <v>184</v>
      </c>
      <c r="D897" s="4">
        <f>VLOOKUP(Googleadssales[[#This Row],[Ad_ID]],'[1]pre processed data'!A:E,5,0)</f>
        <v>5560</v>
      </c>
      <c r="E897" s="5" t="str">
        <f>VLOOKUP(Googleadssales[[#This Row],[Ad_ID]],[1]!Table3[[Ad_ID]:[Cost-imputed]],7,0)</f>
        <v>$189.14</v>
      </c>
      <c r="F897" s="4">
        <f>VLOOKUP(Googleadssales[[#This Row],[Ad_ID]],'[1]pre processed data'!A:I,9,0)</f>
        <v>14</v>
      </c>
      <c r="G897" s="4">
        <f>VLOOKUP(Googleadssales[[#This Row],[Ad_ID]],'[1]pre processed data'!A:K,11,0)</f>
        <v>6</v>
      </c>
      <c r="H897" s="2">
        <f>Googleadssales[[#This Row],[Conversions]]/Googleadssales[[#This Row],[Clicks]]</f>
        <v>3.2608695652173912E-2</v>
      </c>
      <c r="I897" t="str">
        <f>VLOOKUP(Googleadssales[[#This Row],[Ad_ID]],'[1]pre processed data'!A:O,15,0)</f>
        <v>$1250</v>
      </c>
      <c r="J897" s="3">
        <f>VLOOKUP(Googleadssales[[#This Row],[Ad_ID]],'[1]pre processed data'!A:Q,17,0)</f>
        <v>45613</v>
      </c>
      <c r="K897" t="str">
        <f>VLOOKUP(Googleadssales[[#This Row],[Ad_ID]],'[1]pre processed data'!A:R,18,0)</f>
        <v>Hyderabad</v>
      </c>
      <c r="L897" t="str">
        <f>VLOOKUP(Googleadssales[[#This Row],[Ad_ID]],'[1]pre processed data'!A:S,19,0)</f>
        <v>Tablet</v>
      </c>
      <c r="M897" t="str">
        <f>VLOOKUP(Googleadssales[[#This Row],[Ad_ID]],'[1]pre processed data'!A:T,20,0)</f>
        <v>data analytics online</v>
      </c>
    </row>
    <row r="898" spans="1:13" x14ac:dyDescent="0.3">
      <c r="A898" t="s">
        <v>911</v>
      </c>
      <c r="B898" t="s">
        <v>14</v>
      </c>
      <c r="C898" s="4">
        <f>VLOOKUP(Googleadssales[[#This Row],[Ad_ID]],'[1]pre processed data'!A:C,3,0)</f>
        <v>128</v>
      </c>
      <c r="D898" s="4">
        <f>VLOOKUP(Googleadssales[[#This Row],[Ad_ID]],'[1]pre processed data'!A:E,5,0)</f>
        <v>4500</v>
      </c>
      <c r="E898" s="5" t="str">
        <f>VLOOKUP(Googleadssales[[#This Row],[Ad_ID]],[1]!Table3[[Ad_ID]:[Cost-imputed]],7,0)</f>
        <v>$188.21</v>
      </c>
      <c r="F898" s="4">
        <f>VLOOKUP(Googleadssales[[#This Row],[Ad_ID]],'[1]pre processed data'!A:I,9,0)</f>
        <v>10</v>
      </c>
      <c r="G898" s="4">
        <f>VLOOKUP(Googleadssales[[#This Row],[Ad_ID]],'[1]pre processed data'!A:K,11,0)</f>
        <v>3</v>
      </c>
      <c r="H898" s="2">
        <f>Googleadssales[[#This Row],[Conversions]]/Googleadssales[[#This Row],[Clicks]]</f>
        <v>2.34375E-2</v>
      </c>
      <c r="I898" t="str">
        <f>VLOOKUP(Googleadssales[[#This Row],[Ad_ID]],'[1]pre processed data'!A:O,15,0)</f>
        <v>$1087</v>
      </c>
      <c r="J898" s="3">
        <f>VLOOKUP(Googleadssales[[#This Row],[Ad_ID]],'[1]pre processed data'!A:Q,17,0)</f>
        <v>45610</v>
      </c>
      <c r="K898" t="str">
        <f>VLOOKUP(Googleadssales[[#This Row],[Ad_ID]],'[1]pre processed data'!A:R,18,0)</f>
        <v>Bangaluru</v>
      </c>
      <c r="L898" t="str">
        <f>VLOOKUP(Googleadssales[[#This Row],[Ad_ID]],'[1]pre processed data'!A:S,19,0)</f>
        <v>Desktop</v>
      </c>
      <c r="M898" t="str">
        <f>VLOOKUP(Googleadssales[[#This Row],[Ad_ID]],'[1]pre processed data'!A:T,20,0)</f>
        <v>online data analytic</v>
      </c>
    </row>
    <row r="899" spans="1:13" x14ac:dyDescent="0.3">
      <c r="A899" t="s">
        <v>912</v>
      </c>
      <c r="B899" t="s">
        <v>14</v>
      </c>
      <c r="C899" s="4">
        <f>VLOOKUP(Googleadssales[[#This Row],[Ad_ID]],'[1]pre processed data'!A:C,3,0)</f>
        <v>164</v>
      </c>
      <c r="D899" s="4">
        <f>VLOOKUP(Googleadssales[[#This Row],[Ad_ID]],'[1]pre processed data'!A:E,5,0)</f>
        <v>3851</v>
      </c>
      <c r="E899" s="5" t="str">
        <f>VLOOKUP(Googleadssales[[#This Row],[Ad_ID]],[1]!Table3[[Ad_ID]:[Cost-imputed]],7,0)</f>
        <v>$219.15</v>
      </c>
      <c r="F899" s="4">
        <f>VLOOKUP(Googleadssales[[#This Row],[Ad_ID]],'[1]pre processed data'!A:I,9,0)</f>
        <v>22</v>
      </c>
      <c r="G899" s="4">
        <f>VLOOKUP(Googleadssales[[#This Row],[Ad_ID]],'[1]pre processed data'!A:K,11,0)</f>
        <v>6</v>
      </c>
      <c r="H899" s="2">
        <f>Googleadssales[[#This Row],[Conversions]]/Googleadssales[[#This Row],[Clicks]]</f>
        <v>3.6585365853658534E-2</v>
      </c>
      <c r="I899" t="str">
        <f>VLOOKUP(Googleadssales[[#This Row],[Ad_ID]],'[1]pre processed data'!A:O,15,0)</f>
        <v>$1487</v>
      </c>
      <c r="J899" s="3">
        <f>VLOOKUP(Googleadssales[[#This Row],[Ad_ID]],'[1]pre processed data'!A:Q,17,0)</f>
        <v>45605</v>
      </c>
      <c r="K899" t="str">
        <f>VLOOKUP(Googleadssales[[#This Row],[Ad_ID]],'[1]pre processed data'!A:R,18,0)</f>
        <v>Hyderabad</v>
      </c>
      <c r="L899" t="str">
        <f>VLOOKUP(Googleadssales[[#This Row],[Ad_ID]],'[1]pre processed data'!A:S,19,0)</f>
        <v>Mobile</v>
      </c>
      <c r="M899" t="str">
        <f>VLOOKUP(Googleadssales[[#This Row],[Ad_ID]],'[1]pre processed data'!A:T,20,0)</f>
        <v>learn data analytics</v>
      </c>
    </row>
    <row r="900" spans="1:13" x14ac:dyDescent="0.3">
      <c r="A900" t="s">
        <v>913</v>
      </c>
      <c r="B900" t="s">
        <v>18</v>
      </c>
      <c r="C900" s="4">
        <f>VLOOKUP(Googleadssales[[#This Row],[Ad_ID]],'[1]pre processed data'!A:C,3,0)</f>
        <v>120</v>
      </c>
      <c r="D900" s="4">
        <f>VLOOKUP(Googleadssales[[#This Row],[Ad_ID]],'[1]pre processed data'!A:E,5,0)</f>
        <v>3464</v>
      </c>
      <c r="E900" s="5" t="str">
        <f>VLOOKUP(Googleadssales[[#This Row],[Ad_ID]],[1]!Table3[[Ad_ID]:[Cost-imputed]],7,0)</f>
        <v>$228.3</v>
      </c>
      <c r="F900" s="4">
        <f>VLOOKUP(Googleadssales[[#This Row],[Ad_ID]],'[1]pre processed data'!A:I,9,0)</f>
        <v>19</v>
      </c>
      <c r="G900" s="4">
        <f>VLOOKUP(Googleadssales[[#This Row],[Ad_ID]],'[1]pre processed data'!A:K,11,0)</f>
        <v>4</v>
      </c>
      <c r="H900" s="2">
        <f>Googleadssales[[#This Row],[Conversions]]/Googleadssales[[#This Row],[Clicks]]</f>
        <v>3.3333333333333333E-2</v>
      </c>
      <c r="I900" t="str">
        <f>VLOOKUP(Googleadssales[[#This Row],[Ad_ID]],'[1]pre processed data'!A:O,15,0)</f>
        <v>$1426</v>
      </c>
      <c r="J900" s="3">
        <f>VLOOKUP(Googleadssales[[#This Row],[Ad_ID]],'[1]pre processed data'!A:Q,17,0)</f>
        <v>45618</v>
      </c>
      <c r="K900" t="str">
        <f>VLOOKUP(Googleadssales[[#This Row],[Ad_ID]],'[1]pre processed data'!A:R,18,0)</f>
        <v>Bangaluru</v>
      </c>
      <c r="L900" t="str">
        <f>VLOOKUP(Googleadssales[[#This Row],[Ad_ID]],'[1]pre processed data'!A:S,19,0)</f>
        <v>Tablet</v>
      </c>
      <c r="M900" t="str">
        <f>VLOOKUP(Googleadssales[[#This Row],[Ad_ID]],'[1]pre processed data'!A:T,20,0)</f>
        <v>online data analytic</v>
      </c>
    </row>
    <row r="901" spans="1:13" x14ac:dyDescent="0.3">
      <c r="A901" t="s">
        <v>914</v>
      </c>
      <c r="B901" t="s">
        <v>14</v>
      </c>
      <c r="C901" s="4">
        <f>VLOOKUP(Googleadssales[[#This Row],[Ad_ID]],'[1]pre processed data'!A:C,3,0)</f>
        <v>89</v>
      </c>
      <c r="D901" s="4">
        <f>VLOOKUP(Googleadssales[[#This Row],[Ad_ID]],'[1]pre processed data'!A:E,5,0)</f>
        <v>3248</v>
      </c>
      <c r="E901" s="5" t="str">
        <f>VLOOKUP(Googleadssales[[#This Row],[Ad_ID]],[1]!Table3[[Ad_ID]:[Cost-imputed]],7,0)</f>
        <v>$239.42</v>
      </c>
      <c r="F901" s="4">
        <f>VLOOKUP(Googleadssales[[#This Row],[Ad_ID]],'[1]pre processed data'!A:I,9,0)</f>
        <v>10</v>
      </c>
      <c r="G901" s="4">
        <f>VLOOKUP(Googleadssales[[#This Row],[Ad_ID]],'[1]pre processed data'!A:K,11,0)</f>
        <v>4</v>
      </c>
      <c r="H901" s="2">
        <f>Googleadssales[[#This Row],[Conversions]]/Googleadssales[[#This Row],[Clicks]]</f>
        <v>4.49438202247191E-2</v>
      </c>
      <c r="I901" t="str">
        <f>VLOOKUP(Googleadssales[[#This Row],[Ad_ID]],'[1]pre processed data'!A:O,15,0)</f>
        <v>$1500</v>
      </c>
      <c r="J901" s="3">
        <f>VLOOKUP(Googleadssales[[#This Row],[Ad_ID]],'[1]pre processed data'!A:Q,17,0)</f>
        <v>45607</v>
      </c>
      <c r="K901" t="str">
        <f>VLOOKUP(Googleadssales[[#This Row],[Ad_ID]],'[1]pre processed data'!A:R,18,0)</f>
        <v>Bangaluru</v>
      </c>
      <c r="L901" t="str">
        <f>VLOOKUP(Googleadssales[[#This Row],[Ad_ID]],'[1]pre processed data'!A:S,19,0)</f>
        <v>Mobile</v>
      </c>
      <c r="M901" t="str">
        <f>VLOOKUP(Googleadssales[[#This Row],[Ad_ID]],'[1]pre processed data'!A:T,20,0)</f>
        <v>learn data analytics</v>
      </c>
    </row>
    <row r="902" spans="1:13" x14ac:dyDescent="0.3">
      <c r="A902" t="s">
        <v>915</v>
      </c>
      <c r="B902" t="s">
        <v>14</v>
      </c>
      <c r="C902" s="4">
        <f>VLOOKUP(Googleadssales[[#This Row],[Ad_ID]],'[1]pre processed data'!A:C,3,0)</f>
        <v>91</v>
      </c>
      <c r="D902" s="4">
        <f>VLOOKUP(Googleadssales[[#This Row],[Ad_ID]],'[1]pre processed data'!A:E,5,0)</f>
        <v>3721</v>
      </c>
      <c r="E902" s="5" t="str">
        <f>VLOOKUP(Googleadssales[[#This Row],[Ad_ID]],[1]!Table3[[Ad_ID]:[Cost-imputed]],7,0)</f>
        <v>$231.45</v>
      </c>
      <c r="F902" s="4">
        <f>VLOOKUP(Googleadssales[[#This Row],[Ad_ID]],'[1]pre processed data'!A:I,9,0)</f>
        <v>24</v>
      </c>
      <c r="G902" s="4">
        <f>VLOOKUP(Googleadssales[[#This Row],[Ad_ID]],'[1]pre processed data'!A:K,11,0)</f>
        <v>6</v>
      </c>
      <c r="H902" s="2">
        <f>Googleadssales[[#This Row],[Conversions]]/Googleadssales[[#This Row],[Clicks]]</f>
        <v>6.5934065934065936E-2</v>
      </c>
      <c r="I902" t="str">
        <f>VLOOKUP(Googleadssales[[#This Row],[Ad_ID]],'[1]pre processed data'!A:O,15,0)</f>
        <v>$1500</v>
      </c>
      <c r="J902" s="3">
        <f>VLOOKUP(Googleadssales[[#This Row],[Ad_ID]],'[1]pre processed data'!A:Q,17,0)</f>
        <v>45610</v>
      </c>
      <c r="K902" t="str">
        <f>VLOOKUP(Googleadssales[[#This Row],[Ad_ID]],'[1]pre processed data'!A:R,18,0)</f>
        <v>Hyderabad</v>
      </c>
      <c r="L902" t="str">
        <f>VLOOKUP(Googleadssales[[#This Row],[Ad_ID]],'[1]pre processed data'!A:S,19,0)</f>
        <v>Tablet</v>
      </c>
      <c r="M902" t="str">
        <f>VLOOKUP(Googleadssales[[#This Row],[Ad_ID]],'[1]pre processed data'!A:T,20,0)</f>
        <v>online data analytic</v>
      </c>
    </row>
    <row r="903" spans="1:13" x14ac:dyDescent="0.3">
      <c r="A903" t="s">
        <v>916</v>
      </c>
      <c r="B903" t="s">
        <v>14</v>
      </c>
      <c r="C903" s="4">
        <f>VLOOKUP(Googleadssales[[#This Row],[Ad_ID]],'[1]pre processed data'!A:C,3,0)</f>
        <v>143</v>
      </c>
      <c r="D903" s="4">
        <f>VLOOKUP(Googleadssales[[#This Row],[Ad_ID]],'[1]pre processed data'!A:E,5,0)</f>
        <v>4143</v>
      </c>
      <c r="E903" s="5" t="str">
        <f>VLOOKUP(Googleadssales[[#This Row],[Ad_ID]],[1]!Table3[[Ad_ID]:[Cost-imputed]],7,0)</f>
        <v>$191.68</v>
      </c>
      <c r="F903" s="4">
        <f>VLOOKUP(Googleadssales[[#This Row],[Ad_ID]],'[1]pre processed data'!A:I,9,0)</f>
        <v>20</v>
      </c>
      <c r="G903" s="4">
        <f>VLOOKUP(Googleadssales[[#This Row],[Ad_ID]],'[1]pre processed data'!A:K,11,0)</f>
        <v>5</v>
      </c>
      <c r="H903" s="2">
        <f>Googleadssales[[#This Row],[Conversions]]/Googleadssales[[#This Row],[Clicks]]</f>
        <v>3.4965034965034968E-2</v>
      </c>
      <c r="I903" t="str">
        <f>VLOOKUP(Googleadssales[[#This Row],[Ad_ID]],'[1]pre processed data'!A:O,15,0)</f>
        <v>$1460</v>
      </c>
      <c r="J903" s="3">
        <f>VLOOKUP(Googleadssales[[#This Row],[Ad_ID]],'[1]pre processed data'!A:Q,17,0)</f>
        <v>45626</v>
      </c>
      <c r="K903" t="str">
        <f>VLOOKUP(Googleadssales[[#This Row],[Ad_ID]],'[1]pre processed data'!A:R,18,0)</f>
        <v>Bangaluru</v>
      </c>
      <c r="L903" t="str">
        <f>VLOOKUP(Googleadssales[[#This Row],[Ad_ID]],'[1]pre processed data'!A:S,19,0)</f>
        <v>Tablet</v>
      </c>
      <c r="M903" t="str">
        <f>VLOOKUP(Googleadssales[[#This Row],[Ad_ID]],'[1]pre processed data'!A:T,20,0)</f>
        <v>analytics for data</v>
      </c>
    </row>
    <row r="904" spans="1:13" x14ac:dyDescent="0.3">
      <c r="A904" t="s">
        <v>917</v>
      </c>
      <c r="B904" t="s">
        <v>14</v>
      </c>
      <c r="C904" s="4">
        <f>VLOOKUP(Googleadssales[[#This Row],[Ad_ID]],'[1]pre processed data'!A:C,3,0)</f>
        <v>176</v>
      </c>
      <c r="D904" s="4">
        <f>VLOOKUP(Googleadssales[[#This Row],[Ad_ID]],'[1]pre processed data'!A:E,5,0)</f>
        <v>5768</v>
      </c>
      <c r="E904" s="5" t="str">
        <f>VLOOKUP(Googleadssales[[#This Row],[Ad_ID]],[1]!Table3[[Ad_ID]:[Cost-imputed]],7,0)</f>
        <v>$238.94</v>
      </c>
      <c r="F904" s="4">
        <f>VLOOKUP(Googleadssales[[#This Row],[Ad_ID]],'[1]pre processed data'!A:I,9,0)</f>
        <v>14</v>
      </c>
      <c r="G904" s="4">
        <f>VLOOKUP(Googleadssales[[#This Row],[Ad_ID]],'[1]pre processed data'!A:K,11,0)</f>
        <v>8</v>
      </c>
      <c r="H904" s="2">
        <f>Googleadssales[[#This Row],[Conversions]]/Googleadssales[[#This Row],[Clicks]]</f>
        <v>4.5454545454545456E-2</v>
      </c>
      <c r="I904" t="str">
        <f>VLOOKUP(Googleadssales[[#This Row],[Ad_ID]],'[1]pre processed data'!A:O,15,0)</f>
        <v>$1016</v>
      </c>
      <c r="J904" s="3">
        <f>VLOOKUP(Googleadssales[[#This Row],[Ad_ID]],'[1]pre processed data'!A:Q,17,0)</f>
        <v>45598</v>
      </c>
      <c r="K904" t="str">
        <f>VLOOKUP(Googleadssales[[#This Row],[Ad_ID]],'[1]pre processed data'!A:R,18,0)</f>
        <v>Chennai</v>
      </c>
      <c r="L904" t="str">
        <f>VLOOKUP(Googleadssales[[#This Row],[Ad_ID]],'[1]pre processed data'!A:S,19,0)</f>
        <v>Tablet</v>
      </c>
      <c r="M904" t="str">
        <f>VLOOKUP(Googleadssales[[#This Row],[Ad_ID]],'[1]pre processed data'!A:T,20,0)</f>
        <v>data analytics online</v>
      </c>
    </row>
    <row r="905" spans="1:13" x14ac:dyDescent="0.3">
      <c r="A905" t="s">
        <v>918</v>
      </c>
      <c r="B905" t="s">
        <v>14</v>
      </c>
      <c r="C905" s="4">
        <f>VLOOKUP(Googleadssales[[#This Row],[Ad_ID]],'[1]pre processed data'!A:C,3,0)</f>
        <v>151</v>
      </c>
      <c r="D905" s="4">
        <f>VLOOKUP(Googleadssales[[#This Row],[Ad_ID]],'[1]pre processed data'!A:E,5,0)</f>
        <v>4408</v>
      </c>
      <c r="E905" s="5" t="str">
        <f>VLOOKUP(Googleadssales[[#This Row],[Ad_ID]],[1]!Table3[[Ad_ID]:[Cost-imputed]],7,0)</f>
        <v>$214.29</v>
      </c>
      <c r="F905" s="4">
        <f>VLOOKUP(Googleadssales[[#This Row],[Ad_ID]],'[1]pre processed data'!A:I,9,0)</f>
        <v>20</v>
      </c>
      <c r="G905" s="4">
        <f>VLOOKUP(Googleadssales[[#This Row],[Ad_ID]],'[1]pre processed data'!A:K,11,0)</f>
        <v>5</v>
      </c>
      <c r="H905" s="2">
        <f>Googleadssales[[#This Row],[Conversions]]/Googleadssales[[#This Row],[Clicks]]</f>
        <v>3.3112582781456956E-2</v>
      </c>
      <c r="I905" t="str">
        <f>VLOOKUP(Googleadssales[[#This Row],[Ad_ID]],'[1]pre processed data'!A:O,15,0)</f>
        <v>$1900</v>
      </c>
      <c r="J905" s="3">
        <f>VLOOKUP(Googleadssales[[#This Row],[Ad_ID]],'[1]pre processed data'!A:Q,17,0)</f>
        <v>45617</v>
      </c>
      <c r="K905" t="str">
        <f>VLOOKUP(Googleadssales[[#This Row],[Ad_ID]],'[1]pre processed data'!A:R,18,0)</f>
        <v>Hyderabad</v>
      </c>
      <c r="L905" t="str">
        <f>VLOOKUP(Googleadssales[[#This Row],[Ad_ID]],'[1]pre processed data'!A:S,19,0)</f>
        <v>Desktop</v>
      </c>
      <c r="M905" t="str">
        <f>VLOOKUP(Googleadssales[[#This Row],[Ad_ID]],'[1]pre processed data'!A:T,20,0)</f>
        <v>data analytics course</v>
      </c>
    </row>
    <row r="906" spans="1:13" x14ac:dyDescent="0.3">
      <c r="A906" t="s">
        <v>919</v>
      </c>
      <c r="B906" t="s">
        <v>18</v>
      </c>
      <c r="C906" s="4">
        <f>VLOOKUP(Googleadssales[[#This Row],[Ad_ID]],'[1]pre processed data'!A:C,3,0)</f>
        <v>134</v>
      </c>
      <c r="D906" s="4">
        <f>VLOOKUP(Googleadssales[[#This Row],[Ad_ID]],'[1]pre processed data'!A:E,5,0)</f>
        <v>3623</v>
      </c>
      <c r="E906" s="5" t="str">
        <f>VLOOKUP(Googleadssales[[#This Row],[Ad_ID]],[1]!Table3[[Ad_ID]:[Cost-imputed]],7,0)</f>
        <v>$221.65</v>
      </c>
      <c r="F906" s="4">
        <f>VLOOKUP(Googleadssales[[#This Row],[Ad_ID]],'[1]pre processed data'!A:I,9,0)</f>
        <v>19</v>
      </c>
      <c r="G906" s="4">
        <f>VLOOKUP(Googleadssales[[#This Row],[Ad_ID]],'[1]pre processed data'!A:K,11,0)</f>
        <v>5</v>
      </c>
      <c r="H906" s="2">
        <f>Googleadssales[[#This Row],[Conversions]]/Googleadssales[[#This Row],[Clicks]]</f>
        <v>3.7313432835820892E-2</v>
      </c>
      <c r="I906" t="str">
        <f>VLOOKUP(Googleadssales[[#This Row],[Ad_ID]],'[1]pre processed data'!A:O,15,0)</f>
        <v>$1937</v>
      </c>
      <c r="J906" s="3">
        <f>VLOOKUP(Googleadssales[[#This Row],[Ad_ID]],'[1]pre processed data'!A:Q,17,0)</f>
        <v>45620</v>
      </c>
      <c r="K906" t="str">
        <f>VLOOKUP(Googleadssales[[#This Row],[Ad_ID]],'[1]pre processed data'!A:R,18,0)</f>
        <v>Hyderabad</v>
      </c>
      <c r="L906" t="str">
        <f>VLOOKUP(Googleadssales[[#This Row],[Ad_ID]],'[1]pre processed data'!A:S,19,0)</f>
        <v>Desktop</v>
      </c>
      <c r="M906" t="str">
        <f>VLOOKUP(Googleadssales[[#This Row],[Ad_ID]],'[1]pre processed data'!A:T,20,0)</f>
        <v>data analytics online</v>
      </c>
    </row>
    <row r="907" spans="1:13" x14ac:dyDescent="0.3">
      <c r="A907" t="s">
        <v>920</v>
      </c>
      <c r="B907" t="s">
        <v>14</v>
      </c>
      <c r="C907" s="4">
        <f>VLOOKUP(Googleadssales[[#This Row],[Ad_ID]],'[1]pre processed data'!A:C,3,0)</f>
        <v>191</v>
      </c>
      <c r="D907" s="4">
        <f>VLOOKUP(Googleadssales[[#This Row],[Ad_ID]],'[1]pre processed data'!A:E,5,0)</f>
        <v>3057</v>
      </c>
      <c r="E907" s="5" t="str">
        <f>VLOOKUP(Googleadssales[[#This Row],[Ad_ID]],[1]!Table3[[Ad_ID]:[Cost-imputed]],7,0)</f>
        <v>$223.28</v>
      </c>
      <c r="F907" s="4">
        <f>VLOOKUP(Googleadssales[[#This Row],[Ad_ID]],'[1]pre processed data'!A:I,9,0)</f>
        <v>27</v>
      </c>
      <c r="G907" s="4">
        <f>VLOOKUP(Googleadssales[[#This Row],[Ad_ID]],'[1]pre processed data'!A:K,11,0)</f>
        <v>6</v>
      </c>
      <c r="H907" s="2">
        <f>Googleadssales[[#This Row],[Conversions]]/Googleadssales[[#This Row],[Clicks]]</f>
        <v>3.1413612565445025E-2</v>
      </c>
      <c r="I907" t="str">
        <f>VLOOKUP(Googleadssales[[#This Row],[Ad_ID]],'[1]pre processed data'!A:O,15,0)</f>
        <v>$1208</v>
      </c>
      <c r="J907" s="3">
        <f>VLOOKUP(Googleadssales[[#This Row],[Ad_ID]],'[1]pre processed data'!A:Q,17,0)</f>
        <v>45599</v>
      </c>
      <c r="K907" t="str">
        <f>VLOOKUP(Googleadssales[[#This Row],[Ad_ID]],'[1]pre processed data'!A:R,18,0)</f>
        <v>Chennai</v>
      </c>
      <c r="L907" t="str">
        <f>VLOOKUP(Googleadssales[[#This Row],[Ad_ID]],'[1]pre processed data'!A:S,19,0)</f>
        <v>Desktop</v>
      </c>
      <c r="M907" t="str">
        <f>VLOOKUP(Googleadssales[[#This Row],[Ad_ID]],'[1]pre processed data'!A:T,20,0)</f>
        <v>data analytics online</v>
      </c>
    </row>
    <row r="908" spans="1:13" x14ac:dyDescent="0.3">
      <c r="A908" t="s">
        <v>921</v>
      </c>
      <c r="B908" t="s">
        <v>14</v>
      </c>
      <c r="C908" s="4">
        <f>VLOOKUP(Googleadssales[[#This Row],[Ad_ID]],'[1]pre processed data'!A:C,3,0)</f>
        <v>170</v>
      </c>
      <c r="D908" s="4">
        <f>VLOOKUP(Googleadssales[[#This Row],[Ad_ID]],'[1]pre processed data'!A:E,5,0)</f>
        <v>3144</v>
      </c>
      <c r="E908" s="5" t="str">
        <f>VLOOKUP(Googleadssales[[#This Row],[Ad_ID]],[1]!Table3[[Ad_ID]:[Cost-imputed]],7,0)</f>
        <v>$200.00</v>
      </c>
      <c r="F908" s="4">
        <f>VLOOKUP(Googleadssales[[#This Row],[Ad_ID]],'[1]pre processed data'!A:I,9,0)</f>
        <v>21</v>
      </c>
      <c r="G908" s="4">
        <f>VLOOKUP(Googleadssales[[#This Row],[Ad_ID]],'[1]pre processed data'!A:K,11,0)</f>
        <v>3</v>
      </c>
      <c r="H908" s="2">
        <f>Googleadssales[[#This Row],[Conversions]]/Googleadssales[[#This Row],[Clicks]]</f>
        <v>1.7647058823529412E-2</v>
      </c>
      <c r="I908" t="str">
        <f>VLOOKUP(Googleadssales[[#This Row],[Ad_ID]],'[1]pre processed data'!A:O,15,0)</f>
        <v>$1695</v>
      </c>
      <c r="J908" s="3">
        <f>VLOOKUP(Googleadssales[[#This Row],[Ad_ID]],'[1]pre processed data'!A:Q,17,0)</f>
        <v>45601</v>
      </c>
      <c r="K908" t="str">
        <f>VLOOKUP(Googleadssales[[#This Row],[Ad_ID]],'[1]pre processed data'!A:R,18,0)</f>
        <v>Hyderabad</v>
      </c>
      <c r="L908" t="str">
        <f>VLOOKUP(Googleadssales[[#This Row],[Ad_ID]],'[1]pre processed data'!A:S,19,0)</f>
        <v>Desktop</v>
      </c>
      <c r="M908" t="str">
        <f>VLOOKUP(Googleadssales[[#This Row],[Ad_ID]],'[1]pre processed data'!A:T,20,0)</f>
        <v>data analytics online</v>
      </c>
    </row>
    <row r="909" spans="1:13" x14ac:dyDescent="0.3">
      <c r="A909" t="s">
        <v>922</v>
      </c>
      <c r="B909" t="s">
        <v>14</v>
      </c>
      <c r="C909" s="4">
        <f>VLOOKUP(Googleadssales[[#This Row],[Ad_ID]],'[1]pre processed data'!A:C,3,0)</f>
        <v>112</v>
      </c>
      <c r="D909" s="4">
        <f>VLOOKUP(Googleadssales[[#This Row],[Ad_ID]],'[1]pre processed data'!A:E,5,0)</f>
        <v>3989</v>
      </c>
      <c r="E909" s="5" t="str">
        <f>VLOOKUP(Googleadssales[[#This Row],[Ad_ID]],[1]!Table3[[Ad_ID]:[Cost-imputed]],7,0)</f>
        <v>$228.74</v>
      </c>
      <c r="F909" s="4">
        <f>VLOOKUP(Googleadssales[[#This Row],[Ad_ID]],'[1]pre processed data'!A:I,9,0)</f>
        <v>10</v>
      </c>
      <c r="G909" s="4">
        <f>VLOOKUP(Googleadssales[[#This Row],[Ad_ID]],'[1]pre processed data'!A:K,11,0)</f>
        <v>8</v>
      </c>
      <c r="H909" s="2">
        <f>Googleadssales[[#This Row],[Conversions]]/Googleadssales[[#This Row],[Clicks]]</f>
        <v>7.1428571428571425E-2</v>
      </c>
      <c r="I909" t="str">
        <f>VLOOKUP(Googleadssales[[#This Row],[Ad_ID]],'[1]pre processed data'!A:O,15,0)</f>
        <v>$1812</v>
      </c>
      <c r="J909" s="3">
        <f>VLOOKUP(Googleadssales[[#This Row],[Ad_ID]],'[1]pre processed data'!A:Q,17,0)</f>
        <v>45609</v>
      </c>
      <c r="K909" t="str">
        <f>VLOOKUP(Googleadssales[[#This Row],[Ad_ID]],'[1]pre processed data'!A:R,18,0)</f>
        <v>Bangaluru</v>
      </c>
      <c r="L909" t="str">
        <f>VLOOKUP(Googleadssales[[#This Row],[Ad_ID]],'[1]pre processed data'!A:S,19,0)</f>
        <v>Mobile</v>
      </c>
      <c r="M909" t="str">
        <f>VLOOKUP(Googleadssales[[#This Row],[Ad_ID]],'[1]pre processed data'!A:T,20,0)</f>
        <v>analytics for data</v>
      </c>
    </row>
    <row r="910" spans="1:13" x14ac:dyDescent="0.3">
      <c r="A910" t="s">
        <v>923</v>
      </c>
      <c r="B910" t="s">
        <v>18</v>
      </c>
      <c r="C910" s="4">
        <f>VLOOKUP(Googleadssales[[#This Row],[Ad_ID]],'[1]pre processed data'!A:C,3,0)</f>
        <v>169</v>
      </c>
      <c r="D910" s="4">
        <f>VLOOKUP(Googleadssales[[#This Row],[Ad_ID]],'[1]pre processed data'!A:E,5,0)</f>
        <v>3619</v>
      </c>
      <c r="E910" s="5" t="str">
        <f>VLOOKUP(Googleadssales[[#This Row],[Ad_ID]],[1]!Table3[[Ad_ID]:[Cost-imputed]],7,0)</f>
        <v>$246.66</v>
      </c>
      <c r="F910" s="4">
        <f>VLOOKUP(Googleadssales[[#This Row],[Ad_ID]],'[1]pre processed data'!A:I,9,0)</f>
        <v>28</v>
      </c>
      <c r="G910" s="4">
        <f>VLOOKUP(Googleadssales[[#This Row],[Ad_ID]],'[1]pre processed data'!A:K,11,0)</f>
        <v>3</v>
      </c>
      <c r="H910" s="2">
        <f>Googleadssales[[#This Row],[Conversions]]/Googleadssales[[#This Row],[Clicks]]</f>
        <v>1.7751479289940829E-2</v>
      </c>
      <c r="I910" t="str">
        <f>VLOOKUP(Googleadssales[[#This Row],[Ad_ID]],'[1]pre processed data'!A:O,15,0)</f>
        <v>$1354</v>
      </c>
      <c r="J910" s="3">
        <f>VLOOKUP(Googleadssales[[#This Row],[Ad_ID]],'[1]pre processed data'!A:Q,17,0)</f>
        <v>45621</v>
      </c>
      <c r="K910" t="str">
        <f>VLOOKUP(Googleadssales[[#This Row],[Ad_ID]],'[1]pre processed data'!A:R,18,0)</f>
        <v>Bangaluru</v>
      </c>
      <c r="L910" t="str">
        <f>VLOOKUP(Googleadssales[[#This Row],[Ad_ID]],'[1]pre processed data'!A:S,19,0)</f>
        <v>Desktop</v>
      </c>
      <c r="M910" t="str">
        <f>VLOOKUP(Googleadssales[[#This Row],[Ad_ID]],'[1]pre processed data'!A:T,20,0)</f>
        <v>online data analytic</v>
      </c>
    </row>
    <row r="911" spans="1:13" x14ac:dyDescent="0.3">
      <c r="A911" t="s">
        <v>924</v>
      </c>
      <c r="B911" t="s">
        <v>14</v>
      </c>
      <c r="C911" s="4">
        <f>VLOOKUP(Googleadssales[[#This Row],[Ad_ID]],'[1]pre processed data'!A:C,3,0)</f>
        <v>172</v>
      </c>
      <c r="D911" s="4">
        <f>VLOOKUP(Googleadssales[[#This Row],[Ad_ID]],'[1]pre processed data'!A:E,5,0)</f>
        <v>4696</v>
      </c>
      <c r="E911" s="5" t="str">
        <f>VLOOKUP(Googleadssales[[#This Row],[Ad_ID]],[1]!Table3[[Ad_ID]:[Cost-imputed]],7,0)</f>
        <v>$242.17</v>
      </c>
      <c r="F911" s="4">
        <f>VLOOKUP(Googleadssales[[#This Row],[Ad_ID]],'[1]pre processed data'!A:I,9,0)</f>
        <v>26</v>
      </c>
      <c r="G911" s="4">
        <f>VLOOKUP(Googleadssales[[#This Row],[Ad_ID]],'[1]pre processed data'!A:K,11,0)</f>
        <v>3</v>
      </c>
      <c r="H911" s="2">
        <f>Googleadssales[[#This Row],[Conversions]]/Googleadssales[[#This Row],[Clicks]]</f>
        <v>1.7441860465116279E-2</v>
      </c>
      <c r="I911" t="str">
        <f>VLOOKUP(Googleadssales[[#This Row],[Ad_ID]],'[1]pre processed data'!A:O,15,0)</f>
        <v>$1719</v>
      </c>
      <c r="J911" s="3">
        <f>VLOOKUP(Googleadssales[[#This Row],[Ad_ID]],'[1]pre processed data'!A:Q,17,0)</f>
        <v>45602</v>
      </c>
      <c r="K911" t="str">
        <f>VLOOKUP(Googleadssales[[#This Row],[Ad_ID]],'[1]pre processed data'!A:R,18,0)</f>
        <v>Bangaluru</v>
      </c>
      <c r="L911" t="str">
        <f>VLOOKUP(Googleadssales[[#This Row],[Ad_ID]],'[1]pre processed data'!A:S,19,0)</f>
        <v>Desktop</v>
      </c>
      <c r="M911" t="str">
        <f>VLOOKUP(Googleadssales[[#This Row],[Ad_ID]],'[1]pre processed data'!A:T,20,0)</f>
        <v>data analytics course</v>
      </c>
    </row>
    <row r="912" spans="1:13" x14ac:dyDescent="0.3">
      <c r="A912" t="s">
        <v>925</v>
      </c>
      <c r="B912" t="s">
        <v>18</v>
      </c>
      <c r="C912" s="4">
        <f>VLOOKUP(Googleadssales[[#This Row],[Ad_ID]],'[1]pre processed data'!A:C,3,0)</f>
        <v>162</v>
      </c>
      <c r="D912" s="4">
        <f>VLOOKUP(Googleadssales[[#This Row],[Ad_ID]],'[1]pre processed data'!A:E,5,0)</f>
        <v>5684</v>
      </c>
      <c r="E912" s="5" t="str">
        <f>VLOOKUP(Googleadssales[[#This Row],[Ad_ID]],[1]!Table3[[Ad_ID]:[Cost-imputed]],7,0)</f>
        <v>$219.08</v>
      </c>
      <c r="F912" s="4">
        <f>VLOOKUP(Googleadssales[[#This Row],[Ad_ID]],'[1]pre processed data'!A:I,9,0)</f>
        <v>30</v>
      </c>
      <c r="G912" s="4">
        <f>VLOOKUP(Googleadssales[[#This Row],[Ad_ID]],'[1]pre processed data'!A:K,11,0)</f>
        <v>7</v>
      </c>
      <c r="H912" s="2">
        <f>Googleadssales[[#This Row],[Conversions]]/Googleadssales[[#This Row],[Clicks]]</f>
        <v>4.3209876543209874E-2</v>
      </c>
      <c r="I912" t="str">
        <f>VLOOKUP(Googleadssales[[#This Row],[Ad_ID]],'[1]pre processed data'!A:O,15,0)</f>
        <v>$1295</v>
      </c>
      <c r="J912" s="3">
        <f>VLOOKUP(Googleadssales[[#This Row],[Ad_ID]],'[1]pre processed data'!A:Q,17,0)</f>
        <v>45622</v>
      </c>
      <c r="K912" t="str">
        <f>VLOOKUP(Googleadssales[[#This Row],[Ad_ID]],'[1]pre processed data'!A:R,18,0)</f>
        <v>Bangaluru</v>
      </c>
      <c r="L912" t="str">
        <f>VLOOKUP(Googleadssales[[#This Row],[Ad_ID]],'[1]pre processed data'!A:S,19,0)</f>
        <v>Desktop</v>
      </c>
      <c r="M912" t="str">
        <f>VLOOKUP(Googleadssales[[#This Row],[Ad_ID]],'[1]pre processed data'!A:T,20,0)</f>
        <v>data analytics course</v>
      </c>
    </row>
    <row r="913" spans="1:13" x14ac:dyDescent="0.3">
      <c r="A913" t="s">
        <v>926</v>
      </c>
      <c r="B913" t="s">
        <v>14</v>
      </c>
      <c r="C913" s="4">
        <f>VLOOKUP(Googleadssales[[#This Row],[Ad_ID]],'[1]pre processed data'!A:C,3,0)</f>
        <v>183</v>
      </c>
      <c r="D913" s="4">
        <f>VLOOKUP(Googleadssales[[#This Row],[Ad_ID]],'[1]pre processed data'!A:E,5,0)</f>
        <v>4197</v>
      </c>
      <c r="E913" s="5" t="str">
        <f>VLOOKUP(Googleadssales[[#This Row],[Ad_ID]],[1]!Table3[[Ad_ID]:[Cost-imputed]],7,0)</f>
        <v>$243.19</v>
      </c>
      <c r="F913" s="4">
        <f>VLOOKUP(Googleadssales[[#This Row],[Ad_ID]],'[1]pre processed data'!A:I,9,0)</f>
        <v>29</v>
      </c>
      <c r="G913" s="4">
        <f>VLOOKUP(Googleadssales[[#This Row],[Ad_ID]],'[1]pre processed data'!A:K,11,0)</f>
        <v>8</v>
      </c>
      <c r="H913" s="2">
        <f>Googleadssales[[#This Row],[Conversions]]/Googleadssales[[#This Row],[Clicks]]</f>
        <v>4.3715846994535519E-2</v>
      </c>
      <c r="I913" t="str">
        <f>VLOOKUP(Googleadssales[[#This Row],[Ad_ID]],'[1]pre processed data'!A:O,15,0)</f>
        <v>$1593</v>
      </c>
      <c r="J913" s="3">
        <f>VLOOKUP(Googleadssales[[#This Row],[Ad_ID]],'[1]pre processed data'!A:Q,17,0)</f>
        <v>45605</v>
      </c>
      <c r="K913" t="str">
        <f>VLOOKUP(Googleadssales[[#This Row],[Ad_ID]],'[1]pre processed data'!A:R,18,0)</f>
        <v>Hyderabad</v>
      </c>
      <c r="L913" t="str">
        <f>VLOOKUP(Googleadssales[[#This Row],[Ad_ID]],'[1]pre processed data'!A:S,19,0)</f>
        <v>Mobile</v>
      </c>
      <c r="M913" t="str">
        <f>VLOOKUP(Googleadssales[[#This Row],[Ad_ID]],'[1]pre processed data'!A:T,20,0)</f>
        <v>data analytics training</v>
      </c>
    </row>
    <row r="914" spans="1:13" x14ac:dyDescent="0.3">
      <c r="A914" t="s">
        <v>927</v>
      </c>
      <c r="B914" t="s">
        <v>14</v>
      </c>
      <c r="C914" s="4">
        <f>VLOOKUP(Googleadssales[[#This Row],[Ad_ID]],'[1]pre processed data'!A:C,3,0)</f>
        <v>108</v>
      </c>
      <c r="D914" s="4">
        <f>VLOOKUP(Googleadssales[[#This Row],[Ad_ID]],'[1]pre processed data'!A:E,5,0)</f>
        <v>5949</v>
      </c>
      <c r="E914" s="5" t="str">
        <f>VLOOKUP(Googleadssales[[#This Row],[Ad_ID]],[1]!Table3[[Ad_ID]:[Cost-imputed]],7,0)</f>
        <v>$184.25</v>
      </c>
      <c r="F914" s="4">
        <f>VLOOKUP(Googleadssales[[#This Row],[Ad_ID]],'[1]pre processed data'!A:I,9,0)</f>
        <v>23</v>
      </c>
      <c r="G914" s="4">
        <f>VLOOKUP(Googleadssales[[#This Row],[Ad_ID]],'[1]pre processed data'!A:K,11,0)</f>
        <v>8</v>
      </c>
      <c r="H914" s="2">
        <f>Googleadssales[[#This Row],[Conversions]]/Googleadssales[[#This Row],[Clicks]]</f>
        <v>7.407407407407407E-2</v>
      </c>
      <c r="I914" t="str">
        <f>VLOOKUP(Googleadssales[[#This Row],[Ad_ID]],'[1]pre processed data'!A:O,15,0)</f>
        <v>$1986</v>
      </c>
      <c r="J914" s="3">
        <f>VLOOKUP(Googleadssales[[#This Row],[Ad_ID]],'[1]pre processed data'!A:Q,17,0)</f>
        <v>45619</v>
      </c>
      <c r="K914" t="str">
        <f>VLOOKUP(Googleadssales[[#This Row],[Ad_ID]],'[1]pre processed data'!A:R,18,0)</f>
        <v>Hyderabad</v>
      </c>
      <c r="L914" t="str">
        <f>VLOOKUP(Googleadssales[[#This Row],[Ad_ID]],'[1]pre processed data'!A:S,19,0)</f>
        <v>Desktop</v>
      </c>
      <c r="M914" t="str">
        <f>VLOOKUP(Googleadssales[[#This Row],[Ad_ID]],'[1]pre processed data'!A:T,20,0)</f>
        <v>data analytics training</v>
      </c>
    </row>
    <row r="915" spans="1:13" x14ac:dyDescent="0.3">
      <c r="A915" t="s">
        <v>928</v>
      </c>
      <c r="B915" t="s">
        <v>14</v>
      </c>
      <c r="C915" s="4">
        <f>VLOOKUP(Googleadssales[[#This Row],[Ad_ID]],'[1]pre processed data'!A:C,3,0)</f>
        <v>126</v>
      </c>
      <c r="D915" s="4">
        <f>VLOOKUP(Googleadssales[[#This Row],[Ad_ID]],'[1]pre processed data'!A:E,5,0)</f>
        <v>3784</v>
      </c>
      <c r="E915" s="5" t="str">
        <f>VLOOKUP(Googleadssales[[#This Row],[Ad_ID]],[1]!Table3[[Ad_ID]:[Cost-imputed]],7,0)</f>
        <v>$200.00</v>
      </c>
      <c r="F915" s="4">
        <f>VLOOKUP(Googleadssales[[#This Row],[Ad_ID]],'[1]pre processed data'!A:I,9,0)</f>
        <v>24</v>
      </c>
      <c r="G915" s="4">
        <f>VLOOKUP(Googleadssales[[#This Row],[Ad_ID]],'[1]pre processed data'!A:K,11,0)</f>
        <v>5</v>
      </c>
      <c r="H915" s="2">
        <f>Googleadssales[[#This Row],[Conversions]]/Googleadssales[[#This Row],[Clicks]]</f>
        <v>3.968253968253968E-2</v>
      </c>
      <c r="I915" t="str">
        <f>VLOOKUP(Googleadssales[[#This Row],[Ad_ID]],'[1]pre processed data'!A:O,15,0)</f>
        <v>$1951</v>
      </c>
      <c r="J915" s="3">
        <f>VLOOKUP(Googleadssales[[#This Row],[Ad_ID]],'[1]pre processed data'!A:Q,17,0)</f>
        <v>45624</v>
      </c>
      <c r="K915" t="str">
        <f>VLOOKUP(Googleadssales[[#This Row],[Ad_ID]],'[1]pre processed data'!A:R,18,0)</f>
        <v>Chennai</v>
      </c>
      <c r="L915" t="str">
        <f>VLOOKUP(Googleadssales[[#This Row],[Ad_ID]],'[1]pre processed data'!A:S,19,0)</f>
        <v>Mobile</v>
      </c>
      <c r="M915" t="str">
        <f>VLOOKUP(Googleadssales[[#This Row],[Ad_ID]],'[1]pre processed data'!A:T,20,0)</f>
        <v>analytics for data</v>
      </c>
    </row>
    <row r="916" spans="1:13" x14ac:dyDescent="0.3">
      <c r="A916" t="s">
        <v>929</v>
      </c>
      <c r="B916" t="s">
        <v>18</v>
      </c>
      <c r="C916" s="4">
        <f>VLOOKUP(Googleadssales[[#This Row],[Ad_ID]],'[1]pre processed data'!A:C,3,0)</f>
        <v>174</v>
      </c>
      <c r="D916" s="4">
        <f>VLOOKUP(Googleadssales[[#This Row],[Ad_ID]],'[1]pre processed data'!A:E,5,0)</f>
        <v>3570</v>
      </c>
      <c r="E916" s="5" t="str">
        <f>VLOOKUP(Googleadssales[[#This Row],[Ad_ID]],[1]!Table3[[Ad_ID]:[Cost-imputed]],7,0)</f>
        <v>$222.65</v>
      </c>
      <c r="F916" s="4">
        <f>VLOOKUP(Googleadssales[[#This Row],[Ad_ID]],'[1]pre processed data'!A:I,9,0)</f>
        <v>25</v>
      </c>
      <c r="G916" s="4">
        <f>VLOOKUP(Googleadssales[[#This Row],[Ad_ID]],'[1]pre processed data'!A:K,11,0)</f>
        <v>3</v>
      </c>
      <c r="H916" s="2">
        <f>Googleadssales[[#This Row],[Conversions]]/Googleadssales[[#This Row],[Clicks]]</f>
        <v>1.7241379310344827E-2</v>
      </c>
      <c r="I916" t="str">
        <f>VLOOKUP(Googleadssales[[#This Row],[Ad_ID]],'[1]pre processed data'!A:O,15,0)</f>
        <v>$1500</v>
      </c>
      <c r="J916" s="3">
        <f>VLOOKUP(Googleadssales[[#This Row],[Ad_ID]],'[1]pre processed data'!A:Q,17,0)</f>
        <v>45615</v>
      </c>
      <c r="K916" t="str">
        <f>VLOOKUP(Googleadssales[[#This Row],[Ad_ID]],'[1]pre processed data'!A:R,18,0)</f>
        <v>Bangaluru</v>
      </c>
      <c r="L916" t="str">
        <f>VLOOKUP(Googleadssales[[#This Row],[Ad_ID]],'[1]pre processed data'!A:S,19,0)</f>
        <v>Tablet</v>
      </c>
      <c r="M916" t="str">
        <f>VLOOKUP(Googleadssales[[#This Row],[Ad_ID]],'[1]pre processed data'!A:T,20,0)</f>
        <v>learn data analytics</v>
      </c>
    </row>
    <row r="917" spans="1:13" x14ac:dyDescent="0.3">
      <c r="A917" t="s">
        <v>930</v>
      </c>
      <c r="B917" t="s">
        <v>14</v>
      </c>
      <c r="C917" s="4">
        <f>VLOOKUP(Googleadssales[[#This Row],[Ad_ID]],'[1]pre processed data'!A:C,3,0)</f>
        <v>122</v>
      </c>
      <c r="D917" s="4">
        <f>VLOOKUP(Googleadssales[[#This Row],[Ad_ID]],'[1]pre processed data'!A:E,5,0)</f>
        <v>4632</v>
      </c>
      <c r="E917" s="5" t="str">
        <f>VLOOKUP(Googleadssales[[#This Row],[Ad_ID]],[1]!Table3[[Ad_ID]:[Cost-imputed]],7,0)</f>
        <v>$236.57</v>
      </c>
      <c r="F917" s="4">
        <f>VLOOKUP(Googleadssales[[#This Row],[Ad_ID]],'[1]pre processed data'!A:I,9,0)</f>
        <v>13</v>
      </c>
      <c r="G917" s="4">
        <f>VLOOKUP(Googleadssales[[#This Row],[Ad_ID]],'[1]pre processed data'!A:K,11,0)</f>
        <v>6</v>
      </c>
      <c r="H917" s="2">
        <f>Googleadssales[[#This Row],[Conversions]]/Googleadssales[[#This Row],[Clicks]]</f>
        <v>4.9180327868852458E-2</v>
      </c>
      <c r="I917" t="str">
        <f>VLOOKUP(Googleadssales[[#This Row],[Ad_ID]],'[1]pre processed data'!A:O,15,0)</f>
        <v>$1001</v>
      </c>
      <c r="J917" s="3">
        <f>VLOOKUP(Googleadssales[[#This Row],[Ad_ID]],'[1]pre processed data'!A:Q,17,0)</f>
        <v>45611</v>
      </c>
      <c r="K917" t="str">
        <f>VLOOKUP(Googleadssales[[#This Row],[Ad_ID]],'[1]pre processed data'!A:R,18,0)</f>
        <v>Hyderabad</v>
      </c>
      <c r="L917" t="str">
        <f>VLOOKUP(Googleadssales[[#This Row],[Ad_ID]],'[1]pre processed data'!A:S,19,0)</f>
        <v>Desktop</v>
      </c>
      <c r="M917" t="str">
        <f>VLOOKUP(Googleadssales[[#This Row],[Ad_ID]],'[1]pre processed data'!A:T,20,0)</f>
        <v>data analytics course</v>
      </c>
    </row>
    <row r="918" spans="1:13" x14ac:dyDescent="0.3">
      <c r="A918" t="s">
        <v>931</v>
      </c>
      <c r="B918" t="s">
        <v>14</v>
      </c>
      <c r="C918" s="4">
        <f>VLOOKUP(Googleadssales[[#This Row],[Ad_ID]],'[1]pre processed data'!A:C,3,0)</f>
        <v>191</v>
      </c>
      <c r="D918" s="4">
        <f>VLOOKUP(Googleadssales[[#This Row],[Ad_ID]],'[1]pre processed data'!A:E,5,0)</f>
        <v>3457</v>
      </c>
      <c r="E918" s="5" t="str">
        <f>VLOOKUP(Googleadssales[[#This Row],[Ad_ID]],[1]!Table3[[Ad_ID]:[Cost-imputed]],7,0)</f>
        <v>$237.6</v>
      </c>
      <c r="F918" s="4">
        <f>VLOOKUP(Googleadssales[[#This Row],[Ad_ID]],'[1]pre processed data'!A:I,9,0)</f>
        <v>20.094717668488162</v>
      </c>
      <c r="G918" s="4">
        <f>VLOOKUP(Googleadssales[[#This Row],[Ad_ID]],'[1]pre processed data'!A:K,11,0)</f>
        <v>10</v>
      </c>
      <c r="H918" s="2">
        <f>Googleadssales[[#This Row],[Conversions]]/Googleadssales[[#This Row],[Clicks]]</f>
        <v>5.2356020942408377E-2</v>
      </c>
      <c r="I918" t="str">
        <f>VLOOKUP(Googleadssales[[#This Row],[Ad_ID]],'[1]pre processed data'!A:O,15,0)</f>
        <v>$1500</v>
      </c>
      <c r="J918" s="3">
        <f>VLOOKUP(Googleadssales[[#This Row],[Ad_ID]],'[1]pre processed data'!A:Q,17,0)</f>
        <v>45601</v>
      </c>
      <c r="K918" t="str">
        <f>VLOOKUP(Googleadssales[[#This Row],[Ad_ID]],'[1]pre processed data'!A:R,18,0)</f>
        <v>Hyderabad</v>
      </c>
      <c r="L918" t="str">
        <f>VLOOKUP(Googleadssales[[#This Row],[Ad_ID]],'[1]pre processed data'!A:S,19,0)</f>
        <v>Desktop</v>
      </c>
      <c r="M918" t="str">
        <f>VLOOKUP(Googleadssales[[#This Row],[Ad_ID]],'[1]pre processed data'!A:T,20,0)</f>
        <v>data analytics course</v>
      </c>
    </row>
    <row r="919" spans="1:13" x14ac:dyDescent="0.3">
      <c r="A919" t="s">
        <v>932</v>
      </c>
      <c r="B919" t="s">
        <v>14</v>
      </c>
      <c r="C919" s="4">
        <f>VLOOKUP(Googleadssales[[#This Row],[Ad_ID]],'[1]pre processed data'!A:C,3,0)</f>
        <v>122</v>
      </c>
      <c r="D919" s="4">
        <f>VLOOKUP(Googleadssales[[#This Row],[Ad_ID]],'[1]pre processed data'!A:E,5,0)</f>
        <v>4525</v>
      </c>
      <c r="E919" s="5" t="str">
        <f>VLOOKUP(Googleadssales[[#This Row],[Ad_ID]],[1]!Table3[[Ad_ID]:[Cost-imputed]],7,0)</f>
        <v>$202.89</v>
      </c>
      <c r="F919" s="4">
        <f>VLOOKUP(Googleadssales[[#This Row],[Ad_ID]],'[1]pre processed data'!A:I,9,0)</f>
        <v>23</v>
      </c>
      <c r="G919" s="4">
        <f>VLOOKUP(Googleadssales[[#This Row],[Ad_ID]],'[1]pre processed data'!A:K,11,0)</f>
        <v>8</v>
      </c>
      <c r="H919" s="2">
        <f>Googleadssales[[#This Row],[Conversions]]/Googleadssales[[#This Row],[Clicks]]</f>
        <v>6.5573770491803282E-2</v>
      </c>
      <c r="I919" t="str">
        <f>VLOOKUP(Googleadssales[[#This Row],[Ad_ID]],'[1]pre processed data'!A:O,15,0)</f>
        <v>$1499</v>
      </c>
      <c r="J919" s="3">
        <f>VLOOKUP(Googleadssales[[#This Row],[Ad_ID]],'[1]pre processed data'!A:Q,17,0)</f>
        <v>45618</v>
      </c>
      <c r="K919" t="str">
        <f>VLOOKUP(Googleadssales[[#This Row],[Ad_ID]],'[1]pre processed data'!A:R,18,0)</f>
        <v>Hyderabad</v>
      </c>
      <c r="L919" t="str">
        <f>VLOOKUP(Googleadssales[[#This Row],[Ad_ID]],'[1]pre processed data'!A:S,19,0)</f>
        <v>Tablet</v>
      </c>
      <c r="M919" t="str">
        <f>VLOOKUP(Googleadssales[[#This Row],[Ad_ID]],'[1]pre processed data'!A:T,20,0)</f>
        <v>data analytics training</v>
      </c>
    </row>
    <row r="920" spans="1:13" x14ac:dyDescent="0.3">
      <c r="A920" t="s">
        <v>933</v>
      </c>
      <c r="B920" t="s">
        <v>14</v>
      </c>
      <c r="C920" s="4">
        <f>VLOOKUP(Googleadssales[[#This Row],[Ad_ID]],'[1]pre processed data'!A:C,3,0)</f>
        <v>175</v>
      </c>
      <c r="D920" s="4">
        <f>VLOOKUP(Googleadssales[[#This Row],[Ad_ID]],'[1]pre processed data'!A:E,5,0)</f>
        <v>4850</v>
      </c>
      <c r="E920" s="5" t="str">
        <f>VLOOKUP(Googleadssales[[#This Row],[Ad_ID]],[1]!Table3[[Ad_ID]:[Cost-imputed]],7,0)</f>
        <v>$186.25</v>
      </c>
      <c r="F920" s="4">
        <f>VLOOKUP(Googleadssales[[#This Row],[Ad_ID]],'[1]pre processed data'!A:I,9,0)</f>
        <v>28</v>
      </c>
      <c r="G920" s="4">
        <f>VLOOKUP(Googleadssales[[#This Row],[Ad_ID]],'[1]pre processed data'!A:K,11,0)</f>
        <v>10</v>
      </c>
      <c r="H920" s="2">
        <f>Googleadssales[[#This Row],[Conversions]]/Googleadssales[[#This Row],[Clicks]]</f>
        <v>5.7142857142857141E-2</v>
      </c>
      <c r="I920" t="str">
        <f>VLOOKUP(Googleadssales[[#This Row],[Ad_ID]],'[1]pre processed data'!A:O,15,0)</f>
        <v>$1978</v>
      </c>
      <c r="J920" s="3">
        <f>VLOOKUP(Googleadssales[[#This Row],[Ad_ID]],'[1]pre processed data'!A:Q,17,0)</f>
        <v>45614</v>
      </c>
      <c r="K920" t="str">
        <f>VLOOKUP(Googleadssales[[#This Row],[Ad_ID]],'[1]pre processed data'!A:R,18,0)</f>
        <v>Hyderabad</v>
      </c>
      <c r="L920" t="str">
        <f>VLOOKUP(Googleadssales[[#This Row],[Ad_ID]],'[1]pre processed data'!A:S,19,0)</f>
        <v>Desktop</v>
      </c>
      <c r="M920" t="str">
        <f>VLOOKUP(Googleadssales[[#This Row],[Ad_ID]],'[1]pre processed data'!A:T,20,0)</f>
        <v>analytics for data</v>
      </c>
    </row>
    <row r="921" spans="1:13" x14ac:dyDescent="0.3">
      <c r="A921" t="s">
        <v>934</v>
      </c>
      <c r="B921" t="s">
        <v>14</v>
      </c>
      <c r="C921" s="4">
        <f>VLOOKUP(Googleadssales[[#This Row],[Ad_ID]],'[1]pre processed data'!A:C,3,0)</f>
        <v>123</v>
      </c>
      <c r="D921" s="4">
        <f>VLOOKUP(Googleadssales[[#This Row],[Ad_ID]],'[1]pre processed data'!A:E,5,0)</f>
        <v>4938</v>
      </c>
      <c r="E921" s="5" t="str">
        <f>VLOOKUP(Googleadssales[[#This Row],[Ad_ID]],[1]!Table3[[Ad_ID]:[Cost-imputed]],7,0)</f>
        <v>$180.64</v>
      </c>
      <c r="F921" s="4">
        <f>VLOOKUP(Googleadssales[[#This Row],[Ad_ID]],'[1]pre processed data'!A:I,9,0)</f>
        <v>24</v>
      </c>
      <c r="G921" s="4">
        <f>VLOOKUP(Googleadssales[[#This Row],[Ad_ID]],'[1]pre processed data'!A:K,11,0)</f>
        <v>9</v>
      </c>
      <c r="H921" s="2">
        <f>Googleadssales[[#This Row],[Conversions]]/Googleadssales[[#This Row],[Clicks]]</f>
        <v>7.3170731707317069E-2</v>
      </c>
      <c r="I921" t="str">
        <f>VLOOKUP(Googleadssales[[#This Row],[Ad_ID]],'[1]pre processed data'!A:O,15,0)</f>
        <v>$1746</v>
      </c>
      <c r="J921" s="3">
        <f>VLOOKUP(Googleadssales[[#This Row],[Ad_ID]],'[1]pre processed data'!A:Q,17,0)</f>
        <v>45617</v>
      </c>
      <c r="K921" t="str">
        <f>VLOOKUP(Googleadssales[[#This Row],[Ad_ID]],'[1]pre processed data'!A:R,18,0)</f>
        <v>Bangaluru</v>
      </c>
      <c r="L921" t="str">
        <f>VLOOKUP(Googleadssales[[#This Row],[Ad_ID]],'[1]pre processed data'!A:S,19,0)</f>
        <v>Tablet</v>
      </c>
      <c r="M921" t="str">
        <f>VLOOKUP(Googleadssales[[#This Row],[Ad_ID]],'[1]pre processed data'!A:T,20,0)</f>
        <v>data analytics course</v>
      </c>
    </row>
    <row r="922" spans="1:13" x14ac:dyDescent="0.3">
      <c r="A922" t="s">
        <v>935</v>
      </c>
      <c r="B922" t="s">
        <v>14</v>
      </c>
      <c r="C922" s="4">
        <f>VLOOKUP(Googleadssales[[#This Row],[Ad_ID]],'[1]pre processed data'!A:C,3,0)</f>
        <v>135</v>
      </c>
      <c r="D922" s="4">
        <f>VLOOKUP(Googleadssales[[#This Row],[Ad_ID]],'[1]pre processed data'!A:E,5,0)</f>
        <v>5748</v>
      </c>
      <c r="E922" s="5" t="str">
        <f>VLOOKUP(Googleadssales[[#This Row],[Ad_ID]],[1]!Table3[[Ad_ID]:[Cost-imputed]],7,0)</f>
        <v>$239.22</v>
      </c>
      <c r="F922" s="4">
        <f>VLOOKUP(Googleadssales[[#This Row],[Ad_ID]],'[1]pre processed data'!A:I,9,0)</f>
        <v>20</v>
      </c>
      <c r="G922" s="4">
        <f>VLOOKUP(Googleadssales[[#This Row],[Ad_ID]],'[1]pre processed data'!A:K,11,0)</f>
        <v>7</v>
      </c>
      <c r="H922" s="2">
        <f>Googleadssales[[#This Row],[Conversions]]/Googleadssales[[#This Row],[Clicks]]</f>
        <v>5.185185185185185E-2</v>
      </c>
      <c r="I922" t="str">
        <f>VLOOKUP(Googleadssales[[#This Row],[Ad_ID]],'[1]pre processed data'!A:O,15,0)</f>
        <v>$1222</v>
      </c>
      <c r="J922" s="3">
        <f>VLOOKUP(Googleadssales[[#This Row],[Ad_ID]],'[1]pre processed data'!A:Q,17,0)</f>
        <v>45617</v>
      </c>
      <c r="K922" t="str">
        <f>VLOOKUP(Googleadssales[[#This Row],[Ad_ID]],'[1]pre processed data'!A:R,18,0)</f>
        <v>Bangaluru</v>
      </c>
      <c r="L922" t="str">
        <f>VLOOKUP(Googleadssales[[#This Row],[Ad_ID]],'[1]pre processed data'!A:S,19,0)</f>
        <v>Tablet</v>
      </c>
      <c r="M922" t="str">
        <f>VLOOKUP(Googleadssales[[#This Row],[Ad_ID]],'[1]pre processed data'!A:T,20,0)</f>
        <v>analytics for data</v>
      </c>
    </row>
    <row r="923" spans="1:13" x14ac:dyDescent="0.3">
      <c r="A923" t="s">
        <v>936</v>
      </c>
      <c r="B923" t="s">
        <v>18</v>
      </c>
      <c r="C923" s="4">
        <f>VLOOKUP(Googleadssales[[#This Row],[Ad_ID]],'[1]pre processed data'!A:C,3,0)</f>
        <v>138.95699356913184</v>
      </c>
      <c r="D923" s="4">
        <f>VLOOKUP(Googleadssales[[#This Row],[Ad_ID]],'[1]pre processed data'!A:E,5,0)</f>
        <v>4622</v>
      </c>
      <c r="E923" s="5" t="str">
        <f>VLOOKUP(Googleadssales[[#This Row],[Ad_ID]],[1]!Table3[[Ad_ID]:[Cost-imputed]],7,0)</f>
        <v>$187.85</v>
      </c>
      <c r="F923" s="4">
        <f>VLOOKUP(Googleadssales[[#This Row],[Ad_ID]],'[1]pre processed data'!A:I,9,0)</f>
        <v>24</v>
      </c>
      <c r="G923" s="4">
        <f>VLOOKUP(Googleadssales[[#This Row],[Ad_ID]],'[1]pre processed data'!A:K,11,0)</f>
        <v>5</v>
      </c>
      <c r="H923" s="2">
        <f>Googleadssales[[#This Row],[Conversions]]/Googleadssales[[#This Row],[Clicks]]</f>
        <v>3.5982355918721523E-2</v>
      </c>
      <c r="I923" t="str">
        <f>VLOOKUP(Googleadssales[[#This Row],[Ad_ID]],'[1]pre processed data'!A:O,15,0)</f>
        <v>$1998</v>
      </c>
      <c r="J923" s="3">
        <f>VLOOKUP(Googleadssales[[#This Row],[Ad_ID]],'[1]pre processed data'!A:Q,17,0)</f>
        <v>45607</v>
      </c>
      <c r="K923" t="str">
        <f>VLOOKUP(Googleadssales[[#This Row],[Ad_ID]],'[1]pre processed data'!A:R,18,0)</f>
        <v>Chennai</v>
      </c>
      <c r="L923" t="str">
        <f>VLOOKUP(Googleadssales[[#This Row],[Ad_ID]],'[1]pre processed data'!A:S,19,0)</f>
        <v>Tablet</v>
      </c>
      <c r="M923" t="str">
        <f>VLOOKUP(Googleadssales[[#This Row],[Ad_ID]],'[1]pre processed data'!A:T,20,0)</f>
        <v>analytics for data</v>
      </c>
    </row>
    <row r="924" spans="1:13" x14ac:dyDescent="0.3">
      <c r="A924" t="s">
        <v>937</v>
      </c>
      <c r="B924" t="s">
        <v>18</v>
      </c>
      <c r="C924" s="4">
        <f>VLOOKUP(Googleadssales[[#This Row],[Ad_ID]],'[1]pre processed data'!A:C,3,0)</f>
        <v>90</v>
      </c>
      <c r="D924" s="4">
        <f>VLOOKUP(Googleadssales[[#This Row],[Ad_ID]],'[1]pre processed data'!A:E,5,0)</f>
        <v>5596</v>
      </c>
      <c r="E924" s="5" t="str">
        <f>VLOOKUP(Googleadssales[[#This Row],[Ad_ID]],[1]!Table3[[Ad_ID]:[Cost-imputed]],7,0)</f>
        <v>$188.04</v>
      </c>
      <c r="F924" s="4">
        <f>VLOOKUP(Googleadssales[[#This Row],[Ad_ID]],'[1]pre processed data'!A:I,9,0)</f>
        <v>12</v>
      </c>
      <c r="G924" s="4">
        <f>VLOOKUP(Googleadssales[[#This Row],[Ad_ID]],'[1]pre processed data'!A:K,11,0)</f>
        <v>4</v>
      </c>
      <c r="H924" s="2">
        <f>Googleadssales[[#This Row],[Conversions]]/Googleadssales[[#This Row],[Clicks]]</f>
        <v>4.4444444444444446E-2</v>
      </c>
      <c r="I924" t="str">
        <f>VLOOKUP(Googleadssales[[#This Row],[Ad_ID]],'[1]pre processed data'!A:O,15,0)</f>
        <v>$1500</v>
      </c>
      <c r="J924" s="3">
        <f>VLOOKUP(Googleadssales[[#This Row],[Ad_ID]],'[1]pre processed data'!A:Q,17,0)</f>
        <v>45613</v>
      </c>
      <c r="K924" t="str">
        <f>VLOOKUP(Googleadssales[[#This Row],[Ad_ID]],'[1]pre processed data'!A:R,18,0)</f>
        <v>Hyderabad</v>
      </c>
      <c r="L924" t="str">
        <f>VLOOKUP(Googleadssales[[#This Row],[Ad_ID]],'[1]pre processed data'!A:S,19,0)</f>
        <v>Mobile</v>
      </c>
      <c r="M924" t="str">
        <f>VLOOKUP(Googleadssales[[#This Row],[Ad_ID]],'[1]pre processed data'!A:T,20,0)</f>
        <v>online data analytic</v>
      </c>
    </row>
    <row r="925" spans="1:13" x14ac:dyDescent="0.3">
      <c r="A925" t="s">
        <v>938</v>
      </c>
      <c r="B925" t="s">
        <v>14</v>
      </c>
      <c r="C925" s="4">
        <f>VLOOKUP(Googleadssales[[#This Row],[Ad_ID]],'[1]pre processed data'!A:C,3,0)</f>
        <v>138.95699356913184</v>
      </c>
      <c r="D925" s="4">
        <f>VLOOKUP(Googleadssales[[#This Row],[Ad_ID]],'[1]pre processed data'!A:E,5,0)</f>
        <v>5308</v>
      </c>
      <c r="E925" s="5" t="str">
        <f>VLOOKUP(Googleadssales[[#This Row],[Ad_ID]],[1]!Table3[[Ad_ID]:[Cost-imputed]],7,0)</f>
        <v>$234.1</v>
      </c>
      <c r="F925" s="4">
        <f>VLOOKUP(Googleadssales[[#This Row],[Ad_ID]],'[1]pre processed data'!A:I,9,0)</f>
        <v>27</v>
      </c>
      <c r="G925" s="4">
        <f>VLOOKUP(Googleadssales[[#This Row],[Ad_ID]],'[1]pre processed data'!A:K,11,0)</f>
        <v>8</v>
      </c>
      <c r="H925" s="2">
        <f>Googleadssales[[#This Row],[Conversions]]/Googleadssales[[#This Row],[Clicks]]</f>
        <v>5.7571769469954438E-2</v>
      </c>
      <c r="I925" t="str">
        <f>VLOOKUP(Googleadssales[[#This Row],[Ad_ID]],'[1]pre processed data'!A:O,15,0)</f>
        <v>$1150</v>
      </c>
      <c r="J925" s="3">
        <f>VLOOKUP(Googleadssales[[#This Row],[Ad_ID]],'[1]pre processed data'!A:Q,17,0)</f>
        <v>45612</v>
      </c>
      <c r="K925" t="str">
        <f>VLOOKUP(Googleadssales[[#This Row],[Ad_ID]],'[1]pre processed data'!A:R,18,0)</f>
        <v>Hyderabad</v>
      </c>
      <c r="L925" t="str">
        <f>VLOOKUP(Googleadssales[[#This Row],[Ad_ID]],'[1]pre processed data'!A:S,19,0)</f>
        <v>Tablet</v>
      </c>
      <c r="M925" t="str">
        <f>VLOOKUP(Googleadssales[[#This Row],[Ad_ID]],'[1]pre processed data'!A:T,20,0)</f>
        <v>analytics for data</v>
      </c>
    </row>
    <row r="926" spans="1:13" x14ac:dyDescent="0.3">
      <c r="A926" t="s">
        <v>939</v>
      </c>
      <c r="B926" t="s">
        <v>14</v>
      </c>
      <c r="C926" s="4">
        <f>VLOOKUP(Googleadssales[[#This Row],[Ad_ID]],'[1]pre processed data'!A:C,3,0)</f>
        <v>89</v>
      </c>
      <c r="D926" s="4">
        <f>VLOOKUP(Googleadssales[[#This Row],[Ad_ID]],'[1]pre processed data'!A:E,5,0)</f>
        <v>3069</v>
      </c>
      <c r="E926" s="5" t="str">
        <f>VLOOKUP(Googleadssales[[#This Row],[Ad_ID]],[1]!Table3[[Ad_ID]:[Cost-imputed]],7,0)</f>
        <v>$205.37</v>
      </c>
      <c r="F926" s="4">
        <f>VLOOKUP(Googleadssales[[#This Row],[Ad_ID]],'[1]pre processed data'!A:I,9,0)</f>
        <v>19</v>
      </c>
      <c r="G926" s="4">
        <f>VLOOKUP(Googleadssales[[#This Row],[Ad_ID]],'[1]pre processed data'!A:K,11,0)</f>
        <v>6</v>
      </c>
      <c r="H926" s="2">
        <f>Googleadssales[[#This Row],[Conversions]]/Googleadssales[[#This Row],[Clicks]]</f>
        <v>6.741573033707865E-2</v>
      </c>
      <c r="I926" t="str">
        <f>VLOOKUP(Googleadssales[[#This Row],[Ad_ID]],'[1]pre processed data'!A:O,15,0)</f>
        <v>$1518</v>
      </c>
      <c r="J926" s="3">
        <f>VLOOKUP(Googleadssales[[#This Row],[Ad_ID]],'[1]pre processed data'!A:Q,17,0)</f>
        <v>45624</v>
      </c>
      <c r="K926" t="str">
        <f>VLOOKUP(Googleadssales[[#This Row],[Ad_ID]],'[1]pre processed data'!A:R,18,0)</f>
        <v>Chennai</v>
      </c>
      <c r="L926" t="str">
        <f>VLOOKUP(Googleadssales[[#This Row],[Ad_ID]],'[1]pre processed data'!A:S,19,0)</f>
        <v>Desktop</v>
      </c>
      <c r="M926" t="str">
        <f>VLOOKUP(Googleadssales[[#This Row],[Ad_ID]],'[1]pre processed data'!A:T,20,0)</f>
        <v>data analytics online</v>
      </c>
    </row>
    <row r="927" spans="1:13" x14ac:dyDescent="0.3">
      <c r="A927" t="s">
        <v>940</v>
      </c>
      <c r="B927" t="s">
        <v>14</v>
      </c>
      <c r="C927" s="4">
        <f>VLOOKUP(Googleadssales[[#This Row],[Ad_ID]],'[1]pre processed data'!A:C,3,0)</f>
        <v>138.95699356913184</v>
      </c>
      <c r="D927" s="4">
        <f>VLOOKUP(Googleadssales[[#This Row],[Ad_ID]],'[1]pre processed data'!A:E,5,0)</f>
        <v>4221</v>
      </c>
      <c r="E927" s="5" t="str">
        <f>VLOOKUP(Googleadssales[[#This Row],[Ad_ID]],[1]!Table3[[Ad_ID]:[Cost-imputed]],7,0)</f>
        <v>$180.83</v>
      </c>
      <c r="F927" s="4">
        <f>VLOOKUP(Googleadssales[[#This Row],[Ad_ID]],'[1]pre processed data'!A:I,9,0)</f>
        <v>24</v>
      </c>
      <c r="G927" s="4">
        <f>VLOOKUP(Googleadssales[[#This Row],[Ad_ID]],'[1]pre processed data'!A:K,11,0)</f>
        <v>10</v>
      </c>
      <c r="H927" s="2">
        <f>Googleadssales[[#This Row],[Conversions]]/Googleadssales[[#This Row],[Clicks]]</f>
        <v>7.1964711837443046E-2</v>
      </c>
      <c r="I927" t="str">
        <f>VLOOKUP(Googleadssales[[#This Row],[Ad_ID]],'[1]pre processed data'!A:O,15,0)</f>
        <v>$1082</v>
      </c>
      <c r="J927" s="3">
        <f>VLOOKUP(Googleadssales[[#This Row],[Ad_ID]],'[1]pre processed data'!A:Q,17,0)</f>
        <v>45609</v>
      </c>
      <c r="K927" t="str">
        <f>VLOOKUP(Googleadssales[[#This Row],[Ad_ID]],'[1]pre processed data'!A:R,18,0)</f>
        <v>Hyderabad</v>
      </c>
      <c r="L927" t="str">
        <f>VLOOKUP(Googleadssales[[#This Row],[Ad_ID]],'[1]pre processed data'!A:S,19,0)</f>
        <v>Tablet</v>
      </c>
      <c r="M927" t="str">
        <f>VLOOKUP(Googleadssales[[#This Row],[Ad_ID]],'[1]pre processed data'!A:T,20,0)</f>
        <v>learn data analytics</v>
      </c>
    </row>
    <row r="928" spans="1:13" x14ac:dyDescent="0.3">
      <c r="A928" t="s">
        <v>941</v>
      </c>
      <c r="B928" t="s">
        <v>14</v>
      </c>
      <c r="C928" s="4">
        <f>VLOOKUP(Googleadssales[[#This Row],[Ad_ID]],'[1]pre processed data'!A:C,3,0)</f>
        <v>148</v>
      </c>
      <c r="D928" s="4">
        <f>VLOOKUP(Googleadssales[[#This Row],[Ad_ID]],'[1]pre processed data'!A:E,5,0)</f>
        <v>4514</v>
      </c>
      <c r="E928" s="5" t="str">
        <f>VLOOKUP(Googleadssales[[#This Row],[Ad_ID]],[1]!Table3[[Ad_ID]:[Cost-imputed]],7,0)</f>
        <v>$203.54</v>
      </c>
      <c r="F928" s="4">
        <f>VLOOKUP(Googleadssales[[#This Row],[Ad_ID]],'[1]pre processed data'!A:I,9,0)</f>
        <v>23</v>
      </c>
      <c r="G928" s="4">
        <f>VLOOKUP(Googleadssales[[#This Row],[Ad_ID]],'[1]pre processed data'!A:K,11,0)</f>
        <v>3</v>
      </c>
      <c r="H928" s="2">
        <f>Googleadssales[[#This Row],[Conversions]]/Googleadssales[[#This Row],[Clicks]]</f>
        <v>2.0270270270270271E-2</v>
      </c>
      <c r="I928" t="str">
        <f>VLOOKUP(Googleadssales[[#This Row],[Ad_ID]],'[1]pre processed data'!A:O,15,0)</f>
        <v>$1622</v>
      </c>
      <c r="J928" s="3">
        <f>VLOOKUP(Googleadssales[[#This Row],[Ad_ID]],'[1]pre processed data'!A:Q,17,0)</f>
        <v>45601</v>
      </c>
      <c r="K928" t="str">
        <f>VLOOKUP(Googleadssales[[#This Row],[Ad_ID]],'[1]pre processed data'!A:R,18,0)</f>
        <v>Bangaluru</v>
      </c>
      <c r="L928" t="str">
        <f>VLOOKUP(Googleadssales[[#This Row],[Ad_ID]],'[1]pre processed data'!A:S,19,0)</f>
        <v>Desktop</v>
      </c>
      <c r="M928" t="str">
        <f>VLOOKUP(Googleadssales[[#This Row],[Ad_ID]],'[1]pre processed data'!A:T,20,0)</f>
        <v>data analytics online</v>
      </c>
    </row>
    <row r="929" spans="1:13" x14ac:dyDescent="0.3">
      <c r="A929" t="s">
        <v>942</v>
      </c>
      <c r="B929" t="s">
        <v>14</v>
      </c>
      <c r="C929" s="4">
        <f>VLOOKUP(Googleadssales[[#This Row],[Ad_ID]],'[1]pre processed data'!A:C,3,0)</f>
        <v>96</v>
      </c>
      <c r="D929" s="4">
        <f>VLOOKUP(Googleadssales[[#This Row],[Ad_ID]],'[1]pre processed data'!A:E,5,0)</f>
        <v>3468</v>
      </c>
      <c r="E929" s="5" t="str">
        <f>VLOOKUP(Googleadssales[[#This Row],[Ad_ID]],[1]!Table3[[Ad_ID]:[Cost-imputed]],7,0)</f>
        <v>$228.41</v>
      </c>
      <c r="F929" s="4">
        <f>VLOOKUP(Googleadssales[[#This Row],[Ad_ID]],'[1]pre processed data'!A:I,9,0)</f>
        <v>16</v>
      </c>
      <c r="G929" s="4">
        <f>VLOOKUP(Googleadssales[[#This Row],[Ad_ID]],'[1]pre processed data'!A:K,11,0)</f>
        <v>9</v>
      </c>
      <c r="H929" s="2">
        <f>Googleadssales[[#This Row],[Conversions]]/Googleadssales[[#This Row],[Clicks]]</f>
        <v>9.375E-2</v>
      </c>
      <c r="I929" t="str">
        <f>VLOOKUP(Googleadssales[[#This Row],[Ad_ID]],'[1]pre processed data'!A:O,15,0)</f>
        <v>$1035</v>
      </c>
      <c r="J929" s="3">
        <f>VLOOKUP(Googleadssales[[#This Row],[Ad_ID]],'[1]pre processed data'!A:Q,17,0)</f>
        <v>45600</v>
      </c>
      <c r="K929" t="str">
        <f>VLOOKUP(Googleadssales[[#This Row],[Ad_ID]],'[1]pre processed data'!A:R,18,0)</f>
        <v>Hyderabad</v>
      </c>
      <c r="L929" t="str">
        <f>VLOOKUP(Googleadssales[[#This Row],[Ad_ID]],'[1]pre processed data'!A:S,19,0)</f>
        <v>Desktop</v>
      </c>
      <c r="M929" t="str">
        <f>VLOOKUP(Googleadssales[[#This Row],[Ad_ID]],'[1]pre processed data'!A:T,20,0)</f>
        <v>learn data analytics</v>
      </c>
    </row>
    <row r="930" spans="1:13" x14ac:dyDescent="0.3">
      <c r="A930" t="s">
        <v>943</v>
      </c>
      <c r="B930" t="s">
        <v>18</v>
      </c>
      <c r="C930" s="4">
        <f>VLOOKUP(Googleadssales[[#This Row],[Ad_ID]],'[1]pre processed data'!A:C,3,0)</f>
        <v>126</v>
      </c>
      <c r="D930" s="4">
        <f>VLOOKUP(Googleadssales[[#This Row],[Ad_ID]],'[1]pre processed data'!A:E,5,0)</f>
        <v>3613</v>
      </c>
      <c r="E930" s="5" t="str">
        <f>VLOOKUP(Googleadssales[[#This Row],[Ad_ID]],[1]!Table3[[Ad_ID]:[Cost-imputed]],7,0)</f>
        <v>$208.74</v>
      </c>
      <c r="F930" s="4">
        <f>VLOOKUP(Googleadssales[[#This Row],[Ad_ID]],'[1]pre processed data'!A:I,9,0)</f>
        <v>18</v>
      </c>
      <c r="G930" s="4">
        <f>VLOOKUP(Googleadssales[[#This Row],[Ad_ID]],'[1]pre processed data'!A:K,11,0)</f>
        <v>7</v>
      </c>
      <c r="H930" s="2">
        <f>Googleadssales[[#This Row],[Conversions]]/Googleadssales[[#This Row],[Clicks]]</f>
        <v>5.5555555555555552E-2</v>
      </c>
      <c r="I930" t="str">
        <f>VLOOKUP(Googleadssales[[#This Row],[Ad_ID]],'[1]pre processed data'!A:O,15,0)</f>
        <v>$1106</v>
      </c>
      <c r="J930" s="3">
        <f>VLOOKUP(Googleadssales[[#This Row],[Ad_ID]],'[1]pre processed data'!A:Q,17,0)</f>
        <v>45602</v>
      </c>
      <c r="K930" t="str">
        <f>VLOOKUP(Googleadssales[[#This Row],[Ad_ID]],'[1]pre processed data'!A:R,18,0)</f>
        <v>Hyderabad</v>
      </c>
      <c r="L930" t="str">
        <f>VLOOKUP(Googleadssales[[#This Row],[Ad_ID]],'[1]pre processed data'!A:S,19,0)</f>
        <v>Desktop</v>
      </c>
      <c r="M930" t="str">
        <f>VLOOKUP(Googleadssales[[#This Row],[Ad_ID]],'[1]pre processed data'!A:T,20,0)</f>
        <v>learn data analytics</v>
      </c>
    </row>
    <row r="931" spans="1:13" x14ac:dyDescent="0.3">
      <c r="A931" t="s">
        <v>944</v>
      </c>
      <c r="B931" t="s">
        <v>14</v>
      </c>
      <c r="C931" s="4">
        <f>VLOOKUP(Googleadssales[[#This Row],[Ad_ID]],'[1]pre processed data'!A:C,3,0)</f>
        <v>115</v>
      </c>
      <c r="D931" s="4">
        <f>VLOOKUP(Googleadssales[[#This Row],[Ad_ID]],'[1]pre processed data'!A:E,5,0)</f>
        <v>3234</v>
      </c>
      <c r="E931" s="5" t="str">
        <f>VLOOKUP(Googleadssales[[#This Row],[Ad_ID]],[1]!Table3[[Ad_ID]:[Cost-imputed]],7,0)</f>
        <v>$227.77</v>
      </c>
      <c r="F931" s="4">
        <f>VLOOKUP(Googleadssales[[#This Row],[Ad_ID]],'[1]pre processed data'!A:I,9,0)</f>
        <v>30</v>
      </c>
      <c r="G931" s="4">
        <f>VLOOKUP(Googleadssales[[#This Row],[Ad_ID]],'[1]pre processed data'!A:K,11,0)</f>
        <v>3</v>
      </c>
      <c r="H931" s="2">
        <f>Googleadssales[[#This Row],[Conversions]]/Googleadssales[[#This Row],[Clicks]]</f>
        <v>2.6086956521739129E-2</v>
      </c>
      <c r="I931" t="str">
        <f>VLOOKUP(Googleadssales[[#This Row],[Ad_ID]],'[1]pre processed data'!A:O,15,0)</f>
        <v>$1272</v>
      </c>
      <c r="J931" s="3">
        <f>VLOOKUP(Googleadssales[[#This Row],[Ad_ID]],'[1]pre processed data'!A:Q,17,0)</f>
        <v>45609</v>
      </c>
      <c r="K931" t="str">
        <f>VLOOKUP(Googleadssales[[#This Row],[Ad_ID]],'[1]pre processed data'!A:R,18,0)</f>
        <v>Hyderabad</v>
      </c>
      <c r="L931" t="str">
        <f>VLOOKUP(Googleadssales[[#This Row],[Ad_ID]],'[1]pre processed data'!A:S,19,0)</f>
        <v>Tablet</v>
      </c>
      <c r="M931" t="str">
        <f>VLOOKUP(Googleadssales[[#This Row],[Ad_ID]],'[1]pre processed data'!A:T,20,0)</f>
        <v>learn data analytics</v>
      </c>
    </row>
    <row r="932" spans="1:13" x14ac:dyDescent="0.3">
      <c r="A932" t="s">
        <v>945</v>
      </c>
      <c r="B932" t="s">
        <v>14</v>
      </c>
      <c r="C932" s="4">
        <f>VLOOKUP(Googleadssales[[#This Row],[Ad_ID]],'[1]pre processed data'!A:C,3,0)</f>
        <v>135</v>
      </c>
      <c r="D932" s="4">
        <f>VLOOKUP(Googleadssales[[#This Row],[Ad_ID]],'[1]pre processed data'!A:E,5,0)</f>
        <v>5436</v>
      </c>
      <c r="E932" s="5" t="str">
        <f>VLOOKUP(Googleadssales[[#This Row],[Ad_ID]],[1]!Table3[[Ad_ID]:[Cost-imputed]],7,0)</f>
        <v>$245.86</v>
      </c>
      <c r="F932" s="4">
        <f>VLOOKUP(Googleadssales[[#This Row],[Ad_ID]],'[1]pre processed data'!A:I,9,0)</f>
        <v>28</v>
      </c>
      <c r="G932" s="4">
        <f>VLOOKUP(Googleadssales[[#This Row],[Ad_ID]],'[1]pre processed data'!A:K,11,0)</f>
        <v>9</v>
      </c>
      <c r="H932" s="2">
        <f>Googleadssales[[#This Row],[Conversions]]/Googleadssales[[#This Row],[Clicks]]</f>
        <v>6.6666666666666666E-2</v>
      </c>
      <c r="I932" t="str">
        <f>VLOOKUP(Googleadssales[[#This Row],[Ad_ID]],'[1]pre processed data'!A:O,15,0)</f>
        <v>$1453</v>
      </c>
      <c r="J932" s="3">
        <f>VLOOKUP(Googleadssales[[#This Row],[Ad_ID]],'[1]pre processed data'!A:Q,17,0)</f>
        <v>45599</v>
      </c>
      <c r="K932" t="str">
        <f>VLOOKUP(Googleadssales[[#This Row],[Ad_ID]],'[1]pre processed data'!A:R,18,0)</f>
        <v>Chennai</v>
      </c>
      <c r="L932" t="str">
        <f>VLOOKUP(Googleadssales[[#This Row],[Ad_ID]],'[1]pre processed data'!A:S,19,0)</f>
        <v>Desktop</v>
      </c>
      <c r="M932" t="str">
        <f>VLOOKUP(Googleadssales[[#This Row],[Ad_ID]],'[1]pre processed data'!A:T,20,0)</f>
        <v>data analytics online</v>
      </c>
    </row>
    <row r="933" spans="1:13" x14ac:dyDescent="0.3">
      <c r="A933" t="s">
        <v>946</v>
      </c>
      <c r="B933" t="s">
        <v>14</v>
      </c>
      <c r="C933" s="4">
        <f>VLOOKUP(Googleadssales[[#This Row],[Ad_ID]],'[1]pre processed data'!A:C,3,0)</f>
        <v>158</v>
      </c>
      <c r="D933" s="4">
        <f>VLOOKUP(Googleadssales[[#This Row],[Ad_ID]],'[1]pre processed data'!A:E,5,0)</f>
        <v>4519</v>
      </c>
      <c r="E933" s="5" t="str">
        <f>VLOOKUP(Googleadssales[[#This Row],[Ad_ID]],[1]!Table3[[Ad_ID]:[Cost-imputed]],7,0)</f>
        <v>$191.84</v>
      </c>
      <c r="F933" s="4">
        <f>VLOOKUP(Googleadssales[[#This Row],[Ad_ID]],'[1]pre processed data'!A:I,9,0)</f>
        <v>26</v>
      </c>
      <c r="G933" s="4">
        <f>VLOOKUP(Googleadssales[[#This Row],[Ad_ID]],'[1]pre processed data'!A:K,11,0)</f>
        <v>4</v>
      </c>
      <c r="H933" s="2">
        <f>Googleadssales[[#This Row],[Conversions]]/Googleadssales[[#This Row],[Clicks]]</f>
        <v>2.5316455696202531E-2</v>
      </c>
      <c r="I933" t="str">
        <f>VLOOKUP(Googleadssales[[#This Row],[Ad_ID]],'[1]pre processed data'!A:O,15,0)</f>
        <v>$1500</v>
      </c>
      <c r="J933" s="3">
        <f>VLOOKUP(Googleadssales[[#This Row],[Ad_ID]],'[1]pre processed data'!A:Q,17,0)</f>
        <v>45625</v>
      </c>
      <c r="K933" t="str">
        <f>VLOOKUP(Googleadssales[[#This Row],[Ad_ID]],'[1]pre processed data'!A:R,18,0)</f>
        <v>Hyderabad</v>
      </c>
      <c r="L933" t="str">
        <f>VLOOKUP(Googleadssales[[#This Row],[Ad_ID]],'[1]pre processed data'!A:S,19,0)</f>
        <v>Desktop</v>
      </c>
      <c r="M933" t="str">
        <f>VLOOKUP(Googleadssales[[#This Row],[Ad_ID]],'[1]pre processed data'!A:T,20,0)</f>
        <v>data analytics online</v>
      </c>
    </row>
    <row r="934" spans="1:13" x14ac:dyDescent="0.3">
      <c r="A934" t="s">
        <v>947</v>
      </c>
      <c r="B934" t="s">
        <v>14</v>
      </c>
      <c r="C934" s="4">
        <f>VLOOKUP(Googleadssales[[#This Row],[Ad_ID]],'[1]pre processed data'!A:C,3,0)</f>
        <v>80</v>
      </c>
      <c r="D934" s="4">
        <f>VLOOKUP(Googleadssales[[#This Row],[Ad_ID]],'[1]pre processed data'!A:E,5,0)</f>
        <v>3777</v>
      </c>
      <c r="E934" s="5" t="str">
        <f>VLOOKUP(Googleadssales[[#This Row],[Ad_ID]],[1]!Table3[[Ad_ID]:[Cost-imputed]],7,0)</f>
        <v>$199.52</v>
      </c>
      <c r="F934" s="4">
        <f>VLOOKUP(Googleadssales[[#This Row],[Ad_ID]],'[1]pre processed data'!A:I,9,0)</f>
        <v>12</v>
      </c>
      <c r="G934" s="4">
        <f>VLOOKUP(Googleadssales[[#This Row],[Ad_ID]],'[1]pre processed data'!A:K,11,0)</f>
        <v>7</v>
      </c>
      <c r="H934" s="2">
        <f>Googleadssales[[#This Row],[Conversions]]/Googleadssales[[#This Row],[Clicks]]</f>
        <v>8.7499999999999994E-2</v>
      </c>
      <c r="I934" t="str">
        <f>VLOOKUP(Googleadssales[[#This Row],[Ad_ID]],'[1]pre processed data'!A:O,15,0)</f>
        <v>$1694</v>
      </c>
      <c r="J934" s="3">
        <f>VLOOKUP(Googleadssales[[#This Row],[Ad_ID]],'[1]pre processed data'!A:Q,17,0)</f>
        <v>45618</v>
      </c>
      <c r="K934" t="str">
        <f>VLOOKUP(Googleadssales[[#This Row],[Ad_ID]],'[1]pre processed data'!A:R,18,0)</f>
        <v>Bangaluru</v>
      </c>
      <c r="L934" t="str">
        <f>VLOOKUP(Googleadssales[[#This Row],[Ad_ID]],'[1]pre processed data'!A:S,19,0)</f>
        <v>Desktop</v>
      </c>
      <c r="M934" t="str">
        <f>VLOOKUP(Googleadssales[[#This Row],[Ad_ID]],'[1]pre processed data'!A:T,20,0)</f>
        <v>learn data analytics</v>
      </c>
    </row>
    <row r="935" spans="1:13" x14ac:dyDescent="0.3">
      <c r="A935" t="s">
        <v>948</v>
      </c>
      <c r="B935" t="s">
        <v>14</v>
      </c>
      <c r="C935" s="4">
        <f>VLOOKUP(Googleadssales[[#This Row],[Ad_ID]],'[1]pre processed data'!A:C,3,0)</f>
        <v>190</v>
      </c>
      <c r="D935" s="4">
        <f>VLOOKUP(Googleadssales[[#This Row],[Ad_ID]],'[1]pre processed data'!A:E,5,0)</f>
        <v>3461</v>
      </c>
      <c r="E935" s="5" t="str">
        <f>VLOOKUP(Googleadssales[[#This Row],[Ad_ID]],[1]!Table3[[Ad_ID]:[Cost-imputed]],7,0)</f>
        <v>$205.22</v>
      </c>
      <c r="F935" s="4">
        <f>VLOOKUP(Googleadssales[[#This Row],[Ad_ID]],'[1]pre processed data'!A:I,9,0)</f>
        <v>28</v>
      </c>
      <c r="G935" s="4">
        <f>VLOOKUP(Googleadssales[[#This Row],[Ad_ID]],'[1]pre processed data'!A:K,11,0)</f>
        <v>10</v>
      </c>
      <c r="H935" s="2">
        <f>Googleadssales[[#This Row],[Conversions]]/Googleadssales[[#This Row],[Clicks]]</f>
        <v>5.2631578947368418E-2</v>
      </c>
      <c r="I935" t="str">
        <f>VLOOKUP(Googleadssales[[#This Row],[Ad_ID]],'[1]pre processed data'!A:O,15,0)</f>
        <v>$1616</v>
      </c>
      <c r="J935" s="3">
        <f>VLOOKUP(Googleadssales[[#This Row],[Ad_ID]],'[1]pre processed data'!A:Q,17,0)</f>
        <v>45621</v>
      </c>
      <c r="K935" t="str">
        <f>VLOOKUP(Googleadssales[[#This Row],[Ad_ID]],'[1]pre processed data'!A:R,18,0)</f>
        <v>Bangaluru</v>
      </c>
      <c r="L935" t="str">
        <f>VLOOKUP(Googleadssales[[#This Row],[Ad_ID]],'[1]pre processed data'!A:S,19,0)</f>
        <v>Mobile</v>
      </c>
      <c r="M935" t="str">
        <f>VLOOKUP(Googleadssales[[#This Row],[Ad_ID]],'[1]pre processed data'!A:T,20,0)</f>
        <v>online data analytic</v>
      </c>
    </row>
    <row r="936" spans="1:13" x14ac:dyDescent="0.3">
      <c r="A936" t="s">
        <v>949</v>
      </c>
      <c r="B936" t="s">
        <v>14</v>
      </c>
      <c r="C936" s="4">
        <f>VLOOKUP(Googleadssales[[#This Row],[Ad_ID]],'[1]pre processed data'!A:C,3,0)</f>
        <v>135</v>
      </c>
      <c r="D936" s="4">
        <f>VLOOKUP(Googleadssales[[#This Row],[Ad_ID]],'[1]pre processed data'!A:E,5,0)</f>
        <v>4575</v>
      </c>
      <c r="E936" s="5" t="str">
        <f>VLOOKUP(Googleadssales[[#This Row],[Ad_ID]],[1]!Table3[[Ad_ID]:[Cost-imputed]],7,0)</f>
        <v>$241.92</v>
      </c>
      <c r="F936" s="4">
        <f>VLOOKUP(Googleadssales[[#This Row],[Ad_ID]],'[1]pre processed data'!A:I,9,0)</f>
        <v>10</v>
      </c>
      <c r="G936" s="4">
        <f>VLOOKUP(Googleadssales[[#This Row],[Ad_ID]],'[1]pre processed data'!A:K,11,0)</f>
        <v>5</v>
      </c>
      <c r="H936" s="2">
        <f>Googleadssales[[#This Row],[Conversions]]/Googleadssales[[#This Row],[Clicks]]</f>
        <v>3.7037037037037035E-2</v>
      </c>
      <c r="I936" t="str">
        <f>VLOOKUP(Googleadssales[[#This Row],[Ad_ID]],'[1]pre processed data'!A:O,15,0)</f>
        <v>$1553</v>
      </c>
      <c r="J936" s="3">
        <f>VLOOKUP(Googleadssales[[#This Row],[Ad_ID]],'[1]pre processed data'!A:Q,17,0)</f>
        <v>45618</v>
      </c>
      <c r="K936" t="str">
        <f>VLOOKUP(Googleadssales[[#This Row],[Ad_ID]],'[1]pre processed data'!A:R,18,0)</f>
        <v>Bangaluru</v>
      </c>
      <c r="L936" t="str">
        <f>VLOOKUP(Googleadssales[[#This Row],[Ad_ID]],'[1]pre processed data'!A:S,19,0)</f>
        <v>Desktop</v>
      </c>
      <c r="M936" t="str">
        <f>VLOOKUP(Googleadssales[[#This Row],[Ad_ID]],'[1]pre processed data'!A:T,20,0)</f>
        <v>data analytics course</v>
      </c>
    </row>
    <row r="937" spans="1:13" x14ac:dyDescent="0.3">
      <c r="A937" t="s">
        <v>950</v>
      </c>
      <c r="B937" t="s">
        <v>14</v>
      </c>
      <c r="C937" s="4">
        <f>VLOOKUP(Googleadssales[[#This Row],[Ad_ID]],'[1]pre processed data'!A:C,3,0)</f>
        <v>149</v>
      </c>
      <c r="D937" s="4">
        <f>VLOOKUP(Googleadssales[[#This Row],[Ad_ID]],'[1]pre processed data'!A:E,5,0)</f>
        <v>3471</v>
      </c>
      <c r="E937" s="5" t="str">
        <f>VLOOKUP(Googleadssales[[#This Row],[Ad_ID]],[1]!Table3[[Ad_ID]:[Cost-imputed]],7,0)</f>
        <v>$242.14</v>
      </c>
      <c r="F937" s="4">
        <f>VLOOKUP(Googleadssales[[#This Row],[Ad_ID]],'[1]pre processed data'!A:I,9,0)</f>
        <v>23</v>
      </c>
      <c r="G937" s="4">
        <f>VLOOKUP(Googleadssales[[#This Row],[Ad_ID]],'[1]pre processed data'!A:K,11,0)</f>
        <v>4</v>
      </c>
      <c r="H937" s="2">
        <f>Googleadssales[[#This Row],[Conversions]]/Googleadssales[[#This Row],[Clicks]]</f>
        <v>2.6845637583892617E-2</v>
      </c>
      <c r="I937" t="str">
        <f>VLOOKUP(Googleadssales[[#This Row],[Ad_ID]],'[1]pre processed data'!A:O,15,0)</f>
        <v>$1937</v>
      </c>
      <c r="J937" s="3">
        <f>VLOOKUP(Googleadssales[[#This Row],[Ad_ID]],'[1]pre processed data'!A:Q,17,0)</f>
        <v>45615</v>
      </c>
      <c r="K937" t="str">
        <f>VLOOKUP(Googleadssales[[#This Row],[Ad_ID]],'[1]pre processed data'!A:R,18,0)</f>
        <v>Hyderabad</v>
      </c>
      <c r="L937" t="str">
        <f>VLOOKUP(Googleadssales[[#This Row],[Ad_ID]],'[1]pre processed data'!A:S,19,0)</f>
        <v>Desktop</v>
      </c>
      <c r="M937" t="str">
        <f>VLOOKUP(Googleadssales[[#This Row],[Ad_ID]],'[1]pre processed data'!A:T,20,0)</f>
        <v>data analytics training</v>
      </c>
    </row>
    <row r="938" spans="1:13" x14ac:dyDescent="0.3">
      <c r="A938" t="s">
        <v>951</v>
      </c>
      <c r="B938" t="s">
        <v>14</v>
      </c>
      <c r="C938" s="4">
        <f>VLOOKUP(Googleadssales[[#This Row],[Ad_ID]],'[1]pre processed data'!A:C,3,0)</f>
        <v>164</v>
      </c>
      <c r="D938" s="4">
        <f>VLOOKUP(Googleadssales[[#This Row],[Ad_ID]],'[1]pre processed data'!A:E,5,0)</f>
        <v>3115</v>
      </c>
      <c r="E938" s="5" t="str">
        <f>VLOOKUP(Googleadssales[[#This Row],[Ad_ID]],[1]!Table3[[Ad_ID]:[Cost-imputed]],7,0)</f>
        <v>$232.62</v>
      </c>
      <c r="F938" s="4">
        <f>VLOOKUP(Googleadssales[[#This Row],[Ad_ID]],'[1]pre processed data'!A:I,9,0)</f>
        <v>10</v>
      </c>
      <c r="G938" s="4">
        <f>VLOOKUP(Googleadssales[[#This Row],[Ad_ID]],'[1]pre processed data'!A:K,11,0)</f>
        <v>6.5009345794392521</v>
      </c>
      <c r="H938" s="2">
        <f>Googleadssales[[#This Row],[Conversions]]/Googleadssales[[#This Row],[Clicks]]</f>
        <v>3.9639844996580804E-2</v>
      </c>
      <c r="I938" t="str">
        <f>VLOOKUP(Googleadssales[[#This Row],[Ad_ID]],'[1]pre processed data'!A:O,15,0)</f>
        <v>$1802</v>
      </c>
      <c r="J938" s="3">
        <f>VLOOKUP(Googleadssales[[#This Row],[Ad_ID]],'[1]pre processed data'!A:Q,17,0)</f>
        <v>45600</v>
      </c>
      <c r="K938" t="str">
        <f>VLOOKUP(Googleadssales[[#This Row],[Ad_ID]],'[1]pre processed data'!A:R,18,0)</f>
        <v>Hyderabad</v>
      </c>
      <c r="L938" t="str">
        <f>VLOOKUP(Googleadssales[[#This Row],[Ad_ID]],'[1]pre processed data'!A:S,19,0)</f>
        <v>Tablet</v>
      </c>
      <c r="M938" t="str">
        <f>VLOOKUP(Googleadssales[[#This Row],[Ad_ID]],'[1]pre processed data'!A:T,20,0)</f>
        <v>data analytics online</v>
      </c>
    </row>
    <row r="939" spans="1:13" x14ac:dyDescent="0.3">
      <c r="A939" t="s">
        <v>952</v>
      </c>
      <c r="B939" t="s">
        <v>14</v>
      </c>
      <c r="C939" s="4">
        <f>VLOOKUP(Googleadssales[[#This Row],[Ad_ID]],'[1]pre processed data'!A:C,3,0)</f>
        <v>132</v>
      </c>
      <c r="D939" s="4">
        <f>VLOOKUP(Googleadssales[[#This Row],[Ad_ID]],'[1]pre processed data'!A:E,5,0)</f>
        <v>5428</v>
      </c>
      <c r="E939" s="5" t="str">
        <f>VLOOKUP(Googleadssales[[#This Row],[Ad_ID]],[1]!Table3[[Ad_ID]:[Cost-imputed]],7,0)</f>
        <v>$180.73</v>
      </c>
      <c r="F939" s="4">
        <f>VLOOKUP(Googleadssales[[#This Row],[Ad_ID]],'[1]pre processed data'!A:I,9,0)</f>
        <v>10</v>
      </c>
      <c r="G939" s="4">
        <f>VLOOKUP(Googleadssales[[#This Row],[Ad_ID]],'[1]pre processed data'!A:K,11,0)</f>
        <v>7</v>
      </c>
      <c r="H939" s="2">
        <f>Googleadssales[[#This Row],[Conversions]]/Googleadssales[[#This Row],[Clicks]]</f>
        <v>5.3030303030303032E-2</v>
      </c>
      <c r="I939" t="str">
        <f>VLOOKUP(Googleadssales[[#This Row],[Ad_ID]],'[1]pre processed data'!A:O,15,0)</f>
        <v>$1732</v>
      </c>
      <c r="J939" s="3">
        <f>VLOOKUP(Googleadssales[[#This Row],[Ad_ID]],'[1]pre processed data'!A:Q,17,0)</f>
        <v>45612</v>
      </c>
      <c r="K939" t="str">
        <f>VLOOKUP(Googleadssales[[#This Row],[Ad_ID]],'[1]pre processed data'!A:R,18,0)</f>
        <v>Hyderabad</v>
      </c>
      <c r="L939" t="str">
        <f>VLOOKUP(Googleadssales[[#This Row],[Ad_ID]],'[1]pre processed data'!A:S,19,0)</f>
        <v>Desktop</v>
      </c>
      <c r="M939" t="str">
        <f>VLOOKUP(Googleadssales[[#This Row],[Ad_ID]],'[1]pre processed data'!A:T,20,0)</f>
        <v>data analytics course</v>
      </c>
    </row>
    <row r="940" spans="1:13" x14ac:dyDescent="0.3">
      <c r="A940" t="s">
        <v>953</v>
      </c>
      <c r="B940" t="s">
        <v>18</v>
      </c>
      <c r="C940" s="4">
        <f>VLOOKUP(Googleadssales[[#This Row],[Ad_ID]],'[1]pre processed data'!A:C,3,0)</f>
        <v>198</v>
      </c>
      <c r="D940" s="4">
        <f>VLOOKUP(Googleadssales[[#This Row],[Ad_ID]],'[1]pre processed data'!A:E,5,0)</f>
        <v>4499</v>
      </c>
      <c r="E940" s="5" t="str">
        <f>VLOOKUP(Googleadssales[[#This Row],[Ad_ID]],[1]!Table3[[Ad_ID]:[Cost-imputed]],7,0)</f>
        <v>$245.24</v>
      </c>
      <c r="F940" s="4">
        <f>VLOOKUP(Googleadssales[[#This Row],[Ad_ID]],'[1]pre processed data'!A:I,9,0)</f>
        <v>27</v>
      </c>
      <c r="G940" s="4">
        <f>VLOOKUP(Googleadssales[[#This Row],[Ad_ID]],'[1]pre processed data'!A:K,11,0)</f>
        <v>7</v>
      </c>
      <c r="H940" s="2">
        <f>Googleadssales[[#This Row],[Conversions]]/Googleadssales[[#This Row],[Clicks]]</f>
        <v>3.5353535353535352E-2</v>
      </c>
      <c r="I940" t="str">
        <f>VLOOKUP(Googleadssales[[#This Row],[Ad_ID]],'[1]pre processed data'!A:O,15,0)</f>
        <v>$1165</v>
      </c>
      <c r="J940" s="3">
        <f>VLOOKUP(Googleadssales[[#This Row],[Ad_ID]],'[1]pre processed data'!A:Q,17,0)</f>
        <v>45597</v>
      </c>
      <c r="K940" t="str">
        <f>VLOOKUP(Googleadssales[[#This Row],[Ad_ID]],'[1]pre processed data'!A:R,18,0)</f>
        <v>Hyderabad</v>
      </c>
      <c r="L940" t="str">
        <f>VLOOKUP(Googleadssales[[#This Row],[Ad_ID]],'[1]pre processed data'!A:S,19,0)</f>
        <v>Tablet</v>
      </c>
      <c r="M940" t="str">
        <f>VLOOKUP(Googleadssales[[#This Row],[Ad_ID]],'[1]pre processed data'!A:T,20,0)</f>
        <v>online data analytic</v>
      </c>
    </row>
    <row r="941" spans="1:13" x14ac:dyDescent="0.3">
      <c r="A941" t="s">
        <v>954</v>
      </c>
      <c r="B941" t="s">
        <v>14</v>
      </c>
      <c r="C941" s="4">
        <f>VLOOKUP(Googleadssales[[#This Row],[Ad_ID]],'[1]pre processed data'!A:C,3,0)</f>
        <v>153</v>
      </c>
      <c r="D941" s="4">
        <f>VLOOKUP(Googleadssales[[#This Row],[Ad_ID]],'[1]pre processed data'!A:E,5,0)</f>
        <v>3285</v>
      </c>
      <c r="E941" s="5" t="str">
        <f>VLOOKUP(Googleadssales[[#This Row],[Ad_ID]],[1]!Table3[[Ad_ID]:[Cost-imputed]],7,0)</f>
        <v>$226.26</v>
      </c>
      <c r="F941" s="4">
        <f>VLOOKUP(Googleadssales[[#This Row],[Ad_ID]],'[1]pre processed data'!A:I,9,0)</f>
        <v>12</v>
      </c>
      <c r="G941" s="4">
        <f>VLOOKUP(Googleadssales[[#This Row],[Ad_ID]],'[1]pre processed data'!A:K,11,0)</f>
        <v>7</v>
      </c>
      <c r="H941" s="2">
        <f>Googleadssales[[#This Row],[Conversions]]/Googleadssales[[#This Row],[Clicks]]</f>
        <v>4.5751633986928102E-2</v>
      </c>
      <c r="I941" t="str">
        <f>VLOOKUP(Googleadssales[[#This Row],[Ad_ID]],'[1]pre processed data'!A:O,15,0)</f>
        <v>$1838</v>
      </c>
      <c r="J941" s="3">
        <f>VLOOKUP(Googleadssales[[#This Row],[Ad_ID]],'[1]pre processed data'!A:Q,17,0)</f>
        <v>45617</v>
      </c>
      <c r="K941" t="str">
        <f>VLOOKUP(Googleadssales[[#This Row],[Ad_ID]],'[1]pre processed data'!A:R,18,0)</f>
        <v>Chennai</v>
      </c>
      <c r="L941" t="str">
        <f>VLOOKUP(Googleadssales[[#This Row],[Ad_ID]],'[1]pre processed data'!A:S,19,0)</f>
        <v>Desktop</v>
      </c>
      <c r="M941" t="str">
        <f>VLOOKUP(Googleadssales[[#This Row],[Ad_ID]],'[1]pre processed data'!A:T,20,0)</f>
        <v>online data analytic</v>
      </c>
    </row>
    <row r="942" spans="1:13" x14ac:dyDescent="0.3">
      <c r="A942" t="s">
        <v>955</v>
      </c>
      <c r="B942" t="s">
        <v>14</v>
      </c>
      <c r="C942" s="4">
        <f>VLOOKUP(Googleadssales[[#This Row],[Ad_ID]],'[1]pre processed data'!A:C,3,0)</f>
        <v>142</v>
      </c>
      <c r="D942" s="4">
        <f>VLOOKUP(Googleadssales[[#This Row],[Ad_ID]],'[1]pre processed data'!A:E,5,0)</f>
        <v>3431</v>
      </c>
      <c r="E942" s="5" t="str">
        <f>VLOOKUP(Googleadssales[[#This Row],[Ad_ID]],[1]!Table3[[Ad_ID]:[Cost-imputed]],7,0)</f>
        <v>$235.09</v>
      </c>
      <c r="F942" s="4">
        <f>VLOOKUP(Googleadssales[[#This Row],[Ad_ID]],'[1]pre processed data'!A:I,9,0)</f>
        <v>19</v>
      </c>
      <c r="G942" s="4">
        <f>VLOOKUP(Googleadssales[[#This Row],[Ad_ID]],'[1]pre processed data'!A:K,11,0)</f>
        <v>6.5</v>
      </c>
      <c r="H942" s="2">
        <f>Googleadssales[[#This Row],[Conversions]]/Googleadssales[[#This Row],[Clicks]]</f>
        <v>4.5774647887323945E-2</v>
      </c>
      <c r="I942" t="str">
        <f>VLOOKUP(Googleadssales[[#This Row],[Ad_ID]],'[1]pre processed data'!A:O,15,0)</f>
        <v>$1334</v>
      </c>
      <c r="J942" s="3">
        <f>VLOOKUP(Googleadssales[[#This Row],[Ad_ID]],'[1]pre processed data'!A:Q,17,0)</f>
        <v>45604</v>
      </c>
      <c r="K942" t="str">
        <f>VLOOKUP(Googleadssales[[#This Row],[Ad_ID]],'[1]pre processed data'!A:R,18,0)</f>
        <v>Bangaluru</v>
      </c>
      <c r="L942" t="str">
        <f>VLOOKUP(Googleadssales[[#This Row],[Ad_ID]],'[1]pre processed data'!A:S,19,0)</f>
        <v>Desktop</v>
      </c>
      <c r="M942" t="str">
        <f>VLOOKUP(Googleadssales[[#This Row],[Ad_ID]],'[1]pre processed data'!A:T,20,0)</f>
        <v>data analytics online</v>
      </c>
    </row>
    <row r="943" spans="1:13" x14ac:dyDescent="0.3">
      <c r="A943" t="s">
        <v>956</v>
      </c>
      <c r="B943" t="s">
        <v>14</v>
      </c>
      <c r="C943" s="4">
        <f>VLOOKUP(Googleadssales[[#This Row],[Ad_ID]],'[1]pre processed data'!A:C,3,0)</f>
        <v>91</v>
      </c>
      <c r="D943" s="4">
        <f>VLOOKUP(Googleadssales[[#This Row],[Ad_ID]],'[1]pre processed data'!A:E,5,0)</f>
        <v>4600</v>
      </c>
      <c r="E943" s="5" t="str">
        <f>VLOOKUP(Googleadssales[[#This Row],[Ad_ID]],[1]!Table3[[Ad_ID]:[Cost-imputed]],7,0)</f>
        <v>$194.14</v>
      </c>
      <c r="F943" s="4">
        <f>VLOOKUP(Googleadssales[[#This Row],[Ad_ID]],'[1]pre processed data'!A:I,9,0)</f>
        <v>19</v>
      </c>
      <c r="G943" s="4">
        <f>VLOOKUP(Googleadssales[[#This Row],[Ad_ID]],'[1]pre processed data'!A:K,11,0)</f>
        <v>7</v>
      </c>
      <c r="H943" s="2">
        <f>Googleadssales[[#This Row],[Conversions]]/Googleadssales[[#This Row],[Clicks]]</f>
        <v>7.6923076923076927E-2</v>
      </c>
      <c r="I943" t="str">
        <f>VLOOKUP(Googleadssales[[#This Row],[Ad_ID]],'[1]pre processed data'!A:O,15,0)</f>
        <v>$1255</v>
      </c>
      <c r="J943" s="3">
        <f>VLOOKUP(Googleadssales[[#This Row],[Ad_ID]],'[1]pre processed data'!A:Q,17,0)</f>
        <v>45615</v>
      </c>
      <c r="K943" t="str">
        <f>VLOOKUP(Googleadssales[[#This Row],[Ad_ID]],'[1]pre processed data'!A:R,18,0)</f>
        <v>Hyderabad</v>
      </c>
      <c r="L943" t="str">
        <f>VLOOKUP(Googleadssales[[#This Row],[Ad_ID]],'[1]pre processed data'!A:S,19,0)</f>
        <v>Mobile</v>
      </c>
      <c r="M943" t="str">
        <f>VLOOKUP(Googleadssales[[#This Row],[Ad_ID]],'[1]pre processed data'!A:T,20,0)</f>
        <v>data analytics online</v>
      </c>
    </row>
    <row r="944" spans="1:13" x14ac:dyDescent="0.3">
      <c r="A944" t="s">
        <v>957</v>
      </c>
      <c r="B944" t="s">
        <v>14</v>
      </c>
      <c r="C944" s="4">
        <f>VLOOKUP(Googleadssales[[#This Row],[Ad_ID]],'[1]pre processed data'!A:C,3,0)</f>
        <v>154</v>
      </c>
      <c r="D944" s="4">
        <f>VLOOKUP(Googleadssales[[#This Row],[Ad_ID]],'[1]pre processed data'!A:E,5,0)</f>
        <v>4804</v>
      </c>
      <c r="E944" s="5" t="str">
        <f>VLOOKUP(Googleadssales[[#This Row],[Ad_ID]],[1]!Table3[[Ad_ID]:[Cost-imputed]],7,0)</f>
        <v>$190.98</v>
      </c>
      <c r="F944" s="4">
        <f>VLOOKUP(Googleadssales[[#This Row],[Ad_ID]],'[1]pre processed data'!A:I,9,0)</f>
        <v>21</v>
      </c>
      <c r="G944" s="4">
        <f>VLOOKUP(Googleadssales[[#This Row],[Ad_ID]],'[1]pre processed data'!A:K,11,0)</f>
        <v>3</v>
      </c>
      <c r="H944" s="2">
        <f>Googleadssales[[#This Row],[Conversions]]/Googleadssales[[#This Row],[Clicks]]</f>
        <v>1.948051948051948E-2</v>
      </c>
      <c r="I944" t="str">
        <f>VLOOKUP(Googleadssales[[#This Row],[Ad_ID]],'[1]pre processed data'!A:O,15,0)</f>
        <v>$1521</v>
      </c>
      <c r="J944" s="3">
        <f>VLOOKUP(Googleadssales[[#This Row],[Ad_ID]],'[1]pre processed data'!A:Q,17,0)</f>
        <v>45619</v>
      </c>
      <c r="K944" t="str">
        <f>VLOOKUP(Googleadssales[[#This Row],[Ad_ID]],'[1]pre processed data'!A:R,18,0)</f>
        <v>Hyderabad</v>
      </c>
      <c r="L944" t="str">
        <f>VLOOKUP(Googleadssales[[#This Row],[Ad_ID]],'[1]pre processed data'!A:S,19,0)</f>
        <v>Desktop</v>
      </c>
      <c r="M944" t="str">
        <f>VLOOKUP(Googleadssales[[#This Row],[Ad_ID]],'[1]pre processed data'!A:T,20,0)</f>
        <v>data analytics training</v>
      </c>
    </row>
    <row r="945" spans="1:13" x14ac:dyDescent="0.3">
      <c r="A945" t="s">
        <v>958</v>
      </c>
      <c r="B945" t="s">
        <v>14</v>
      </c>
      <c r="C945" s="4">
        <f>VLOOKUP(Googleadssales[[#This Row],[Ad_ID]],'[1]pre processed data'!A:C,3,0)</f>
        <v>115</v>
      </c>
      <c r="D945" s="4">
        <f>VLOOKUP(Googleadssales[[#This Row],[Ad_ID]],'[1]pre processed data'!A:E,5,0)</f>
        <v>5472</v>
      </c>
      <c r="E945" s="5" t="str">
        <f>VLOOKUP(Googleadssales[[#This Row],[Ad_ID]],[1]!Table3[[Ad_ID]:[Cost-imputed]],7,0)</f>
        <v>$230.29</v>
      </c>
      <c r="F945" s="4">
        <f>VLOOKUP(Googleadssales[[#This Row],[Ad_ID]],'[1]pre processed data'!A:I,9,0)</f>
        <v>26</v>
      </c>
      <c r="G945" s="4">
        <f>VLOOKUP(Googleadssales[[#This Row],[Ad_ID]],'[1]pre processed data'!A:K,11,0)</f>
        <v>4</v>
      </c>
      <c r="H945" s="2">
        <f>Googleadssales[[#This Row],[Conversions]]/Googleadssales[[#This Row],[Clicks]]</f>
        <v>3.4782608695652174E-2</v>
      </c>
      <c r="I945" t="str">
        <f>VLOOKUP(Googleadssales[[#This Row],[Ad_ID]],'[1]pre processed data'!A:O,15,0)</f>
        <v>$1275</v>
      </c>
      <c r="J945" s="3">
        <f>VLOOKUP(Googleadssales[[#This Row],[Ad_ID]],'[1]pre processed data'!A:Q,17,0)</f>
        <v>45603</v>
      </c>
      <c r="K945" t="str">
        <f>VLOOKUP(Googleadssales[[#This Row],[Ad_ID]],'[1]pre processed data'!A:R,18,0)</f>
        <v>Chennai</v>
      </c>
      <c r="L945" t="str">
        <f>VLOOKUP(Googleadssales[[#This Row],[Ad_ID]],'[1]pre processed data'!A:S,19,0)</f>
        <v>Mobile</v>
      </c>
      <c r="M945" t="str">
        <f>VLOOKUP(Googleadssales[[#This Row],[Ad_ID]],'[1]pre processed data'!A:T,20,0)</f>
        <v>learn data analytics</v>
      </c>
    </row>
    <row r="946" spans="1:13" x14ac:dyDescent="0.3">
      <c r="A946" t="s">
        <v>959</v>
      </c>
      <c r="B946" t="s">
        <v>14</v>
      </c>
      <c r="C946" s="4">
        <f>VLOOKUP(Googleadssales[[#This Row],[Ad_ID]],'[1]pre processed data'!A:C,3,0)</f>
        <v>86</v>
      </c>
      <c r="D946" s="4">
        <f>VLOOKUP(Googleadssales[[#This Row],[Ad_ID]],'[1]pre processed data'!A:E,5,0)</f>
        <v>5493</v>
      </c>
      <c r="E946" s="5" t="str">
        <f>VLOOKUP(Googleadssales[[#This Row],[Ad_ID]],[1]!Table3[[Ad_ID]:[Cost-imputed]],7,0)</f>
        <v>$191.28</v>
      </c>
      <c r="F946" s="4">
        <f>VLOOKUP(Googleadssales[[#This Row],[Ad_ID]],'[1]pre processed data'!A:I,9,0)</f>
        <v>18</v>
      </c>
      <c r="G946" s="4">
        <f>VLOOKUP(Googleadssales[[#This Row],[Ad_ID]],'[1]pre processed data'!A:K,11,0)</f>
        <v>9</v>
      </c>
      <c r="H946" s="2">
        <f>Googleadssales[[#This Row],[Conversions]]/Googleadssales[[#This Row],[Clicks]]</f>
        <v>0.10465116279069768</v>
      </c>
      <c r="I946" t="str">
        <f>VLOOKUP(Googleadssales[[#This Row],[Ad_ID]],'[1]pre processed data'!A:O,15,0)</f>
        <v>$1204</v>
      </c>
      <c r="J946" s="3">
        <f>VLOOKUP(Googleadssales[[#This Row],[Ad_ID]],'[1]pre processed data'!A:Q,17,0)</f>
        <v>45616</v>
      </c>
      <c r="K946" t="str">
        <f>VLOOKUP(Googleadssales[[#This Row],[Ad_ID]],'[1]pre processed data'!A:R,18,0)</f>
        <v>Chennai</v>
      </c>
      <c r="L946" t="str">
        <f>VLOOKUP(Googleadssales[[#This Row],[Ad_ID]],'[1]pre processed data'!A:S,19,0)</f>
        <v>Tablet</v>
      </c>
      <c r="M946" t="str">
        <f>VLOOKUP(Googleadssales[[#This Row],[Ad_ID]],'[1]pre processed data'!A:T,20,0)</f>
        <v>data analytics course</v>
      </c>
    </row>
    <row r="947" spans="1:13" x14ac:dyDescent="0.3">
      <c r="A947" t="s">
        <v>960</v>
      </c>
      <c r="B947" t="s">
        <v>14</v>
      </c>
      <c r="C947" s="4">
        <f>VLOOKUP(Googleadssales[[#This Row],[Ad_ID]],'[1]pre processed data'!A:C,3,0)</f>
        <v>116</v>
      </c>
      <c r="D947" s="4">
        <f>VLOOKUP(Googleadssales[[#This Row],[Ad_ID]],'[1]pre processed data'!A:E,5,0)</f>
        <v>3188</v>
      </c>
      <c r="E947" s="5" t="str">
        <f>VLOOKUP(Googleadssales[[#This Row],[Ad_ID]],[1]!Table3[[Ad_ID]:[Cost-imputed]],7,0)</f>
        <v>$238.62</v>
      </c>
      <c r="F947" s="4">
        <f>VLOOKUP(Googleadssales[[#This Row],[Ad_ID]],'[1]pre processed data'!A:I,9,0)</f>
        <v>15</v>
      </c>
      <c r="G947" s="4">
        <f>VLOOKUP(Googleadssales[[#This Row],[Ad_ID]],'[1]pre processed data'!A:K,11,0)</f>
        <v>10</v>
      </c>
      <c r="H947" s="2">
        <f>Googleadssales[[#This Row],[Conversions]]/Googleadssales[[#This Row],[Clicks]]</f>
        <v>8.6206896551724144E-2</v>
      </c>
      <c r="I947" t="str">
        <f>VLOOKUP(Googleadssales[[#This Row],[Ad_ID]],'[1]pre processed data'!A:O,15,0)</f>
        <v>$1429</v>
      </c>
      <c r="J947" s="3">
        <f>VLOOKUP(Googleadssales[[#This Row],[Ad_ID]],'[1]pre processed data'!A:Q,17,0)</f>
        <v>45610</v>
      </c>
      <c r="K947" t="str">
        <f>VLOOKUP(Googleadssales[[#This Row],[Ad_ID]],'[1]pre processed data'!A:R,18,0)</f>
        <v>Chennai</v>
      </c>
      <c r="L947" t="str">
        <f>VLOOKUP(Googleadssales[[#This Row],[Ad_ID]],'[1]pre processed data'!A:S,19,0)</f>
        <v>Tablet</v>
      </c>
      <c r="M947" t="str">
        <f>VLOOKUP(Googleadssales[[#This Row],[Ad_ID]],'[1]pre processed data'!A:T,20,0)</f>
        <v>online data analytic</v>
      </c>
    </row>
    <row r="948" spans="1:13" x14ac:dyDescent="0.3">
      <c r="A948" t="s">
        <v>961</v>
      </c>
      <c r="B948" t="s">
        <v>14</v>
      </c>
      <c r="C948" s="4">
        <f>VLOOKUP(Googleadssales[[#This Row],[Ad_ID]],'[1]pre processed data'!A:C,3,0)</f>
        <v>144</v>
      </c>
      <c r="D948" s="4">
        <f>VLOOKUP(Googleadssales[[#This Row],[Ad_ID]],'[1]pre processed data'!A:E,5,0)</f>
        <v>3579</v>
      </c>
      <c r="E948" s="5" t="str">
        <f>VLOOKUP(Googleadssales[[#This Row],[Ad_ID]],[1]!Table3[[Ad_ID]:[Cost-imputed]],7,0)</f>
        <v>$237.97</v>
      </c>
      <c r="F948" s="4">
        <f>VLOOKUP(Googleadssales[[#This Row],[Ad_ID]],'[1]pre processed data'!A:I,9,0)</f>
        <v>21</v>
      </c>
      <c r="G948" s="4">
        <f>VLOOKUP(Googleadssales[[#This Row],[Ad_ID]],'[1]pre processed data'!A:K,11,0)</f>
        <v>10</v>
      </c>
      <c r="H948" s="2">
        <f>Googleadssales[[#This Row],[Conversions]]/Googleadssales[[#This Row],[Clicks]]</f>
        <v>6.9444444444444448E-2</v>
      </c>
      <c r="I948" t="str">
        <f>VLOOKUP(Googleadssales[[#This Row],[Ad_ID]],'[1]pre processed data'!A:O,15,0)</f>
        <v>$1155</v>
      </c>
      <c r="J948" s="3">
        <f>VLOOKUP(Googleadssales[[#This Row],[Ad_ID]],'[1]pre processed data'!A:Q,17,0)</f>
        <v>45598</v>
      </c>
      <c r="K948" t="str">
        <f>VLOOKUP(Googleadssales[[#This Row],[Ad_ID]],'[1]pre processed data'!A:R,18,0)</f>
        <v>Chennai</v>
      </c>
      <c r="L948" t="str">
        <f>VLOOKUP(Googleadssales[[#This Row],[Ad_ID]],'[1]pre processed data'!A:S,19,0)</f>
        <v>Desktop</v>
      </c>
      <c r="M948" t="str">
        <f>VLOOKUP(Googleadssales[[#This Row],[Ad_ID]],'[1]pre processed data'!A:T,20,0)</f>
        <v>data analytics course</v>
      </c>
    </row>
    <row r="949" spans="1:13" x14ac:dyDescent="0.3">
      <c r="A949" t="s">
        <v>962</v>
      </c>
      <c r="B949" t="s">
        <v>14</v>
      </c>
      <c r="C949" s="4">
        <f>VLOOKUP(Googleadssales[[#This Row],[Ad_ID]],'[1]pre processed data'!A:C,3,0)</f>
        <v>101</v>
      </c>
      <c r="D949" s="4">
        <f>VLOOKUP(Googleadssales[[#This Row],[Ad_ID]],'[1]pre processed data'!A:E,5,0)</f>
        <v>4198</v>
      </c>
      <c r="E949" s="5" t="str">
        <f>VLOOKUP(Googleadssales[[#This Row],[Ad_ID]],[1]!Table3[[Ad_ID]:[Cost-imputed]],7,0)</f>
        <v>$204.09</v>
      </c>
      <c r="F949" s="4">
        <f>VLOOKUP(Googleadssales[[#This Row],[Ad_ID]],'[1]pre processed data'!A:I,9,0)</f>
        <v>30</v>
      </c>
      <c r="G949" s="4">
        <f>VLOOKUP(Googleadssales[[#This Row],[Ad_ID]],'[1]pre processed data'!A:K,11,0)</f>
        <v>10</v>
      </c>
      <c r="H949" s="2">
        <f>Googleadssales[[#This Row],[Conversions]]/Googleadssales[[#This Row],[Clicks]]</f>
        <v>9.9009900990099015E-2</v>
      </c>
      <c r="I949" t="str">
        <f>VLOOKUP(Googleadssales[[#This Row],[Ad_ID]],'[1]pre processed data'!A:O,15,0)</f>
        <v>$1642</v>
      </c>
      <c r="J949" s="3">
        <f>VLOOKUP(Googleadssales[[#This Row],[Ad_ID]],'[1]pre processed data'!A:Q,17,0)</f>
        <v>45617</v>
      </c>
      <c r="K949" t="str">
        <f>VLOOKUP(Googleadssales[[#This Row],[Ad_ID]],'[1]pre processed data'!A:R,18,0)</f>
        <v>Hyderabad</v>
      </c>
      <c r="L949" t="str">
        <f>VLOOKUP(Googleadssales[[#This Row],[Ad_ID]],'[1]pre processed data'!A:S,19,0)</f>
        <v>Desktop</v>
      </c>
      <c r="M949" t="str">
        <f>VLOOKUP(Googleadssales[[#This Row],[Ad_ID]],'[1]pre processed data'!A:T,20,0)</f>
        <v>data analytics training</v>
      </c>
    </row>
    <row r="950" spans="1:13" x14ac:dyDescent="0.3">
      <c r="A950" t="s">
        <v>963</v>
      </c>
      <c r="B950" t="s">
        <v>18</v>
      </c>
      <c r="C950" s="4">
        <f>VLOOKUP(Googleadssales[[#This Row],[Ad_ID]],'[1]pre processed data'!A:C,3,0)</f>
        <v>116</v>
      </c>
      <c r="D950" s="4">
        <f>VLOOKUP(Googleadssales[[#This Row],[Ad_ID]],'[1]pre processed data'!A:E,5,0)</f>
        <v>4224</v>
      </c>
      <c r="E950" s="5" t="str">
        <f>VLOOKUP(Googleadssales[[#This Row],[Ad_ID]],[1]!Table3[[Ad_ID]:[Cost-imputed]],7,0)</f>
        <v>$245.99</v>
      </c>
      <c r="F950" s="4">
        <f>VLOOKUP(Googleadssales[[#This Row],[Ad_ID]],'[1]pre processed data'!A:I,9,0)</f>
        <v>10</v>
      </c>
      <c r="G950" s="4">
        <f>VLOOKUP(Googleadssales[[#This Row],[Ad_ID]],'[1]pre processed data'!A:K,11,0)</f>
        <v>5</v>
      </c>
      <c r="H950" s="2">
        <f>Googleadssales[[#This Row],[Conversions]]/Googleadssales[[#This Row],[Clicks]]</f>
        <v>4.3103448275862072E-2</v>
      </c>
      <c r="I950" t="str">
        <f>VLOOKUP(Googleadssales[[#This Row],[Ad_ID]],'[1]pre processed data'!A:O,15,0)</f>
        <v>$1054</v>
      </c>
      <c r="J950" s="3">
        <f>VLOOKUP(Googleadssales[[#This Row],[Ad_ID]],'[1]pre processed data'!A:Q,17,0)</f>
        <v>45601</v>
      </c>
      <c r="K950" t="str">
        <f>VLOOKUP(Googleadssales[[#This Row],[Ad_ID]],'[1]pre processed data'!A:R,18,0)</f>
        <v>Hyderabad</v>
      </c>
      <c r="L950" t="str">
        <f>VLOOKUP(Googleadssales[[#This Row],[Ad_ID]],'[1]pre processed data'!A:S,19,0)</f>
        <v>Tablet</v>
      </c>
      <c r="M950" t="str">
        <f>VLOOKUP(Googleadssales[[#This Row],[Ad_ID]],'[1]pre processed data'!A:T,20,0)</f>
        <v>data analytics online</v>
      </c>
    </row>
    <row r="951" spans="1:13" x14ac:dyDescent="0.3">
      <c r="A951" t="s">
        <v>964</v>
      </c>
      <c r="B951" t="s">
        <v>14</v>
      </c>
      <c r="C951" s="4">
        <f>VLOOKUP(Googleadssales[[#This Row],[Ad_ID]],'[1]pre processed data'!A:C,3,0)</f>
        <v>187</v>
      </c>
      <c r="D951" s="4">
        <f>VLOOKUP(Googleadssales[[#This Row],[Ad_ID]],'[1]pre processed data'!A:E,5,0)</f>
        <v>3199</v>
      </c>
      <c r="E951" s="5" t="str">
        <f>VLOOKUP(Googleadssales[[#This Row],[Ad_ID]],[1]!Table3[[Ad_ID]:[Cost-imputed]],7,0)</f>
        <v>$193.29</v>
      </c>
      <c r="F951" s="4">
        <f>VLOOKUP(Googleadssales[[#This Row],[Ad_ID]],'[1]pre processed data'!A:I,9,0)</f>
        <v>24</v>
      </c>
      <c r="G951" s="4">
        <f>VLOOKUP(Googleadssales[[#This Row],[Ad_ID]],'[1]pre processed data'!A:K,11,0)</f>
        <v>6</v>
      </c>
      <c r="H951" s="2">
        <f>Googleadssales[[#This Row],[Conversions]]/Googleadssales[[#This Row],[Clicks]]</f>
        <v>3.2085561497326207E-2</v>
      </c>
      <c r="I951" t="str">
        <f>VLOOKUP(Googleadssales[[#This Row],[Ad_ID]],'[1]pre processed data'!A:O,15,0)</f>
        <v>$1430</v>
      </c>
      <c r="J951" s="3">
        <f>VLOOKUP(Googleadssales[[#This Row],[Ad_ID]],'[1]pre processed data'!A:Q,17,0)</f>
        <v>45616</v>
      </c>
      <c r="K951" t="str">
        <f>VLOOKUP(Googleadssales[[#This Row],[Ad_ID]],'[1]pre processed data'!A:R,18,0)</f>
        <v>Bangaluru</v>
      </c>
      <c r="L951" t="str">
        <f>VLOOKUP(Googleadssales[[#This Row],[Ad_ID]],'[1]pre processed data'!A:S,19,0)</f>
        <v>Tablet</v>
      </c>
      <c r="M951" t="str">
        <f>VLOOKUP(Googleadssales[[#This Row],[Ad_ID]],'[1]pre processed data'!A:T,20,0)</f>
        <v>online data analytic</v>
      </c>
    </row>
    <row r="952" spans="1:13" x14ac:dyDescent="0.3">
      <c r="A952" t="s">
        <v>965</v>
      </c>
      <c r="B952" t="s">
        <v>14</v>
      </c>
      <c r="C952" s="4">
        <f>VLOOKUP(Googleadssales[[#This Row],[Ad_ID]],'[1]pre processed data'!A:C,3,0)</f>
        <v>114</v>
      </c>
      <c r="D952" s="4">
        <f>VLOOKUP(Googleadssales[[#This Row],[Ad_ID]],'[1]pre processed data'!A:E,5,0)</f>
        <v>4333</v>
      </c>
      <c r="E952" s="5" t="str">
        <f>VLOOKUP(Googleadssales[[#This Row],[Ad_ID]],[1]!Table3[[Ad_ID]:[Cost-imputed]],7,0)</f>
        <v>$192.81</v>
      </c>
      <c r="F952" s="4">
        <f>VLOOKUP(Googleadssales[[#This Row],[Ad_ID]],'[1]pre processed data'!A:I,9,0)</f>
        <v>26</v>
      </c>
      <c r="G952" s="4">
        <f>VLOOKUP(Googleadssales[[#This Row],[Ad_ID]],'[1]pre processed data'!A:K,11,0)</f>
        <v>6</v>
      </c>
      <c r="H952" s="2">
        <f>Googleadssales[[#This Row],[Conversions]]/Googleadssales[[#This Row],[Clicks]]</f>
        <v>5.2631578947368418E-2</v>
      </c>
      <c r="I952" t="str">
        <f>VLOOKUP(Googleadssales[[#This Row],[Ad_ID]],'[1]pre processed data'!A:O,15,0)</f>
        <v>$1722</v>
      </c>
      <c r="J952" s="3">
        <f>VLOOKUP(Googleadssales[[#This Row],[Ad_ID]],'[1]pre processed data'!A:Q,17,0)</f>
        <v>45604</v>
      </c>
      <c r="K952" t="str">
        <f>VLOOKUP(Googleadssales[[#This Row],[Ad_ID]],'[1]pre processed data'!A:R,18,0)</f>
        <v>Chennai</v>
      </c>
      <c r="L952" t="str">
        <f>VLOOKUP(Googleadssales[[#This Row],[Ad_ID]],'[1]pre processed data'!A:S,19,0)</f>
        <v>Tablet</v>
      </c>
      <c r="M952" t="str">
        <f>VLOOKUP(Googleadssales[[#This Row],[Ad_ID]],'[1]pre processed data'!A:T,20,0)</f>
        <v>data analytics training</v>
      </c>
    </row>
    <row r="953" spans="1:13" x14ac:dyDescent="0.3">
      <c r="A953" t="s">
        <v>966</v>
      </c>
      <c r="B953" t="s">
        <v>14</v>
      </c>
      <c r="C953" s="4">
        <f>VLOOKUP(Googleadssales[[#This Row],[Ad_ID]],'[1]pre processed data'!A:C,3,0)</f>
        <v>141</v>
      </c>
      <c r="D953" s="4">
        <f>VLOOKUP(Googleadssales[[#This Row],[Ad_ID]],'[1]pre processed data'!A:E,5,0)</f>
        <v>3617</v>
      </c>
      <c r="E953" s="5" t="str">
        <f>VLOOKUP(Googleadssales[[#This Row],[Ad_ID]],[1]!Table3[[Ad_ID]:[Cost-imputed]],7,0)</f>
        <v>$198.52</v>
      </c>
      <c r="F953" s="4">
        <f>VLOOKUP(Googleadssales[[#This Row],[Ad_ID]],'[1]pre processed data'!A:I,9,0)</f>
        <v>20</v>
      </c>
      <c r="G953" s="4">
        <f>VLOOKUP(Googleadssales[[#This Row],[Ad_ID]],'[1]pre processed data'!A:K,11,0)</f>
        <v>9</v>
      </c>
      <c r="H953" s="2">
        <f>Googleadssales[[#This Row],[Conversions]]/Googleadssales[[#This Row],[Clicks]]</f>
        <v>6.3829787234042548E-2</v>
      </c>
      <c r="I953" t="str">
        <f>VLOOKUP(Googleadssales[[#This Row],[Ad_ID]],'[1]pre processed data'!A:O,15,0)</f>
        <v>$1858</v>
      </c>
      <c r="J953" s="3">
        <f>VLOOKUP(Googleadssales[[#This Row],[Ad_ID]],'[1]pre processed data'!A:Q,17,0)</f>
        <v>45617</v>
      </c>
      <c r="K953" t="str">
        <f>VLOOKUP(Googleadssales[[#This Row],[Ad_ID]],'[1]pre processed data'!A:R,18,0)</f>
        <v>Hyderabad</v>
      </c>
      <c r="L953" t="str">
        <f>VLOOKUP(Googleadssales[[#This Row],[Ad_ID]],'[1]pre processed data'!A:S,19,0)</f>
        <v>Desktop</v>
      </c>
      <c r="M953" t="str">
        <f>VLOOKUP(Googleadssales[[#This Row],[Ad_ID]],'[1]pre processed data'!A:T,20,0)</f>
        <v>data analytics course</v>
      </c>
    </row>
    <row r="954" spans="1:13" x14ac:dyDescent="0.3">
      <c r="A954" t="s">
        <v>967</v>
      </c>
      <c r="B954" t="s">
        <v>14</v>
      </c>
      <c r="C954" s="4">
        <f>VLOOKUP(Googleadssales[[#This Row],[Ad_ID]],'[1]pre processed data'!A:C,3,0)</f>
        <v>167</v>
      </c>
      <c r="D954" s="4">
        <f>VLOOKUP(Googleadssales[[#This Row],[Ad_ID]],'[1]pre processed data'!A:E,5,0)</f>
        <v>5588</v>
      </c>
      <c r="E954" s="5" t="str">
        <f>VLOOKUP(Googleadssales[[#This Row],[Ad_ID]],[1]!Table3[[Ad_ID]:[Cost-imputed]],7,0)</f>
        <v>$181.95</v>
      </c>
      <c r="F954" s="4">
        <f>VLOOKUP(Googleadssales[[#This Row],[Ad_ID]],'[1]pre processed data'!A:I,9,0)</f>
        <v>18</v>
      </c>
      <c r="G954" s="4">
        <f>VLOOKUP(Googleadssales[[#This Row],[Ad_ID]],'[1]pre processed data'!A:K,11,0)</f>
        <v>9</v>
      </c>
      <c r="H954" s="2">
        <f>Googleadssales[[#This Row],[Conversions]]/Googleadssales[[#This Row],[Clicks]]</f>
        <v>5.3892215568862277E-2</v>
      </c>
      <c r="I954" t="str">
        <f>VLOOKUP(Googleadssales[[#This Row],[Ad_ID]],'[1]pre processed data'!A:O,15,0)</f>
        <v>$1500</v>
      </c>
      <c r="J954" s="3">
        <f>VLOOKUP(Googleadssales[[#This Row],[Ad_ID]],'[1]pre processed data'!A:Q,17,0)</f>
        <v>45619</v>
      </c>
      <c r="K954" t="str">
        <f>VLOOKUP(Googleadssales[[#This Row],[Ad_ID]],'[1]pre processed data'!A:R,18,0)</f>
        <v>Hyderabad</v>
      </c>
      <c r="L954" t="str">
        <f>VLOOKUP(Googleadssales[[#This Row],[Ad_ID]],'[1]pre processed data'!A:S,19,0)</f>
        <v>Tablet</v>
      </c>
      <c r="M954" t="str">
        <f>VLOOKUP(Googleadssales[[#This Row],[Ad_ID]],'[1]pre processed data'!A:T,20,0)</f>
        <v>data analytics training</v>
      </c>
    </row>
    <row r="955" spans="1:13" x14ac:dyDescent="0.3">
      <c r="A955" t="s">
        <v>968</v>
      </c>
      <c r="B955" t="s">
        <v>14</v>
      </c>
      <c r="C955" s="4">
        <f>VLOOKUP(Googleadssales[[#This Row],[Ad_ID]],'[1]pre processed data'!A:C,3,0)</f>
        <v>186</v>
      </c>
      <c r="D955" s="4">
        <f>VLOOKUP(Googleadssales[[#This Row],[Ad_ID]],'[1]pre processed data'!A:E,5,0)</f>
        <v>4689</v>
      </c>
      <c r="E955" s="5" t="str">
        <f>VLOOKUP(Googleadssales[[#This Row],[Ad_ID]],[1]!Table3[[Ad_ID]:[Cost-imputed]],7,0)</f>
        <v>$204.31</v>
      </c>
      <c r="F955" s="4">
        <f>VLOOKUP(Googleadssales[[#This Row],[Ad_ID]],'[1]pre processed data'!A:I,9,0)</f>
        <v>26</v>
      </c>
      <c r="G955" s="4">
        <f>VLOOKUP(Googleadssales[[#This Row],[Ad_ID]],'[1]pre processed data'!A:K,11,0)</f>
        <v>6</v>
      </c>
      <c r="H955" s="2">
        <f>Googleadssales[[#This Row],[Conversions]]/Googleadssales[[#This Row],[Clicks]]</f>
        <v>3.2258064516129031E-2</v>
      </c>
      <c r="I955" t="str">
        <f>VLOOKUP(Googleadssales[[#This Row],[Ad_ID]],'[1]pre processed data'!A:O,15,0)</f>
        <v>$1936</v>
      </c>
      <c r="J955" s="3">
        <f>VLOOKUP(Googleadssales[[#This Row],[Ad_ID]],'[1]pre processed data'!A:Q,17,0)</f>
        <v>45617</v>
      </c>
      <c r="K955" t="str">
        <f>VLOOKUP(Googleadssales[[#This Row],[Ad_ID]],'[1]pre processed data'!A:R,18,0)</f>
        <v>Hyderabad</v>
      </c>
      <c r="L955" t="str">
        <f>VLOOKUP(Googleadssales[[#This Row],[Ad_ID]],'[1]pre processed data'!A:S,19,0)</f>
        <v>Desktop</v>
      </c>
      <c r="M955" t="str">
        <f>VLOOKUP(Googleadssales[[#This Row],[Ad_ID]],'[1]pre processed data'!A:T,20,0)</f>
        <v>data analytics online</v>
      </c>
    </row>
    <row r="956" spans="1:13" x14ac:dyDescent="0.3">
      <c r="A956" t="s">
        <v>969</v>
      </c>
      <c r="B956" t="s">
        <v>14</v>
      </c>
      <c r="C956" s="4">
        <f>VLOOKUP(Googleadssales[[#This Row],[Ad_ID]],'[1]pre processed data'!A:C,3,0)</f>
        <v>138.95699356913184</v>
      </c>
      <c r="D956" s="4">
        <f>VLOOKUP(Googleadssales[[#This Row],[Ad_ID]],'[1]pre processed data'!A:E,5,0)</f>
        <v>4846</v>
      </c>
      <c r="E956" s="5" t="str">
        <f>VLOOKUP(Googleadssales[[#This Row],[Ad_ID]],[1]!Table3[[Ad_ID]:[Cost-imputed]],7,0)</f>
        <v>$206.4</v>
      </c>
      <c r="F956" s="4">
        <f>VLOOKUP(Googleadssales[[#This Row],[Ad_ID]],'[1]pre processed data'!A:I,9,0)</f>
        <v>21</v>
      </c>
      <c r="G956" s="4">
        <f>VLOOKUP(Googleadssales[[#This Row],[Ad_ID]],'[1]pre processed data'!A:K,11,0)</f>
        <v>7</v>
      </c>
      <c r="H956" s="2">
        <f>Googleadssales[[#This Row],[Conversions]]/Googleadssales[[#This Row],[Clicks]]</f>
        <v>5.0375298286210138E-2</v>
      </c>
      <c r="I956" t="str">
        <f>VLOOKUP(Googleadssales[[#This Row],[Ad_ID]],'[1]pre processed data'!A:O,15,0)</f>
        <v>$1526</v>
      </c>
      <c r="J956" s="3">
        <f>VLOOKUP(Googleadssales[[#This Row],[Ad_ID]],'[1]pre processed data'!A:Q,17,0)</f>
        <v>45624</v>
      </c>
      <c r="K956" t="str">
        <f>VLOOKUP(Googleadssales[[#This Row],[Ad_ID]],'[1]pre processed data'!A:R,18,0)</f>
        <v>Chennai</v>
      </c>
      <c r="L956" t="str">
        <f>VLOOKUP(Googleadssales[[#This Row],[Ad_ID]],'[1]pre processed data'!A:S,19,0)</f>
        <v>Mobile</v>
      </c>
      <c r="M956" t="str">
        <f>VLOOKUP(Googleadssales[[#This Row],[Ad_ID]],'[1]pre processed data'!A:T,20,0)</f>
        <v>data analytics online</v>
      </c>
    </row>
    <row r="957" spans="1:13" x14ac:dyDescent="0.3">
      <c r="A957" t="s">
        <v>970</v>
      </c>
      <c r="B957" t="s">
        <v>14</v>
      </c>
      <c r="C957" s="4">
        <f>VLOOKUP(Googleadssales[[#This Row],[Ad_ID]],'[1]pre processed data'!A:C,3,0)</f>
        <v>136</v>
      </c>
      <c r="D957" s="4">
        <f>VLOOKUP(Googleadssales[[#This Row],[Ad_ID]],'[1]pre processed data'!A:E,5,0)</f>
        <v>3441</v>
      </c>
      <c r="E957" s="5" t="str">
        <f>VLOOKUP(Googleadssales[[#This Row],[Ad_ID]],[1]!Table3[[Ad_ID]:[Cost-imputed]],7,0)</f>
        <v>$236.21</v>
      </c>
      <c r="F957" s="4">
        <f>VLOOKUP(Googleadssales[[#This Row],[Ad_ID]],'[1]pre processed data'!A:I,9,0)</f>
        <v>26</v>
      </c>
      <c r="G957" s="4">
        <f>VLOOKUP(Googleadssales[[#This Row],[Ad_ID]],'[1]pre processed data'!A:K,11,0)</f>
        <v>9</v>
      </c>
      <c r="H957" s="2">
        <f>Googleadssales[[#This Row],[Conversions]]/Googleadssales[[#This Row],[Clicks]]</f>
        <v>6.6176470588235295E-2</v>
      </c>
      <c r="I957" t="str">
        <f>VLOOKUP(Googleadssales[[#This Row],[Ad_ID]],'[1]pre processed data'!A:O,15,0)</f>
        <v>$1461</v>
      </c>
      <c r="J957" s="3">
        <f>VLOOKUP(Googleadssales[[#This Row],[Ad_ID]],'[1]pre processed data'!A:Q,17,0)</f>
        <v>45611</v>
      </c>
      <c r="K957" t="str">
        <f>VLOOKUP(Googleadssales[[#This Row],[Ad_ID]],'[1]pre processed data'!A:R,18,0)</f>
        <v>Bangaluru</v>
      </c>
      <c r="L957" t="str">
        <f>VLOOKUP(Googleadssales[[#This Row],[Ad_ID]],'[1]pre processed data'!A:S,19,0)</f>
        <v>Desktop</v>
      </c>
      <c r="M957" t="str">
        <f>VLOOKUP(Googleadssales[[#This Row],[Ad_ID]],'[1]pre processed data'!A:T,20,0)</f>
        <v>learn data analytics</v>
      </c>
    </row>
    <row r="958" spans="1:13" x14ac:dyDescent="0.3">
      <c r="A958" t="s">
        <v>971</v>
      </c>
      <c r="B958" t="s">
        <v>14</v>
      </c>
      <c r="C958" s="4">
        <f>VLOOKUP(Googleadssales[[#This Row],[Ad_ID]],'[1]pre processed data'!A:C,3,0)</f>
        <v>185</v>
      </c>
      <c r="D958" s="4">
        <f>VLOOKUP(Googleadssales[[#This Row],[Ad_ID]],'[1]pre processed data'!A:E,5,0)</f>
        <v>3719</v>
      </c>
      <c r="E958" s="5" t="str">
        <f>VLOOKUP(Googleadssales[[#This Row],[Ad_ID]],[1]!Table3[[Ad_ID]:[Cost-imputed]],7,0)</f>
        <v>$245.91</v>
      </c>
      <c r="F958" s="4">
        <f>VLOOKUP(Googleadssales[[#This Row],[Ad_ID]],'[1]pre processed data'!A:I,9,0)</f>
        <v>17</v>
      </c>
      <c r="G958" s="4">
        <f>VLOOKUP(Googleadssales[[#This Row],[Ad_ID]],'[1]pre processed data'!A:K,11,0)</f>
        <v>9</v>
      </c>
      <c r="H958" s="2">
        <f>Googleadssales[[#This Row],[Conversions]]/Googleadssales[[#This Row],[Clicks]]</f>
        <v>4.8648648648648651E-2</v>
      </c>
      <c r="I958" t="str">
        <f>VLOOKUP(Googleadssales[[#This Row],[Ad_ID]],'[1]pre processed data'!A:O,15,0)</f>
        <v>$1218</v>
      </c>
      <c r="J958" s="3">
        <f>VLOOKUP(Googleadssales[[#This Row],[Ad_ID]],'[1]pre processed data'!A:Q,17,0)</f>
        <v>45605</v>
      </c>
      <c r="K958" t="str">
        <f>VLOOKUP(Googleadssales[[#This Row],[Ad_ID]],'[1]pre processed data'!A:R,18,0)</f>
        <v>Chennai</v>
      </c>
      <c r="L958" t="str">
        <f>VLOOKUP(Googleadssales[[#This Row],[Ad_ID]],'[1]pre processed data'!A:S,19,0)</f>
        <v>Mobile</v>
      </c>
      <c r="M958" t="str">
        <f>VLOOKUP(Googleadssales[[#This Row],[Ad_ID]],'[1]pre processed data'!A:T,20,0)</f>
        <v>online data analytic</v>
      </c>
    </row>
    <row r="959" spans="1:13" x14ac:dyDescent="0.3">
      <c r="A959" t="s">
        <v>972</v>
      </c>
      <c r="B959" t="s">
        <v>14</v>
      </c>
      <c r="C959" s="4">
        <f>VLOOKUP(Googleadssales[[#This Row],[Ad_ID]],'[1]pre processed data'!A:C,3,0)</f>
        <v>162</v>
      </c>
      <c r="D959" s="4">
        <f>VLOOKUP(Googleadssales[[#This Row],[Ad_ID]],'[1]pre processed data'!A:E,5,0)</f>
        <v>3337</v>
      </c>
      <c r="E959" s="5" t="str">
        <f>VLOOKUP(Googleadssales[[#This Row],[Ad_ID]],[1]!Table3[[Ad_ID]:[Cost-imputed]],7,0)</f>
        <v>$200.94</v>
      </c>
      <c r="F959" s="4">
        <f>VLOOKUP(Googleadssales[[#This Row],[Ad_ID]],'[1]pre processed data'!A:I,9,0)</f>
        <v>11</v>
      </c>
      <c r="G959" s="4">
        <f>VLOOKUP(Googleadssales[[#This Row],[Ad_ID]],'[1]pre processed data'!A:K,11,0)</f>
        <v>9</v>
      </c>
      <c r="H959" s="2">
        <f>Googleadssales[[#This Row],[Conversions]]/Googleadssales[[#This Row],[Clicks]]</f>
        <v>5.5555555555555552E-2</v>
      </c>
      <c r="I959" t="str">
        <f>VLOOKUP(Googleadssales[[#This Row],[Ad_ID]],'[1]pre processed data'!A:O,15,0)</f>
        <v>$1820</v>
      </c>
      <c r="J959" s="3">
        <f>VLOOKUP(Googleadssales[[#This Row],[Ad_ID]],'[1]pre processed data'!A:Q,17,0)</f>
        <v>45612</v>
      </c>
      <c r="K959" t="str">
        <f>VLOOKUP(Googleadssales[[#This Row],[Ad_ID]],'[1]pre processed data'!A:R,18,0)</f>
        <v>Chennai</v>
      </c>
      <c r="L959" t="str">
        <f>VLOOKUP(Googleadssales[[#This Row],[Ad_ID]],'[1]pre processed data'!A:S,19,0)</f>
        <v>Mobile</v>
      </c>
      <c r="M959" t="str">
        <f>VLOOKUP(Googleadssales[[#This Row],[Ad_ID]],'[1]pre processed data'!A:T,20,0)</f>
        <v>data analytics course</v>
      </c>
    </row>
    <row r="960" spans="1:13" x14ac:dyDescent="0.3">
      <c r="A960" t="s">
        <v>973</v>
      </c>
      <c r="B960" t="s">
        <v>14</v>
      </c>
      <c r="C960" s="4">
        <f>VLOOKUP(Googleadssales[[#This Row],[Ad_ID]],'[1]pre processed data'!A:C,3,0)</f>
        <v>91</v>
      </c>
      <c r="D960" s="4">
        <f>VLOOKUP(Googleadssales[[#This Row],[Ad_ID]],'[1]pre processed data'!A:E,5,0)</f>
        <v>3694</v>
      </c>
      <c r="E960" s="5" t="str">
        <f>VLOOKUP(Googleadssales[[#This Row],[Ad_ID]],[1]!Table3[[Ad_ID]:[Cost-imputed]],7,0)</f>
        <v>$234.02</v>
      </c>
      <c r="F960" s="4">
        <f>VLOOKUP(Googleadssales[[#This Row],[Ad_ID]],'[1]pre processed data'!A:I,9,0)</f>
        <v>23</v>
      </c>
      <c r="G960" s="4">
        <f>VLOOKUP(Googleadssales[[#This Row],[Ad_ID]],'[1]pre processed data'!A:K,11,0)</f>
        <v>5</v>
      </c>
      <c r="H960" s="2">
        <f>Googleadssales[[#This Row],[Conversions]]/Googleadssales[[#This Row],[Clicks]]</f>
        <v>5.4945054945054944E-2</v>
      </c>
      <c r="I960" t="str">
        <f>VLOOKUP(Googleadssales[[#This Row],[Ad_ID]],'[1]pre processed data'!A:O,15,0)</f>
        <v>$1500</v>
      </c>
      <c r="J960" s="3">
        <f>VLOOKUP(Googleadssales[[#This Row],[Ad_ID]],'[1]pre processed data'!A:Q,17,0)</f>
        <v>45620</v>
      </c>
      <c r="K960" t="str">
        <f>VLOOKUP(Googleadssales[[#This Row],[Ad_ID]],'[1]pre processed data'!A:R,18,0)</f>
        <v>Hyderabad</v>
      </c>
      <c r="L960" t="str">
        <f>VLOOKUP(Googleadssales[[#This Row],[Ad_ID]],'[1]pre processed data'!A:S,19,0)</f>
        <v>Desktop</v>
      </c>
      <c r="M960" t="str">
        <f>VLOOKUP(Googleadssales[[#This Row],[Ad_ID]],'[1]pre processed data'!A:T,20,0)</f>
        <v>online data analytic</v>
      </c>
    </row>
    <row r="961" spans="1:13" x14ac:dyDescent="0.3">
      <c r="A961" t="s">
        <v>974</v>
      </c>
      <c r="B961" t="s">
        <v>18</v>
      </c>
      <c r="C961" s="4">
        <f>VLOOKUP(Googleadssales[[#This Row],[Ad_ID]],'[1]pre processed data'!A:C,3,0)</f>
        <v>109</v>
      </c>
      <c r="D961" s="4">
        <f>VLOOKUP(Googleadssales[[#This Row],[Ad_ID]],'[1]pre processed data'!A:E,5,0)</f>
        <v>5641</v>
      </c>
      <c r="E961" s="5" t="str">
        <f>VLOOKUP(Googleadssales[[#This Row],[Ad_ID]],[1]!Table3[[Ad_ID]:[Cost-imputed]],7,0)</f>
        <v>$224.36</v>
      </c>
      <c r="F961" s="4">
        <f>VLOOKUP(Googleadssales[[#This Row],[Ad_ID]],'[1]pre processed data'!A:I,9,0)</f>
        <v>30</v>
      </c>
      <c r="G961" s="4">
        <f>VLOOKUP(Googleadssales[[#This Row],[Ad_ID]],'[1]pre processed data'!A:K,11,0)</f>
        <v>4</v>
      </c>
      <c r="H961" s="2">
        <f>Googleadssales[[#This Row],[Conversions]]/Googleadssales[[#This Row],[Clicks]]</f>
        <v>3.669724770642202E-2</v>
      </c>
      <c r="I961" t="str">
        <f>VLOOKUP(Googleadssales[[#This Row],[Ad_ID]],'[1]pre processed data'!A:O,15,0)</f>
        <v>$1531</v>
      </c>
      <c r="J961" s="3">
        <f>VLOOKUP(Googleadssales[[#This Row],[Ad_ID]],'[1]pre processed data'!A:Q,17,0)</f>
        <v>45609</v>
      </c>
      <c r="K961" t="str">
        <f>VLOOKUP(Googleadssales[[#This Row],[Ad_ID]],'[1]pre processed data'!A:R,18,0)</f>
        <v>Hyderabad</v>
      </c>
      <c r="L961" t="str">
        <f>VLOOKUP(Googleadssales[[#This Row],[Ad_ID]],'[1]pre processed data'!A:S,19,0)</f>
        <v>Tablet</v>
      </c>
      <c r="M961" t="str">
        <f>VLOOKUP(Googleadssales[[#This Row],[Ad_ID]],'[1]pre processed data'!A:T,20,0)</f>
        <v>analytics for data</v>
      </c>
    </row>
    <row r="962" spans="1:13" x14ac:dyDescent="0.3">
      <c r="A962" t="s">
        <v>975</v>
      </c>
      <c r="B962" t="s">
        <v>14</v>
      </c>
      <c r="C962" s="4">
        <f>VLOOKUP(Googleadssales[[#This Row],[Ad_ID]],'[1]pre processed data'!A:C,3,0)</f>
        <v>88</v>
      </c>
      <c r="D962" s="4">
        <f>VLOOKUP(Googleadssales[[#This Row],[Ad_ID]],'[1]pre processed data'!A:E,5,0)</f>
        <v>3992</v>
      </c>
      <c r="E962" s="5" t="str">
        <f>VLOOKUP(Googleadssales[[#This Row],[Ad_ID]],[1]!Table3[[Ad_ID]:[Cost-imputed]],7,0)</f>
        <v>$195.38</v>
      </c>
      <c r="F962" s="4">
        <f>VLOOKUP(Googleadssales[[#This Row],[Ad_ID]],'[1]pre processed data'!A:I,9,0)</f>
        <v>14</v>
      </c>
      <c r="G962" s="4">
        <f>VLOOKUP(Googleadssales[[#This Row],[Ad_ID]],'[1]pre processed data'!A:K,11,0)</f>
        <v>4</v>
      </c>
      <c r="H962" s="2">
        <f>Googleadssales[[#This Row],[Conversions]]/Googleadssales[[#This Row],[Clicks]]</f>
        <v>4.5454545454545456E-2</v>
      </c>
      <c r="I962" t="str">
        <f>VLOOKUP(Googleadssales[[#This Row],[Ad_ID]],'[1]pre processed data'!A:O,15,0)</f>
        <v>$1228</v>
      </c>
      <c r="J962" s="3">
        <f>VLOOKUP(Googleadssales[[#This Row],[Ad_ID]],'[1]pre processed data'!A:Q,17,0)</f>
        <v>45611</v>
      </c>
      <c r="K962" t="str">
        <f>VLOOKUP(Googleadssales[[#This Row],[Ad_ID]],'[1]pre processed data'!A:R,18,0)</f>
        <v>Chennai</v>
      </c>
      <c r="L962" t="str">
        <f>VLOOKUP(Googleadssales[[#This Row],[Ad_ID]],'[1]pre processed data'!A:S,19,0)</f>
        <v>Desktop</v>
      </c>
      <c r="M962" t="str">
        <f>VLOOKUP(Googleadssales[[#This Row],[Ad_ID]],'[1]pre processed data'!A:T,20,0)</f>
        <v>data analytics course</v>
      </c>
    </row>
    <row r="963" spans="1:13" x14ac:dyDescent="0.3">
      <c r="A963" t="s">
        <v>976</v>
      </c>
      <c r="B963" t="s">
        <v>18</v>
      </c>
      <c r="C963" s="4">
        <f>VLOOKUP(Googleadssales[[#This Row],[Ad_ID]],'[1]pre processed data'!A:C,3,0)</f>
        <v>189</v>
      </c>
      <c r="D963" s="4">
        <f>VLOOKUP(Googleadssales[[#This Row],[Ad_ID]],'[1]pre processed data'!A:E,5,0)</f>
        <v>3411</v>
      </c>
      <c r="E963" s="5" t="str">
        <f>VLOOKUP(Googleadssales[[#This Row],[Ad_ID]],[1]!Table3[[Ad_ID]:[Cost-imputed]],7,0)</f>
        <v>$205.26</v>
      </c>
      <c r="F963" s="4">
        <f>VLOOKUP(Googleadssales[[#This Row],[Ad_ID]],'[1]pre processed data'!A:I,9,0)</f>
        <v>28</v>
      </c>
      <c r="G963" s="4">
        <f>VLOOKUP(Googleadssales[[#This Row],[Ad_ID]],'[1]pre processed data'!A:K,11,0)</f>
        <v>7</v>
      </c>
      <c r="H963" s="2">
        <f>Googleadssales[[#This Row],[Conversions]]/Googleadssales[[#This Row],[Clicks]]</f>
        <v>3.7037037037037035E-2</v>
      </c>
      <c r="I963" t="str">
        <f>VLOOKUP(Googleadssales[[#This Row],[Ad_ID]],'[1]pre processed data'!A:O,15,0)</f>
        <v>$1147</v>
      </c>
      <c r="J963" s="3">
        <f>VLOOKUP(Googleadssales[[#This Row],[Ad_ID]],'[1]pre processed data'!A:Q,17,0)</f>
        <v>45623</v>
      </c>
      <c r="K963" t="str">
        <f>VLOOKUP(Googleadssales[[#This Row],[Ad_ID]],'[1]pre processed data'!A:R,18,0)</f>
        <v>Chennai</v>
      </c>
      <c r="L963" t="str">
        <f>VLOOKUP(Googleadssales[[#This Row],[Ad_ID]],'[1]pre processed data'!A:S,19,0)</f>
        <v>Desktop</v>
      </c>
      <c r="M963" t="str">
        <f>VLOOKUP(Googleadssales[[#This Row],[Ad_ID]],'[1]pre processed data'!A:T,20,0)</f>
        <v>analytics for data</v>
      </c>
    </row>
    <row r="964" spans="1:13" x14ac:dyDescent="0.3">
      <c r="A964" t="s">
        <v>977</v>
      </c>
      <c r="B964" t="s">
        <v>14</v>
      </c>
      <c r="C964" s="4">
        <f>VLOOKUP(Googleadssales[[#This Row],[Ad_ID]],'[1]pre processed data'!A:C,3,0)</f>
        <v>154</v>
      </c>
      <c r="D964" s="4">
        <f>VLOOKUP(Googleadssales[[#This Row],[Ad_ID]],'[1]pre processed data'!A:E,5,0)</f>
        <v>3099</v>
      </c>
      <c r="E964" s="5" t="str">
        <f>VLOOKUP(Googleadssales[[#This Row],[Ad_ID]],[1]!Table3[[Ad_ID]:[Cost-imputed]],7,0)</f>
        <v>$218.7</v>
      </c>
      <c r="F964" s="4">
        <f>VLOOKUP(Googleadssales[[#This Row],[Ad_ID]],'[1]pre processed data'!A:I,9,0)</f>
        <v>30</v>
      </c>
      <c r="G964" s="4">
        <f>VLOOKUP(Googleadssales[[#This Row],[Ad_ID]],'[1]pre processed data'!A:K,11,0)</f>
        <v>6</v>
      </c>
      <c r="H964" s="2">
        <f>Googleadssales[[#This Row],[Conversions]]/Googleadssales[[#This Row],[Clicks]]</f>
        <v>3.896103896103896E-2</v>
      </c>
      <c r="I964" t="str">
        <f>VLOOKUP(Googleadssales[[#This Row],[Ad_ID]],'[1]pre processed data'!A:O,15,0)</f>
        <v>$1366</v>
      </c>
      <c r="J964" s="3">
        <f>VLOOKUP(Googleadssales[[#This Row],[Ad_ID]],'[1]pre processed data'!A:Q,17,0)</f>
        <v>45606</v>
      </c>
      <c r="K964" t="str">
        <f>VLOOKUP(Googleadssales[[#This Row],[Ad_ID]],'[1]pre processed data'!A:R,18,0)</f>
        <v>Hyderabad</v>
      </c>
      <c r="L964" t="str">
        <f>VLOOKUP(Googleadssales[[#This Row],[Ad_ID]],'[1]pre processed data'!A:S,19,0)</f>
        <v>Desktop</v>
      </c>
      <c r="M964" t="str">
        <f>VLOOKUP(Googleadssales[[#This Row],[Ad_ID]],'[1]pre processed data'!A:T,20,0)</f>
        <v>data analytics online</v>
      </c>
    </row>
    <row r="965" spans="1:13" x14ac:dyDescent="0.3">
      <c r="A965" t="s">
        <v>978</v>
      </c>
      <c r="B965" t="s">
        <v>18</v>
      </c>
      <c r="C965" s="4">
        <f>VLOOKUP(Googleadssales[[#This Row],[Ad_ID]],'[1]pre processed data'!A:C,3,0)</f>
        <v>106</v>
      </c>
      <c r="D965" s="4">
        <f>VLOOKUP(Googleadssales[[#This Row],[Ad_ID]],'[1]pre processed data'!A:E,5,0)</f>
        <v>3017</v>
      </c>
      <c r="E965" s="5" t="str">
        <f>VLOOKUP(Googleadssales[[#This Row],[Ad_ID]],[1]!Table3[[Ad_ID]:[Cost-imputed]],7,0)</f>
        <v>$242.71</v>
      </c>
      <c r="F965" s="4">
        <f>VLOOKUP(Googleadssales[[#This Row],[Ad_ID]],'[1]pre processed data'!A:I,9,0)</f>
        <v>24</v>
      </c>
      <c r="G965" s="4">
        <f>VLOOKUP(Googleadssales[[#This Row],[Ad_ID]],'[1]pre processed data'!A:K,11,0)</f>
        <v>5</v>
      </c>
      <c r="H965" s="2">
        <f>Googleadssales[[#This Row],[Conversions]]/Googleadssales[[#This Row],[Clicks]]</f>
        <v>4.716981132075472E-2</v>
      </c>
      <c r="I965" t="str">
        <f>VLOOKUP(Googleadssales[[#This Row],[Ad_ID]],'[1]pre processed data'!A:O,15,0)</f>
        <v>$1701</v>
      </c>
      <c r="J965" s="3">
        <f>VLOOKUP(Googleadssales[[#This Row],[Ad_ID]],'[1]pre processed data'!A:Q,17,0)</f>
        <v>45600</v>
      </c>
      <c r="K965" t="str">
        <f>VLOOKUP(Googleadssales[[#This Row],[Ad_ID]],'[1]pre processed data'!A:R,18,0)</f>
        <v>Hyderabad</v>
      </c>
      <c r="L965" t="str">
        <f>VLOOKUP(Googleadssales[[#This Row],[Ad_ID]],'[1]pre processed data'!A:S,19,0)</f>
        <v>Mobile</v>
      </c>
      <c r="M965" t="str">
        <f>VLOOKUP(Googleadssales[[#This Row],[Ad_ID]],'[1]pre processed data'!A:T,20,0)</f>
        <v>learn data analytics</v>
      </c>
    </row>
    <row r="966" spans="1:13" x14ac:dyDescent="0.3">
      <c r="A966" t="s">
        <v>979</v>
      </c>
      <c r="B966" t="s">
        <v>14</v>
      </c>
      <c r="C966" s="4">
        <f>VLOOKUP(Googleadssales[[#This Row],[Ad_ID]],'[1]pre processed data'!A:C,3,0)</f>
        <v>134</v>
      </c>
      <c r="D966" s="4">
        <f>VLOOKUP(Googleadssales[[#This Row],[Ad_ID]],'[1]pre processed data'!A:E,5,0)</f>
        <v>4523.2808326787117</v>
      </c>
      <c r="E966" s="5" t="str">
        <f>VLOOKUP(Googleadssales[[#This Row],[Ad_ID]],[1]!Table3[[Ad_ID]:[Cost-imputed]],7,0)</f>
        <v>$202.32</v>
      </c>
      <c r="F966" s="4">
        <f>VLOOKUP(Googleadssales[[#This Row],[Ad_ID]],'[1]pre processed data'!A:I,9,0)</f>
        <v>17</v>
      </c>
      <c r="G966" s="4">
        <f>VLOOKUP(Googleadssales[[#This Row],[Ad_ID]],'[1]pre processed data'!A:K,11,0)</f>
        <v>5</v>
      </c>
      <c r="H966" s="2">
        <f>Googleadssales[[#This Row],[Conversions]]/Googleadssales[[#This Row],[Clicks]]</f>
        <v>3.7313432835820892E-2</v>
      </c>
      <c r="I966" t="str">
        <f>VLOOKUP(Googleadssales[[#This Row],[Ad_ID]],'[1]pre processed data'!A:O,15,0)</f>
        <v>$1963</v>
      </c>
      <c r="J966" s="3">
        <f>VLOOKUP(Googleadssales[[#This Row],[Ad_ID]],'[1]pre processed data'!A:Q,17,0)</f>
        <v>45619</v>
      </c>
      <c r="K966" t="str">
        <f>VLOOKUP(Googleadssales[[#This Row],[Ad_ID]],'[1]pre processed data'!A:R,18,0)</f>
        <v>Hyderabad</v>
      </c>
      <c r="L966" t="str">
        <f>VLOOKUP(Googleadssales[[#This Row],[Ad_ID]],'[1]pre processed data'!A:S,19,0)</f>
        <v>Tablet</v>
      </c>
      <c r="M966" t="str">
        <f>VLOOKUP(Googleadssales[[#This Row],[Ad_ID]],'[1]pre processed data'!A:T,20,0)</f>
        <v>data analytics training</v>
      </c>
    </row>
    <row r="967" spans="1:13" x14ac:dyDescent="0.3">
      <c r="A967" t="s">
        <v>980</v>
      </c>
      <c r="B967" t="s">
        <v>14</v>
      </c>
      <c r="C967" s="4">
        <f>VLOOKUP(Googleadssales[[#This Row],[Ad_ID]],'[1]pre processed data'!A:C,3,0)</f>
        <v>84</v>
      </c>
      <c r="D967" s="4">
        <f>VLOOKUP(Googleadssales[[#This Row],[Ad_ID]],'[1]pre processed data'!A:E,5,0)</f>
        <v>5662</v>
      </c>
      <c r="E967" s="5" t="str">
        <f>VLOOKUP(Googleadssales[[#This Row],[Ad_ID]],[1]!Table3[[Ad_ID]:[Cost-imputed]],7,0)</f>
        <v>$228.62</v>
      </c>
      <c r="F967" s="4">
        <f>VLOOKUP(Googleadssales[[#This Row],[Ad_ID]],'[1]pre processed data'!A:I,9,0)</f>
        <v>25</v>
      </c>
      <c r="G967" s="4">
        <f>VLOOKUP(Googleadssales[[#This Row],[Ad_ID]],'[1]pre processed data'!A:K,11,0)</f>
        <v>9</v>
      </c>
      <c r="H967" s="2">
        <f>Googleadssales[[#This Row],[Conversions]]/Googleadssales[[#This Row],[Clicks]]</f>
        <v>0.10714285714285714</v>
      </c>
      <c r="I967" t="str">
        <f>VLOOKUP(Googleadssales[[#This Row],[Ad_ID]],'[1]pre processed data'!A:O,15,0)</f>
        <v>$1988</v>
      </c>
      <c r="J967" s="3">
        <f>VLOOKUP(Googleadssales[[#This Row],[Ad_ID]],'[1]pre processed data'!A:Q,17,0)</f>
        <v>45622</v>
      </c>
      <c r="K967" t="str">
        <f>VLOOKUP(Googleadssales[[#This Row],[Ad_ID]],'[1]pre processed data'!A:R,18,0)</f>
        <v>Chennai</v>
      </c>
      <c r="L967" t="str">
        <f>VLOOKUP(Googleadssales[[#This Row],[Ad_ID]],'[1]pre processed data'!A:S,19,0)</f>
        <v>Desktop</v>
      </c>
      <c r="M967" t="str">
        <f>VLOOKUP(Googleadssales[[#This Row],[Ad_ID]],'[1]pre processed data'!A:T,20,0)</f>
        <v>analytics for data</v>
      </c>
    </row>
    <row r="968" spans="1:13" x14ac:dyDescent="0.3">
      <c r="A968" t="s">
        <v>981</v>
      </c>
      <c r="B968" t="s">
        <v>14</v>
      </c>
      <c r="C968" s="4">
        <f>VLOOKUP(Googleadssales[[#This Row],[Ad_ID]],'[1]pre processed data'!A:C,3,0)</f>
        <v>190</v>
      </c>
      <c r="D968" s="4">
        <f>VLOOKUP(Googleadssales[[#This Row],[Ad_ID]],'[1]pre processed data'!A:E,5,0)</f>
        <v>4476</v>
      </c>
      <c r="E968" s="5" t="str">
        <f>VLOOKUP(Googleadssales[[#This Row],[Ad_ID]],[1]!Table3[[Ad_ID]:[Cost-imputed]],7,0)</f>
        <v>$198.18</v>
      </c>
      <c r="F968" s="4">
        <f>VLOOKUP(Googleadssales[[#This Row],[Ad_ID]],'[1]pre processed data'!A:I,9,0)</f>
        <v>12</v>
      </c>
      <c r="G968" s="4">
        <f>VLOOKUP(Googleadssales[[#This Row],[Ad_ID]],'[1]pre processed data'!A:K,11,0)</f>
        <v>4</v>
      </c>
      <c r="H968" s="2">
        <f>Googleadssales[[#This Row],[Conversions]]/Googleadssales[[#This Row],[Clicks]]</f>
        <v>2.1052631578947368E-2</v>
      </c>
      <c r="I968" t="str">
        <f>VLOOKUP(Googleadssales[[#This Row],[Ad_ID]],'[1]pre processed data'!A:O,15,0)</f>
        <v>$1002</v>
      </c>
      <c r="J968" s="3">
        <f>VLOOKUP(Googleadssales[[#This Row],[Ad_ID]],'[1]pre processed data'!A:Q,17,0)</f>
        <v>45603</v>
      </c>
      <c r="K968" t="str">
        <f>VLOOKUP(Googleadssales[[#This Row],[Ad_ID]],'[1]pre processed data'!A:R,18,0)</f>
        <v>Hyderabad</v>
      </c>
      <c r="L968" t="str">
        <f>VLOOKUP(Googleadssales[[#This Row],[Ad_ID]],'[1]pre processed data'!A:S,19,0)</f>
        <v>Desktop</v>
      </c>
      <c r="M968" t="str">
        <f>VLOOKUP(Googleadssales[[#This Row],[Ad_ID]],'[1]pre processed data'!A:T,20,0)</f>
        <v>data analytics online</v>
      </c>
    </row>
    <row r="969" spans="1:13" x14ac:dyDescent="0.3">
      <c r="A969" t="s">
        <v>982</v>
      </c>
      <c r="B969" t="s">
        <v>14</v>
      </c>
      <c r="C969" s="4">
        <f>VLOOKUP(Googleadssales[[#This Row],[Ad_ID]],'[1]pre processed data'!A:C,3,0)</f>
        <v>156</v>
      </c>
      <c r="D969" s="4">
        <f>VLOOKUP(Googleadssales[[#This Row],[Ad_ID]],'[1]pre processed data'!A:E,5,0)</f>
        <v>4771</v>
      </c>
      <c r="E969" s="5" t="str">
        <f>VLOOKUP(Googleadssales[[#This Row],[Ad_ID]],[1]!Table3[[Ad_ID]:[Cost-imputed]],7,0)</f>
        <v>$199.3</v>
      </c>
      <c r="F969" s="4">
        <f>VLOOKUP(Googleadssales[[#This Row],[Ad_ID]],'[1]pre processed data'!A:I,9,0)</f>
        <v>26</v>
      </c>
      <c r="G969" s="4">
        <f>VLOOKUP(Googleadssales[[#This Row],[Ad_ID]],'[1]pre processed data'!A:K,11,0)</f>
        <v>8</v>
      </c>
      <c r="H969" s="2">
        <f>Googleadssales[[#This Row],[Conversions]]/Googleadssales[[#This Row],[Clicks]]</f>
        <v>5.128205128205128E-2</v>
      </c>
      <c r="I969" t="str">
        <f>VLOOKUP(Googleadssales[[#This Row],[Ad_ID]],'[1]pre processed data'!A:O,15,0)</f>
        <v>$1823</v>
      </c>
      <c r="J969" s="3">
        <f>VLOOKUP(Googleadssales[[#This Row],[Ad_ID]],'[1]pre processed data'!A:Q,17,0)</f>
        <v>45600</v>
      </c>
      <c r="K969" t="str">
        <f>VLOOKUP(Googleadssales[[#This Row],[Ad_ID]],'[1]pre processed data'!A:R,18,0)</f>
        <v>Chennai</v>
      </c>
      <c r="L969" t="str">
        <f>VLOOKUP(Googleadssales[[#This Row],[Ad_ID]],'[1]pre processed data'!A:S,19,0)</f>
        <v>Tablet</v>
      </c>
      <c r="M969" t="str">
        <f>VLOOKUP(Googleadssales[[#This Row],[Ad_ID]],'[1]pre processed data'!A:T,20,0)</f>
        <v>data analytics online</v>
      </c>
    </row>
    <row r="970" spans="1:13" x14ac:dyDescent="0.3">
      <c r="A970" t="s">
        <v>983</v>
      </c>
      <c r="B970" t="s">
        <v>14</v>
      </c>
      <c r="C970" s="4">
        <f>VLOOKUP(Googleadssales[[#This Row],[Ad_ID]],'[1]pre processed data'!A:C,3,0)</f>
        <v>138.95699356913184</v>
      </c>
      <c r="D970" s="4">
        <f>VLOOKUP(Googleadssales[[#This Row],[Ad_ID]],'[1]pre processed data'!A:E,5,0)</f>
        <v>5510</v>
      </c>
      <c r="E970" s="5" t="str">
        <f>VLOOKUP(Googleadssales[[#This Row],[Ad_ID]],[1]!Table3[[Ad_ID]:[Cost-imputed]],7,0)</f>
        <v>$198.92</v>
      </c>
      <c r="F970" s="4">
        <f>VLOOKUP(Googleadssales[[#This Row],[Ad_ID]],'[1]pre processed data'!A:I,9,0)</f>
        <v>23</v>
      </c>
      <c r="G970" s="4">
        <f>VLOOKUP(Googleadssales[[#This Row],[Ad_ID]],'[1]pre processed data'!A:K,11,0)</f>
        <v>9</v>
      </c>
      <c r="H970" s="2">
        <f>Googleadssales[[#This Row],[Conversions]]/Googleadssales[[#This Row],[Clicks]]</f>
        <v>6.4768240653698753E-2</v>
      </c>
      <c r="I970" t="str">
        <f>VLOOKUP(Googleadssales[[#This Row],[Ad_ID]],'[1]pre processed data'!A:O,15,0)</f>
        <v>$1063</v>
      </c>
      <c r="J970" s="3">
        <f>VLOOKUP(Googleadssales[[#This Row],[Ad_ID]],'[1]pre processed data'!A:Q,17,0)</f>
        <v>45610</v>
      </c>
      <c r="K970" t="str">
        <f>VLOOKUP(Googleadssales[[#This Row],[Ad_ID]],'[1]pre processed data'!A:R,18,0)</f>
        <v>Bangaluru</v>
      </c>
      <c r="L970" t="str">
        <f>VLOOKUP(Googleadssales[[#This Row],[Ad_ID]],'[1]pre processed data'!A:S,19,0)</f>
        <v>Desktop</v>
      </c>
      <c r="M970" t="str">
        <f>VLOOKUP(Googleadssales[[#This Row],[Ad_ID]],'[1]pre processed data'!A:T,20,0)</f>
        <v>data analytics course</v>
      </c>
    </row>
    <row r="971" spans="1:13" x14ac:dyDescent="0.3">
      <c r="A971" t="s">
        <v>984</v>
      </c>
      <c r="B971" t="s">
        <v>14</v>
      </c>
      <c r="C971" s="4">
        <f>VLOOKUP(Googleadssales[[#This Row],[Ad_ID]],'[1]pre processed data'!A:C,3,0)</f>
        <v>170</v>
      </c>
      <c r="D971" s="4">
        <f>VLOOKUP(Googleadssales[[#This Row],[Ad_ID]],'[1]pre processed data'!A:E,5,0)</f>
        <v>4786</v>
      </c>
      <c r="E971" s="5" t="str">
        <f>VLOOKUP(Googleadssales[[#This Row],[Ad_ID]],[1]!Table3[[Ad_ID]:[Cost-imputed]],7,0)</f>
        <v>$202.62</v>
      </c>
      <c r="F971" s="4">
        <f>VLOOKUP(Googleadssales[[#This Row],[Ad_ID]],'[1]pre processed data'!A:I,9,0)</f>
        <v>27</v>
      </c>
      <c r="G971" s="4">
        <f>VLOOKUP(Googleadssales[[#This Row],[Ad_ID]],'[1]pre processed data'!A:K,11,0)</f>
        <v>6</v>
      </c>
      <c r="H971" s="2">
        <f>Googleadssales[[#This Row],[Conversions]]/Googleadssales[[#This Row],[Clicks]]</f>
        <v>3.5294117647058823E-2</v>
      </c>
      <c r="I971" t="str">
        <f>VLOOKUP(Googleadssales[[#This Row],[Ad_ID]],'[1]pre processed data'!A:O,15,0)</f>
        <v>$1372</v>
      </c>
      <c r="J971" s="3">
        <f>VLOOKUP(Googleadssales[[#This Row],[Ad_ID]],'[1]pre processed data'!A:Q,17,0)</f>
        <v>45600</v>
      </c>
      <c r="K971" t="str">
        <f>VLOOKUP(Googleadssales[[#This Row],[Ad_ID]],'[1]pre processed data'!A:R,18,0)</f>
        <v>Hyderabad</v>
      </c>
      <c r="L971" t="str">
        <f>VLOOKUP(Googleadssales[[#This Row],[Ad_ID]],'[1]pre processed data'!A:S,19,0)</f>
        <v>Mobile</v>
      </c>
      <c r="M971" t="str">
        <f>VLOOKUP(Googleadssales[[#This Row],[Ad_ID]],'[1]pre processed data'!A:T,20,0)</f>
        <v>data analytics training</v>
      </c>
    </row>
    <row r="972" spans="1:13" x14ac:dyDescent="0.3">
      <c r="A972" t="s">
        <v>985</v>
      </c>
      <c r="B972" t="s">
        <v>14</v>
      </c>
      <c r="C972" s="4">
        <f>VLOOKUP(Googleadssales[[#This Row],[Ad_ID]],'[1]pre processed data'!A:C,3,0)</f>
        <v>86</v>
      </c>
      <c r="D972" s="4">
        <f>VLOOKUP(Googleadssales[[#This Row],[Ad_ID]],'[1]pre processed data'!A:E,5,0)</f>
        <v>3964</v>
      </c>
      <c r="E972" s="5" t="str">
        <f>VLOOKUP(Googleadssales[[#This Row],[Ad_ID]],[1]!Table3[[Ad_ID]:[Cost-imputed]],7,0)</f>
        <v>$193.15</v>
      </c>
      <c r="F972" s="4">
        <f>VLOOKUP(Googleadssales[[#This Row],[Ad_ID]],'[1]pre processed data'!A:I,9,0)</f>
        <v>26</v>
      </c>
      <c r="G972" s="4">
        <f>VLOOKUP(Googleadssales[[#This Row],[Ad_ID]],'[1]pre processed data'!A:K,11,0)</f>
        <v>5</v>
      </c>
      <c r="H972" s="2">
        <f>Googleadssales[[#This Row],[Conversions]]/Googleadssales[[#This Row],[Clicks]]</f>
        <v>5.8139534883720929E-2</v>
      </c>
      <c r="I972" t="str">
        <f>VLOOKUP(Googleadssales[[#This Row],[Ad_ID]],'[1]pre processed data'!A:O,15,0)</f>
        <v>$1639</v>
      </c>
      <c r="J972" s="3">
        <f>VLOOKUP(Googleadssales[[#This Row],[Ad_ID]],'[1]pre processed data'!A:Q,17,0)</f>
        <v>45619</v>
      </c>
      <c r="K972" t="str">
        <f>VLOOKUP(Googleadssales[[#This Row],[Ad_ID]],'[1]pre processed data'!A:R,18,0)</f>
        <v>Bangaluru</v>
      </c>
      <c r="L972" t="str">
        <f>VLOOKUP(Googleadssales[[#This Row],[Ad_ID]],'[1]pre processed data'!A:S,19,0)</f>
        <v>Desktop</v>
      </c>
      <c r="M972" t="str">
        <f>VLOOKUP(Googleadssales[[#This Row],[Ad_ID]],'[1]pre processed data'!A:T,20,0)</f>
        <v>learn data analytics</v>
      </c>
    </row>
    <row r="973" spans="1:13" x14ac:dyDescent="0.3">
      <c r="A973" t="s">
        <v>986</v>
      </c>
      <c r="B973" t="s">
        <v>14</v>
      </c>
      <c r="C973" s="4">
        <f>VLOOKUP(Googleadssales[[#This Row],[Ad_ID]],'[1]pre processed data'!A:C,3,0)</f>
        <v>143</v>
      </c>
      <c r="D973" s="4">
        <f>VLOOKUP(Googleadssales[[#This Row],[Ad_ID]],'[1]pre processed data'!A:E,5,0)</f>
        <v>5317</v>
      </c>
      <c r="E973" s="5" t="str">
        <f>VLOOKUP(Googleadssales[[#This Row],[Ad_ID]],[1]!Table3[[Ad_ID]:[Cost-imputed]],7,0)</f>
        <v>$236.37</v>
      </c>
      <c r="F973" s="4">
        <f>VLOOKUP(Googleadssales[[#This Row],[Ad_ID]],'[1]pre processed data'!A:I,9,0)</f>
        <v>10</v>
      </c>
      <c r="G973" s="4">
        <f>VLOOKUP(Googleadssales[[#This Row],[Ad_ID]],'[1]pre processed data'!A:K,11,0)</f>
        <v>3</v>
      </c>
      <c r="H973" s="2">
        <f>Googleadssales[[#This Row],[Conversions]]/Googleadssales[[#This Row],[Clicks]]</f>
        <v>2.097902097902098E-2</v>
      </c>
      <c r="I973" t="str">
        <f>VLOOKUP(Googleadssales[[#This Row],[Ad_ID]],'[1]pre processed data'!A:O,15,0)</f>
        <v>$1861</v>
      </c>
      <c r="J973" s="3">
        <f>VLOOKUP(Googleadssales[[#This Row],[Ad_ID]],'[1]pre processed data'!A:Q,17,0)</f>
        <v>45612</v>
      </c>
      <c r="K973" t="str">
        <f>VLOOKUP(Googleadssales[[#This Row],[Ad_ID]],'[1]pre processed data'!A:R,18,0)</f>
        <v>Hyderabad</v>
      </c>
      <c r="L973" t="str">
        <f>VLOOKUP(Googleadssales[[#This Row],[Ad_ID]],'[1]pre processed data'!A:S,19,0)</f>
        <v>Tablet</v>
      </c>
      <c r="M973" t="str">
        <f>VLOOKUP(Googleadssales[[#This Row],[Ad_ID]],'[1]pre processed data'!A:T,20,0)</f>
        <v>data analytics online</v>
      </c>
    </row>
    <row r="974" spans="1:13" x14ac:dyDescent="0.3">
      <c r="A974" t="s">
        <v>987</v>
      </c>
      <c r="B974" t="s">
        <v>14</v>
      </c>
      <c r="C974" s="4">
        <f>VLOOKUP(Googleadssales[[#This Row],[Ad_ID]],'[1]pre processed data'!A:C,3,0)</f>
        <v>84</v>
      </c>
      <c r="D974" s="4">
        <f>VLOOKUP(Googleadssales[[#This Row],[Ad_ID]],'[1]pre processed data'!A:E,5,0)</f>
        <v>3454</v>
      </c>
      <c r="E974" s="5" t="str">
        <f>VLOOKUP(Googleadssales[[#This Row],[Ad_ID]],[1]!Table3[[Ad_ID]:[Cost-imputed]],7,0)</f>
        <v>$206.8</v>
      </c>
      <c r="F974" s="4">
        <f>VLOOKUP(Googleadssales[[#This Row],[Ad_ID]],'[1]pre processed data'!A:I,9,0)</f>
        <v>23</v>
      </c>
      <c r="G974" s="4">
        <f>VLOOKUP(Googleadssales[[#This Row],[Ad_ID]],'[1]pre processed data'!A:K,11,0)</f>
        <v>3</v>
      </c>
      <c r="H974" s="2">
        <f>Googleadssales[[#This Row],[Conversions]]/Googleadssales[[#This Row],[Clicks]]</f>
        <v>3.5714285714285712E-2</v>
      </c>
      <c r="I974" t="str">
        <f>VLOOKUP(Googleadssales[[#This Row],[Ad_ID]],'[1]pre processed data'!A:O,15,0)</f>
        <v>$1573</v>
      </c>
      <c r="J974" s="3">
        <f>VLOOKUP(Googleadssales[[#This Row],[Ad_ID]],'[1]pre processed data'!A:Q,17,0)</f>
        <v>45613</v>
      </c>
      <c r="K974" t="str">
        <f>VLOOKUP(Googleadssales[[#This Row],[Ad_ID]],'[1]pre processed data'!A:R,18,0)</f>
        <v>Hyderabad</v>
      </c>
      <c r="L974" t="str">
        <f>VLOOKUP(Googleadssales[[#This Row],[Ad_ID]],'[1]pre processed data'!A:S,19,0)</f>
        <v>Desktop</v>
      </c>
      <c r="M974" t="str">
        <f>VLOOKUP(Googleadssales[[#This Row],[Ad_ID]],'[1]pre processed data'!A:T,20,0)</f>
        <v>learn data analytics</v>
      </c>
    </row>
    <row r="975" spans="1:13" x14ac:dyDescent="0.3">
      <c r="A975" t="s">
        <v>988</v>
      </c>
      <c r="B975" t="s">
        <v>14</v>
      </c>
      <c r="C975" s="4">
        <f>VLOOKUP(Googleadssales[[#This Row],[Ad_ID]],'[1]pre processed data'!A:C,3,0)</f>
        <v>145</v>
      </c>
      <c r="D975" s="4">
        <f>VLOOKUP(Googleadssales[[#This Row],[Ad_ID]],'[1]pre processed data'!A:E,5,0)</f>
        <v>3804</v>
      </c>
      <c r="E975" s="5" t="str">
        <f>VLOOKUP(Googleadssales[[#This Row],[Ad_ID]],[1]!Table3[[Ad_ID]:[Cost-imputed]],7,0)</f>
        <v>$236.92</v>
      </c>
      <c r="F975" s="4">
        <f>VLOOKUP(Googleadssales[[#This Row],[Ad_ID]],'[1]pre processed data'!A:I,9,0)</f>
        <v>29</v>
      </c>
      <c r="G975" s="4">
        <f>VLOOKUP(Googleadssales[[#This Row],[Ad_ID]],'[1]pre processed data'!A:K,11,0)</f>
        <v>8</v>
      </c>
      <c r="H975" s="2">
        <f>Googleadssales[[#This Row],[Conversions]]/Googleadssales[[#This Row],[Clicks]]</f>
        <v>5.5172413793103448E-2</v>
      </c>
      <c r="I975" t="str">
        <f>VLOOKUP(Googleadssales[[#This Row],[Ad_ID]],'[1]pre processed data'!A:O,15,0)</f>
        <v>$1328</v>
      </c>
      <c r="J975" s="3">
        <f>VLOOKUP(Googleadssales[[#This Row],[Ad_ID]],'[1]pre processed data'!A:Q,17,0)</f>
        <v>45619</v>
      </c>
      <c r="K975" t="str">
        <f>VLOOKUP(Googleadssales[[#This Row],[Ad_ID]],'[1]pre processed data'!A:R,18,0)</f>
        <v>Chennai</v>
      </c>
      <c r="L975" t="str">
        <f>VLOOKUP(Googleadssales[[#This Row],[Ad_ID]],'[1]pre processed data'!A:S,19,0)</f>
        <v>Tablet</v>
      </c>
      <c r="M975" t="str">
        <f>VLOOKUP(Googleadssales[[#This Row],[Ad_ID]],'[1]pre processed data'!A:T,20,0)</f>
        <v>data analytics course</v>
      </c>
    </row>
    <row r="976" spans="1:13" x14ac:dyDescent="0.3">
      <c r="A976" t="s">
        <v>989</v>
      </c>
      <c r="B976" t="s">
        <v>18</v>
      </c>
      <c r="C976" s="4">
        <f>VLOOKUP(Googleadssales[[#This Row],[Ad_ID]],'[1]pre processed data'!A:C,3,0)</f>
        <v>126</v>
      </c>
      <c r="D976" s="4">
        <f>VLOOKUP(Googleadssales[[#This Row],[Ad_ID]],'[1]pre processed data'!A:E,5,0)</f>
        <v>4670</v>
      </c>
      <c r="E976" s="5" t="str">
        <f>VLOOKUP(Googleadssales[[#This Row],[Ad_ID]],[1]!Table3[[Ad_ID]:[Cost-imputed]],7,0)</f>
        <v>$234.65</v>
      </c>
      <c r="F976" s="4">
        <f>VLOOKUP(Googleadssales[[#This Row],[Ad_ID]],'[1]pre processed data'!A:I,9,0)</f>
        <v>25</v>
      </c>
      <c r="G976" s="4">
        <f>VLOOKUP(Googleadssales[[#This Row],[Ad_ID]],'[1]pre processed data'!A:K,11,0)</f>
        <v>8</v>
      </c>
      <c r="H976" s="2">
        <f>Googleadssales[[#This Row],[Conversions]]/Googleadssales[[#This Row],[Clicks]]</f>
        <v>6.3492063492063489E-2</v>
      </c>
      <c r="I976" t="str">
        <f>VLOOKUP(Googleadssales[[#This Row],[Ad_ID]],'[1]pre processed data'!A:O,15,0)</f>
        <v>$1470</v>
      </c>
      <c r="J976" s="3">
        <f>VLOOKUP(Googleadssales[[#This Row],[Ad_ID]],'[1]pre processed data'!A:Q,17,0)</f>
        <v>45619</v>
      </c>
      <c r="K976" t="str">
        <f>VLOOKUP(Googleadssales[[#This Row],[Ad_ID]],'[1]pre processed data'!A:R,18,0)</f>
        <v>Bangaluru</v>
      </c>
      <c r="L976" t="str">
        <f>VLOOKUP(Googleadssales[[#This Row],[Ad_ID]],'[1]pre processed data'!A:S,19,0)</f>
        <v>Desktop</v>
      </c>
      <c r="M976" t="str">
        <f>VLOOKUP(Googleadssales[[#This Row],[Ad_ID]],'[1]pre processed data'!A:T,20,0)</f>
        <v>online data analytic</v>
      </c>
    </row>
    <row r="977" spans="1:13" x14ac:dyDescent="0.3">
      <c r="A977" t="s">
        <v>990</v>
      </c>
      <c r="B977" t="s">
        <v>14</v>
      </c>
      <c r="C977" s="4">
        <f>VLOOKUP(Googleadssales[[#This Row],[Ad_ID]],'[1]pre processed data'!A:C,3,0)</f>
        <v>156</v>
      </c>
      <c r="D977" s="4">
        <f>VLOOKUP(Googleadssales[[#This Row],[Ad_ID]],'[1]pre processed data'!A:E,5,0)</f>
        <v>3273</v>
      </c>
      <c r="E977" s="5" t="str">
        <f>VLOOKUP(Googleadssales[[#This Row],[Ad_ID]],[1]!Table3[[Ad_ID]:[Cost-imputed]],7,0)</f>
        <v>$189.36</v>
      </c>
      <c r="F977" s="4">
        <f>VLOOKUP(Googleadssales[[#This Row],[Ad_ID]],'[1]pre processed data'!A:I,9,0)</f>
        <v>14</v>
      </c>
      <c r="G977" s="4">
        <f>VLOOKUP(Googleadssales[[#This Row],[Ad_ID]],'[1]pre processed data'!A:K,11,0)</f>
        <v>6</v>
      </c>
      <c r="H977" s="2">
        <f>Googleadssales[[#This Row],[Conversions]]/Googleadssales[[#This Row],[Clicks]]</f>
        <v>3.8461538461538464E-2</v>
      </c>
      <c r="I977" t="str">
        <f>VLOOKUP(Googleadssales[[#This Row],[Ad_ID]],'[1]pre processed data'!A:O,15,0)</f>
        <v>$1860</v>
      </c>
      <c r="J977" s="3">
        <f>VLOOKUP(Googleadssales[[#This Row],[Ad_ID]],'[1]pre processed data'!A:Q,17,0)</f>
        <v>45611</v>
      </c>
      <c r="K977" t="str">
        <f>VLOOKUP(Googleadssales[[#This Row],[Ad_ID]],'[1]pre processed data'!A:R,18,0)</f>
        <v>Chennai</v>
      </c>
      <c r="L977" t="str">
        <f>VLOOKUP(Googleadssales[[#This Row],[Ad_ID]],'[1]pre processed data'!A:S,19,0)</f>
        <v>Mobile</v>
      </c>
      <c r="M977" t="str">
        <f>VLOOKUP(Googleadssales[[#This Row],[Ad_ID]],'[1]pre processed data'!A:T,20,0)</f>
        <v>data analytics online</v>
      </c>
    </row>
    <row r="978" spans="1:13" x14ac:dyDescent="0.3">
      <c r="A978" t="s">
        <v>991</v>
      </c>
      <c r="B978" t="s">
        <v>14</v>
      </c>
      <c r="C978" s="4">
        <f>VLOOKUP(Googleadssales[[#This Row],[Ad_ID]],'[1]pre processed data'!A:C,3,0)</f>
        <v>124</v>
      </c>
      <c r="D978" s="4">
        <f>VLOOKUP(Googleadssales[[#This Row],[Ad_ID]],'[1]pre processed data'!A:E,5,0)</f>
        <v>4236</v>
      </c>
      <c r="E978" s="5" t="str">
        <f>VLOOKUP(Googleadssales[[#This Row],[Ad_ID]],[1]!Table3[[Ad_ID]:[Cost-imputed]],7,0)</f>
        <v>$182.02</v>
      </c>
      <c r="F978" s="4">
        <f>VLOOKUP(Googleadssales[[#This Row],[Ad_ID]],'[1]pre processed data'!A:I,9,0)</f>
        <v>20.055415617128464</v>
      </c>
      <c r="G978" s="4">
        <f>VLOOKUP(Googleadssales[[#This Row],[Ad_ID]],'[1]pre processed data'!A:K,11,0)</f>
        <v>9</v>
      </c>
      <c r="H978" s="2">
        <f>Googleadssales[[#This Row],[Conversions]]/Googleadssales[[#This Row],[Clicks]]</f>
        <v>7.2580645161290328E-2</v>
      </c>
      <c r="I978" t="str">
        <f>VLOOKUP(Googleadssales[[#This Row],[Ad_ID]],'[1]pre processed data'!A:O,15,0)</f>
        <v>$1979</v>
      </c>
      <c r="J978" s="3">
        <f>VLOOKUP(Googleadssales[[#This Row],[Ad_ID]],'[1]pre processed data'!A:Q,17,0)</f>
        <v>45618</v>
      </c>
      <c r="K978" t="str">
        <f>VLOOKUP(Googleadssales[[#This Row],[Ad_ID]],'[1]pre processed data'!A:R,18,0)</f>
        <v>Bangaluru</v>
      </c>
      <c r="L978" t="str">
        <f>VLOOKUP(Googleadssales[[#This Row],[Ad_ID]],'[1]pre processed data'!A:S,19,0)</f>
        <v>Desktop</v>
      </c>
      <c r="M978" t="str">
        <f>VLOOKUP(Googleadssales[[#This Row],[Ad_ID]],'[1]pre processed data'!A:T,20,0)</f>
        <v>data analytics training</v>
      </c>
    </row>
    <row r="979" spans="1:13" x14ac:dyDescent="0.3">
      <c r="A979" t="s">
        <v>992</v>
      </c>
      <c r="B979" t="s">
        <v>18</v>
      </c>
      <c r="C979" s="4">
        <f>VLOOKUP(Googleadssales[[#This Row],[Ad_ID]],'[1]pre processed data'!A:C,3,0)</f>
        <v>197</v>
      </c>
      <c r="D979" s="4">
        <f>VLOOKUP(Googleadssales[[#This Row],[Ad_ID]],'[1]pre processed data'!A:E,5,0)</f>
        <v>5866</v>
      </c>
      <c r="E979" s="5" t="str">
        <f>VLOOKUP(Googleadssales[[#This Row],[Ad_ID]],[1]!Table3[[Ad_ID]:[Cost-imputed]],7,0)</f>
        <v>$217.81</v>
      </c>
      <c r="F979" s="4">
        <f>VLOOKUP(Googleadssales[[#This Row],[Ad_ID]],'[1]pre processed data'!A:I,9,0)</f>
        <v>28</v>
      </c>
      <c r="G979" s="4">
        <f>VLOOKUP(Googleadssales[[#This Row],[Ad_ID]],'[1]pre processed data'!A:K,11,0)</f>
        <v>7</v>
      </c>
      <c r="H979" s="2">
        <f>Googleadssales[[#This Row],[Conversions]]/Googleadssales[[#This Row],[Clicks]]</f>
        <v>3.553299492385787E-2</v>
      </c>
      <c r="I979" t="str">
        <f>VLOOKUP(Googleadssales[[#This Row],[Ad_ID]],'[1]pre processed data'!A:O,15,0)</f>
        <v>$1331</v>
      </c>
      <c r="J979" s="3">
        <f>VLOOKUP(Googleadssales[[#This Row],[Ad_ID]],'[1]pre processed data'!A:Q,17,0)</f>
        <v>45614</v>
      </c>
      <c r="K979" t="str">
        <f>VLOOKUP(Googleadssales[[#This Row],[Ad_ID]],'[1]pre processed data'!A:R,18,0)</f>
        <v>Bangaluru</v>
      </c>
      <c r="L979" t="str">
        <f>VLOOKUP(Googleadssales[[#This Row],[Ad_ID]],'[1]pre processed data'!A:S,19,0)</f>
        <v>Mobile</v>
      </c>
      <c r="M979" t="str">
        <f>VLOOKUP(Googleadssales[[#This Row],[Ad_ID]],'[1]pre processed data'!A:T,20,0)</f>
        <v>learn data analytics</v>
      </c>
    </row>
    <row r="980" spans="1:13" x14ac:dyDescent="0.3">
      <c r="A980" t="s">
        <v>993</v>
      </c>
      <c r="B980" t="s">
        <v>14</v>
      </c>
      <c r="C980" s="4">
        <f>VLOOKUP(Googleadssales[[#This Row],[Ad_ID]],'[1]pre processed data'!A:C,3,0)</f>
        <v>106</v>
      </c>
      <c r="D980" s="4">
        <f>VLOOKUP(Googleadssales[[#This Row],[Ad_ID]],'[1]pre processed data'!A:E,5,0)</f>
        <v>3102</v>
      </c>
      <c r="E980" s="5" t="str">
        <f>VLOOKUP(Googleadssales[[#This Row],[Ad_ID]],[1]!Table3[[Ad_ID]:[Cost-imputed]],7,0)</f>
        <v>$214.56</v>
      </c>
      <c r="F980" s="4">
        <f>VLOOKUP(Googleadssales[[#This Row],[Ad_ID]],'[1]pre processed data'!A:I,9,0)</f>
        <v>12</v>
      </c>
      <c r="G980" s="4">
        <f>VLOOKUP(Googleadssales[[#This Row],[Ad_ID]],'[1]pre processed data'!A:K,11,0)</f>
        <v>6.4945686900958464</v>
      </c>
      <c r="H980" s="2">
        <f>Googleadssales[[#This Row],[Conversions]]/Googleadssales[[#This Row],[Clicks]]</f>
        <v>6.126951594430044E-2</v>
      </c>
      <c r="I980" t="str">
        <f>VLOOKUP(Googleadssales[[#This Row],[Ad_ID]],'[1]pre processed data'!A:O,15,0)</f>
        <v>$1881</v>
      </c>
      <c r="J980" s="3">
        <f>VLOOKUP(Googleadssales[[#This Row],[Ad_ID]],'[1]pre processed data'!A:Q,17,0)</f>
        <v>45621</v>
      </c>
      <c r="K980" t="str">
        <f>VLOOKUP(Googleadssales[[#This Row],[Ad_ID]],'[1]pre processed data'!A:R,18,0)</f>
        <v>Hyderabad</v>
      </c>
      <c r="L980" t="str">
        <f>VLOOKUP(Googleadssales[[#This Row],[Ad_ID]],'[1]pre processed data'!A:S,19,0)</f>
        <v>Mobile</v>
      </c>
      <c r="M980" t="str">
        <f>VLOOKUP(Googleadssales[[#This Row],[Ad_ID]],'[1]pre processed data'!A:T,20,0)</f>
        <v>learn data analytics</v>
      </c>
    </row>
    <row r="981" spans="1:13" x14ac:dyDescent="0.3">
      <c r="A981" t="s">
        <v>994</v>
      </c>
      <c r="B981" t="s">
        <v>14</v>
      </c>
      <c r="C981" s="4">
        <f>VLOOKUP(Googleadssales[[#This Row],[Ad_ID]],'[1]pre processed data'!A:C,3,0)</f>
        <v>129</v>
      </c>
      <c r="D981" s="4">
        <f>VLOOKUP(Googleadssales[[#This Row],[Ad_ID]],'[1]pre processed data'!A:E,5,0)</f>
        <v>4856</v>
      </c>
      <c r="E981" s="5" t="str">
        <f>VLOOKUP(Googleadssales[[#This Row],[Ad_ID]],[1]!Table3[[Ad_ID]:[Cost-imputed]],7,0)</f>
        <v>$230.13</v>
      </c>
      <c r="F981" s="4">
        <f>VLOOKUP(Googleadssales[[#This Row],[Ad_ID]],'[1]pre processed data'!A:I,9,0)</f>
        <v>23</v>
      </c>
      <c r="G981" s="4">
        <f>VLOOKUP(Googleadssales[[#This Row],[Ad_ID]],'[1]pre processed data'!A:K,11,0)</f>
        <v>7</v>
      </c>
      <c r="H981" s="2">
        <f>Googleadssales[[#This Row],[Conversions]]/Googleadssales[[#This Row],[Clicks]]</f>
        <v>5.4263565891472867E-2</v>
      </c>
      <c r="I981" t="str">
        <f>VLOOKUP(Googleadssales[[#This Row],[Ad_ID]],'[1]pre processed data'!A:O,15,0)</f>
        <v>$1720</v>
      </c>
      <c r="J981" s="3">
        <f>VLOOKUP(Googleadssales[[#This Row],[Ad_ID]],'[1]pre processed data'!A:Q,17,0)</f>
        <v>45621</v>
      </c>
      <c r="K981" t="str">
        <f>VLOOKUP(Googleadssales[[#This Row],[Ad_ID]],'[1]pre processed data'!A:R,18,0)</f>
        <v>Hyderabad</v>
      </c>
      <c r="L981" t="str">
        <f>VLOOKUP(Googleadssales[[#This Row],[Ad_ID]],'[1]pre processed data'!A:S,19,0)</f>
        <v>Tablet</v>
      </c>
      <c r="M981" t="str">
        <f>VLOOKUP(Googleadssales[[#This Row],[Ad_ID]],'[1]pre processed data'!A:T,20,0)</f>
        <v>learn data analytics</v>
      </c>
    </row>
    <row r="982" spans="1:13" x14ac:dyDescent="0.3">
      <c r="A982" t="s">
        <v>995</v>
      </c>
      <c r="B982" t="s">
        <v>14</v>
      </c>
      <c r="C982" s="4">
        <f>VLOOKUP(Googleadssales[[#This Row],[Ad_ID]],'[1]pre processed data'!A:C,3,0)</f>
        <v>93</v>
      </c>
      <c r="D982" s="4">
        <f>VLOOKUP(Googleadssales[[#This Row],[Ad_ID]],'[1]pre processed data'!A:E,5,0)</f>
        <v>4054</v>
      </c>
      <c r="E982" s="5" t="str">
        <f>VLOOKUP(Googleadssales[[#This Row],[Ad_ID]],[1]!Table3[[Ad_ID]:[Cost-imputed]],7,0)</f>
        <v>$244.73</v>
      </c>
      <c r="F982" s="4">
        <f>VLOOKUP(Googleadssales[[#This Row],[Ad_ID]],'[1]pre processed data'!A:I,9,0)</f>
        <v>11</v>
      </c>
      <c r="G982" s="4">
        <f>VLOOKUP(Googleadssales[[#This Row],[Ad_ID]],'[1]pre processed data'!A:K,11,0)</f>
        <v>8</v>
      </c>
      <c r="H982" s="2">
        <f>Googleadssales[[#This Row],[Conversions]]/Googleadssales[[#This Row],[Clicks]]</f>
        <v>8.6021505376344093E-2</v>
      </c>
      <c r="I982" t="str">
        <f>VLOOKUP(Googleadssales[[#This Row],[Ad_ID]],'[1]pre processed data'!A:O,15,0)</f>
        <v>$1066</v>
      </c>
      <c r="J982" s="3">
        <f>VLOOKUP(Googleadssales[[#This Row],[Ad_ID]],'[1]pre processed data'!A:Q,17,0)</f>
        <v>45620</v>
      </c>
      <c r="K982" t="str">
        <f>VLOOKUP(Googleadssales[[#This Row],[Ad_ID]],'[1]pre processed data'!A:R,18,0)</f>
        <v>Hyderabad</v>
      </c>
      <c r="L982" t="str">
        <f>VLOOKUP(Googleadssales[[#This Row],[Ad_ID]],'[1]pre processed data'!A:S,19,0)</f>
        <v>Desktop</v>
      </c>
      <c r="M982" t="str">
        <f>VLOOKUP(Googleadssales[[#This Row],[Ad_ID]],'[1]pre processed data'!A:T,20,0)</f>
        <v>online data analytic</v>
      </c>
    </row>
    <row r="983" spans="1:13" x14ac:dyDescent="0.3">
      <c r="A983" t="s">
        <v>996</v>
      </c>
      <c r="B983" t="s">
        <v>18</v>
      </c>
      <c r="C983" s="4">
        <f>VLOOKUP(Googleadssales[[#This Row],[Ad_ID]],'[1]pre processed data'!A:C,3,0)</f>
        <v>96</v>
      </c>
      <c r="D983" s="4">
        <f>VLOOKUP(Googleadssales[[#This Row],[Ad_ID]],'[1]pre processed data'!A:E,5,0)</f>
        <v>4074</v>
      </c>
      <c r="E983" s="5" t="str">
        <f>VLOOKUP(Googleadssales[[#This Row],[Ad_ID]],[1]!Table3[[Ad_ID]:[Cost-imputed]],7,0)</f>
        <v>$219.66</v>
      </c>
      <c r="F983" s="4">
        <f>VLOOKUP(Googleadssales[[#This Row],[Ad_ID]],'[1]pre processed data'!A:I,9,0)</f>
        <v>16</v>
      </c>
      <c r="G983" s="4">
        <f>VLOOKUP(Googleadssales[[#This Row],[Ad_ID]],'[1]pre processed data'!A:K,11,0)</f>
        <v>8</v>
      </c>
      <c r="H983" s="2">
        <f>Googleadssales[[#This Row],[Conversions]]/Googleadssales[[#This Row],[Clicks]]</f>
        <v>8.3333333333333329E-2</v>
      </c>
      <c r="I983" t="str">
        <f>VLOOKUP(Googleadssales[[#This Row],[Ad_ID]],'[1]pre processed data'!A:O,15,0)</f>
        <v>$1500</v>
      </c>
      <c r="J983" s="3">
        <f>VLOOKUP(Googleadssales[[#This Row],[Ad_ID]],'[1]pre processed data'!A:Q,17,0)</f>
        <v>45603</v>
      </c>
      <c r="K983" t="str">
        <f>VLOOKUP(Googleadssales[[#This Row],[Ad_ID]],'[1]pre processed data'!A:R,18,0)</f>
        <v>Chennai</v>
      </c>
      <c r="L983" t="str">
        <f>VLOOKUP(Googleadssales[[#This Row],[Ad_ID]],'[1]pre processed data'!A:S,19,0)</f>
        <v>Tablet</v>
      </c>
      <c r="M983" t="str">
        <f>VLOOKUP(Googleadssales[[#This Row],[Ad_ID]],'[1]pre processed data'!A:T,20,0)</f>
        <v>data analytics online</v>
      </c>
    </row>
    <row r="984" spans="1:13" x14ac:dyDescent="0.3">
      <c r="A984" t="s">
        <v>997</v>
      </c>
      <c r="B984" t="s">
        <v>14</v>
      </c>
      <c r="C984" s="4">
        <f>VLOOKUP(Googleadssales[[#This Row],[Ad_ID]],'[1]pre processed data'!A:C,3,0)</f>
        <v>135</v>
      </c>
      <c r="D984" s="4">
        <f>VLOOKUP(Googleadssales[[#This Row],[Ad_ID]],'[1]pre processed data'!A:E,5,0)</f>
        <v>4430</v>
      </c>
      <c r="E984" s="5" t="str">
        <f>VLOOKUP(Googleadssales[[#This Row],[Ad_ID]],[1]!Table3[[Ad_ID]:[Cost-imputed]],7,0)</f>
        <v>$196.18</v>
      </c>
      <c r="F984" s="4">
        <f>VLOOKUP(Googleadssales[[#This Row],[Ad_ID]],'[1]pre processed data'!A:I,9,0)</f>
        <v>12</v>
      </c>
      <c r="G984" s="4">
        <f>VLOOKUP(Googleadssales[[#This Row],[Ad_ID]],'[1]pre processed data'!A:K,11,0)</f>
        <v>9</v>
      </c>
      <c r="H984" s="2">
        <f>Googleadssales[[#This Row],[Conversions]]/Googleadssales[[#This Row],[Clicks]]</f>
        <v>6.6666666666666666E-2</v>
      </c>
      <c r="I984" t="str">
        <f>VLOOKUP(Googleadssales[[#This Row],[Ad_ID]],'[1]pre processed data'!A:O,15,0)</f>
        <v>$1374</v>
      </c>
      <c r="J984" s="3">
        <f>VLOOKUP(Googleadssales[[#This Row],[Ad_ID]],'[1]pre processed data'!A:Q,17,0)</f>
        <v>45604</v>
      </c>
      <c r="K984" t="str">
        <f>VLOOKUP(Googleadssales[[#This Row],[Ad_ID]],'[1]pre processed data'!A:R,18,0)</f>
        <v>Chennai</v>
      </c>
      <c r="L984" t="str">
        <f>VLOOKUP(Googleadssales[[#This Row],[Ad_ID]],'[1]pre processed data'!A:S,19,0)</f>
        <v>Mobile</v>
      </c>
      <c r="M984" t="str">
        <f>VLOOKUP(Googleadssales[[#This Row],[Ad_ID]],'[1]pre processed data'!A:T,20,0)</f>
        <v>analytics for data</v>
      </c>
    </row>
    <row r="985" spans="1:13" x14ac:dyDescent="0.3">
      <c r="A985" t="s">
        <v>998</v>
      </c>
      <c r="B985" t="s">
        <v>18</v>
      </c>
      <c r="C985" s="4">
        <f>VLOOKUP(Googleadssales[[#This Row],[Ad_ID]],'[1]pre processed data'!A:C,3,0)</f>
        <v>138</v>
      </c>
      <c r="D985" s="4">
        <f>VLOOKUP(Googleadssales[[#This Row],[Ad_ID]],'[1]pre processed data'!A:E,5,0)</f>
        <v>5356</v>
      </c>
      <c r="E985" s="5" t="str">
        <f>VLOOKUP(Googleadssales[[#This Row],[Ad_ID]],[1]!Table3[[Ad_ID]:[Cost-imputed]],7,0)</f>
        <v>$204.86</v>
      </c>
      <c r="F985" s="4">
        <f>VLOOKUP(Googleadssales[[#This Row],[Ad_ID]],'[1]pre processed data'!A:I,9,0)</f>
        <v>15</v>
      </c>
      <c r="G985" s="4">
        <f>VLOOKUP(Googleadssales[[#This Row],[Ad_ID]],'[1]pre processed data'!A:K,11,0)</f>
        <v>9</v>
      </c>
      <c r="H985" s="2">
        <f>Googleadssales[[#This Row],[Conversions]]/Googleadssales[[#This Row],[Clicks]]</f>
        <v>6.5217391304347824E-2</v>
      </c>
      <c r="I985" t="str">
        <f>VLOOKUP(Googleadssales[[#This Row],[Ad_ID]],'[1]pre processed data'!A:O,15,0)</f>
        <v>$1268</v>
      </c>
      <c r="J985" s="3">
        <f>VLOOKUP(Googleadssales[[#This Row],[Ad_ID]],'[1]pre processed data'!A:Q,17,0)</f>
        <v>45618</v>
      </c>
      <c r="K985" t="str">
        <f>VLOOKUP(Googleadssales[[#This Row],[Ad_ID]],'[1]pre processed data'!A:R,18,0)</f>
        <v>Chennai</v>
      </c>
      <c r="L985" t="str">
        <f>VLOOKUP(Googleadssales[[#This Row],[Ad_ID]],'[1]pre processed data'!A:S,19,0)</f>
        <v>Mobile</v>
      </c>
      <c r="M985" t="str">
        <f>VLOOKUP(Googleadssales[[#This Row],[Ad_ID]],'[1]pre processed data'!A:T,20,0)</f>
        <v>online data analytic</v>
      </c>
    </row>
    <row r="986" spans="1:13" x14ac:dyDescent="0.3">
      <c r="A986" t="s">
        <v>999</v>
      </c>
      <c r="B986" t="s">
        <v>14</v>
      </c>
      <c r="C986" s="4">
        <f>VLOOKUP(Googleadssales[[#This Row],[Ad_ID]],'[1]pre processed data'!A:C,3,0)</f>
        <v>92</v>
      </c>
      <c r="D986" s="4">
        <f>VLOOKUP(Googleadssales[[#This Row],[Ad_ID]],'[1]pre processed data'!A:E,5,0)</f>
        <v>4898</v>
      </c>
      <c r="E986" s="5" t="str">
        <f>VLOOKUP(Googleadssales[[#This Row],[Ad_ID]],[1]!Table3[[Ad_ID]:[Cost-imputed]],7,0)</f>
        <v>$247.49</v>
      </c>
      <c r="F986" s="4">
        <f>VLOOKUP(Googleadssales[[#This Row],[Ad_ID]],'[1]pre processed data'!A:I,9,0)</f>
        <v>19</v>
      </c>
      <c r="G986" s="4">
        <f>VLOOKUP(Googleadssales[[#This Row],[Ad_ID]],'[1]pre processed data'!A:K,11,0)</f>
        <v>6.4891025641025637</v>
      </c>
      <c r="H986" s="2">
        <f>Googleadssales[[#This Row],[Conversions]]/Googleadssales[[#This Row],[Clicks]]</f>
        <v>7.0533723522853947E-2</v>
      </c>
      <c r="I986" t="str">
        <f>VLOOKUP(Googleadssales[[#This Row],[Ad_ID]],'[1]pre processed data'!A:O,15,0)</f>
        <v>$1969</v>
      </c>
      <c r="J986" s="3">
        <f>VLOOKUP(Googleadssales[[#This Row],[Ad_ID]],'[1]pre processed data'!A:Q,17,0)</f>
        <v>45603</v>
      </c>
      <c r="K986" t="str">
        <f>VLOOKUP(Googleadssales[[#This Row],[Ad_ID]],'[1]pre processed data'!A:R,18,0)</f>
        <v>Bangaluru</v>
      </c>
      <c r="L986" t="str">
        <f>VLOOKUP(Googleadssales[[#This Row],[Ad_ID]],'[1]pre processed data'!A:S,19,0)</f>
        <v>Desktop</v>
      </c>
      <c r="M986" t="str">
        <f>VLOOKUP(Googleadssales[[#This Row],[Ad_ID]],'[1]pre processed data'!A:T,20,0)</f>
        <v>data analytics training</v>
      </c>
    </row>
    <row r="987" spans="1:13" x14ac:dyDescent="0.3">
      <c r="A987" t="s">
        <v>1000</v>
      </c>
      <c r="B987" t="s">
        <v>14</v>
      </c>
      <c r="C987" s="4">
        <f>VLOOKUP(Googleadssales[[#This Row],[Ad_ID]],'[1]pre processed data'!A:C,3,0)</f>
        <v>151</v>
      </c>
      <c r="D987" s="4">
        <f>VLOOKUP(Googleadssales[[#This Row],[Ad_ID]],'[1]pre processed data'!A:E,5,0)</f>
        <v>5301</v>
      </c>
      <c r="E987" s="5" t="str">
        <f>VLOOKUP(Googleadssales[[#This Row],[Ad_ID]],[1]!Table3[[Ad_ID]:[Cost-imputed]],7,0)</f>
        <v>$232.06</v>
      </c>
      <c r="F987" s="4">
        <f>VLOOKUP(Googleadssales[[#This Row],[Ad_ID]],'[1]pre processed data'!A:I,9,0)</f>
        <v>13</v>
      </c>
      <c r="G987" s="4">
        <f>VLOOKUP(Googleadssales[[#This Row],[Ad_ID]],'[1]pre processed data'!A:K,11,0)</f>
        <v>9</v>
      </c>
      <c r="H987" s="2">
        <f>Googleadssales[[#This Row],[Conversions]]/Googleadssales[[#This Row],[Clicks]]</f>
        <v>5.9602649006622516E-2</v>
      </c>
      <c r="I987" t="str">
        <f>VLOOKUP(Googleadssales[[#This Row],[Ad_ID]],'[1]pre processed data'!A:O,15,0)</f>
        <v>$1893</v>
      </c>
      <c r="J987" s="3">
        <f>VLOOKUP(Googleadssales[[#This Row],[Ad_ID]],'[1]pre processed data'!A:Q,17,0)</f>
        <v>45601</v>
      </c>
      <c r="K987" t="str">
        <f>VLOOKUP(Googleadssales[[#This Row],[Ad_ID]],'[1]pre processed data'!A:R,18,0)</f>
        <v>Bangaluru</v>
      </c>
      <c r="L987" t="str">
        <f>VLOOKUP(Googleadssales[[#This Row],[Ad_ID]],'[1]pre processed data'!A:S,19,0)</f>
        <v>Mobile</v>
      </c>
      <c r="M987" t="str">
        <f>VLOOKUP(Googleadssales[[#This Row],[Ad_ID]],'[1]pre processed data'!A:T,20,0)</f>
        <v>data analytics online</v>
      </c>
    </row>
    <row r="988" spans="1:13" x14ac:dyDescent="0.3">
      <c r="A988" t="s">
        <v>1001</v>
      </c>
      <c r="B988" t="s">
        <v>14</v>
      </c>
      <c r="C988" s="4">
        <f>VLOOKUP(Googleadssales[[#This Row],[Ad_ID]],'[1]pre processed data'!A:C,3,0)</f>
        <v>189</v>
      </c>
      <c r="D988" s="4">
        <f>VLOOKUP(Googleadssales[[#This Row],[Ad_ID]],'[1]pre processed data'!A:E,5,0)</f>
        <v>3031</v>
      </c>
      <c r="E988" s="5" t="str">
        <f>VLOOKUP(Googleadssales[[#This Row],[Ad_ID]],[1]!Table3[[Ad_ID]:[Cost-imputed]],7,0)</f>
        <v>$209.84</v>
      </c>
      <c r="F988" s="4">
        <f>VLOOKUP(Googleadssales[[#This Row],[Ad_ID]],'[1]pre processed data'!A:I,9,0)</f>
        <v>25</v>
      </c>
      <c r="G988" s="4">
        <f>VLOOKUP(Googleadssales[[#This Row],[Ad_ID]],'[1]pre processed data'!A:K,11,0)</f>
        <v>6</v>
      </c>
      <c r="H988" s="2">
        <f>Googleadssales[[#This Row],[Conversions]]/Googleadssales[[#This Row],[Clicks]]</f>
        <v>3.1746031746031744E-2</v>
      </c>
      <c r="I988" t="str">
        <f>VLOOKUP(Googleadssales[[#This Row],[Ad_ID]],'[1]pre processed data'!A:O,15,0)</f>
        <v>$1936</v>
      </c>
      <c r="J988" s="3">
        <f>VLOOKUP(Googleadssales[[#This Row],[Ad_ID]],'[1]pre processed data'!A:Q,17,0)</f>
        <v>45622</v>
      </c>
      <c r="K988" t="str">
        <f>VLOOKUP(Googleadssales[[#This Row],[Ad_ID]],'[1]pre processed data'!A:R,18,0)</f>
        <v>Hyderabad</v>
      </c>
      <c r="L988" t="str">
        <f>VLOOKUP(Googleadssales[[#This Row],[Ad_ID]],'[1]pre processed data'!A:S,19,0)</f>
        <v>Tablet</v>
      </c>
      <c r="M988" t="str">
        <f>VLOOKUP(Googleadssales[[#This Row],[Ad_ID]],'[1]pre processed data'!A:T,20,0)</f>
        <v>online data analytic</v>
      </c>
    </row>
    <row r="989" spans="1:13" x14ac:dyDescent="0.3">
      <c r="A989" t="s">
        <v>1002</v>
      </c>
      <c r="B989" t="s">
        <v>14</v>
      </c>
      <c r="C989" s="4">
        <f>VLOOKUP(Googleadssales[[#This Row],[Ad_ID]],'[1]pre processed data'!A:C,3,0)</f>
        <v>97</v>
      </c>
      <c r="D989" s="4">
        <f>VLOOKUP(Googleadssales[[#This Row],[Ad_ID]],'[1]pre processed data'!A:E,5,0)</f>
        <v>3410</v>
      </c>
      <c r="E989" s="5" t="str">
        <f>VLOOKUP(Googleadssales[[#This Row],[Ad_ID]],[1]!Table3[[Ad_ID]:[Cost-imputed]],7,0)</f>
        <v>$180.52</v>
      </c>
      <c r="F989" s="4">
        <f>VLOOKUP(Googleadssales[[#This Row],[Ad_ID]],'[1]pre processed data'!A:I,9,0)</f>
        <v>24</v>
      </c>
      <c r="G989" s="4">
        <f>VLOOKUP(Googleadssales[[#This Row],[Ad_ID]],'[1]pre processed data'!A:K,11,0)</f>
        <v>6.4878048780487809</v>
      </c>
      <c r="H989" s="2">
        <f>Googleadssales[[#This Row],[Conversions]]/Googleadssales[[#This Row],[Clicks]]</f>
        <v>6.6884586371636912E-2</v>
      </c>
      <c r="I989" t="str">
        <f>VLOOKUP(Googleadssales[[#This Row],[Ad_ID]],'[1]pre processed data'!A:O,15,0)</f>
        <v>$1532</v>
      </c>
      <c r="J989" s="3">
        <f>VLOOKUP(Googleadssales[[#This Row],[Ad_ID]],'[1]pre processed data'!A:Q,17,0)</f>
        <v>45603</v>
      </c>
      <c r="K989" t="str">
        <f>VLOOKUP(Googleadssales[[#This Row],[Ad_ID]],'[1]pre processed data'!A:R,18,0)</f>
        <v>Hyderabad</v>
      </c>
      <c r="L989" t="str">
        <f>VLOOKUP(Googleadssales[[#This Row],[Ad_ID]],'[1]pre processed data'!A:S,19,0)</f>
        <v>Tablet</v>
      </c>
      <c r="M989" t="str">
        <f>VLOOKUP(Googleadssales[[#This Row],[Ad_ID]],'[1]pre processed data'!A:T,20,0)</f>
        <v>analytics for data</v>
      </c>
    </row>
    <row r="990" spans="1:13" x14ac:dyDescent="0.3">
      <c r="A990" t="s">
        <v>1003</v>
      </c>
      <c r="B990" t="s">
        <v>14</v>
      </c>
      <c r="C990" s="4">
        <f>VLOOKUP(Googleadssales[[#This Row],[Ad_ID]],'[1]pre processed data'!A:C,3,0)</f>
        <v>178</v>
      </c>
      <c r="D990" s="4">
        <f>VLOOKUP(Googleadssales[[#This Row],[Ad_ID]],'[1]pre processed data'!A:E,5,0)</f>
        <v>4745</v>
      </c>
      <c r="E990" s="5" t="str">
        <f>VLOOKUP(Googleadssales[[#This Row],[Ad_ID]],[1]!Table3[[Ad_ID]:[Cost-imputed]],7,0)</f>
        <v>$200.61</v>
      </c>
      <c r="F990" s="4">
        <f>VLOOKUP(Googleadssales[[#This Row],[Ad_ID]],'[1]pre processed data'!A:I,9,0)</f>
        <v>12</v>
      </c>
      <c r="G990" s="4">
        <f>VLOOKUP(Googleadssales[[#This Row],[Ad_ID]],'[1]pre processed data'!A:K,11,0)</f>
        <v>9</v>
      </c>
      <c r="H990" s="2">
        <f>Googleadssales[[#This Row],[Conversions]]/Googleadssales[[#This Row],[Clicks]]</f>
        <v>5.0561797752808987E-2</v>
      </c>
      <c r="I990" t="str">
        <f>VLOOKUP(Googleadssales[[#This Row],[Ad_ID]],'[1]pre processed data'!A:O,15,0)</f>
        <v>$1574</v>
      </c>
      <c r="J990" s="3">
        <f>VLOOKUP(Googleadssales[[#This Row],[Ad_ID]],'[1]pre processed data'!A:Q,17,0)</f>
        <v>45614</v>
      </c>
      <c r="K990" t="str">
        <f>VLOOKUP(Googleadssales[[#This Row],[Ad_ID]],'[1]pre processed data'!A:R,18,0)</f>
        <v>Hyderabad</v>
      </c>
      <c r="L990" t="str">
        <f>VLOOKUP(Googleadssales[[#This Row],[Ad_ID]],'[1]pre processed data'!A:S,19,0)</f>
        <v>Desktop</v>
      </c>
      <c r="M990" t="str">
        <f>VLOOKUP(Googleadssales[[#This Row],[Ad_ID]],'[1]pre processed data'!A:T,20,0)</f>
        <v>learn data analytics</v>
      </c>
    </row>
    <row r="991" spans="1:13" x14ac:dyDescent="0.3">
      <c r="A991" t="s">
        <v>1004</v>
      </c>
      <c r="B991" t="s">
        <v>14</v>
      </c>
      <c r="C991" s="4">
        <f>VLOOKUP(Googleadssales[[#This Row],[Ad_ID]],'[1]pre processed data'!A:C,3,0)</f>
        <v>164</v>
      </c>
      <c r="D991" s="4">
        <f>VLOOKUP(Googleadssales[[#This Row],[Ad_ID]],'[1]pre processed data'!A:E,5,0)</f>
        <v>3024</v>
      </c>
      <c r="E991" s="5" t="str">
        <f>VLOOKUP(Googleadssales[[#This Row],[Ad_ID]],[1]!Table3[[Ad_ID]:[Cost-imputed]],7,0)</f>
        <v>$192.34</v>
      </c>
      <c r="F991" s="4">
        <f>VLOOKUP(Googleadssales[[#This Row],[Ad_ID]],'[1]pre processed data'!A:I,9,0)</f>
        <v>12</v>
      </c>
      <c r="G991" s="4">
        <f>VLOOKUP(Googleadssales[[#This Row],[Ad_ID]],'[1]pre processed data'!A:K,11,0)</f>
        <v>8</v>
      </c>
      <c r="H991" s="2">
        <f>Googleadssales[[#This Row],[Conversions]]/Googleadssales[[#This Row],[Clicks]]</f>
        <v>4.878048780487805E-2</v>
      </c>
      <c r="I991" t="str">
        <f>VLOOKUP(Googleadssales[[#This Row],[Ad_ID]],'[1]pre processed data'!A:O,15,0)</f>
        <v>$1997</v>
      </c>
      <c r="J991" s="3">
        <f>VLOOKUP(Googleadssales[[#This Row],[Ad_ID]],'[1]pre processed data'!A:Q,17,0)</f>
        <v>45603</v>
      </c>
      <c r="K991" t="str">
        <f>VLOOKUP(Googleadssales[[#This Row],[Ad_ID]],'[1]pre processed data'!A:R,18,0)</f>
        <v>Chennai</v>
      </c>
      <c r="L991" t="str">
        <f>VLOOKUP(Googleadssales[[#This Row],[Ad_ID]],'[1]pre processed data'!A:S,19,0)</f>
        <v>Desktop</v>
      </c>
      <c r="M991" t="str">
        <f>VLOOKUP(Googleadssales[[#This Row],[Ad_ID]],'[1]pre processed data'!A:T,20,0)</f>
        <v>data analytics course</v>
      </c>
    </row>
    <row r="992" spans="1:13" x14ac:dyDescent="0.3">
      <c r="A992" t="s">
        <v>1005</v>
      </c>
      <c r="B992" t="s">
        <v>14</v>
      </c>
      <c r="C992" s="4">
        <f>VLOOKUP(Googleadssales[[#This Row],[Ad_ID]],'[1]pre processed data'!A:C,3,0)</f>
        <v>94</v>
      </c>
      <c r="D992" s="4">
        <f>VLOOKUP(Googleadssales[[#This Row],[Ad_ID]],'[1]pre processed data'!A:E,5,0)</f>
        <v>5435</v>
      </c>
      <c r="E992" s="5" t="str">
        <f>VLOOKUP(Googleadssales[[#This Row],[Ad_ID]],[1]!Table3[[Ad_ID]:[Cost-imputed]],7,0)</f>
        <v>$231.42</v>
      </c>
      <c r="F992" s="4">
        <f>VLOOKUP(Googleadssales[[#This Row],[Ad_ID]],'[1]pre processed data'!A:I,9,0)</f>
        <v>21</v>
      </c>
      <c r="G992" s="4">
        <f>VLOOKUP(Googleadssales[[#This Row],[Ad_ID]],'[1]pre processed data'!A:K,11,0)</f>
        <v>5</v>
      </c>
      <c r="H992" s="2">
        <f>Googleadssales[[#This Row],[Conversions]]/Googleadssales[[#This Row],[Clicks]]</f>
        <v>5.3191489361702128E-2</v>
      </c>
      <c r="I992" t="str">
        <f>VLOOKUP(Googleadssales[[#This Row],[Ad_ID]],'[1]pre processed data'!A:O,15,0)</f>
        <v>$1114</v>
      </c>
      <c r="J992" s="3">
        <f>VLOOKUP(Googleadssales[[#This Row],[Ad_ID]],'[1]pre processed data'!A:Q,17,0)</f>
        <v>45599</v>
      </c>
      <c r="K992" t="str">
        <f>VLOOKUP(Googleadssales[[#This Row],[Ad_ID]],'[1]pre processed data'!A:R,18,0)</f>
        <v>Hyderabad</v>
      </c>
      <c r="L992" t="str">
        <f>VLOOKUP(Googleadssales[[#This Row],[Ad_ID]],'[1]pre processed data'!A:S,19,0)</f>
        <v>Desktop</v>
      </c>
      <c r="M992" t="str">
        <f>VLOOKUP(Googleadssales[[#This Row],[Ad_ID]],'[1]pre processed data'!A:T,20,0)</f>
        <v>data analytics online</v>
      </c>
    </row>
    <row r="993" spans="1:13" x14ac:dyDescent="0.3">
      <c r="A993" t="s">
        <v>1006</v>
      </c>
      <c r="B993" t="s">
        <v>14</v>
      </c>
      <c r="C993" s="4">
        <f>VLOOKUP(Googleadssales[[#This Row],[Ad_ID]],'[1]pre processed data'!A:C,3,0)</f>
        <v>176</v>
      </c>
      <c r="D993" s="4">
        <f>VLOOKUP(Googleadssales[[#This Row],[Ad_ID]],'[1]pre processed data'!A:E,5,0)</f>
        <v>3021</v>
      </c>
      <c r="E993" s="5" t="str">
        <f>VLOOKUP(Googleadssales[[#This Row],[Ad_ID]],[1]!Table3[[Ad_ID]:[Cost-imputed]],7,0)</f>
        <v>$204.53</v>
      </c>
      <c r="F993" s="4">
        <f>VLOOKUP(Googleadssales[[#This Row],[Ad_ID]],'[1]pre processed data'!A:I,9,0)</f>
        <v>29</v>
      </c>
      <c r="G993" s="4">
        <f>VLOOKUP(Googleadssales[[#This Row],[Ad_ID]],'[1]pre processed data'!A:K,11,0)</f>
        <v>7</v>
      </c>
      <c r="H993" s="2">
        <f>Googleadssales[[#This Row],[Conversions]]/Googleadssales[[#This Row],[Clicks]]</f>
        <v>3.9772727272727272E-2</v>
      </c>
      <c r="I993" t="str">
        <f>VLOOKUP(Googleadssales[[#This Row],[Ad_ID]],'[1]pre processed data'!A:O,15,0)</f>
        <v>$1620</v>
      </c>
      <c r="J993" s="3">
        <f>VLOOKUP(Googleadssales[[#This Row],[Ad_ID]],'[1]pre processed data'!A:Q,17,0)</f>
        <v>45609</v>
      </c>
      <c r="K993" t="str">
        <f>VLOOKUP(Googleadssales[[#This Row],[Ad_ID]],'[1]pre processed data'!A:R,18,0)</f>
        <v>Hyderabad</v>
      </c>
      <c r="L993" t="str">
        <f>VLOOKUP(Googleadssales[[#This Row],[Ad_ID]],'[1]pre processed data'!A:S,19,0)</f>
        <v>Tablet</v>
      </c>
      <c r="M993" t="str">
        <f>VLOOKUP(Googleadssales[[#This Row],[Ad_ID]],'[1]pre processed data'!A:T,20,0)</f>
        <v>online data analytic</v>
      </c>
    </row>
    <row r="994" spans="1:13" x14ac:dyDescent="0.3">
      <c r="A994" t="s">
        <v>1007</v>
      </c>
      <c r="B994" t="s">
        <v>14</v>
      </c>
      <c r="C994" s="4">
        <f>VLOOKUP(Googleadssales[[#This Row],[Ad_ID]],'[1]pre processed data'!A:C,3,0)</f>
        <v>165</v>
      </c>
      <c r="D994" s="4">
        <f>VLOOKUP(Googleadssales[[#This Row],[Ad_ID]],'[1]pre processed data'!A:E,5,0)</f>
        <v>5335</v>
      </c>
      <c r="E994" s="5" t="str">
        <f>VLOOKUP(Googleadssales[[#This Row],[Ad_ID]],[1]!Table3[[Ad_ID]:[Cost-imputed]],7,0)</f>
        <v>$192.53</v>
      </c>
      <c r="F994" s="4">
        <f>VLOOKUP(Googleadssales[[#This Row],[Ad_ID]],'[1]pre processed data'!A:I,9,0)</f>
        <v>23</v>
      </c>
      <c r="G994" s="4">
        <f>VLOOKUP(Googleadssales[[#This Row],[Ad_ID]],'[1]pre processed data'!A:K,11,0)</f>
        <v>5</v>
      </c>
      <c r="H994" s="2">
        <f>Googleadssales[[#This Row],[Conversions]]/Googleadssales[[#This Row],[Clicks]]</f>
        <v>3.0303030303030304E-2</v>
      </c>
      <c r="I994" t="str">
        <f>VLOOKUP(Googleadssales[[#This Row],[Ad_ID]],'[1]pre processed data'!A:O,15,0)</f>
        <v>$1402</v>
      </c>
      <c r="J994" s="3">
        <f>VLOOKUP(Googleadssales[[#This Row],[Ad_ID]],'[1]pre processed data'!A:Q,17,0)</f>
        <v>45608</v>
      </c>
      <c r="K994" t="str">
        <f>VLOOKUP(Googleadssales[[#This Row],[Ad_ID]],'[1]pre processed data'!A:R,18,0)</f>
        <v>Hyderabad</v>
      </c>
      <c r="L994" t="str">
        <f>VLOOKUP(Googleadssales[[#This Row],[Ad_ID]],'[1]pre processed data'!A:S,19,0)</f>
        <v>Mobile</v>
      </c>
      <c r="M994" t="str">
        <f>VLOOKUP(Googleadssales[[#This Row],[Ad_ID]],'[1]pre processed data'!A:T,20,0)</f>
        <v>data analytics training</v>
      </c>
    </row>
    <row r="995" spans="1:13" x14ac:dyDescent="0.3">
      <c r="A995" t="s">
        <v>1008</v>
      </c>
      <c r="B995" t="s">
        <v>14</v>
      </c>
      <c r="C995" s="4">
        <f>VLOOKUP(Googleadssales[[#This Row],[Ad_ID]],'[1]pre processed data'!A:C,3,0)</f>
        <v>188</v>
      </c>
      <c r="D995" s="4">
        <f>VLOOKUP(Googleadssales[[#This Row],[Ad_ID]],'[1]pre processed data'!A:E,5,0)</f>
        <v>4081</v>
      </c>
      <c r="E995" s="5" t="str">
        <f>VLOOKUP(Googleadssales[[#This Row],[Ad_ID]],[1]!Table3[[Ad_ID]:[Cost-imputed]],7,0)</f>
        <v>$237.05</v>
      </c>
      <c r="F995" s="4">
        <f>VLOOKUP(Googleadssales[[#This Row],[Ad_ID]],'[1]pre processed data'!A:I,9,0)</f>
        <v>18</v>
      </c>
      <c r="G995" s="4">
        <f>VLOOKUP(Googleadssales[[#This Row],[Ad_ID]],'[1]pre processed data'!A:K,11,0)</f>
        <v>8</v>
      </c>
      <c r="H995" s="2">
        <f>Googleadssales[[#This Row],[Conversions]]/Googleadssales[[#This Row],[Clicks]]</f>
        <v>4.2553191489361701E-2</v>
      </c>
      <c r="I995" t="str">
        <f>VLOOKUP(Googleadssales[[#This Row],[Ad_ID]],'[1]pre processed data'!A:O,15,0)</f>
        <v>$1846</v>
      </c>
      <c r="J995" s="3">
        <f>VLOOKUP(Googleadssales[[#This Row],[Ad_ID]],'[1]pre processed data'!A:Q,17,0)</f>
        <v>45602</v>
      </c>
      <c r="K995" t="str">
        <f>VLOOKUP(Googleadssales[[#This Row],[Ad_ID]],'[1]pre processed data'!A:R,18,0)</f>
        <v>Hyderabad</v>
      </c>
      <c r="L995" t="str">
        <f>VLOOKUP(Googleadssales[[#This Row],[Ad_ID]],'[1]pre processed data'!A:S,19,0)</f>
        <v>Tablet</v>
      </c>
      <c r="M995" t="str">
        <f>VLOOKUP(Googleadssales[[#This Row],[Ad_ID]],'[1]pre processed data'!A:T,20,0)</f>
        <v>data analytics course</v>
      </c>
    </row>
    <row r="996" spans="1:13" x14ac:dyDescent="0.3">
      <c r="A996" t="s">
        <v>1009</v>
      </c>
      <c r="B996" t="s">
        <v>18</v>
      </c>
      <c r="C996" s="4">
        <f>VLOOKUP(Googleadssales[[#This Row],[Ad_ID]],'[1]pre processed data'!A:C,3,0)</f>
        <v>87</v>
      </c>
      <c r="D996" s="4">
        <f>VLOOKUP(Googleadssales[[#This Row],[Ad_ID]],'[1]pre processed data'!A:E,5,0)</f>
        <v>4840</v>
      </c>
      <c r="E996" s="5" t="str">
        <f>VLOOKUP(Googleadssales[[#This Row],[Ad_ID]],[1]!Table3[[Ad_ID]:[Cost-imputed]],7,0)</f>
        <v>$205.72</v>
      </c>
      <c r="F996" s="4">
        <f>VLOOKUP(Googleadssales[[#This Row],[Ad_ID]],'[1]pre processed data'!A:I,9,0)</f>
        <v>16</v>
      </c>
      <c r="G996" s="4">
        <f>VLOOKUP(Googleadssales[[#This Row],[Ad_ID]],'[1]pre processed data'!A:K,11,0)</f>
        <v>6</v>
      </c>
      <c r="H996" s="2">
        <f>Googleadssales[[#This Row],[Conversions]]/Googleadssales[[#This Row],[Clicks]]</f>
        <v>6.8965517241379309E-2</v>
      </c>
      <c r="I996" t="str">
        <f>VLOOKUP(Googleadssales[[#This Row],[Ad_ID]],'[1]pre processed data'!A:O,15,0)</f>
        <v>$1040</v>
      </c>
      <c r="J996" s="3">
        <f>VLOOKUP(Googleadssales[[#This Row],[Ad_ID]],'[1]pre processed data'!A:Q,17,0)</f>
        <v>45605</v>
      </c>
      <c r="K996" t="str">
        <f>VLOOKUP(Googleadssales[[#This Row],[Ad_ID]],'[1]pre processed data'!A:R,18,0)</f>
        <v>Bangaluru</v>
      </c>
      <c r="L996" t="str">
        <f>VLOOKUP(Googleadssales[[#This Row],[Ad_ID]],'[1]pre processed data'!A:S,19,0)</f>
        <v>Desktop</v>
      </c>
      <c r="M996" t="str">
        <f>VLOOKUP(Googleadssales[[#This Row],[Ad_ID]],'[1]pre processed data'!A:T,20,0)</f>
        <v>online data analytic</v>
      </c>
    </row>
    <row r="997" spans="1:13" x14ac:dyDescent="0.3">
      <c r="A997" t="s">
        <v>1010</v>
      </c>
      <c r="B997" t="s">
        <v>14</v>
      </c>
      <c r="C997" s="4">
        <f>VLOOKUP(Googleadssales[[#This Row],[Ad_ID]],'[1]pre processed data'!A:C,3,0)</f>
        <v>106</v>
      </c>
      <c r="D997" s="4">
        <f>VLOOKUP(Googleadssales[[#This Row],[Ad_ID]],'[1]pre processed data'!A:E,5,0)</f>
        <v>4738</v>
      </c>
      <c r="E997" s="5" t="str">
        <f>VLOOKUP(Googleadssales[[#This Row],[Ad_ID]],[1]!Table3[[Ad_ID]:[Cost-imputed]],7,0)</f>
        <v>$196.7</v>
      </c>
      <c r="F997" s="4">
        <f>VLOOKUP(Googleadssales[[#This Row],[Ad_ID]],'[1]pre processed data'!A:I,9,0)</f>
        <v>17</v>
      </c>
      <c r="G997" s="4">
        <f>VLOOKUP(Googleadssales[[#This Row],[Ad_ID]],'[1]pre processed data'!A:K,11,0)</f>
        <v>4</v>
      </c>
      <c r="H997" s="2">
        <f>Googleadssales[[#This Row],[Conversions]]/Googleadssales[[#This Row],[Clicks]]</f>
        <v>3.7735849056603772E-2</v>
      </c>
      <c r="I997" t="str">
        <f>VLOOKUP(Googleadssales[[#This Row],[Ad_ID]],'[1]pre processed data'!A:O,15,0)</f>
        <v>$1515</v>
      </c>
      <c r="J997" s="3">
        <f>VLOOKUP(Googleadssales[[#This Row],[Ad_ID]],'[1]pre processed data'!A:Q,17,0)</f>
        <v>45625</v>
      </c>
      <c r="K997" t="str">
        <f>VLOOKUP(Googleadssales[[#This Row],[Ad_ID]],'[1]pre processed data'!A:R,18,0)</f>
        <v>Hyderabad</v>
      </c>
      <c r="L997" t="str">
        <f>VLOOKUP(Googleadssales[[#This Row],[Ad_ID]],'[1]pre processed data'!A:S,19,0)</f>
        <v>Tablet</v>
      </c>
      <c r="M997" t="str">
        <f>VLOOKUP(Googleadssales[[#This Row],[Ad_ID]],'[1]pre processed data'!A:T,20,0)</f>
        <v>data analytics training</v>
      </c>
    </row>
    <row r="998" spans="1:13" x14ac:dyDescent="0.3">
      <c r="A998" t="s">
        <v>1011</v>
      </c>
      <c r="B998" t="s">
        <v>18</v>
      </c>
      <c r="C998" s="4">
        <f>VLOOKUP(Googleadssales[[#This Row],[Ad_ID]],'[1]pre processed data'!A:C,3,0)</f>
        <v>198</v>
      </c>
      <c r="D998" s="4">
        <f>VLOOKUP(Googleadssales[[#This Row],[Ad_ID]],'[1]pre processed data'!A:E,5,0)</f>
        <v>4181</v>
      </c>
      <c r="E998" s="5" t="str">
        <f>VLOOKUP(Googleadssales[[#This Row],[Ad_ID]],[1]!Table3[[Ad_ID]:[Cost-imputed]],7,0)</f>
        <v>$218.4</v>
      </c>
      <c r="F998" s="4">
        <f>VLOOKUP(Googleadssales[[#This Row],[Ad_ID]],'[1]pre processed data'!A:I,9,0)</f>
        <v>10</v>
      </c>
      <c r="G998" s="4">
        <f>VLOOKUP(Googleadssales[[#This Row],[Ad_ID]],'[1]pre processed data'!A:K,11,0)</f>
        <v>8</v>
      </c>
      <c r="H998" s="2">
        <f>Googleadssales[[#This Row],[Conversions]]/Googleadssales[[#This Row],[Clicks]]</f>
        <v>4.0404040404040407E-2</v>
      </c>
      <c r="I998" t="str">
        <f>VLOOKUP(Googleadssales[[#This Row],[Ad_ID]],'[1]pre processed data'!A:O,15,0)</f>
        <v>$1298</v>
      </c>
      <c r="J998" s="3">
        <f>VLOOKUP(Googleadssales[[#This Row],[Ad_ID]],'[1]pre processed data'!A:Q,17,0)</f>
        <v>45613</v>
      </c>
      <c r="K998" t="str">
        <f>VLOOKUP(Googleadssales[[#This Row],[Ad_ID]],'[1]pre processed data'!A:R,18,0)</f>
        <v>Hyderabad</v>
      </c>
      <c r="L998" t="str">
        <f>VLOOKUP(Googleadssales[[#This Row],[Ad_ID]],'[1]pre processed data'!A:S,19,0)</f>
        <v>Mobile</v>
      </c>
      <c r="M998" t="str">
        <f>VLOOKUP(Googleadssales[[#This Row],[Ad_ID]],'[1]pre processed data'!A:T,20,0)</f>
        <v>data analytics training</v>
      </c>
    </row>
    <row r="999" spans="1:13" x14ac:dyDescent="0.3">
      <c r="A999" t="s">
        <v>1012</v>
      </c>
      <c r="B999" t="s">
        <v>14</v>
      </c>
      <c r="C999" s="4">
        <f>VLOOKUP(Googleadssales[[#This Row],[Ad_ID]],'[1]pre processed data'!A:C,3,0)</f>
        <v>121</v>
      </c>
      <c r="D999" s="4">
        <f>VLOOKUP(Googleadssales[[#This Row],[Ad_ID]],'[1]pre processed data'!A:E,5,0)</f>
        <v>5813</v>
      </c>
      <c r="E999" s="5" t="str">
        <f>VLOOKUP(Googleadssales[[#This Row],[Ad_ID]],[1]!Table3[[Ad_ID]:[Cost-imputed]],7,0)</f>
        <v>$202.92</v>
      </c>
      <c r="F999" s="4">
        <f>VLOOKUP(Googleadssales[[#This Row],[Ad_ID]],'[1]pre processed data'!A:I,9,0)</f>
        <v>25</v>
      </c>
      <c r="G999" s="4">
        <f>VLOOKUP(Googleadssales[[#This Row],[Ad_ID]],'[1]pre processed data'!A:K,11,0)</f>
        <v>6</v>
      </c>
      <c r="H999" s="2">
        <f>Googleadssales[[#This Row],[Conversions]]/Googleadssales[[#This Row],[Clicks]]</f>
        <v>4.9586776859504134E-2</v>
      </c>
      <c r="I999" t="str">
        <f>VLOOKUP(Googleadssales[[#This Row],[Ad_ID]],'[1]pre processed data'!A:O,15,0)</f>
        <v>$1226</v>
      </c>
      <c r="J999" s="3">
        <f>VLOOKUP(Googleadssales[[#This Row],[Ad_ID]],'[1]pre processed data'!A:Q,17,0)</f>
        <v>45610</v>
      </c>
      <c r="K999" t="str">
        <f>VLOOKUP(Googleadssales[[#This Row],[Ad_ID]],'[1]pre processed data'!A:R,18,0)</f>
        <v>Bangaluru</v>
      </c>
      <c r="L999" t="str">
        <f>VLOOKUP(Googleadssales[[#This Row],[Ad_ID]],'[1]pre processed data'!A:S,19,0)</f>
        <v>Tablet</v>
      </c>
      <c r="M999" t="str">
        <f>VLOOKUP(Googleadssales[[#This Row],[Ad_ID]],'[1]pre processed data'!A:T,20,0)</f>
        <v>data analytics online</v>
      </c>
    </row>
    <row r="1000" spans="1:13" x14ac:dyDescent="0.3">
      <c r="A1000" t="s">
        <v>1013</v>
      </c>
      <c r="B1000" t="s">
        <v>14</v>
      </c>
      <c r="C1000" s="4">
        <f>VLOOKUP(Googleadssales[[#This Row],[Ad_ID]],'[1]pre processed data'!A:C,3,0)</f>
        <v>120</v>
      </c>
      <c r="D1000" s="4">
        <f>VLOOKUP(Googleadssales[[#This Row],[Ad_ID]],'[1]pre processed data'!A:E,5,0)</f>
        <v>4303</v>
      </c>
      <c r="E1000" s="5" t="str">
        <f>VLOOKUP(Googleadssales[[#This Row],[Ad_ID]],[1]!Table3[[Ad_ID]:[Cost-imputed]],7,0)</f>
        <v>$202.8</v>
      </c>
      <c r="F1000" s="4">
        <f>VLOOKUP(Googleadssales[[#This Row],[Ad_ID]],'[1]pre processed data'!A:I,9,0)</f>
        <v>21</v>
      </c>
      <c r="G1000" s="4">
        <f>VLOOKUP(Googleadssales[[#This Row],[Ad_ID]],'[1]pre processed data'!A:K,11,0)</f>
        <v>4</v>
      </c>
      <c r="H1000" s="2">
        <f>Googleadssales[[#This Row],[Conversions]]/Googleadssales[[#This Row],[Clicks]]</f>
        <v>3.3333333333333333E-2</v>
      </c>
      <c r="I1000" t="str">
        <f>VLOOKUP(Googleadssales[[#This Row],[Ad_ID]],'[1]pre processed data'!A:O,15,0)</f>
        <v>$1033</v>
      </c>
      <c r="J1000" s="3">
        <f>VLOOKUP(Googleadssales[[#This Row],[Ad_ID]],'[1]pre processed data'!A:Q,17,0)</f>
        <v>45622</v>
      </c>
      <c r="K1000" t="str">
        <f>VLOOKUP(Googleadssales[[#This Row],[Ad_ID]],'[1]pre processed data'!A:R,18,0)</f>
        <v>Hyderabad</v>
      </c>
      <c r="L1000" t="str">
        <f>VLOOKUP(Googleadssales[[#This Row],[Ad_ID]],'[1]pre processed data'!A:S,19,0)</f>
        <v>Tablet</v>
      </c>
      <c r="M1000" t="str">
        <f>VLOOKUP(Googleadssales[[#This Row],[Ad_ID]],'[1]pre processed data'!A:T,20,0)</f>
        <v>online data analytic</v>
      </c>
    </row>
    <row r="1001" spans="1:13" x14ac:dyDescent="0.3">
      <c r="A1001" t="s">
        <v>1014</v>
      </c>
      <c r="B1001" t="s">
        <v>18</v>
      </c>
      <c r="C1001" s="4">
        <f>VLOOKUP(Googleadssales[[#This Row],[Ad_ID]],'[1]pre processed data'!A:C,3,0)</f>
        <v>189</v>
      </c>
      <c r="D1001" s="4">
        <f>VLOOKUP(Googleadssales[[#This Row],[Ad_ID]],'[1]pre processed data'!A:E,5,0)</f>
        <v>5201</v>
      </c>
      <c r="E1001" s="5" t="str">
        <f>VLOOKUP(Googleadssales[[#This Row],[Ad_ID]],[1]!Table3[[Ad_ID]:[Cost-imputed]],7,0)</f>
        <v>$210.87</v>
      </c>
      <c r="F1001" s="4">
        <f>VLOOKUP(Googleadssales[[#This Row],[Ad_ID]],'[1]pre processed data'!A:I,9,0)</f>
        <v>21</v>
      </c>
      <c r="G1001" s="4">
        <f>VLOOKUP(Googleadssales[[#This Row],[Ad_ID]],'[1]pre processed data'!A:K,11,0)</f>
        <v>10</v>
      </c>
      <c r="H1001" s="2">
        <f>Googleadssales[[#This Row],[Conversions]]/Googleadssales[[#This Row],[Clicks]]</f>
        <v>5.2910052910052907E-2</v>
      </c>
      <c r="I1001" t="str">
        <f>VLOOKUP(Googleadssales[[#This Row],[Ad_ID]],'[1]pre processed data'!A:O,15,0)</f>
        <v>$1560</v>
      </c>
      <c r="J1001" s="3">
        <f>VLOOKUP(Googleadssales[[#This Row],[Ad_ID]],'[1]pre processed data'!A:Q,17,0)</f>
        <v>45607</v>
      </c>
      <c r="K1001" t="str">
        <f>VLOOKUP(Googleadssales[[#This Row],[Ad_ID]],'[1]pre processed data'!A:R,18,0)</f>
        <v>Bangaluru</v>
      </c>
      <c r="L1001" t="str">
        <f>VLOOKUP(Googleadssales[[#This Row],[Ad_ID]],'[1]pre processed data'!A:S,19,0)</f>
        <v>Mobile</v>
      </c>
      <c r="M1001" t="str">
        <f>VLOOKUP(Googleadssales[[#This Row],[Ad_ID]],'[1]pre processed data'!A:T,20,0)</f>
        <v>data analytics course</v>
      </c>
    </row>
    <row r="1002" spans="1:13" x14ac:dyDescent="0.3">
      <c r="A1002" t="s">
        <v>1015</v>
      </c>
      <c r="B1002" t="s">
        <v>14</v>
      </c>
      <c r="C1002" s="4">
        <f>VLOOKUP(Googleadssales[[#This Row],[Ad_ID]],'[1]pre processed data'!A:C,3,0)</f>
        <v>131</v>
      </c>
      <c r="D1002" s="4">
        <f>VLOOKUP(Googleadssales[[#This Row],[Ad_ID]],'[1]pre processed data'!A:E,5,0)</f>
        <v>4603</v>
      </c>
      <c r="E1002" s="5" t="str">
        <f>VLOOKUP(Googleadssales[[#This Row],[Ad_ID]],[1]!Table3[[Ad_ID]:[Cost-imputed]],7,0)</f>
        <v>$228.63</v>
      </c>
      <c r="F1002" s="4">
        <f>VLOOKUP(Googleadssales[[#This Row],[Ad_ID]],'[1]pre processed data'!A:I,9,0)</f>
        <v>30</v>
      </c>
      <c r="G1002" s="4">
        <f>VLOOKUP(Googleadssales[[#This Row],[Ad_ID]],'[1]pre processed data'!A:K,11,0)</f>
        <v>6.4864165588615785</v>
      </c>
      <c r="H1002" s="2">
        <f>Googleadssales[[#This Row],[Conversions]]/Googleadssales[[#This Row],[Clicks]]</f>
        <v>4.9514630220317393E-2</v>
      </c>
      <c r="I1002" t="str">
        <f>VLOOKUP(Googleadssales[[#This Row],[Ad_ID]],'[1]pre processed data'!A:O,15,0)</f>
        <v>$1270</v>
      </c>
      <c r="J1002" s="3">
        <f>VLOOKUP(Googleadssales[[#This Row],[Ad_ID]],'[1]pre processed data'!A:Q,17,0)</f>
        <v>45599</v>
      </c>
      <c r="K1002" t="str">
        <f>VLOOKUP(Googleadssales[[#This Row],[Ad_ID]],'[1]pre processed data'!A:R,18,0)</f>
        <v>Hyderabad</v>
      </c>
      <c r="L1002" t="str">
        <f>VLOOKUP(Googleadssales[[#This Row],[Ad_ID]],'[1]pre processed data'!A:S,19,0)</f>
        <v>Tablet</v>
      </c>
      <c r="M1002" t="str">
        <f>VLOOKUP(Googleadssales[[#This Row],[Ad_ID]],'[1]pre processed data'!A:T,20,0)</f>
        <v>analytics for data</v>
      </c>
    </row>
    <row r="1003" spans="1:13" x14ac:dyDescent="0.3">
      <c r="A1003" t="s">
        <v>1016</v>
      </c>
      <c r="B1003" t="s">
        <v>14</v>
      </c>
      <c r="C1003" s="4">
        <f>VLOOKUP(Googleadssales[[#This Row],[Ad_ID]],'[1]pre processed data'!A:C,3,0)</f>
        <v>99</v>
      </c>
      <c r="D1003" s="4">
        <f>VLOOKUP(Googleadssales[[#This Row],[Ad_ID]],'[1]pre processed data'!A:E,5,0)</f>
        <v>4051</v>
      </c>
      <c r="E1003" s="5" t="str">
        <f>VLOOKUP(Googleadssales[[#This Row],[Ad_ID]],[1]!Table3[[Ad_ID]:[Cost-imputed]],7,0)</f>
        <v>$207.42</v>
      </c>
      <c r="F1003" s="4">
        <f>VLOOKUP(Googleadssales[[#This Row],[Ad_ID]],'[1]pre processed data'!A:I,9,0)</f>
        <v>10</v>
      </c>
      <c r="G1003" s="4">
        <f>VLOOKUP(Googleadssales[[#This Row],[Ad_ID]],'[1]pre processed data'!A:K,11,0)</f>
        <v>9</v>
      </c>
      <c r="H1003" s="2">
        <f>Googleadssales[[#This Row],[Conversions]]/Googleadssales[[#This Row],[Clicks]]</f>
        <v>9.0909090909090912E-2</v>
      </c>
      <c r="I1003" t="str">
        <f>VLOOKUP(Googleadssales[[#This Row],[Ad_ID]],'[1]pre processed data'!A:O,15,0)</f>
        <v>$1797</v>
      </c>
      <c r="J1003" s="3">
        <f>VLOOKUP(Googleadssales[[#This Row],[Ad_ID]],'[1]pre processed data'!A:Q,17,0)</f>
        <v>45610</v>
      </c>
      <c r="K1003" t="str">
        <f>VLOOKUP(Googleadssales[[#This Row],[Ad_ID]],'[1]pre processed data'!A:R,18,0)</f>
        <v>Hyderabad</v>
      </c>
      <c r="L1003" t="str">
        <f>VLOOKUP(Googleadssales[[#This Row],[Ad_ID]],'[1]pre processed data'!A:S,19,0)</f>
        <v>Mobile</v>
      </c>
      <c r="M1003" t="str">
        <f>VLOOKUP(Googleadssales[[#This Row],[Ad_ID]],'[1]pre processed data'!A:T,20,0)</f>
        <v>analytics for data</v>
      </c>
    </row>
    <row r="1004" spans="1:13" x14ac:dyDescent="0.3">
      <c r="A1004" t="s">
        <v>1017</v>
      </c>
      <c r="B1004" t="s">
        <v>14</v>
      </c>
      <c r="C1004" s="4">
        <f>VLOOKUP(Googleadssales[[#This Row],[Ad_ID]],'[1]pre processed data'!A:C,3,0)</f>
        <v>199</v>
      </c>
      <c r="D1004" s="4">
        <f>VLOOKUP(Googleadssales[[#This Row],[Ad_ID]],'[1]pre processed data'!A:E,5,0)</f>
        <v>4080</v>
      </c>
      <c r="E1004" s="5" t="str">
        <f>VLOOKUP(Googleadssales[[#This Row],[Ad_ID]],[1]!Table3[[Ad_ID]:[Cost-imputed]],7,0)</f>
        <v>$243.8</v>
      </c>
      <c r="F1004" s="4">
        <f>VLOOKUP(Googleadssales[[#This Row],[Ad_ID]],'[1]pre processed data'!A:I,9,0)</f>
        <v>23</v>
      </c>
      <c r="G1004" s="4">
        <f>VLOOKUP(Googleadssales[[#This Row],[Ad_ID]],'[1]pre processed data'!A:K,11,0)</f>
        <v>7</v>
      </c>
      <c r="H1004" s="2">
        <f>Googleadssales[[#This Row],[Conversions]]/Googleadssales[[#This Row],[Clicks]]</f>
        <v>3.5175879396984924E-2</v>
      </c>
      <c r="I1004" t="str">
        <f>VLOOKUP(Googleadssales[[#This Row],[Ad_ID]],'[1]pre processed data'!A:O,15,0)</f>
        <v>$1507</v>
      </c>
      <c r="J1004" s="3">
        <f>VLOOKUP(Googleadssales[[#This Row],[Ad_ID]],'[1]pre processed data'!A:Q,17,0)</f>
        <v>45611</v>
      </c>
      <c r="K1004" t="str">
        <f>VLOOKUP(Googleadssales[[#This Row],[Ad_ID]],'[1]pre processed data'!A:R,18,0)</f>
        <v>Hyderabad</v>
      </c>
      <c r="L1004" t="str">
        <f>VLOOKUP(Googleadssales[[#This Row],[Ad_ID]],'[1]pre processed data'!A:S,19,0)</f>
        <v>Desktop</v>
      </c>
      <c r="M1004" t="str">
        <f>VLOOKUP(Googleadssales[[#This Row],[Ad_ID]],'[1]pre processed data'!A:T,20,0)</f>
        <v>data analytics training</v>
      </c>
    </row>
    <row r="1005" spans="1:13" x14ac:dyDescent="0.3">
      <c r="A1005" t="s">
        <v>1018</v>
      </c>
      <c r="B1005" t="s">
        <v>18</v>
      </c>
      <c r="C1005" s="4">
        <f>VLOOKUP(Googleadssales[[#This Row],[Ad_ID]],'[1]pre processed data'!A:C,3,0)</f>
        <v>180</v>
      </c>
      <c r="D1005" s="4">
        <f>VLOOKUP(Googleadssales[[#This Row],[Ad_ID]],'[1]pre processed data'!A:E,5,0)</f>
        <v>4140</v>
      </c>
      <c r="E1005" s="5" t="str">
        <f>VLOOKUP(Googleadssales[[#This Row],[Ad_ID]],[1]!Table3[[Ad_ID]:[Cost-imputed]],7,0)</f>
        <v>$240.76</v>
      </c>
      <c r="F1005" s="4">
        <f>VLOOKUP(Googleadssales[[#This Row],[Ad_ID]],'[1]pre processed data'!A:I,9,0)</f>
        <v>21</v>
      </c>
      <c r="G1005" s="4">
        <f>VLOOKUP(Googleadssales[[#This Row],[Ad_ID]],'[1]pre processed data'!A:K,11,0)</f>
        <v>8</v>
      </c>
      <c r="H1005" s="2">
        <f>Googleadssales[[#This Row],[Conversions]]/Googleadssales[[#This Row],[Clicks]]</f>
        <v>4.4444444444444446E-2</v>
      </c>
      <c r="I1005" t="str">
        <f>VLOOKUP(Googleadssales[[#This Row],[Ad_ID]],'[1]pre processed data'!A:O,15,0)</f>
        <v>$1248</v>
      </c>
      <c r="J1005" s="3">
        <f>VLOOKUP(Googleadssales[[#This Row],[Ad_ID]],'[1]pre processed data'!A:Q,17,0)</f>
        <v>45607</v>
      </c>
      <c r="K1005" t="str">
        <f>VLOOKUP(Googleadssales[[#This Row],[Ad_ID]],'[1]pre processed data'!A:R,18,0)</f>
        <v>Hyderabad</v>
      </c>
      <c r="L1005" t="str">
        <f>VLOOKUP(Googleadssales[[#This Row],[Ad_ID]],'[1]pre processed data'!A:S,19,0)</f>
        <v>Desktop</v>
      </c>
      <c r="M1005" t="str">
        <f>VLOOKUP(Googleadssales[[#This Row],[Ad_ID]],'[1]pre processed data'!A:T,20,0)</f>
        <v>online data analytic</v>
      </c>
    </row>
    <row r="1006" spans="1:13" x14ac:dyDescent="0.3">
      <c r="A1006" t="s">
        <v>1019</v>
      </c>
      <c r="B1006" t="s">
        <v>14</v>
      </c>
      <c r="C1006" s="4">
        <f>VLOOKUP(Googleadssales[[#This Row],[Ad_ID]],'[1]pre processed data'!A:C,3,0)</f>
        <v>88</v>
      </c>
      <c r="D1006" s="4">
        <f>VLOOKUP(Googleadssales[[#This Row],[Ad_ID]],'[1]pre processed data'!A:E,5,0)</f>
        <v>3333</v>
      </c>
      <c r="E1006" s="5" t="str">
        <f>VLOOKUP(Googleadssales[[#This Row],[Ad_ID]],[1]!Table3[[Ad_ID]:[Cost-imputed]],7,0)</f>
        <v>$193.25</v>
      </c>
      <c r="F1006" s="4">
        <f>VLOOKUP(Googleadssales[[#This Row],[Ad_ID]],'[1]pre processed data'!A:I,9,0)</f>
        <v>29</v>
      </c>
      <c r="G1006" s="4">
        <f>VLOOKUP(Googleadssales[[#This Row],[Ad_ID]],'[1]pre processed data'!A:K,11,0)</f>
        <v>3</v>
      </c>
      <c r="H1006" s="2">
        <f>Googleadssales[[#This Row],[Conversions]]/Googleadssales[[#This Row],[Clicks]]</f>
        <v>3.4090909090909088E-2</v>
      </c>
      <c r="I1006" t="str">
        <f>VLOOKUP(Googleadssales[[#This Row],[Ad_ID]],'[1]pre processed data'!A:O,15,0)</f>
        <v>$1398</v>
      </c>
      <c r="J1006" s="3">
        <f>VLOOKUP(Googleadssales[[#This Row],[Ad_ID]],'[1]pre processed data'!A:Q,17,0)</f>
        <v>45610</v>
      </c>
      <c r="K1006" t="str">
        <f>VLOOKUP(Googleadssales[[#This Row],[Ad_ID]],'[1]pre processed data'!A:R,18,0)</f>
        <v>Chennai</v>
      </c>
      <c r="L1006" t="str">
        <f>VLOOKUP(Googleadssales[[#This Row],[Ad_ID]],'[1]pre processed data'!A:S,19,0)</f>
        <v>Tablet</v>
      </c>
      <c r="M1006" t="str">
        <f>VLOOKUP(Googleadssales[[#This Row],[Ad_ID]],'[1]pre processed data'!A:T,20,0)</f>
        <v>data analytics online</v>
      </c>
    </row>
    <row r="1007" spans="1:13" x14ac:dyDescent="0.3">
      <c r="A1007" t="s">
        <v>1020</v>
      </c>
      <c r="B1007" t="s">
        <v>14</v>
      </c>
      <c r="C1007" s="4">
        <f>VLOOKUP(Googleadssales[[#This Row],[Ad_ID]],'[1]pre processed data'!A:C,3,0)</f>
        <v>140</v>
      </c>
      <c r="D1007" s="4">
        <f>VLOOKUP(Googleadssales[[#This Row],[Ad_ID]],'[1]pre processed data'!A:E,5,0)</f>
        <v>3689</v>
      </c>
      <c r="E1007" s="5" t="str">
        <f>VLOOKUP(Googleadssales[[#This Row],[Ad_ID]],[1]!Table3[[Ad_ID]:[Cost-imputed]],7,0)</f>
        <v>$249.33</v>
      </c>
      <c r="F1007" s="4">
        <f>VLOOKUP(Googleadssales[[#This Row],[Ad_ID]],'[1]pre processed data'!A:I,9,0)</f>
        <v>20</v>
      </c>
      <c r="G1007" s="4">
        <f>VLOOKUP(Googleadssales[[#This Row],[Ad_ID]],'[1]pre processed data'!A:K,11,0)</f>
        <v>9</v>
      </c>
      <c r="H1007" s="2">
        <f>Googleadssales[[#This Row],[Conversions]]/Googleadssales[[#This Row],[Clicks]]</f>
        <v>6.4285714285714279E-2</v>
      </c>
      <c r="I1007" t="str">
        <f>VLOOKUP(Googleadssales[[#This Row],[Ad_ID]],'[1]pre processed data'!A:O,15,0)</f>
        <v>$1329</v>
      </c>
      <c r="J1007" s="3">
        <f>VLOOKUP(Googleadssales[[#This Row],[Ad_ID]],'[1]pre processed data'!A:Q,17,0)</f>
        <v>45618</v>
      </c>
      <c r="K1007" t="str">
        <f>VLOOKUP(Googleadssales[[#This Row],[Ad_ID]],'[1]pre processed data'!A:R,18,0)</f>
        <v>Chennai</v>
      </c>
      <c r="L1007" t="str">
        <f>VLOOKUP(Googleadssales[[#This Row],[Ad_ID]],'[1]pre processed data'!A:S,19,0)</f>
        <v>Mobile</v>
      </c>
      <c r="M1007" t="str">
        <f>VLOOKUP(Googleadssales[[#This Row],[Ad_ID]],'[1]pre processed data'!A:T,20,0)</f>
        <v>learn data analytics</v>
      </c>
    </row>
    <row r="1008" spans="1:13" x14ac:dyDescent="0.3">
      <c r="A1008" t="s">
        <v>1021</v>
      </c>
      <c r="B1008" t="s">
        <v>18</v>
      </c>
      <c r="C1008" s="4">
        <f>VLOOKUP(Googleadssales[[#This Row],[Ad_ID]],'[1]pre processed data'!A:C,3,0)</f>
        <v>166</v>
      </c>
      <c r="D1008" s="4">
        <f>VLOOKUP(Googleadssales[[#This Row],[Ad_ID]],'[1]pre processed data'!A:E,5,0)</f>
        <v>4665</v>
      </c>
      <c r="E1008" s="5" t="str">
        <f>VLOOKUP(Googleadssales[[#This Row],[Ad_ID]],[1]!Table3[[Ad_ID]:[Cost-imputed]],7,0)</f>
        <v>$223.95</v>
      </c>
      <c r="F1008" s="4">
        <f>VLOOKUP(Googleadssales[[#This Row],[Ad_ID]],'[1]pre processed data'!A:I,9,0)</f>
        <v>23</v>
      </c>
      <c r="G1008" s="4">
        <f>VLOOKUP(Googleadssales[[#This Row],[Ad_ID]],'[1]pre processed data'!A:K,11,0)</f>
        <v>9</v>
      </c>
      <c r="H1008" s="2">
        <f>Googleadssales[[#This Row],[Conversions]]/Googleadssales[[#This Row],[Clicks]]</f>
        <v>5.4216867469879519E-2</v>
      </c>
      <c r="I1008" t="str">
        <f>VLOOKUP(Googleadssales[[#This Row],[Ad_ID]],'[1]pre processed data'!A:O,15,0)</f>
        <v>$1404</v>
      </c>
      <c r="J1008" s="3">
        <f>VLOOKUP(Googleadssales[[#This Row],[Ad_ID]],'[1]pre processed data'!A:Q,17,0)</f>
        <v>45603</v>
      </c>
      <c r="K1008" t="str">
        <f>VLOOKUP(Googleadssales[[#This Row],[Ad_ID]],'[1]pre processed data'!A:R,18,0)</f>
        <v>Hyderabad</v>
      </c>
      <c r="L1008" t="str">
        <f>VLOOKUP(Googleadssales[[#This Row],[Ad_ID]],'[1]pre processed data'!A:S,19,0)</f>
        <v>Tablet</v>
      </c>
      <c r="M1008" t="str">
        <f>VLOOKUP(Googleadssales[[#This Row],[Ad_ID]],'[1]pre processed data'!A:T,20,0)</f>
        <v>data analytics online</v>
      </c>
    </row>
    <row r="1009" spans="1:13" x14ac:dyDescent="0.3">
      <c r="A1009" t="s">
        <v>1022</v>
      </c>
      <c r="B1009" t="s">
        <v>14</v>
      </c>
      <c r="C1009" s="4">
        <f>VLOOKUP(Googleadssales[[#This Row],[Ad_ID]],'[1]pre processed data'!A:C,3,0)</f>
        <v>185</v>
      </c>
      <c r="D1009" s="4">
        <f>VLOOKUP(Googleadssales[[#This Row],[Ad_ID]],'[1]pre processed data'!A:E,5,0)</f>
        <v>3670</v>
      </c>
      <c r="E1009" s="5" t="str">
        <f>VLOOKUP(Googleadssales[[#This Row],[Ad_ID]],[1]!Table3[[Ad_ID]:[Cost-imputed]],7,0)</f>
        <v>$198.66</v>
      </c>
      <c r="F1009" s="4">
        <f>VLOOKUP(Googleadssales[[#This Row],[Ad_ID]],'[1]pre processed data'!A:I,9,0)</f>
        <v>30</v>
      </c>
      <c r="G1009" s="4">
        <f>VLOOKUP(Googleadssales[[#This Row],[Ad_ID]],'[1]pre processed data'!A:K,11,0)</f>
        <v>4</v>
      </c>
      <c r="H1009" s="2">
        <f>Googleadssales[[#This Row],[Conversions]]/Googleadssales[[#This Row],[Clicks]]</f>
        <v>2.1621621621621623E-2</v>
      </c>
      <c r="I1009" t="str">
        <f>VLOOKUP(Googleadssales[[#This Row],[Ad_ID]],'[1]pre processed data'!A:O,15,0)</f>
        <v>$1440</v>
      </c>
      <c r="J1009" s="3">
        <f>VLOOKUP(Googleadssales[[#This Row],[Ad_ID]],'[1]pre processed data'!A:Q,17,0)</f>
        <v>45609</v>
      </c>
      <c r="K1009" t="str">
        <f>VLOOKUP(Googleadssales[[#This Row],[Ad_ID]],'[1]pre processed data'!A:R,18,0)</f>
        <v>Bangaluru</v>
      </c>
      <c r="L1009" t="str">
        <f>VLOOKUP(Googleadssales[[#This Row],[Ad_ID]],'[1]pre processed data'!A:S,19,0)</f>
        <v>Desktop</v>
      </c>
      <c r="M1009" t="str">
        <f>VLOOKUP(Googleadssales[[#This Row],[Ad_ID]],'[1]pre processed data'!A:T,20,0)</f>
        <v>data analytics training</v>
      </c>
    </row>
    <row r="1010" spans="1:13" x14ac:dyDescent="0.3">
      <c r="A1010" t="s">
        <v>1023</v>
      </c>
      <c r="B1010" t="s">
        <v>14</v>
      </c>
      <c r="C1010" s="4">
        <f>VLOOKUP(Googleadssales[[#This Row],[Ad_ID]],'[1]pre processed data'!A:C,3,0)</f>
        <v>139</v>
      </c>
      <c r="D1010" s="4">
        <f>VLOOKUP(Googleadssales[[#This Row],[Ad_ID]],'[1]pre processed data'!A:E,5,0)</f>
        <v>4036</v>
      </c>
      <c r="E1010" s="5" t="str">
        <f>VLOOKUP(Googleadssales[[#This Row],[Ad_ID]],[1]!Table3[[Ad_ID]:[Cost-imputed]],7,0)</f>
        <v>$242.12</v>
      </c>
      <c r="F1010" s="4">
        <f>VLOOKUP(Googleadssales[[#This Row],[Ad_ID]],'[1]pre processed data'!A:I,9,0)</f>
        <v>25</v>
      </c>
      <c r="G1010" s="4">
        <f>VLOOKUP(Googleadssales[[#This Row],[Ad_ID]],'[1]pre processed data'!A:K,11,0)</f>
        <v>5</v>
      </c>
      <c r="H1010" s="2">
        <f>Googleadssales[[#This Row],[Conversions]]/Googleadssales[[#This Row],[Clicks]]</f>
        <v>3.5971223021582732E-2</v>
      </c>
      <c r="I1010" t="str">
        <f>VLOOKUP(Googleadssales[[#This Row],[Ad_ID]],'[1]pre processed data'!A:O,15,0)</f>
        <v>$1329</v>
      </c>
      <c r="J1010" s="3">
        <f>VLOOKUP(Googleadssales[[#This Row],[Ad_ID]],'[1]pre processed data'!A:Q,17,0)</f>
        <v>45622</v>
      </c>
      <c r="K1010" t="str">
        <f>VLOOKUP(Googleadssales[[#This Row],[Ad_ID]],'[1]pre processed data'!A:R,18,0)</f>
        <v>Chennai</v>
      </c>
      <c r="L1010" t="str">
        <f>VLOOKUP(Googleadssales[[#This Row],[Ad_ID]],'[1]pre processed data'!A:S,19,0)</f>
        <v>Tablet</v>
      </c>
      <c r="M1010" t="str">
        <f>VLOOKUP(Googleadssales[[#This Row],[Ad_ID]],'[1]pre processed data'!A:T,20,0)</f>
        <v>learn data analytics</v>
      </c>
    </row>
    <row r="1011" spans="1:13" x14ac:dyDescent="0.3">
      <c r="A1011" t="s">
        <v>1024</v>
      </c>
      <c r="B1011" t="s">
        <v>14</v>
      </c>
      <c r="C1011" s="4">
        <f>VLOOKUP(Googleadssales[[#This Row],[Ad_ID]],'[1]pre processed data'!A:C,3,0)</f>
        <v>142</v>
      </c>
      <c r="D1011" s="4">
        <f>VLOOKUP(Googleadssales[[#This Row],[Ad_ID]],'[1]pre processed data'!A:E,5,0)</f>
        <v>4497</v>
      </c>
      <c r="E1011" s="5" t="str">
        <f>VLOOKUP(Googleadssales[[#This Row],[Ad_ID]],[1]!Table3[[Ad_ID]:[Cost-imputed]],7,0)</f>
        <v>$198.98</v>
      </c>
      <c r="F1011" s="4">
        <f>VLOOKUP(Googleadssales[[#This Row],[Ad_ID]],'[1]pre processed data'!A:I,9,0)</f>
        <v>27</v>
      </c>
      <c r="G1011" s="4">
        <f>VLOOKUP(Googleadssales[[#This Row],[Ad_ID]],'[1]pre processed data'!A:K,11,0)</f>
        <v>3</v>
      </c>
      <c r="H1011" s="2">
        <f>Googleadssales[[#This Row],[Conversions]]/Googleadssales[[#This Row],[Clicks]]</f>
        <v>2.1126760563380281E-2</v>
      </c>
      <c r="I1011" t="str">
        <f>VLOOKUP(Googleadssales[[#This Row],[Ad_ID]],'[1]pre processed data'!A:O,15,0)</f>
        <v>$1582</v>
      </c>
      <c r="J1011" s="3">
        <f>VLOOKUP(Googleadssales[[#This Row],[Ad_ID]],'[1]pre processed data'!A:Q,17,0)</f>
        <v>45626</v>
      </c>
      <c r="K1011" t="str">
        <f>VLOOKUP(Googleadssales[[#This Row],[Ad_ID]],'[1]pre processed data'!A:R,18,0)</f>
        <v>Hyderabad</v>
      </c>
      <c r="L1011" t="str">
        <f>VLOOKUP(Googleadssales[[#This Row],[Ad_ID]],'[1]pre processed data'!A:S,19,0)</f>
        <v>Tablet</v>
      </c>
      <c r="M1011" t="str">
        <f>VLOOKUP(Googleadssales[[#This Row],[Ad_ID]],'[1]pre processed data'!A:T,20,0)</f>
        <v>analytics for data</v>
      </c>
    </row>
    <row r="1012" spans="1:13" x14ac:dyDescent="0.3">
      <c r="A1012" t="s">
        <v>1025</v>
      </c>
      <c r="B1012" t="s">
        <v>18</v>
      </c>
      <c r="C1012" s="4">
        <f>VLOOKUP(Googleadssales[[#This Row],[Ad_ID]],'[1]pre processed data'!A:C,3,0)</f>
        <v>173</v>
      </c>
      <c r="D1012" s="4">
        <f>VLOOKUP(Googleadssales[[#This Row],[Ad_ID]],'[1]pre processed data'!A:E,5,0)</f>
        <v>3705</v>
      </c>
      <c r="E1012" s="5" t="str">
        <f>VLOOKUP(Googleadssales[[#This Row],[Ad_ID]],[1]!Table3[[Ad_ID]:[Cost-imputed]],7,0)</f>
        <v>$197.01</v>
      </c>
      <c r="F1012" s="4">
        <f>VLOOKUP(Googleadssales[[#This Row],[Ad_ID]],'[1]pre processed data'!A:I,9,0)</f>
        <v>20</v>
      </c>
      <c r="G1012" s="4">
        <f>VLOOKUP(Googleadssales[[#This Row],[Ad_ID]],'[1]pre processed data'!A:K,11,0)</f>
        <v>10</v>
      </c>
      <c r="H1012" s="2">
        <f>Googleadssales[[#This Row],[Conversions]]/Googleadssales[[#This Row],[Clicks]]</f>
        <v>5.7803468208092484E-2</v>
      </c>
      <c r="I1012" t="str">
        <f>VLOOKUP(Googleadssales[[#This Row],[Ad_ID]],'[1]pre processed data'!A:O,15,0)</f>
        <v>$1010</v>
      </c>
      <c r="J1012" s="3">
        <f>VLOOKUP(Googleadssales[[#This Row],[Ad_ID]],'[1]pre processed data'!A:Q,17,0)</f>
        <v>45622</v>
      </c>
      <c r="K1012" t="str">
        <f>VLOOKUP(Googleadssales[[#This Row],[Ad_ID]],'[1]pre processed data'!A:R,18,0)</f>
        <v>Chennai</v>
      </c>
      <c r="L1012" t="str">
        <f>VLOOKUP(Googleadssales[[#This Row],[Ad_ID]],'[1]pre processed data'!A:S,19,0)</f>
        <v>Desktop</v>
      </c>
      <c r="M1012" t="str">
        <f>VLOOKUP(Googleadssales[[#This Row],[Ad_ID]],'[1]pre processed data'!A:T,20,0)</f>
        <v>data analytics training</v>
      </c>
    </row>
    <row r="1013" spans="1:13" x14ac:dyDescent="0.3">
      <c r="A1013" t="s">
        <v>1026</v>
      </c>
      <c r="B1013" t="s">
        <v>18</v>
      </c>
      <c r="C1013" s="4">
        <f>VLOOKUP(Googleadssales[[#This Row],[Ad_ID]],'[1]pre processed data'!A:C,3,0)</f>
        <v>138.95699356913184</v>
      </c>
      <c r="D1013" s="4">
        <f>VLOOKUP(Googleadssales[[#This Row],[Ad_ID]],'[1]pre processed data'!A:E,5,0)</f>
        <v>5849</v>
      </c>
      <c r="E1013" s="5" t="str">
        <f>VLOOKUP(Googleadssales[[#This Row],[Ad_ID]],[1]!Table3[[Ad_ID]:[Cost-imputed]],7,0)</f>
        <v>$200.00</v>
      </c>
      <c r="F1013" s="4">
        <f>VLOOKUP(Googleadssales[[#This Row],[Ad_ID]],'[1]pre processed data'!A:I,9,0)</f>
        <v>27</v>
      </c>
      <c r="G1013" s="4">
        <f>VLOOKUP(Googleadssales[[#This Row],[Ad_ID]],'[1]pre processed data'!A:K,11,0)</f>
        <v>3</v>
      </c>
      <c r="H1013" s="2">
        <f>Googleadssales[[#This Row],[Conversions]]/Googleadssales[[#This Row],[Clicks]]</f>
        <v>2.1589413551232915E-2</v>
      </c>
      <c r="I1013" t="str">
        <f>VLOOKUP(Googleadssales[[#This Row],[Ad_ID]],'[1]pre processed data'!A:O,15,0)</f>
        <v>$1146</v>
      </c>
      <c r="J1013" s="3">
        <f>VLOOKUP(Googleadssales[[#This Row],[Ad_ID]],'[1]pre processed data'!A:Q,17,0)</f>
        <v>45621</v>
      </c>
      <c r="K1013" t="str">
        <f>VLOOKUP(Googleadssales[[#This Row],[Ad_ID]],'[1]pre processed data'!A:R,18,0)</f>
        <v>Chennai</v>
      </c>
      <c r="L1013" t="str">
        <f>VLOOKUP(Googleadssales[[#This Row],[Ad_ID]],'[1]pre processed data'!A:S,19,0)</f>
        <v>Tablet</v>
      </c>
      <c r="M1013" t="str">
        <f>VLOOKUP(Googleadssales[[#This Row],[Ad_ID]],'[1]pre processed data'!A:T,20,0)</f>
        <v>learn data analytics</v>
      </c>
    </row>
    <row r="1014" spans="1:13" x14ac:dyDescent="0.3">
      <c r="A1014" t="s">
        <v>1027</v>
      </c>
      <c r="B1014" t="s">
        <v>14</v>
      </c>
      <c r="C1014" s="4">
        <f>VLOOKUP(Googleadssales[[#This Row],[Ad_ID]],'[1]pre processed data'!A:C,3,0)</f>
        <v>153</v>
      </c>
      <c r="D1014" s="4">
        <f>VLOOKUP(Googleadssales[[#This Row],[Ad_ID]],'[1]pre processed data'!A:E,5,0)</f>
        <v>5283</v>
      </c>
      <c r="E1014" s="5" t="str">
        <f>VLOOKUP(Googleadssales[[#This Row],[Ad_ID]],[1]!Table3[[Ad_ID]:[Cost-imputed]],7,0)</f>
        <v>$205.72</v>
      </c>
      <c r="F1014" s="4">
        <f>VLOOKUP(Googleadssales[[#This Row],[Ad_ID]],'[1]pre processed data'!A:I,9,0)</f>
        <v>24</v>
      </c>
      <c r="G1014" s="4">
        <f>VLOOKUP(Googleadssales[[#This Row],[Ad_ID]],'[1]pre processed data'!A:K,11,0)</f>
        <v>3</v>
      </c>
      <c r="H1014" s="2">
        <f>Googleadssales[[#This Row],[Conversions]]/Googleadssales[[#This Row],[Clicks]]</f>
        <v>1.9607843137254902E-2</v>
      </c>
      <c r="I1014" t="str">
        <f>VLOOKUP(Googleadssales[[#This Row],[Ad_ID]],'[1]pre processed data'!A:O,15,0)</f>
        <v>$1591</v>
      </c>
      <c r="J1014" s="3">
        <f>VLOOKUP(Googleadssales[[#This Row],[Ad_ID]],'[1]pre processed data'!A:Q,17,0)</f>
        <v>45606</v>
      </c>
      <c r="K1014" t="str">
        <f>VLOOKUP(Googleadssales[[#This Row],[Ad_ID]],'[1]pre processed data'!A:R,18,0)</f>
        <v>Hyderabad</v>
      </c>
      <c r="L1014" t="str">
        <f>VLOOKUP(Googleadssales[[#This Row],[Ad_ID]],'[1]pre processed data'!A:S,19,0)</f>
        <v>Desktop</v>
      </c>
      <c r="M1014" t="str">
        <f>VLOOKUP(Googleadssales[[#This Row],[Ad_ID]],'[1]pre processed data'!A:T,20,0)</f>
        <v>learn data analytics</v>
      </c>
    </row>
    <row r="1015" spans="1:13" x14ac:dyDescent="0.3">
      <c r="A1015" t="s">
        <v>1028</v>
      </c>
      <c r="B1015" t="s">
        <v>14</v>
      </c>
      <c r="C1015" s="4">
        <f>VLOOKUP(Googleadssales[[#This Row],[Ad_ID]],'[1]pre processed data'!A:C,3,0)</f>
        <v>104</v>
      </c>
      <c r="D1015" s="4">
        <f>VLOOKUP(Googleadssales[[#This Row],[Ad_ID]],'[1]pre processed data'!A:E,5,0)</f>
        <v>5203</v>
      </c>
      <c r="E1015" s="5" t="str">
        <f>VLOOKUP(Googleadssales[[#This Row],[Ad_ID]],[1]!Table3[[Ad_ID]:[Cost-imputed]],7,0)</f>
        <v>$241.15</v>
      </c>
      <c r="F1015" s="4">
        <f>VLOOKUP(Googleadssales[[#This Row],[Ad_ID]],'[1]pre processed data'!A:I,9,0)</f>
        <v>17</v>
      </c>
      <c r="G1015" s="4">
        <f>VLOOKUP(Googleadssales[[#This Row],[Ad_ID]],'[1]pre processed data'!A:K,11,0)</f>
        <v>6</v>
      </c>
      <c r="H1015" s="2">
        <f>Googleadssales[[#This Row],[Conversions]]/Googleadssales[[#This Row],[Clicks]]</f>
        <v>5.7692307692307696E-2</v>
      </c>
      <c r="I1015" t="str">
        <f>VLOOKUP(Googleadssales[[#This Row],[Ad_ID]],'[1]pre processed data'!A:O,15,0)</f>
        <v>$1164</v>
      </c>
      <c r="J1015" s="3">
        <f>VLOOKUP(Googleadssales[[#This Row],[Ad_ID]],'[1]pre processed data'!A:Q,17,0)</f>
        <v>45624</v>
      </c>
      <c r="K1015" t="str">
        <f>VLOOKUP(Googleadssales[[#This Row],[Ad_ID]],'[1]pre processed data'!A:R,18,0)</f>
        <v>Chennai</v>
      </c>
      <c r="L1015" t="str">
        <f>VLOOKUP(Googleadssales[[#This Row],[Ad_ID]],'[1]pre processed data'!A:S,19,0)</f>
        <v>Mobile</v>
      </c>
      <c r="M1015" t="str">
        <f>VLOOKUP(Googleadssales[[#This Row],[Ad_ID]],'[1]pre processed data'!A:T,20,0)</f>
        <v>data analytics online</v>
      </c>
    </row>
    <row r="1016" spans="1:13" x14ac:dyDescent="0.3">
      <c r="A1016" t="s">
        <v>1029</v>
      </c>
      <c r="B1016" t="s">
        <v>18</v>
      </c>
      <c r="C1016" s="4">
        <f>VLOOKUP(Googleadssales[[#This Row],[Ad_ID]],'[1]pre processed data'!A:C,3,0)</f>
        <v>120</v>
      </c>
      <c r="D1016" s="4">
        <f>VLOOKUP(Googleadssales[[#This Row],[Ad_ID]],'[1]pre processed data'!A:E,5,0)</f>
        <v>4243</v>
      </c>
      <c r="E1016" s="5" t="str">
        <f>VLOOKUP(Googleadssales[[#This Row],[Ad_ID]],[1]!Table3[[Ad_ID]:[Cost-imputed]],7,0)</f>
        <v>$198.49</v>
      </c>
      <c r="F1016" s="4">
        <f>VLOOKUP(Googleadssales[[#This Row],[Ad_ID]],'[1]pre processed data'!A:I,9,0)</f>
        <v>15</v>
      </c>
      <c r="G1016" s="4">
        <f>VLOOKUP(Googleadssales[[#This Row],[Ad_ID]],'[1]pre processed data'!A:K,11,0)</f>
        <v>10</v>
      </c>
      <c r="H1016" s="2">
        <f>Googleadssales[[#This Row],[Conversions]]/Googleadssales[[#This Row],[Clicks]]</f>
        <v>8.3333333333333329E-2</v>
      </c>
      <c r="I1016" t="str">
        <f>VLOOKUP(Googleadssales[[#This Row],[Ad_ID]],'[1]pre processed data'!A:O,15,0)</f>
        <v>$1891</v>
      </c>
      <c r="J1016" s="3">
        <f>VLOOKUP(Googleadssales[[#This Row],[Ad_ID]],'[1]pre processed data'!A:Q,17,0)</f>
        <v>45623</v>
      </c>
      <c r="K1016" t="str">
        <f>VLOOKUP(Googleadssales[[#This Row],[Ad_ID]],'[1]pre processed data'!A:R,18,0)</f>
        <v>Hyderabad</v>
      </c>
      <c r="L1016" t="str">
        <f>VLOOKUP(Googleadssales[[#This Row],[Ad_ID]],'[1]pre processed data'!A:S,19,0)</f>
        <v>Desktop</v>
      </c>
      <c r="M1016" t="str">
        <f>VLOOKUP(Googleadssales[[#This Row],[Ad_ID]],'[1]pre processed data'!A:T,20,0)</f>
        <v>data analytics training</v>
      </c>
    </row>
    <row r="1017" spans="1:13" x14ac:dyDescent="0.3">
      <c r="A1017" t="s">
        <v>1030</v>
      </c>
      <c r="B1017" t="s">
        <v>14</v>
      </c>
      <c r="C1017" s="4">
        <f>VLOOKUP(Googleadssales[[#This Row],[Ad_ID]],'[1]pre processed data'!A:C,3,0)</f>
        <v>100</v>
      </c>
      <c r="D1017" s="4">
        <f>VLOOKUP(Googleadssales[[#This Row],[Ad_ID]],'[1]pre processed data'!A:E,5,0)</f>
        <v>3716</v>
      </c>
      <c r="E1017" s="5" t="str">
        <f>VLOOKUP(Googleadssales[[#This Row],[Ad_ID]],[1]!Table3[[Ad_ID]:[Cost-imputed]],7,0)</f>
        <v>$247.95</v>
      </c>
      <c r="F1017" s="4">
        <f>VLOOKUP(Googleadssales[[#This Row],[Ad_ID]],'[1]pre processed data'!A:I,9,0)</f>
        <v>23</v>
      </c>
      <c r="G1017" s="4">
        <f>VLOOKUP(Googleadssales[[#This Row],[Ad_ID]],'[1]pre processed data'!A:K,11,0)</f>
        <v>8</v>
      </c>
      <c r="H1017" s="2">
        <f>Googleadssales[[#This Row],[Conversions]]/Googleadssales[[#This Row],[Clicks]]</f>
        <v>0.08</v>
      </c>
      <c r="I1017" t="str">
        <f>VLOOKUP(Googleadssales[[#This Row],[Ad_ID]],'[1]pre processed data'!A:O,15,0)</f>
        <v>$1924</v>
      </c>
      <c r="J1017" s="3">
        <f>VLOOKUP(Googleadssales[[#This Row],[Ad_ID]],'[1]pre processed data'!A:Q,17,0)</f>
        <v>45610</v>
      </c>
      <c r="K1017" t="str">
        <f>VLOOKUP(Googleadssales[[#This Row],[Ad_ID]],'[1]pre processed data'!A:R,18,0)</f>
        <v>Hyderabad</v>
      </c>
      <c r="L1017" t="str">
        <f>VLOOKUP(Googleadssales[[#This Row],[Ad_ID]],'[1]pre processed data'!A:S,19,0)</f>
        <v>Mobile</v>
      </c>
      <c r="M1017" t="str">
        <f>VLOOKUP(Googleadssales[[#This Row],[Ad_ID]],'[1]pre processed data'!A:T,20,0)</f>
        <v>learn data analytics</v>
      </c>
    </row>
    <row r="1018" spans="1:13" x14ac:dyDescent="0.3">
      <c r="A1018" t="s">
        <v>1031</v>
      </c>
      <c r="B1018" t="s">
        <v>18</v>
      </c>
      <c r="C1018" s="4">
        <f>VLOOKUP(Googleadssales[[#This Row],[Ad_ID]],'[1]pre processed data'!A:C,3,0)</f>
        <v>106</v>
      </c>
      <c r="D1018" s="4">
        <f>VLOOKUP(Googleadssales[[#This Row],[Ad_ID]],'[1]pre processed data'!A:E,5,0)</f>
        <v>3646</v>
      </c>
      <c r="E1018" s="5" t="str">
        <f>VLOOKUP(Googleadssales[[#This Row],[Ad_ID]],[1]!Table3[[Ad_ID]:[Cost-imputed]],7,0)</f>
        <v>$237.89</v>
      </c>
      <c r="F1018" s="4">
        <f>VLOOKUP(Googleadssales[[#This Row],[Ad_ID]],'[1]pre processed data'!A:I,9,0)</f>
        <v>28</v>
      </c>
      <c r="G1018" s="4">
        <f>VLOOKUP(Googleadssales[[#This Row],[Ad_ID]],'[1]pre processed data'!A:K,11,0)</f>
        <v>7</v>
      </c>
      <c r="H1018" s="2">
        <f>Googleadssales[[#This Row],[Conversions]]/Googleadssales[[#This Row],[Clicks]]</f>
        <v>6.6037735849056603E-2</v>
      </c>
      <c r="I1018" t="str">
        <f>VLOOKUP(Googleadssales[[#This Row],[Ad_ID]],'[1]pre processed data'!A:O,15,0)</f>
        <v>$1564</v>
      </c>
      <c r="J1018" s="3">
        <f>VLOOKUP(Googleadssales[[#This Row],[Ad_ID]],'[1]pre processed data'!A:Q,17,0)</f>
        <v>45598</v>
      </c>
      <c r="K1018" t="str">
        <f>VLOOKUP(Googleadssales[[#This Row],[Ad_ID]],'[1]pre processed data'!A:R,18,0)</f>
        <v>Bangaluru</v>
      </c>
      <c r="L1018" t="str">
        <f>VLOOKUP(Googleadssales[[#This Row],[Ad_ID]],'[1]pre processed data'!A:S,19,0)</f>
        <v>Mobile</v>
      </c>
      <c r="M1018" t="str">
        <f>VLOOKUP(Googleadssales[[#This Row],[Ad_ID]],'[1]pre processed data'!A:T,20,0)</f>
        <v>analytics for data</v>
      </c>
    </row>
    <row r="1019" spans="1:13" x14ac:dyDescent="0.3">
      <c r="A1019" t="s">
        <v>1032</v>
      </c>
      <c r="B1019" t="s">
        <v>18</v>
      </c>
      <c r="C1019" s="4">
        <f>VLOOKUP(Googleadssales[[#This Row],[Ad_ID]],'[1]pre processed data'!A:C,3,0)</f>
        <v>136</v>
      </c>
      <c r="D1019" s="4">
        <f>VLOOKUP(Googleadssales[[#This Row],[Ad_ID]],'[1]pre processed data'!A:E,5,0)</f>
        <v>4101</v>
      </c>
      <c r="E1019" s="5" t="str">
        <f>VLOOKUP(Googleadssales[[#This Row],[Ad_ID]],[1]!Table3[[Ad_ID]:[Cost-imputed]],7,0)</f>
        <v>$227.43</v>
      </c>
      <c r="F1019" s="4">
        <f>VLOOKUP(Googleadssales[[#This Row],[Ad_ID]],'[1]pre processed data'!A:I,9,0)</f>
        <v>28</v>
      </c>
      <c r="G1019" s="4">
        <f>VLOOKUP(Googleadssales[[#This Row],[Ad_ID]],'[1]pre processed data'!A:K,11,0)</f>
        <v>9</v>
      </c>
      <c r="H1019" s="2">
        <f>Googleadssales[[#This Row],[Conversions]]/Googleadssales[[#This Row],[Clicks]]</f>
        <v>6.6176470588235295E-2</v>
      </c>
      <c r="I1019" t="str">
        <f>VLOOKUP(Googleadssales[[#This Row],[Ad_ID]],'[1]pre processed data'!A:O,15,0)</f>
        <v>$1284</v>
      </c>
      <c r="J1019" s="3">
        <f>VLOOKUP(Googleadssales[[#This Row],[Ad_ID]],'[1]pre processed data'!A:Q,17,0)</f>
        <v>45615</v>
      </c>
      <c r="K1019" t="str">
        <f>VLOOKUP(Googleadssales[[#This Row],[Ad_ID]],'[1]pre processed data'!A:R,18,0)</f>
        <v>Hyderabad</v>
      </c>
      <c r="L1019" t="str">
        <f>VLOOKUP(Googleadssales[[#This Row],[Ad_ID]],'[1]pre processed data'!A:S,19,0)</f>
        <v>Tablet</v>
      </c>
      <c r="M1019" t="str">
        <f>VLOOKUP(Googleadssales[[#This Row],[Ad_ID]],'[1]pre processed data'!A:T,20,0)</f>
        <v>learn data analytics</v>
      </c>
    </row>
    <row r="1020" spans="1:13" x14ac:dyDescent="0.3">
      <c r="A1020" t="s">
        <v>1033</v>
      </c>
      <c r="B1020" t="s">
        <v>18</v>
      </c>
      <c r="C1020" s="4">
        <f>VLOOKUP(Googleadssales[[#This Row],[Ad_ID]],'[1]pre processed data'!A:C,3,0)</f>
        <v>121</v>
      </c>
      <c r="D1020" s="4">
        <f>VLOOKUP(Googleadssales[[#This Row],[Ad_ID]],'[1]pre processed data'!A:E,5,0)</f>
        <v>3366</v>
      </c>
      <c r="E1020" s="5" t="str">
        <f>VLOOKUP(Googleadssales[[#This Row],[Ad_ID]],[1]!Table3[[Ad_ID]:[Cost-imputed]],7,0)</f>
        <v>$246.56</v>
      </c>
      <c r="F1020" s="4">
        <f>VLOOKUP(Googleadssales[[#This Row],[Ad_ID]],'[1]pre processed data'!A:I,9,0)</f>
        <v>25</v>
      </c>
      <c r="G1020" s="4">
        <f>VLOOKUP(Googleadssales[[#This Row],[Ad_ID]],'[1]pre processed data'!A:K,11,0)</f>
        <v>6.4846304774362329</v>
      </c>
      <c r="H1020" s="2">
        <f>Googleadssales[[#This Row],[Conversions]]/Googleadssales[[#This Row],[Clicks]]</f>
        <v>5.3591987416828371E-2</v>
      </c>
      <c r="I1020" t="str">
        <f>VLOOKUP(Googleadssales[[#This Row],[Ad_ID]],'[1]pre processed data'!A:O,15,0)</f>
        <v>$1170</v>
      </c>
      <c r="J1020" s="3">
        <f>VLOOKUP(Googleadssales[[#This Row],[Ad_ID]],'[1]pre processed data'!A:Q,17,0)</f>
        <v>45598</v>
      </c>
      <c r="K1020" t="str">
        <f>VLOOKUP(Googleadssales[[#This Row],[Ad_ID]],'[1]pre processed data'!A:R,18,0)</f>
        <v>Hyderabad</v>
      </c>
      <c r="L1020" t="str">
        <f>VLOOKUP(Googleadssales[[#This Row],[Ad_ID]],'[1]pre processed data'!A:S,19,0)</f>
        <v>Desktop</v>
      </c>
      <c r="M1020" t="str">
        <f>VLOOKUP(Googleadssales[[#This Row],[Ad_ID]],'[1]pre processed data'!A:T,20,0)</f>
        <v>online data analytic</v>
      </c>
    </row>
    <row r="1021" spans="1:13" x14ac:dyDescent="0.3">
      <c r="A1021" t="s">
        <v>1034</v>
      </c>
      <c r="B1021" t="s">
        <v>18</v>
      </c>
      <c r="C1021" s="4">
        <f>VLOOKUP(Googleadssales[[#This Row],[Ad_ID]],'[1]pre processed data'!A:C,3,0)</f>
        <v>153</v>
      </c>
      <c r="D1021" s="4">
        <f>VLOOKUP(Googleadssales[[#This Row],[Ad_ID]],'[1]pre processed data'!A:E,5,0)</f>
        <v>3381</v>
      </c>
      <c r="E1021" s="5" t="str">
        <f>VLOOKUP(Googleadssales[[#This Row],[Ad_ID]],[1]!Table3[[Ad_ID]:[Cost-imputed]],7,0)</f>
        <v>$231.35</v>
      </c>
      <c r="F1021" s="4">
        <f>VLOOKUP(Googleadssales[[#This Row],[Ad_ID]],'[1]pre processed data'!A:I,9,0)</f>
        <v>29</v>
      </c>
      <c r="G1021" s="4">
        <f>VLOOKUP(Googleadssales[[#This Row],[Ad_ID]],'[1]pre processed data'!A:K,11,0)</f>
        <v>5</v>
      </c>
      <c r="H1021" s="2">
        <f>Googleadssales[[#This Row],[Conversions]]/Googleadssales[[#This Row],[Clicks]]</f>
        <v>3.2679738562091505E-2</v>
      </c>
      <c r="I1021" t="str">
        <f>VLOOKUP(Googleadssales[[#This Row],[Ad_ID]],'[1]pre processed data'!A:O,15,0)</f>
        <v>$1769</v>
      </c>
      <c r="J1021" s="3">
        <f>VLOOKUP(Googleadssales[[#This Row],[Ad_ID]],'[1]pre processed data'!A:Q,17,0)</f>
        <v>45624</v>
      </c>
      <c r="K1021" t="str">
        <f>VLOOKUP(Googleadssales[[#This Row],[Ad_ID]],'[1]pre processed data'!A:R,18,0)</f>
        <v>Hyderabad</v>
      </c>
      <c r="L1021" t="str">
        <f>VLOOKUP(Googleadssales[[#This Row],[Ad_ID]],'[1]pre processed data'!A:S,19,0)</f>
        <v>Tablet</v>
      </c>
      <c r="M1021" t="str">
        <f>VLOOKUP(Googleadssales[[#This Row],[Ad_ID]],'[1]pre processed data'!A:T,20,0)</f>
        <v>data analytics course</v>
      </c>
    </row>
    <row r="1022" spans="1:13" x14ac:dyDescent="0.3">
      <c r="A1022" t="s">
        <v>1035</v>
      </c>
      <c r="B1022" t="s">
        <v>14</v>
      </c>
      <c r="C1022" s="4">
        <f>VLOOKUP(Googleadssales[[#This Row],[Ad_ID]],'[1]pre processed data'!A:C,3,0)</f>
        <v>111</v>
      </c>
      <c r="D1022" s="4">
        <f>VLOOKUP(Googleadssales[[#This Row],[Ad_ID]],'[1]pre processed data'!A:E,5,0)</f>
        <v>5003</v>
      </c>
      <c r="E1022" s="5" t="str">
        <f>VLOOKUP(Googleadssales[[#This Row],[Ad_ID]],[1]!Table3[[Ad_ID]:[Cost-imputed]],7,0)</f>
        <v>$213.34</v>
      </c>
      <c r="F1022" s="4">
        <f>VLOOKUP(Googleadssales[[#This Row],[Ad_ID]],'[1]pre processed data'!A:I,9,0)</f>
        <v>29</v>
      </c>
      <c r="G1022" s="4">
        <f>VLOOKUP(Googleadssales[[#This Row],[Ad_ID]],'[1]pre processed data'!A:K,11,0)</f>
        <v>3</v>
      </c>
      <c r="H1022" s="2">
        <f>Googleadssales[[#This Row],[Conversions]]/Googleadssales[[#This Row],[Clicks]]</f>
        <v>2.7027027027027029E-2</v>
      </c>
      <c r="I1022" t="str">
        <f>VLOOKUP(Googleadssales[[#This Row],[Ad_ID]],'[1]pre processed data'!A:O,15,0)</f>
        <v>$1938</v>
      </c>
      <c r="J1022" s="3">
        <f>VLOOKUP(Googleadssales[[#This Row],[Ad_ID]],'[1]pre processed data'!A:Q,17,0)</f>
        <v>45621</v>
      </c>
      <c r="K1022" t="str">
        <f>VLOOKUP(Googleadssales[[#This Row],[Ad_ID]],'[1]pre processed data'!A:R,18,0)</f>
        <v>Chennai</v>
      </c>
      <c r="L1022" t="str">
        <f>VLOOKUP(Googleadssales[[#This Row],[Ad_ID]],'[1]pre processed data'!A:S,19,0)</f>
        <v>Tablet</v>
      </c>
      <c r="M1022" t="str">
        <f>VLOOKUP(Googleadssales[[#This Row],[Ad_ID]],'[1]pre processed data'!A:T,20,0)</f>
        <v>analytics for data</v>
      </c>
    </row>
    <row r="1023" spans="1:13" x14ac:dyDescent="0.3">
      <c r="A1023" t="s">
        <v>1036</v>
      </c>
      <c r="B1023" t="s">
        <v>14</v>
      </c>
      <c r="C1023" s="4">
        <f>VLOOKUP(Googleadssales[[#This Row],[Ad_ID]],'[1]pre processed data'!A:C,3,0)</f>
        <v>156</v>
      </c>
      <c r="D1023" s="4">
        <f>VLOOKUP(Googleadssales[[#This Row],[Ad_ID]],'[1]pre processed data'!A:E,5,0)</f>
        <v>5415</v>
      </c>
      <c r="E1023" s="5" t="str">
        <f>VLOOKUP(Googleadssales[[#This Row],[Ad_ID]],[1]!Table3[[Ad_ID]:[Cost-imputed]],7,0)</f>
        <v>$198.27</v>
      </c>
      <c r="F1023" s="4">
        <f>VLOOKUP(Googleadssales[[#This Row],[Ad_ID]],'[1]pre processed data'!A:I,9,0)</f>
        <v>29</v>
      </c>
      <c r="G1023" s="4">
        <f>VLOOKUP(Googleadssales[[#This Row],[Ad_ID]],'[1]pre processed data'!A:K,11,0)</f>
        <v>7</v>
      </c>
      <c r="H1023" s="2">
        <f>Googleadssales[[#This Row],[Conversions]]/Googleadssales[[#This Row],[Clicks]]</f>
        <v>4.4871794871794872E-2</v>
      </c>
      <c r="I1023" t="str">
        <f>VLOOKUP(Googleadssales[[#This Row],[Ad_ID]],'[1]pre processed data'!A:O,15,0)</f>
        <v>$1918</v>
      </c>
      <c r="J1023" s="3">
        <f>VLOOKUP(Googleadssales[[#This Row],[Ad_ID]],'[1]pre processed data'!A:Q,17,0)</f>
        <v>45613</v>
      </c>
      <c r="K1023" t="str">
        <f>VLOOKUP(Googleadssales[[#This Row],[Ad_ID]],'[1]pre processed data'!A:R,18,0)</f>
        <v>Bangaluru</v>
      </c>
      <c r="L1023" t="str">
        <f>VLOOKUP(Googleadssales[[#This Row],[Ad_ID]],'[1]pre processed data'!A:S,19,0)</f>
        <v>Desktop</v>
      </c>
      <c r="M1023" t="str">
        <f>VLOOKUP(Googleadssales[[#This Row],[Ad_ID]],'[1]pre processed data'!A:T,20,0)</f>
        <v>data analytics training</v>
      </c>
    </row>
    <row r="1024" spans="1:13" x14ac:dyDescent="0.3">
      <c r="A1024" t="s">
        <v>1037</v>
      </c>
      <c r="B1024" t="s">
        <v>14</v>
      </c>
      <c r="C1024" s="4">
        <f>VLOOKUP(Googleadssales[[#This Row],[Ad_ID]],'[1]pre processed data'!A:C,3,0)</f>
        <v>137</v>
      </c>
      <c r="D1024" s="4">
        <f>VLOOKUP(Googleadssales[[#This Row],[Ad_ID]],'[1]pre processed data'!A:E,5,0)</f>
        <v>3838</v>
      </c>
      <c r="E1024" s="5" t="str">
        <f>VLOOKUP(Googleadssales[[#This Row],[Ad_ID]],[1]!Table3[[Ad_ID]:[Cost-imputed]],7,0)</f>
        <v>$226.92</v>
      </c>
      <c r="F1024" s="4">
        <f>VLOOKUP(Googleadssales[[#This Row],[Ad_ID]],'[1]pre processed data'!A:I,9,0)</f>
        <v>18</v>
      </c>
      <c r="G1024" s="4">
        <f>VLOOKUP(Googleadssales[[#This Row],[Ad_ID]],'[1]pre processed data'!A:K,11,0)</f>
        <v>6</v>
      </c>
      <c r="H1024" s="2">
        <f>Googleadssales[[#This Row],[Conversions]]/Googleadssales[[#This Row],[Clicks]]</f>
        <v>4.3795620437956206E-2</v>
      </c>
      <c r="I1024" t="str">
        <f>VLOOKUP(Googleadssales[[#This Row],[Ad_ID]],'[1]pre processed data'!A:O,15,0)</f>
        <v>$1500</v>
      </c>
      <c r="J1024" s="3">
        <f>VLOOKUP(Googleadssales[[#This Row],[Ad_ID]],'[1]pre processed data'!A:Q,17,0)</f>
        <v>45623</v>
      </c>
      <c r="K1024" t="str">
        <f>VLOOKUP(Googleadssales[[#This Row],[Ad_ID]],'[1]pre processed data'!A:R,18,0)</f>
        <v>Chennai</v>
      </c>
      <c r="L1024" t="str">
        <f>VLOOKUP(Googleadssales[[#This Row],[Ad_ID]],'[1]pre processed data'!A:S,19,0)</f>
        <v>Tablet</v>
      </c>
      <c r="M1024" t="str">
        <f>VLOOKUP(Googleadssales[[#This Row],[Ad_ID]],'[1]pre processed data'!A:T,20,0)</f>
        <v>analytics for data</v>
      </c>
    </row>
    <row r="1025" spans="1:13" x14ac:dyDescent="0.3">
      <c r="A1025" t="s">
        <v>1038</v>
      </c>
      <c r="B1025" t="s">
        <v>18</v>
      </c>
      <c r="C1025" s="4">
        <f>VLOOKUP(Googleadssales[[#This Row],[Ad_ID]],'[1]pre processed data'!A:C,3,0)</f>
        <v>138</v>
      </c>
      <c r="D1025" s="4">
        <f>VLOOKUP(Googleadssales[[#This Row],[Ad_ID]],'[1]pre processed data'!A:E,5,0)</f>
        <v>3002</v>
      </c>
      <c r="E1025" s="5" t="str">
        <f>VLOOKUP(Googleadssales[[#This Row],[Ad_ID]],[1]!Table3[[Ad_ID]:[Cost-imputed]],7,0)</f>
        <v>$246.3</v>
      </c>
      <c r="F1025" s="4">
        <f>VLOOKUP(Googleadssales[[#This Row],[Ad_ID]],'[1]pre processed data'!A:I,9,0)</f>
        <v>24</v>
      </c>
      <c r="G1025" s="4">
        <f>VLOOKUP(Googleadssales[[#This Row],[Ad_ID]],'[1]pre processed data'!A:K,11,0)</f>
        <v>6.487868852459016</v>
      </c>
      <c r="H1025" s="2">
        <f>Googleadssales[[#This Row],[Conversions]]/Googleadssales[[#This Row],[Clicks]]</f>
        <v>4.7013542409123303E-2</v>
      </c>
      <c r="I1025" t="str">
        <f>VLOOKUP(Googleadssales[[#This Row],[Ad_ID]],'[1]pre processed data'!A:O,15,0)</f>
        <v>$1530</v>
      </c>
      <c r="J1025" s="3">
        <f>VLOOKUP(Googleadssales[[#This Row],[Ad_ID]],'[1]pre processed data'!A:Q,17,0)</f>
        <v>45597</v>
      </c>
      <c r="K1025" t="str">
        <f>VLOOKUP(Googleadssales[[#This Row],[Ad_ID]],'[1]pre processed data'!A:R,18,0)</f>
        <v>Hyderabad</v>
      </c>
      <c r="L1025" t="str">
        <f>VLOOKUP(Googleadssales[[#This Row],[Ad_ID]],'[1]pre processed data'!A:S,19,0)</f>
        <v>Tablet</v>
      </c>
      <c r="M1025" t="str">
        <f>VLOOKUP(Googleadssales[[#This Row],[Ad_ID]],'[1]pre processed data'!A:T,20,0)</f>
        <v>learn data analytics</v>
      </c>
    </row>
    <row r="1026" spans="1:13" x14ac:dyDescent="0.3">
      <c r="A1026" t="s">
        <v>1039</v>
      </c>
      <c r="B1026" t="s">
        <v>14</v>
      </c>
      <c r="C1026" s="4">
        <f>VLOOKUP(Googleadssales[[#This Row],[Ad_ID]],'[1]pre processed data'!A:C,3,0)</f>
        <v>96</v>
      </c>
      <c r="D1026" s="4">
        <f>VLOOKUP(Googleadssales[[#This Row],[Ad_ID]],'[1]pre processed data'!A:E,5,0)</f>
        <v>3958</v>
      </c>
      <c r="E1026" s="5" t="str">
        <f>VLOOKUP(Googleadssales[[#This Row],[Ad_ID]],[1]!Table3[[Ad_ID]:[Cost-imputed]],7,0)</f>
        <v>$238.06</v>
      </c>
      <c r="F1026" s="4">
        <f>VLOOKUP(Googleadssales[[#This Row],[Ad_ID]],'[1]pre processed data'!A:I,9,0)</f>
        <v>17</v>
      </c>
      <c r="G1026" s="4">
        <f>VLOOKUP(Googleadssales[[#This Row],[Ad_ID]],'[1]pre processed data'!A:K,11,0)</f>
        <v>4</v>
      </c>
      <c r="H1026" s="2">
        <f>Googleadssales[[#This Row],[Conversions]]/Googleadssales[[#This Row],[Clicks]]</f>
        <v>4.1666666666666664E-2</v>
      </c>
      <c r="I1026" t="str">
        <f>VLOOKUP(Googleadssales[[#This Row],[Ad_ID]],'[1]pre processed data'!A:O,15,0)</f>
        <v>$1750</v>
      </c>
      <c r="J1026" s="3">
        <f>VLOOKUP(Googleadssales[[#This Row],[Ad_ID]],'[1]pre processed data'!A:Q,17,0)</f>
        <v>45603</v>
      </c>
      <c r="K1026" t="str">
        <f>VLOOKUP(Googleadssales[[#This Row],[Ad_ID]],'[1]pre processed data'!A:R,18,0)</f>
        <v>Chennai</v>
      </c>
      <c r="L1026" t="str">
        <f>VLOOKUP(Googleadssales[[#This Row],[Ad_ID]],'[1]pre processed data'!A:S,19,0)</f>
        <v>Mobile</v>
      </c>
      <c r="M1026" t="str">
        <f>VLOOKUP(Googleadssales[[#This Row],[Ad_ID]],'[1]pre processed data'!A:T,20,0)</f>
        <v>online data analytic</v>
      </c>
    </row>
    <row r="1027" spans="1:13" x14ac:dyDescent="0.3">
      <c r="A1027" t="s">
        <v>1040</v>
      </c>
      <c r="B1027" t="s">
        <v>14</v>
      </c>
      <c r="C1027" s="4">
        <f>VLOOKUP(Googleadssales[[#This Row],[Ad_ID]],'[1]pre processed data'!A:C,3,0)</f>
        <v>180</v>
      </c>
      <c r="D1027" s="4">
        <f>VLOOKUP(Googleadssales[[#This Row],[Ad_ID]],'[1]pre processed data'!A:E,5,0)</f>
        <v>3060</v>
      </c>
      <c r="E1027" s="5" t="str">
        <f>VLOOKUP(Googleadssales[[#This Row],[Ad_ID]],[1]!Table3[[Ad_ID]:[Cost-imputed]],7,0)</f>
        <v>$194.47</v>
      </c>
      <c r="F1027" s="4">
        <f>VLOOKUP(Googleadssales[[#This Row],[Ad_ID]],'[1]pre processed data'!A:I,9,0)</f>
        <v>21</v>
      </c>
      <c r="G1027" s="4">
        <f>VLOOKUP(Googleadssales[[#This Row],[Ad_ID]],'[1]pre processed data'!A:K,11,0)</f>
        <v>5</v>
      </c>
      <c r="H1027" s="2">
        <f>Googleadssales[[#This Row],[Conversions]]/Googleadssales[[#This Row],[Clicks]]</f>
        <v>2.7777777777777776E-2</v>
      </c>
      <c r="I1027" t="str">
        <f>VLOOKUP(Googleadssales[[#This Row],[Ad_ID]],'[1]pre processed data'!A:O,15,0)</f>
        <v>$1429</v>
      </c>
      <c r="J1027" s="3">
        <f>VLOOKUP(Googleadssales[[#This Row],[Ad_ID]],'[1]pre processed data'!A:Q,17,0)</f>
        <v>45606</v>
      </c>
      <c r="K1027" t="str">
        <f>VLOOKUP(Googleadssales[[#This Row],[Ad_ID]],'[1]pre processed data'!A:R,18,0)</f>
        <v>Hyderabad</v>
      </c>
      <c r="L1027" t="str">
        <f>VLOOKUP(Googleadssales[[#This Row],[Ad_ID]],'[1]pre processed data'!A:S,19,0)</f>
        <v>Tablet</v>
      </c>
      <c r="M1027" t="str">
        <f>VLOOKUP(Googleadssales[[#This Row],[Ad_ID]],'[1]pre processed data'!A:T,20,0)</f>
        <v>online data analytic</v>
      </c>
    </row>
    <row r="1028" spans="1:13" x14ac:dyDescent="0.3">
      <c r="A1028" t="s">
        <v>1041</v>
      </c>
      <c r="B1028" t="s">
        <v>18</v>
      </c>
      <c r="C1028" s="4">
        <f>VLOOKUP(Googleadssales[[#This Row],[Ad_ID]],'[1]pre processed data'!A:C,3,0)</f>
        <v>132</v>
      </c>
      <c r="D1028" s="4">
        <f>VLOOKUP(Googleadssales[[#This Row],[Ad_ID]],'[1]pre processed data'!A:E,5,0)</f>
        <v>5514</v>
      </c>
      <c r="E1028" s="5" t="str">
        <f>VLOOKUP(Googleadssales[[#This Row],[Ad_ID]],[1]!Table3[[Ad_ID]:[Cost-imputed]],7,0)</f>
        <v>$208.57</v>
      </c>
      <c r="F1028" s="4">
        <f>VLOOKUP(Googleadssales[[#This Row],[Ad_ID]],'[1]pre processed data'!A:I,9,0)</f>
        <v>16</v>
      </c>
      <c r="G1028" s="4">
        <f>VLOOKUP(Googleadssales[[#This Row],[Ad_ID]],'[1]pre processed data'!A:K,11,0)</f>
        <v>7</v>
      </c>
      <c r="H1028" s="2">
        <f>Googleadssales[[#This Row],[Conversions]]/Googleadssales[[#This Row],[Clicks]]</f>
        <v>5.3030303030303032E-2</v>
      </c>
      <c r="I1028" t="str">
        <f>VLOOKUP(Googleadssales[[#This Row],[Ad_ID]],'[1]pre processed data'!A:O,15,0)</f>
        <v>$1072</v>
      </c>
      <c r="J1028" s="3">
        <f>VLOOKUP(Googleadssales[[#This Row],[Ad_ID]],'[1]pre processed data'!A:Q,17,0)</f>
        <v>45622</v>
      </c>
      <c r="K1028" t="str">
        <f>VLOOKUP(Googleadssales[[#This Row],[Ad_ID]],'[1]pre processed data'!A:R,18,0)</f>
        <v>Chennai</v>
      </c>
      <c r="L1028" t="str">
        <f>VLOOKUP(Googleadssales[[#This Row],[Ad_ID]],'[1]pre processed data'!A:S,19,0)</f>
        <v>Mobile</v>
      </c>
      <c r="M1028" t="str">
        <f>VLOOKUP(Googleadssales[[#This Row],[Ad_ID]],'[1]pre processed data'!A:T,20,0)</f>
        <v>online data analytic</v>
      </c>
    </row>
    <row r="1029" spans="1:13" x14ac:dyDescent="0.3">
      <c r="A1029" t="s">
        <v>1042</v>
      </c>
      <c r="B1029" t="s">
        <v>14</v>
      </c>
      <c r="C1029" s="4">
        <f>VLOOKUP(Googleadssales[[#This Row],[Ad_ID]],'[1]pre processed data'!A:C,3,0)</f>
        <v>147</v>
      </c>
      <c r="D1029" s="4">
        <f>VLOOKUP(Googleadssales[[#This Row],[Ad_ID]],'[1]pre processed data'!A:E,5,0)</f>
        <v>5373</v>
      </c>
      <c r="E1029" s="5" t="str">
        <f>VLOOKUP(Googleadssales[[#This Row],[Ad_ID]],[1]!Table3[[Ad_ID]:[Cost-imputed]],7,0)</f>
        <v>$233.68</v>
      </c>
      <c r="F1029" s="4">
        <f>VLOOKUP(Googleadssales[[#This Row],[Ad_ID]],'[1]pre processed data'!A:I,9,0)</f>
        <v>20</v>
      </c>
      <c r="G1029" s="4">
        <f>VLOOKUP(Googleadssales[[#This Row],[Ad_ID]],'[1]pre processed data'!A:K,11,0)</f>
        <v>7</v>
      </c>
      <c r="H1029" s="2">
        <f>Googleadssales[[#This Row],[Conversions]]/Googleadssales[[#This Row],[Clicks]]</f>
        <v>4.7619047619047616E-2</v>
      </c>
      <c r="I1029" t="str">
        <f>VLOOKUP(Googleadssales[[#This Row],[Ad_ID]],'[1]pre processed data'!A:O,15,0)</f>
        <v>$1685</v>
      </c>
      <c r="J1029" s="3">
        <f>VLOOKUP(Googleadssales[[#This Row],[Ad_ID]],'[1]pre processed data'!A:Q,17,0)</f>
        <v>45597</v>
      </c>
      <c r="K1029" t="str">
        <f>VLOOKUP(Googleadssales[[#This Row],[Ad_ID]],'[1]pre processed data'!A:R,18,0)</f>
        <v>Hyderabad</v>
      </c>
      <c r="L1029" t="str">
        <f>VLOOKUP(Googleadssales[[#This Row],[Ad_ID]],'[1]pre processed data'!A:S,19,0)</f>
        <v>Desktop</v>
      </c>
      <c r="M1029" t="str">
        <f>VLOOKUP(Googleadssales[[#This Row],[Ad_ID]],'[1]pre processed data'!A:T,20,0)</f>
        <v>data analytics course</v>
      </c>
    </row>
    <row r="1030" spans="1:13" x14ac:dyDescent="0.3">
      <c r="A1030" t="s">
        <v>1043</v>
      </c>
      <c r="B1030" t="s">
        <v>14</v>
      </c>
      <c r="C1030" s="4">
        <f>VLOOKUP(Googleadssales[[#This Row],[Ad_ID]],'[1]pre processed data'!A:C,3,0)</f>
        <v>84</v>
      </c>
      <c r="D1030" s="4">
        <f>VLOOKUP(Googleadssales[[#This Row],[Ad_ID]],'[1]pre processed data'!A:E,5,0)</f>
        <v>4720</v>
      </c>
      <c r="E1030" s="5" t="str">
        <f>VLOOKUP(Googleadssales[[#This Row],[Ad_ID]],[1]!Table3[[Ad_ID]:[Cost-imputed]],7,0)</f>
        <v>$213.68</v>
      </c>
      <c r="F1030" s="4">
        <f>VLOOKUP(Googleadssales[[#This Row],[Ad_ID]],'[1]pre processed data'!A:I,9,0)</f>
        <v>20</v>
      </c>
      <c r="G1030" s="4">
        <f>VLOOKUP(Googleadssales[[#This Row],[Ad_ID]],'[1]pre processed data'!A:K,11,0)</f>
        <v>5</v>
      </c>
      <c r="H1030" s="2">
        <f>Googleadssales[[#This Row],[Conversions]]/Googleadssales[[#This Row],[Clicks]]</f>
        <v>5.9523809523809521E-2</v>
      </c>
      <c r="I1030" t="str">
        <f>VLOOKUP(Googleadssales[[#This Row],[Ad_ID]],'[1]pre processed data'!A:O,15,0)</f>
        <v>$1412</v>
      </c>
      <c r="J1030" s="3">
        <f>VLOOKUP(Googleadssales[[#This Row],[Ad_ID]],'[1]pre processed data'!A:Q,17,0)</f>
        <v>45617</v>
      </c>
      <c r="K1030" t="str">
        <f>VLOOKUP(Googleadssales[[#This Row],[Ad_ID]],'[1]pre processed data'!A:R,18,0)</f>
        <v>Chennai</v>
      </c>
      <c r="L1030" t="str">
        <f>VLOOKUP(Googleadssales[[#This Row],[Ad_ID]],'[1]pre processed data'!A:S,19,0)</f>
        <v>Tablet</v>
      </c>
      <c r="M1030" t="str">
        <f>VLOOKUP(Googleadssales[[#This Row],[Ad_ID]],'[1]pre processed data'!A:T,20,0)</f>
        <v>data analytics course</v>
      </c>
    </row>
    <row r="1031" spans="1:13" x14ac:dyDescent="0.3">
      <c r="A1031" t="s">
        <v>1044</v>
      </c>
      <c r="B1031" t="s">
        <v>14</v>
      </c>
      <c r="C1031" s="4">
        <f>VLOOKUP(Googleadssales[[#This Row],[Ad_ID]],'[1]pre processed data'!A:C,3,0)</f>
        <v>82</v>
      </c>
      <c r="D1031" s="4">
        <f>VLOOKUP(Googleadssales[[#This Row],[Ad_ID]],'[1]pre processed data'!A:E,5,0)</f>
        <v>4330</v>
      </c>
      <c r="E1031" s="5" t="str">
        <f>VLOOKUP(Googleadssales[[#This Row],[Ad_ID]],[1]!Table3[[Ad_ID]:[Cost-imputed]],7,0)</f>
        <v>$228.68</v>
      </c>
      <c r="F1031" s="4">
        <f>VLOOKUP(Googleadssales[[#This Row],[Ad_ID]],'[1]pre processed data'!A:I,9,0)</f>
        <v>18</v>
      </c>
      <c r="G1031" s="4">
        <f>VLOOKUP(Googleadssales[[#This Row],[Ad_ID]],'[1]pre processed data'!A:K,11,0)</f>
        <v>8</v>
      </c>
      <c r="H1031" s="2">
        <f>Googleadssales[[#This Row],[Conversions]]/Googleadssales[[#This Row],[Clicks]]</f>
        <v>9.7560975609756101E-2</v>
      </c>
      <c r="I1031" t="str">
        <f>VLOOKUP(Googleadssales[[#This Row],[Ad_ID]],'[1]pre processed data'!A:O,15,0)</f>
        <v>$1510</v>
      </c>
      <c r="J1031" s="3">
        <f>VLOOKUP(Googleadssales[[#This Row],[Ad_ID]],'[1]pre processed data'!A:Q,17,0)</f>
        <v>45600</v>
      </c>
      <c r="K1031" t="str">
        <f>VLOOKUP(Googleadssales[[#This Row],[Ad_ID]],'[1]pre processed data'!A:R,18,0)</f>
        <v>Chennai</v>
      </c>
      <c r="L1031" t="str">
        <f>VLOOKUP(Googleadssales[[#This Row],[Ad_ID]],'[1]pre processed data'!A:S,19,0)</f>
        <v>Desktop</v>
      </c>
      <c r="M1031" t="str">
        <f>VLOOKUP(Googleadssales[[#This Row],[Ad_ID]],'[1]pre processed data'!A:T,20,0)</f>
        <v>analytics for data</v>
      </c>
    </row>
    <row r="1032" spans="1:13" x14ac:dyDescent="0.3">
      <c r="A1032" t="s">
        <v>1045</v>
      </c>
      <c r="B1032" t="s">
        <v>14</v>
      </c>
      <c r="C1032" s="4">
        <f>VLOOKUP(Googleadssales[[#This Row],[Ad_ID]],'[1]pre processed data'!A:C,3,0)</f>
        <v>173</v>
      </c>
      <c r="D1032" s="4">
        <f>VLOOKUP(Googleadssales[[#This Row],[Ad_ID]],'[1]pre processed data'!A:E,5,0)</f>
        <v>4365</v>
      </c>
      <c r="E1032" s="5" t="str">
        <f>VLOOKUP(Googleadssales[[#This Row],[Ad_ID]],[1]!Table3[[Ad_ID]:[Cost-imputed]],7,0)</f>
        <v>$200.00</v>
      </c>
      <c r="F1032" s="4">
        <f>VLOOKUP(Googleadssales[[#This Row],[Ad_ID]],'[1]pre processed data'!A:I,9,0)</f>
        <v>28</v>
      </c>
      <c r="G1032" s="4">
        <f>VLOOKUP(Googleadssales[[#This Row],[Ad_ID]],'[1]pre processed data'!A:K,11,0)</f>
        <v>9</v>
      </c>
      <c r="H1032" s="2">
        <f>Googleadssales[[#This Row],[Conversions]]/Googleadssales[[#This Row],[Clicks]]</f>
        <v>5.2023121387283239E-2</v>
      </c>
      <c r="I1032" t="str">
        <f>VLOOKUP(Googleadssales[[#This Row],[Ad_ID]],'[1]pre processed data'!A:O,15,0)</f>
        <v>$1311</v>
      </c>
      <c r="J1032" s="3">
        <f>VLOOKUP(Googleadssales[[#This Row],[Ad_ID]],'[1]pre processed data'!A:Q,17,0)</f>
        <v>45602</v>
      </c>
      <c r="K1032" t="str">
        <f>VLOOKUP(Googleadssales[[#This Row],[Ad_ID]],'[1]pre processed data'!A:R,18,0)</f>
        <v>Hyderabad</v>
      </c>
      <c r="L1032" t="str">
        <f>VLOOKUP(Googleadssales[[#This Row],[Ad_ID]],'[1]pre processed data'!A:S,19,0)</f>
        <v>Desktop</v>
      </c>
      <c r="M1032" t="str">
        <f>VLOOKUP(Googleadssales[[#This Row],[Ad_ID]],'[1]pre processed data'!A:T,20,0)</f>
        <v>data analytics online</v>
      </c>
    </row>
    <row r="1033" spans="1:13" x14ac:dyDescent="0.3">
      <c r="A1033" t="s">
        <v>1046</v>
      </c>
      <c r="B1033" t="s">
        <v>14</v>
      </c>
      <c r="C1033" s="4">
        <f>VLOOKUP(Googleadssales[[#This Row],[Ad_ID]],'[1]pre processed data'!A:C,3,0)</f>
        <v>89</v>
      </c>
      <c r="D1033" s="4">
        <f>VLOOKUP(Googleadssales[[#This Row],[Ad_ID]],'[1]pre processed data'!A:E,5,0)</f>
        <v>5899</v>
      </c>
      <c r="E1033" s="5" t="str">
        <f>VLOOKUP(Googleadssales[[#This Row],[Ad_ID]],[1]!Table3[[Ad_ID]:[Cost-imputed]],7,0)</f>
        <v>$226.95</v>
      </c>
      <c r="F1033" s="4">
        <f>VLOOKUP(Googleadssales[[#This Row],[Ad_ID]],'[1]pre processed data'!A:I,9,0)</f>
        <v>13</v>
      </c>
      <c r="G1033" s="4">
        <f>VLOOKUP(Googleadssales[[#This Row],[Ad_ID]],'[1]pre processed data'!A:K,11,0)</f>
        <v>7</v>
      </c>
      <c r="H1033" s="2">
        <f>Googleadssales[[#This Row],[Conversions]]/Googleadssales[[#This Row],[Clicks]]</f>
        <v>7.8651685393258425E-2</v>
      </c>
      <c r="I1033" t="str">
        <f>VLOOKUP(Googleadssales[[#This Row],[Ad_ID]],'[1]pre processed data'!A:O,15,0)</f>
        <v>$1058</v>
      </c>
      <c r="J1033" s="3">
        <f>VLOOKUP(Googleadssales[[#This Row],[Ad_ID]],'[1]pre processed data'!A:Q,17,0)</f>
        <v>45606</v>
      </c>
      <c r="K1033" t="str">
        <f>VLOOKUP(Googleadssales[[#This Row],[Ad_ID]],'[1]pre processed data'!A:R,18,0)</f>
        <v>Chennai</v>
      </c>
      <c r="L1033" t="str">
        <f>VLOOKUP(Googleadssales[[#This Row],[Ad_ID]],'[1]pre processed data'!A:S,19,0)</f>
        <v>Mobile</v>
      </c>
      <c r="M1033" t="str">
        <f>VLOOKUP(Googleadssales[[#This Row],[Ad_ID]],'[1]pre processed data'!A:T,20,0)</f>
        <v>data analytics training</v>
      </c>
    </row>
    <row r="1034" spans="1:13" x14ac:dyDescent="0.3">
      <c r="A1034" t="s">
        <v>1047</v>
      </c>
      <c r="B1034" t="s">
        <v>14</v>
      </c>
      <c r="C1034" s="4">
        <f>VLOOKUP(Googleadssales[[#This Row],[Ad_ID]],'[1]pre processed data'!A:C,3,0)</f>
        <v>198</v>
      </c>
      <c r="D1034" s="4">
        <f>VLOOKUP(Googleadssales[[#This Row],[Ad_ID]],'[1]pre processed data'!A:E,5,0)</f>
        <v>3500</v>
      </c>
      <c r="E1034" s="5" t="str">
        <f>VLOOKUP(Googleadssales[[#This Row],[Ad_ID]],[1]!Table3[[Ad_ID]:[Cost-imputed]],7,0)</f>
        <v>$206.88</v>
      </c>
      <c r="F1034" s="4">
        <f>VLOOKUP(Googleadssales[[#This Row],[Ad_ID]],'[1]pre processed data'!A:I,9,0)</f>
        <v>19</v>
      </c>
      <c r="G1034" s="4">
        <f>VLOOKUP(Googleadssales[[#This Row],[Ad_ID]],'[1]pre processed data'!A:K,11,0)</f>
        <v>6</v>
      </c>
      <c r="H1034" s="2">
        <f>Googleadssales[[#This Row],[Conversions]]/Googleadssales[[#This Row],[Clicks]]</f>
        <v>3.0303030303030304E-2</v>
      </c>
      <c r="I1034" t="str">
        <f>VLOOKUP(Googleadssales[[#This Row],[Ad_ID]],'[1]pre processed data'!A:O,15,0)</f>
        <v>$1684</v>
      </c>
      <c r="J1034" s="3">
        <f>VLOOKUP(Googleadssales[[#This Row],[Ad_ID]],'[1]pre processed data'!A:Q,17,0)</f>
        <v>45607</v>
      </c>
      <c r="K1034" t="str">
        <f>VLOOKUP(Googleadssales[[#This Row],[Ad_ID]],'[1]pre processed data'!A:R,18,0)</f>
        <v>Bangaluru</v>
      </c>
      <c r="L1034" t="str">
        <f>VLOOKUP(Googleadssales[[#This Row],[Ad_ID]],'[1]pre processed data'!A:S,19,0)</f>
        <v>Mobile</v>
      </c>
      <c r="M1034" t="str">
        <f>VLOOKUP(Googleadssales[[#This Row],[Ad_ID]],'[1]pre processed data'!A:T,20,0)</f>
        <v>analytics for data</v>
      </c>
    </row>
    <row r="1035" spans="1:13" x14ac:dyDescent="0.3">
      <c r="A1035" t="s">
        <v>1048</v>
      </c>
      <c r="B1035" t="s">
        <v>14</v>
      </c>
      <c r="C1035" s="4">
        <f>VLOOKUP(Googleadssales[[#This Row],[Ad_ID]],'[1]pre processed data'!A:C,3,0)</f>
        <v>135</v>
      </c>
      <c r="D1035" s="4">
        <f>VLOOKUP(Googleadssales[[#This Row],[Ad_ID]],'[1]pre processed data'!A:E,5,0)</f>
        <v>4155</v>
      </c>
      <c r="E1035" s="5" t="str">
        <f>VLOOKUP(Googleadssales[[#This Row],[Ad_ID]],[1]!Table3[[Ad_ID]:[Cost-imputed]],7,0)</f>
        <v>$207.81</v>
      </c>
      <c r="F1035" s="4">
        <f>VLOOKUP(Googleadssales[[#This Row],[Ad_ID]],'[1]pre processed data'!A:I,9,0)</f>
        <v>25</v>
      </c>
      <c r="G1035" s="4">
        <f>VLOOKUP(Googleadssales[[#This Row],[Ad_ID]],'[1]pre processed data'!A:K,11,0)</f>
        <v>9</v>
      </c>
      <c r="H1035" s="2">
        <f>Googleadssales[[#This Row],[Conversions]]/Googleadssales[[#This Row],[Clicks]]</f>
        <v>6.6666666666666666E-2</v>
      </c>
      <c r="I1035" t="str">
        <f>VLOOKUP(Googleadssales[[#This Row],[Ad_ID]],'[1]pre processed data'!A:O,15,0)</f>
        <v>$1313</v>
      </c>
      <c r="J1035" s="3">
        <f>VLOOKUP(Googleadssales[[#This Row],[Ad_ID]],'[1]pre processed data'!A:Q,17,0)</f>
        <v>45599</v>
      </c>
      <c r="K1035" t="str">
        <f>VLOOKUP(Googleadssales[[#This Row],[Ad_ID]],'[1]pre processed data'!A:R,18,0)</f>
        <v>Chennai</v>
      </c>
      <c r="L1035" t="str">
        <f>VLOOKUP(Googleadssales[[#This Row],[Ad_ID]],'[1]pre processed data'!A:S,19,0)</f>
        <v>Desktop</v>
      </c>
      <c r="M1035" t="str">
        <f>VLOOKUP(Googleadssales[[#This Row],[Ad_ID]],'[1]pre processed data'!A:T,20,0)</f>
        <v>online data analytic</v>
      </c>
    </row>
    <row r="1036" spans="1:13" x14ac:dyDescent="0.3">
      <c r="A1036" t="s">
        <v>1049</v>
      </c>
      <c r="B1036" t="s">
        <v>14</v>
      </c>
      <c r="C1036" s="4">
        <f>VLOOKUP(Googleadssales[[#This Row],[Ad_ID]],'[1]pre processed data'!A:C,3,0)</f>
        <v>94</v>
      </c>
      <c r="D1036" s="4">
        <f>VLOOKUP(Googleadssales[[#This Row],[Ad_ID]],'[1]pre processed data'!A:E,5,0)</f>
        <v>5437</v>
      </c>
      <c r="E1036" s="5" t="str">
        <f>VLOOKUP(Googleadssales[[#This Row],[Ad_ID]],[1]!Table3[[Ad_ID]:[Cost-imputed]],7,0)</f>
        <v>$190.49</v>
      </c>
      <c r="F1036" s="4">
        <f>VLOOKUP(Googleadssales[[#This Row],[Ad_ID]],'[1]pre processed data'!A:I,9,0)</f>
        <v>16</v>
      </c>
      <c r="G1036" s="4">
        <f>VLOOKUP(Googleadssales[[#This Row],[Ad_ID]],'[1]pre processed data'!A:K,11,0)</f>
        <v>6</v>
      </c>
      <c r="H1036" s="2">
        <f>Googleadssales[[#This Row],[Conversions]]/Googleadssales[[#This Row],[Clicks]]</f>
        <v>6.3829787234042548E-2</v>
      </c>
      <c r="I1036" t="str">
        <f>VLOOKUP(Googleadssales[[#This Row],[Ad_ID]],'[1]pre processed data'!A:O,15,0)</f>
        <v>$1234</v>
      </c>
      <c r="J1036" s="3">
        <f>VLOOKUP(Googleadssales[[#This Row],[Ad_ID]],'[1]pre processed data'!A:Q,17,0)</f>
        <v>45612</v>
      </c>
      <c r="K1036" t="str">
        <f>VLOOKUP(Googleadssales[[#This Row],[Ad_ID]],'[1]pre processed data'!A:R,18,0)</f>
        <v>Chennai</v>
      </c>
      <c r="L1036" t="str">
        <f>VLOOKUP(Googleadssales[[#This Row],[Ad_ID]],'[1]pre processed data'!A:S,19,0)</f>
        <v>Tablet</v>
      </c>
      <c r="M1036" t="str">
        <f>VLOOKUP(Googleadssales[[#This Row],[Ad_ID]],'[1]pre processed data'!A:T,20,0)</f>
        <v>data analytics training</v>
      </c>
    </row>
    <row r="1037" spans="1:13" x14ac:dyDescent="0.3">
      <c r="A1037" t="s">
        <v>1050</v>
      </c>
      <c r="B1037" t="s">
        <v>14</v>
      </c>
      <c r="C1037" s="4">
        <f>VLOOKUP(Googleadssales[[#This Row],[Ad_ID]],'[1]pre processed data'!A:C,3,0)</f>
        <v>151</v>
      </c>
      <c r="D1037" s="4">
        <f>VLOOKUP(Googleadssales[[#This Row],[Ad_ID]],'[1]pre processed data'!A:E,5,0)</f>
        <v>3251</v>
      </c>
      <c r="E1037" s="5" t="str">
        <f>VLOOKUP(Googleadssales[[#This Row],[Ad_ID]],[1]!Table3[[Ad_ID]:[Cost-imputed]],7,0)</f>
        <v>$224.8</v>
      </c>
      <c r="F1037" s="4">
        <f>VLOOKUP(Googleadssales[[#This Row],[Ad_ID]],'[1]pre processed data'!A:I,9,0)</f>
        <v>13</v>
      </c>
      <c r="G1037" s="4">
        <f>VLOOKUP(Googleadssales[[#This Row],[Ad_ID]],'[1]pre processed data'!A:K,11,0)</f>
        <v>6</v>
      </c>
      <c r="H1037" s="2">
        <f>Googleadssales[[#This Row],[Conversions]]/Googleadssales[[#This Row],[Clicks]]</f>
        <v>3.9735099337748346E-2</v>
      </c>
      <c r="I1037" t="str">
        <f>VLOOKUP(Googleadssales[[#This Row],[Ad_ID]],'[1]pre processed data'!A:O,15,0)</f>
        <v>$1500</v>
      </c>
      <c r="J1037" s="3">
        <f>VLOOKUP(Googleadssales[[#This Row],[Ad_ID]],'[1]pre processed data'!A:Q,17,0)</f>
        <v>45617</v>
      </c>
      <c r="K1037" t="str">
        <f>VLOOKUP(Googleadssales[[#This Row],[Ad_ID]],'[1]pre processed data'!A:R,18,0)</f>
        <v>Hyderabad</v>
      </c>
      <c r="L1037" t="str">
        <f>VLOOKUP(Googleadssales[[#This Row],[Ad_ID]],'[1]pre processed data'!A:S,19,0)</f>
        <v>Desktop</v>
      </c>
      <c r="M1037" t="str">
        <f>VLOOKUP(Googleadssales[[#This Row],[Ad_ID]],'[1]pre processed data'!A:T,20,0)</f>
        <v>learn data analytics</v>
      </c>
    </row>
    <row r="1038" spans="1:13" x14ac:dyDescent="0.3">
      <c r="A1038" t="s">
        <v>1051</v>
      </c>
      <c r="B1038" t="s">
        <v>18</v>
      </c>
      <c r="C1038" s="4">
        <f>VLOOKUP(Googleadssales[[#This Row],[Ad_ID]],'[1]pre processed data'!A:C,3,0)</f>
        <v>113</v>
      </c>
      <c r="D1038" s="4">
        <f>VLOOKUP(Googleadssales[[#This Row],[Ad_ID]],'[1]pre processed data'!A:E,5,0)</f>
        <v>5392</v>
      </c>
      <c r="E1038" s="5" t="str">
        <f>VLOOKUP(Googleadssales[[#This Row],[Ad_ID]],[1]!Table3[[Ad_ID]:[Cost-imputed]],7,0)</f>
        <v>$205.13</v>
      </c>
      <c r="F1038" s="4">
        <f>VLOOKUP(Googleadssales[[#This Row],[Ad_ID]],'[1]pre processed data'!A:I,9,0)</f>
        <v>28</v>
      </c>
      <c r="G1038" s="4">
        <f>VLOOKUP(Googleadssales[[#This Row],[Ad_ID]],'[1]pre processed data'!A:K,11,0)</f>
        <v>3</v>
      </c>
      <c r="H1038" s="2">
        <f>Googleadssales[[#This Row],[Conversions]]/Googleadssales[[#This Row],[Clicks]]</f>
        <v>2.6548672566371681E-2</v>
      </c>
      <c r="I1038" t="str">
        <f>VLOOKUP(Googleadssales[[#This Row],[Ad_ID]],'[1]pre processed data'!A:O,15,0)</f>
        <v>$1208</v>
      </c>
      <c r="J1038" s="3">
        <f>VLOOKUP(Googleadssales[[#This Row],[Ad_ID]],'[1]pre processed data'!A:Q,17,0)</f>
        <v>45613</v>
      </c>
      <c r="K1038" t="str">
        <f>VLOOKUP(Googleadssales[[#This Row],[Ad_ID]],'[1]pre processed data'!A:R,18,0)</f>
        <v>Chennai</v>
      </c>
      <c r="L1038" t="str">
        <f>VLOOKUP(Googleadssales[[#This Row],[Ad_ID]],'[1]pre processed data'!A:S,19,0)</f>
        <v>Mobile</v>
      </c>
      <c r="M1038" t="str">
        <f>VLOOKUP(Googleadssales[[#This Row],[Ad_ID]],'[1]pre processed data'!A:T,20,0)</f>
        <v>online data analytic</v>
      </c>
    </row>
    <row r="1039" spans="1:13" x14ac:dyDescent="0.3">
      <c r="A1039" t="s">
        <v>1052</v>
      </c>
      <c r="B1039" t="s">
        <v>14</v>
      </c>
      <c r="C1039" s="4">
        <f>VLOOKUP(Googleadssales[[#This Row],[Ad_ID]],'[1]pre processed data'!A:C,3,0)</f>
        <v>164</v>
      </c>
      <c r="D1039" s="4">
        <f>VLOOKUP(Googleadssales[[#This Row],[Ad_ID]],'[1]pre processed data'!A:E,5,0)</f>
        <v>5403</v>
      </c>
      <c r="E1039" s="5" t="str">
        <f>VLOOKUP(Googleadssales[[#This Row],[Ad_ID]],[1]!Table3[[Ad_ID]:[Cost-imputed]],7,0)</f>
        <v>$213.0</v>
      </c>
      <c r="F1039" s="4">
        <f>VLOOKUP(Googleadssales[[#This Row],[Ad_ID]],'[1]pre processed data'!A:I,9,0)</f>
        <v>11</v>
      </c>
      <c r="G1039" s="4">
        <f>VLOOKUP(Googleadssales[[#This Row],[Ad_ID]],'[1]pre processed data'!A:K,11,0)</f>
        <v>8</v>
      </c>
      <c r="H1039" s="2">
        <f>Googleadssales[[#This Row],[Conversions]]/Googleadssales[[#This Row],[Clicks]]</f>
        <v>4.878048780487805E-2</v>
      </c>
      <c r="I1039" t="str">
        <f>VLOOKUP(Googleadssales[[#This Row],[Ad_ID]],'[1]pre processed data'!A:O,15,0)</f>
        <v>$1500</v>
      </c>
      <c r="J1039" s="3">
        <f>VLOOKUP(Googleadssales[[#This Row],[Ad_ID]],'[1]pre processed data'!A:Q,17,0)</f>
        <v>45618</v>
      </c>
      <c r="K1039" t="str">
        <f>VLOOKUP(Googleadssales[[#This Row],[Ad_ID]],'[1]pre processed data'!A:R,18,0)</f>
        <v>Bangaluru</v>
      </c>
      <c r="L1039" t="str">
        <f>VLOOKUP(Googleadssales[[#This Row],[Ad_ID]],'[1]pre processed data'!A:S,19,0)</f>
        <v>Desktop</v>
      </c>
      <c r="M1039" t="str">
        <f>VLOOKUP(Googleadssales[[#This Row],[Ad_ID]],'[1]pre processed data'!A:T,20,0)</f>
        <v>analytics for data</v>
      </c>
    </row>
    <row r="1040" spans="1:13" x14ac:dyDescent="0.3">
      <c r="A1040" t="s">
        <v>1053</v>
      </c>
      <c r="B1040" t="s">
        <v>14</v>
      </c>
      <c r="C1040" s="4">
        <f>VLOOKUP(Googleadssales[[#This Row],[Ad_ID]],'[1]pre processed data'!A:C,3,0)</f>
        <v>135</v>
      </c>
      <c r="D1040" s="4">
        <f>VLOOKUP(Googleadssales[[#This Row],[Ad_ID]],'[1]pre processed data'!A:E,5,0)</f>
        <v>5054</v>
      </c>
      <c r="E1040" s="5" t="str">
        <f>VLOOKUP(Googleadssales[[#This Row],[Ad_ID]],[1]!Table3[[Ad_ID]:[Cost-imputed]],7,0)</f>
        <v>$224.03</v>
      </c>
      <c r="F1040" s="4">
        <f>VLOOKUP(Googleadssales[[#This Row],[Ad_ID]],'[1]pre processed data'!A:I,9,0)</f>
        <v>16</v>
      </c>
      <c r="G1040" s="4">
        <f>VLOOKUP(Googleadssales[[#This Row],[Ad_ID]],'[1]pre processed data'!A:K,11,0)</f>
        <v>6</v>
      </c>
      <c r="H1040" s="2">
        <f>Googleadssales[[#This Row],[Conversions]]/Googleadssales[[#This Row],[Clicks]]</f>
        <v>4.4444444444444446E-2</v>
      </c>
      <c r="I1040" t="str">
        <f>VLOOKUP(Googleadssales[[#This Row],[Ad_ID]],'[1]pre processed data'!A:O,15,0)</f>
        <v>$1765</v>
      </c>
      <c r="J1040" s="3">
        <f>VLOOKUP(Googleadssales[[#This Row],[Ad_ID]],'[1]pre processed data'!A:Q,17,0)</f>
        <v>45603</v>
      </c>
      <c r="K1040" t="str">
        <f>VLOOKUP(Googleadssales[[#This Row],[Ad_ID]],'[1]pre processed data'!A:R,18,0)</f>
        <v>Chennai</v>
      </c>
      <c r="L1040" t="str">
        <f>VLOOKUP(Googleadssales[[#This Row],[Ad_ID]],'[1]pre processed data'!A:S,19,0)</f>
        <v>Mobile</v>
      </c>
      <c r="M1040" t="str">
        <f>VLOOKUP(Googleadssales[[#This Row],[Ad_ID]],'[1]pre processed data'!A:T,20,0)</f>
        <v>data analytics training</v>
      </c>
    </row>
    <row r="1041" spans="1:13" x14ac:dyDescent="0.3">
      <c r="A1041" t="s">
        <v>1054</v>
      </c>
      <c r="B1041" t="s">
        <v>14</v>
      </c>
      <c r="C1041" s="4">
        <f>VLOOKUP(Googleadssales[[#This Row],[Ad_ID]],'[1]pre processed data'!A:C,3,0)</f>
        <v>116</v>
      </c>
      <c r="D1041" s="4">
        <f>VLOOKUP(Googleadssales[[#This Row],[Ad_ID]],'[1]pre processed data'!A:E,5,0)</f>
        <v>5757</v>
      </c>
      <c r="E1041" s="5" t="str">
        <f>VLOOKUP(Googleadssales[[#This Row],[Ad_ID]],[1]!Table3[[Ad_ID]:[Cost-imputed]],7,0)</f>
        <v>$218.69</v>
      </c>
      <c r="F1041" s="4">
        <f>VLOOKUP(Googleadssales[[#This Row],[Ad_ID]],'[1]pre processed data'!A:I,9,0)</f>
        <v>10</v>
      </c>
      <c r="G1041" s="4">
        <f>VLOOKUP(Googleadssales[[#This Row],[Ad_ID]],'[1]pre processed data'!A:K,11,0)</f>
        <v>7</v>
      </c>
      <c r="H1041" s="2">
        <f>Googleadssales[[#This Row],[Conversions]]/Googleadssales[[#This Row],[Clicks]]</f>
        <v>6.0344827586206899E-2</v>
      </c>
      <c r="I1041" t="str">
        <f>VLOOKUP(Googleadssales[[#This Row],[Ad_ID]],'[1]pre processed data'!A:O,15,0)</f>
        <v>$1834</v>
      </c>
      <c r="J1041" s="3">
        <f>VLOOKUP(Googleadssales[[#This Row],[Ad_ID]],'[1]pre processed data'!A:Q,17,0)</f>
        <v>45619</v>
      </c>
      <c r="K1041" t="str">
        <f>VLOOKUP(Googleadssales[[#This Row],[Ad_ID]],'[1]pre processed data'!A:R,18,0)</f>
        <v>Hyderabad</v>
      </c>
      <c r="L1041" t="str">
        <f>VLOOKUP(Googleadssales[[#This Row],[Ad_ID]],'[1]pre processed data'!A:S,19,0)</f>
        <v>Mobile</v>
      </c>
      <c r="M1041" t="str">
        <f>VLOOKUP(Googleadssales[[#This Row],[Ad_ID]],'[1]pre processed data'!A:T,20,0)</f>
        <v>online data analytic</v>
      </c>
    </row>
    <row r="1042" spans="1:13" x14ac:dyDescent="0.3">
      <c r="A1042" t="s">
        <v>1055</v>
      </c>
      <c r="B1042" t="s">
        <v>18</v>
      </c>
      <c r="C1042" s="4">
        <f>VLOOKUP(Googleadssales[[#This Row],[Ad_ID]],'[1]pre processed data'!A:C,3,0)</f>
        <v>138.95699356913184</v>
      </c>
      <c r="D1042" s="4">
        <f>VLOOKUP(Googleadssales[[#This Row],[Ad_ID]],'[1]pre processed data'!A:E,5,0)</f>
        <v>4485</v>
      </c>
      <c r="E1042" s="5" t="str">
        <f>VLOOKUP(Googleadssales[[#This Row],[Ad_ID]],[1]!Table3[[Ad_ID]:[Cost-imputed]],7,0)</f>
        <v>$220.3</v>
      </c>
      <c r="F1042" s="4">
        <f>VLOOKUP(Googleadssales[[#This Row],[Ad_ID]],'[1]pre processed data'!A:I,9,0)</f>
        <v>14</v>
      </c>
      <c r="G1042" s="4">
        <f>VLOOKUP(Googleadssales[[#This Row],[Ad_ID]],'[1]pre processed data'!A:K,11,0)</f>
        <v>6</v>
      </c>
      <c r="H1042" s="2">
        <f>Googleadssales[[#This Row],[Conversions]]/Googleadssales[[#This Row],[Clicks]]</f>
        <v>4.317882710246583E-2</v>
      </c>
      <c r="I1042" t="str">
        <f>VLOOKUP(Googleadssales[[#This Row],[Ad_ID]],'[1]pre processed data'!A:O,15,0)</f>
        <v>$1801</v>
      </c>
      <c r="J1042" s="3">
        <f>VLOOKUP(Googleadssales[[#This Row],[Ad_ID]],'[1]pre processed data'!A:Q,17,0)</f>
        <v>45597</v>
      </c>
      <c r="K1042" t="str">
        <f>VLOOKUP(Googleadssales[[#This Row],[Ad_ID]],'[1]pre processed data'!A:R,18,0)</f>
        <v>Hyderabad</v>
      </c>
      <c r="L1042" t="str">
        <f>VLOOKUP(Googleadssales[[#This Row],[Ad_ID]],'[1]pre processed data'!A:S,19,0)</f>
        <v>Mobile</v>
      </c>
      <c r="M1042" t="str">
        <f>VLOOKUP(Googleadssales[[#This Row],[Ad_ID]],'[1]pre processed data'!A:T,20,0)</f>
        <v>data analytics course</v>
      </c>
    </row>
    <row r="1043" spans="1:13" x14ac:dyDescent="0.3">
      <c r="A1043" t="s">
        <v>1056</v>
      </c>
      <c r="B1043" t="s">
        <v>18</v>
      </c>
      <c r="C1043" s="4">
        <f>VLOOKUP(Googleadssales[[#This Row],[Ad_ID]],'[1]pre processed data'!A:C,3,0)</f>
        <v>164</v>
      </c>
      <c r="D1043" s="4">
        <f>VLOOKUP(Googleadssales[[#This Row],[Ad_ID]],'[1]pre processed data'!A:E,5,0)</f>
        <v>4053</v>
      </c>
      <c r="E1043" s="5" t="str">
        <f>VLOOKUP(Googleadssales[[#This Row],[Ad_ID]],[1]!Table3[[Ad_ID]:[Cost-imputed]],7,0)</f>
        <v>$245.26</v>
      </c>
      <c r="F1043" s="4">
        <f>VLOOKUP(Googleadssales[[#This Row],[Ad_ID]],'[1]pre processed data'!A:I,9,0)</f>
        <v>28</v>
      </c>
      <c r="G1043" s="4">
        <f>VLOOKUP(Googleadssales[[#This Row],[Ad_ID]],'[1]pre processed data'!A:K,11,0)</f>
        <v>7</v>
      </c>
      <c r="H1043" s="2">
        <f>Googleadssales[[#This Row],[Conversions]]/Googleadssales[[#This Row],[Clicks]]</f>
        <v>4.2682926829268296E-2</v>
      </c>
      <c r="I1043" t="str">
        <f>VLOOKUP(Googleadssales[[#This Row],[Ad_ID]],'[1]pre processed data'!A:O,15,0)</f>
        <v>$1384</v>
      </c>
      <c r="J1043" s="3">
        <f>VLOOKUP(Googleadssales[[#This Row],[Ad_ID]],'[1]pre processed data'!A:Q,17,0)</f>
        <v>45597</v>
      </c>
      <c r="K1043" t="str">
        <f>VLOOKUP(Googleadssales[[#This Row],[Ad_ID]],'[1]pre processed data'!A:R,18,0)</f>
        <v>Hyderabad</v>
      </c>
      <c r="L1043" t="str">
        <f>VLOOKUP(Googleadssales[[#This Row],[Ad_ID]],'[1]pre processed data'!A:S,19,0)</f>
        <v>Tablet</v>
      </c>
      <c r="M1043" t="str">
        <f>VLOOKUP(Googleadssales[[#This Row],[Ad_ID]],'[1]pre processed data'!A:T,20,0)</f>
        <v>learn data analytics</v>
      </c>
    </row>
    <row r="1044" spans="1:13" x14ac:dyDescent="0.3">
      <c r="A1044" t="s">
        <v>1057</v>
      </c>
      <c r="B1044" t="s">
        <v>14</v>
      </c>
      <c r="C1044" s="4">
        <f>VLOOKUP(Googleadssales[[#This Row],[Ad_ID]],'[1]pre processed data'!A:C,3,0)</f>
        <v>146</v>
      </c>
      <c r="D1044" s="4">
        <f>VLOOKUP(Googleadssales[[#This Row],[Ad_ID]],'[1]pre processed data'!A:E,5,0)</f>
        <v>5733</v>
      </c>
      <c r="E1044" s="5" t="str">
        <f>VLOOKUP(Googleadssales[[#This Row],[Ad_ID]],[1]!Table3[[Ad_ID]:[Cost-imputed]],7,0)</f>
        <v>$225.48</v>
      </c>
      <c r="F1044" s="4">
        <f>VLOOKUP(Googleadssales[[#This Row],[Ad_ID]],'[1]pre processed data'!A:I,9,0)</f>
        <v>26</v>
      </c>
      <c r="G1044" s="4">
        <f>VLOOKUP(Googleadssales[[#This Row],[Ad_ID]],'[1]pre processed data'!A:K,11,0)</f>
        <v>3</v>
      </c>
      <c r="H1044" s="2">
        <f>Googleadssales[[#This Row],[Conversions]]/Googleadssales[[#This Row],[Clicks]]</f>
        <v>2.0547945205479451E-2</v>
      </c>
      <c r="I1044" t="str">
        <f>VLOOKUP(Googleadssales[[#This Row],[Ad_ID]],'[1]pre processed data'!A:O,15,0)</f>
        <v>$1658</v>
      </c>
      <c r="J1044" s="3">
        <f>VLOOKUP(Googleadssales[[#This Row],[Ad_ID]],'[1]pre processed data'!A:Q,17,0)</f>
        <v>45606</v>
      </c>
      <c r="K1044" t="str">
        <f>VLOOKUP(Googleadssales[[#This Row],[Ad_ID]],'[1]pre processed data'!A:R,18,0)</f>
        <v>Hyderabad</v>
      </c>
      <c r="L1044" t="str">
        <f>VLOOKUP(Googleadssales[[#This Row],[Ad_ID]],'[1]pre processed data'!A:S,19,0)</f>
        <v>Desktop</v>
      </c>
      <c r="M1044" t="str">
        <f>VLOOKUP(Googleadssales[[#This Row],[Ad_ID]],'[1]pre processed data'!A:T,20,0)</f>
        <v>online data analytic</v>
      </c>
    </row>
    <row r="1045" spans="1:13" x14ac:dyDescent="0.3">
      <c r="A1045" t="s">
        <v>1058</v>
      </c>
      <c r="B1045" t="s">
        <v>14</v>
      </c>
      <c r="C1045" s="4">
        <f>VLOOKUP(Googleadssales[[#This Row],[Ad_ID]],'[1]pre processed data'!A:C,3,0)</f>
        <v>181</v>
      </c>
      <c r="D1045" s="4">
        <f>VLOOKUP(Googleadssales[[#This Row],[Ad_ID]],'[1]pre processed data'!A:E,5,0)</f>
        <v>3225</v>
      </c>
      <c r="E1045" s="5" t="str">
        <f>VLOOKUP(Googleadssales[[#This Row],[Ad_ID]],[1]!Table3[[Ad_ID]:[Cost-imputed]],7,0)</f>
        <v>$190.25</v>
      </c>
      <c r="F1045" s="4">
        <f>VLOOKUP(Googleadssales[[#This Row],[Ad_ID]],'[1]pre processed data'!A:I,9,0)</f>
        <v>22</v>
      </c>
      <c r="G1045" s="4">
        <f>VLOOKUP(Googleadssales[[#This Row],[Ad_ID]],'[1]pre processed data'!A:K,11,0)</f>
        <v>5</v>
      </c>
      <c r="H1045" s="2">
        <f>Googleadssales[[#This Row],[Conversions]]/Googleadssales[[#This Row],[Clicks]]</f>
        <v>2.7624309392265192E-2</v>
      </c>
      <c r="I1045" t="str">
        <f>VLOOKUP(Googleadssales[[#This Row],[Ad_ID]],'[1]pre processed data'!A:O,15,0)</f>
        <v>$1677</v>
      </c>
      <c r="J1045" s="3">
        <f>VLOOKUP(Googleadssales[[#This Row],[Ad_ID]],'[1]pre processed data'!A:Q,17,0)</f>
        <v>45606</v>
      </c>
      <c r="K1045" t="str">
        <f>VLOOKUP(Googleadssales[[#This Row],[Ad_ID]],'[1]pre processed data'!A:R,18,0)</f>
        <v>Hyderabad</v>
      </c>
      <c r="L1045" t="str">
        <f>VLOOKUP(Googleadssales[[#This Row],[Ad_ID]],'[1]pre processed data'!A:S,19,0)</f>
        <v>Mobile</v>
      </c>
      <c r="M1045" t="str">
        <f>VLOOKUP(Googleadssales[[#This Row],[Ad_ID]],'[1]pre processed data'!A:T,20,0)</f>
        <v>learn data analytics</v>
      </c>
    </row>
    <row r="1046" spans="1:13" x14ac:dyDescent="0.3">
      <c r="A1046" t="s">
        <v>1059</v>
      </c>
      <c r="B1046" t="s">
        <v>18</v>
      </c>
      <c r="C1046" s="4">
        <f>VLOOKUP(Googleadssales[[#This Row],[Ad_ID]],'[1]pre processed data'!A:C,3,0)</f>
        <v>156</v>
      </c>
      <c r="D1046" s="4">
        <f>VLOOKUP(Googleadssales[[#This Row],[Ad_ID]],'[1]pre processed data'!A:E,5,0)</f>
        <v>4170</v>
      </c>
      <c r="E1046" s="5" t="str">
        <f>VLOOKUP(Googleadssales[[#This Row],[Ad_ID]],[1]!Table3[[Ad_ID]:[Cost-imputed]],7,0)</f>
        <v>$244.72</v>
      </c>
      <c r="F1046" s="4">
        <f>VLOOKUP(Googleadssales[[#This Row],[Ad_ID]],'[1]pre processed data'!A:I,9,0)</f>
        <v>29</v>
      </c>
      <c r="G1046" s="4">
        <f>VLOOKUP(Googleadssales[[#This Row],[Ad_ID]],'[1]pre processed data'!A:K,11,0)</f>
        <v>3</v>
      </c>
      <c r="H1046" s="2">
        <f>Googleadssales[[#This Row],[Conversions]]/Googleadssales[[#This Row],[Clicks]]</f>
        <v>1.9230769230769232E-2</v>
      </c>
      <c r="I1046" t="str">
        <f>VLOOKUP(Googleadssales[[#This Row],[Ad_ID]],'[1]pre processed data'!A:O,15,0)</f>
        <v>$1962</v>
      </c>
      <c r="J1046" s="3">
        <f>VLOOKUP(Googleadssales[[#This Row],[Ad_ID]],'[1]pre processed data'!A:Q,17,0)</f>
        <v>45616</v>
      </c>
      <c r="K1046" t="str">
        <f>VLOOKUP(Googleadssales[[#This Row],[Ad_ID]],'[1]pre processed data'!A:R,18,0)</f>
        <v>Chennai</v>
      </c>
      <c r="L1046" t="str">
        <f>VLOOKUP(Googleadssales[[#This Row],[Ad_ID]],'[1]pre processed data'!A:S,19,0)</f>
        <v>Desktop</v>
      </c>
      <c r="M1046" t="str">
        <f>VLOOKUP(Googleadssales[[#This Row],[Ad_ID]],'[1]pre processed data'!A:T,20,0)</f>
        <v>data analytics online</v>
      </c>
    </row>
    <row r="1047" spans="1:13" x14ac:dyDescent="0.3">
      <c r="A1047" t="s">
        <v>1060</v>
      </c>
      <c r="B1047" t="s">
        <v>14</v>
      </c>
      <c r="C1047" s="4">
        <f>VLOOKUP(Googleadssales[[#This Row],[Ad_ID]],'[1]pre processed data'!A:C,3,0)</f>
        <v>182</v>
      </c>
      <c r="D1047" s="4">
        <f>VLOOKUP(Googleadssales[[#This Row],[Ad_ID]],'[1]pre processed data'!A:E,5,0)</f>
        <v>4039</v>
      </c>
      <c r="E1047" s="5" t="str">
        <f>VLOOKUP(Googleadssales[[#This Row],[Ad_ID]],[1]!Table3[[Ad_ID]:[Cost-imputed]],7,0)</f>
        <v>$240.35</v>
      </c>
      <c r="F1047" s="4">
        <f>VLOOKUP(Googleadssales[[#This Row],[Ad_ID]],'[1]pre processed data'!A:I,9,0)</f>
        <v>12</v>
      </c>
      <c r="G1047" s="4">
        <f>VLOOKUP(Googleadssales[[#This Row],[Ad_ID]],'[1]pre processed data'!A:K,11,0)</f>
        <v>7</v>
      </c>
      <c r="H1047" s="2">
        <f>Googleadssales[[#This Row],[Conversions]]/Googleadssales[[#This Row],[Clicks]]</f>
        <v>3.8461538461538464E-2</v>
      </c>
      <c r="I1047" t="str">
        <f>VLOOKUP(Googleadssales[[#This Row],[Ad_ID]],'[1]pre processed data'!A:O,15,0)</f>
        <v>$1214</v>
      </c>
      <c r="J1047" s="3">
        <f>VLOOKUP(Googleadssales[[#This Row],[Ad_ID]],'[1]pre processed data'!A:Q,17,0)</f>
        <v>45609</v>
      </c>
      <c r="K1047" t="str">
        <f>VLOOKUP(Googleadssales[[#This Row],[Ad_ID]],'[1]pre processed data'!A:R,18,0)</f>
        <v>Chennai</v>
      </c>
      <c r="L1047" t="str">
        <f>VLOOKUP(Googleadssales[[#This Row],[Ad_ID]],'[1]pre processed data'!A:S,19,0)</f>
        <v>Tablet</v>
      </c>
      <c r="M1047" t="str">
        <f>VLOOKUP(Googleadssales[[#This Row],[Ad_ID]],'[1]pre processed data'!A:T,20,0)</f>
        <v>data analytics training</v>
      </c>
    </row>
    <row r="1048" spans="1:13" x14ac:dyDescent="0.3">
      <c r="A1048" t="s">
        <v>1061</v>
      </c>
      <c r="B1048" t="s">
        <v>14</v>
      </c>
      <c r="C1048" s="4">
        <f>VLOOKUP(Googleadssales[[#This Row],[Ad_ID]],'[1]pre processed data'!A:C,3,0)</f>
        <v>137</v>
      </c>
      <c r="D1048" s="4">
        <f>VLOOKUP(Googleadssales[[#This Row],[Ad_ID]],'[1]pre processed data'!A:E,5,0)</f>
        <v>3150</v>
      </c>
      <c r="E1048" s="5" t="str">
        <f>VLOOKUP(Googleadssales[[#This Row],[Ad_ID]],[1]!Table3[[Ad_ID]:[Cost-imputed]],7,0)</f>
        <v>$184.36</v>
      </c>
      <c r="F1048" s="4">
        <f>VLOOKUP(Googleadssales[[#This Row],[Ad_ID]],'[1]pre processed data'!A:I,9,0)</f>
        <v>19</v>
      </c>
      <c r="G1048" s="4">
        <f>VLOOKUP(Googleadssales[[#This Row],[Ad_ID]],'[1]pre processed data'!A:K,11,0)</f>
        <v>3</v>
      </c>
      <c r="H1048" s="2">
        <f>Googleadssales[[#This Row],[Conversions]]/Googleadssales[[#This Row],[Clicks]]</f>
        <v>2.1897810218978103E-2</v>
      </c>
      <c r="I1048" t="str">
        <f>VLOOKUP(Googleadssales[[#This Row],[Ad_ID]],'[1]pre processed data'!A:O,15,0)</f>
        <v>$1218</v>
      </c>
      <c r="J1048" s="3">
        <f>VLOOKUP(Googleadssales[[#This Row],[Ad_ID]],'[1]pre processed data'!A:Q,17,0)</f>
        <v>45625</v>
      </c>
      <c r="K1048" t="str">
        <f>VLOOKUP(Googleadssales[[#This Row],[Ad_ID]],'[1]pre processed data'!A:R,18,0)</f>
        <v>Hyderabad</v>
      </c>
      <c r="L1048" t="str">
        <f>VLOOKUP(Googleadssales[[#This Row],[Ad_ID]],'[1]pre processed data'!A:S,19,0)</f>
        <v>Tablet</v>
      </c>
      <c r="M1048" t="str">
        <f>VLOOKUP(Googleadssales[[#This Row],[Ad_ID]],'[1]pre processed data'!A:T,20,0)</f>
        <v>data analytics online</v>
      </c>
    </row>
    <row r="1049" spans="1:13" x14ac:dyDescent="0.3">
      <c r="A1049" t="s">
        <v>1062</v>
      </c>
      <c r="B1049" t="s">
        <v>14</v>
      </c>
      <c r="C1049" s="4">
        <f>VLOOKUP(Googleadssales[[#This Row],[Ad_ID]],'[1]pre processed data'!A:C,3,0)</f>
        <v>93</v>
      </c>
      <c r="D1049" s="4">
        <f>VLOOKUP(Googleadssales[[#This Row],[Ad_ID]],'[1]pre processed data'!A:E,5,0)</f>
        <v>4498</v>
      </c>
      <c r="E1049" s="5" t="str">
        <f>VLOOKUP(Googleadssales[[#This Row],[Ad_ID]],[1]!Table3[[Ad_ID]:[Cost-imputed]],7,0)</f>
        <v>$237.67</v>
      </c>
      <c r="F1049" s="4">
        <f>VLOOKUP(Googleadssales[[#This Row],[Ad_ID]],'[1]pre processed data'!A:I,9,0)</f>
        <v>27</v>
      </c>
      <c r="G1049" s="4">
        <f>VLOOKUP(Googleadssales[[#This Row],[Ad_ID]],'[1]pre processed data'!A:K,11,0)</f>
        <v>3</v>
      </c>
      <c r="H1049" s="2">
        <f>Googleadssales[[#This Row],[Conversions]]/Googleadssales[[#This Row],[Clicks]]</f>
        <v>3.2258064516129031E-2</v>
      </c>
      <c r="I1049" t="str">
        <f>VLOOKUP(Googleadssales[[#This Row],[Ad_ID]],'[1]pre processed data'!A:O,15,0)</f>
        <v>$1102</v>
      </c>
      <c r="J1049" s="3">
        <f>VLOOKUP(Googleadssales[[#This Row],[Ad_ID]],'[1]pre processed data'!A:Q,17,0)</f>
        <v>45626</v>
      </c>
      <c r="K1049" t="str">
        <f>VLOOKUP(Googleadssales[[#This Row],[Ad_ID]],'[1]pre processed data'!A:R,18,0)</f>
        <v>Bangaluru</v>
      </c>
      <c r="L1049" t="str">
        <f>VLOOKUP(Googleadssales[[#This Row],[Ad_ID]],'[1]pre processed data'!A:S,19,0)</f>
        <v>Mobile</v>
      </c>
      <c r="M1049" t="str">
        <f>VLOOKUP(Googleadssales[[#This Row],[Ad_ID]],'[1]pre processed data'!A:T,20,0)</f>
        <v>online data analytic</v>
      </c>
    </row>
    <row r="1050" spans="1:13" x14ac:dyDescent="0.3">
      <c r="A1050" t="s">
        <v>1063</v>
      </c>
      <c r="B1050" t="s">
        <v>14</v>
      </c>
      <c r="C1050" s="4">
        <f>VLOOKUP(Googleadssales[[#This Row],[Ad_ID]],'[1]pre processed data'!A:C,3,0)</f>
        <v>136</v>
      </c>
      <c r="D1050" s="4">
        <f>VLOOKUP(Googleadssales[[#This Row],[Ad_ID]],'[1]pre processed data'!A:E,5,0)</f>
        <v>4683</v>
      </c>
      <c r="E1050" s="5" t="str">
        <f>VLOOKUP(Googleadssales[[#This Row],[Ad_ID]],[1]!Table3[[Ad_ID]:[Cost-imputed]],7,0)</f>
        <v>$228.82</v>
      </c>
      <c r="F1050" s="4">
        <f>VLOOKUP(Googleadssales[[#This Row],[Ad_ID]],'[1]pre processed data'!A:I,9,0)</f>
        <v>22</v>
      </c>
      <c r="G1050" s="4">
        <f>VLOOKUP(Googleadssales[[#This Row],[Ad_ID]],'[1]pre processed data'!A:K,11,0)</f>
        <v>5</v>
      </c>
      <c r="H1050" s="2">
        <f>Googleadssales[[#This Row],[Conversions]]/Googleadssales[[#This Row],[Clicks]]</f>
        <v>3.6764705882352942E-2</v>
      </c>
      <c r="I1050" t="str">
        <f>VLOOKUP(Googleadssales[[#This Row],[Ad_ID]],'[1]pre processed data'!A:O,15,0)</f>
        <v>$1493</v>
      </c>
      <c r="J1050" s="3">
        <f>VLOOKUP(Googleadssales[[#This Row],[Ad_ID]],'[1]pre processed data'!A:Q,17,0)</f>
        <v>45615</v>
      </c>
      <c r="K1050" t="str">
        <f>VLOOKUP(Googleadssales[[#This Row],[Ad_ID]],'[1]pre processed data'!A:R,18,0)</f>
        <v>Hyderabad</v>
      </c>
      <c r="L1050" t="str">
        <f>VLOOKUP(Googleadssales[[#This Row],[Ad_ID]],'[1]pre processed data'!A:S,19,0)</f>
        <v>Desktop</v>
      </c>
      <c r="M1050" t="str">
        <f>VLOOKUP(Googleadssales[[#This Row],[Ad_ID]],'[1]pre processed data'!A:T,20,0)</f>
        <v>learn data analytics</v>
      </c>
    </row>
    <row r="1051" spans="1:13" x14ac:dyDescent="0.3">
      <c r="A1051" t="s">
        <v>1064</v>
      </c>
      <c r="B1051" t="s">
        <v>14</v>
      </c>
      <c r="C1051" s="4">
        <f>VLOOKUP(Googleadssales[[#This Row],[Ad_ID]],'[1]pre processed data'!A:C,3,0)</f>
        <v>194</v>
      </c>
      <c r="D1051" s="4">
        <f>VLOOKUP(Googleadssales[[#This Row],[Ad_ID]],'[1]pre processed data'!A:E,5,0)</f>
        <v>5620</v>
      </c>
      <c r="E1051" s="5" t="str">
        <f>VLOOKUP(Googleadssales[[#This Row],[Ad_ID]],[1]!Table3[[Ad_ID]:[Cost-imputed]],7,0)</f>
        <v>$194.91</v>
      </c>
      <c r="F1051" s="4">
        <f>VLOOKUP(Googleadssales[[#This Row],[Ad_ID]],'[1]pre processed data'!A:I,9,0)</f>
        <v>22</v>
      </c>
      <c r="G1051" s="4">
        <f>VLOOKUP(Googleadssales[[#This Row],[Ad_ID]],'[1]pre processed data'!A:K,11,0)</f>
        <v>10</v>
      </c>
      <c r="H1051" s="2">
        <f>Googleadssales[[#This Row],[Conversions]]/Googleadssales[[#This Row],[Clicks]]</f>
        <v>5.1546391752577317E-2</v>
      </c>
      <c r="I1051" t="str">
        <f>VLOOKUP(Googleadssales[[#This Row],[Ad_ID]],'[1]pre processed data'!A:O,15,0)</f>
        <v>$1607</v>
      </c>
      <c r="J1051" s="3">
        <f>VLOOKUP(Googleadssales[[#This Row],[Ad_ID]],'[1]pre processed data'!A:Q,17,0)</f>
        <v>45604</v>
      </c>
      <c r="K1051" t="str">
        <f>VLOOKUP(Googleadssales[[#This Row],[Ad_ID]],'[1]pre processed data'!A:R,18,0)</f>
        <v>Bangaluru</v>
      </c>
      <c r="L1051" t="str">
        <f>VLOOKUP(Googleadssales[[#This Row],[Ad_ID]],'[1]pre processed data'!A:S,19,0)</f>
        <v>Tablet</v>
      </c>
      <c r="M1051" t="str">
        <f>VLOOKUP(Googleadssales[[#This Row],[Ad_ID]],'[1]pre processed data'!A:T,20,0)</f>
        <v>data analytics course</v>
      </c>
    </row>
    <row r="1052" spans="1:13" x14ac:dyDescent="0.3">
      <c r="A1052" t="s">
        <v>1065</v>
      </c>
      <c r="B1052" t="s">
        <v>14</v>
      </c>
      <c r="C1052" s="4">
        <f>VLOOKUP(Googleadssales[[#This Row],[Ad_ID]],'[1]pre processed data'!A:C,3,0)</f>
        <v>138.95699356913184</v>
      </c>
      <c r="D1052" s="4">
        <f>VLOOKUP(Googleadssales[[#This Row],[Ad_ID]],'[1]pre processed data'!A:E,5,0)</f>
        <v>4653</v>
      </c>
      <c r="E1052" s="5" t="str">
        <f>VLOOKUP(Googleadssales[[#This Row],[Ad_ID]],[1]!Table3[[Ad_ID]:[Cost-imputed]],7,0)</f>
        <v>$194.99</v>
      </c>
      <c r="F1052" s="4">
        <f>VLOOKUP(Googleadssales[[#This Row],[Ad_ID]],'[1]pre processed data'!A:I,9,0)</f>
        <v>11</v>
      </c>
      <c r="G1052" s="4">
        <f>VLOOKUP(Googleadssales[[#This Row],[Ad_ID]],'[1]pre processed data'!A:K,11,0)</f>
        <v>5</v>
      </c>
      <c r="H1052" s="2">
        <f>Googleadssales[[#This Row],[Conversions]]/Googleadssales[[#This Row],[Clicks]]</f>
        <v>3.5982355918721523E-2</v>
      </c>
      <c r="I1052" t="str">
        <f>VLOOKUP(Googleadssales[[#This Row],[Ad_ID]],'[1]pre processed data'!A:O,15,0)</f>
        <v>$1928</v>
      </c>
      <c r="J1052" s="3">
        <f>VLOOKUP(Googleadssales[[#This Row],[Ad_ID]],'[1]pre processed data'!A:Q,17,0)</f>
        <v>45608</v>
      </c>
      <c r="K1052" t="str">
        <f>VLOOKUP(Googleadssales[[#This Row],[Ad_ID]],'[1]pre processed data'!A:R,18,0)</f>
        <v>Chennai</v>
      </c>
      <c r="L1052" t="str">
        <f>VLOOKUP(Googleadssales[[#This Row],[Ad_ID]],'[1]pre processed data'!A:S,19,0)</f>
        <v>Tablet</v>
      </c>
      <c r="M1052" t="str">
        <f>VLOOKUP(Googleadssales[[#This Row],[Ad_ID]],'[1]pre processed data'!A:T,20,0)</f>
        <v>learn data analytics</v>
      </c>
    </row>
    <row r="1053" spans="1:13" x14ac:dyDescent="0.3">
      <c r="A1053" t="s">
        <v>1066</v>
      </c>
      <c r="B1053" t="s">
        <v>18</v>
      </c>
      <c r="C1053" s="4">
        <f>VLOOKUP(Googleadssales[[#This Row],[Ad_ID]],'[1]pre processed data'!A:C,3,0)</f>
        <v>181</v>
      </c>
      <c r="D1053" s="4">
        <f>VLOOKUP(Googleadssales[[#This Row],[Ad_ID]],'[1]pre processed data'!A:E,5,0)</f>
        <v>3063</v>
      </c>
      <c r="E1053" s="5" t="str">
        <f>VLOOKUP(Googleadssales[[#This Row],[Ad_ID]],[1]!Table3[[Ad_ID]:[Cost-imputed]],7,0)</f>
        <v>$191.03</v>
      </c>
      <c r="F1053" s="4">
        <f>VLOOKUP(Googleadssales[[#This Row],[Ad_ID]],'[1]pre processed data'!A:I,9,0)</f>
        <v>15</v>
      </c>
      <c r="G1053" s="4">
        <f>VLOOKUP(Googleadssales[[#This Row],[Ad_ID]],'[1]pre processed data'!A:K,11,0)</f>
        <v>4</v>
      </c>
      <c r="H1053" s="2">
        <f>Googleadssales[[#This Row],[Conversions]]/Googleadssales[[#This Row],[Clicks]]</f>
        <v>2.2099447513812154E-2</v>
      </c>
      <c r="I1053" t="str">
        <f>VLOOKUP(Googleadssales[[#This Row],[Ad_ID]],'[1]pre processed data'!A:O,15,0)</f>
        <v>$1125</v>
      </c>
      <c r="J1053" s="3">
        <f>VLOOKUP(Googleadssales[[#This Row],[Ad_ID]],'[1]pre processed data'!A:Q,17,0)</f>
        <v>45617</v>
      </c>
      <c r="K1053" t="str">
        <f>VLOOKUP(Googleadssales[[#This Row],[Ad_ID]],'[1]pre processed data'!A:R,18,0)</f>
        <v>Hyderabad</v>
      </c>
      <c r="L1053" t="str">
        <f>VLOOKUP(Googleadssales[[#This Row],[Ad_ID]],'[1]pre processed data'!A:S,19,0)</f>
        <v>Desktop</v>
      </c>
      <c r="M1053" t="str">
        <f>VLOOKUP(Googleadssales[[#This Row],[Ad_ID]],'[1]pre processed data'!A:T,20,0)</f>
        <v>data analytics training</v>
      </c>
    </row>
    <row r="1054" spans="1:13" x14ac:dyDescent="0.3">
      <c r="A1054" t="s">
        <v>1067</v>
      </c>
      <c r="B1054" t="s">
        <v>14</v>
      </c>
      <c r="C1054" s="4">
        <f>VLOOKUP(Googleadssales[[#This Row],[Ad_ID]],'[1]pre processed data'!A:C,3,0)</f>
        <v>156</v>
      </c>
      <c r="D1054" s="4">
        <f>VLOOKUP(Googleadssales[[#This Row],[Ad_ID]],'[1]pre processed data'!A:E,5,0)</f>
        <v>3273</v>
      </c>
      <c r="E1054" s="5" t="str">
        <f>VLOOKUP(Googleadssales[[#This Row],[Ad_ID]],[1]!Table3[[Ad_ID]:[Cost-imputed]],7,0)</f>
        <v>$245.27</v>
      </c>
      <c r="F1054" s="4">
        <f>VLOOKUP(Googleadssales[[#This Row],[Ad_ID]],'[1]pre processed data'!A:I,9,0)</f>
        <v>30</v>
      </c>
      <c r="G1054" s="4">
        <f>VLOOKUP(Googleadssales[[#This Row],[Ad_ID]],'[1]pre processed data'!A:K,11,0)</f>
        <v>8</v>
      </c>
      <c r="H1054" s="2">
        <f>Googleadssales[[#This Row],[Conversions]]/Googleadssales[[#This Row],[Clicks]]</f>
        <v>5.128205128205128E-2</v>
      </c>
      <c r="I1054" t="str">
        <f>VLOOKUP(Googleadssales[[#This Row],[Ad_ID]],'[1]pre processed data'!A:O,15,0)</f>
        <v>$1500</v>
      </c>
      <c r="J1054" s="3">
        <f>VLOOKUP(Googleadssales[[#This Row],[Ad_ID]],'[1]pre processed data'!A:Q,17,0)</f>
        <v>45601</v>
      </c>
      <c r="K1054" t="str">
        <f>VLOOKUP(Googleadssales[[#This Row],[Ad_ID]],'[1]pre processed data'!A:R,18,0)</f>
        <v>Bangaluru</v>
      </c>
      <c r="L1054" t="str">
        <f>VLOOKUP(Googleadssales[[#This Row],[Ad_ID]],'[1]pre processed data'!A:S,19,0)</f>
        <v>Tablet</v>
      </c>
      <c r="M1054" t="str">
        <f>VLOOKUP(Googleadssales[[#This Row],[Ad_ID]],'[1]pre processed data'!A:T,20,0)</f>
        <v>learn data analytics</v>
      </c>
    </row>
    <row r="1055" spans="1:13" x14ac:dyDescent="0.3">
      <c r="A1055" t="s">
        <v>1068</v>
      </c>
      <c r="B1055" t="s">
        <v>18</v>
      </c>
      <c r="C1055" s="4">
        <f>VLOOKUP(Googleadssales[[#This Row],[Ad_ID]],'[1]pre processed data'!A:C,3,0)</f>
        <v>128</v>
      </c>
      <c r="D1055" s="4">
        <f>VLOOKUP(Googleadssales[[#This Row],[Ad_ID]],'[1]pre processed data'!A:E,5,0)</f>
        <v>4314</v>
      </c>
      <c r="E1055" s="5" t="str">
        <f>VLOOKUP(Googleadssales[[#This Row],[Ad_ID]],[1]!Table3[[Ad_ID]:[Cost-imputed]],7,0)</f>
        <v>$181.68</v>
      </c>
      <c r="F1055" s="4">
        <f>VLOOKUP(Googleadssales[[#This Row],[Ad_ID]],'[1]pre processed data'!A:I,9,0)</f>
        <v>28</v>
      </c>
      <c r="G1055" s="4">
        <f>VLOOKUP(Googleadssales[[#This Row],[Ad_ID]],'[1]pre processed data'!A:K,11,0)</f>
        <v>5</v>
      </c>
      <c r="H1055" s="2">
        <f>Googleadssales[[#This Row],[Conversions]]/Googleadssales[[#This Row],[Clicks]]</f>
        <v>3.90625E-2</v>
      </c>
      <c r="I1055" t="str">
        <f>VLOOKUP(Googleadssales[[#This Row],[Ad_ID]],'[1]pre processed data'!A:O,15,0)</f>
        <v>$1456</v>
      </c>
      <c r="J1055" s="3">
        <f>VLOOKUP(Googleadssales[[#This Row],[Ad_ID]],'[1]pre processed data'!A:Q,17,0)</f>
        <v>45621</v>
      </c>
      <c r="K1055" t="str">
        <f>VLOOKUP(Googleadssales[[#This Row],[Ad_ID]],'[1]pre processed data'!A:R,18,0)</f>
        <v>Bangaluru</v>
      </c>
      <c r="L1055" t="str">
        <f>VLOOKUP(Googleadssales[[#This Row],[Ad_ID]],'[1]pre processed data'!A:S,19,0)</f>
        <v>Mobile</v>
      </c>
      <c r="M1055" t="str">
        <f>VLOOKUP(Googleadssales[[#This Row],[Ad_ID]],'[1]pre processed data'!A:T,20,0)</f>
        <v>analytics for data</v>
      </c>
    </row>
    <row r="1056" spans="1:13" x14ac:dyDescent="0.3">
      <c r="A1056" t="s">
        <v>1069</v>
      </c>
      <c r="B1056" t="s">
        <v>14</v>
      </c>
      <c r="C1056" s="4">
        <f>VLOOKUP(Googleadssales[[#This Row],[Ad_ID]],'[1]pre processed data'!A:C,3,0)</f>
        <v>133</v>
      </c>
      <c r="D1056" s="4">
        <f>VLOOKUP(Googleadssales[[#This Row],[Ad_ID]],'[1]pre processed data'!A:E,5,0)</f>
        <v>5945</v>
      </c>
      <c r="E1056" s="5" t="str">
        <f>VLOOKUP(Googleadssales[[#This Row],[Ad_ID]],[1]!Table3[[Ad_ID]:[Cost-imputed]],7,0)</f>
        <v>$223.43</v>
      </c>
      <c r="F1056" s="4">
        <f>VLOOKUP(Googleadssales[[#This Row],[Ad_ID]],'[1]pre processed data'!A:I,9,0)</f>
        <v>16</v>
      </c>
      <c r="G1056" s="4">
        <f>VLOOKUP(Googleadssales[[#This Row],[Ad_ID]],'[1]pre processed data'!A:K,11,0)</f>
        <v>6</v>
      </c>
      <c r="H1056" s="2">
        <f>Googleadssales[[#This Row],[Conversions]]/Googleadssales[[#This Row],[Clicks]]</f>
        <v>4.5112781954887216E-2</v>
      </c>
      <c r="I1056" t="str">
        <f>VLOOKUP(Googleadssales[[#This Row],[Ad_ID]],'[1]pre processed data'!A:O,15,0)</f>
        <v>$1329</v>
      </c>
      <c r="J1056" s="3">
        <f>VLOOKUP(Googleadssales[[#This Row],[Ad_ID]],'[1]pre processed data'!A:Q,17,0)</f>
        <v>45612</v>
      </c>
      <c r="K1056" t="str">
        <f>VLOOKUP(Googleadssales[[#This Row],[Ad_ID]],'[1]pre processed data'!A:R,18,0)</f>
        <v>Hyderabad</v>
      </c>
      <c r="L1056" t="str">
        <f>VLOOKUP(Googleadssales[[#This Row],[Ad_ID]],'[1]pre processed data'!A:S,19,0)</f>
        <v>Tablet</v>
      </c>
      <c r="M1056" t="str">
        <f>VLOOKUP(Googleadssales[[#This Row],[Ad_ID]],'[1]pre processed data'!A:T,20,0)</f>
        <v>data analytics training</v>
      </c>
    </row>
    <row r="1057" spans="1:13" x14ac:dyDescent="0.3">
      <c r="A1057" t="s">
        <v>1070</v>
      </c>
      <c r="B1057" t="s">
        <v>18</v>
      </c>
      <c r="C1057" s="4">
        <f>VLOOKUP(Googleadssales[[#This Row],[Ad_ID]],'[1]pre processed data'!A:C,3,0)</f>
        <v>118</v>
      </c>
      <c r="D1057" s="4">
        <f>VLOOKUP(Googleadssales[[#This Row],[Ad_ID]],'[1]pre processed data'!A:E,5,0)</f>
        <v>4794</v>
      </c>
      <c r="E1057" s="5" t="str">
        <f>VLOOKUP(Googleadssales[[#This Row],[Ad_ID]],[1]!Table3[[Ad_ID]:[Cost-imputed]],7,0)</f>
        <v>$233.49</v>
      </c>
      <c r="F1057" s="4">
        <f>VLOOKUP(Googleadssales[[#This Row],[Ad_ID]],'[1]pre processed data'!A:I,9,0)</f>
        <v>20.025827814569535</v>
      </c>
      <c r="G1057" s="4">
        <f>VLOOKUP(Googleadssales[[#This Row],[Ad_ID]],'[1]pre processed data'!A:K,11,0)</f>
        <v>3</v>
      </c>
      <c r="H1057" s="2">
        <f>Googleadssales[[#This Row],[Conversions]]/Googleadssales[[#This Row],[Clicks]]</f>
        <v>2.5423728813559324E-2</v>
      </c>
      <c r="I1057" t="str">
        <f>VLOOKUP(Googleadssales[[#This Row],[Ad_ID]],'[1]pre processed data'!A:O,15,0)</f>
        <v>$1707</v>
      </c>
      <c r="J1057" s="3">
        <f>VLOOKUP(Googleadssales[[#This Row],[Ad_ID]],'[1]pre processed data'!A:Q,17,0)</f>
        <v>45623</v>
      </c>
      <c r="K1057" t="str">
        <f>VLOOKUP(Googleadssales[[#This Row],[Ad_ID]],'[1]pre processed data'!A:R,18,0)</f>
        <v>Chennai</v>
      </c>
      <c r="L1057" t="str">
        <f>VLOOKUP(Googleadssales[[#This Row],[Ad_ID]],'[1]pre processed data'!A:S,19,0)</f>
        <v>Mobile</v>
      </c>
      <c r="M1057" t="str">
        <f>VLOOKUP(Googleadssales[[#This Row],[Ad_ID]],'[1]pre processed data'!A:T,20,0)</f>
        <v>data analytics course</v>
      </c>
    </row>
    <row r="1058" spans="1:13" x14ac:dyDescent="0.3">
      <c r="A1058" t="s">
        <v>1071</v>
      </c>
      <c r="B1058" t="s">
        <v>14</v>
      </c>
      <c r="C1058" s="4">
        <f>VLOOKUP(Googleadssales[[#This Row],[Ad_ID]],'[1]pre processed data'!A:C,3,0)</f>
        <v>191</v>
      </c>
      <c r="D1058" s="4">
        <f>VLOOKUP(Googleadssales[[#This Row],[Ad_ID]],'[1]pre processed data'!A:E,5,0)</f>
        <v>5227</v>
      </c>
      <c r="E1058" s="5" t="str">
        <f>VLOOKUP(Googleadssales[[#This Row],[Ad_ID]],[1]!Table3[[Ad_ID]:[Cost-imputed]],7,0)</f>
        <v>$204.87</v>
      </c>
      <c r="F1058" s="4">
        <f>VLOOKUP(Googleadssales[[#This Row],[Ad_ID]],'[1]pre processed data'!A:I,9,0)</f>
        <v>26</v>
      </c>
      <c r="G1058" s="4">
        <f>VLOOKUP(Googleadssales[[#This Row],[Ad_ID]],'[1]pre processed data'!A:K,11,0)</f>
        <v>6</v>
      </c>
      <c r="H1058" s="2">
        <f>Googleadssales[[#This Row],[Conversions]]/Googleadssales[[#This Row],[Clicks]]</f>
        <v>3.1413612565445025E-2</v>
      </c>
      <c r="I1058" t="str">
        <f>VLOOKUP(Googleadssales[[#This Row],[Ad_ID]],'[1]pre processed data'!A:O,15,0)</f>
        <v>$1605</v>
      </c>
      <c r="J1058" s="3">
        <f>VLOOKUP(Googleadssales[[#This Row],[Ad_ID]],'[1]pre processed data'!A:Q,17,0)</f>
        <v>45616</v>
      </c>
      <c r="K1058" t="str">
        <f>VLOOKUP(Googleadssales[[#This Row],[Ad_ID]],'[1]pre processed data'!A:R,18,0)</f>
        <v>Chennai</v>
      </c>
      <c r="L1058" t="str">
        <f>VLOOKUP(Googleadssales[[#This Row],[Ad_ID]],'[1]pre processed data'!A:S,19,0)</f>
        <v>Mobile</v>
      </c>
      <c r="M1058" t="str">
        <f>VLOOKUP(Googleadssales[[#This Row],[Ad_ID]],'[1]pre processed data'!A:T,20,0)</f>
        <v>data analytics course</v>
      </c>
    </row>
    <row r="1059" spans="1:13" x14ac:dyDescent="0.3">
      <c r="A1059" t="s">
        <v>1072</v>
      </c>
      <c r="B1059" t="s">
        <v>18</v>
      </c>
      <c r="C1059" s="4">
        <f>VLOOKUP(Googleadssales[[#This Row],[Ad_ID]],'[1]pre processed data'!A:C,3,0)</f>
        <v>172</v>
      </c>
      <c r="D1059" s="4">
        <f>VLOOKUP(Googleadssales[[#This Row],[Ad_ID]],'[1]pre processed data'!A:E,5,0)</f>
        <v>4850</v>
      </c>
      <c r="E1059" s="5" t="str">
        <f>VLOOKUP(Googleadssales[[#This Row],[Ad_ID]],[1]!Table3[[Ad_ID]:[Cost-imputed]],7,0)</f>
        <v>$242.33</v>
      </c>
      <c r="F1059" s="4">
        <f>VLOOKUP(Googleadssales[[#This Row],[Ad_ID]],'[1]pre processed data'!A:I,9,0)</f>
        <v>27</v>
      </c>
      <c r="G1059" s="4">
        <f>VLOOKUP(Googleadssales[[#This Row],[Ad_ID]],'[1]pre processed data'!A:K,11,0)</f>
        <v>4</v>
      </c>
      <c r="H1059" s="2">
        <f>Googleadssales[[#This Row],[Conversions]]/Googleadssales[[#This Row],[Clicks]]</f>
        <v>2.3255813953488372E-2</v>
      </c>
      <c r="I1059" t="str">
        <f>VLOOKUP(Googleadssales[[#This Row],[Ad_ID]],'[1]pre processed data'!A:O,15,0)</f>
        <v>$1391</v>
      </c>
      <c r="J1059" s="3">
        <f>VLOOKUP(Googleadssales[[#This Row],[Ad_ID]],'[1]pre processed data'!A:Q,17,0)</f>
        <v>45617</v>
      </c>
      <c r="K1059" t="str">
        <f>VLOOKUP(Googleadssales[[#This Row],[Ad_ID]],'[1]pre processed data'!A:R,18,0)</f>
        <v>Chennai</v>
      </c>
      <c r="L1059" t="str">
        <f>VLOOKUP(Googleadssales[[#This Row],[Ad_ID]],'[1]pre processed data'!A:S,19,0)</f>
        <v>Tablet</v>
      </c>
      <c r="M1059" t="str">
        <f>VLOOKUP(Googleadssales[[#This Row],[Ad_ID]],'[1]pre processed data'!A:T,20,0)</f>
        <v>data analytics online</v>
      </c>
    </row>
    <row r="1060" spans="1:13" x14ac:dyDescent="0.3">
      <c r="A1060" t="s">
        <v>1073</v>
      </c>
      <c r="B1060" t="s">
        <v>14</v>
      </c>
      <c r="C1060" s="4">
        <f>VLOOKUP(Googleadssales[[#This Row],[Ad_ID]],'[1]pre processed data'!A:C,3,0)</f>
        <v>143</v>
      </c>
      <c r="D1060" s="4">
        <f>VLOOKUP(Googleadssales[[#This Row],[Ad_ID]],'[1]pre processed data'!A:E,5,0)</f>
        <v>5314</v>
      </c>
      <c r="E1060" s="5" t="str">
        <f>VLOOKUP(Googleadssales[[#This Row],[Ad_ID]],[1]!Table3[[Ad_ID]:[Cost-imputed]],7,0)</f>
        <v>$222.14</v>
      </c>
      <c r="F1060" s="4">
        <f>VLOOKUP(Googleadssales[[#This Row],[Ad_ID]],'[1]pre processed data'!A:I,9,0)</f>
        <v>21</v>
      </c>
      <c r="G1060" s="4">
        <f>VLOOKUP(Googleadssales[[#This Row],[Ad_ID]],'[1]pre processed data'!A:K,11,0)</f>
        <v>9</v>
      </c>
      <c r="H1060" s="2">
        <f>Googleadssales[[#This Row],[Conversions]]/Googleadssales[[#This Row],[Clicks]]</f>
        <v>6.2937062937062943E-2</v>
      </c>
      <c r="I1060" t="str">
        <f>VLOOKUP(Googleadssales[[#This Row],[Ad_ID]],'[1]pre processed data'!A:O,15,0)</f>
        <v>$1500</v>
      </c>
      <c r="J1060" s="3">
        <f>VLOOKUP(Googleadssales[[#This Row],[Ad_ID]],'[1]pre processed data'!A:Q,17,0)</f>
        <v>45618</v>
      </c>
      <c r="K1060" t="str">
        <f>VLOOKUP(Googleadssales[[#This Row],[Ad_ID]],'[1]pre processed data'!A:R,18,0)</f>
        <v>Hyderabad</v>
      </c>
      <c r="L1060" t="str">
        <f>VLOOKUP(Googleadssales[[#This Row],[Ad_ID]],'[1]pre processed data'!A:S,19,0)</f>
        <v>Tablet</v>
      </c>
      <c r="M1060" t="str">
        <f>VLOOKUP(Googleadssales[[#This Row],[Ad_ID]],'[1]pre processed data'!A:T,20,0)</f>
        <v>learn data analytics</v>
      </c>
    </row>
    <row r="1061" spans="1:13" x14ac:dyDescent="0.3">
      <c r="A1061" t="s">
        <v>1074</v>
      </c>
      <c r="B1061" t="s">
        <v>18</v>
      </c>
      <c r="C1061" s="4">
        <f>VLOOKUP(Googleadssales[[#This Row],[Ad_ID]],'[1]pre processed data'!A:C,3,0)</f>
        <v>110</v>
      </c>
      <c r="D1061" s="4">
        <f>VLOOKUP(Googleadssales[[#This Row],[Ad_ID]],'[1]pre processed data'!A:E,5,0)</f>
        <v>4394</v>
      </c>
      <c r="E1061" s="5" t="str">
        <f>VLOOKUP(Googleadssales[[#This Row],[Ad_ID]],[1]!Table3[[Ad_ID]:[Cost-imputed]],7,0)</f>
        <v>$194.23</v>
      </c>
      <c r="F1061" s="4">
        <f>VLOOKUP(Googleadssales[[#This Row],[Ad_ID]],'[1]pre processed data'!A:I,9,0)</f>
        <v>28</v>
      </c>
      <c r="G1061" s="4">
        <f>VLOOKUP(Googleadssales[[#This Row],[Ad_ID]],'[1]pre processed data'!A:K,11,0)</f>
        <v>3</v>
      </c>
      <c r="H1061" s="2">
        <f>Googleadssales[[#This Row],[Conversions]]/Googleadssales[[#This Row],[Clicks]]</f>
        <v>2.7272727272727271E-2</v>
      </c>
      <c r="I1061" t="str">
        <f>VLOOKUP(Googleadssales[[#This Row],[Ad_ID]],'[1]pre processed data'!A:O,15,0)</f>
        <v>$1394</v>
      </c>
      <c r="J1061" s="3">
        <f>VLOOKUP(Googleadssales[[#This Row],[Ad_ID]],'[1]pre processed data'!A:Q,17,0)</f>
        <v>45621</v>
      </c>
      <c r="K1061" t="str">
        <f>VLOOKUP(Googleadssales[[#This Row],[Ad_ID]],'[1]pre processed data'!A:R,18,0)</f>
        <v>Bangaluru</v>
      </c>
      <c r="L1061" t="str">
        <f>VLOOKUP(Googleadssales[[#This Row],[Ad_ID]],'[1]pre processed data'!A:S,19,0)</f>
        <v>Tablet</v>
      </c>
      <c r="M1061" t="str">
        <f>VLOOKUP(Googleadssales[[#This Row],[Ad_ID]],'[1]pre processed data'!A:T,20,0)</f>
        <v>analytics for data</v>
      </c>
    </row>
    <row r="1062" spans="1:13" x14ac:dyDescent="0.3">
      <c r="A1062" t="s">
        <v>1075</v>
      </c>
      <c r="B1062" t="s">
        <v>14</v>
      </c>
      <c r="C1062" s="4">
        <f>VLOOKUP(Googleadssales[[#This Row],[Ad_ID]],'[1]pre processed data'!A:C,3,0)</f>
        <v>119</v>
      </c>
      <c r="D1062" s="4">
        <f>VLOOKUP(Googleadssales[[#This Row],[Ad_ID]],'[1]pre processed data'!A:E,5,0)</f>
        <v>5820</v>
      </c>
      <c r="E1062" s="5" t="str">
        <f>VLOOKUP(Googleadssales[[#This Row],[Ad_ID]],[1]!Table3[[Ad_ID]:[Cost-imputed]],7,0)</f>
        <v>$196.42</v>
      </c>
      <c r="F1062" s="4">
        <f>VLOOKUP(Googleadssales[[#This Row],[Ad_ID]],'[1]pre processed data'!A:I,9,0)</f>
        <v>11</v>
      </c>
      <c r="G1062" s="4">
        <f>VLOOKUP(Googleadssales[[#This Row],[Ad_ID]],'[1]pre processed data'!A:K,11,0)</f>
        <v>10</v>
      </c>
      <c r="H1062" s="2">
        <f>Googleadssales[[#This Row],[Conversions]]/Googleadssales[[#This Row],[Clicks]]</f>
        <v>8.4033613445378158E-2</v>
      </c>
      <c r="I1062" t="str">
        <f>VLOOKUP(Googleadssales[[#This Row],[Ad_ID]],'[1]pre processed data'!A:O,15,0)</f>
        <v>$1707</v>
      </c>
      <c r="J1062" s="3">
        <f>VLOOKUP(Googleadssales[[#This Row],[Ad_ID]],'[1]pre processed data'!A:Q,17,0)</f>
        <v>45618</v>
      </c>
      <c r="K1062" t="str">
        <f>VLOOKUP(Googleadssales[[#This Row],[Ad_ID]],'[1]pre processed data'!A:R,18,0)</f>
        <v>Bangaluru</v>
      </c>
      <c r="L1062" t="str">
        <f>VLOOKUP(Googleadssales[[#This Row],[Ad_ID]],'[1]pre processed data'!A:S,19,0)</f>
        <v>Tablet</v>
      </c>
      <c r="M1062" t="str">
        <f>VLOOKUP(Googleadssales[[#This Row],[Ad_ID]],'[1]pre processed data'!A:T,20,0)</f>
        <v>learn data analytics</v>
      </c>
    </row>
    <row r="1063" spans="1:13" x14ac:dyDescent="0.3">
      <c r="A1063" t="s">
        <v>1076</v>
      </c>
      <c r="B1063" t="s">
        <v>14</v>
      </c>
      <c r="C1063" s="4">
        <f>VLOOKUP(Googleadssales[[#This Row],[Ad_ID]],'[1]pre processed data'!A:C,3,0)</f>
        <v>178</v>
      </c>
      <c r="D1063" s="4">
        <f>VLOOKUP(Googleadssales[[#This Row],[Ad_ID]],'[1]pre processed data'!A:E,5,0)</f>
        <v>5328</v>
      </c>
      <c r="E1063" s="5" t="str">
        <f>VLOOKUP(Googleadssales[[#This Row],[Ad_ID]],[1]!Table3[[Ad_ID]:[Cost-imputed]],7,0)</f>
        <v>$201.9</v>
      </c>
      <c r="F1063" s="4">
        <f>VLOOKUP(Googleadssales[[#This Row],[Ad_ID]],'[1]pre processed data'!A:I,9,0)</f>
        <v>20</v>
      </c>
      <c r="G1063" s="4">
        <f>VLOOKUP(Googleadssales[[#This Row],[Ad_ID]],'[1]pre processed data'!A:K,11,0)</f>
        <v>9</v>
      </c>
      <c r="H1063" s="2">
        <f>Googleadssales[[#This Row],[Conversions]]/Googleadssales[[#This Row],[Clicks]]</f>
        <v>5.0561797752808987E-2</v>
      </c>
      <c r="I1063" t="str">
        <f>VLOOKUP(Googleadssales[[#This Row],[Ad_ID]],'[1]pre processed data'!A:O,15,0)</f>
        <v>$1452</v>
      </c>
      <c r="J1063" s="3">
        <f>VLOOKUP(Googleadssales[[#This Row],[Ad_ID]],'[1]pre processed data'!A:Q,17,0)</f>
        <v>45617</v>
      </c>
      <c r="K1063" t="str">
        <f>VLOOKUP(Googleadssales[[#This Row],[Ad_ID]],'[1]pre processed data'!A:R,18,0)</f>
        <v>Hyderabad</v>
      </c>
      <c r="L1063" t="str">
        <f>VLOOKUP(Googleadssales[[#This Row],[Ad_ID]],'[1]pre processed data'!A:S,19,0)</f>
        <v>Mobile</v>
      </c>
      <c r="M1063" t="str">
        <f>VLOOKUP(Googleadssales[[#This Row],[Ad_ID]],'[1]pre processed data'!A:T,20,0)</f>
        <v>data analytics course</v>
      </c>
    </row>
    <row r="1064" spans="1:13" x14ac:dyDescent="0.3">
      <c r="A1064" t="s">
        <v>1077</v>
      </c>
      <c r="B1064" t="s">
        <v>18</v>
      </c>
      <c r="C1064" s="4">
        <f>VLOOKUP(Googleadssales[[#This Row],[Ad_ID]],'[1]pre processed data'!A:C,3,0)</f>
        <v>138.95699356913184</v>
      </c>
      <c r="D1064" s="4">
        <f>VLOOKUP(Googleadssales[[#This Row],[Ad_ID]],'[1]pre processed data'!A:E,5,0)</f>
        <v>3557</v>
      </c>
      <c r="E1064" s="5" t="str">
        <f>VLOOKUP(Googleadssales[[#This Row],[Ad_ID]],[1]!Table3[[Ad_ID]:[Cost-imputed]],7,0)</f>
        <v>$190.84</v>
      </c>
      <c r="F1064" s="4">
        <f>VLOOKUP(Googleadssales[[#This Row],[Ad_ID]],'[1]pre processed data'!A:I,9,0)</f>
        <v>17</v>
      </c>
      <c r="G1064" s="4">
        <f>VLOOKUP(Googleadssales[[#This Row],[Ad_ID]],'[1]pre processed data'!A:K,11,0)</f>
        <v>4</v>
      </c>
      <c r="H1064" s="2">
        <f>Googleadssales[[#This Row],[Conversions]]/Googleadssales[[#This Row],[Clicks]]</f>
        <v>2.8785884734977219E-2</v>
      </c>
      <c r="I1064" t="str">
        <f>VLOOKUP(Googleadssales[[#This Row],[Ad_ID]],'[1]pre processed data'!A:O,15,0)</f>
        <v>$1925</v>
      </c>
      <c r="J1064" s="3">
        <f>VLOOKUP(Googleadssales[[#This Row],[Ad_ID]],'[1]pre processed data'!A:Q,17,0)</f>
        <v>45624</v>
      </c>
      <c r="K1064" t="str">
        <f>VLOOKUP(Googleadssales[[#This Row],[Ad_ID]],'[1]pre processed data'!A:R,18,0)</f>
        <v>Bangaluru</v>
      </c>
      <c r="L1064" t="str">
        <f>VLOOKUP(Googleadssales[[#This Row],[Ad_ID]],'[1]pre processed data'!A:S,19,0)</f>
        <v>Desktop</v>
      </c>
      <c r="M1064" t="str">
        <f>VLOOKUP(Googleadssales[[#This Row],[Ad_ID]],'[1]pre processed data'!A:T,20,0)</f>
        <v>data analytics online</v>
      </c>
    </row>
    <row r="1065" spans="1:13" x14ac:dyDescent="0.3">
      <c r="A1065" t="s">
        <v>1078</v>
      </c>
      <c r="B1065" t="s">
        <v>14</v>
      </c>
      <c r="C1065" s="4">
        <f>VLOOKUP(Googleadssales[[#This Row],[Ad_ID]],'[1]pre processed data'!A:C,3,0)</f>
        <v>95</v>
      </c>
      <c r="D1065" s="4">
        <f>VLOOKUP(Googleadssales[[#This Row],[Ad_ID]],'[1]pre processed data'!A:E,5,0)</f>
        <v>4050</v>
      </c>
      <c r="E1065" s="5" t="str">
        <f>VLOOKUP(Googleadssales[[#This Row],[Ad_ID]],[1]!Table3[[Ad_ID]:[Cost-imputed]],7,0)</f>
        <v>$234.79</v>
      </c>
      <c r="F1065" s="4">
        <f>VLOOKUP(Googleadssales[[#This Row],[Ad_ID]],'[1]pre processed data'!A:I,9,0)</f>
        <v>20</v>
      </c>
      <c r="G1065" s="4">
        <f>VLOOKUP(Googleadssales[[#This Row],[Ad_ID]],'[1]pre processed data'!A:K,11,0)</f>
        <v>5</v>
      </c>
      <c r="H1065" s="2">
        <f>Googleadssales[[#This Row],[Conversions]]/Googleadssales[[#This Row],[Clicks]]</f>
        <v>5.2631578947368418E-2</v>
      </c>
      <c r="I1065" t="str">
        <f>VLOOKUP(Googleadssales[[#This Row],[Ad_ID]],'[1]pre processed data'!A:O,15,0)</f>
        <v>$1783</v>
      </c>
      <c r="J1065" s="3">
        <f>VLOOKUP(Googleadssales[[#This Row],[Ad_ID]],'[1]pre processed data'!A:Q,17,0)</f>
        <v>45614</v>
      </c>
      <c r="K1065" t="str">
        <f>VLOOKUP(Googleadssales[[#This Row],[Ad_ID]],'[1]pre processed data'!A:R,18,0)</f>
        <v>Hyderabad</v>
      </c>
      <c r="L1065" t="str">
        <f>VLOOKUP(Googleadssales[[#This Row],[Ad_ID]],'[1]pre processed data'!A:S,19,0)</f>
        <v>Mobile</v>
      </c>
      <c r="M1065" t="str">
        <f>VLOOKUP(Googleadssales[[#This Row],[Ad_ID]],'[1]pre processed data'!A:T,20,0)</f>
        <v>data analytics online</v>
      </c>
    </row>
    <row r="1066" spans="1:13" x14ac:dyDescent="0.3">
      <c r="A1066" t="s">
        <v>1079</v>
      </c>
      <c r="B1066" t="s">
        <v>14</v>
      </c>
      <c r="C1066" s="4">
        <f>VLOOKUP(Googleadssales[[#This Row],[Ad_ID]],'[1]pre processed data'!A:C,3,0)</f>
        <v>198</v>
      </c>
      <c r="D1066" s="4">
        <f>VLOOKUP(Googleadssales[[#This Row],[Ad_ID]],'[1]pre processed data'!A:E,5,0)</f>
        <v>3575</v>
      </c>
      <c r="E1066" s="5" t="str">
        <f>VLOOKUP(Googleadssales[[#This Row],[Ad_ID]],[1]!Table3[[Ad_ID]:[Cost-imputed]],7,0)</f>
        <v>$224.07</v>
      </c>
      <c r="F1066" s="4">
        <f>VLOOKUP(Googleadssales[[#This Row],[Ad_ID]],'[1]pre processed data'!A:I,9,0)</f>
        <v>13</v>
      </c>
      <c r="G1066" s="4">
        <f>VLOOKUP(Googleadssales[[#This Row],[Ad_ID]],'[1]pre processed data'!A:K,11,0)</f>
        <v>3</v>
      </c>
      <c r="H1066" s="2">
        <f>Googleadssales[[#This Row],[Conversions]]/Googleadssales[[#This Row],[Clicks]]</f>
        <v>1.5151515151515152E-2</v>
      </c>
      <c r="I1066" t="str">
        <f>VLOOKUP(Googleadssales[[#This Row],[Ad_ID]],'[1]pre processed data'!A:O,15,0)</f>
        <v>$1070</v>
      </c>
      <c r="J1066" s="3">
        <f>VLOOKUP(Googleadssales[[#This Row],[Ad_ID]],'[1]pre processed data'!A:Q,17,0)</f>
        <v>45605</v>
      </c>
      <c r="K1066" t="str">
        <f>VLOOKUP(Googleadssales[[#This Row],[Ad_ID]],'[1]pre processed data'!A:R,18,0)</f>
        <v>Chennai</v>
      </c>
      <c r="L1066" t="str">
        <f>VLOOKUP(Googleadssales[[#This Row],[Ad_ID]],'[1]pre processed data'!A:S,19,0)</f>
        <v>Desktop</v>
      </c>
      <c r="M1066" t="str">
        <f>VLOOKUP(Googleadssales[[#This Row],[Ad_ID]],'[1]pre processed data'!A:T,20,0)</f>
        <v>data analytics online</v>
      </c>
    </row>
    <row r="1067" spans="1:13" x14ac:dyDescent="0.3">
      <c r="A1067" t="s">
        <v>1080</v>
      </c>
      <c r="B1067" t="s">
        <v>14</v>
      </c>
      <c r="C1067" s="4">
        <f>VLOOKUP(Googleadssales[[#This Row],[Ad_ID]],'[1]pre processed data'!A:C,3,0)</f>
        <v>134</v>
      </c>
      <c r="D1067" s="4">
        <f>VLOOKUP(Googleadssales[[#This Row],[Ad_ID]],'[1]pre processed data'!A:E,5,0)</f>
        <v>5570</v>
      </c>
      <c r="E1067" s="5" t="str">
        <f>VLOOKUP(Googleadssales[[#This Row],[Ad_ID]],[1]!Table3[[Ad_ID]:[Cost-imputed]],7,0)</f>
        <v>$233.77</v>
      </c>
      <c r="F1067" s="4">
        <f>VLOOKUP(Googleadssales[[#This Row],[Ad_ID]],'[1]pre processed data'!A:I,9,0)</f>
        <v>15</v>
      </c>
      <c r="G1067" s="4">
        <f>VLOOKUP(Googleadssales[[#This Row],[Ad_ID]],'[1]pre processed data'!A:K,11,0)</f>
        <v>4</v>
      </c>
      <c r="H1067" s="2">
        <f>Googleadssales[[#This Row],[Conversions]]/Googleadssales[[#This Row],[Clicks]]</f>
        <v>2.9850746268656716E-2</v>
      </c>
      <c r="I1067" t="str">
        <f>VLOOKUP(Googleadssales[[#This Row],[Ad_ID]],'[1]pre processed data'!A:O,15,0)</f>
        <v>$1101</v>
      </c>
      <c r="J1067" s="3">
        <f>VLOOKUP(Googleadssales[[#This Row],[Ad_ID]],'[1]pre processed data'!A:Q,17,0)</f>
        <v>45623</v>
      </c>
      <c r="K1067" t="str">
        <f>VLOOKUP(Googleadssales[[#This Row],[Ad_ID]],'[1]pre processed data'!A:R,18,0)</f>
        <v>Hyderabad</v>
      </c>
      <c r="L1067" t="str">
        <f>VLOOKUP(Googleadssales[[#This Row],[Ad_ID]],'[1]pre processed data'!A:S,19,0)</f>
        <v>Mobile</v>
      </c>
      <c r="M1067" t="str">
        <f>VLOOKUP(Googleadssales[[#This Row],[Ad_ID]],'[1]pre processed data'!A:T,20,0)</f>
        <v>data analytics course</v>
      </c>
    </row>
    <row r="1068" spans="1:13" x14ac:dyDescent="0.3">
      <c r="A1068" t="s">
        <v>1081</v>
      </c>
      <c r="B1068" t="s">
        <v>18</v>
      </c>
      <c r="C1068" s="4">
        <f>VLOOKUP(Googleadssales[[#This Row],[Ad_ID]],'[1]pre processed data'!A:C,3,0)</f>
        <v>83</v>
      </c>
      <c r="D1068" s="4">
        <f>VLOOKUP(Googleadssales[[#This Row],[Ad_ID]],'[1]pre processed data'!A:E,5,0)</f>
        <v>4883</v>
      </c>
      <c r="E1068" s="5" t="str">
        <f>VLOOKUP(Googleadssales[[#This Row],[Ad_ID]],[1]!Table3[[Ad_ID]:[Cost-imputed]],7,0)</f>
        <v>$228.3</v>
      </c>
      <c r="F1068" s="4">
        <f>VLOOKUP(Googleadssales[[#This Row],[Ad_ID]],'[1]pre processed data'!A:I,9,0)</f>
        <v>29</v>
      </c>
      <c r="G1068" s="4">
        <f>VLOOKUP(Googleadssales[[#This Row],[Ad_ID]],'[1]pre processed data'!A:K,11,0)</f>
        <v>10</v>
      </c>
      <c r="H1068" s="2">
        <f>Googleadssales[[#This Row],[Conversions]]/Googleadssales[[#This Row],[Clicks]]</f>
        <v>0.12048192771084337</v>
      </c>
      <c r="I1068" t="str">
        <f>VLOOKUP(Googleadssales[[#This Row],[Ad_ID]],'[1]pre processed data'!A:O,15,0)</f>
        <v>$1456</v>
      </c>
      <c r="J1068" s="3">
        <f>VLOOKUP(Googleadssales[[#This Row],[Ad_ID]],'[1]pre processed data'!A:Q,17,0)</f>
        <v>45603</v>
      </c>
      <c r="K1068" t="str">
        <f>VLOOKUP(Googleadssales[[#This Row],[Ad_ID]],'[1]pre processed data'!A:R,18,0)</f>
        <v>Bangaluru</v>
      </c>
      <c r="L1068" t="str">
        <f>VLOOKUP(Googleadssales[[#This Row],[Ad_ID]],'[1]pre processed data'!A:S,19,0)</f>
        <v>Mobile</v>
      </c>
      <c r="M1068" t="str">
        <f>VLOOKUP(Googleadssales[[#This Row],[Ad_ID]],'[1]pre processed data'!A:T,20,0)</f>
        <v>learn data analytics</v>
      </c>
    </row>
    <row r="1069" spans="1:13" x14ac:dyDescent="0.3">
      <c r="A1069" t="s">
        <v>1082</v>
      </c>
      <c r="B1069" t="s">
        <v>18</v>
      </c>
      <c r="C1069" s="4">
        <f>VLOOKUP(Googleadssales[[#This Row],[Ad_ID]],'[1]pre processed data'!A:C,3,0)</f>
        <v>187</v>
      </c>
      <c r="D1069" s="4">
        <f>VLOOKUP(Googleadssales[[#This Row],[Ad_ID]],'[1]pre processed data'!A:E,5,0)</f>
        <v>4753</v>
      </c>
      <c r="E1069" s="5" t="str">
        <f>VLOOKUP(Googleadssales[[#This Row],[Ad_ID]],[1]!Table3[[Ad_ID]:[Cost-imputed]],7,0)</f>
        <v>$236.03</v>
      </c>
      <c r="F1069" s="4">
        <f>VLOOKUP(Googleadssales[[#This Row],[Ad_ID]],'[1]pre processed data'!A:I,9,0)</f>
        <v>13</v>
      </c>
      <c r="G1069" s="4">
        <f>VLOOKUP(Googleadssales[[#This Row],[Ad_ID]],'[1]pre processed data'!A:K,11,0)</f>
        <v>3</v>
      </c>
      <c r="H1069" s="2">
        <f>Googleadssales[[#This Row],[Conversions]]/Googleadssales[[#This Row],[Clicks]]</f>
        <v>1.6042780748663103E-2</v>
      </c>
      <c r="I1069" t="str">
        <f>VLOOKUP(Googleadssales[[#This Row],[Ad_ID]],'[1]pre processed data'!A:O,15,0)</f>
        <v>$1906</v>
      </c>
      <c r="J1069" s="3">
        <f>VLOOKUP(Googleadssales[[#This Row],[Ad_ID]],'[1]pre processed data'!A:Q,17,0)</f>
        <v>45614</v>
      </c>
      <c r="K1069" t="str">
        <f>VLOOKUP(Googleadssales[[#This Row],[Ad_ID]],'[1]pre processed data'!A:R,18,0)</f>
        <v>Bangaluru</v>
      </c>
      <c r="L1069" t="str">
        <f>VLOOKUP(Googleadssales[[#This Row],[Ad_ID]],'[1]pre processed data'!A:S,19,0)</f>
        <v>Desktop</v>
      </c>
      <c r="M1069" t="str">
        <f>VLOOKUP(Googleadssales[[#This Row],[Ad_ID]],'[1]pre processed data'!A:T,20,0)</f>
        <v>data analytics online</v>
      </c>
    </row>
    <row r="1070" spans="1:13" x14ac:dyDescent="0.3">
      <c r="A1070" t="s">
        <v>1083</v>
      </c>
      <c r="B1070" t="s">
        <v>14</v>
      </c>
      <c r="C1070" s="4">
        <f>VLOOKUP(Googleadssales[[#This Row],[Ad_ID]],'[1]pre processed data'!A:C,3,0)</f>
        <v>81</v>
      </c>
      <c r="D1070" s="4">
        <f>VLOOKUP(Googleadssales[[#This Row],[Ad_ID]],'[1]pre processed data'!A:E,5,0)</f>
        <v>5653</v>
      </c>
      <c r="E1070" s="5" t="str">
        <f>VLOOKUP(Googleadssales[[#This Row],[Ad_ID]],[1]!Table3[[Ad_ID]:[Cost-imputed]],7,0)</f>
        <v>$245.33</v>
      </c>
      <c r="F1070" s="4">
        <f>VLOOKUP(Googleadssales[[#This Row],[Ad_ID]],'[1]pre processed data'!A:I,9,0)</f>
        <v>23</v>
      </c>
      <c r="G1070" s="4">
        <f>VLOOKUP(Googleadssales[[#This Row],[Ad_ID]],'[1]pre processed data'!A:K,11,0)</f>
        <v>8</v>
      </c>
      <c r="H1070" s="2">
        <f>Googleadssales[[#This Row],[Conversions]]/Googleadssales[[#This Row],[Clicks]]</f>
        <v>9.8765432098765427E-2</v>
      </c>
      <c r="I1070" t="str">
        <f>VLOOKUP(Googleadssales[[#This Row],[Ad_ID]],'[1]pre processed data'!A:O,15,0)</f>
        <v>$1248</v>
      </c>
      <c r="J1070" s="3">
        <f>VLOOKUP(Googleadssales[[#This Row],[Ad_ID]],'[1]pre processed data'!A:Q,17,0)</f>
        <v>45622</v>
      </c>
      <c r="K1070" t="str">
        <f>VLOOKUP(Googleadssales[[#This Row],[Ad_ID]],'[1]pre processed data'!A:R,18,0)</f>
        <v>Hyderabad</v>
      </c>
      <c r="L1070" t="str">
        <f>VLOOKUP(Googleadssales[[#This Row],[Ad_ID]],'[1]pre processed data'!A:S,19,0)</f>
        <v>Mobile</v>
      </c>
      <c r="M1070" t="str">
        <f>VLOOKUP(Googleadssales[[#This Row],[Ad_ID]],'[1]pre processed data'!A:T,20,0)</f>
        <v>data analytics online</v>
      </c>
    </row>
    <row r="1071" spans="1:13" x14ac:dyDescent="0.3">
      <c r="A1071" t="s">
        <v>1084</v>
      </c>
      <c r="B1071" t="s">
        <v>14</v>
      </c>
      <c r="C1071" s="4">
        <f>VLOOKUP(Googleadssales[[#This Row],[Ad_ID]],'[1]pre processed data'!A:C,3,0)</f>
        <v>144</v>
      </c>
      <c r="D1071" s="4">
        <f>VLOOKUP(Googleadssales[[#This Row],[Ad_ID]],'[1]pre processed data'!A:E,5,0)</f>
        <v>5750</v>
      </c>
      <c r="E1071" s="5" t="str">
        <f>VLOOKUP(Googleadssales[[#This Row],[Ad_ID]],[1]!Table3[[Ad_ID]:[Cost-imputed]],7,0)</f>
        <v>$184.37</v>
      </c>
      <c r="F1071" s="4">
        <f>VLOOKUP(Googleadssales[[#This Row],[Ad_ID]],'[1]pre processed data'!A:I,9,0)</f>
        <v>19</v>
      </c>
      <c r="G1071" s="4">
        <f>VLOOKUP(Googleadssales[[#This Row],[Ad_ID]],'[1]pre processed data'!A:K,11,0)</f>
        <v>8</v>
      </c>
      <c r="H1071" s="2">
        <f>Googleadssales[[#This Row],[Conversions]]/Googleadssales[[#This Row],[Clicks]]</f>
        <v>5.5555555555555552E-2</v>
      </c>
      <c r="I1071" t="str">
        <f>VLOOKUP(Googleadssales[[#This Row],[Ad_ID]],'[1]pre processed data'!A:O,15,0)</f>
        <v>$1098</v>
      </c>
      <c r="J1071" s="3">
        <f>VLOOKUP(Googleadssales[[#This Row],[Ad_ID]],'[1]pre processed data'!A:Q,17,0)</f>
        <v>45622</v>
      </c>
      <c r="K1071" t="str">
        <f>VLOOKUP(Googleadssales[[#This Row],[Ad_ID]],'[1]pre processed data'!A:R,18,0)</f>
        <v>Bangaluru</v>
      </c>
      <c r="L1071" t="str">
        <f>VLOOKUP(Googleadssales[[#This Row],[Ad_ID]],'[1]pre processed data'!A:S,19,0)</f>
        <v>Desktop</v>
      </c>
      <c r="M1071" t="str">
        <f>VLOOKUP(Googleadssales[[#This Row],[Ad_ID]],'[1]pre processed data'!A:T,20,0)</f>
        <v>learn data analytics</v>
      </c>
    </row>
    <row r="1072" spans="1:13" x14ac:dyDescent="0.3">
      <c r="A1072" t="s">
        <v>1085</v>
      </c>
      <c r="B1072" t="s">
        <v>18</v>
      </c>
      <c r="C1072" s="4">
        <f>VLOOKUP(Googleadssales[[#This Row],[Ad_ID]],'[1]pre processed data'!A:C,3,0)</f>
        <v>161</v>
      </c>
      <c r="D1072" s="4">
        <f>VLOOKUP(Googleadssales[[#This Row],[Ad_ID]],'[1]pre processed data'!A:E,5,0)</f>
        <v>5766</v>
      </c>
      <c r="E1072" s="5" t="str">
        <f>VLOOKUP(Googleadssales[[#This Row],[Ad_ID]],[1]!Table3[[Ad_ID]:[Cost-imputed]],7,0)</f>
        <v>$221.93</v>
      </c>
      <c r="F1072" s="4">
        <f>VLOOKUP(Googleadssales[[#This Row],[Ad_ID]],'[1]pre processed data'!A:I,9,0)</f>
        <v>10</v>
      </c>
      <c r="G1072" s="4">
        <f>VLOOKUP(Googleadssales[[#This Row],[Ad_ID]],'[1]pre processed data'!A:K,11,0)</f>
        <v>8</v>
      </c>
      <c r="H1072" s="2">
        <f>Googleadssales[[#This Row],[Conversions]]/Googleadssales[[#This Row],[Clicks]]</f>
        <v>4.9689440993788817E-2</v>
      </c>
      <c r="I1072" t="str">
        <f>VLOOKUP(Googleadssales[[#This Row],[Ad_ID]],'[1]pre processed data'!A:O,15,0)</f>
        <v>$1830</v>
      </c>
      <c r="J1072" s="3">
        <f>VLOOKUP(Googleadssales[[#This Row],[Ad_ID]],'[1]pre processed data'!A:Q,17,0)</f>
        <v>45609</v>
      </c>
      <c r="K1072" t="str">
        <f>VLOOKUP(Googleadssales[[#This Row],[Ad_ID]],'[1]pre processed data'!A:R,18,0)</f>
        <v>Bangaluru</v>
      </c>
      <c r="L1072" t="str">
        <f>VLOOKUP(Googleadssales[[#This Row],[Ad_ID]],'[1]pre processed data'!A:S,19,0)</f>
        <v>Tablet</v>
      </c>
      <c r="M1072" t="str">
        <f>VLOOKUP(Googleadssales[[#This Row],[Ad_ID]],'[1]pre processed data'!A:T,20,0)</f>
        <v>online data analytic</v>
      </c>
    </row>
    <row r="1073" spans="1:13" x14ac:dyDescent="0.3">
      <c r="A1073" t="s">
        <v>1086</v>
      </c>
      <c r="B1073" t="s">
        <v>14</v>
      </c>
      <c r="C1073" s="4">
        <f>VLOOKUP(Googleadssales[[#This Row],[Ad_ID]],'[1]pre processed data'!A:C,3,0)</f>
        <v>90</v>
      </c>
      <c r="D1073" s="4">
        <f>VLOOKUP(Googleadssales[[#This Row],[Ad_ID]],'[1]pre processed data'!A:E,5,0)</f>
        <v>4424</v>
      </c>
      <c r="E1073" s="5" t="str">
        <f>VLOOKUP(Googleadssales[[#This Row],[Ad_ID]],[1]!Table3[[Ad_ID]:[Cost-imputed]],7,0)</f>
        <v>$219.77</v>
      </c>
      <c r="F1073" s="4">
        <f>VLOOKUP(Googleadssales[[#This Row],[Ad_ID]],'[1]pre processed data'!A:I,9,0)</f>
        <v>10</v>
      </c>
      <c r="G1073" s="4">
        <f>VLOOKUP(Googleadssales[[#This Row],[Ad_ID]],'[1]pre processed data'!A:K,11,0)</f>
        <v>4</v>
      </c>
      <c r="H1073" s="2">
        <f>Googleadssales[[#This Row],[Conversions]]/Googleadssales[[#This Row],[Clicks]]</f>
        <v>4.4444444444444446E-2</v>
      </c>
      <c r="I1073" t="str">
        <f>VLOOKUP(Googleadssales[[#This Row],[Ad_ID]],'[1]pre processed data'!A:O,15,0)</f>
        <v>$1396</v>
      </c>
      <c r="J1073" s="3">
        <f>VLOOKUP(Googleadssales[[#This Row],[Ad_ID]],'[1]pre processed data'!A:Q,17,0)</f>
        <v>45604</v>
      </c>
      <c r="K1073" t="str">
        <f>VLOOKUP(Googleadssales[[#This Row],[Ad_ID]],'[1]pre processed data'!A:R,18,0)</f>
        <v>Chennai</v>
      </c>
      <c r="L1073" t="str">
        <f>VLOOKUP(Googleadssales[[#This Row],[Ad_ID]],'[1]pre processed data'!A:S,19,0)</f>
        <v>Desktop</v>
      </c>
      <c r="M1073" t="str">
        <f>VLOOKUP(Googleadssales[[#This Row],[Ad_ID]],'[1]pre processed data'!A:T,20,0)</f>
        <v>data analytics online</v>
      </c>
    </row>
    <row r="1074" spans="1:13" x14ac:dyDescent="0.3">
      <c r="A1074" t="s">
        <v>1087</v>
      </c>
      <c r="B1074" t="s">
        <v>14</v>
      </c>
      <c r="C1074" s="4">
        <f>VLOOKUP(Googleadssales[[#This Row],[Ad_ID]],'[1]pre processed data'!A:C,3,0)</f>
        <v>128</v>
      </c>
      <c r="D1074" s="4">
        <f>VLOOKUP(Googleadssales[[#This Row],[Ad_ID]],'[1]pre processed data'!A:E,5,0)</f>
        <v>5043</v>
      </c>
      <c r="E1074" s="5" t="str">
        <f>VLOOKUP(Googleadssales[[#This Row],[Ad_ID]],[1]!Table3[[Ad_ID]:[Cost-imputed]],7,0)</f>
        <v>$231.72</v>
      </c>
      <c r="F1074" s="4">
        <f>VLOOKUP(Googleadssales[[#This Row],[Ad_ID]],'[1]pre processed data'!A:I,9,0)</f>
        <v>26</v>
      </c>
      <c r="G1074" s="4">
        <f>VLOOKUP(Googleadssales[[#This Row],[Ad_ID]],'[1]pre processed data'!A:K,11,0)</f>
        <v>8</v>
      </c>
      <c r="H1074" s="2">
        <f>Googleadssales[[#This Row],[Conversions]]/Googleadssales[[#This Row],[Clicks]]</f>
        <v>6.25E-2</v>
      </c>
      <c r="I1074" t="str">
        <f>VLOOKUP(Googleadssales[[#This Row],[Ad_ID]],'[1]pre processed data'!A:O,15,0)</f>
        <v>$1508</v>
      </c>
      <c r="J1074" s="3">
        <f>VLOOKUP(Googleadssales[[#This Row],[Ad_ID]],'[1]pre processed data'!A:Q,17,0)</f>
        <v>45622</v>
      </c>
      <c r="K1074" t="str">
        <f>VLOOKUP(Googleadssales[[#This Row],[Ad_ID]],'[1]pre processed data'!A:R,18,0)</f>
        <v>Hyderabad</v>
      </c>
      <c r="L1074" t="str">
        <f>VLOOKUP(Googleadssales[[#This Row],[Ad_ID]],'[1]pre processed data'!A:S,19,0)</f>
        <v>Tablet</v>
      </c>
      <c r="M1074" t="str">
        <f>VLOOKUP(Googleadssales[[#This Row],[Ad_ID]],'[1]pre processed data'!A:T,20,0)</f>
        <v>analytics for data</v>
      </c>
    </row>
    <row r="1075" spans="1:13" x14ac:dyDescent="0.3">
      <c r="A1075" t="s">
        <v>1088</v>
      </c>
      <c r="B1075" t="s">
        <v>18</v>
      </c>
      <c r="C1075" s="4">
        <f>VLOOKUP(Googleadssales[[#This Row],[Ad_ID]],'[1]pre processed data'!A:C,3,0)</f>
        <v>195</v>
      </c>
      <c r="D1075" s="4">
        <f>VLOOKUP(Googleadssales[[#This Row],[Ad_ID]],'[1]pre processed data'!A:E,5,0)</f>
        <v>4529</v>
      </c>
      <c r="E1075" s="5" t="str">
        <f>VLOOKUP(Googleadssales[[#This Row],[Ad_ID]],[1]!Table3[[Ad_ID]:[Cost-imputed]],7,0)</f>
        <v>$200.36</v>
      </c>
      <c r="F1075" s="4">
        <f>VLOOKUP(Googleadssales[[#This Row],[Ad_ID]],'[1]pre processed data'!A:I,9,0)</f>
        <v>25</v>
      </c>
      <c r="G1075" s="4">
        <f>VLOOKUP(Googleadssales[[#This Row],[Ad_ID]],'[1]pre processed data'!A:K,11,0)</f>
        <v>7</v>
      </c>
      <c r="H1075" s="2">
        <f>Googleadssales[[#This Row],[Conversions]]/Googleadssales[[#This Row],[Clicks]]</f>
        <v>3.5897435897435895E-2</v>
      </c>
      <c r="I1075" t="str">
        <f>VLOOKUP(Googleadssales[[#This Row],[Ad_ID]],'[1]pre processed data'!A:O,15,0)</f>
        <v>$1343</v>
      </c>
      <c r="J1075" s="3">
        <f>VLOOKUP(Googleadssales[[#This Row],[Ad_ID]],'[1]pre processed data'!A:Q,17,0)</f>
        <v>45626</v>
      </c>
      <c r="K1075" t="str">
        <f>VLOOKUP(Googleadssales[[#This Row],[Ad_ID]],'[1]pre processed data'!A:R,18,0)</f>
        <v>Chennai</v>
      </c>
      <c r="L1075" t="str">
        <f>VLOOKUP(Googleadssales[[#This Row],[Ad_ID]],'[1]pre processed data'!A:S,19,0)</f>
        <v>Tablet</v>
      </c>
      <c r="M1075" t="str">
        <f>VLOOKUP(Googleadssales[[#This Row],[Ad_ID]],'[1]pre processed data'!A:T,20,0)</f>
        <v>data analytics training</v>
      </c>
    </row>
    <row r="1076" spans="1:13" x14ac:dyDescent="0.3">
      <c r="A1076" t="s">
        <v>1089</v>
      </c>
      <c r="B1076" t="s">
        <v>18</v>
      </c>
      <c r="C1076" s="4">
        <f>VLOOKUP(Googleadssales[[#This Row],[Ad_ID]],'[1]pre processed data'!A:C,3,0)</f>
        <v>160</v>
      </c>
      <c r="D1076" s="4">
        <f>VLOOKUP(Googleadssales[[#This Row],[Ad_ID]],'[1]pre processed data'!A:E,5,0)</f>
        <v>5751</v>
      </c>
      <c r="E1076" s="5" t="str">
        <f>VLOOKUP(Googleadssales[[#This Row],[Ad_ID]],[1]!Table3[[Ad_ID]:[Cost-imputed]],7,0)</f>
        <v>$200.00</v>
      </c>
      <c r="F1076" s="4">
        <f>VLOOKUP(Googleadssales[[#This Row],[Ad_ID]],'[1]pre processed data'!A:I,9,0)</f>
        <v>28</v>
      </c>
      <c r="G1076" s="4">
        <f>VLOOKUP(Googleadssales[[#This Row],[Ad_ID]],'[1]pre processed data'!A:K,11,0)</f>
        <v>4</v>
      </c>
      <c r="H1076" s="2">
        <f>Googleadssales[[#This Row],[Conversions]]/Googleadssales[[#This Row],[Clicks]]</f>
        <v>2.5000000000000001E-2</v>
      </c>
      <c r="I1076" t="str">
        <f>VLOOKUP(Googleadssales[[#This Row],[Ad_ID]],'[1]pre processed data'!A:O,15,0)</f>
        <v>$1802</v>
      </c>
      <c r="J1076" s="3">
        <f>VLOOKUP(Googleadssales[[#This Row],[Ad_ID]],'[1]pre processed data'!A:Q,17,0)</f>
        <v>45618</v>
      </c>
      <c r="K1076" t="str">
        <f>VLOOKUP(Googleadssales[[#This Row],[Ad_ID]],'[1]pre processed data'!A:R,18,0)</f>
        <v>Hyderabad</v>
      </c>
      <c r="L1076" t="str">
        <f>VLOOKUP(Googleadssales[[#This Row],[Ad_ID]],'[1]pre processed data'!A:S,19,0)</f>
        <v>Mobile</v>
      </c>
      <c r="M1076" t="str">
        <f>VLOOKUP(Googleadssales[[#This Row],[Ad_ID]],'[1]pre processed data'!A:T,20,0)</f>
        <v>learn data analytics</v>
      </c>
    </row>
    <row r="1077" spans="1:13" x14ac:dyDescent="0.3">
      <c r="A1077" t="s">
        <v>1090</v>
      </c>
      <c r="B1077" t="s">
        <v>14</v>
      </c>
      <c r="C1077" s="4">
        <f>VLOOKUP(Googleadssales[[#This Row],[Ad_ID]],'[1]pre processed data'!A:C,3,0)</f>
        <v>176</v>
      </c>
      <c r="D1077" s="4">
        <f>VLOOKUP(Googleadssales[[#This Row],[Ad_ID]],'[1]pre processed data'!A:E,5,0)</f>
        <v>4518</v>
      </c>
      <c r="E1077" s="5" t="str">
        <f>VLOOKUP(Googleadssales[[#This Row],[Ad_ID]],[1]!Table3[[Ad_ID]:[Cost-imputed]],7,0)</f>
        <v>$237.95</v>
      </c>
      <c r="F1077" s="4">
        <f>VLOOKUP(Googleadssales[[#This Row],[Ad_ID]],'[1]pre processed data'!A:I,9,0)</f>
        <v>17</v>
      </c>
      <c r="G1077" s="4">
        <f>VLOOKUP(Googleadssales[[#This Row],[Ad_ID]],'[1]pre processed data'!A:K,11,0)</f>
        <v>10</v>
      </c>
      <c r="H1077" s="2">
        <f>Googleadssales[[#This Row],[Conversions]]/Googleadssales[[#This Row],[Clicks]]</f>
        <v>5.6818181818181816E-2</v>
      </c>
      <c r="I1077" t="str">
        <f>VLOOKUP(Googleadssales[[#This Row],[Ad_ID]],'[1]pre processed data'!A:O,15,0)</f>
        <v>$1933</v>
      </c>
      <c r="J1077" s="3">
        <f>VLOOKUP(Googleadssales[[#This Row],[Ad_ID]],'[1]pre processed data'!A:Q,17,0)</f>
        <v>45607</v>
      </c>
      <c r="K1077" t="str">
        <f>VLOOKUP(Googleadssales[[#This Row],[Ad_ID]],'[1]pre processed data'!A:R,18,0)</f>
        <v>Hyderabad</v>
      </c>
      <c r="L1077" t="str">
        <f>VLOOKUP(Googleadssales[[#This Row],[Ad_ID]],'[1]pre processed data'!A:S,19,0)</f>
        <v>Desktop</v>
      </c>
      <c r="M1077" t="str">
        <f>VLOOKUP(Googleadssales[[#This Row],[Ad_ID]],'[1]pre processed data'!A:T,20,0)</f>
        <v>analytics for data</v>
      </c>
    </row>
    <row r="1078" spans="1:13" x14ac:dyDescent="0.3">
      <c r="A1078" t="s">
        <v>1091</v>
      </c>
      <c r="B1078" t="s">
        <v>18</v>
      </c>
      <c r="C1078" s="4">
        <f>VLOOKUP(Googleadssales[[#This Row],[Ad_ID]],'[1]pre processed data'!A:C,3,0)</f>
        <v>157</v>
      </c>
      <c r="D1078" s="4">
        <f>VLOOKUP(Googleadssales[[#This Row],[Ad_ID]],'[1]pre processed data'!A:E,5,0)</f>
        <v>5201</v>
      </c>
      <c r="E1078" s="5" t="str">
        <f>VLOOKUP(Googleadssales[[#This Row],[Ad_ID]],[1]!Table3[[Ad_ID]:[Cost-imputed]],7,0)</f>
        <v>$228.72</v>
      </c>
      <c r="F1078" s="4">
        <f>VLOOKUP(Googleadssales[[#This Row],[Ad_ID]],'[1]pre processed data'!A:I,9,0)</f>
        <v>14</v>
      </c>
      <c r="G1078" s="4">
        <f>VLOOKUP(Googleadssales[[#This Row],[Ad_ID]],'[1]pre processed data'!A:K,11,0)</f>
        <v>8</v>
      </c>
      <c r="H1078" s="2">
        <f>Googleadssales[[#This Row],[Conversions]]/Googleadssales[[#This Row],[Clicks]]</f>
        <v>5.0955414012738856E-2</v>
      </c>
      <c r="I1078" t="str">
        <f>VLOOKUP(Googleadssales[[#This Row],[Ad_ID]],'[1]pre processed data'!A:O,15,0)</f>
        <v>$1458</v>
      </c>
      <c r="J1078" s="3">
        <f>VLOOKUP(Googleadssales[[#This Row],[Ad_ID]],'[1]pre processed data'!A:Q,17,0)</f>
        <v>45605</v>
      </c>
      <c r="K1078" t="str">
        <f>VLOOKUP(Googleadssales[[#This Row],[Ad_ID]],'[1]pre processed data'!A:R,18,0)</f>
        <v>Hyderabad</v>
      </c>
      <c r="L1078" t="str">
        <f>VLOOKUP(Googleadssales[[#This Row],[Ad_ID]],'[1]pre processed data'!A:S,19,0)</f>
        <v>Mobile</v>
      </c>
      <c r="M1078" t="str">
        <f>VLOOKUP(Googleadssales[[#This Row],[Ad_ID]],'[1]pre processed data'!A:T,20,0)</f>
        <v>data analytics online</v>
      </c>
    </row>
    <row r="1079" spans="1:13" x14ac:dyDescent="0.3">
      <c r="A1079" t="s">
        <v>1092</v>
      </c>
      <c r="B1079" t="s">
        <v>14</v>
      </c>
      <c r="C1079" s="4">
        <f>VLOOKUP(Googleadssales[[#This Row],[Ad_ID]],'[1]pre processed data'!A:C,3,0)</f>
        <v>104</v>
      </c>
      <c r="D1079" s="4">
        <f>VLOOKUP(Googleadssales[[#This Row],[Ad_ID]],'[1]pre processed data'!A:E,5,0)</f>
        <v>4735</v>
      </c>
      <c r="E1079" s="5" t="str">
        <f>VLOOKUP(Googleadssales[[#This Row],[Ad_ID]],[1]!Table3[[Ad_ID]:[Cost-imputed]],7,0)</f>
        <v>$233.95</v>
      </c>
      <c r="F1079" s="4">
        <f>VLOOKUP(Googleadssales[[#This Row],[Ad_ID]],'[1]pre processed data'!A:I,9,0)</f>
        <v>19</v>
      </c>
      <c r="G1079" s="4">
        <f>VLOOKUP(Googleadssales[[#This Row],[Ad_ID]],'[1]pre processed data'!A:K,11,0)</f>
        <v>6</v>
      </c>
      <c r="H1079" s="2">
        <f>Googleadssales[[#This Row],[Conversions]]/Googleadssales[[#This Row],[Clicks]]</f>
        <v>5.7692307692307696E-2</v>
      </c>
      <c r="I1079" t="str">
        <f>VLOOKUP(Googleadssales[[#This Row],[Ad_ID]],'[1]pre processed data'!A:O,15,0)</f>
        <v>$1493</v>
      </c>
      <c r="J1079" s="3">
        <f>VLOOKUP(Googleadssales[[#This Row],[Ad_ID]],'[1]pre processed data'!A:Q,17,0)</f>
        <v>45619</v>
      </c>
      <c r="K1079" t="str">
        <f>VLOOKUP(Googleadssales[[#This Row],[Ad_ID]],'[1]pre processed data'!A:R,18,0)</f>
        <v>Hyderabad</v>
      </c>
      <c r="L1079" t="str">
        <f>VLOOKUP(Googleadssales[[#This Row],[Ad_ID]],'[1]pre processed data'!A:S,19,0)</f>
        <v>Mobile</v>
      </c>
      <c r="M1079" t="str">
        <f>VLOOKUP(Googleadssales[[#This Row],[Ad_ID]],'[1]pre processed data'!A:T,20,0)</f>
        <v>learn data analytics</v>
      </c>
    </row>
    <row r="1080" spans="1:13" x14ac:dyDescent="0.3">
      <c r="A1080" t="s">
        <v>1093</v>
      </c>
      <c r="B1080" t="s">
        <v>18</v>
      </c>
      <c r="C1080" s="4">
        <f>VLOOKUP(Googleadssales[[#This Row],[Ad_ID]],'[1]pre processed data'!A:C,3,0)</f>
        <v>117</v>
      </c>
      <c r="D1080" s="4">
        <f>VLOOKUP(Googleadssales[[#This Row],[Ad_ID]],'[1]pre processed data'!A:E,5,0)</f>
        <v>3014</v>
      </c>
      <c r="E1080" s="5" t="str">
        <f>VLOOKUP(Googleadssales[[#This Row],[Ad_ID]],[1]!Table3[[Ad_ID]:[Cost-imputed]],7,0)</f>
        <v>$242.24</v>
      </c>
      <c r="F1080" s="4">
        <f>VLOOKUP(Googleadssales[[#This Row],[Ad_ID]],'[1]pre processed data'!A:I,9,0)</f>
        <v>12</v>
      </c>
      <c r="G1080" s="4">
        <f>VLOOKUP(Googleadssales[[#This Row],[Ad_ID]],'[1]pre processed data'!A:K,11,0)</f>
        <v>6.5037389530931335</v>
      </c>
      <c r="H1080" s="2">
        <f>Googleadssales[[#This Row],[Conversions]]/Googleadssales[[#This Row],[Clicks]]</f>
        <v>5.558751241959943E-2</v>
      </c>
      <c r="I1080" t="str">
        <f>VLOOKUP(Googleadssales[[#This Row],[Ad_ID]],'[1]pre processed data'!A:O,15,0)</f>
        <v>$1432</v>
      </c>
      <c r="J1080" s="3">
        <f>VLOOKUP(Googleadssales[[#This Row],[Ad_ID]],'[1]pre processed data'!A:Q,17,0)</f>
        <v>45625</v>
      </c>
      <c r="K1080" t="str">
        <f>VLOOKUP(Googleadssales[[#This Row],[Ad_ID]],'[1]pre processed data'!A:R,18,0)</f>
        <v>Hyderabad</v>
      </c>
      <c r="L1080" t="str">
        <f>VLOOKUP(Googleadssales[[#This Row],[Ad_ID]],'[1]pre processed data'!A:S,19,0)</f>
        <v>Mobile</v>
      </c>
      <c r="M1080" t="str">
        <f>VLOOKUP(Googleadssales[[#This Row],[Ad_ID]],'[1]pre processed data'!A:T,20,0)</f>
        <v>learn data analytics</v>
      </c>
    </row>
    <row r="1081" spans="1:13" x14ac:dyDescent="0.3">
      <c r="A1081" t="s">
        <v>1094</v>
      </c>
      <c r="B1081" t="s">
        <v>14</v>
      </c>
      <c r="C1081" s="4">
        <f>VLOOKUP(Googleadssales[[#This Row],[Ad_ID]],'[1]pre processed data'!A:C,3,0)</f>
        <v>138</v>
      </c>
      <c r="D1081" s="4">
        <f>VLOOKUP(Googleadssales[[#This Row],[Ad_ID]],'[1]pre processed data'!A:E,5,0)</f>
        <v>5506</v>
      </c>
      <c r="E1081" s="5" t="str">
        <f>VLOOKUP(Googleadssales[[#This Row],[Ad_ID]],[1]!Table3[[Ad_ID]:[Cost-imputed]],7,0)</f>
        <v>$192.89</v>
      </c>
      <c r="F1081" s="4">
        <f>VLOOKUP(Googleadssales[[#This Row],[Ad_ID]],'[1]pre processed data'!A:I,9,0)</f>
        <v>27</v>
      </c>
      <c r="G1081" s="4">
        <f>VLOOKUP(Googleadssales[[#This Row],[Ad_ID]],'[1]pre processed data'!A:K,11,0)</f>
        <v>6</v>
      </c>
      <c r="H1081" s="2">
        <f>Googleadssales[[#This Row],[Conversions]]/Googleadssales[[#This Row],[Clicks]]</f>
        <v>4.3478260869565216E-2</v>
      </c>
      <c r="I1081" t="str">
        <f>VLOOKUP(Googleadssales[[#This Row],[Ad_ID]],'[1]pre processed data'!A:O,15,0)</f>
        <v>$1261</v>
      </c>
      <c r="J1081" s="3">
        <f>VLOOKUP(Googleadssales[[#This Row],[Ad_ID]],'[1]pre processed data'!A:Q,17,0)</f>
        <v>45598</v>
      </c>
      <c r="K1081" t="str">
        <f>VLOOKUP(Googleadssales[[#This Row],[Ad_ID]],'[1]pre processed data'!A:R,18,0)</f>
        <v>Bangaluru</v>
      </c>
      <c r="L1081" t="str">
        <f>VLOOKUP(Googleadssales[[#This Row],[Ad_ID]],'[1]pre processed data'!A:S,19,0)</f>
        <v>Tablet</v>
      </c>
      <c r="M1081" t="str">
        <f>VLOOKUP(Googleadssales[[#This Row],[Ad_ID]],'[1]pre processed data'!A:T,20,0)</f>
        <v>learn data analytics</v>
      </c>
    </row>
    <row r="1082" spans="1:13" x14ac:dyDescent="0.3">
      <c r="A1082" t="s">
        <v>1095</v>
      </c>
      <c r="B1082" t="s">
        <v>18</v>
      </c>
      <c r="C1082" s="4">
        <f>VLOOKUP(Googleadssales[[#This Row],[Ad_ID]],'[1]pre processed data'!A:C,3,0)</f>
        <v>84</v>
      </c>
      <c r="D1082" s="4">
        <f>VLOOKUP(Googleadssales[[#This Row],[Ad_ID]],'[1]pre processed data'!A:E,5,0)</f>
        <v>3758</v>
      </c>
      <c r="E1082" s="5" t="str">
        <f>VLOOKUP(Googleadssales[[#This Row],[Ad_ID]],[1]!Table3[[Ad_ID]:[Cost-imputed]],7,0)</f>
        <v>$232.56</v>
      </c>
      <c r="F1082" s="4">
        <f>VLOOKUP(Googleadssales[[#This Row],[Ad_ID]],'[1]pre processed data'!A:I,9,0)</f>
        <v>26</v>
      </c>
      <c r="G1082" s="4">
        <f>VLOOKUP(Googleadssales[[#This Row],[Ad_ID]],'[1]pre processed data'!A:K,11,0)</f>
        <v>5</v>
      </c>
      <c r="H1082" s="2">
        <f>Googleadssales[[#This Row],[Conversions]]/Googleadssales[[#This Row],[Clicks]]</f>
        <v>5.9523809523809521E-2</v>
      </c>
      <c r="I1082" t="str">
        <f>VLOOKUP(Googleadssales[[#This Row],[Ad_ID]],'[1]pre processed data'!A:O,15,0)</f>
        <v>$1384</v>
      </c>
      <c r="J1082" s="3">
        <f>VLOOKUP(Googleadssales[[#This Row],[Ad_ID]],'[1]pre processed data'!A:Q,17,0)</f>
        <v>45602</v>
      </c>
      <c r="K1082" t="str">
        <f>VLOOKUP(Googleadssales[[#This Row],[Ad_ID]],'[1]pre processed data'!A:R,18,0)</f>
        <v>Chennai</v>
      </c>
      <c r="L1082" t="str">
        <f>VLOOKUP(Googleadssales[[#This Row],[Ad_ID]],'[1]pre processed data'!A:S,19,0)</f>
        <v>Desktop</v>
      </c>
      <c r="M1082" t="str">
        <f>VLOOKUP(Googleadssales[[#This Row],[Ad_ID]],'[1]pre processed data'!A:T,20,0)</f>
        <v>data analytics course</v>
      </c>
    </row>
    <row r="1083" spans="1:13" x14ac:dyDescent="0.3">
      <c r="A1083" t="s">
        <v>1096</v>
      </c>
      <c r="B1083" t="s">
        <v>18</v>
      </c>
      <c r="C1083" s="4">
        <f>VLOOKUP(Googleadssales[[#This Row],[Ad_ID]],'[1]pre processed data'!A:C,3,0)</f>
        <v>102</v>
      </c>
      <c r="D1083" s="4">
        <f>VLOOKUP(Googleadssales[[#This Row],[Ad_ID]],'[1]pre processed data'!A:E,5,0)</f>
        <v>4460</v>
      </c>
      <c r="E1083" s="5" t="str">
        <f>VLOOKUP(Googleadssales[[#This Row],[Ad_ID]],[1]!Table3[[Ad_ID]:[Cost-imputed]],7,0)</f>
        <v>$182.23</v>
      </c>
      <c r="F1083" s="4">
        <f>VLOOKUP(Googleadssales[[#This Row],[Ad_ID]],'[1]pre processed data'!A:I,9,0)</f>
        <v>15</v>
      </c>
      <c r="G1083" s="4">
        <f>VLOOKUP(Googleadssales[[#This Row],[Ad_ID]],'[1]pre processed data'!A:K,11,0)</f>
        <v>6</v>
      </c>
      <c r="H1083" s="2">
        <f>Googleadssales[[#This Row],[Conversions]]/Googleadssales[[#This Row],[Clicks]]</f>
        <v>5.8823529411764705E-2</v>
      </c>
      <c r="I1083" t="str">
        <f>VLOOKUP(Googleadssales[[#This Row],[Ad_ID]],'[1]pre processed data'!A:O,15,0)</f>
        <v>$1849</v>
      </c>
      <c r="J1083" s="3">
        <f>VLOOKUP(Googleadssales[[#This Row],[Ad_ID]],'[1]pre processed data'!A:Q,17,0)</f>
        <v>45610</v>
      </c>
      <c r="K1083" t="str">
        <f>VLOOKUP(Googleadssales[[#This Row],[Ad_ID]],'[1]pre processed data'!A:R,18,0)</f>
        <v>Hyderabad</v>
      </c>
      <c r="L1083" t="str">
        <f>VLOOKUP(Googleadssales[[#This Row],[Ad_ID]],'[1]pre processed data'!A:S,19,0)</f>
        <v>Tablet</v>
      </c>
      <c r="M1083" t="str">
        <f>VLOOKUP(Googleadssales[[#This Row],[Ad_ID]],'[1]pre processed data'!A:T,20,0)</f>
        <v>data analytics online</v>
      </c>
    </row>
    <row r="1084" spans="1:13" x14ac:dyDescent="0.3">
      <c r="A1084" t="s">
        <v>1097</v>
      </c>
      <c r="B1084" t="s">
        <v>14</v>
      </c>
      <c r="C1084" s="4">
        <f>VLOOKUP(Googleadssales[[#This Row],[Ad_ID]],'[1]pre processed data'!A:C,3,0)</f>
        <v>122</v>
      </c>
      <c r="D1084" s="4">
        <f>VLOOKUP(Googleadssales[[#This Row],[Ad_ID]],'[1]pre processed data'!A:E,5,0)</f>
        <v>5518</v>
      </c>
      <c r="E1084" s="5" t="str">
        <f>VLOOKUP(Googleadssales[[#This Row],[Ad_ID]],[1]!Table3[[Ad_ID]:[Cost-imputed]],7,0)</f>
        <v>$202.0</v>
      </c>
      <c r="F1084" s="4">
        <f>VLOOKUP(Googleadssales[[#This Row],[Ad_ID]],'[1]pre processed data'!A:I,9,0)</f>
        <v>27</v>
      </c>
      <c r="G1084" s="4">
        <f>VLOOKUP(Googleadssales[[#This Row],[Ad_ID]],'[1]pre processed data'!A:K,11,0)</f>
        <v>3</v>
      </c>
      <c r="H1084" s="2">
        <f>Googleadssales[[#This Row],[Conversions]]/Googleadssales[[#This Row],[Clicks]]</f>
        <v>2.4590163934426229E-2</v>
      </c>
      <c r="I1084" t="str">
        <f>VLOOKUP(Googleadssales[[#This Row],[Ad_ID]],'[1]pre processed data'!A:O,15,0)</f>
        <v>$1884</v>
      </c>
      <c r="J1084" s="3">
        <f>VLOOKUP(Googleadssales[[#This Row],[Ad_ID]],'[1]pre processed data'!A:Q,17,0)</f>
        <v>45607</v>
      </c>
      <c r="K1084" t="str">
        <f>VLOOKUP(Googleadssales[[#This Row],[Ad_ID]],'[1]pre processed data'!A:R,18,0)</f>
        <v>Bangaluru</v>
      </c>
      <c r="L1084" t="str">
        <f>VLOOKUP(Googleadssales[[#This Row],[Ad_ID]],'[1]pre processed data'!A:S,19,0)</f>
        <v>Tablet</v>
      </c>
      <c r="M1084" t="str">
        <f>VLOOKUP(Googleadssales[[#This Row],[Ad_ID]],'[1]pre processed data'!A:T,20,0)</f>
        <v>analytics for data</v>
      </c>
    </row>
    <row r="1085" spans="1:13" x14ac:dyDescent="0.3">
      <c r="A1085" t="s">
        <v>1098</v>
      </c>
      <c r="B1085" t="s">
        <v>14</v>
      </c>
      <c r="C1085" s="4">
        <f>VLOOKUP(Googleadssales[[#This Row],[Ad_ID]],'[1]pre processed data'!A:C,3,0)</f>
        <v>198</v>
      </c>
      <c r="D1085" s="4">
        <f>VLOOKUP(Googleadssales[[#This Row],[Ad_ID]],'[1]pre processed data'!A:E,5,0)</f>
        <v>5542</v>
      </c>
      <c r="E1085" s="5" t="str">
        <f>VLOOKUP(Googleadssales[[#This Row],[Ad_ID]],[1]!Table3[[Ad_ID]:[Cost-imputed]],7,0)</f>
        <v>$234.62</v>
      </c>
      <c r="F1085" s="4">
        <f>VLOOKUP(Googleadssales[[#This Row],[Ad_ID]],'[1]pre processed data'!A:I,9,0)</f>
        <v>10</v>
      </c>
      <c r="G1085" s="4">
        <f>VLOOKUP(Googleadssales[[#This Row],[Ad_ID]],'[1]pre processed data'!A:K,11,0)</f>
        <v>10</v>
      </c>
      <c r="H1085" s="2">
        <f>Googleadssales[[#This Row],[Conversions]]/Googleadssales[[#This Row],[Clicks]]</f>
        <v>5.0505050505050504E-2</v>
      </c>
      <c r="I1085" t="str">
        <f>VLOOKUP(Googleadssales[[#This Row],[Ad_ID]],'[1]pre processed data'!A:O,15,0)</f>
        <v>$1605</v>
      </c>
      <c r="J1085" s="3">
        <f>VLOOKUP(Googleadssales[[#This Row],[Ad_ID]],'[1]pre processed data'!A:Q,17,0)</f>
        <v>45623</v>
      </c>
      <c r="K1085" t="str">
        <f>VLOOKUP(Googleadssales[[#This Row],[Ad_ID]],'[1]pre processed data'!A:R,18,0)</f>
        <v>Hyderabad</v>
      </c>
      <c r="L1085" t="str">
        <f>VLOOKUP(Googleadssales[[#This Row],[Ad_ID]],'[1]pre processed data'!A:S,19,0)</f>
        <v>Tablet</v>
      </c>
      <c r="M1085" t="str">
        <f>VLOOKUP(Googleadssales[[#This Row],[Ad_ID]],'[1]pre processed data'!A:T,20,0)</f>
        <v>online data analytic</v>
      </c>
    </row>
    <row r="1086" spans="1:13" x14ac:dyDescent="0.3">
      <c r="A1086" t="s">
        <v>1099</v>
      </c>
      <c r="B1086" t="s">
        <v>14</v>
      </c>
      <c r="C1086" s="4">
        <f>VLOOKUP(Googleadssales[[#This Row],[Ad_ID]],'[1]pre processed data'!A:C,3,0)</f>
        <v>152</v>
      </c>
      <c r="D1086" s="4">
        <f>VLOOKUP(Googleadssales[[#This Row],[Ad_ID]],'[1]pre processed data'!A:E,5,0)</f>
        <v>5678</v>
      </c>
      <c r="E1086" s="5" t="str">
        <f>VLOOKUP(Googleadssales[[#This Row],[Ad_ID]],[1]!Table3[[Ad_ID]:[Cost-imputed]],7,0)</f>
        <v>$204.41</v>
      </c>
      <c r="F1086" s="4">
        <f>VLOOKUP(Googleadssales[[#This Row],[Ad_ID]],'[1]pre processed data'!A:I,9,0)</f>
        <v>22</v>
      </c>
      <c r="G1086" s="4">
        <f>VLOOKUP(Googleadssales[[#This Row],[Ad_ID]],'[1]pre processed data'!A:K,11,0)</f>
        <v>4</v>
      </c>
      <c r="H1086" s="2">
        <f>Googleadssales[[#This Row],[Conversions]]/Googleadssales[[#This Row],[Clicks]]</f>
        <v>2.6315789473684209E-2</v>
      </c>
      <c r="I1086" t="str">
        <f>VLOOKUP(Googleadssales[[#This Row],[Ad_ID]],'[1]pre processed data'!A:O,15,0)</f>
        <v>$1794</v>
      </c>
      <c r="J1086" s="3">
        <f>VLOOKUP(Googleadssales[[#This Row],[Ad_ID]],'[1]pre processed data'!A:Q,17,0)</f>
        <v>45616</v>
      </c>
      <c r="K1086" t="str">
        <f>VLOOKUP(Googleadssales[[#This Row],[Ad_ID]],'[1]pre processed data'!A:R,18,0)</f>
        <v>Bangaluru</v>
      </c>
      <c r="L1086" t="str">
        <f>VLOOKUP(Googleadssales[[#This Row],[Ad_ID]],'[1]pre processed data'!A:S,19,0)</f>
        <v>Desktop</v>
      </c>
      <c r="M1086" t="str">
        <f>VLOOKUP(Googleadssales[[#This Row],[Ad_ID]],'[1]pre processed data'!A:T,20,0)</f>
        <v>online data analytic</v>
      </c>
    </row>
    <row r="1087" spans="1:13" x14ac:dyDescent="0.3">
      <c r="A1087" t="s">
        <v>1100</v>
      </c>
      <c r="B1087" t="s">
        <v>14</v>
      </c>
      <c r="C1087" s="4">
        <f>VLOOKUP(Googleadssales[[#This Row],[Ad_ID]],'[1]pre processed data'!A:C,3,0)</f>
        <v>147</v>
      </c>
      <c r="D1087" s="4">
        <f>VLOOKUP(Googleadssales[[#This Row],[Ad_ID]],'[1]pre processed data'!A:E,5,0)</f>
        <v>4608</v>
      </c>
      <c r="E1087" s="5" t="str">
        <f>VLOOKUP(Googleadssales[[#This Row],[Ad_ID]],[1]!Table3[[Ad_ID]:[Cost-imputed]],7,0)</f>
        <v>$180.04</v>
      </c>
      <c r="F1087" s="4">
        <f>VLOOKUP(Googleadssales[[#This Row],[Ad_ID]],'[1]pre processed data'!A:I,9,0)</f>
        <v>20</v>
      </c>
      <c r="G1087" s="4">
        <f>VLOOKUP(Googleadssales[[#This Row],[Ad_ID]],'[1]pre processed data'!A:K,11,0)</f>
        <v>6</v>
      </c>
      <c r="H1087" s="2">
        <f>Googleadssales[[#This Row],[Conversions]]/Googleadssales[[#This Row],[Clicks]]</f>
        <v>4.0816326530612242E-2</v>
      </c>
      <c r="I1087" t="str">
        <f>VLOOKUP(Googleadssales[[#This Row],[Ad_ID]],'[1]pre processed data'!A:O,15,0)</f>
        <v>$1351</v>
      </c>
      <c r="J1087" s="3">
        <f>VLOOKUP(Googleadssales[[#This Row],[Ad_ID]],'[1]pre processed data'!A:Q,17,0)</f>
        <v>45617</v>
      </c>
      <c r="K1087" t="str">
        <f>VLOOKUP(Googleadssales[[#This Row],[Ad_ID]],'[1]pre processed data'!A:R,18,0)</f>
        <v>Bangaluru</v>
      </c>
      <c r="L1087" t="str">
        <f>VLOOKUP(Googleadssales[[#This Row],[Ad_ID]],'[1]pre processed data'!A:S,19,0)</f>
        <v>Desktop</v>
      </c>
      <c r="M1087" t="str">
        <f>VLOOKUP(Googleadssales[[#This Row],[Ad_ID]],'[1]pre processed data'!A:T,20,0)</f>
        <v>data analytics online</v>
      </c>
    </row>
    <row r="1088" spans="1:13" x14ac:dyDescent="0.3">
      <c r="A1088" t="s">
        <v>1101</v>
      </c>
      <c r="B1088" t="s">
        <v>14</v>
      </c>
      <c r="C1088" s="4">
        <f>VLOOKUP(Googleadssales[[#This Row],[Ad_ID]],'[1]pre processed data'!A:C,3,0)</f>
        <v>108</v>
      </c>
      <c r="D1088" s="4">
        <f>VLOOKUP(Googleadssales[[#This Row],[Ad_ID]],'[1]pre processed data'!A:E,5,0)</f>
        <v>5448</v>
      </c>
      <c r="E1088" s="5" t="str">
        <f>VLOOKUP(Googleadssales[[#This Row],[Ad_ID]],[1]!Table3[[Ad_ID]:[Cost-imputed]],7,0)</f>
        <v>$230.17</v>
      </c>
      <c r="F1088" s="4">
        <f>VLOOKUP(Googleadssales[[#This Row],[Ad_ID]],'[1]pre processed data'!A:I,9,0)</f>
        <v>12</v>
      </c>
      <c r="G1088" s="4">
        <f>VLOOKUP(Googleadssales[[#This Row],[Ad_ID]],'[1]pre processed data'!A:K,11,0)</f>
        <v>10</v>
      </c>
      <c r="H1088" s="2">
        <f>Googleadssales[[#This Row],[Conversions]]/Googleadssales[[#This Row],[Clicks]]</f>
        <v>9.2592592592592587E-2</v>
      </c>
      <c r="I1088" t="str">
        <f>VLOOKUP(Googleadssales[[#This Row],[Ad_ID]],'[1]pre processed data'!A:O,15,0)</f>
        <v>$1039</v>
      </c>
      <c r="J1088" s="3">
        <f>VLOOKUP(Googleadssales[[#This Row],[Ad_ID]],'[1]pre processed data'!A:Q,17,0)</f>
        <v>45615</v>
      </c>
      <c r="K1088" t="str">
        <f>VLOOKUP(Googleadssales[[#This Row],[Ad_ID]],'[1]pre processed data'!A:R,18,0)</f>
        <v>Hyderabad</v>
      </c>
      <c r="L1088" t="str">
        <f>VLOOKUP(Googleadssales[[#This Row],[Ad_ID]],'[1]pre processed data'!A:S,19,0)</f>
        <v>Desktop</v>
      </c>
      <c r="M1088" t="str">
        <f>VLOOKUP(Googleadssales[[#This Row],[Ad_ID]],'[1]pre processed data'!A:T,20,0)</f>
        <v>data analytics course</v>
      </c>
    </row>
    <row r="1089" spans="1:13" x14ac:dyDescent="0.3">
      <c r="A1089" t="s">
        <v>1102</v>
      </c>
      <c r="B1089" t="s">
        <v>14</v>
      </c>
      <c r="C1089" s="4">
        <f>VLOOKUP(Googleadssales[[#This Row],[Ad_ID]],'[1]pre processed data'!A:C,3,0)</f>
        <v>137</v>
      </c>
      <c r="D1089" s="4">
        <f>VLOOKUP(Googleadssales[[#This Row],[Ad_ID]],'[1]pre processed data'!A:E,5,0)</f>
        <v>5261</v>
      </c>
      <c r="E1089" s="5" t="str">
        <f>VLOOKUP(Googleadssales[[#This Row],[Ad_ID]],[1]!Table3[[Ad_ID]:[Cost-imputed]],7,0)</f>
        <v>$196.48</v>
      </c>
      <c r="F1089" s="4">
        <f>VLOOKUP(Googleadssales[[#This Row],[Ad_ID]],'[1]pre processed data'!A:I,9,0)</f>
        <v>23</v>
      </c>
      <c r="G1089" s="4">
        <f>VLOOKUP(Googleadssales[[#This Row],[Ad_ID]],'[1]pre processed data'!A:K,11,0)</f>
        <v>5</v>
      </c>
      <c r="H1089" s="2">
        <f>Googleadssales[[#This Row],[Conversions]]/Googleadssales[[#This Row],[Clicks]]</f>
        <v>3.6496350364963501E-2</v>
      </c>
      <c r="I1089" t="str">
        <f>VLOOKUP(Googleadssales[[#This Row],[Ad_ID]],'[1]pre processed data'!A:O,15,0)</f>
        <v>$1227</v>
      </c>
      <c r="J1089" s="3">
        <f>VLOOKUP(Googleadssales[[#This Row],[Ad_ID]],'[1]pre processed data'!A:Q,17,0)</f>
        <v>45622</v>
      </c>
      <c r="K1089" t="str">
        <f>VLOOKUP(Googleadssales[[#This Row],[Ad_ID]],'[1]pre processed data'!A:R,18,0)</f>
        <v>Chennai</v>
      </c>
      <c r="L1089" t="str">
        <f>VLOOKUP(Googleadssales[[#This Row],[Ad_ID]],'[1]pre processed data'!A:S,19,0)</f>
        <v>Tablet</v>
      </c>
      <c r="M1089" t="str">
        <f>VLOOKUP(Googleadssales[[#This Row],[Ad_ID]],'[1]pre processed data'!A:T,20,0)</f>
        <v>data analytics training</v>
      </c>
    </row>
    <row r="1090" spans="1:13" x14ac:dyDescent="0.3">
      <c r="A1090" t="s">
        <v>1103</v>
      </c>
      <c r="B1090" t="s">
        <v>14</v>
      </c>
      <c r="C1090" s="4">
        <f>VLOOKUP(Googleadssales[[#This Row],[Ad_ID]],'[1]pre processed data'!A:C,3,0)</f>
        <v>131</v>
      </c>
      <c r="D1090" s="4">
        <f>VLOOKUP(Googleadssales[[#This Row],[Ad_ID]],'[1]pre processed data'!A:E,5,0)</f>
        <v>4523.2808326787117</v>
      </c>
      <c r="E1090" s="5" t="str">
        <f>VLOOKUP(Googleadssales[[#This Row],[Ad_ID]],[1]!Table3[[Ad_ID]:[Cost-imputed]],7,0)</f>
        <v>$209.38</v>
      </c>
      <c r="F1090" s="4">
        <f>VLOOKUP(Googleadssales[[#This Row],[Ad_ID]],'[1]pre processed data'!A:I,9,0)</f>
        <v>16</v>
      </c>
      <c r="G1090" s="4">
        <f>VLOOKUP(Googleadssales[[#This Row],[Ad_ID]],'[1]pre processed data'!A:K,11,0)</f>
        <v>9</v>
      </c>
      <c r="H1090" s="2">
        <f>Googleadssales[[#This Row],[Conversions]]/Googleadssales[[#This Row],[Clicks]]</f>
        <v>6.8702290076335881E-2</v>
      </c>
      <c r="I1090" t="str">
        <f>VLOOKUP(Googleadssales[[#This Row],[Ad_ID]],'[1]pre processed data'!A:O,15,0)</f>
        <v>$1645</v>
      </c>
      <c r="J1090" s="3">
        <f>VLOOKUP(Googleadssales[[#This Row],[Ad_ID]],'[1]pre processed data'!A:Q,17,0)</f>
        <v>45608</v>
      </c>
      <c r="K1090" t="str">
        <f>VLOOKUP(Googleadssales[[#This Row],[Ad_ID]],'[1]pre processed data'!A:R,18,0)</f>
        <v>Bangaluru</v>
      </c>
      <c r="L1090" t="str">
        <f>VLOOKUP(Googleadssales[[#This Row],[Ad_ID]],'[1]pre processed data'!A:S,19,0)</f>
        <v>Mobile</v>
      </c>
      <c r="M1090" t="str">
        <f>VLOOKUP(Googleadssales[[#This Row],[Ad_ID]],'[1]pre processed data'!A:T,20,0)</f>
        <v>data analytics online</v>
      </c>
    </row>
    <row r="1091" spans="1:13" x14ac:dyDescent="0.3">
      <c r="A1091" t="s">
        <v>1104</v>
      </c>
      <c r="B1091" t="s">
        <v>18</v>
      </c>
      <c r="C1091" s="4">
        <f>VLOOKUP(Googleadssales[[#This Row],[Ad_ID]],'[1]pre processed data'!A:C,3,0)</f>
        <v>80</v>
      </c>
      <c r="D1091" s="4">
        <f>VLOOKUP(Googleadssales[[#This Row],[Ad_ID]],'[1]pre processed data'!A:E,5,0)</f>
        <v>3760</v>
      </c>
      <c r="E1091" s="5" t="str">
        <f>VLOOKUP(Googleadssales[[#This Row],[Ad_ID]],[1]!Table3[[Ad_ID]:[Cost-imputed]],7,0)</f>
        <v>$236.82</v>
      </c>
      <c r="F1091" s="4">
        <f>VLOOKUP(Googleadssales[[#This Row],[Ad_ID]],'[1]pre processed data'!A:I,9,0)</f>
        <v>13</v>
      </c>
      <c r="G1091" s="4">
        <f>VLOOKUP(Googleadssales[[#This Row],[Ad_ID]],'[1]pre processed data'!A:K,11,0)</f>
        <v>4</v>
      </c>
      <c r="H1091" s="2">
        <f>Googleadssales[[#This Row],[Conversions]]/Googleadssales[[#This Row],[Clicks]]</f>
        <v>0.05</v>
      </c>
      <c r="I1091" t="str">
        <f>VLOOKUP(Googleadssales[[#This Row],[Ad_ID]],'[1]pre processed data'!A:O,15,0)</f>
        <v>$1927</v>
      </c>
      <c r="J1091" s="3">
        <f>VLOOKUP(Googleadssales[[#This Row],[Ad_ID]],'[1]pre processed data'!A:Q,17,0)</f>
        <v>45617</v>
      </c>
      <c r="K1091" t="str">
        <f>VLOOKUP(Googleadssales[[#This Row],[Ad_ID]],'[1]pre processed data'!A:R,18,0)</f>
        <v>Chennai</v>
      </c>
      <c r="L1091" t="str">
        <f>VLOOKUP(Googleadssales[[#This Row],[Ad_ID]],'[1]pre processed data'!A:S,19,0)</f>
        <v>Desktop</v>
      </c>
      <c r="M1091" t="str">
        <f>VLOOKUP(Googleadssales[[#This Row],[Ad_ID]],'[1]pre processed data'!A:T,20,0)</f>
        <v>learn data analytics</v>
      </c>
    </row>
    <row r="1092" spans="1:13" x14ac:dyDescent="0.3">
      <c r="A1092" t="s">
        <v>1105</v>
      </c>
      <c r="B1092" t="s">
        <v>14</v>
      </c>
      <c r="C1092" s="4">
        <f>VLOOKUP(Googleadssales[[#This Row],[Ad_ID]],'[1]pre processed data'!A:C,3,0)</f>
        <v>114</v>
      </c>
      <c r="D1092" s="4">
        <f>VLOOKUP(Googleadssales[[#This Row],[Ad_ID]],'[1]pre processed data'!A:E,5,0)</f>
        <v>4157</v>
      </c>
      <c r="E1092" s="5" t="str">
        <f>VLOOKUP(Googleadssales[[#This Row],[Ad_ID]],[1]!Table3[[Ad_ID]:[Cost-imputed]],7,0)</f>
        <v>$248.56</v>
      </c>
      <c r="F1092" s="4">
        <f>VLOOKUP(Googleadssales[[#This Row],[Ad_ID]],'[1]pre processed data'!A:I,9,0)</f>
        <v>10</v>
      </c>
      <c r="G1092" s="4">
        <f>VLOOKUP(Googleadssales[[#This Row],[Ad_ID]],'[1]pre processed data'!A:K,11,0)</f>
        <v>7</v>
      </c>
      <c r="H1092" s="2">
        <f>Googleadssales[[#This Row],[Conversions]]/Googleadssales[[#This Row],[Clicks]]</f>
        <v>6.1403508771929821E-2</v>
      </c>
      <c r="I1092" t="str">
        <f>VLOOKUP(Googleadssales[[#This Row],[Ad_ID]],'[1]pre processed data'!A:O,15,0)</f>
        <v>$1671</v>
      </c>
      <c r="J1092" s="3">
        <f>VLOOKUP(Googleadssales[[#This Row],[Ad_ID]],'[1]pre processed data'!A:Q,17,0)</f>
        <v>45606</v>
      </c>
      <c r="K1092" t="str">
        <f>VLOOKUP(Googleadssales[[#This Row],[Ad_ID]],'[1]pre processed data'!A:R,18,0)</f>
        <v>Hyderabad</v>
      </c>
      <c r="L1092" t="str">
        <f>VLOOKUP(Googleadssales[[#This Row],[Ad_ID]],'[1]pre processed data'!A:S,19,0)</f>
        <v>Desktop</v>
      </c>
      <c r="M1092" t="str">
        <f>VLOOKUP(Googleadssales[[#This Row],[Ad_ID]],'[1]pre processed data'!A:T,20,0)</f>
        <v>analytics for data</v>
      </c>
    </row>
    <row r="1093" spans="1:13" x14ac:dyDescent="0.3">
      <c r="A1093" t="s">
        <v>1106</v>
      </c>
      <c r="B1093" t="s">
        <v>14</v>
      </c>
      <c r="C1093" s="4">
        <f>VLOOKUP(Googleadssales[[#This Row],[Ad_ID]],'[1]pre processed data'!A:C,3,0)</f>
        <v>123</v>
      </c>
      <c r="D1093" s="4">
        <f>VLOOKUP(Googleadssales[[#This Row],[Ad_ID]],'[1]pre processed data'!A:E,5,0)</f>
        <v>4580</v>
      </c>
      <c r="E1093" s="5" t="str">
        <f>VLOOKUP(Googleadssales[[#This Row],[Ad_ID]],[1]!Table3[[Ad_ID]:[Cost-imputed]],7,0)</f>
        <v>$223.0</v>
      </c>
      <c r="F1093" s="4">
        <f>VLOOKUP(Googleadssales[[#This Row],[Ad_ID]],'[1]pre processed data'!A:I,9,0)</f>
        <v>15</v>
      </c>
      <c r="G1093" s="4">
        <f>VLOOKUP(Googleadssales[[#This Row],[Ad_ID]],'[1]pre processed data'!A:K,11,0)</f>
        <v>7</v>
      </c>
      <c r="H1093" s="2">
        <f>Googleadssales[[#This Row],[Conversions]]/Googleadssales[[#This Row],[Clicks]]</f>
        <v>5.6910569105691054E-2</v>
      </c>
      <c r="I1093" t="str">
        <f>VLOOKUP(Googleadssales[[#This Row],[Ad_ID]],'[1]pre processed data'!A:O,15,0)</f>
        <v>$1614</v>
      </c>
      <c r="J1093" s="3">
        <f>VLOOKUP(Googleadssales[[#This Row],[Ad_ID]],'[1]pre processed data'!A:Q,17,0)</f>
        <v>45614</v>
      </c>
      <c r="K1093" t="str">
        <f>VLOOKUP(Googleadssales[[#This Row],[Ad_ID]],'[1]pre processed data'!A:R,18,0)</f>
        <v>Bangaluru</v>
      </c>
      <c r="L1093" t="str">
        <f>VLOOKUP(Googleadssales[[#This Row],[Ad_ID]],'[1]pre processed data'!A:S,19,0)</f>
        <v>Mobile</v>
      </c>
      <c r="M1093" t="str">
        <f>VLOOKUP(Googleadssales[[#This Row],[Ad_ID]],'[1]pre processed data'!A:T,20,0)</f>
        <v>analytics for data</v>
      </c>
    </row>
    <row r="1094" spans="1:13" x14ac:dyDescent="0.3">
      <c r="A1094" t="s">
        <v>1107</v>
      </c>
      <c r="B1094" t="s">
        <v>18</v>
      </c>
      <c r="C1094" s="4">
        <f>VLOOKUP(Googleadssales[[#This Row],[Ad_ID]],'[1]pre processed data'!A:C,3,0)</f>
        <v>168</v>
      </c>
      <c r="D1094" s="4">
        <f>VLOOKUP(Googleadssales[[#This Row],[Ad_ID]],'[1]pre processed data'!A:E,5,0)</f>
        <v>4068</v>
      </c>
      <c r="E1094" s="5" t="str">
        <f>VLOOKUP(Googleadssales[[#This Row],[Ad_ID]],[1]!Table3[[Ad_ID]:[Cost-imputed]],7,0)</f>
        <v>$233.54</v>
      </c>
      <c r="F1094" s="4">
        <f>VLOOKUP(Googleadssales[[#This Row],[Ad_ID]],'[1]pre processed data'!A:I,9,0)</f>
        <v>23</v>
      </c>
      <c r="G1094" s="4">
        <f>VLOOKUP(Googleadssales[[#This Row],[Ad_ID]],'[1]pre processed data'!A:K,11,0)</f>
        <v>5</v>
      </c>
      <c r="H1094" s="2">
        <f>Googleadssales[[#This Row],[Conversions]]/Googleadssales[[#This Row],[Clicks]]</f>
        <v>2.976190476190476E-2</v>
      </c>
      <c r="I1094" t="str">
        <f>VLOOKUP(Googleadssales[[#This Row],[Ad_ID]],'[1]pre processed data'!A:O,15,0)</f>
        <v>$1636</v>
      </c>
      <c r="J1094" s="3">
        <f>VLOOKUP(Googleadssales[[#This Row],[Ad_ID]],'[1]pre processed data'!A:Q,17,0)</f>
        <v>45623</v>
      </c>
      <c r="K1094" t="str">
        <f>VLOOKUP(Googleadssales[[#This Row],[Ad_ID]],'[1]pre processed data'!A:R,18,0)</f>
        <v>Hyderabad</v>
      </c>
      <c r="L1094" t="str">
        <f>VLOOKUP(Googleadssales[[#This Row],[Ad_ID]],'[1]pre processed data'!A:S,19,0)</f>
        <v>Mobile</v>
      </c>
      <c r="M1094" t="str">
        <f>VLOOKUP(Googleadssales[[#This Row],[Ad_ID]],'[1]pre processed data'!A:T,20,0)</f>
        <v>analytics for data</v>
      </c>
    </row>
    <row r="1095" spans="1:13" x14ac:dyDescent="0.3">
      <c r="A1095" t="s">
        <v>1108</v>
      </c>
      <c r="B1095" t="s">
        <v>14</v>
      </c>
      <c r="C1095" s="4">
        <f>VLOOKUP(Googleadssales[[#This Row],[Ad_ID]],'[1]pre processed data'!A:C,3,0)</f>
        <v>180</v>
      </c>
      <c r="D1095" s="4">
        <f>VLOOKUP(Googleadssales[[#This Row],[Ad_ID]],'[1]pre processed data'!A:E,5,0)</f>
        <v>3072</v>
      </c>
      <c r="E1095" s="5" t="str">
        <f>VLOOKUP(Googleadssales[[#This Row],[Ad_ID]],[1]!Table3[[Ad_ID]:[Cost-imputed]],7,0)</f>
        <v>$218.47</v>
      </c>
      <c r="F1095" s="4">
        <f>VLOOKUP(Googleadssales[[#This Row],[Ad_ID]],'[1]pre processed data'!A:I,9,0)</f>
        <v>28</v>
      </c>
      <c r="G1095" s="4">
        <f>VLOOKUP(Googleadssales[[#This Row],[Ad_ID]],'[1]pre processed data'!A:K,11,0)</f>
        <v>9</v>
      </c>
      <c r="H1095" s="2">
        <f>Googleadssales[[#This Row],[Conversions]]/Googleadssales[[#This Row],[Clicks]]</f>
        <v>0.05</v>
      </c>
      <c r="I1095" t="str">
        <f>VLOOKUP(Googleadssales[[#This Row],[Ad_ID]],'[1]pre processed data'!A:O,15,0)</f>
        <v>$1200</v>
      </c>
      <c r="J1095" s="3">
        <f>VLOOKUP(Googleadssales[[#This Row],[Ad_ID]],'[1]pre processed data'!A:Q,17,0)</f>
        <v>45602</v>
      </c>
      <c r="K1095" t="str">
        <f>VLOOKUP(Googleadssales[[#This Row],[Ad_ID]],'[1]pre processed data'!A:R,18,0)</f>
        <v>Hyderabad</v>
      </c>
      <c r="L1095" t="str">
        <f>VLOOKUP(Googleadssales[[#This Row],[Ad_ID]],'[1]pre processed data'!A:S,19,0)</f>
        <v>Mobile</v>
      </c>
      <c r="M1095" t="str">
        <f>VLOOKUP(Googleadssales[[#This Row],[Ad_ID]],'[1]pre processed data'!A:T,20,0)</f>
        <v>learn data analytics</v>
      </c>
    </row>
    <row r="1096" spans="1:13" x14ac:dyDescent="0.3">
      <c r="A1096" t="s">
        <v>1109</v>
      </c>
      <c r="B1096" t="s">
        <v>14</v>
      </c>
      <c r="C1096" s="4">
        <f>VLOOKUP(Googleadssales[[#This Row],[Ad_ID]],'[1]pre processed data'!A:C,3,0)</f>
        <v>117</v>
      </c>
      <c r="D1096" s="4">
        <f>VLOOKUP(Googleadssales[[#This Row],[Ad_ID]],'[1]pre processed data'!A:E,5,0)</f>
        <v>5379</v>
      </c>
      <c r="E1096" s="5" t="str">
        <f>VLOOKUP(Googleadssales[[#This Row],[Ad_ID]],[1]!Table3[[Ad_ID]:[Cost-imputed]],7,0)</f>
        <v>$240.68</v>
      </c>
      <c r="F1096" s="4">
        <f>VLOOKUP(Googleadssales[[#This Row],[Ad_ID]],'[1]pre processed data'!A:I,9,0)</f>
        <v>18</v>
      </c>
      <c r="G1096" s="4">
        <f>VLOOKUP(Googleadssales[[#This Row],[Ad_ID]],'[1]pre processed data'!A:K,11,0)</f>
        <v>3</v>
      </c>
      <c r="H1096" s="2">
        <f>Googleadssales[[#This Row],[Conversions]]/Googleadssales[[#This Row],[Clicks]]</f>
        <v>2.564102564102564E-2</v>
      </c>
      <c r="I1096" t="str">
        <f>VLOOKUP(Googleadssales[[#This Row],[Ad_ID]],'[1]pre processed data'!A:O,15,0)</f>
        <v>$1361</v>
      </c>
      <c r="J1096" s="3">
        <f>VLOOKUP(Googleadssales[[#This Row],[Ad_ID]],'[1]pre processed data'!A:Q,17,0)</f>
        <v>45602</v>
      </c>
      <c r="K1096" t="str">
        <f>VLOOKUP(Googleadssales[[#This Row],[Ad_ID]],'[1]pre processed data'!A:R,18,0)</f>
        <v>Hyderabad</v>
      </c>
      <c r="L1096" t="str">
        <f>VLOOKUP(Googleadssales[[#This Row],[Ad_ID]],'[1]pre processed data'!A:S,19,0)</f>
        <v>Tablet</v>
      </c>
      <c r="M1096" t="str">
        <f>VLOOKUP(Googleadssales[[#This Row],[Ad_ID]],'[1]pre processed data'!A:T,20,0)</f>
        <v>analytics for data</v>
      </c>
    </row>
    <row r="1097" spans="1:13" x14ac:dyDescent="0.3">
      <c r="A1097" t="s">
        <v>1110</v>
      </c>
      <c r="B1097" t="s">
        <v>14</v>
      </c>
      <c r="C1097" s="4">
        <f>VLOOKUP(Googleadssales[[#This Row],[Ad_ID]],'[1]pre processed data'!A:C,3,0)</f>
        <v>103</v>
      </c>
      <c r="D1097" s="4">
        <f>VLOOKUP(Googleadssales[[#This Row],[Ad_ID]],'[1]pre processed data'!A:E,5,0)</f>
        <v>4885</v>
      </c>
      <c r="E1097" s="5" t="str">
        <f>VLOOKUP(Googleadssales[[#This Row],[Ad_ID]],[1]!Table3[[Ad_ID]:[Cost-imputed]],7,0)</f>
        <v>$221.05</v>
      </c>
      <c r="F1097" s="4">
        <f>VLOOKUP(Googleadssales[[#This Row],[Ad_ID]],'[1]pre processed data'!A:I,9,0)</f>
        <v>21</v>
      </c>
      <c r="G1097" s="4">
        <f>VLOOKUP(Googleadssales[[#This Row],[Ad_ID]],'[1]pre processed data'!A:K,11,0)</f>
        <v>10</v>
      </c>
      <c r="H1097" s="2">
        <f>Googleadssales[[#This Row],[Conversions]]/Googleadssales[[#This Row],[Clicks]]</f>
        <v>9.7087378640776698E-2</v>
      </c>
      <c r="I1097" t="str">
        <f>VLOOKUP(Googleadssales[[#This Row],[Ad_ID]],'[1]pre processed data'!A:O,15,0)</f>
        <v>$1500</v>
      </c>
      <c r="J1097" s="3">
        <f>VLOOKUP(Googleadssales[[#This Row],[Ad_ID]],'[1]pre processed data'!A:Q,17,0)</f>
        <v>45621</v>
      </c>
      <c r="K1097" t="str">
        <f>VLOOKUP(Googleadssales[[#This Row],[Ad_ID]],'[1]pre processed data'!A:R,18,0)</f>
        <v>Chennai</v>
      </c>
      <c r="L1097" t="str">
        <f>VLOOKUP(Googleadssales[[#This Row],[Ad_ID]],'[1]pre processed data'!A:S,19,0)</f>
        <v>Mobile</v>
      </c>
      <c r="M1097" t="str">
        <f>VLOOKUP(Googleadssales[[#This Row],[Ad_ID]],'[1]pre processed data'!A:T,20,0)</f>
        <v>online data analytic</v>
      </c>
    </row>
    <row r="1098" spans="1:13" x14ac:dyDescent="0.3">
      <c r="A1098" t="s">
        <v>1111</v>
      </c>
      <c r="B1098" t="s">
        <v>14</v>
      </c>
      <c r="C1098" s="4">
        <f>VLOOKUP(Googleadssales[[#This Row],[Ad_ID]],'[1]pre processed data'!A:C,3,0)</f>
        <v>140</v>
      </c>
      <c r="D1098" s="4">
        <f>VLOOKUP(Googleadssales[[#This Row],[Ad_ID]],'[1]pre processed data'!A:E,5,0)</f>
        <v>5859</v>
      </c>
      <c r="E1098" s="5" t="str">
        <f>VLOOKUP(Googleadssales[[#This Row],[Ad_ID]],[1]!Table3[[Ad_ID]:[Cost-imputed]],7,0)</f>
        <v>$211.08</v>
      </c>
      <c r="F1098" s="4">
        <f>VLOOKUP(Googleadssales[[#This Row],[Ad_ID]],'[1]pre processed data'!A:I,9,0)</f>
        <v>26</v>
      </c>
      <c r="G1098" s="4">
        <f>VLOOKUP(Googleadssales[[#This Row],[Ad_ID]],'[1]pre processed data'!A:K,11,0)</f>
        <v>9</v>
      </c>
      <c r="H1098" s="2">
        <f>Googleadssales[[#This Row],[Conversions]]/Googleadssales[[#This Row],[Clicks]]</f>
        <v>6.4285714285714279E-2</v>
      </c>
      <c r="I1098" t="str">
        <f>VLOOKUP(Googleadssales[[#This Row],[Ad_ID]],'[1]pre processed data'!A:O,15,0)</f>
        <v>$1276</v>
      </c>
      <c r="J1098" s="3">
        <f>VLOOKUP(Googleadssales[[#This Row],[Ad_ID]],'[1]pre processed data'!A:Q,17,0)</f>
        <v>45611</v>
      </c>
      <c r="K1098" t="str">
        <f>VLOOKUP(Googleadssales[[#This Row],[Ad_ID]],'[1]pre processed data'!A:R,18,0)</f>
        <v>Hyderabad</v>
      </c>
      <c r="L1098" t="str">
        <f>VLOOKUP(Googleadssales[[#This Row],[Ad_ID]],'[1]pre processed data'!A:S,19,0)</f>
        <v>Desktop</v>
      </c>
      <c r="M1098" t="str">
        <f>VLOOKUP(Googleadssales[[#This Row],[Ad_ID]],'[1]pre processed data'!A:T,20,0)</f>
        <v>data analytics training</v>
      </c>
    </row>
    <row r="1099" spans="1:13" x14ac:dyDescent="0.3">
      <c r="A1099" t="s">
        <v>1112</v>
      </c>
      <c r="B1099" t="s">
        <v>18</v>
      </c>
      <c r="C1099" s="4">
        <f>VLOOKUP(Googleadssales[[#This Row],[Ad_ID]],'[1]pre processed data'!A:C,3,0)</f>
        <v>158</v>
      </c>
      <c r="D1099" s="4">
        <f>VLOOKUP(Googleadssales[[#This Row],[Ad_ID]],'[1]pre processed data'!A:E,5,0)</f>
        <v>4574</v>
      </c>
      <c r="E1099" s="5" t="str">
        <f>VLOOKUP(Googleadssales[[#This Row],[Ad_ID]],[1]!Table3[[Ad_ID]:[Cost-imputed]],7,0)</f>
        <v>$198.9</v>
      </c>
      <c r="F1099" s="4">
        <f>VLOOKUP(Googleadssales[[#This Row],[Ad_ID]],'[1]pre processed data'!A:I,9,0)</f>
        <v>21</v>
      </c>
      <c r="G1099" s="4">
        <f>VLOOKUP(Googleadssales[[#This Row],[Ad_ID]],'[1]pre processed data'!A:K,11,0)</f>
        <v>8</v>
      </c>
      <c r="H1099" s="2">
        <f>Googleadssales[[#This Row],[Conversions]]/Googleadssales[[#This Row],[Clicks]]</f>
        <v>5.0632911392405063E-2</v>
      </c>
      <c r="I1099" t="str">
        <f>VLOOKUP(Googleadssales[[#This Row],[Ad_ID]],'[1]pre processed data'!A:O,15,0)</f>
        <v>$1706</v>
      </c>
      <c r="J1099" s="3">
        <f>VLOOKUP(Googleadssales[[#This Row],[Ad_ID]],'[1]pre processed data'!A:Q,17,0)</f>
        <v>45600</v>
      </c>
      <c r="K1099" t="str">
        <f>VLOOKUP(Googleadssales[[#This Row],[Ad_ID]],'[1]pre processed data'!A:R,18,0)</f>
        <v>Hyderabad</v>
      </c>
      <c r="L1099" t="str">
        <f>VLOOKUP(Googleadssales[[#This Row],[Ad_ID]],'[1]pre processed data'!A:S,19,0)</f>
        <v>Desktop</v>
      </c>
      <c r="M1099" t="str">
        <f>VLOOKUP(Googleadssales[[#This Row],[Ad_ID]],'[1]pre processed data'!A:T,20,0)</f>
        <v>learn data analytics</v>
      </c>
    </row>
    <row r="1100" spans="1:13" x14ac:dyDescent="0.3">
      <c r="A1100" t="s">
        <v>1113</v>
      </c>
      <c r="B1100" t="s">
        <v>14</v>
      </c>
      <c r="C1100" s="4">
        <f>VLOOKUP(Googleadssales[[#This Row],[Ad_ID]],'[1]pre processed data'!A:C,3,0)</f>
        <v>162</v>
      </c>
      <c r="D1100" s="4">
        <f>VLOOKUP(Googleadssales[[#This Row],[Ad_ID]],'[1]pre processed data'!A:E,5,0)</f>
        <v>5911</v>
      </c>
      <c r="E1100" s="5" t="str">
        <f>VLOOKUP(Googleadssales[[#This Row],[Ad_ID]],[1]!Table3[[Ad_ID]:[Cost-imputed]],7,0)</f>
        <v>$232.03</v>
      </c>
      <c r="F1100" s="4">
        <f>VLOOKUP(Googleadssales[[#This Row],[Ad_ID]],'[1]pre processed data'!A:I,9,0)</f>
        <v>12</v>
      </c>
      <c r="G1100" s="4">
        <f>VLOOKUP(Googleadssales[[#This Row],[Ad_ID]],'[1]pre processed data'!A:K,11,0)</f>
        <v>7</v>
      </c>
      <c r="H1100" s="2">
        <f>Googleadssales[[#This Row],[Conversions]]/Googleadssales[[#This Row],[Clicks]]</f>
        <v>4.3209876543209874E-2</v>
      </c>
      <c r="I1100" t="str">
        <f>VLOOKUP(Googleadssales[[#This Row],[Ad_ID]],'[1]pre processed data'!A:O,15,0)</f>
        <v>$1613</v>
      </c>
      <c r="J1100" s="3">
        <f>VLOOKUP(Googleadssales[[#This Row],[Ad_ID]],'[1]pre processed data'!A:Q,17,0)</f>
        <v>45605</v>
      </c>
      <c r="K1100" t="str">
        <f>VLOOKUP(Googleadssales[[#This Row],[Ad_ID]],'[1]pre processed data'!A:R,18,0)</f>
        <v>Chennai</v>
      </c>
      <c r="L1100" t="str">
        <f>VLOOKUP(Googleadssales[[#This Row],[Ad_ID]],'[1]pre processed data'!A:S,19,0)</f>
        <v>Tablet</v>
      </c>
      <c r="M1100" t="str">
        <f>VLOOKUP(Googleadssales[[#This Row],[Ad_ID]],'[1]pre processed data'!A:T,20,0)</f>
        <v>data analytics online</v>
      </c>
    </row>
    <row r="1101" spans="1:13" x14ac:dyDescent="0.3">
      <c r="A1101" t="s">
        <v>1114</v>
      </c>
      <c r="B1101" t="s">
        <v>14</v>
      </c>
      <c r="C1101" s="4">
        <f>VLOOKUP(Googleadssales[[#This Row],[Ad_ID]],'[1]pre processed data'!A:C,3,0)</f>
        <v>122</v>
      </c>
      <c r="D1101" s="4">
        <f>VLOOKUP(Googleadssales[[#This Row],[Ad_ID]],'[1]pre processed data'!A:E,5,0)</f>
        <v>3440</v>
      </c>
      <c r="E1101" s="5" t="str">
        <f>VLOOKUP(Googleadssales[[#This Row],[Ad_ID]],[1]!Table3[[Ad_ID]:[Cost-imputed]],7,0)</f>
        <v>$206.78</v>
      </c>
      <c r="F1101" s="4">
        <f>VLOOKUP(Googleadssales[[#This Row],[Ad_ID]],'[1]pre processed data'!A:I,9,0)</f>
        <v>20</v>
      </c>
      <c r="G1101" s="4">
        <f>VLOOKUP(Googleadssales[[#This Row],[Ad_ID]],'[1]pre processed data'!A:K,11,0)</f>
        <v>3</v>
      </c>
      <c r="H1101" s="2">
        <f>Googleadssales[[#This Row],[Conversions]]/Googleadssales[[#This Row],[Clicks]]</f>
        <v>2.4590163934426229E-2</v>
      </c>
      <c r="I1101" t="str">
        <f>VLOOKUP(Googleadssales[[#This Row],[Ad_ID]],'[1]pre processed data'!A:O,15,0)</f>
        <v>$1222</v>
      </c>
      <c r="J1101" s="3">
        <f>VLOOKUP(Googleadssales[[#This Row],[Ad_ID]],'[1]pre processed data'!A:Q,17,0)</f>
        <v>45620</v>
      </c>
      <c r="K1101" t="str">
        <f>VLOOKUP(Googleadssales[[#This Row],[Ad_ID]],'[1]pre processed data'!A:R,18,0)</f>
        <v>Chennai</v>
      </c>
      <c r="L1101" t="str">
        <f>VLOOKUP(Googleadssales[[#This Row],[Ad_ID]],'[1]pre processed data'!A:S,19,0)</f>
        <v>Tablet</v>
      </c>
      <c r="M1101" t="str">
        <f>VLOOKUP(Googleadssales[[#This Row],[Ad_ID]],'[1]pre processed data'!A:T,20,0)</f>
        <v>online data analytic</v>
      </c>
    </row>
    <row r="1102" spans="1:13" x14ac:dyDescent="0.3">
      <c r="A1102" t="s">
        <v>1115</v>
      </c>
      <c r="B1102" t="s">
        <v>18</v>
      </c>
      <c r="C1102" s="4">
        <f>VLOOKUP(Googleadssales[[#This Row],[Ad_ID]],'[1]pre processed data'!A:C,3,0)</f>
        <v>89</v>
      </c>
      <c r="D1102" s="4">
        <f>VLOOKUP(Googleadssales[[#This Row],[Ad_ID]],'[1]pre processed data'!A:E,5,0)</f>
        <v>4319</v>
      </c>
      <c r="E1102" s="5" t="str">
        <f>VLOOKUP(Googleadssales[[#This Row],[Ad_ID]],[1]!Table3[[Ad_ID]:[Cost-imputed]],7,0)</f>
        <v>$198.79</v>
      </c>
      <c r="F1102" s="4">
        <f>VLOOKUP(Googleadssales[[#This Row],[Ad_ID]],'[1]pre processed data'!A:I,9,0)</f>
        <v>23</v>
      </c>
      <c r="G1102" s="4">
        <f>VLOOKUP(Googleadssales[[#This Row],[Ad_ID]],'[1]pre processed data'!A:K,11,0)</f>
        <v>10</v>
      </c>
      <c r="H1102" s="2">
        <f>Googleadssales[[#This Row],[Conversions]]/Googleadssales[[#This Row],[Clicks]]</f>
        <v>0.11235955056179775</v>
      </c>
      <c r="I1102" t="str">
        <f>VLOOKUP(Googleadssales[[#This Row],[Ad_ID]],'[1]pre processed data'!A:O,15,0)</f>
        <v>$1980</v>
      </c>
      <c r="J1102" s="3">
        <f>VLOOKUP(Googleadssales[[#This Row],[Ad_ID]],'[1]pre processed data'!A:Q,17,0)</f>
        <v>45612</v>
      </c>
      <c r="K1102" t="str">
        <f>VLOOKUP(Googleadssales[[#This Row],[Ad_ID]],'[1]pre processed data'!A:R,18,0)</f>
        <v>Chennai</v>
      </c>
      <c r="L1102" t="str">
        <f>VLOOKUP(Googleadssales[[#This Row],[Ad_ID]],'[1]pre processed data'!A:S,19,0)</f>
        <v>Mobile</v>
      </c>
      <c r="M1102" t="str">
        <f>VLOOKUP(Googleadssales[[#This Row],[Ad_ID]],'[1]pre processed data'!A:T,20,0)</f>
        <v>learn data analytics</v>
      </c>
    </row>
    <row r="1103" spans="1:13" x14ac:dyDescent="0.3">
      <c r="A1103" t="s">
        <v>1116</v>
      </c>
      <c r="B1103" t="s">
        <v>14</v>
      </c>
      <c r="C1103" s="4">
        <f>VLOOKUP(Googleadssales[[#This Row],[Ad_ID]],'[1]pre processed data'!A:C,3,0)</f>
        <v>119</v>
      </c>
      <c r="D1103" s="4">
        <f>VLOOKUP(Googleadssales[[#This Row],[Ad_ID]],'[1]pre processed data'!A:E,5,0)</f>
        <v>3956</v>
      </c>
      <c r="E1103" s="5" t="str">
        <f>VLOOKUP(Googleadssales[[#This Row],[Ad_ID]],[1]!Table3[[Ad_ID]:[Cost-imputed]],7,0)</f>
        <v>$188.53</v>
      </c>
      <c r="F1103" s="4">
        <f>VLOOKUP(Googleadssales[[#This Row],[Ad_ID]],'[1]pre processed data'!A:I,9,0)</f>
        <v>20</v>
      </c>
      <c r="G1103" s="4">
        <f>VLOOKUP(Googleadssales[[#This Row],[Ad_ID]],'[1]pre processed data'!A:K,11,0)</f>
        <v>5</v>
      </c>
      <c r="H1103" s="2">
        <f>Googleadssales[[#This Row],[Conversions]]/Googleadssales[[#This Row],[Clicks]]</f>
        <v>4.2016806722689079E-2</v>
      </c>
      <c r="I1103" t="str">
        <f>VLOOKUP(Googleadssales[[#This Row],[Ad_ID]],'[1]pre processed data'!A:O,15,0)</f>
        <v>$1311</v>
      </c>
      <c r="J1103" s="3">
        <f>VLOOKUP(Googleadssales[[#This Row],[Ad_ID]],'[1]pre processed data'!A:Q,17,0)</f>
        <v>45611</v>
      </c>
      <c r="K1103" t="str">
        <f>VLOOKUP(Googleadssales[[#This Row],[Ad_ID]],'[1]pre processed data'!A:R,18,0)</f>
        <v>Chennai</v>
      </c>
      <c r="L1103" t="str">
        <f>VLOOKUP(Googleadssales[[#This Row],[Ad_ID]],'[1]pre processed data'!A:S,19,0)</f>
        <v>Tablet</v>
      </c>
      <c r="M1103" t="str">
        <f>VLOOKUP(Googleadssales[[#This Row],[Ad_ID]],'[1]pre processed data'!A:T,20,0)</f>
        <v>data analytics training</v>
      </c>
    </row>
    <row r="1104" spans="1:13" x14ac:dyDescent="0.3">
      <c r="A1104" t="s">
        <v>1117</v>
      </c>
      <c r="B1104" t="s">
        <v>14</v>
      </c>
      <c r="C1104" s="4">
        <f>VLOOKUP(Googleadssales[[#This Row],[Ad_ID]],'[1]pre processed data'!A:C,3,0)</f>
        <v>155</v>
      </c>
      <c r="D1104" s="4">
        <f>VLOOKUP(Googleadssales[[#This Row],[Ad_ID]],'[1]pre processed data'!A:E,5,0)</f>
        <v>4220</v>
      </c>
      <c r="E1104" s="5" t="str">
        <f>VLOOKUP(Googleadssales[[#This Row],[Ad_ID]],[1]!Table3[[Ad_ID]:[Cost-imputed]],7,0)</f>
        <v>$200.81</v>
      </c>
      <c r="F1104" s="4">
        <f>VLOOKUP(Googleadssales[[#This Row],[Ad_ID]],'[1]pre processed data'!A:I,9,0)</f>
        <v>20</v>
      </c>
      <c r="G1104" s="4">
        <f>VLOOKUP(Googleadssales[[#This Row],[Ad_ID]],'[1]pre processed data'!A:K,11,0)</f>
        <v>3</v>
      </c>
      <c r="H1104" s="2">
        <f>Googleadssales[[#This Row],[Conversions]]/Googleadssales[[#This Row],[Clicks]]</f>
        <v>1.935483870967742E-2</v>
      </c>
      <c r="I1104" t="str">
        <f>VLOOKUP(Googleadssales[[#This Row],[Ad_ID]],'[1]pre processed data'!A:O,15,0)</f>
        <v>$1199</v>
      </c>
      <c r="J1104" s="3">
        <f>VLOOKUP(Googleadssales[[#This Row],[Ad_ID]],'[1]pre processed data'!A:Q,17,0)</f>
        <v>45626</v>
      </c>
      <c r="K1104" t="str">
        <f>VLOOKUP(Googleadssales[[#This Row],[Ad_ID]],'[1]pre processed data'!A:R,18,0)</f>
        <v>Hyderabad</v>
      </c>
      <c r="L1104" t="str">
        <f>VLOOKUP(Googleadssales[[#This Row],[Ad_ID]],'[1]pre processed data'!A:S,19,0)</f>
        <v>Mobile</v>
      </c>
      <c r="M1104" t="str">
        <f>VLOOKUP(Googleadssales[[#This Row],[Ad_ID]],'[1]pre processed data'!A:T,20,0)</f>
        <v>data analytics course</v>
      </c>
    </row>
    <row r="1105" spans="1:13" x14ac:dyDescent="0.3">
      <c r="A1105" t="s">
        <v>1118</v>
      </c>
      <c r="B1105" t="s">
        <v>18</v>
      </c>
      <c r="C1105" s="4">
        <f>VLOOKUP(Googleadssales[[#This Row],[Ad_ID]],'[1]pre processed data'!A:C,3,0)</f>
        <v>138.95699356913184</v>
      </c>
      <c r="D1105" s="4">
        <f>VLOOKUP(Googleadssales[[#This Row],[Ad_ID]],'[1]pre processed data'!A:E,5,0)</f>
        <v>3692</v>
      </c>
      <c r="E1105" s="5" t="str">
        <f>VLOOKUP(Googleadssales[[#This Row],[Ad_ID]],[1]!Table3[[Ad_ID]:[Cost-imputed]],7,0)</f>
        <v>$243.6</v>
      </c>
      <c r="F1105" s="4">
        <f>VLOOKUP(Googleadssales[[#This Row],[Ad_ID]],'[1]pre processed data'!A:I,9,0)</f>
        <v>30</v>
      </c>
      <c r="G1105" s="4">
        <f>VLOOKUP(Googleadssales[[#This Row],[Ad_ID]],'[1]pre processed data'!A:K,11,0)</f>
        <v>4</v>
      </c>
      <c r="H1105" s="2">
        <f>Googleadssales[[#This Row],[Conversions]]/Googleadssales[[#This Row],[Clicks]]</f>
        <v>2.8785884734977219E-2</v>
      </c>
      <c r="I1105" t="str">
        <f>VLOOKUP(Googleadssales[[#This Row],[Ad_ID]],'[1]pre processed data'!A:O,15,0)</f>
        <v>$1954</v>
      </c>
      <c r="J1105" s="3">
        <f>VLOOKUP(Googleadssales[[#This Row],[Ad_ID]],'[1]pre processed data'!A:Q,17,0)</f>
        <v>45597</v>
      </c>
      <c r="K1105" t="str">
        <f>VLOOKUP(Googleadssales[[#This Row],[Ad_ID]],'[1]pre processed data'!A:R,18,0)</f>
        <v>Chennai</v>
      </c>
      <c r="L1105" t="str">
        <f>VLOOKUP(Googleadssales[[#This Row],[Ad_ID]],'[1]pre processed data'!A:S,19,0)</f>
        <v>Mobile</v>
      </c>
      <c r="M1105" t="str">
        <f>VLOOKUP(Googleadssales[[#This Row],[Ad_ID]],'[1]pre processed data'!A:T,20,0)</f>
        <v>analytics for data</v>
      </c>
    </row>
    <row r="1106" spans="1:13" x14ac:dyDescent="0.3">
      <c r="A1106" t="s">
        <v>1119</v>
      </c>
      <c r="B1106" t="s">
        <v>14</v>
      </c>
      <c r="C1106" s="4">
        <f>VLOOKUP(Googleadssales[[#This Row],[Ad_ID]],'[1]pre processed data'!A:C,3,0)</f>
        <v>179</v>
      </c>
      <c r="D1106" s="4">
        <f>VLOOKUP(Googleadssales[[#This Row],[Ad_ID]],'[1]pre processed data'!A:E,5,0)</f>
        <v>4188</v>
      </c>
      <c r="E1106" s="5" t="str">
        <f>VLOOKUP(Googleadssales[[#This Row],[Ad_ID]],[1]!Table3[[Ad_ID]:[Cost-imputed]],7,0)</f>
        <v>$231.23</v>
      </c>
      <c r="F1106" s="4">
        <f>VLOOKUP(Googleadssales[[#This Row],[Ad_ID]],'[1]pre processed data'!A:I,9,0)</f>
        <v>25</v>
      </c>
      <c r="G1106" s="4">
        <f>VLOOKUP(Googleadssales[[#This Row],[Ad_ID]],'[1]pre processed data'!A:K,11,0)</f>
        <v>9</v>
      </c>
      <c r="H1106" s="2">
        <f>Googleadssales[[#This Row],[Conversions]]/Googleadssales[[#This Row],[Clicks]]</f>
        <v>5.027932960893855E-2</v>
      </c>
      <c r="I1106" t="str">
        <f>VLOOKUP(Googleadssales[[#This Row],[Ad_ID]],'[1]pre processed data'!A:O,15,0)</f>
        <v>$1936</v>
      </c>
      <c r="J1106" s="3">
        <f>VLOOKUP(Googleadssales[[#This Row],[Ad_ID]],'[1]pre processed data'!A:Q,17,0)</f>
        <v>45615</v>
      </c>
      <c r="K1106" t="str">
        <f>VLOOKUP(Googleadssales[[#This Row],[Ad_ID]],'[1]pre processed data'!A:R,18,0)</f>
        <v>Hyderabad</v>
      </c>
      <c r="L1106" t="str">
        <f>VLOOKUP(Googleadssales[[#This Row],[Ad_ID]],'[1]pre processed data'!A:S,19,0)</f>
        <v>Mobile</v>
      </c>
      <c r="M1106" t="str">
        <f>VLOOKUP(Googleadssales[[#This Row],[Ad_ID]],'[1]pre processed data'!A:T,20,0)</f>
        <v>online data analytic</v>
      </c>
    </row>
    <row r="1107" spans="1:13" x14ac:dyDescent="0.3">
      <c r="A1107" t="s">
        <v>1120</v>
      </c>
      <c r="B1107" t="s">
        <v>14</v>
      </c>
      <c r="C1107" s="4">
        <f>VLOOKUP(Googleadssales[[#This Row],[Ad_ID]],'[1]pre processed data'!A:C,3,0)</f>
        <v>194</v>
      </c>
      <c r="D1107" s="4">
        <f>VLOOKUP(Googleadssales[[#This Row],[Ad_ID]],'[1]pre processed data'!A:E,5,0)</f>
        <v>4523.2808326787117</v>
      </c>
      <c r="E1107" s="5" t="str">
        <f>VLOOKUP(Googleadssales[[#This Row],[Ad_ID]],[1]!Table3[[Ad_ID]:[Cost-imputed]],7,0)</f>
        <v>$217.93</v>
      </c>
      <c r="F1107" s="4">
        <f>VLOOKUP(Googleadssales[[#This Row],[Ad_ID]],'[1]pre processed data'!A:I,9,0)</f>
        <v>29</v>
      </c>
      <c r="G1107" s="4">
        <f>VLOOKUP(Googleadssales[[#This Row],[Ad_ID]],'[1]pre processed data'!A:K,11,0)</f>
        <v>6.5051903114186853</v>
      </c>
      <c r="H1107" s="2">
        <f>Googleadssales[[#This Row],[Conversions]]/Googleadssales[[#This Row],[Clicks]]</f>
        <v>3.3531908821745803E-2</v>
      </c>
      <c r="I1107" t="str">
        <f>VLOOKUP(Googleadssales[[#This Row],[Ad_ID]],'[1]pre processed data'!A:O,15,0)</f>
        <v>$1457</v>
      </c>
      <c r="J1107" s="3">
        <f>VLOOKUP(Googleadssales[[#This Row],[Ad_ID]],'[1]pre processed data'!A:Q,17,0)</f>
        <v>45621</v>
      </c>
      <c r="K1107" t="str">
        <f>VLOOKUP(Googleadssales[[#This Row],[Ad_ID]],'[1]pre processed data'!A:R,18,0)</f>
        <v>Bangaluru</v>
      </c>
      <c r="L1107" t="str">
        <f>VLOOKUP(Googleadssales[[#This Row],[Ad_ID]],'[1]pre processed data'!A:S,19,0)</f>
        <v>Mobile</v>
      </c>
      <c r="M1107" t="str">
        <f>VLOOKUP(Googleadssales[[#This Row],[Ad_ID]],'[1]pre processed data'!A:T,20,0)</f>
        <v>data analytics course</v>
      </c>
    </row>
    <row r="1108" spans="1:13" x14ac:dyDescent="0.3">
      <c r="A1108" t="s">
        <v>1121</v>
      </c>
      <c r="B1108" t="s">
        <v>14</v>
      </c>
      <c r="C1108" s="4">
        <f>VLOOKUP(Googleadssales[[#This Row],[Ad_ID]],'[1]pre processed data'!A:C,3,0)</f>
        <v>101</v>
      </c>
      <c r="D1108" s="4">
        <f>VLOOKUP(Googleadssales[[#This Row],[Ad_ID]],'[1]pre processed data'!A:E,5,0)</f>
        <v>3401</v>
      </c>
      <c r="E1108" s="5" t="str">
        <f>VLOOKUP(Googleadssales[[#This Row],[Ad_ID]],[1]!Table3[[Ad_ID]:[Cost-imputed]],7,0)</f>
        <v>$194.12</v>
      </c>
      <c r="F1108" s="4">
        <f>VLOOKUP(Googleadssales[[#This Row],[Ad_ID]],'[1]pre processed data'!A:I,9,0)</f>
        <v>27</v>
      </c>
      <c r="G1108" s="4">
        <f>VLOOKUP(Googleadssales[[#This Row],[Ad_ID]],'[1]pre processed data'!A:K,11,0)</f>
        <v>3</v>
      </c>
      <c r="H1108" s="2">
        <f>Googleadssales[[#This Row],[Conversions]]/Googleadssales[[#This Row],[Clicks]]</f>
        <v>2.9702970297029702E-2</v>
      </c>
      <c r="I1108" t="str">
        <f>VLOOKUP(Googleadssales[[#This Row],[Ad_ID]],'[1]pre processed data'!A:O,15,0)</f>
        <v>$1721</v>
      </c>
      <c r="J1108" s="3">
        <f>VLOOKUP(Googleadssales[[#This Row],[Ad_ID]],'[1]pre processed data'!A:Q,17,0)</f>
        <v>45607</v>
      </c>
      <c r="K1108" t="str">
        <f>VLOOKUP(Googleadssales[[#This Row],[Ad_ID]],'[1]pre processed data'!A:R,18,0)</f>
        <v>Chennai</v>
      </c>
      <c r="L1108" t="str">
        <f>VLOOKUP(Googleadssales[[#This Row],[Ad_ID]],'[1]pre processed data'!A:S,19,0)</f>
        <v>Mobile</v>
      </c>
      <c r="M1108" t="str">
        <f>VLOOKUP(Googleadssales[[#This Row],[Ad_ID]],'[1]pre processed data'!A:T,20,0)</f>
        <v>learn data analytics</v>
      </c>
    </row>
    <row r="1109" spans="1:13" x14ac:dyDescent="0.3">
      <c r="A1109" t="s">
        <v>1122</v>
      </c>
      <c r="B1109" t="s">
        <v>14</v>
      </c>
      <c r="C1109" s="4">
        <f>VLOOKUP(Googleadssales[[#This Row],[Ad_ID]],'[1]pre processed data'!A:C,3,0)</f>
        <v>110</v>
      </c>
      <c r="D1109" s="4">
        <f>VLOOKUP(Googleadssales[[#This Row],[Ad_ID]],'[1]pre processed data'!A:E,5,0)</f>
        <v>3382</v>
      </c>
      <c r="E1109" s="5" t="str">
        <f>VLOOKUP(Googleadssales[[#This Row],[Ad_ID]],[1]!Table3[[Ad_ID]:[Cost-imputed]],7,0)</f>
        <v>$249.88</v>
      </c>
      <c r="F1109" s="4">
        <f>VLOOKUP(Googleadssales[[#This Row],[Ad_ID]],'[1]pre processed data'!A:I,9,0)</f>
        <v>17</v>
      </c>
      <c r="G1109" s="4">
        <f>VLOOKUP(Googleadssales[[#This Row],[Ad_ID]],'[1]pre processed data'!A:K,11,0)</f>
        <v>6</v>
      </c>
      <c r="H1109" s="2">
        <f>Googleadssales[[#This Row],[Conversions]]/Googleadssales[[#This Row],[Clicks]]</f>
        <v>5.4545454545454543E-2</v>
      </c>
      <c r="I1109" t="str">
        <f>VLOOKUP(Googleadssales[[#This Row],[Ad_ID]],'[1]pre processed data'!A:O,15,0)</f>
        <v>$1327</v>
      </c>
      <c r="J1109" s="3">
        <f>VLOOKUP(Googleadssales[[#This Row],[Ad_ID]],'[1]pre processed data'!A:Q,17,0)</f>
        <v>45618</v>
      </c>
      <c r="K1109" t="str">
        <f>VLOOKUP(Googleadssales[[#This Row],[Ad_ID]],'[1]pre processed data'!A:R,18,0)</f>
        <v>Bangaluru</v>
      </c>
      <c r="L1109" t="str">
        <f>VLOOKUP(Googleadssales[[#This Row],[Ad_ID]],'[1]pre processed data'!A:S,19,0)</f>
        <v>Mobile</v>
      </c>
      <c r="M1109" t="str">
        <f>VLOOKUP(Googleadssales[[#This Row],[Ad_ID]],'[1]pre processed data'!A:T,20,0)</f>
        <v>learn data analytics</v>
      </c>
    </row>
    <row r="1110" spans="1:13" x14ac:dyDescent="0.3">
      <c r="A1110" t="s">
        <v>1123</v>
      </c>
      <c r="B1110" t="s">
        <v>14</v>
      </c>
      <c r="C1110" s="4">
        <f>VLOOKUP(Googleadssales[[#This Row],[Ad_ID]],'[1]pre processed data'!A:C,3,0)</f>
        <v>179</v>
      </c>
      <c r="D1110" s="4">
        <f>VLOOKUP(Googleadssales[[#This Row],[Ad_ID]],'[1]pre processed data'!A:E,5,0)</f>
        <v>5366</v>
      </c>
      <c r="E1110" s="5" t="str">
        <f>VLOOKUP(Googleadssales[[#This Row],[Ad_ID]],[1]!Table3[[Ad_ID]:[Cost-imputed]],7,0)</f>
        <v>$204.5</v>
      </c>
      <c r="F1110" s="4">
        <f>VLOOKUP(Googleadssales[[#This Row],[Ad_ID]],'[1]pre processed data'!A:I,9,0)</f>
        <v>20</v>
      </c>
      <c r="G1110" s="4">
        <f>VLOOKUP(Googleadssales[[#This Row],[Ad_ID]],'[1]pre processed data'!A:K,11,0)</f>
        <v>9</v>
      </c>
      <c r="H1110" s="2">
        <f>Googleadssales[[#This Row],[Conversions]]/Googleadssales[[#This Row],[Clicks]]</f>
        <v>5.027932960893855E-2</v>
      </c>
      <c r="I1110" t="str">
        <f>VLOOKUP(Googleadssales[[#This Row],[Ad_ID]],'[1]pre processed data'!A:O,15,0)</f>
        <v>$1510</v>
      </c>
      <c r="J1110" s="3">
        <f>VLOOKUP(Googleadssales[[#This Row],[Ad_ID]],'[1]pre processed data'!A:Q,17,0)</f>
        <v>45618</v>
      </c>
      <c r="K1110" t="str">
        <f>VLOOKUP(Googleadssales[[#This Row],[Ad_ID]],'[1]pre processed data'!A:R,18,0)</f>
        <v>Chennai</v>
      </c>
      <c r="L1110" t="str">
        <f>VLOOKUP(Googleadssales[[#This Row],[Ad_ID]],'[1]pre processed data'!A:S,19,0)</f>
        <v>Tablet</v>
      </c>
      <c r="M1110" t="str">
        <f>VLOOKUP(Googleadssales[[#This Row],[Ad_ID]],'[1]pre processed data'!A:T,20,0)</f>
        <v>data analytics online</v>
      </c>
    </row>
    <row r="1111" spans="1:13" x14ac:dyDescent="0.3">
      <c r="A1111" t="s">
        <v>1124</v>
      </c>
      <c r="B1111" t="s">
        <v>18</v>
      </c>
      <c r="C1111" s="4">
        <f>VLOOKUP(Googleadssales[[#This Row],[Ad_ID]],'[1]pre processed data'!A:C,3,0)</f>
        <v>193</v>
      </c>
      <c r="D1111" s="4">
        <f>VLOOKUP(Googleadssales[[#This Row],[Ad_ID]],'[1]pre processed data'!A:E,5,0)</f>
        <v>4611</v>
      </c>
      <c r="E1111" s="5" t="str">
        <f>VLOOKUP(Googleadssales[[#This Row],[Ad_ID]],[1]!Table3[[Ad_ID]:[Cost-imputed]],7,0)</f>
        <v>$197.28</v>
      </c>
      <c r="F1111" s="4">
        <f>VLOOKUP(Googleadssales[[#This Row],[Ad_ID]],'[1]pre processed data'!A:I,9,0)</f>
        <v>27</v>
      </c>
      <c r="G1111" s="4">
        <f>VLOOKUP(Googleadssales[[#This Row],[Ad_ID]],'[1]pre processed data'!A:K,11,0)</f>
        <v>10</v>
      </c>
      <c r="H1111" s="2">
        <f>Googleadssales[[#This Row],[Conversions]]/Googleadssales[[#This Row],[Clicks]]</f>
        <v>5.181347150259067E-2</v>
      </c>
      <c r="I1111" t="str">
        <f>VLOOKUP(Googleadssales[[#This Row],[Ad_ID]],'[1]pre processed data'!A:O,15,0)</f>
        <v>$1701</v>
      </c>
      <c r="J1111" s="3">
        <f>VLOOKUP(Googleadssales[[#This Row],[Ad_ID]],'[1]pre processed data'!A:Q,17,0)</f>
        <v>45625</v>
      </c>
      <c r="K1111" t="str">
        <f>VLOOKUP(Googleadssales[[#This Row],[Ad_ID]],'[1]pre processed data'!A:R,18,0)</f>
        <v>Chennai</v>
      </c>
      <c r="L1111" t="str">
        <f>VLOOKUP(Googleadssales[[#This Row],[Ad_ID]],'[1]pre processed data'!A:S,19,0)</f>
        <v>Mobile</v>
      </c>
      <c r="M1111" t="str">
        <f>VLOOKUP(Googleadssales[[#This Row],[Ad_ID]],'[1]pre processed data'!A:T,20,0)</f>
        <v>data analytics course</v>
      </c>
    </row>
    <row r="1112" spans="1:13" x14ac:dyDescent="0.3">
      <c r="A1112" t="s">
        <v>1125</v>
      </c>
      <c r="B1112" t="s">
        <v>18</v>
      </c>
      <c r="C1112" s="4">
        <f>VLOOKUP(Googleadssales[[#This Row],[Ad_ID]],'[1]pre processed data'!A:C,3,0)</f>
        <v>188</v>
      </c>
      <c r="D1112" s="4">
        <f>VLOOKUP(Googleadssales[[#This Row],[Ad_ID]],'[1]pre processed data'!A:E,5,0)</f>
        <v>4447</v>
      </c>
      <c r="E1112" s="5" t="str">
        <f>VLOOKUP(Googleadssales[[#This Row],[Ad_ID]],[1]!Table3[[Ad_ID]:[Cost-imputed]],7,0)</f>
        <v>$234.18</v>
      </c>
      <c r="F1112" s="4">
        <f>VLOOKUP(Googleadssales[[#This Row],[Ad_ID]],'[1]pre processed data'!A:I,9,0)</f>
        <v>14</v>
      </c>
      <c r="G1112" s="4">
        <f>VLOOKUP(Googleadssales[[#This Row],[Ad_ID]],'[1]pre processed data'!A:K,11,0)</f>
        <v>8</v>
      </c>
      <c r="H1112" s="2">
        <f>Googleadssales[[#This Row],[Conversions]]/Googleadssales[[#This Row],[Clicks]]</f>
        <v>4.2553191489361701E-2</v>
      </c>
      <c r="I1112" t="str">
        <f>VLOOKUP(Googleadssales[[#This Row],[Ad_ID]],'[1]pre processed data'!A:O,15,0)</f>
        <v>$1449</v>
      </c>
      <c r="J1112" s="3">
        <f>VLOOKUP(Googleadssales[[#This Row],[Ad_ID]],'[1]pre processed data'!A:Q,17,0)</f>
        <v>45613</v>
      </c>
      <c r="K1112" t="str">
        <f>VLOOKUP(Googleadssales[[#This Row],[Ad_ID]],'[1]pre processed data'!A:R,18,0)</f>
        <v>Chennai</v>
      </c>
      <c r="L1112" t="str">
        <f>VLOOKUP(Googleadssales[[#This Row],[Ad_ID]],'[1]pre processed data'!A:S,19,0)</f>
        <v>Mobile</v>
      </c>
      <c r="M1112" t="str">
        <f>VLOOKUP(Googleadssales[[#This Row],[Ad_ID]],'[1]pre processed data'!A:T,20,0)</f>
        <v>analytics for data</v>
      </c>
    </row>
    <row r="1113" spans="1:13" x14ac:dyDescent="0.3">
      <c r="A1113" t="s">
        <v>1126</v>
      </c>
      <c r="B1113" t="s">
        <v>14</v>
      </c>
      <c r="C1113" s="4">
        <f>VLOOKUP(Googleadssales[[#This Row],[Ad_ID]],'[1]pre processed data'!A:C,3,0)</f>
        <v>138.95699356913184</v>
      </c>
      <c r="D1113" s="4">
        <f>VLOOKUP(Googleadssales[[#This Row],[Ad_ID]],'[1]pre processed data'!A:E,5,0)</f>
        <v>4075</v>
      </c>
      <c r="E1113" s="5" t="str">
        <f>VLOOKUP(Googleadssales[[#This Row],[Ad_ID]],[1]!Table3[[Ad_ID]:[Cost-imputed]],7,0)</f>
        <v>$211.41</v>
      </c>
      <c r="F1113" s="4">
        <f>VLOOKUP(Googleadssales[[#This Row],[Ad_ID]],'[1]pre processed data'!A:I,9,0)</f>
        <v>11</v>
      </c>
      <c r="G1113" s="4">
        <f>VLOOKUP(Googleadssales[[#This Row],[Ad_ID]],'[1]pre processed data'!A:K,11,0)</f>
        <v>7</v>
      </c>
      <c r="H1113" s="2">
        <f>Googleadssales[[#This Row],[Conversions]]/Googleadssales[[#This Row],[Clicks]]</f>
        <v>5.0375298286210138E-2</v>
      </c>
      <c r="I1113" t="str">
        <f>VLOOKUP(Googleadssales[[#This Row],[Ad_ID]],'[1]pre processed data'!A:O,15,0)</f>
        <v>$1764</v>
      </c>
      <c r="J1113" s="3">
        <f>VLOOKUP(Googleadssales[[#This Row],[Ad_ID]],'[1]pre processed data'!A:Q,17,0)</f>
        <v>45604</v>
      </c>
      <c r="K1113" t="str">
        <f>VLOOKUP(Googleadssales[[#This Row],[Ad_ID]],'[1]pre processed data'!A:R,18,0)</f>
        <v>Hyderabad</v>
      </c>
      <c r="L1113" t="str">
        <f>VLOOKUP(Googleadssales[[#This Row],[Ad_ID]],'[1]pre processed data'!A:S,19,0)</f>
        <v>Tablet</v>
      </c>
      <c r="M1113" t="str">
        <f>VLOOKUP(Googleadssales[[#This Row],[Ad_ID]],'[1]pre processed data'!A:T,20,0)</f>
        <v>data analytics online</v>
      </c>
    </row>
    <row r="1114" spans="1:13" x14ac:dyDescent="0.3">
      <c r="A1114" t="s">
        <v>1127</v>
      </c>
      <c r="B1114" t="s">
        <v>18</v>
      </c>
      <c r="C1114" s="4">
        <f>VLOOKUP(Googleadssales[[#This Row],[Ad_ID]],'[1]pre processed data'!A:C,3,0)</f>
        <v>177</v>
      </c>
      <c r="D1114" s="4">
        <f>VLOOKUP(Googleadssales[[#This Row],[Ad_ID]],'[1]pre processed data'!A:E,5,0)</f>
        <v>4230</v>
      </c>
      <c r="E1114" s="5" t="str">
        <f>VLOOKUP(Googleadssales[[#This Row],[Ad_ID]],[1]!Table3[[Ad_ID]:[Cost-imputed]],7,0)</f>
        <v>$213.46</v>
      </c>
      <c r="F1114" s="4">
        <f>VLOOKUP(Googleadssales[[#This Row],[Ad_ID]],'[1]pre processed data'!A:I,9,0)</f>
        <v>15</v>
      </c>
      <c r="G1114" s="4">
        <f>VLOOKUP(Googleadssales[[#This Row],[Ad_ID]],'[1]pre processed data'!A:K,11,0)</f>
        <v>4</v>
      </c>
      <c r="H1114" s="2">
        <f>Googleadssales[[#This Row],[Conversions]]/Googleadssales[[#This Row],[Clicks]]</f>
        <v>2.2598870056497175E-2</v>
      </c>
      <c r="I1114" t="str">
        <f>VLOOKUP(Googleadssales[[#This Row],[Ad_ID]],'[1]pre processed data'!A:O,15,0)</f>
        <v>$1389</v>
      </c>
      <c r="J1114" s="3">
        <f>VLOOKUP(Googleadssales[[#This Row],[Ad_ID]],'[1]pre processed data'!A:Q,17,0)</f>
        <v>45602</v>
      </c>
      <c r="K1114" t="str">
        <f>VLOOKUP(Googleadssales[[#This Row],[Ad_ID]],'[1]pre processed data'!A:R,18,0)</f>
        <v>Hyderabad</v>
      </c>
      <c r="L1114" t="str">
        <f>VLOOKUP(Googleadssales[[#This Row],[Ad_ID]],'[1]pre processed data'!A:S,19,0)</f>
        <v>Desktop</v>
      </c>
      <c r="M1114" t="str">
        <f>VLOOKUP(Googleadssales[[#This Row],[Ad_ID]],'[1]pre processed data'!A:T,20,0)</f>
        <v>analytics for data</v>
      </c>
    </row>
    <row r="1115" spans="1:13" x14ac:dyDescent="0.3">
      <c r="A1115" t="s">
        <v>1128</v>
      </c>
      <c r="B1115" t="s">
        <v>14</v>
      </c>
      <c r="C1115" s="4">
        <f>VLOOKUP(Googleadssales[[#This Row],[Ad_ID]],'[1]pre processed data'!A:C,3,0)</f>
        <v>152</v>
      </c>
      <c r="D1115" s="4">
        <f>VLOOKUP(Googleadssales[[#This Row],[Ad_ID]],'[1]pre processed data'!A:E,5,0)</f>
        <v>3729</v>
      </c>
      <c r="E1115" s="5" t="str">
        <f>VLOOKUP(Googleadssales[[#This Row],[Ad_ID]],[1]!Table3[[Ad_ID]:[Cost-imputed]],7,0)</f>
        <v>$214.23</v>
      </c>
      <c r="F1115" s="4">
        <f>VLOOKUP(Googleadssales[[#This Row],[Ad_ID]],'[1]pre processed data'!A:I,9,0)</f>
        <v>22</v>
      </c>
      <c r="G1115" s="4">
        <f>VLOOKUP(Googleadssales[[#This Row],[Ad_ID]],'[1]pre processed data'!A:K,11,0)</f>
        <v>7</v>
      </c>
      <c r="H1115" s="2">
        <f>Googleadssales[[#This Row],[Conversions]]/Googleadssales[[#This Row],[Clicks]]</f>
        <v>4.6052631578947366E-2</v>
      </c>
      <c r="I1115" t="str">
        <f>VLOOKUP(Googleadssales[[#This Row],[Ad_ID]],'[1]pre processed data'!A:O,15,0)</f>
        <v>$2000</v>
      </c>
      <c r="J1115" s="3">
        <f>VLOOKUP(Googleadssales[[#This Row],[Ad_ID]],'[1]pre processed data'!A:Q,17,0)</f>
        <v>45616</v>
      </c>
      <c r="K1115" t="str">
        <f>VLOOKUP(Googleadssales[[#This Row],[Ad_ID]],'[1]pre processed data'!A:R,18,0)</f>
        <v>Hyderabad</v>
      </c>
      <c r="L1115" t="str">
        <f>VLOOKUP(Googleadssales[[#This Row],[Ad_ID]],'[1]pre processed data'!A:S,19,0)</f>
        <v>Tablet</v>
      </c>
      <c r="M1115" t="str">
        <f>VLOOKUP(Googleadssales[[#This Row],[Ad_ID]],'[1]pre processed data'!A:T,20,0)</f>
        <v>analytics for data</v>
      </c>
    </row>
    <row r="1116" spans="1:13" x14ac:dyDescent="0.3">
      <c r="A1116" t="s">
        <v>1129</v>
      </c>
      <c r="B1116" t="s">
        <v>14</v>
      </c>
      <c r="C1116" s="4">
        <f>VLOOKUP(Googleadssales[[#This Row],[Ad_ID]],'[1]pre processed data'!A:C,3,0)</f>
        <v>168</v>
      </c>
      <c r="D1116" s="4">
        <f>VLOOKUP(Googleadssales[[#This Row],[Ad_ID]],'[1]pre processed data'!A:E,5,0)</f>
        <v>4710</v>
      </c>
      <c r="E1116" s="5" t="str">
        <f>VLOOKUP(Googleadssales[[#This Row],[Ad_ID]],[1]!Table3[[Ad_ID]:[Cost-imputed]],7,0)</f>
        <v>$214.49</v>
      </c>
      <c r="F1116" s="4">
        <f>VLOOKUP(Googleadssales[[#This Row],[Ad_ID]],'[1]pre processed data'!A:I,9,0)</f>
        <v>15</v>
      </c>
      <c r="G1116" s="4">
        <f>VLOOKUP(Googleadssales[[#This Row],[Ad_ID]],'[1]pre processed data'!A:K,11,0)</f>
        <v>9</v>
      </c>
      <c r="H1116" s="2">
        <f>Googleadssales[[#This Row],[Conversions]]/Googleadssales[[#This Row],[Clicks]]</f>
        <v>5.3571428571428568E-2</v>
      </c>
      <c r="I1116" t="str">
        <f>VLOOKUP(Googleadssales[[#This Row],[Ad_ID]],'[1]pre processed data'!A:O,15,0)</f>
        <v>$1466</v>
      </c>
      <c r="J1116" s="3">
        <f>VLOOKUP(Googleadssales[[#This Row],[Ad_ID]],'[1]pre processed data'!A:Q,17,0)</f>
        <v>45620</v>
      </c>
      <c r="K1116" t="str">
        <f>VLOOKUP(Googleadssales[[#This Row],[Ad_ID]],'[1]pre processed data'!A:R,18,0)</f>
        <v>Bangaluru</v>
      </c>
      <c r="L1116" t="str">
        <f>VLOOKUP(Googleadssales[[#This Row],[Ad_ID]],'[1]pre processed data'!A:S,19,0)</f>
        <v>Mobile</v>
      </c>
      <c r="M1116" t="str">
        <f>VLOOKUP(Googleadssales[[#This Row],[Ad_ID]],'[1]pre processed data'!A:T,20,0)</f>
        <v>data analytics training</v>
      </c>
    </row>
    <row r="1117" spans="1:13" x14ac:dyDescent="0.3">
      <c r="A1117" t="s">
        <v>1130</v>
      </c>
      <c r="B1117" t="s">
        <v>14</v>
      </c>
      <c r="C1117" s="4">
        <f>VLOOKUP(Googleadssales[[#This Row],[Ad_ID]],'[1]pre processed data'!A:C,3,0)</f>
        <v>171</v>
      </c>
      <c r="D1117" s="4">
        <f>VLOOKUP(Googleadssales[[#This Row],[Ad_ID]],'[1]pre processed data'!A:E,5,0)</f>
        <v>5332</v>
      </c>
      <c r="E1117" s="5" t="str">
        <f>VLOOKUP(Googleadssales[[#This Row],[Ad_ID]],[1]!Table3[[Ad_ID]:[Cost-imputed]],7,0)</f>
        <v>$229.69</v>
      </c>
      <c r="F1117" s="4">
        <f>VLOOKUP(Googleadssales[[#This Row],[Ad_ID]],'[1]pre processed data'!A:I,9,0)</f>
        <v>11</v>
      </c>
      <c r="G1117" s="4">
        <f>VLOOKUP(Googleadssales[[#This Row],[Ad_ID]],'[1]pre processed data'!A:K,11,0)</f>
        <v>3</v>
      </c>
      <c r="H1117" s="2">
        <f>Googleadssales[[#This Row],[Conversions]]/Googleadssales[[#This Row],[Clicks]]</f>
        <v>1.7543859649122806E-2</v>
      </c>
      <c r="I1117" t="str">
        <f>VLOOKUP(Googleadssales[[#This Row],[Ad_ID]],'[1]pre processed data'!A:O,15,0)</f>
        <v>$1685</v>
      </c>
      <c r="J1117" s="3">
        <f>VLOOKUP(Googleadssales[[#This Row],[Ad_ID]],'[1]pre processed data'!A:Q,17,0)</f>
        <v>45599</v>
      </c>
      <c r="K1117" t="str">
        <f>VLOOKUP(Googleadssales[[#This Row],[Ad_ID]],'[1]pre processed data'!A:R,18,0)</f>
        <v>Hyderabad</v>
      </c>
      <c r="L1117" t="str">
        <f>VLOOKUP(Googleadssales[[#This Row],[Ad_ID]],'[1]pre processed data'!A:S,19,0)</f>
        <v>Mobile</v>
      </c>
      <c r="M1117" t="str">
        <f>VLOOKUP(Googleadssales[[#This Row],[Ad_ID]],'[1]pre processed data'!A:T,20,0)</f>
        <v>data analytics course</v>
      </c>
    </row>
    <row r="1118" spans="1:13" x14ac:dyDescent="0.3">
      <c r="A1118" t="s">
        <v>1131</v>
      </c>
      <c r="B1118" t="s">
        <v>14</v>
      </c>
      <c r="C1118" s="4">
        <f>VLOOKUP(Googleadssales[[#This Row],[Ad_ID]],'[1]pre processed data'!A:C,3,0)</f>
        <v>150</v>
      </c>
      <c r="D1118" s="4">
        <f>VLOOKUP(Googleadssales[[#This Row],[Ad_ID]],'[1]pre processed data'!A:E,5,0)</f>
        <v>3833</v>
      </c>
      <c r="E1118" s="5" t="str">
        <f>VLOOKUP(Googleadssales[[#This Row],[Ad_ID]],[1]!Table3[[Ad_ID]:[Cost-imputed]],7,0)</f>
        <v>$202.55</v>
      </c>
      <c r="F1118" s="4">
        <f>VLOOKUP(Googleadssales[[#This Row],[Ad_ID]],'[1]pre processed data'!A:I,9,0)</f>
        <v>29</v>
      </c>
      <c r="G1118" s="4">
        <f>VLOOKUP(Googleadssales[[#This Row],[Ad_ID]],'[1]pre processed data'!A:K,11,0)</f>
        <v>10</v>
      </c>
      <c r="H1118" s="2">
        <f>Googleadssales[[#This Row],[Conversions]]/Googleadssales[[#This Row],[Clicks]]</f>
        <v>6.6666666666666666E-2</v>
      </c>
      <c r="I1118" t="str">
        <f>VLOOKUP(Googleadssales[[#This Row],[Ad_ID]],'[1]pre processed data'!A:O,15,0)</f>
        <v>$1509</v>
      </c>
      <c r="J1118" s="3">
        <f>VLOOKUP(Googleadssales[[#This Row],[Ad_ID]],'[1]pre processed data'!A:Q,17,0)</f>
        <v>45606</v>
      </c>
      <c r="K1118" t="str">
        <f>VLOOKUP(Googleadssales[[#This Row],[Ad_ID]],'[1]pre processed data'!A:R,18,0)</f>
        <v>Chennai</v>
      </c>
      <c r="L1118" t="str">
        <f>VLOOKUP(Googleadssales[[#This Row],[Ad_ID]],'[1]pre processed data'!A:S,19,0)</f>
        <v>Tablet</v>
      </c>
      <c r="M1118" t="str">
        <f>VLOOKUP(Googleadssales[[#This Row],[Ad_ID]],'[1]pre processed data'!A:T,20,0)</f>
        <v>learn data analytics</v>
      </c>
    </row>
    <row r="1119" spans="1:13" x14ac:dyDescent="0.3">
      <c r="A1119" t="s">
        <v>1132</v>
      </c>
      <c r="B1119" t="s">
        <v>14</v>
      </c>
      <c r="C1119" s="4">
        <f>VLOOKUP(Googleadssales[[#This Row],[Ad_ID]],'[1]pre processed data'!A:C,3,0)</f>
        <v>138.95699356913184</v>
      </c>
      <c r="D1119" s="4">
        <f>VLOOKUP(Googleadssales[[#This Row],[Ad_ID]],'[1]pre processed data'!A:E,5,0)</f>
        <v>4833</v>
      </c>
      <c r="E1119" s="5" t="str">
        <f>VLOOKUP(Googleadssales[[#This Row],[Ad_ID]],[1]!Table3[[Ad_ID]:[Cost-imputed]],7,0)</f>
        <v>$193.96</v>
      </c>
      <c r="F1119" s="4">
        <f>VLOOKUP(Googleadssales[[#This Row],[Ad_ID]],'[1]pre processed data'!A:I,9,0)</f>
        <v>23</v>
      </c>
      <c r="G1119" s="4">
        <f>VLOOKUP(Googleadssales[[#This Row],[Ad_ID]],'[1]pre processed data'!A:K,11,0)</f>
        <v>9</v>
      </c>
      <c r="H1119" s="2">
        <f>Googleadssales[[#This Row],[Conversions]]/Googleadssales[[#This Row],[Clicks]]</f>
        <v>6.4768240653698753E-2</v>
      </c>
      <c r="I1119" t="str">
        <f>VLOOKUP(Googleadssales[[#This Row],[Ad_ID]],'[1]pre processed data'!A:O,15,0)</f>
        <v>$1987</v>
      </c>
      <c r="J1119" s="3">
        <f>VLOOKUP(Googleadssales[[#This Row],[Ad_ID]],'[1]pre processed data'!A:Q,17,0)</f>
        <v>45612</v>
      </c>
      <c r="K1119" t="str">
        <f>VLOOKUP(Googleadssales[[#This Row],[Ad_ID]],'[1]pre processed data'!A:R,18,0)</f>
        <v>Hyderabad</v>
      </c>
      <c r="L1119" t="str">
        <f>VLOOKUP(Googleadssales[[#This Row],[Ad_ID]],'[1]pre processed data'!A:S,19,0)</f>
        <v>Mobile</v>
      </c>
      <c r="M1119" t="str">
        <f>VLOOKUP(Googleadssales[[#This Row],[Ad_ID]],'[1]pre processed data'!A:T,20,0)</f>
        <v>online data analytic</v>
      </c>
    </row>
    <row r="1120" spans="1:13" x14ac:dyDescent="0.3">
      <c r="A1120" t="s">
        <v>1133</v>
      </c>
      <c r="B1120" t="s">
        <v>18</v>
      </c>
      <c r="C1120" s="4">
        <f>VLOOKUP(Googleadssales[[#This Row],[Ad_ID]],'[1]pre processed data'!A:C,3,0)</f>
        <v>174</v>
      </c>
      <c r="D1120" s="4">
        <f>VLOOKUP(Googleadssales[[#This Row],[Ad_ID]],'[1]pre processed data'!A:E,5,0)</f>
        <v>4720</v>
      </c>
      <c r="E1120" s="5" t="str">
        <f>VLOOKUP(Googleadssales[[#This Row],[Ad_ID]],[1]!Table3[[Ad_ID]:[Cost-imputed]],7,0)</f>
        <v>$200.00</v>
      </c>
      <c r="F1120" s="4">
        <f>VLOOKUP(Googleadssales[[#This Row],[Ad_ID]],'[1]pre processed data'!A:I,9,0)</f>
        <v>25</v>
      </c>
      <c r="G1120" s="4">
        <f>VLOOKUP(Googleadssales[[#This Row],[Ad_ID]],'[1]pre processed data'!A:K,11,0)</f>
        <v>10</v>
      </c>
      <c r="H1120" s="2">
        <f>Googleadssales[[#This Row],[Conversions]]/Googleadssales[[#This Row],[Clicks]]</f>
        <v>5.7471264367816091E-2</v>
      </c>
      <c r="I1120" t="str">
        <f>VLOOKUP(Googleadssales[[#This Row],[Ad_ID]],'[1]pre processed data'!A:O,15,0)</f>
        <v>$1209</v>
      </c>
      <c r="J1120" s="3">
        <f>VLOOKUP(Googleadssales[[#This Row],[Ad_ID]],'[1]pre processed data'!A:Q,17,0)</f>
        <v>45617</v>
      </c>
      <c r="K1120" t="str">
        <f>VLOOKUP(Googleadssales[[#This Row],[Ad_ID]],'[1]pre processed data'!A:R,18,0)</f>
        <v>Hyderabad</v>
      </c>
      <c r="L1120" t="str">
        <f>VLOOKUP(Googleadssales[[#This Row],[Ad_ID]],'[1]pre processed data'!A:S,19,0)</f>
        <v>Tablet</v>
      </c>
      <c r="M1120" t="str">
        <f>VLOOKUP(Googleadssales[[#This Row],[Ad_ID]],'[1]pre processed data'!A:T,20,0)</f>
        <v>analytics for data</v>
      </c>
    </row>
    <row r="1121" spans="1:13" x14ac:dyDescent="0.3">
      <c r="A1121" t="s">
        <v>1134</v>
      </c>
      <c r="B1121" t="s">
        <v>14</v>
      </c>
      <c r="C1121" s="4">
        <f>VLOOKUP(Googleadssales[[#This Row],[Ad_ID]],'[1]pre processed data'!A:C,3,0)</f>
        <v>127</v>
      </c>
      <c r="D1121" s="4">
        <f>VLOOKUP(Googleadssales[[#This Row],[Ad_ID]],'[1]pre processed data'!A:E,5,0)</f>
        <v>3131</v>
      </c>
      <c r="E1121" s="5" t="str">
        <f>VLOOKUP(Googleadssales[[#This Row],[Ad_ID]],[1]!Table3[[Ad_ID]:[Cost-imputed]],7,0)</f>
        <v>$227.93</v>
      </c>
      <c r="F1121" s="4">
        <f>VLOOKUP(Googleadssales[[#This Row],[Ad_ID]],'[1]pre processed data'!A:I,9,0)</f>
        <v>24</v>
      </c>
      <c r="G1121" s="4">
        <f>VLOOKUP(Googleadssales[[#This Row],[Ad_ID]],'[1]pre processed data'!A:K,11,0)</f>
        <v>6.4979050279329611</v>
      </c>
      <c r="H1121" s="2">
        <f>Googleadssales[[#This Row],[Conversions]]/Googleadssales[[#This Row],[Clicks]]</f>
        <v>5.1164606519157177E-2</v>
      </c>
      <c r="I1121" t="str">
        <f>VLOOKUP(Googleadssales[[#This Row],[Ad_ID]],'[1]pre processed data'!A:O,15,0)</f>
        <v>$1571</v>
      </c>
      <c r="J1121" s="3">
        <f>VLOOKUP(Googleadssales[[#This Row],[Ad_ID]],'[1]pre processed data'!A:Q,17,0)</f>
        <v>45610</v>
      </c>
      <c r="K1121" t="str">
        <f>VLOOKUP(Googleadssales[[#This Row],[Ad_ID]],'[1]pre processed data'!A:R,18,0)</f>
        <v>Hyderabad</v>
      </c>
      <c r="L1121" t="str">
        <f>VLOOKUP(Googleadssales[[#This Row],[Ad_ID]],'[1]pre processed data'!A:S,19,0)</f>
        <v>Desktop</v>
      </c>
      <c r="M1121" t="str">
        <f>VLOOKUP(Googleadssales[[#This Row],[Ad_ID]],'[1]pre processed data'!A:T,20,0)</f>
        <v>data analytics training</v>
      </c>
    </row>
    <row r="1122" spans="1:13" x14ac:dyDescent="0.3">
      <c r="A1122" t="s">
        <v>1135</v>
      </c>
      <c r="B1122" t="s">
        <v>14</v>
      </c>
      <c r="C1122" s="4">
        <f>VLOOKUP(Googleadssales[[#This Row],[Ad_ID]],'[1]pre processed data'!A:C,3,0)</f>
        <v>148</v>
      </c>
      <c r="D1122" s="4">
        <f>VLOOKUP(Googleadssales[[#This Row],[Ad_ID]],'[1]pre processed data'!A:E,5,0)</f>
        <v>5147</v>
      </c>
      <c r="E1122" s="5" t="str">
        <f>VLOOKUP(Googleadssales[[#This Row],[Ad_ID]],[1]!Table3[[Ad_ID]:[Cost-imputed]],7,0)</f>
        <v>$244.42</v>
      </c>
      <c r="F1122" s="4">
        <f>VLOOKUP(Googleadssales[[#This Row],[Ad_ID]],'[1]pre processed data'!A:I,9,0)</f>
        <v>18</v>
      </c>
      <c r="G1122" s="4">
        <f>VLOOKUP(Googleadssales[[#This Row],[Ad_ID]],'[1]pre processed data'!A:K,11,0)</f>
        <v>4</v>
      </c>
      <c r="H1122" s="2">
        <f>Googleadssales[[#This Row],[Conversions]]/Googleadssales[[#This Row],[Clicks]]</f>
        <v>2.7027027027027029E-2</v>
      </c>
      <c r="I1122" t="str">
        <f>VLOOKUP(Googleadssales[[#This Row],[Ad_ID]],'[1]pre processed data'!A:O,15,0)</f>
        <v>$1348</v>
      </c>
      <c r="J1122" s="3">
        <f>VLOOKUP(Googleadssales[[#This Row],[Ad_ID]],'[1]pre processed data'!A:Q,17,0)</f>
        <v>45626</v>
      </c>
      <c r="K1122" t="str">
        <f>VLOOKUP(Googleadssales[[#This Row],[Ad_ID]],'[1]pre processed data'!A:R,18,0)</f>
        <v>Bangaluru</v>
      </c>
      <c r="L1122" t="str">
        <f>VLOOKUP(Googleadssales[[#This Row],[Ad_ID]],'[1]pre processed data'!A:S,19,0)</f>
        <v>Desktop</v>
      </c>
      <c r="M1122" t="str">
        <f>VLOOKUP(Googleadssales[[#This Row],[Ad_ID]],'[1]pre processed data'!A:T,20,0)</f>
        <v>data analytics online</v>
      </c>
    </row>
    <row r="1123" spans="1:13" x14ac:dyDescent="0.3">
      <c r="A1123" t="s">
        <v>1136</v>
      </c>
      <c r="B1123" t="s">
        <v>14</v>
      </c>
      <c r="C1123" s="4">
        <f>VLOOKUP(Googleadssales[[#This Row],[Ad_ID]],'[1]pre processed data'!A:C,3,0)</f>
        <v>112</v>
      </c>
      <c r="D1123" s="4">
        <f>VLOOKUP(Googleadssales[[#This Row],[Ad_ID]],'[1]pre processed data'!A:E,5,0)</f>
        <v>5288</v>
      </c>
      <c r="E1123" s="5" t="str">
        <f>VLOOKUP(Googleadssales[[#This Row],[Ad_ID]],[1]!Table3[[Ad_ID]:[Cost-imputed]],7,0)</f>
        <v>$246.27</v>
      </c>
      <c r="F1123" s="4">
        <f>VLOOKUP(Googleadssales[[#This Row],[Ad_ID]],'[1]pre processed data'!A:I,9,0)</f>
        <v>26</v>
      </c>
      <c r="G1123" s="4">
        <f>VLOOKUP(Googleadssales[[#This Row],[Ad_ID]],'[1]pre processed data'!A:K,11,0)</f>
        <v>10</v>
      </c>
      <c r="H1123" s="2">
        <f>Googleadssales[[#This Row],[Conversions]]/Googleadssales[[#This Row],[Clicks]]</f>
        <v>8.9285714285714288E-2</v>
      </c>
      <c r="I1123" t="str">
        <f>VLOOKUP(Googleadssales[[#This Row],[Ad_ID]],'[1]pre processed data'!A:O,15,0)</f>
        <v>$1500</v>
      </c>
      <c r="J1123" s="3">
        <f>VLOOKUP(Googleadssales[[#This Row],[Ad_ID]],'[1]pre processed data'!A:Q,17,0)</f>
        <v>45606</v>
      </c>
      <c r="K1123" t="str">
        <f>VLOOKUP(Googleadssales[[#This Row],[Ad_ID]],'[1]pre processed data'!A:R,18,0)</f>
        <v>Chennai</v>
      </c>
      <c r="L1123" t="str">
        <f>VLOOKUP(Googleadssales[[#This Row],[Ad_ID]],'[1]pre processed data'!A:S,19,0)</f>
        <v>Mobile</v>
      </c>
      <c r="M1123" t="str">
        <f>VLOOKUP(Googleadssales[[#This Row],[Ad_ID]],'[1]pre processed data'!A:T,20,0)</f>
        <v>data analytics training</v>
      </c>
    </row>
    <row r="1124" spans="1:13" x14ac:dyDescent="0.3">
      <c r="A1124" t="s">
        <v>1137</v>
      </c>
      <c r="B1124" t="s">
        <v>14</v>
      </c>
      <c r="C1124" s="4">
        <f>VLOOKUP(Googleadssales[[#This Row],[Ad_ID]],'[1]pre processed data'!A:C,3,0)</f>
        <v>184</v>
      </c>
      <c r="D1124" s="4">
        <f>VLOOKUP(Googleadssales[[#This Row],[Ad_ID]],'[1]pre processed data'!A:E,5,0)</f>
        <v>3908</v>
      </c>
      <c r="E1124" s="5" t="str">
        <f>VLOOKUP(Googleadssales[[#This Row],[Ad_ID]],[1]!Table3[[Ad_ID]:[Cost-imputed]],7,0)</f>
        <v>$240.68</v>
      </c>
      <c r="F1124" s="4">
        <f>VLOOKUP(Googleadssales[[#This Row],[Ad_ID]],'[1]pre processed data'!A:I,9,0)</f>
        <v>15</v>
      </c>
      <c r="G1124" s="4">
        <f>VLOOKUP(Googleadssales[[#This Row],[Ad_ID]],'[1]pre processed data'!A:K,11,0)</f>
        <v>7</v>
      </c>
      <c r="H1124" s="2">
        <f>Googleadssales[[#This Row],[Conversions]]/Googleadssales[[#This Row],[Clicks]]</f>
        <v>3.8043478260869568E-2</v>
      </c>
      <c r="I1124" t="str">
        <f>VLOOKUP(Googleadssales[[#This Row],[Ad_ID]],'[1]pre processed data'!A:O,15,0)</f>
        <v>$1332</v>
      </c>
      <c r="J1124" s="3">
        <f>VLOOKUP(Googleadssales[[#This Row],[Ad_ID]],'[1]pre processed data'!A:Q,17,0)</f>
        <v>45619</v>
      </c>
      <c r="K1124" t="str">
        <f>VLOOKUP(Googleadssales[[#This Row],[Ad_ID]],'[1]pre processed data'!A:R,18,0)</f>
        <v>Hyderabad</v>
      </c>
      <c r="L1124" t="str">
        <f>VLOOKUP(Googleadssales[[#This Row],[Ad_ID]],'[1]pre processed data'!A:S,19,0)</f>
        <v>Tablet</v>
      </c>
      <c r="M1124" t="str">
        <f>VLOOKUP(Googleadssales[[#This Row],[Ad_ID]],'[1]pre processed data'!A:T,20,0)</f>
        <v>analytics for data</v>
      </c>
    </row>
    <row r="1125" spans="1:13" x14ac:dyDescent="0.3">
      <c r="A1125" t="s">
        <v>1138</v>
      </c>
      <c r="B1125" t="s">
        <v>14</v>
      </c>
      <c r="C1125" s="4">
        <f>VLOOKUP(Googleadssales[[#This Row],[Ad_ID]],'[1]pre processed data'!A:C,3,0)</f>
        <v>116</v>
      </c>
      <c r="D1125" s="4">
        <f>VLOOKUP(Googleadssales[[#This Row],[Ad_ID]],'[1]pre processed data'!A:E,5,0)</f>
        <v>3380</v>
      </c>
      <c r="E1125" s="5" t="str">
        <f>VLOOKUP(Googleadssales[[#This Row],[Ad_ID]],[1]!Table3[[Ad_ID]:[Cost-imputed]],7,0)</f>
        <v>$196.75</v>
      </c>
      <c r="F1125" s="4">
        <f>VLOOKUP(Googleadssales[[#This Row],[Ad_ID]],'[1]pre processed data'!A:I,9,0)</f>
        <v>23</v>
      </c>
      <c r="G1125" s="4">
        <f>VLOOKUP(Googleadssales[[#This Row],[Ad_ID]],'[1]pre processed data'!A:K,11,0)</f>
        <v>9</v>
      </c>
      <c r="H1125" s="2">
        <f>Googleadssales[[#This Row],[Conversions]]/Googleadssales[[#This Row],[Clicks]]</f>
        <v>7.7586206896551727E-2</v>
      </c>
      <c r="I1125" t="str">
        <f>VLOOKUP(Googleadssales[[#This Row],[Ad_ID]],'[1]pre processed data'!A:O,15,0)</f>
        <v>$1434</v>
      </c>
      <c r="J1125" s="3">
        <f>VLOOKUP(Googleadssales[[#This Row],[Ad_ID]],'[1]pre processed data'!A:Q,17,0)</f>
        <v>45602</v>
      </c>
      <c r="K1125" t="str">
        <f>VLOOKUP(Googleadssales[[#This Row],[Ad_ID]],'[1]pre processed data'!A:R,18,0)</f>
        <v>Hyderabad</v>
      </c>
      <c r="L1125" t="str">
        <f>VLOOKUP(Googleadssales[[#This Row],[Ad_ID]],'[1]pre processed data'!A:S,19,0)</f>
        <v>Mobile</v>
      </c>
      <c r="M1125" t="str">
        <f>VLOOKUP(Googleadssales[[#This Row],[Ad_ID]],'[1]pre processed data'!A:T,20,0)</f>
        <v>analytics for data</v>
      </c>
    </row>
    <row r="1126" spans="1:13" x14ac:dyDescent="0.3">
      <c r="A1126" t="s">
        <v>1139</v>
      </c>
      <c r="B1126" t="s">
        <v>18</v>
      </c>
      <c r="C1126" s="4">
        <f>VLOOKUP(Googleadssales[[#This Row],[Ad_ID]],'[1]pre processed data'!A:C,3,0)</f>
        <v>152</v>
      </c>
      <c r="D1126" s="4">
        <f>VLOOKUP(Googleadssales[[#This Row],[Ad_ID]],'[1]pre processed data'!A:E,5,0)</f>
        <v>3948</v>
      </c>
      <c r="E1126" s="5" t="str">
        <f>VLOOKUP(Googleadssales[[#This Row],[Ad_ID]],[1]!Table3[[Ad_ID]:[Cost-imputed]],7,0)</f>
        <v>$189.73</v>
      </c>
      <c r="F1126" s="4">
        <f>VLOOKUP(Googleadssales[[#This Row],[Ad_ID]],'[1]pre processed data'!A:I,9,0)</f>
        <v>17</v>
      </c>
      <c r="G1126" s="4">
        <f>VLOOKUP(Googleadssales[[#This Row],[Ad_ID]],'[1]pre processed data'!A:K,11,0)</f>
        <v>5</v>
      </c>
      <c r="H1126" s="2">
        <f>Googleadssales[[#This Row],[Conversions]]/Googleadssales[[#This Row],[Clicks]]</f>
        <v>3.2894736842105261E-2</v>
      </c>
      <c r="I1126" t="str">
        <f>VLOOKUP(Googleadssales[[#This Row],[Ad_ID]],'[1]pre processed data'!A:O,15,0)</f>
        <v>$1851</v>
      </c>
      <c r="J1126" s="3">
        <f>VLOOKUP(Googleadssales[[#This Row],[Ad_ID]],'[1]pre processed data'!A:Q,17,0)</f>
        <v>45622</v>
      </c>
      <c r="K1126" t="str">
        <f>VLOOKUP(Googleadssales[[#This Row],[Ad_ID]],'[1]pre processed data'!A:R,18,0)</f>
        <v>Hyderabad</v>
      </c>
      <c r="L1126" t="str">
        <f>VLOOKUP(Googleadssales[[#This Row],[Ad_ID]],'[1]pre processed data'!A:S,19,0)</f>
        <v>Mobile</v>
      </c>
      <c r="M1126" t="str">
        <f>VLOOKUP(Googleadssales[[#This Row],[Ad_ID]],'[1]pre processed data'!A:T,20,0)</f>
        <v>analytics for data</v>
      </c>
    </row>
    <row r="1127" spans="1:13" x14ac:dyDescent="0.3">
      <c r="A1127" t="s">
        <v>1140</v>
      </c>
      <c r="B1127" t="s">
        <v>18</v>
      </c>
      <c r="C1127" s="4">
        <f>VLOOKUP(Googleadssales[[#This Row],[Ad_ID]],'[1]pre processed data'!A:C,3,0)</f>
        <v>197</v>
      </c>
      <c r="D1127" s="4">
        <f>VLOOKUP(Googleadssales[[#This Row],[Ad_ID]],'[1]pre processed data'!A:E,5,0)</f>
        <v>3741</v>
      </c>
      <c r="E1127" s="5" t="str">
        <f>VLOOKUP(Googleadssales[[#This Row],[Ad_ID]],[1]!Table3[[Ad_ID]:[Cost-imputed]],7,0)</f>
        <v>$210.33</v>
      </c>
      <c r="F1127" s="4">
        <f>VLOOKUP(Googleadssales[[#This Row],[Ad_ID]],'[1]pre processed data'!A:I,9,0)</f>
        <v>24</v>
      </c>
      <c r="G1127" s="4">
        <f>VLOOKUP(Googleadssales[[#This Row],[Ad_ID]],'[1]pre processed data'!A:K,11,0)</f>
        <v>9</v>
      </c>
      <c r="H1127" s="2">
        <f>Googleadssales[[#This Row],[Conversions]]/Googleadssales[[#This Row],[Clicks]]</f>
        <v>4.5685279187817257E-2</v>
      </c>
      <c r="I1127" t="str">
        <f>VLOOKUP(Googleadssales[[#This Row],[Ad_ID]],'[1]pre processed data'!A:O,15,0)</f>
        <v>$1883</v>
      </c>
      <c r="J1127" s="3">
        <f>VLOOKUP(Googleadssales[[#This Row],[Ad_ID]],'[1]pre processed data'!A:Q,17,0)</f>
        <v>45622</v>
      </c>
      <c r="K1127" t="str">
        <f>VLOOKUP(Googleadssales[[#This Row],[Ad_ID]],'[1]pre processed data'!A:R,18,0)</f>
        <v>Bangaluru</v>
      </c>
      <c r="L1127" t="str">
        <f>VLOOKUP(Googleadssales[[#This Row],[Ad_ID]],'[1]pre processed data'!A:S,19,0)</f>
        <v>Desktop</v>
      </c>
      <c r="M1127" t="str">
        <f>VLOOKUP(Googleadssales[[#This Row],[Ad_ID]],'[1]pre processed data'!A:T,20,0)</f>
        <v>data analytics course</v>
      </c>
    </row>
    <row r="1128" spans="1:13" x14ac:dyDescent="0.3">
      <c r="A1128" t="s">
        <v>1141</v>
      </c>
      <c r="B1128" t="s">
        <v>14</v>
      </c>
      <c r="C1128" s="4">
        <f>VLOOKUP(Googleadssales[[#This Row],[Ad_ID]],'[1]pre processed data'!A:C,3,0)</f>
        <v>115</v>
      </c>
      <c r="D1128" s="4">
        <f>VLOOKUP(Googleadssales[[#This Row],[Ad_ID]],'[1]pre processed data'!A:E,5,0)</f>
        <v>5836</v>
      </c>
      <c r="E1128" s="5" t="str">
        <f>VLOOKUP(Googleadssales[[#This Row],[Ad_ID]],[1]!Table3[[Ad_ID]:[Cost-imputed]],7,0)</f>
        <v>$233.52</v>
      </c>
      <c r="F1128" s="4">
        <f>VLOOKUP(Googleadssales[[#This Row],[Ad_ID]],'[1]pre processed data'!A:I,9,0)</f>
        <v>21</v>
      </c>
      <c r="G1128" s="4">
        <f>VLOOKUP(Googleadssales[[#This Row],[Ad_ID]],'[1]pre processed data'!A:K,11,0)</f>
        <v>6</v>
      </c>
      <c r="H1128" s="2">
        <f>Googleadssales[[#This Row],[Conversions]]/Googleadssales[[#This Row],[Clicks]]</f>
        <v>5.2173913043478258E-2</v>
      </c>
      <c r="I1128" t="str">
        <f>VLOOKUP(Googleadssales[[#This Row],[Ad_ID]],'[1]pre processed data'!A:O,15,0)</f>
        <v>$1301</v>
      </c>
      <c r="J1128" s="3">
        <f>VLOOKUP(Googleadssales[[#This Row],[Ad_ID]],'[1]pre processed data'!A:Q,17,0)</f>
        <v>45604</v>
      </c>
      <c r="K1128" t="str">
        <f>VLOOKUP(Googleadssales[[#This Row],[Ad_ID]],'[1]pre processed data'!A:R,18,0)</f>
        <v>Hyderabad</v>
      </c>
      <c r="L1128" t="str">
        <f>VLOOKUP(Googleadssales[[#This Row],[Ad_ID]],'[1]pre processed data'!A:S,19,0)</f>
        <v>Mobile</v>
      </c>
      <c r="M1128" t="str">
        <f>VLOOKUP(Googleadssales[[#This Row],[Ad_ID]],'[1]pre processed data'!A:T,20,0)</f>
        <v>learn data analytics</v>
      </c>
    </row>
    <row r="1129" spans="1:13" x14ac:dyDescent="0.3">
      <c r="A1129" t="s">
        <v>1142</v>
      </c>
      <c r="B1129" t="s">
        <v>14</v>
      </c>
      <c r="C1129" s="4">
        <f>VLOOKUP(Googleadssales[[#This Row],[Ad_ID]],'[1]pre processed data'!A:C,3,0)</f>
        <v>192</v>
      </c>
      <c r="D1129" s="4">
        <f>VLOOKUP(Googleadssales[[#This Row],[Ad_ID]],'[1]pre processed data'!A:E,5,0)</f>
        <v>3381</v>
      </c>
      <c r="E1129" s="5" t="str">
        <f>VLOOKUP(Googleadssales[[#This Row],[Ad_ID]],[1]!Table3[[Ad_ID]:[Cost-imputed]],7,0)</f>
        <v>$219.26</v>
      </c>
      <c r="F1129" s="4">
        <f>VLOOKUP(Googleadssales[[#This Row],[Ad_ID]],'[1]pre processed data'!A:I,9,0)</f>
        <v>28</v>
      </c>
      <c r="G1129" s="4">
        <f>VLOOKUP(Googleadssales[[#This Row],[Ad_ID]],'[1]pre processed data'!A:K,11,0)</f>
        <v>7</v>
      </c>
      <c r="H1129" s="2">
        <f>Googleadssales[[#This Row],[Conversions]]/Googleadssales[[#This Row],[Clicks]]</f>
        <v>3.6458333333333336E-2</v>
      </c>
      <c r="I1129" t="str">
        <f>VLOOKUP(Googleadssales[[#This Row],[Ad_ID]],'[1]pre processed data'!A:O,15,0)</f>
        <v>$1377</v>
      </c>
      <c r="J1129" s="3">
        <f>VLOOKUP(Googleadssales[[#This Row],[Ad_ID]],'[1]pre processed data'!A:Q,17,0)</f>
        <v>45611</v>
      </c>
      <c r="K1129" t="str">
        <f>VLOOKUP(Googleadssales[[#This Row],[Ad_ID]],'[1]pre processed data'!A:R,18,0)</f>
        <v>Bangaluru</v>
      </c>
      <c r="L1129" t="str">
        <f>VLOOKUP(Googleadssales[[#This Row],[Ad_ID]],'[1]pre processed data'!A:S,19,0)</f>
        <v>Mobile</v>
      </c>
      <c r="M1129" t="str">
        <f>VLOOKUP(Googleadssales[[#This Row],[Ad_ID]],'[1]pre processed data'!A:T,20,0)</f>
        <v>online data analytic</v>
      </c>
    </row>
    <row r="1130" spans="1:13" x14ac:dyDescent="0.3">
      <c r="A1130" t="s">
        <v>1143</v>
      </c>
      <c r="B1130" t="s">
        <v>14</v>
      </c>
      <c r="C1130" s="4">
        <f>VLOOKUP(Googleadssales[[#This Row],[Ad_ID]],'[1]pre processed data'!A:C,3,0)</f>
        <v>88</v>
      </c>
      <c r="D1130" s="4">
        <f>VLOOKUP(Googleadssales[[#This Row],[Ad_ID]],'[1]pre processed data'!A:E,5,0)</f>
        <v>5781</v>
      </c>
      <c r="E1130" s="5" t="str">
        <f>VLOOKUP(Googleadssales[[#This Row],[Ad_ID]],[1]!Table3[[Ad_ID]:[Cost-imputed]],7,0)</f>
        <v>$246.82</v>
      </c>
      <c r="F1130" s="4">
        <f>VLOOKUP(Googleadssales[[#This Row],[Ad_ID]],'[1]pre processed data'!A:I,9,0)</f>
        <v>21</v>
      </c>
      <c r="G1130" s="4">
        <f>VLOOKUP(Googleadssales[[#This Row],[Ad_ID]],'[1]pre processed data'!A:K,11,0)</f>
        <v>6</v>
      </c>
      <c r="H1130" s="2">
        <f>Googleadssales[[#This Row],[Conversions]]/Googleadssales[[#This Row],[Clicks]]</f>
        <v>6.8181818181818177E-2</v>
      </c>
      <c r="I1130" t="str">
        <f>VLOOKUP(Googleadssales[[#This Row],[Ad_ID]],'[1]pre processed data'!A:O,15,0)</f>
        <v>$1020</v>
      </c>
      <c r="J1130" s="3">
        <f>VLOOKUP(Googleadssales[[#This Row],[Ad_ID]],'[1]pre processed data'!A:Q,17,0)</f>
        <v>45621</v>
      </c>
      <c r="K1130" t="str">
        <f>VLOOKUP(Googleadssales[[#This Row],[Ad_ID]],'[1]pre processed data'!A:R,18,0)</f>
        <v>Chennai</v>
      </c>
      <c r="L1130" t="str">
        <f>VLOOKUP(Googleadssales[[#This Row],[Ad_ID]],'[1]pre processed data'!A:S,19,0)</f>
        <v>Tablet</v>
      </c>
      <c r="M1130" t="str">
        <f>VLOOKUP(Googleadssales[[#This Row],[Ad_ID]],'[1]pre processed data'!A:T,20,0)</f>
        <v>data analytics online</v>
      </c>
    </row>
    <row r="1131" spans="1:13" x14ac:dyDescent="0.3">
      <c r="A1131" t="s">
        <v>1144</v>
      </c>
      <c r="B1131" t="s">
        <v>14</v>
      </c>
      <c r="C1131" s="4">
        <f>VLOOKUP(Googleadssales[[#This Row],[Ad_ID]],'[1]pre processed data'!A:C,3,0)</f>
        <v>134</v>
      </c>
      <c r="D1131" s="4">
        <f>VLOOKUP(Googleadssales[[#This Row],[Ad_ID]],'[1]pre processed data'!A:E,5,0)</f>
        <v>4707</v>
      </c>
      <c r="E1131" s="5" t="str">
        <f>VLOOKUP(Googleadssales[[#This Row],[Ad_ID]],[1]!Table3[[Ad_ID]:[Cost-imputed]],7,0)</f>
        <v>$239.9</v>
      </c>
      <c r="F1131" s="4">
        <f>VLOOKUP(Googleadssales[[#This Row],[Ad_ID]],'[1]pre processed data'!A:I,9,0)</f>
        <v>29</v>
      </c>
      <c r="G1131" s="4">
        <f>VLOOKUP(Googleadssales[[#This Row],[Ad_ID]],'[1]pre processed data'!A:K,11,0)</f>
        <v>8</v>
      </c>
      <c r="H1131" s="2">
        <f>Googleadssales[[#This Row],[Conversions]]/Googleadssales[[#This Row],[Clicks]]</f>
        <v>5.9701492537313432E-2</v>
      </c>
      <c r="I1131" t="str">
        <f>VLOOKUP(Googleadssales[[#This Row],[Ad_ID]],'[1]pre processed data'!A:O,15,0)</f>
        <v>$1383</v>
      </c>
      <c r="J1131" s="3">
        <f>VLOOKUP(Googleadssales[[#This Row],[Ad_ID]],'[1]pre processed data'!A:Q,17,0)</f>
        <v>45620</v>
      </c>
      <c r="K1131" t="str">
        <f>VLOOKUP(Googleadssales[[#This Row],[Ad_ID]],'[1]pre processed data'!A:R,18,0)</f>
        <v>Hyderabad</v>
      </c>
      <c r="L1131" t="str">
        <f>VLOOKUP(Googleadssales[[#This Row],[Ad_ID]],'[1]pre processed data'!A:S,19,0)</f>
        <v>Mobile</v>
      </c>
      <c r="M1131" t="str">
        <f>VLOOKUP(Googleadssales[[#This Row],[Ad_ID]],'[1]pre processed data'!A:T,20,0)</f>
        <v>learn data analytics</v>
      </c>
    </row>
    <row r="1132" spans="1:13" x14ac:dyDescent="0.3">
      <c r="A1132" t="s">
        <v>1145</v>
      </c>
      <c r="B1132" t="s">
        <v>14</v>
      </c>
      <c r="C1132" s="4">
        <f>VLOOKUP(Googleadssales[[#This Row],[Ad_ID]],'[1]pre processed data'!A:C,3,0)</f>
        <v>160</v>
      </c>
      <c r="D1132" s="4">
        <f>VLOOKUP(Googleadssales[[#This Row],[Ad_ID]],'[1]pre processed data'!A:E,5,0)</f>
        <v>5611</v>
      </c>
      <c r="E1132" s="5" t="str">
        <f>VLOOKUP(Googleadssales[[#This Row],[Ad_ID]],[1]!Table3[[Ad_ID]:[Cost-imputed]],7,0)</f>
        <v>$216.65</v>
      </c>
      <c r="F1132" s="4">
        <f>VLOOKUP(Googleadssales[[#This Row],[Ad_ID]],'[1]pre processed data'!A:I,9,0)</f>
        <v>21</v>
      </c>
      <c r="G1132" s="4">
        <f>VLOOKUP(Googleadssales[[#This Row],[Ad_ID]],'[1]pre processed data'!A:K,11,0)</f>
        <v>10</v>
      </c>
      <c r="H1132" s="2">
        <f>Googleadssales[[#This Row],[Conversions]]/Googleadssales[[#This Row],[Clicks]]</f>
        <v>6.25E-2</v>
      </c>
      <c r="I1132" t="str">
        <f>VLOOKUP(Googleadssales[[#This Row],[Ad_ID]],'[1]pre processed data'!A:O,15,0)</f>
        <v>$1714</v>
      </c>
      <c r="J1132" s="3">
        <f>VLOOKUP(Googleadssales[[#This Row],[Ad_ID]],'[1]pre processed data'!A:Q,17,0)</f>
        <v>45626</v>
      </c>
      <c r="K1132" t="str">
        <f>VLOOKUP(Googleadssales[[#This Row],[Ad_ID]],'[1]pre processed data'!A:R,18,0)</f>
        <v>Hyderabad</v>
      </c>
      <c r="L1132" t="str">
        <f>VLOOKUP(Googleadssales[[#This Row],[Ad_ID]],'[1]pre processed data'!A:S,19,0)</f>
        <v>Tablet</v>
      </c>
      <c r="M1132" t="str">
        <f>VLOOKUP(Googleadssales[[#This Row],[Ad_ID]],'[1]pre processed data'!A:T,20,0)</f>
        <v>learn data analytics</v>
      </c>
    </row>
    <row r="1133" spans="1:13" x14ac:dyDescent="0.3">
      <c r="A1133" t="s">
        <v>1146</v>
      </c>
      <c r="B1133" t="s">
        <v>14</v>
      </c>
      <c r="C1133" s="4">
        <f>VLOOKUP(Googleadssales[[#This Row],[Ad_ID]],'[1]pre processed data'!A:C,3,0)</f>
        <v>195</v>
      </c>
      <c r="D1133" s="4">
        <f>VLOOKUP(Googleadssales[[#This Row],[Ad_ID]],'[1]pre processed data'!A:E,5,0)</f>
        <v>3174</v>
      </c>
      <c r="E1133" s="5" t="str">
        <f>VLOOKUP(Googleadssales[[#This Row],[Ad_ID]],[1]!Table3[[Ad_ID]:[Cost-imputed]],7,0)</f>
        <v>$218.06</v>
      </c>
      <c r="F1133" s="4">
        <f>VLOOKUP(Googleadssales[[#This Row],[Ad_ID]],'[1]pre processed data'!A:I,9,0)</f>
        <v>12</v>
      </c>
      <c r="G1133" s="4">
        <f>VLOOKUP(Googleadssales[[#This Row],[Ad_ID]],'[1]pre processed data'!A:K,11,0)</f>
        <v>7</v>
      </c>
      <c r="H1133" s="2">
        <f>Googleadssales[[#This Row],[Conversions]]/Googleadssales[[#This Row],[Clicks]]</f>
        <v>3.5897435897435895E-2</v>
      </c>
      <c r="I1133" t="str">
        <f>VLOOKUP(Googleadssales[[#This Row],[Ad_ID]],'[1]pre processed data'!A:O,15,0)</f>
        <v>$1476</v>
      </c>
      <c r="J1133" s="3">
        <f>VLOOKUP(Googleadssales[[#This Row],[Ad_ID]],'[1]pre processed data'!A:Q,17,0)</f>
        <v>45621</v>
      </c>
      <c r="K1133" t="str">
        <f>VLOOKUP(Googleadssales[[#This Row],[Ad_ID]],'[1]pre processed data'!A:R,18,0)</f>
        <v>Chennai</v>
      </c>
      <c r="L1133" t="str">
        <f>VLOOKUP(Googleadssales[[#This Row],[Ad_ID]],'[1]pre processed data'!A:S,19,0)</f>
        <v>Mobile</v>
      </c>
      <c r="M1133" t="str">
        <f>VLOOKUP(Googleadssales[[#This Row],[Ad_ID]],'[1]pre processed data'!A:T,20,0)</f>
        <v>online data analytic</v>
      </c>
    </row>
    <row r="1134" spans="1:13" x14ac:dyDescent="0.3">
      <c r="A1134" t="s">
        <v>1147</v>
      </c>
      <c r="B1134" t="s">
        <v>14</v>
      </c>
      <c r="C1134" s="4">
        <f>VLOOKUP(Googleadssales[[#This Row],[Ad_ID]],'[1]pre processed data'!A:C,3,0)</f>
        <v>142</v>
      </c>
      <c r="D1134" s="4">
        <f>VLOOKUP(Googleadssales[[#This Row],[Ad_ID]],'[1]pre processed data'!A:E,5,0)</f>
        <v>5076</v>
      </c>
      <c r="E1134" s="5" t="str">
        <f>VLOOKUP(Googleadssales[[#This Row],[Ad_ID]],[1]!Table3[[Ad_ID]:[Cost-imputed]],7,0)</f>
        <v>$190.49</v>
      </c>
      <c r="F1134" s="4">
        <f>VLOOKUP(Googleadssales[[#This Row],[Ad_ID]],'[1]pre processed data'!A:I,9,0)</f>
        <v>22</v>
      </c>
      <c r="G1134" s="4">
        <f>VLOOKUP(Googleadssales[[#This Row],[Ad_ID]],'[1]pre processed data'!A:K,11,0)</f>
        <v>7</v>
      </c>
      <c r="H1134" s="2">
        <f>Googleadssales[[#This Row],[Conversions]]/Googleadssales[[#This Row],[Clicks]]</f>
        <v>4.9295774647887321E-2</v>
      </c>
      <c r="I1134" t="str">
        <f>VLOOKUP(Googleadssales[[#This Row],[Ad_ID]],'[1]pre processed data'!A:O,15,0)</f>
        <v>$1509</v>
      </c>
      <c r="J1134" s="3">
        <f>VLOOKUP(Googleadssales[[#This Row],[Ad_ID]],'[1]pre processed data'!A:Q,17,0)</f>
        <v>45616</v>
      </c>
      <c r="K1134" t="str">
        <f>VLOOKUP(Googleadssales[[#This Row],[Ad_ID]],'[1]pre processed data'!A:R,18,0)</f>
        <v>Bangaluru</v>
      </c>
      <c r="L1134" t="str">
        <f>VLOOKUP(Googleadssales[[#This Row],[Ad_ID]],'[1]pre processed data'!A:S,19,0)</f>
        <v>Mobile</v>
      </c>
      <c r="M1134" t="str">
        <f>VLOOKUP(Googleadssales[[#This Row],[Ad_ID]],'[1]pre processed data'!A:T,20,0)</f>
        <v>learn data analytics</v>
      </c>
    </row>
    <row r="1135" spans="1:13" x14ac:dyDescent="0.3">
      <c r="A1135" t="s">
        <v>1148</v>
      </c>
      <c r="B1135" t="s">
        <v>18</v>
      </c>
      <c r="C1135" s="4">
        <f>VLOOKUP(Googleadssales[[#This Row],[Ad_ID]],'[1]pre processed data'!A:C,3,0)</f>
        <v>81</v>
      </c>
      <c r="D1135" s="4">
        <f>VLOOKUP(Googleadssales[[#This Row],[Ad_ID]],'[1]pre processed data'!A:E,5,0)</f>
        <v>5942</v>
      </c>
      <c r="E1135" s="5" t="str">
        <f>VLOOKUP(Googleadssales[[#This Row],[Ad_ID]],[1]!Table3[[Ad_ID]:[Cost-imputed]],7,0)</f>
        <v>$236.07</v>
      </c>
      <c r="F1135" s="4">
        <f>VLOOKUP(Googleadssales[[#This Row],[Ad_ID]],'[1]pre processed data'!A:I,9,0)</f>
        <v>15</v>
      </c>
      <c r="G1135" s="4">
        <f>VLOOKUP(Googleadssales[[#This Row],[Ad_ID]],'[1]pre processed data'!A:K,11,0)</f>
        <v>6.4904862579281186</v>
      </c>
      <c r="H1135" s="2">
        <f>Googleadssales[[#This Row],[Conversions]]/Googleadssales[[#This Row],[Clicks]]</f>
        <v>8.0129459974421224E-2</v>
      </c>
      <c r="I1135" t="str">
        <f>VLOOKUP(Googleadssales[[#This Row],[Ad_ID]],'[1]pre processed data'!A:O,15,0)</f>
        <v>$1288</v>
      </c>
      <c r="J1135" s="3">
        <f>VLOOKUP(Googleadssales[[#This Row],[Ad_ID]],'[1]pre processed data'!A:Q,17,0)</f>
        <v>45608</v>
      </c>
      <c r="K1135" t="str">
        <f>VLOOKUP(Googleadssales[[#This Row],[Ad_ID]],'[1]pre processed data'!A:R,18,0)</f>
        <v>Bangaluru</v>
      </c>
      <c r="L1135" t="str">
        <f>VLOOKUP(Googleadssales[[#This Row],[Ad_ID]],'[1]pre processed data'!A:S,19,0)</f>
        <v>Desktop</v>
      </c>
      <c r="M1135" t="str">
        <f>VLOOKUP(Googleadssales[[#This Row],[Ad_ID]],'[1]pre processed data'!A:T,20,0)</f>
        <v>online data analytic</v>
      </c>
    </row>
    <row r="1136" spans="1:13" x14ac:dyDescent="0.3">
      <c r="A1136" t="s">
        <v>1149</v>
      </c>
      <c r="B1136" t="s">
        <v>14</v>
      </c>
      <c r="C1136" s="4">
        <f>VLOOKUP(Googleadssales[[#This Row],[Ad_ID]],'[1]pre processed data'!A:C,3,0)</f>
        <v>138.95699356913184</v>
      </c>
      <c r="D1136" s="4">
        <f>VLOOKUP(Googleadssales[[#This Row],[Ad_ID]],'[1]pre processed data'!A:E,5,0)</f>
        <v>4234</v>
      </c>
      <c r="E1136" s="5" t="str">
        <f>VLOOKUP(Googleadssales[[#This Row],[Ad_ID]],[1]!Table3[[Ad_ID]:[Cost-imputed]],7,0)</f>
        <v>$201.93</v>
      </c>
      <c r="F1136" s="4">
        <f>VLOOKUP(Googleadssales[[#This Row],[Ad_ID]],'[1]pre processed data'!A:I,9,0)</f>
        <v>16</v>
      </c>
      <c r="G1136" s="4">
        <f>VLOOKUP(Googleadssales[[#This Row],[Ad_ID]],'[1]pre processed data'!A:K,11,0)</f>
        <v>4</v>
      </c>
      <c r="H1136" s="2">
        <f>Googleadssales[[#This Row],[Conversions]]/Googleadssales[[#This Row],[Clicks]]</f>
        <v>2.8785884734977219E-2</v>
      </c>
      <c r="I1136" t="str">
        <f>VLOOKUP(Googleadssales[[#This Row],[Ad_ID]],'[1]pre processed data'!A:O,15,0)</f>
        <v>$1462</v>
      </c>
      <c r="J1136" s="3">
        <f>VLOOKUP(Googleadssales[[#This Row],[Ad_ID]],'[1]pre processed data'!A:Q,17,0)</f>
        <v>45621</v>
      </c>
      <c r="K1136" t="str">
        <f>VLOOKUP(Googleadssales[[#This Row],[Ad_ID]],'[1]pre processed data'!A:R,18,0)</f>
        <v>Chennai</v>
      </c>
      <c r="L1136" t="str">
        <f>VLOOKUP(Googleadssales[[#This Row],[Ad_ID]],'[1]pre processed data'!A:S,19,0)</f>
        <v>Mobile</v>
      </c>
      <c r="M1136" t="str">
        <f>VLOOKUP(Googleadssales[[#This Row],[Ad_ID]],'[1]pre processed data'!A:T,20,0)</f>
        <v>analytics for data</v>
      </c>
    </row>
    <row r="1137" spans="1:13" x14ac:dyDescent="0.3">
      <c r="A1137" t="s">
        <v>1150</v>
      </c>
      <c r="B1137" t="s">
        <v>18</v>
      </c>
      <c r="C1137" s="4">
        <f>VLOOKUP(Googleadssales[[#This Row],[Ad_ID]],'[1]pre processed data'!A:C,3,0)</f>
        <v>115</v>
      </c>
      <c r="D1137" s="4">
        <f>VLOOKUP(Googleadssales[[#This Row],[Ad_ID]],'[1]pre processed data'!A:E,5,0)</f>
        <v>3963</v>
      </c>
      <c r="E1137" s="5" t="str">
        <f>VLOOKUP(Googleadssales[[#This Row],[Ad_ID]],[1]!Table3[[Ad_ID]:[Cost-imputed]],7,0)</f>
        <v>$225.32</v>
      </c>
      <c r="F1137" s="4">
        <f>VLOOKUP(Googleadssales[[#This Row],[Ad_ID]],'[1]pre processed data'!A:I,9,0)</f>
        <v>22</v>
      </c>
      <c r="G1137" s="4">
        <f>VLOOKUP(Googleadssales[[#This Row],[Ad_ID]],'[1]pre processed data'!A:K,11,0)</f>
        <v>9</v>
      </c>
      <c r="H1137" s="2">
        <f>Googleadssales[[#This Row],[Conversions]]/Googleadssales[[#This Row],[Clicks]]</f>
        <v>7.8260869565217397E-2</v>
      </c>
      <c r="I1137" t="str">
        <f>VLOOKUP(Googleadssales[[#This Row],[Ad_ID]],'[1]pre processed data'!A:O,15,0)</f>
        <v>$1622</v>
      </c>
      <c r="J1137" s="3">
        <f>VLOOKUP(Googleadssales[[#This Row],[Ad_ID]],'[1]pre processed data'!A:Q,17,0)</f>
        <v>45597</v>
      </c>
      <c r="K1137" t="str">
        <f>VLOOKUP(Googleadssales[[#This Row],[Ad_ID]],'[1]pre processed data'!A:R,18,0)</f>
        <v>Hyderabad</v>
      </c>
      <c r="L1137" t="str">
        <f>VLOOKUP(Googleadssales[[#This Row],[Ad_ID]],'[1]pre processed data'!A:S,19,0)</f>
        <v>Desktop</v>
      </c>
      <c r="M1137" t="str">
        <f>VLOOKUP(Googleadssales[[#This Row],[Ad_ID]],'[1]pre processed data'!A:T,20,0)</f>
        <v>data analytics online</v>
      </c>
    </row>
    <row r="1138" spans="1:13" x14ac:dyDescent="0.3">
      <c r="A1138" t="s">
        <v>1151</v>
      </c>
      <c r="B1138" t="s">
        <v>14</v>
      </c>
      <c r="C1138" s="4">
        <f>VLOOKUP(Googleadssales[[#This Row],[Ad_ID]],'[1]pre processed data'!A:C,3,0)</f>
        <v>172</v>
      </c>
      <c r="D1138" s="4">
        <f>VLOOKUP(Googleadssales[[#This Row],[Ad_ID]],'[1]pre processed data'!A:E,5,0)</f>
        <v>4349</v>
      </c>
      <c r="E1138" s="5" t="str">
        <f>VLOOKUP(Googleadssales[[#This Row],[Ad_ID]],[1]!Table3[[Ad_ID]:[Cost-imputed]],7,0)</f>
        <v>$243.53</v>
      </c>
      <c r="F1138" s="4">
        <f>VLOOKUP(Googleadssales[[#This Row],[Ad_ID]],'[1]pre processed data'!A:I,9,0)</f>
        <v>28</v>
      </c>
      <c r="G1138" s="4">
        <f>VLOOKUP(Googleadssales[[#This Row],[Ad_ID]],'[1]pre processed data'!A:K,11,0)</f>
        <v>5</v>
      </c>
      <c r="H1138" s="2">
        <f>Googleadssales[[#This Row],[Conversions]]/Googleadssales[[#This Row],[Clicks]]</f>
        <v>2.9069767441860465E-2</v>
      </c>
      <c r="I1138" t="str">
        <f>VLOOKUP(Googleadssales[[#This Row],[Ad_ID]],'[1]pre processed data'!A:O,15,0)</f>
        <v>$1195</v>
      </c>
      <c r="J1138" s="3">
        <f>VLOOKUP(Googleadssales[[#This Row],[Ad_ID]],'[1]pre processed data'!A:Q,17,0)</f>
        <v>45609</v>
      </c>
      <c r="K1138" t="str">
        <f>VLOOKUP(Googleadssales[[#This Row],[Ad_ID]],'[1]pre processed data'!A:R,18,0)</f>
        <v>Chennai</v>
      </c>
      <c r="L1138" t="str">
        <f>VLOOKUP(Googleadssales[[#This Row],[Ad_ID]],'[1]pre processed data'!A:S,19,0)</f>
        <v>Tablet</v>
      </c>
      <c r="M1138" t="str">
        <f>VLOOKUP(Googleadssales[[#This Row],[Ad_ID]],'[1]pre processed data'!A:T,20,0)</f>
        <v>online data analytic</v>
      </c>
    </row>
    <row r="1139" spans="1:13" x14ac:dyDescent="0.3">
      <c r="A1139" t="s">
        <v>1152</v>
      </c>
      <c r="B1139" t="s">
        <v>14</v>
      </c>
      <c r="C1139" s="4">
        <f>VLOOKUP(Googleadssales[[#This Row],[Ad_ID]],'[1]pre processed data'!A:C,3,0)</f>
        <v>91</v>
      </c>
      <c r="D1139" s="4">
        <f>VLOOKUP(Googleadssales[[#This Row],[Ad_ID]],'[1]pre processed data'!A:E,5,0)</f>
        <v>5294</v>
      </c>
      <c r="E1139" s="5" t="str">
        <f>VLOOKUP(Googleadssales[[#This Row],[Ad_ID]],[1]!Table3[[Ad_ID]:[Cost-imputed]],7,0)</f>
        <v>$245.21</v>
      </c>
      <c r="F1139" s="4">
        <f>VLOOKUP(Googleadssales[[#This Row],[Ad_ID]],'[1]pre processed data'!A:I,9,0)</f>
        <v>21</v>
      </c>
      <c r="G1139" s="4">
        <f>VLOOKUP(Googleadssales[[#This Row],[Ad_ID]],'[1]pre processed data'!A:K,11,0)</f>
        <v>7</v>
      </c>
      <c r="H1139" s="2">
        <f>Googleadssales[[#This Row],[Conversions]]/Googleadssales[[#This Row],[Clicks]]</f>
        <v>7.6923076923076927E-2</v>
      </c>
      <c r="I1139" t="str">
        <f>VLOOKUP(Googleadssales[[#This Row],[Ad_ID]],'[1]pre processed data'!A:O,15,0)</f>
        <v>$1227</v>
      </c>
      <c r="J1139" s="3">
        <f>VLOOKUP(Googleadssales[[#This Row],[Ad_ID]],'[1]pre processed data'!A:Q,17,0)</f>
        <v>45622</v>
      </c>
      <c r="K1139" t="str">
        <f>VLOOKUP(Googleadssales[[#This Row],[Ad_ID]],'[1]pre processed data'!A:R,18,0)</f>
        <v>Hyderabad</v>
      </c>
      <c r="L1139" t="str">
        <f>VLOOKUP(Googleadssales[[#This Row],[Ad_ID]],'[1]pre processed data'!A:S,19,0)</f>
        <v>Desktop</v>
      </c>
      <c r="M1139" t="str">
        <f>VLOOKUP(Googleadssales[[#This Row],[Ad_ID]],'[1]pre processed data'!A:T,20,0)</f>
        <v>online data analytic</v>
      </c>
    </row>
    <row r="1140" spans="1:13" x14ac:dyDescent="0.3">
      <c r="A1140" t="s">
        <v>1153</v>
      </c>
      <c r="B1140" t="s">
        <v>14</v>
      </c>
      <c r="C1140" s="4">
        <f>VLOOKUP(Googleadssales[[#This Row],[Ad_ID]],'[1]pre processed data'!A:C,3,0)</f>
        <v>166</v>
      </c>
      <c r="D1140" s="4">
        <f>VLOOKUP(Googleadssales[[#This Row],[Ad_ID]],'[1]pre processed data'!A:E,5,0)</f>
        <v>5381</v>
      </c>
      <c r="E1140" s="5" t="str">
        <f>VLOOKUP(Googleadssales[[#This Row],[Ad_ID]],[1]!Table3[[Ad_ID]:[Cost-imputed]],7,0)</f>
        <v>$246.52</v>
      </c>
      <c r="F1140" s="4">
        <f>VLOOKUP(Googleadssales[[#This Row],[Ad_ID]],'[1]pre processed data'!A:I,9,0)</f>
        <v>21</v>
      </c>
      <c r="G1140" s="4">
        <f>VLOOKUP(Googleadssales[[#This Row],[Ad_ID]],'[1]pre processed data'!A:K,11,0)</f>
        <v>7</v>
      </c>
      <c r="H1140" s="2">
        <f>Googleadssales[[#This Row],[Conversions]]/Googleadssales[[#This Row],[Clicks]]</f>
        <v>4.2168674698795178E-2</v>
      </c>
      <c r="I1140" t="str">
        <f>VLOOKUP(Googleadssales[[#This Row],[Ad_ID]],'[1]pre processed data'!A:O,15,0)</f>
        <v>$1579</v>
      </c>
      <c r="J1140" s="3">
        <f>VLOOKUP(Googleadssales[[#This Row],[Ad_ID]],'[1]pre processed data'!A:Q,17,0)</f>
        <v>45605</v>
      </c>
      <c r="K1140" t="str">
        <f>VLOOKUP(Googleadssales[[#This Row],[Ad_ID]],'[1]pre processed data'!A:R,18,0)</f>
        <v>Bangaluru</v>
      </c>
      <c r="L1140" t="str">
        <f>VLOOKUP(Googleadssales[[#This Row],[Ad_ID]],'[1]pre processed data'!A:S,19,0)</f>
        <v>Desktop</v>
      </c>
      <c r="M1140" t="str">
        <f>VLOOKUP(Googleadssales[[#This Row],[Ad_ID]],'[1]pre processed data'!A:T,20,0)</f>
        <v>data analytics training</v>
      </c>
    </row>
    <row r="1141" spans="1:13" x14ac:dyDescent="0.3">
      <c r="A1141" t="s">
        <v>1154</v>
      </c>
      <c r="B1141" t="s">
        <v>14</v>
      </c>
      <c r="C1141" s="4">
        <f>VLOOKUP(Googleadssales[[#This Row],[Ad_ID]],'[1]pre processed data'!A:C,3,0)</f>
        <v>155</v>
      </c>
      <c r="D1141" s="4">
        <f>VLOOKUP(Googleadssales[[#This Row],[Ad_ID]],'[1]pre processed data'!A:E,5,0)</f>
        <v>3052</v>
      </c>
      <c r="E1141" s="5" t="str">
        <f>VLOOKUP(Googleadssales[[#This Row],[Ad_ID]],[1]!Table3[[Ad_ID]:[Cost-imputed]],7,0)</f>
        <v>$199.46</v>
      </c>
      <c r="F1141" s="4">
        <f>VLOOKUP(Googleadssales[[#This Row],[Ad_ID]],'[1]pre processed data'!A:I,9,0)</f>
        <v>13</v>
      </c>
      <c r="G1141" s="4">
        <f>VLOOKUP(Googleadssales[[#This Row],[Ad_ID]],'[1]pre processed data'!A:K,11,0)</f>
        <v>6</v>
      </c>
      <c r="H1141" s="2">
        <f>Googleadssales[[#This Row],[Conversions]]/Googleadssales[[#This Row],[Clicks]]</f>
        <v>3.870967741935484E-2</v>
      </c>
      <c r="I1141" t="str">
        <f>VLOOKUP(Googleadssales[[#This Row],[Ad_ID]],'[1]pre processed data'!A:O,15,0)</f>
        <v>$1362</v>
      </c>
      <c r="J1141" s="3">
        <f>VLOOKUP(Googleadssales[[#This Row],[Ad_ID]],'[1]pre processed data'!A:Q,17,0)</f>
        <v>45597</v>
      </c>
      <c r="K1141" t="str">
        <f>VLOOKUP(Googleadssales[[#This Row],[Ad_ID]],'[1]pre processed data'!A:R,18,0)</f>
        <v>Hyderabad</v>
      </c>
      <c r="L1141" t="str">
        <f>VLOOKUP(Googleadssales[[#This Row],[Ad_ID]],'[1]pre processed data'!A:S,19,0)</f>
        <v>Mobile</v>
      </c>
      <c r="M1141" t="str">
        <f>VLOOKUP(Googleadssales[[#This Row],[Ad_ID]],'[1]pre processed data'!A:T,20,0)</f>
        <v>data analytics training</v>
      </c>
    </row>
    <row r="1142" spans="1:13" x14ac:dyDescent="0.3">
      <c r="A1142" t="s">
        <v>1155</v>
      </c>
      <c r="B1142" t="s">
        <v>14</v>
      </c>
      <c r="C1142" s="4">
        <f>VLOOKUP(Googleadssales[[#This Row],[Ad_ID]],'[1]pre processed data'!A:C,3,0)</f>
        <v>127</v>
      </c>
      <c r="D1142" s="4">
        <f>VLOOKUP(Googleadssales[[#This Row],[Ad_ID]],'[1]pre processed data'!A:E,5,0)</f>
        <v>4634</v>
      </c>
      <c r="E1142" s="5" t="str">
        <f>VLOOKUP(Googleadssales[[#This Row],[Ad_ID]],[1]!Table3[[Ad_ID]:[Cost-imputed]],7,0)</f>
        <v>$218.04</v>
      </c>
      <c r="F1142" s="4">
        <f>VLOOKUP(Googleadssales[[#This Row],[Ad_ID]],'[1]pre processed data'!A:I,9,0)</f>
        <v>26</v>
      </c>
      <c r="G1142" s="4">
        <f>VLOOKUP(Googleadssales[[#This Row],[Ad_ID]],'[1]pre processed data'!A:K,11,0)</f>
        <v>7</v>
      </c>
      <c r="H1142" s="2">
        <f>Googleadssales[[#This Row],[Conversions]]/Googleadssales[[#This Row],[Clicks]]</f>
        <v>5.5118110236220472E-2</v>
      </c>
      <c r="I1142" t="str">
        <f>VLOOKUP(Googleadssales[[#This Row],[Ad_ID]],'[1]pre processed data'!A:O,15,0)</f>
        <v>$1410</v>
      </c>
      <c r="J1142" s="3">
        <f>VLOOKUP(Googleadssales[[#This Row],[Ad_ID]],'[1]pre processed data'!A:Q,17,0)</f>
        <v>45598</v>
      </c>
      <c r="K1142" t="str">
        <f>VLOOKUP(Googleadssales[[#This Row],[Ad_ID]],'[1]pre processed data'!A:R,18,0)</f>
        <v>Chennai</v>
      </c>
      <c r="L1142" t="str">
        <f>VLOOKUP(Googleadssales[[#This Row],[Ad_ID]],'[1]pre processed data'!A:S,19,0)</f>
        <v>Tablet</v>
      </c>
      <c r="M1142" t="str">
        <f>VLOOKUP(Googleadssales[[#This Row],[Ad_ID]],'[1]pre processed data'!A:T,20,0)</f>
        <v>learn data analytics</v>
      </c>
    </row>
    <row r="1143" spans="1:13" x14ac:dyDescent="0.3">
      <c r="A1143" t="s">
        <v>1156</v>
      </c>
      <c r="B1143" t="s">
        <v>14</v>
      </c>
      <c r="C1143" s="4">
        <f>VLOOKUP(Googleadssales[[#This Row],[Ad_ID]],'[1]pre processed data'!A:C,3,0)</f>
        <v>94</v>
      </c>
      <c r="D1143" s="4">
        <f>VLOOKUP(Googleadssales[[#This Row],[Ad_ID]],'[1]pre processed data'!A:E,5,0)</f>
        <v>5564</v>
      </c>
      <c r="E1143" s="5" t="str">
        <f>VLOOKUP(Googleadssales[[#This Row],[Ad_ID]],[1]!Table3[[Ad_ID]:[Cost-imputed]],7,0)</f>
        <v>$203.88</v>
      </c>
      <c r="F1143" s="4">
        <f>VLOOKUP(Googleadssales[[#This Row],[Ad_ID]],'[1]pre processed data'!A:I,9,0)</f>
        <v>22</v>
      </c>
      <c r="G1143" s="4">
        <f>VLOOKUP(Googleadssales[[#This Row],[Ad_ID]],'[1]pre processed data'!A:K,11,0)</f>
        <v>6</v>
      </c>
      <c r="H1143" s="2">
        <f>Googleadssales[[#This Row],[Conversions]]/Googleadssales[[#This Row],[Clicks]]</f>
        <v>6.3829787234042548E-2</v>
      </c>
      <c r="I1143" t="str">
        <f>VLOOKUP(Googleadssales[[#This Row],[Ad_ID]],'[1]pre processed data'!A:O,15,0)</f>
        <v>$1500</v>
      </c>
      <c r="J1143" s="3">
        <f>VLOOKUP(Googleadssales[[#This Row],[Ad_ID]],'[1]pre processed data'!A:Q,17,0)</f>
        <v>45610</v>
      </c>
      <c r="K1143" t="str">
        <f>VLOOKUP(Googleadssales[[#This Row],[Ad_ID]],'[1]pre processed data'!A:R,18,0)</f>
        <v>Chennai</v>
      </c>
      <c r="L1143" t="str">
        <f>VLOOKUP(Googleadssales[[#This Row],[Ad_ID]],'[1]pre processed data'!A:S,19,0)</f>
        <v>Desktop</v>
      </c>
      <c r="M1143" t="str">
        <f>VLOOKUP(Googleadssales[[#This Row],[Ad_ID]],'[1]pre processed data'!A:T,20,0)</f>
        <v>data analytics training</v>
      </c>
    </row>
    <row r="1144" spans="1:13" x14ac:dyDescent="0.3">
      <c r="A1144" t="s">
        <v>1157</v>
      </c>
      <c r="B1144" t="s">
        <v>14</v>
      </c>
      <c r="C1144" s="4">
        <f>VLOOKUP(Googleadssales[[#This Row],[Ad_ID]],'[1]pre processed data'!A:C,3,0)</f>
        <v>90</v>
      </c>
      <c r="D1144" s="4">
        <f>VLOOKUP(Googleadssales[[#This Row],[Ad_ID]],'[1]pre processed data'!A:E,5,0)</f>
        <v>5196</v>
      </c>
      <c r="E1144" s="5" t="str">
        <f>VLOOKUP(Googleadssales[[#This Row],[Ad_ID]],[1]!Table3[[Ad_ID]:[Cost-imputed]],7,0)</f>
        <v>$192.83</v>
      </c>
      <c r="F1144" s="4">
        <f>VLOOKUP(Googleadssales[[#This Row],[Ad_ID]],'[1]pre processed data'!A:I,9,0)</f>
        <v>21</v>
      </c>
      <c r="G1144" s="4">
        <f>VLOOKUP(Googleadssales[[#This Row],[Ad_ID]],'[1]pre processed data'!A:K,11,0)</f>
        <v>8</v>
      </c>
      <c r="H1144" s="2">
        <f>Googleadssales[[#This Row],[Conversions]]/Googleadssales[[#This Row],[Clicks]]</f>
        <v>8.8888888888888892E-2</v>
      </c>
      <c r="I1144" t="str">
        <f>VLOOKUP(Googleadssales[[#This Row],[Ad_ID]],'[1]pre processed data'!A:O,15,0)</f>
        <v>$1783</v>
      </c>
      <c r="J1144" s="3">
        <f>VLOOKUP(Googleadssales[[#This Row],[Ad_ID]],'[1]pre processed data'!A:Q,17,0)</f>
        <v>45603</v>
      </c>
      <c r="K1144" t="str">
        <f>VLOOKUP(Googleadssales[[#This Row],[Ad_ID]],'[1]pre processed data'!A:R,18,0)</f>
        <v>Bangaluru</v>
      </c>
      <c r="L1144" t="str">
        <f>VLOOKUP(Googleadssales[[#This Row],[Ad_ID]],'[1]pre processed data'!A:S,19,0)</f>
        <v>Desktop</v>
      </c>
      <c r="M1144" t="str">
        <f>VLOOKUP(Googleadssales[[#This Row],[Ad_ID]],'[1]pre processed data'!A:T,20,0)</f>
        <v>data analytics course</v>
      </c>
    </row>
    <row r="1145" spans="1:13" x14ac:dyDescent="0.3">
      <c r="A1145" t="s">
        <v>1158</v>
      </c>
      <c r="B1145" t="s">
        <v>18</v>
      </c>
      <c r="C1145" s="4">
        <f>VLOOKUP(Googleadssales[[#This Row],[Ad_ID]],'[1]pre processed data'!A:C,3,0)</f>
        <v>161</v>
      </c>
      <c r="D1145" s="4">
        <f>VLOOKUP(Googleadssales[[#This Row],[Ad_ID]],'[1]pre processed data'!A:E,5,0)</f>
        <v>5749</v>
      </c>
      <c r="E1145" s="5" t="str">
        <f>VLOOKUP(Googleadssales[[#This Row],[Ad_ID]],[1]!Table3[[Ad_ID]:[Cost-imputed]],7,0)</f>
        <v>$203.25</v>
      </c>
      <c r="F1145" s="4">
        <f>VLOOKUP(Googleadssales[[#This Row],[Ad_ID]],'[1]pre processed data'!A:I,9,0)</f>
        <v>12</v>
      </c>
      <c r="G1145" s="4">
        <f>VLOOKUP(Googleadssales[[#This Row],[Ad_ID]],'[1]pre processed data'!A:K,11,0)</f>
        <v>4</v>
      </c>
      <c r="H1145" s="2">
        <f>Googleadssales[[#This Row],[Conversions]]/Googleadssales[[#This Row],[Clicks]]</f>
        <v>2.4844720496894408E-2</v>
      </c>
      <c r="I1145" t="str">
        <f>VLOOKUP(Googleadssales[[#This Row],[Ad_ID]],'[1]pre processed data'!A:O,15,0)</f>
        <v>$1500</v>
      </c>
      <c r="J1145" s="3">
        <f>VLOOKUP(Googleadssales[[#This Row],[Ad_ID]],'[1]pre processed data'!A:Q,17,0)</f>
        <v>45624</v>
      </c>
      <c r="K1145" t="str">
        <f>VLOOKUP(Googleadssales[[#This Row],[Ad_ID]],'[1]pre processed data'!A:R,18,0)</f>
        <v>Hyderabad</v>
      </c>
      <c r="L1145" t="str">
        <f>VLOOKUP(Googleadssales[[#This Row],[Ad_ID]],'[1]pre processed data'!A:S,19,0)</f>
        <v>Tablet</v>
      </c>
      <c r="M1145" t="str">
        <f>VLOOKUP(Googleadssales[[#This Row],[Ad_ID]],'[1]pre processed data'!A:T,20,0)</f>
        <v>online data analytic</v>
      </c>
    </row>
    <row r="1146" spans="1:13" x14ac:dyDescent="0.3">
      <c r="A1146" t="s">
        <v>1159</v>
      </c>
      <c r="B1146" t="s">
        <v>14</v>
      </c>
      <c r="C1146" s="4">
        <f>VLOOKUP(Googleadssales[[#This Row],[Ad_ID]],'[1]pre processed data'!A:C,3,0)</f>
        <v>157</v>
      </c>
      <c r="D1146" s="4">
        <f>VLOOKUP(Googleadssales[[#This Row],[Ad_ID]],'[1]pre processed data'!A:E,5,0)</f>
        <v>5483</v>
      </c>
      <c r="E1146" s="5" t="str">
        <f>VLOOKUP(Googleadssales[[#This Row],[Ad_ID]],[1]!Table3[[Ad_ID]:[Cost-imputed]],7,0)</f>
        <v>$245.31</v>
      </c>
      <c r="F1146" s="4">
        <f>VLOOKUP(Googleadssales[[#This Row],[Ad_ID]],'[1]pre processed data'!A:I,9,0)</f>
        <v>24</v>
      </c>
      <c r="G1146" s="4">
        <f>VLOOKUP(Googleadssales[[#This Row],[Ad_ID]],'[1]pre processed data'!A:K,11,0)</f>
        <v>6</v>
      </c>
      <c r="H1146" s="2">
        <f>Googleadssales[[#This Row],[Conversions]]/Googleadssales[[#This Row],[Clicks]]</f>
        <v>3.8216560509554139E-2</v>
      </c>
      <c r="I1146" t="str">
        <f>VLOOKUP(Googleadssales[[#This Row],[Ad_ID]],'[1]pre processed data'!A:O,15,0)</f>
        <v>$1500</v>
      </c>
      <c r="J1146" s="3">
        <f>VLOOKUP(Googleadssales[[#This Row],[Ad_ID]],'[1]pre processed data'!A:Q,17,0)</f>
        <v>45618</v>
      </c>
      <c r="K1146" t="str">
        <f>VLOOKUP(Googleadssales[[#This Row],[Ad_ID]],'[1]pre processed data'!A:R,18,0)</f>
        <v>Chennai</v>
      </c>
      <c r="L1146" t="str">
        <f>VLOOKUP(Googleadssales[[#This Row],[Ad_ID]],'[1]pre processed data'!A:S,19,0)</f>
        <v>Mobile</v>
      </c>
      <c r="M1146" t="str">
        <f>VLOOKUP(Googleadssales[[#This Row],[Ad_ID]],'[1]pre processed data'!A:T,20,0)</f>
        <v>analytics for data</v>
      </c>
    </row>
    <row r="1147" spans="1:13" x14ac:dyDescent="0.3">
      <c r="A1147" t="s">
        <v>1160</v>
      </c>
      <c r="B1147" t="s">
        <v>18</v>
      </c>
      <c r="C1147" s="4">
        <f>VLOOKUP(Googleadssales[[#This Row],[Ad_ID]],'[1]pre processed data'!A:C,3,0)</f>
        <v>157</v>
      </c>
      <c r="D1147" s="4">
        <f>VLOOKUP(Googleadssales[[#This Row],[Ad_ID]],'[1]pre processed data'!A:E,5,0)</f>
        <v>4093</v>
      </c>
      <c r="E1147" s="5" t="str">
        <f>VLOOKUP(Googleadssales[[#This Row],[Ad_ID]],[1]!Table3[[Ad_ID]:[Cost-imputed]],7,0)</f>
        <v>$202.85</v>
      </c>
      <c r="F1147" s="4">
        <f>VLOOKUP(Googleadssales[[#This Row],[Ad_ID]],'[1]pre processed data'!A:I,9,0)</f>
        <v>27</v>
      </c>
      <c r="G1147" s="4">
        <f>VLOOKUP(Googleadssales[[#This Row],[Ad_ID]],'[1]pre processed data'!A:K,11,0)</f>
        <v>8</v>
      </c>
      <c r="H1147" s="2">
        <f>Googleadssales[[#This Row],[Conversions]]/Googleadssales[[#This Row],[Clicks]]</f>
        <v>5.0955414012738856E-2</v>
      </c>
      <c r="I1147" t="str">
        <f>VLOOKUP(Googleadssales[[#This Row],[Ad_ID]],'[1]pre processed data'!A:O,15,0)</f>
        <v>$1370</v>
      </c>
      <c r="J1147" s="3">
        <f>VLOOKUP(Googleadssales[[#This Row],[Ad_ID]],'[1]pre processed data'!A:Q,17,0)</f>
        <v>45599</v>
      </c>
      <c r="K1147" t="str">
        <f>VLOOKUP(Googleadssales[[#This Row],[Ad_ID]],'[1]pre processed data'!A:R,18,0)</f>
        <v>Chennai</v>
      </c>
      <c r="L1147" t="str">
        <f>VLOOKUP(Googleadssales[[#This Row],[Ad_ID]],'[1]pre processed data'!A:S,19,0)</f>
        <v>Mobile</v>
      </c>
      <c r="M1147" t="str">
        <f>VLOOKUP(Googleadssales[[#This Row],[Ad_ID]],'[1]pre processed data'!A:T,20,0)</f>
        <v>analytics for data</v>
      </c>
    </row>
    <row r="1148" spans="1:13" x14ac:dyDescent="0.3">
      <c r="A1148" t="s">
        <v>1161</v>
      </c>
      <c r="B1148" t="s">
        <v>14</v>
      </c>
      <c r="C1148" s="4">
        <f>VLOOKUP(Googleadssales[[#This Row],[Ad_ID]],'[1]pre processed data'!A:C,3,0)</f>
        <v>179</v>
      </c>
      <c r="D1148" s="4">
        <f>VLOOKUP(Googleadssales[[#This Row],[Ad_ID]],'[1]pre processed data'!A:E,5,0)</f>
        <v>4459</v>
      </c>
      <c r="E1148" s="5" t="str">
        <f>VLOOKUP(Googleadssales[[#This Row],[Ad_ID]],[1]!Table3[[Ad_ID]:[Cost-imputed]],7,0)</f>
        <v>$181.7</v>
      </c>
      <c r="F1148" s="4">
        <f>VLOOKUP(Googleadssales[[#This Row],[Ad_ID]],'[1]pre processed data'!A:I,9,0)</f>
        <v>27</v>
      </c>
      <c r="G1148" s="4">
        <f>VLOOKUP(Googleadssales[[#This Row],[Ad_ID]],'[1]pre processed data'!A:K,11,0)</f>
        <v>5</v>
      </c>
      <c r="H1148" s="2">
        <f>Googleadssales[[#This Row],[Conversions]]/Googleadssales[[#This Row],[Clicks]]</f>
        <v>2.7932960893854747E-2</v>
      </c>
      <c r="I1148" t="str">
        <f>VLOOKUP(Googleadssales[[#This Row],[Ad_ID]],'[1]pre processed data'!A:O,15,0)</f>
        <v>$1320</v>
      </c>
      <c r="J1148" s="3">
        <f>VLOOKUP(Googleadssales[[#This Row],[Ad_ID]],'[1]pre processed data'!A:Q,17,0)</f>
        <v>45609</v>
      </c>
      <c r="K1148" t="str">
        <f>VLOOKUP(Googleadssales[[#This Row],[Ad_ID]],'[1]pre processed data'!A:R,18,0)</f>
        <v>Chennai</v>
      </c>
      <c r="L1148" t="str">
        <f>VLOOKUP(Googleadssales[[#This Row],[Ad_ID]],'[1]pre processed data'!A:S,19,0)</f>
        <v>Tablet</v>
      </c>
      <c r="M1148" t="str">
        <f>VLOOKUP(Googleadssales[[#This Row],[Ad_ID]],'[1]pre processed data'!A:T,20,0)</f>
        <v>data analytics online</v>
      </c>
    </row>
    <row r="1149" spans="1:13" x14ac:dyDescent="0.3">
      <c r="A1149" t="s">
        <v>1162</v>
      </c>
      <c r="B1149" t="s">
        <v>14</v>
      </c>
      <c r="C1149" s="4">
        <f>VLOOKUP(Googleadssales[[#This Row],[Ad_ID]],'[1]pre processed data'!A:C,3,0)</f>
        <v>165</v>
      </c>
      <c r="D1149" s="4">
        <f>VLOOKUP(Googleadssales[[#This Row],[Ad_ID]],'[1]pre processed data'!A:E,5,0)</f>
        <v>5937</v>
      </c>
      <c r="E1149" s="5" t="str">
        <f>VLOOKUP(Googleadssales[[#This Row],[Ad_ID]],[1]!Table3[[Ad_ID]:[Cost-imputed]],7,0)</f>
        <v>$220.65</v>
      </c>
      <c r="F1149" s="4">
        <f>VLOOKUP(Googleadssales[[#This Row],[Ad_ID]],'[1]pre processed data'!A:I,9,0)</f>
        <v>23</v>
      </c>
      <c r="G1149" s="4">
        <f>VLOOKUP(Googleadssales[[#This Row],[Ad_ID]],'[1]pre processed data'!A:K,11,0)</f>
        <v>6</v>
      </c>
      <c r="H1149" s="2">
        <f>Googleadssales[[#This Row],[Conversions]]/Googleadssales[[#This Row],[Clicks]]</f>
        <v>3.6363636363636362E-2</v>
      </c>
      <c r="I1149" t="str">
        <f>VLOOKUP(Googleadssales[[#This Row],[Ad_ID]],'[1]pre processed data'!A:O,15,0)</f>
        <v>$1576</v>
      </c>
      <c r="J1149" s="3">
        <f>VLOOKUP(Googleadssales[[#This Row],[Ad_ID]],'[1]pre processed data'!A:Q,17,0)</f>
        <v>45600</v>
      </c>
      <c r="K1149" t="str">
        <f>VLOOKUP(Googleadssales[[#This Row],[Ad_ID]],'[1]pre processed data'!A:R,18,0)</f>
        <v>Hyderabad</v>
      </c>
      <c r="L1149" t="str">
        <f>VLOOKUP(Googleadssales[[#This Row],[Ad_ID]],'[1]pre processed data'!A:S,19,0)</f>
        <v>Mobile</v>
      </c>
      <c r="M1149" t="str">
        <f>VLOOKUP(Googleadssales[[#This Row],[Ad_ID]],'[1]pre processed data'!A:T,20,0)</f>
        <v>analytics for data</v>
      </c>
    </row>
    <row r="1150" spans="1:13" x14ac:dyDescent="0.3">
      <c r="A1150" t="s">
        <v>1163</v>
      </c>
      <c r="B1150" t="s">
        <v>14</v>
      </c>
      <c r="C1150" s="4">
        <f>VLOOKUP(Googleadssales[[#This Row],[Ad_ID]],'[1]pre processed data'!A:C,3,0)</f>
        <v>167</v>
      </c>
      <c r="D1150" s="4">
        <f>VLOOKUP(Googleadssales[[#This Row],[Ad_ID]],'[1]pre processed data'!A:E,5,0)</f>
        <v>4475</v>
      </c>
      <c r="E1150" s="5" t="str">
        <f>VLOOKUP(Googleadssales[[#This Row],[Ad_ID]],[1]!Table3[[Ad_ID]:[Cost-imputed]],7,0)</f>
        <v>$231.64</v>
      </c>
      <c r="F1150" s="4">
        <f>VLOOKUP(Googleadssales[[#This Row],[Ad_ID]],'[1]pre processed data'!A:I,9,0)</f>
        <v>13</v>
      </c>
      <c r="G1150" s="4">
        <f>VLOOKUP(Googleadssales[[#This Row],[Ad_ID]],'[1]pre processed data'!A:K,11,0)</f>
        <v>5</v>
      </c>
      <c r="H1150" s="2">
        <f>Googleadssales[[#This Row],[Conversions]]/Googleadssales[[#This Row],[Clicks]]</f>
        <v>2.9940119760479042E-2</v>
      </c>
      <c r="I1150" t="str">
        <f>VLOOKUP(Googleadssales[[#This Row],[Ad_ID]],'[1]pre processed data'!A:O,15,0)</f>
        <v>$1750</v>
      </c>
      <c r="J1150" s="3">
        <f>VLOOKUP(Googleadssales[[#This Row],[Ad_ID]],'[1]pre processed data'!A:Q,17,0)</f>
        <v>45599</v>
      </c>
      <c r="K1150" t="str">
        <f>VLOOKUP(Googleadssales[[#This Row],[Ad_ID]],'[1]pre processed data'!A:R,18,0)</f>
        <v>Chennai</v>
      </c>
      <c r="L1150" t="str">
        <f>VLOOKUP(Googleadssales[[#This Row],[Ad_ID]],'[1]pre processed data'!A:S,19,0)</f>
        <v>Desktop</v>
      </c>
      <c r="M1150" t="str">
        <f>VLOOKUP(Googleadssales[[#This Row],[Ad_ID]],'[1]pre processed data'!A:T,20,0)</f>
        <v>online data analytic</v>
      </c>
    </row>
    <row r="1151" spans="1:13" x14ac:dyDescent="0.3">
      <c r="A1151" t="s">
        <v>1164</v>
      </c>
      <c r="B1151" t="s">
        <v>14</v>
      </c>
      <c r="C1151" s="4">
        <f>VLOOKUP(Googleadssales[[#This Row],[Ad_ID]],'[1]pre processed data'!A:C,3,0)</f>
        <v>126</v>
      </c>
      <c r="D1151" s="4">
        <f>VLOOKUP(Googleadssales[[#This Row],[Ad_ID]],'[1]pre processed data'!A:E,5,0)</f>
        <v>4212</v>
      </c>
      <c r="E1151" s="5" t="str">
        <f>VLOOKUP(Googleadssales[[#This Row],[Ad_ID]],[1]!Table3[[Ad_ID]:[Cost-imputed]],7,0)</f>
        <v>$182.54</v>
      </c>
      <c r="F1151" s="4">
        <f>VLOOKUP(Googleadssales[[#This Row],[Ad_ID]],'[1]pre processed data'!A:I,9,0)</f>
        <v>29</v>
      </c>
      <c r="G1151" s="4">
        <f>VLOOKUP(Googleadssales[[#This Row],[Ad_ID]],'[1]pre processed data'!A:K,11,0)</f>
        <v>8</v>
      </c>
      <c r="H1151" s="2">
        <f>Googleadssales[[#This Row],[Conversions]]/Googleadssales[[#This Row],[Clicks]]</f>
        <v>6.3492063492063489E-2</v>
      </c>
      <c r="I1151" t="str">
        <f>VLOOKUP(Googleadssales[[#This Row],[Ad_ID]],'[1]pre processed data'!A:O,15,0)</f>
        <v>$1066</v>
      </c>
      <c r="J1151" s="3">
        <f>VLOOKUP(Googleadssales[[#This Row],[Ad_ID]],'[1]pre processed data'!A:Q,17,0)</f>
        <v>45615</v>
      </c>
      <c r="K1151" t="str">
        <f>VLOOKUP(Googleadssales[[#This Row],[Ad_ID]],'[1]pre processed data'!A:R,18,0)</f>
        <v>Bangaluru</v>
      </c>
      <c r="L1151" t="str">
        <f>VLOOKUP(Googleadssales[[#This Row],[Ad_ID]],'[1]pre processed data'!A:S,19,0)</f>
        <v>Mobile</v>
      </c>
      <c r="M1151" t="str">
        <f>VLOOKUP(Googleadssales[[#This Row],[Ad_ID]],'[1]pre processed data'!A:T,20,0)</f>
        <v>online data analytic</v>
      </c>
    </row>
    <row r="1152" spans="1:13" x14ac:dyDescent="0.3">
      <c r="A1152" t="s">
        <v>1165</v>
      </c>
      <c r="B1152" t="s">
        <v>14</v>
      </c>
      <c r="C1152" s="4">
        <f>VLOOKUP(Googleadssales[[#This Row],[Ad_ID]],'[1]pre processed data'!A:C,3,0)</f>
        <v>134</v>
      </c>
      <c r="D1152" s="4">
        <f>VLOOKUP(Googleadssales[[#This Row],[Ad_ID]],'[1]pre processed data'!A:E,5,0)</f>
        <v>4506</v>
      </c>
      <c r="E1152" s="5" t="str">
        <f>VLOOKUP(Googleadssales[[#This Row],[Ad_ID]],[1]!Table3[[Ad_ID]:[Cost-imputed]],7,0)</f>
        <v>$220.09</v>
      </c>
      <c r="F1152" s="4">
        <f>VLOOKUP(Googleadssales[[#This Row],[Ad_ID]],'[1]pre processed data'!A:I,9,0)</f>
        <v>13</v>
      </c>
      <c r="G1152" s="4">
        <f>VLOOKUP(Googleadssales[[#This Row],[Ad_ID]],'[1]pre processed data'!A:K,11,0)</f>
        <v>5</v>
      </c>
      <c r="H1152" s="2">
        <f>Googleadssales[[#This Row],[Conversions]]/Googleadssales[[#This Row],[Clicks]]</f>
        <v>3.7313432835820892E-2</v>
      </c>
      <c r="I1152" t="str">
        <f>VLOOKUP(Googleadssales[[#This Row],[Ad_ID]],'[1]pre processed data'!A:O,15,0)</f>
        <v>$1745</v>
      </c>
      <c r="J1152" s="3">
        <f>VLOOKUP(Googleadssales[[#This Row],[Ad_ID]],'[1]pre processed data'!A:Q,17,0)</f>
        <v>45625</v>
      </c>
      <c r="K1152" t="str">
        <f>VLOOKUP(Googleadssales[[#This Row],[Ad_ID]],'[1]pre processed data'!A:R,18,0)</f>
        <v>Chennai</v>
      </c>
      <c r="L1152" t="str">
        <f>VLOOKUP(Googleadssales[[#This Row],[Ad_ID]],'[1]pre processed data'!A:S,19,0)</f>
        <v>Mobile</v>
      </c>
      <c r="M1152" t="str">
        <f>VLOOKUP(Googleadssales[[#This Row],[Ad_ID]],'[1]pre processed data'!A:T,20,0)</f>
        <v>data analytics online</v>
      </c>
    </row>
    <row r="1153" spans="1:13" x14ac:dyDescent="0.3">
      <c r="A1153" t="s">
        <v>1166</v>
      </c>
      <c r="B1153" t="s">
        <v>14</v>
      </c>
      <c r="C1153" s="4">
        <f>VLOOKUP(Googleadssales[[#This Row],[Ad_ID]],'[1]pre processed data'!A:C,3,0)</f>
        <v>142</v>
      </c>
      <c r="D1153" s="4">
        <f>VLOOKUP(Googleadssales[[#This Row],[Ad_ID]],'[1]pre processed data'!A:E,5,0)</f>
        <v>3147</v>
      </c>
      <c r="E1153" s="5" t="str">
        <f>VLOOKUP(Googleadssales[[#This Row],[Ad_ID]],[1]!Table3[[Ad_ID]:[Cost-imputed]],7,0)</f>
        <v>$190.93</v>
      </c>
      <c r="F1153" s="4">
        <f>VLOOKUP(Googleadssales[[#This Row],[Ad_ID]],'[1]pre processed data'!A:I,9,0)</f>
        <v>13</v>
      </c>
      <c r="G1153" s="4">
        <f>VLOOKUP(Googleadssales[[#This Row],[Ad_ID]],'[1]pre processed data'!A:K,11,0)</f>
        <v>5</v>
      </c>
      <c r="H1153" s="2">
        <f>Googleadssales[[#This Row],[Conversions]]/Googleadssales[[#This Row],[Clicks]]</f>
        <v>3.5211267605633804E-2</v>
      </c>
      <c r="I1153" t="str">
        <f>VLOOKUP(Googleadssales[[#This Row],[Ad_ID]],'[1]pre processed data'!A:O,15,0)</f>
        <v>$1740</v>
      </c>
      <c r="J1153" s="3">
        <f>VLOOKUP(Googleadssales[[#This Row],[Ad_ID]],'[1]pre processed data'!A:Q,17,0)</f>
        <v>45601</v>
      </c>
      <c r="K1153" t="str">
        <f>VLOOKUP(Googleadssales[[#This Row],[Ad_ID]],'[1]pre processed data'!A:R,18,0)</f>
        <v>Chennai</v>
      </c>
      <c r="L1153" t="str">
        <f>VLOOKUP(Googleadssales[[#This Row],[Ad_ID]],'[1]pre processed data'!A:S,19,0)</f>
        <v>Mobile</v>
      </c>
      <c r="M1153" t="str">
        <f>VLOOKUP(Googleadssales[[#This Row],[Ad_ID]],'[1]pre processed data'!A:T,20,0)</f>
        <v>learn data analytics</v>
      </c>
    </row>
    <row r="1154" spans="1:13" x14ac:dyDescent="0.3">
      <c r="A1154" t="s">
        <v>1167</v>
      </c>
      <c r="B1154" t="s">
        <v>14</v>
      </c>
      <c r="C1154" s="4">
        <f>VLOOKUP(Googleadssales[[#This Row],[Ad_ID]],'[1]pre processed data'!A:C,3,0)</f>
        <v>138.95699356913184</v>
      </c>
      <c r="D1154" s="4">
        <f>VLOOKUP(Googleadssales[[#This Row],[Ad_ID]],'[1]pre processed data'!A:E,5,0)</f>
        <v>4387</v>
      </c>
      <c r="E1154" s="5" t="str">
        <f>VLOOKUP(Googleadssales[[#This Row],[Ad_ID]],[1]!Table3[[Ad_ID]:[Cost-imputed]],7,0)</f>
        <v>$198.93</v>
      </c>
      <c r="F1154" s="4">
        <f>VLOOKUP(Googleadssales[[#This Row],[Ad_ID]],'[1]pre processed data'!A:I,9,0)</f>
        <v>22</v>
      </c>
      <c r="G1154" s="4">
        <f>VLOOKUP(Googleadssales[[#This Row],[Ad_ID]],'[1]pre processed data'!A:K,11,0)</f>
        <v>3</v>
      </c>
      <c r="H1154" s="2">
        <f>Googleadssales[[#This Row],[Conversions]]/Googleadssales[[#This Row],[Clicks]]</f>
        <v>2.1589413551232915E-2</v>
      </c>
      <c r="I1154" t="str">
        <f>VLOOKUP(Googleadssales[[#This Row],[Ad_ID]],'[1]pre processed data'!A:O,15,0)</f>
        <v>$1629</v>
      </c>
      <c r="J1154" s="3">
        <f>VLOOKUP(Googleadssales[[#This Row],[Ad_ID]],'[1]pre processed data'!A:Q,17,0)</f>
        <v>45607</v>
      </c>
      <c r="K1154" t="str">
        <f>VLOOKUP(Googleadssales[[#This Row],[Ad_ID]],'[1]pre processed data'!A:R,18,0)</f>
        <v>Hyderabad</v>
      </c>
      <c r="L1154" t="str">
        <f>VLOOKUP(Googleadssales[[#This Row],[Ad_ID]],'[1]pre processed data'!A:S,19,0)</f>
        <v>Desktop</v>
      </c>
      <c r="M1154" t="str">
        <f>VLOOKUP(Googleadssales[[#This Row],[Ad_ID]],'[1]pre processed data'!A:T,20,0)</f>
        <v>learn data analytics</v>
      </c>
    </row>
    <row r="1155" spans="1:13" x14ac:dyDescent="0.3">
      <c r="A1155" t="s">
        <v>1168</v>
      </c>
      <c r="B1155" t="s">
        <v>14</v>
      </c>
      <c r="C1155" s="4">
        <f>VLOOKUP(Googleadssales[[#This Row],[Ad_ID]],'[1]pre processed data'!A:C,3,0)</f>
        <v>163</v>
      </c>
      <c r="D1155" s="4">
        <f>VLOOKUP(Googleadssales[[#This Row],[Ad_ID]],'[1]pre processed data'!A:E,5,0)</f>
        <v>5948</v>
      </c>
      <c r="E1155" s="5" t="str">
        <f>VLOOKUP(Googleadssales[[#This Row],[Ad_ID]],[1]!Table3[[Ad_ID]:[Cost-imputed]],7,0)</f>
        <v>$184.84</v>
      </c>
      <c r="F1155" s="4">
        <f>VLOOKUP(Googleadssales[[#This Row],[Ad_ID]],'[1]pre processed data'!A:I,9,0)</f>
        <v>12</v>
      </c>
      <c r="G1155" s="4">
        <f>VLOOKUP(Googleadssales[[#This Row],[Ad_ID]],'[1]pre processed data'!A:K,11,0)</f>
        <v>3</v>
      </c>
      <c r="H1155" s="2">
        <f>Googleadssales[[#This Row],[Conversions]]/Googleadssales[[#This Row],[Clicks]]</f>
        <v>1.8404907975460124E-2</v>
      </c>
      <c r="I1155" t="str">
        <f>VLOOKUP(Googleadssales[[#This Row],[Ad_ID]],'[1]pre processed data'!A:O,15,0)</f>
        <v>$1248</v>
      </c>
      <c r="J1155" s="3">
        <f>VLOOKUP(Googleadssales[[#This Row],[Ad_ID]],'[1]pre processed data'!A:Q,17,0)</f>
        <v>45607</v>
      </c>
      <c r="K1155" t="str">
        <f>VLOOKUP(Googleadssales[[#This Row],[Ad_ID]],'[1]pre processed data'!A:R,18,0)</f>
        <v>Chennai</v>
      </c>
      <c r="L1155" t="str">
        <f>VLOOKUP(Googleadssales[[#This Row],[Ad_ID]],'[1]pre processed data'!A:S,19,0)</f>
        <v>Tablet</v>
      </c>
      <c r="M1155" t="str">
        <f>VLOOKUP(Googleadssales[[#This Row],[Ad_ID]],'[1]pre processed data'!A:T,20,0)</f>
        <v>data analytics training</v>
      </c>
    </row>
    <row r="1156" spans="1:13" x14ac:dyDescent="0.3">
      <c r="A1156" t="s">
        <v>1169</v>
      </c>
      <c r="B1156" t="s">
        <v>14</v>
      </c>
      <c r="C1156" s="4">
        <f>VLOOKUP(Googleadssales[[#This Row],[Ad_ID]],'[1]pre processed data'!A:C,3,0)</f>
        <v>171</v>
      </c>
      <c r="D1156" s="4">
        <f>VLOOKUP(Googleadssales[[#This Row],[Ad_ID]],'[1]pre processed data'!A:E,5,0)</f>
        <v>4855</v>
      </c>
      <c r="E1156" s="5" t="str">
        <f>VLOOKUP(Googleadssales[[#This Row],[Ad_ID]],[1]!Table3[[Ad_ID]:[Cost-imputed]],7,0)</f>
        <v>$235.23</v>
      </c>
      <c r="F1156" s="4">
        <f>VLOOKUP(Googleadssales[[#This Row],[Ad_ID]],'[1]pre processed data'!A:I,9,0)</f>
        <v>25</v>
      </c>
      <c r="G1156" s="4">
        <f>VLOOKUP(Googleadssales[[#This Row],[Ad_ID]],'[1]pre processed data'!A:K,11,0)</f>
        <v>6</v>
      </c>
      <c r="H1156" s="2">
        <f>Googleadssales[[#This Row],[Conversions]]/Googleadssales[[#This Row],[Clicks]]</f>
        <v>3.5087719298245612E-2</v>
      </c>
      <c r="I1156" t="str">
        <f>VLOOKUP(Googleadssales[[#This Row],[Ad_ID]],'[1]pre processed data'!A:O,15,0)</f>
        <v>$1500</v>
      </c>
      <c r="J1156" s="3">
        <f>VLOOKUP(Googleadssales[[#This Row],[Ad_ID]],'[1]pre processed data'!A:Q,17,0)</f>
        <v>45617</v>
      </c>
      <c r="K1156" t="str">
        <f>VLOOKUP(Googleadssales[[#This Row],[Ad_ID]],'[1]pre processed data'!A:R,18,0)</f>
        <v>Bangaluru</v>
      </c>
      <c r="L1156" t="str">
        <f>VLOOKUP(Googleadssales[[#This Row],[Ad_ID]],'[1]pre processed data'!A:S,19,0)</f>
        <v>Desktop</v>
      </c>
      <c r="M1156" t="str">
        <f>VLOOKUP(Googleadssales[[#This Row],[Ad_ID]],'[1]pre processed data'!A:T,20,0)</f>
        <v>data analytics course</v>
      </c>
    </row>
    <row r="1157" spans="1:13" x14ac:dyDescent="0.3">
      <c r="A1157" t="s">
        <v>1170</v>
      </c>
      <c r="B1157" t="s">
        <v>14</v>
      </c>
      <c r="C1157" s="4">
        <f>VLOOKUP(Googleadssales[[#This Row],[Ad_ID]],'[1]pre processed data'!A:C,3,0)</f>
        <v>97</v>
      </c>
      <c r="D1157" s="4">
        <f>VLOOKUP(Googleadssales[[#This Row],[Ad_ID]],'[1]pre processed data'!A:E,5,0)</f>
        <v>4674</v>
      </c>
      <c r="E1157" s="5" t="str">
        <f>VLOOKUP(Googleadssales[[#This Row],[Ad_ID]],[1]!Table3[[Ad_ID]:[Cost-imputed]],7,0)</f>
        <v>$221.39</v>
      </c>
      <c r="F1157" s="4">
        <f>VLOOKUP(Googleadssales[[#This Row],[Ad_ID]],'[1]pre processed data'!A:I,9,0)</f>
        <v>15</v>
      </c>
      <c r="G1157" s="4">
        <f>VLOOKUP(Googleadssales[[#This Row],[Ad_ID]],'[1]pre processed data'!A:K,11,0)</f>
        <v>10</v>
      </c>
      <c r="H1157" s="2">
        <f>Googleadssales[[#This Row],[Conversions]]/Googleadssales[[#This Row],[Clicks]]</f>
        <v>0.10309278350515463</v>
      </c>
      <c r="I1157" t="str">
        <f>VLOOKUP(Googleadssales[[#This Row],[Ad_ID]],'[1]pre processed data'!A:O,15,0)</f>
        <v>$1332</v>
      </c>
      <c r="J1157" s="3">
        <f>VLOOKUP(Googleadssales[[#This Row],[Ad_ID]],'[1]pre processed data'!A:Q,17,0)</f>
        <v>45603</v>
      </c>
      <c r="K1157" t="str">
        <f>VLOOKUP(Googleadssales[[#This Row],[Ad_ID]],'[1]pre processed data'!A:R,18,0)</f>
        <v>Chennai</v>
      </c>
      <c r="L1157" t="str">
        <f>VLOOKUP(Googleadssales[[#This Row],[Ad_ID]],'[1]pre processed data'!A:S,19,0)</f>
        <v>Tablet</v>
      </c>
      <c r="M1157" t="str">
        <f>VLOOKUP(Googleadssales[[#This Row],[Ad_ID]],'[1]pre processed data'!A:T,20,0)</f>
        <v>data analytics course</v>
      </c>
    </row>
    <row r="1158" spans="1:13" x14ac:dyDescent="0.3">
      <c r="A1158" t="s">
        <v>1171</v>
      </c>
      <c r="B1158" t="s">
        <v>14</v>
      </c>
      <c r="C1158" s="4">
        <f>VLOOKUP(Googleadssales[[#This Row],[Ad_ID]],'[1]pre processed data'!A:C,3,0)</f>
        <v>176</v>
      </c>
      <c r="D1158" s="4">
        <f>VLOOKUP(Googleadssales[[#This Row],[Ad_ID]],'[1]pre processed data'!A:E,5,0)</f>
        <v>3336</v>
      </c>
      <c r="E1158" s="5" t="str">
        <f>VLOOKUP(Googleadssales[[#This Row],[Ad_ID]],[1]!Table3[[Ad_ID]:[Cost-imputed]],7,0)</f>
        <v>$193.72</v>
      </c>
      <c r="F1158" s="4">
        <f>VLOOKUP(Googleadssales[[#This Row],[Ad_ID]],'[1]pre processed data'!A:I,9,0)</f>
        <v>15</v>
      </c>
      <c r="G1158" s="4">
        <f>VLOOKUP(Googleadssales[[#This Row],[Ad_ID]],'[1]pre processed data'!A:K,11,0)</f>
        <v>9</v>
      </c>
      <c r="H1158" s="2">
        <f>Googleadssales[[#This Row],[Conversions]]/Googleadssales[[#This Row],[Clicks]]</f>
        <v>5.113636363636364E-2</v>
      </c>
      <c r="I1158" t="str">
        <f>VLOOKUP(Googleadssales[[#This Row],[Ad_ID]],'[1]pre processed data'!A:O,15,0)</f>
        <v>$1696</v>
      </c>
      <c r="J1158" s="3">
        <f>VLOOKUP(Googleadssales[[#This Row],[Ad_ID]],'[1]pre processed data'!A:Q,17,0)</f>
        <v>45608</v>
      </c>
      <c r="K1158" t="str">
        <f>VLOOKUP(Googleadssales[[#This Row],[Ad_ID]],'[1]pre processed data'!A:R,18,0)</f>
        <v>Hyderabad</v>
      </c>
      <c r="L1158" t="str">
        <f>VLOOKUP(Googleadssales[[#This Row],[Ad_ID]],'[1]pre processed data'!A:S,19,0)</f>
        <v>Tablet</v>
      </c>
      <c r="M1158" t="str">
        <f>VLOOKUP(Googleadssales[[#This Row],[Ad_ID]],'[1]pre processed data'!A:T,20,0)</f>
        <v>learn data analytics</v>
      </c>
    </row>
    <row r="1159" spans="1:13" x14ac:dyDescent="0.3">
      <c r="A1159" t="s">
        <v>1172</v>
      </c>
      <c r="B1159" t="s">
        <v>14</v>
      </c>
      <c r="C1159" s="4">
        <f>VLOOKUP(Googleadssales[[#This Row],[Ad_ID]],'[1]pre processed data'!A:C,3,0)</f>
        <v>129</v>
      </c>
      <c r="D1159" s="4">
        <f>VLOOKUP(Googleadssales[[#This Row],[Ad_ID]],'[1]pre processed data'!A:E,5,0)</f>
        <v>5839</v>
      </c>
      <c r="E1159" s="5" t="str">
        <f>VLOOKUP(Googleadssales[[#This Row],[Ad_ID]],[1]!Table3[[Ad_ID]:[Cost-imputed]],7,0)</f>
        <v>$213.72</v>
      </c>
      <c r="F1159" s="4">
        <f>VLOOKUP(Googleadssales[[#This Row],[Ad_ID]],'[1]pre processed data'!A:I,9,0)</f>
        <v>10</v>
      </c>
      <c r="G1159" s="4">
        <f>VLOOKUP(Googleadssales[[#This Row],[Ad_ID]],'[1]pre processed data'!A:K,11,0)</f>
        <v>6</v>
      </c>
      <c r="H1159" s="2">
        <f>Googleadssales[[#This Row],[Conversions]]/Googleadssales[[#This Row],[Clicks]]</f>
        <v>4.6511627906976744E-2</v>
      </c>
      <c r="I1159" t="str">
        <f>VLOOKUP(Googleadssales[[#This Row],[Ad_ID]],'[1]pre processed data'!A:O,15,0)</f>
        <v>$1476</v>
      </c>
      <c r="J1159" s="3">
        <f>VLOOKUP(Googleadssales[[#This Row],[Ad_ID]],'[1]pre processed data'!A:Q,17,0)</f>
        <v>45614</v>
      </c>
      <c r="K1159" t="str">
        <f>VLOOKUP(Googleadssales[[#This Row],[Ad_ID]],'[1]pre processed data'!A:R,18,0)</f>
        <v>Hyderabad</v>
      </c>
      <c r="L1159" t="str">
        <f>VLOOKUP(Googleadssales[[#This Row],[Ad_ID]],'[1]pre processed data'!A:S,19,0)</f>
        <v>Desktop</v>
      </c>
      <c r="M1159" t="str">
        <f>VLOOKUP(Googleadssales[[#This Row],[Ad_ID]],'[1]pre processed data'!A:T,20,0)</f>
        <v>analytics for data</v>
      </c>
    </row>
    <row r="1160" spans="1:13" x14ac:dyDescent="0.3">
      <c r="A1160" t="s">
        <v>1173</v>
      </c>
      <c r="B1160" t="s">
        <v>18</v>
      </c>
      <c r="C1160" s="4">
        <f>VLOOKUP(Googleadssales[[#This Row],[Ad_ID]],'[1]pre processed data'!A:C,3,0)</f>
        <v>178</v>
      </c>
      <c r="D1160" s="4">
        <f>VLOOKUP(Googleadssales[[#This Row],[Ad_ID]],'[1]pre processed data'!A:E,5,0)</f>
        <v>3943</v>
      </c>
      <c r="E1160" s="5" t="str">
        <f>VLOOKUP(Googleadssales[[#This Row],[Ad_ID]],[1]!Table3[[Ad_ID]:[Cost-imputed]],7,0)</f>
        <v>$217.96</v>
      </c>
      <c r="F1160" s="4">
        <f>VLOOKUP(Googleadssales[[#This Row],[Ad_ID]],'[1]pre processed data'!A:I,9,0)</f>
        <v>29</v>
      </c>
      <c r="G1160" s="4">
        <f>VLOOKUP(Googleadssales[[#This Row],[Ad_ID]],'[1]pre processed data'!A:K,11,0)</f>
        <v>6</v>
      </c>
      <c r="H1160" s="2">
        <f>Googleadssales[[#This Row],[Conversions]]/Googleadssales[[#This Row],[Clicks]]</f>
        <v>3.3707865168539325E-2</v>
      </c>
      <c r="I1160" t="str">
        <f>VLOOKUP(Googleadssales[[#This Row],[Ad_ID]],'[1]pre processed data'!A:O,15,0)</f>
        <v>$1037</v>
      </c>
      <c r="J1160" s="3">
        <f>VLOOKUP(Googleadssales[[#This Row],[Ad_ID]],'[1]pre processed data'!A:Q,17,0)</f>
        <v>45611</v>
      </c>
      <c r="K1160" t="str">
        <f>VLOOKUP(Googleadssales[[#This Row],[Ad_ID]],'[1]pre processed data'!A:R,18,0)</f>
        <v>Chennai</v>
      </c>
      <c r="L1160" t="str">
        <f>VLOOKUP(Googleadssales[[#This Row],[Ad_ID]],'[1]pre processed data'!A:S,19,0)</f>
        <v>Mobile</v>
      </c>
      <c r="M1160" t="str">
        <f>VLOOKUP(Googleadssales[[#This Row],[Ad_ID]],'[1]pre processed data'!A:T,20,0)</f>
        <v>learn data analytics</v>
      </c>
    </row>
    <row r="1161" spans="1:13" x14ac:dyDescent="0.3">
      <c r="A1161" t="s">
        <v>1174</v>
      </c>
      <c r="B1161" t="s">
        <v>14</v>
      </c>
      <c r="C1161" s="4">
        <f>VLOOKUP(Googleadssales[[#This Row],[Ad_ID]],'[1]pre processed data'!A:C,3,0)</f>
        <v>111</v>
      </c>
      <c r="D1161" s="4">
        <f>VLOOKUP(Googleadssales[[#This Row],[Ad_ID]],'[1]pre processed data'!A:E,5,0)</f>
        <v>3787</v>
      </c>
      <c r="E1161" s="5" t="str">
        <f>VLOOKUP(Googleadssales[[#This Row],[Ad_ID]],[1]!Table3[[Ad_ID]:[Cost-imputed]],7,0)</f>
        <v>$215.48</v>
      </c>
      <c r="F1161" s="4">
        <f>VLOOKUP(Googleadssales[[#This Row],[Ad_ID]],'[1]pre processed data'!A:I,9,0)</f>
        <v>15</v>
      </c>
      <c r="G1161" s="4">
        <f>VLOOKUP(Googleadssales[[#This Row],[Ad_ID]],'[1]pre processed data'!A:K,11,0)</f>
        <v>10</v>
      </c>
      <c r="H1161" s="2">
        <f>Googleadssales[[#This Row],[Conversions]]/Googleadssales[[#This Row],[Clicks]]</f>
        <v>9.0090090090090086E-2</v>
      </c>
      <c r="I1161" t="str">
        <f>VLOOKUP(Googleadssales[[#This Row],[Ad_ID]],'[1]pre processed data'!A:O,15,0)</f>
        <v>$1660</v>
      </c>
      <c r="J1161" s="3">
        <f>VLOOKUP(Googleadssales[[#This Row],[Ad_ID]],'[1]pre processed data'!A:Q,17,0)</f>
        <v>45610</v>
      </c>
      <c r="K1161" t="str">
        <f>VLOOKUP(Googleadssales[[#This Row],[Ad_ID]],'[1]pre processed data'!A:R,18,0)</f>
        <v>Hyderabad</v>
      </c>
      <c r="L1161" t="str">
        <f>VLOOKUP(Googleadssales[[#This Row],[Ad_ID]],'[1]pre processed data'!A:S,19,0)</f>
        <v>Tablet</v>
      </c>
      <c r="M1161" t="str">
        <f>VLOOKUP(Googleadssales[[#This Row],[Ad_ID]],'[1]pre processed data'!A:T,20,0)</f>
        <v>online data analytic</v>
      </c>
    </row>
    <row r="1162" spans="1:13" x14ac:dyDescent="0.3">
      <c r="A1162" t="s">
        <v>1175</v>
      </c>
      <c r="B1162" t="s">
        <v>14</v>
      </c>
      <c r="C1162" s="4">
        <f>VLOOKUP(Googleadssales[[#This Row],[Ad_ID]],'[1]pre processed data'!A:C,3,0)</f>
        <v>156</v>
      </c>
      <c r="D1162" s="4">
        <f>VLOOKUP(Googleadssales[[#This Row],[Ad_ID]],'[1]pre processed data'!A:E,5,0)</f>
        <v>4196</v>
      </c>
      <c r="E1162" s="5" t="str">
        <f>VLOOKUP(Googleadssales[[#This Row],[Ad_ID]],[1]!Table3[[Ad_ID]:[Cost-imputed]],7,0)</f>
        <v>$192.96</v>
      </c>
      <c r="F1162" s="4">
        <f>VLOOKUP(Googleadssales[[#This Row],[Ad_ID]],'[1]pre processed data'!A:I,9,0)</f>
        <v>11</v>
      </c>
      <c r="G1162" s="4">
        <f>VLOOKUP(Googleadssales[[#This Row],[Ad_ID]],'[1]pre processed data'!A:K,11,0)</f>
        <v>5</v>
      </c>
      <c r="H1162" s="2">
        <f>Googleadssales[[#This Row],[Conversions]]/Googleadssales[[#This Row],[Clicks]]</f>
        <v>3.2051282051282048E-2</v>
      </c>
      <c r="I1162" t="str">
        <f>VLOOKUP(Googleadssales[[#This Row],[Ad_ID]],'[1]pre processed data'!A:O,15,0)</f>
        <v>$1504</v>
      </c>
      <c r="J1162" s="3">
        <f>VLOOKUP(Googleadssales[[#This Row],[Ad_ID]],'[1]pre processed data'!A:Q,17,0)</f>
        <v>45622</v>
      </c>
      <c r="K1162" t="str">
        <f>VLOOKUP(Googleadssales[[#This Row],[Ad_ID]],'[1]pre processed data'!A:R,18,0)</f>
        <v>Hyderabad</v>
      </c>
      <c r="L1162" t="str">
        <f>VLOOKUP(Googleadssales[[#This Row],[Ad_ID]],'[1]pre processed data'!A:S,19,0)</f>
        <v>Mobile</v>
      </c>
      <c r="M1162" t="str">
        <f>VLOOKUP(Googleadssales[[#This Row],[Ad_ID]],'[1]pre processed data'!A:T,20,0)</f>
        <v>learn data analytics</v>
      </c>
    </row>
    <row r="1163" spans="1:13" x14ac:dyDescent="0.3">
      <c r="A1163" t="s">
        <v>1176</v>
      </c>
      <c r="B1163" t="s">
        <v>14</v>
      </c>
      <c r="C1163" s="4">
        <f>VLOOKUP(Googleadssales[[#This Row],[Ad_ID]],'[1]pre processed data'!A:C,3,0)</f>
        <v>138.95699356913184</v>
      </c>
      <c r="D1163" s="4">
        <f>VLOOKUP(Googleadssales[[#This Row],[Ad_ID]],'[1]pre processed data'!A:E,5,0)</f>
        <v>3408</v>
      </c>
      <c r="E1163" s="5" t="str">
        <f>VLOOKUP(Googleadssales[[#This Row],[Ad_ID]],[1]!Table3[[Ad_ID]:[Cost-imputed]],7,0)</f>
        <v>$193.07</v>
      </c>
      <c r="F1163" s="4">
        <f>VLOOKUP(Googleadssales[[#This Row],[Ad_ID]],'[1]pre processed data'!A:I,9,0)</f>
        <v>20</v>
      </c>
      <c r="G1163" s="4">
        <f>VLOOKUP(Googleadssales[[#This Row],[Ad_ID]],'[1]pre processed data'!A:K,11,0)</f>
        <v>5</v>
      </c>
      <c r="H1163" s="2">
        <f>Googleadssales[[#This Row],[Conversions]]/Googleadssales[[#This Row],[Clicks]]</f>
        <v>3.5982355918721523E-2</v>
      </c>
      <c r="I1163" t="str">
        <f>VLOOKUP(Googleadssales[[#This Row],[Ad_ID]],'[1]pre processed data'!A:O,15,0)</f>
        <v>$1412</v>
      </c>
      <c r="J1163" s="3">
        <f>VLOOKUP(Googleadssales[[#This Row],[Ad_ID]],'[1]pre processed data'!A:Q,17,0)</f>
        <v>45615</v>
      </c>
      <c r="K1163" t="str">
        <f>VLOOKUP(Googleadssales[[#This Row],[Ad_ID]],'[1]pre processed data'!A:R,18,0)</f>
        <v>Hyderabad</v>
      </c>
      <c r="L1163" t="str">
        <f>VLOOKUP(Googleadssales[[#This Row],[Ad_ID]],'[1]pre processed data'!A:S,19,0)</f>
        <v>Tablet</v>
      </c>
      <c r="M1163" t="str">
        <f>VLOOKUP(Googleadssales[[#This Row],[Ad_ID]],'[1]pre processed data'!A:T,20,0)</f>
        <v>data analytics course</v>
      </c>
    </row>
    <row r="1164" spans="1:13" x14ac:dyDescent="0.3">
      <c r="A1164" t="s">
        <v>1177</v>
      </c>
      <c r="B1164" t="s">
        <v>18</v>
      </c>
      <c r="C1164" s="4">
        <f>VLOOKUP(Googleadssales[[#This Row],[Ad_ID]],'[1]pre processed data'!A:C,3,0)</f>
        <v>145</v>
      </c>
      <c r="D1164" s="4">
        <f>VLOOKUP(Googleadssales[[#This Row],[Ad_ID]],'[1]pre processed data'!A:E,5,0)</f>
        <v>4982</v>
      </c>
      <c r="E1164" s="5" t="str">
        <f>VLOOKUP(Googleadssales[[#This Row],[Ad_ID]],[1]!Table3[[Ad_ID]:[Cost-imputed]],7,0)</f>
        <v>$203.33</v>
      </c>
      <c r="F1164" s="4">
        <f>VLOOKUP(Googleadssales[[#This Row],[Ad_ID]],'[1]pre processed data'!A:I,9,0)</f>
        <v>29</v>
      </c>
      <c r="G1164" s="4">
        <f>VLOOKUP(Googleadssales[[#This Row],[Ad_ID]],'[1]pre processed data'!A:K,11,0)</f>
        <v>5</v>
      </c>
      <c r="H1164" s="2">
        <f>Googleadssales[[#This Row],[Conversions]]/Googleadssales[[#This Row],[Clicks]]</f>
        <v>3.4482758620689655E-2</v>
      </c>
      <c r="I1164" t="str">
        <f>VLOOKUP(Googleadssales[[#This Row],[Ad_ID]],'[1]pre processed data'!A:O,15,0)</f>
        <v>$1555</v>
      </c>
      <c r="J1164" s="3">
        <f>VLOOKUP(Googleadssales[[#This Row],[Ad_ID]],'[1]pre processed data'!A:Q,17,0)</f>
        <v>45619</v>
      </c>
      <c r="K1164" t="str">
        <f>VLOOKUP(Googleadssales[[#This Row],[Ad_ID]],'[1]pre processed data'!A:R,18,0)</f>
        <v>Bangaluru</v>
      </c>
      <c r="L1164" t="str">
        <f>VLOOKUP(Googleadssales[[#This Row],[Ad_ID]],'[1]pre processed data'!A:S,19,0)</f>
        <v>Tablet</v>
      </c>
      <c r="M1164" t="str">
        <f>VLOOKUP(Googleadssales[[#This Row],[Ad_ID]],'[1]pre processed data'!A:T,20,0)</f>
        <v>data analytics training</v>
      </c>
    </row>
    <row r="1165" spans="1:13" x14ac:dyDescent="0.3">
      <c r="A1165" t="s">
        <v>1178</v>
      </c>
      <c r="B1165" t="s">
        <v>14</v>
      </c>
      <c r="C1165" s="4">
        <f>VLOOKUP(Googleadssales[[#This Row],[Ad_ID]],'[1]pre processed data'!A:C,3,0)</f>
        <v>156</v>
      </c>
      <c r="D1165" s="4">
        <f>VLOOKUP(Googleadssales[[#This Row],[Ad_ID]],'[1]pre processed data'!A:E,5,0)</f>
        <v>5509</v>
      </c>
      <c r="E1165" s="5" t="str">
        <f>VLOOKUP(Googleadssales[[#This Row],[Ad_ID]],[1]!Table3[[Ad_ID]:[Cost-imputed]],7,0)</f>
        <v>$185.39</v>
      </c>
      <c r="F1165" s="4">
        <f>VLOOKUP(Googleadssales[[#This Row],[Ad_ID]],'[1]pre processed data'!A:I,9,0)</f>
        <v>29</v>
      </c>
      <c r="G1165" s="4">
        <f>VLOOKUP(Googleadssales[[#This Row],[Ad_ID]],'[1]pre processed data'!A:K,11,0)</f>
        <v>4</v>
      </c>
      <c r="H1165" s="2">
        <f>Googleadssales[[#This Row],[Conversions]]/Googleadssales[[#This Row],[Clicks]]</f>
        <v>2.564102564102564E-2</v>
      </c>
      <c r="I1165" t="str">
        <f>VLOOKUP(Googleadssales[[#This Row],[Ad_ID]],'[1]pre processed data'!A:O,15,0)</f>
        <v>$1649</v>
      </c>
      <c r="J1165" s="3">
        <f>VLOOKUP(Googleadssales[[#This Row],[Ad_ID]],'[1]pre processed data'!A:Q,17,0)</f>
        <v>45614</v>
      </c>
      <c r="K1165" t="str">
        <f>VLOOKUP(Googleadssales[[#This Row],[Ad_ID]],'[1]pre processed data'!A:R,18,0)</f>
        <v>Chennai</v>
      </c>
      <c r="L1165" t="str">
        <f>VLOOKUP(Googleadssales[[#This Row],[Ad_ID]],'[1]pre processed data'!A:S,19,0)</f>
        <v>Mobile</v>
      </c>
      <c r="M1165" t="str">
        <f>VLOOKUP(Googleadssales[[#This Row],[Ad_ID]],'[1]pre processed data'!A:T,20,0)</f>
        <v>data analytics online</v>
      </c>
    </row>
    <row r="1166" spans="1:13" x14ac:dyDescent="0.3">
      <c r="A1166" t="s">
        <v>1179</v>
      </c>
      <c r="B1166" t="s">
        <v>18</v>
      </c>
      <c r="C1166" s="4">
        <f>VLOOKUP(Googleadssales[[#This Row],[Ad_ID]],'[1]pre processed data'!A:C,3,0)</f>
        <v>127</v>
      </c>
      <c r="D1166" s="4">
        <f>VLOOKUP(Googleadssales[[#This Row],[Ad_ID]],'[1]pre processed data'!A:E,5,0)</f>
        <v>3797</v>
      </c>
      <c r="E1166" s="5" t="str">
        <f>VLOOKUP(Googleadssales[[#This Row],[Ad_ID]],[1]!Table3[[Ad_ID]:[Cost-imputed]],7,0)</f>
        <v>$214.67</v>
      </c>
      <c r="F1166" s="4">
        <f>VLOOKUP(Googleadssales[[#This Row],[Ad_ID]],'[1]pre processed data'!A:I,9,0)</f>
        <v>20</v>
      </c>
      <c r="G1166" s="4">
        <f>VLOOKUP(Googleadssales[[#This Row],[Ad_ID]],'[1]pre processed data'!A:K,11,0)</f>
        <v>7</v>
      </c>
      <c r="H1166" s="2">
        <f>Googleadssales[[#This Row],[Conversions]]/Googleadssales[[#This Row],[Clicks]]</f>
        <v>5.5118110236220472E-2</v>
      </c>
      <c r="I1166" t="str">
        <f>VLOOKUP(Googleadssales[[#This Row],[Ad_ID]],'[1]pre processed data'!A:O,15,0)</f>
        <v>$1735</v>
      </c>
      <c r="J1166" s="3">
        <f>VLOOKUP(Googleadssales[[#This Row],[Ad_ID]],'[1]pre processed data'!A:Q,17,0)</f>
        <v>45609</v>
      </c>
      <c r="K1166" t="str">
        <f>VLOOKUP(Googleadssales[[#This Row],[Ad_ID]],'[1]pre processed data'!A:R,18,0)</f>
        <v>Hyderabad</v>
      </c>
      <c r="L1166" t="str">
        <f>VLOOKUP(Googleadssales[[#This Row],[Ad_ID]],'[1]pre processed data'!A:S,19,0)</f>
        <v>Desktop</v>
      </c>
      <c r="M1166" t="str">
        <f>VLOOKUP(Googleadssales[[#This Row],[Ad_ID]],'[1]pre processed data'!A:T,20,0)</f>
        <v>analytics for data</v>
      </c>
    </row>
    <row r="1167" spans="1:13" x14ac:dyDescent="0.3">
      <c r="A1167" t="s">
        <v>1180</v>
      </c>
      <c r="B1167" t="s">
        <v>14</v>
      </c>
      <c r="C1167" s="4">
        <f>VLOOKUP(Googleadssales[[#This Row],[Ad_ID]],'[1]pre processed data'!A:C,3,0)</f>
        <v>121</v>
      </c>
      <c r="D1167" s="4">
        <f>VLOOKUP(Googleadssales[[#This Row],[Ad_ID]],'[1]pre processed data'!A:E,5,0)</f>
        <v>5064</v>
      </c>
      <c r="E1167" s="5" t="str">
        <f>VLOOKUP(Googleadssales[[#This Row],[Ad_ID]],[1]!Table3[[Ad_ID]:[Cost-imputed]],7,0)</f>
        <v>$246.78</v>
      </c>
      <c r="F1167" s="4">
        <f>VLOOKUP(Googleadssales[[#This Row],[Ad_ID]],'[1]pre processed data'!A:I,9,0)</f>
        <v>13</v>
      </c>
      <c r="G1167" s="4">
        <f>VLOOKUP(Googleadssales[[#This Row],[Ad_ID]],'[1]pre processed data'!A:K,11,0)</f>
        <v>9</v>
      </c>
      <c r="H1167" s="2">
        <f>Googleadssales[[#This Row],[Conversions]]/Googleadssales[[#This Row],[Clicks]]</f>
        <v>7.43801652892562E-2</v>
      </c>
      <c r="I1167" t="str">
        <f>VLOOKUP(Googleadssales[[#This Row],[Ad_ID]],'[1]pre processed data'!A:O,15,0)</f>
        <v>$1268</v>
      </c>
      <c r="J1167" s="3">
        <f>VLOOKUP(Googleadssales[[#This Row],[Ad_ID]],'[1]pre processed data'!A:Q,17,0)</f>
        <v>45597</v>
      </c>
      <c r="K1167" t="str">
        <f>VLOOKUP(Googleadssales[[#This Row],[Ad_ID]],'[1]pre processed data'!A:R,18,0)</f>
        <v>Bangaluru</v>
      </c>
      <c r="L1167" t="str">
        <f>VLOOKUP(Googleadssales[[#This Row],[Ad_ID]],'[1]pre processed data'!A:S,19,0)</f>
        <v>Tablet</v>
      </c>
      <c r="M1167" t="str">
        <f>VLOOKUP(Googleadssales[[#This Row],[Ad_ID]],'[1]pre processed data'!A:T,20,0)</f>
        <v>online data analytic</v>
      </c>
    </row>
    <row r="1168" spans="1:13" x14ac:dyDescent="0.3">
      <c r="A1168" t="s">
        <v>1181</v>
      </c>
      <c r="B1168" t="s">
        <v>14</v>
      </c>
      <c r="C1168" s="4">
        <f>VLOOKUP(Googleadssales[[#This Row],[Ad_ID]],'[1]pre processed data'!A:C,3,0)</f>
        <v>98</v>
      </c>
      <c r="D1168" s="4">
        <f>VLOOKUP(Googleadssales[[#This Row],[Ad_ID]],'[1]pre processed data'!A:E,5,0)</f>
        <v>4217</v>
      </c>
      <c r="E1168" s="5" t="str">
        <f>VLOOKUP(Googleadssales[[#This Row],[Ad_ID]],[1]!Table3[[Ad_ID]:[Cost-imputed]],7,0)</f>
        <v>$234.16</v>
      </c>
      <c r="F1168" s="4">
        <f>VLOOKUP(Googleadssales[[#This Row],[Ad_ID]],'[1]pre processed data'!A:I,9,0)</f>
        <v>17</v>
      </c>
      <c r="G1168" s="4">
        <f>VLOOKUP(Googleadssales[[#This Row],[Ad_ID]],'[1]pre processed data'!A:K,11,0)</f>
        <v>4</v>
      </c>
      <c r="H1168" s="2">
        <f>Googleadssales[[#This Row],[Conversions]]/Googleadssales[[#This Row],[Clicks]]</f>
        <v>4.0816326530612242E-2</v>
      </c>
      <c r="I1168" t="str">
        <f>VLOOKUP(Googleadssales[[#This Row],[Ad_ID]],'[1]pre processed data'!A:O,15,0)</f>
        <v>$1556</v>
      </c>
      <c r="J1168" s="3">
        <f>VLOOKUP(Googleadssales[[#This Row],[Ad_ID]],'[1]pre processed data'!A:Q,17,0)</f>
        <v>45607</v>
      </c>
      <c r="K1168" t="str">
        <f>VLOOKUP(Googleadssales[[#This Row],[Ad_ID]],'[1]pre processed data'!A:R,18,0)</f>
        <v>Chennai</v>
      </c>
      <c r="L1168" t="str">
        <f>VLOOKUP(Googleadssales[[#This Row],[Ad_ID]],'[1]pre processed data'!A:S,19,0)</f>
        <v>Tablet</v>
      </c>
      <c r="M1168" t="str">
        <f>VLOOKUP(Googleadssales[[#This Row],[Ad_ID]],'[1]pre processed data'!A:T,20,0)</f>
        <v>learn data analytics</v>
      </c>
    </row>
    <row r="1169" spans="1:13" x14ac:dyDescent="0.3">
      <c r="A1169" t="s">
        <v>1182</v>
      </c>
      <c r="B1169" t="s">
        <v>14</v>
      </c>
      <c r="C1169" s="4">
        <f>VLOOKUP(Googleadssales[[#This Row],[Ad_ID]],'[1]pre processed data'!A:C,3,0)</f>
        <v>156</v>
      </c>
      <c r="D1169" s="4">
        <f>VLOOKUP(Googleadssales[[#This Row],[Ad_ID]],'[1]pre processed data'!A:E,5,0)</f>
        <v>3315</v>
      </c>
      <c r="E1169" s="5" t="str">
        <f>VLOOKUP(Googleadssales[[#This Row],[Ad_ID]],[1]!Table3[[Ad_ID]:[Cost-imputed]],7,0)</f>
        <v>$223.22</v>
      </c>
      <c r="F1169" s="4">
        <f>VLOOKUP(Googleadssales[[#This Row],[Ad_ID]],'[1]pre processed data'!A:I,9,0)</f>
        <v>14</v>
      </c>
      <c r="G1169" s="4">
        <f>VLOOKUP(Googleadssales[[#This Row],[Ad_ID]],'[1]pre processed data'!A:K,11,0)</f>
        <v>10</v>
      </c>
      <c r="H1169" s="2">
        <f>Googleadssales[[#This Row],[Conversions]]/Googleadssales[[#This Row],[Clicks]]</f>
        <v>6.4102564102564097E-2</v>
      </c>
      <c r="I1169" t="str">
        <f>VLOOKUP(Googleadssales[[#This Row],[Ad_ID]],'[1]pre processed data'!A:O,15,0)</f>
        <v>$1581</v>
      </c>
      <c r="J1169" s="3">
        <f>VLOOKUP(Googleadssales[[#This Row],[Ad_ID]],'[1]pre processed data'!A:Q,17,0)</f>
        <v>45616</v>
      </c>
      <c r="K1169" t="str">
        <f>VLOOKUP(Googleadssales[[#This Row],[Ad_ID]],'[1]pre processed data'!A:R,18,0)</f>
        <v>Chennai</v>
      </c>
      <c r="L1169" t="str">
        <f>VLOOKUP(Googleadssales[[#This Row],[Ad_ID]],'[1]pre processed data'!A:S,19,0)</f>
        <v>Mobile</v>
      </c>
      <c r="M1169" t="str">
        <f>VLOOKUP(Googleadssales[[#This Row],[Ad_ID]],'[1]pre processed data'!A:T,20,0)</f>
        <v>online data analytic</v>
      </c>
    </row>
    <row r="1170" spans="1:13" x14ac:dyDescent="0.3">
      <c r="A1170" t="s">
        <v>1183</v>
      </c>
      <c r="B1170" t="s">
        <v>14</v>
      </c>
      <c r="C1170" s="4">
        <f>VLOOKUP(Googleadssales[[#This Row],[Ad_ID]],'[1]pre processed data'!A:C,3,0)</f>
        <v>191</v>
      </c>
      <c r="D1170" s="4">
        <f>VLOOKUP(Googleadssales[[#This Row],[Ad_ID]],'[1]pre processed data'!A:E,5,0)</f>
        <v>4017</v>
      </c>
      <c r="E1170" s="5" t="str">
        <f>VLOOKUP(Googleadssales[[#This Row],[Ad_ID]],[1]!Table3[[Ad_ID]:[Cost-imputed]],7,0)</f>
        <v>$203.52</v>
      </c>
      <c r="F1170" s="4">
        <f>VLOOKUP(Googleadssales[[#This Row],[Ad_ID]],'[1]pre processed data'!A:I,9,0)</f>
        <v>20.032188841201716</v>
      </c>
      <c r="G1170" s="4">
        <f>VLOOKUP(Googleadssales[[#This Row],[Ad_ID]],'[1]pre processed data'!A:K,11,0)</f>
        <v>4</v>
      </c>
      <c r="H1170" s="2">
        <f>Googleadssales[[#This Row],[Conversions]]/Googleadssales[[#This Row],[Clicks]]</f>
        <v>2.0942408376963352E-2</v>
      </c>
      <c r="I1170" t="str">
        <f>VLOOKUP(Googleadssales[[#This Row],[Ad_ID]],'[1]pre processed data'!A:O,15,0)</f>
        <v>$1500</v>
      </c>
      <c r="J1170" s="3">
        <f>VLOOKUP(Googleadssales[[#This Row],[Ad_ID]],'[1]pre processed data'!A:Q,17,0)</f>
        <v>45626</v>
      </c>
      <c r="K1170" t="str">
        <f>VLOOKUP(Googleadssales[[#This Row],[Ad_ID]],'[1]pre processed data'!A:R,18,0)</f>
        <v>Chennai</v>
      </c>
      <c r="L1170" t="str">
        <f>VLOOKUP(Googleadssales[[#This Row],[Ad_ID]],'[1]pre processed data'!A:S,19,0)</f>
        <v>Mobile</v>
      </c>
      <c r="M1170" t="str">
        <f>VLOOKUP(Googleadssales[[#This Row],[Ad_ID]],'[1]pre processed data'!A:T,20,0)</f>
        <v>online data analytic</v>
      </c>
    </row>
    <row r="1171" spans="1:13" x14ac:dyDescent="0.3">
      <c r="A1171" t="s">
        <v>1184</v>
      </c>
      <c r="B1171" t="s">
        <v>14</v>
      </c>
      <c r="C1171" s="4">
        <f>VLOOKUP(Googleadssales[[#This Row],[Ad_ID]],'[1]pre processed data'!A:C,3,0)</f>
        <v>193</v>
      </c>
      <c r="D1171" s="4">
        <f>VLOOKUP(Googleadssales[[#This Row],[Ad_ID]],'[1]pre processed data'!A:E,5,0)</f>
        <v>5094</v>
      </c>
      <c r="E1171" s="5" t="str">
        <f>VLOOKUP(Googleadssales[[#This Row],[Ad_ID]],[1]!Table3[[Ad_ID]:[Cost-imputed]],7,0)</f>
        <v>$205.53</v>
      </c>
      <c r="F1171" s="4">
        <f>VLOOKUP(Googleadssales[[#This Row],[Ad_ID]],'[1]pre processed data'!A:I,9,0)</f>
        <v>18</v>
      </c>
      <c r="G1171" s="4">
        <f>VLOOKUP(Googleadssales[[#This Row],[Ad_ID]],'[1]pre processed data'!A:K,11,0)</f>
        <v>3</v>
      </c>
      <c r="H1171" s="2">
        <f>Googleadssales[[#This Row],[Conversions]]/Googleadssales[[#This Row],[Clicks]]</f>
        <v>1.5544041450777202E-2</v>
      </c>
      <c r="I1171" t="str">
        <f>VLOOKUP(Googleadssales[[#This Row],[Ad_ID]],'[1]pre processed data'!A:O,15,0)</f>
        <v>$1451</v>
      </c>
      <c r="J1171" s="3">
        <f>VLOOKUP(Googleadssales[[#This Row],[Ad_ID]],'[1]pre processed data'!A:Q,17,0)</f>
        <v>45603</v>
      </c>
      <c r="K1171" t="str">
        <f>VLOOKUP(Googleadssales[[#This Row],[Ad_ID]],'[1]pre processed data'!A:R,18,0)</f>
        <v>Hyderabad</v>
      </c>
      <c r="L1171" t="str">
        <f>VLOOKUP(Googleadssales[[#This Row],[Ad_ID]],'[1]pre processed data'!A:S,19,0)</f>
        <v>Mobile</v>
      </c>
      <c r="M1171" t="str">
        <f>VLOOKUP(Googleadssales[[#This Row],[Ad_ID]],'[1]pre processed data'!A:T,20,0)</f>
        <v>data analytics online</v>
      </c>
    </row>
    <row r="1172" spans="1:13" x14ac:dyDescent="0.3">
      <c r="A1172" t="s">
        <v>1185</v>
      </c>
      <c r="B1172" t="s">
        <v>14</v>
      </c>
      <c r="C1172" s="4">
        <f>VLOOKUP(Googleadssales[[#This Row],[Ad_ID]],'[1]pre processed data'!A:C,3,0)</f>
        <v>167</v>
      </c>
      <c r="D1172" s="4">
        <f>VLOOKUP(Googleadssales[[#This Row],[Ad_ID]],'[1]pre processed data'!A:E,5,0)</f>
        <v>4523.2808326787117</v>
      </c>
      <c r="E1172" s="5" t="str">
        <f>VLOOKUP(Googleadssales[[#This Row],[Ad_ID]],[1]!Table3[[Ad_ID]:[Cost-imputed]],7,0)</f>
        <v>$244.62</v>
      </c>
      <c r="F1172" s="4">
        <f>VLOOKUP(Googleadssales[[#This Row],[Ad_ID]],'[1]pre processed data'!A:I,9,0)</f>
        <v>11</v>
      </c>
      <c r="G1172" s="4">
        <f>VLOOKUP(Googleadssales[[#This Row],[Ad_ID]],'[1]pre processed data'!A:K,11,0)</f>
        <v>9</v>
      </c>
      <c r="H1172" s="2">
        <f>Googleadssales[[#This Row],[Conversions]]/Googleadssales[[#This Row],[Clicks]]</f>
        <v>5.3892215568862277E-2</v>
      </c>
      <c r="I1172" t="str">
        <f>VLOOKUP(Googleadssales[[#This Row],[Ad_ID]],'[1]pre processed data'!A:O,15,0)</f>
        <v>$1465</v>
      </c>
      <c r="J1172" s="3">
        <f>VLOOKUP(Googleadssales[[#This Row],[Ad_ID]],'[1]pre processed data'!A:Q,17,0)</f>
        <v>45606</v>
      </c>
      <c r="K1172" t="str">
        <f>VLOOKUP(Googleadssales[[#This Row],[Ad_ID]],'[1]pre processed data'!A:R,18,0)</f>
        <v>Chennai</v>
      </c>
      <c r="L1172" t="str">
        <f>VLOOKUP(Googleadssales[[#This Row],[Ad_ID]],'[1]pre processed data'!A:S,19,0)</f>
        <v>Tablet</v>
      </c>
      <c r="M1172" t="str">
        <f>VLOOKUP(Googleadssales[[#This Row],[Ad_ID]],'[1]pre processed data'!A:T,20,0)</f>
        <v>data analytics online</v>
      </c>
    </row>
    <row r="1173" spans="1:13" x14ac:dyDescent="0.3">
      <c r="A1173" t="s">
        <v>1186</v>
      </c>
      <c r="B1173" t="s">
        <v>14</v>
      </c>
      <c r="C1173" s="4">
        <f>VLOOKUP(Googleadssales[[#This Row],[Ad_ID]],'[1]pre processed data'!A:C,3,0)</f>
        <v>177</v>
      </c>
      <c r="D1173" s="4">
        <f>VLOOKUP(Googleadssales[[#This Row],[Ad_ID]],'[1]pre processed data'!A:E,5,0)</f>
        <v>5449</v>
      </c>
      <c r="E1173" s="5" t="str">
        <f>VLOOKUP(Googleadssales[[#This Row],[Ad_ID]],[1]!Table3[[Ad_ID]:[Cost-imputed]],7,0)</f>
        <v>$190.53</v>
      </c>
      <c r="F1173" s="4">
        <f>VLOOKUP(Googleadssales[[#This Row],[Ad_ID]],'[1]pre processed data'!A:I,9,0)</f>
        <v>10</v>
      </c>
      <c r="G1173" s="4">
        <f>VLOOKUP(Googleadssales[[#This Row],[Ad_ID]],'[1]pre processed data'!A:K,11,0)</f>
        <v>5</v>
      </c>
      <c r="H1173" s="2">
        <f>Googleadssales[[#This Row],[Conversions]]/Googleadssales[[#This Row],[Clicks]]</f>
        <v>2.8248587570621469E-2</v>
      </c>
      <c r="I1173" t="str">
        <f>VLOOKUP(Googleadssales[[#This Row],[Ad_ID]],'[1]pre processed data'!A:O,15,0)</f>
        <v>$1257</v>
      </c>
      <c r="J1173" s="3">
        <f>VLOOKUP(Googleadssales[[#This Row],[Ad_ID]],'[1]pre processed data'!A:Q,17,0)</f>
        <v>45615</v>
      </c>
      <c r="K1173" t="str">
        <f>VLOOKUP(Googleadssales[[#This Row],[Ad_ID]],'[1]pre processed data'!A:R,18,0)</f>
        <v>Bangaluru</v>
      </c>
      <c r="L1173" t="str">
        <f>VLOOKUP(Googleadssales[[#This Row],[Ad_ID]],'[1]pre processed data'!A:S,19,0)</f>
        <v>Mobile</v>
      </c>
      <c r="M1173" t="str">
        <f>VLOOKUP(Googleadssales[[#This Row],[Ad_ID]],'[1]pre processed data'!A:T,20,0)</f>
        <v>data analytics course</v>
      </c>
    </row>
    <row r="1174" spans="1:13" x14ac:dyDescent="0.3">
      <c r="A1174" t="s">
        <v>1187</v>
      </c>
      <c r="B1174" t="s">
        <v>14</v>
      </c>
      <c r="C1174" s="4">
        <f>VLOOKUP(Googleadssales[[#This Row],[Ad_ID]],'[1]pre processed data'!A:C,3,0)</f>
        <v>175</v>
      </c>
      <c r="D1174" s="4">
        <f>VLOOKUP(Googleadssales[[#This Row],[Ad_ID]],'[1]pre processed data'!A:E,5,0)</f>
        <v>5732</v>
      </c>
      <c r="E1174" s="5" t="str">
        <f>VLOOKUP(Googleadssales[[#This Row],[Ad_ID]],[1]!Table3[[Ad_ID]:[Cost-imputed]],7,0)</f>
        <v>$208.46</v>
      </c>
      <c r="F1174" s="4">
        <f>VLOOKUP(Googleadssales[[#This Row],[Ad_ID]],'[1]pre processed data'!A:I,9,0)</f>
        <v>25</v>
      </c>
      <c r="G1174" s="4">
        <f>VLOOKUP(Googleadssales[[#This Row],[Ad_ID]],'[1]pre processed data'!A:K,11,0)</f>
        <v>3</v>
      </c>
      <c r="H1174" s="2">
        <f>Googleadssales[[#This Row],[Conversions]]/Googleadssales[[#This Row],[Clicks]]</f>
        <v>1.7142857142857144E-2</v>
      </c>
      <c r="I1174" t="str">
        <f>VLOOKUP(Googleadssales[[#This Row],[Ad_ID]],'[1]pre processed data'!A:O,15,0)</f>
        <v>$1579</v>
      </c>
      <c r="J1174" s="3">
        <f>VLOOKUP(Googleadssales[[#This Row],[Ad_ID]],'[1]pre processed data'!A:Q,17,0)</f>
        <v>45607</v>
      </c>
      <c r="K1174" t="str">
        <f>VLOOKUP(Googleadssales[[#This Row],[Ad_ID]],'[1]pre processed data'!A:R,18,0)</f>
        <v>Chennai</v>
      </c>
      <c r="L1174" t="str">
        <f>VLOOKUP(Googleadssales[[#This Row],[Ad_ID]],'[1]pre processed data'!A:S,19,0)</f>
        <v>Tablet</v>
      </c>
      <c r="M1174" t="str">
        <f>VLOOKUP(Googleadssales[[#This Row],[Ad_ID]],'[1]pre processed data'!A:T,20,0)</f>
        <v>data analytics online</v>
      </c>
    </row>
    <row r="1175" spans="1:13" x14ac:dyDescent="0.3">
      <c r="A1175" t="s">
        <v>1188</v>
      </c>
      <c r="B1175" t="s">
        <v>14</v>
      </c>
      <c r="C1175" s="4">
        <f>VLOOKUP(Googleadssales[[#This Row],[Ad_ID]],'[1]pre processed data'!A:C,3,0)</f>
        <v>122</v>
      </c>
      <c r="D1175" s="4">
        <f>VLOOKUP(Googleadssales[[#This Row],[Ad_ID]],'[1]pre processed data'!A:E,5,0)</f>
        <v>4678</v>
      </c>
      <c r="E1175" s="5" t="str">
        <f>VLOOKUP(Googleadssales[[#This Row],[Ad_ID]],[1]!Table3[[Ad_ID]:[Cost-imputed]],7,0)</f>
        <v>$248.7</v>
      </c>
      <c r="F1175" s="4">
        <f>VLOOKUP(Googleadssales[[#This Row],[Ad_ID]],'[1]pre processed data'!A:I,9,0)</f>
        <v>25</v>
      </c>
      <c r="G1175" s="4">
        <f>VLOOKUP(Googleadssales[[#This Row],[Ad_ID]],'[1]pre processed data'!A:K,11,0)</f>
        <v>4</v>
      </c>
      <c r="H1175" s="2">
        <f>Googleadssales[[#This Row],[Conversions]]/Googleadssales[[#This Row],[Clicks]]</f>
        <v>3.2786885245901641E-2</v>
      </c>
      <c r="I1175" t="str">
        <f>VLOOKUP(Googleadssales[[#This Row],[Ad_ID]],'[1]pre processed data'!A:O,15,0)</f>
        <v>$1744</v>
      </c>
      <c r="J1175" s="3">
        <f>VLOOKUP(Googleadssales[[#This Row],[Ad_ID]],'[1]pre processed data'!A:Q,17,0)</f>
        <v>45607</v>
      </c>
      <c r="K1175" t="str">
        <f>VLOOKUP(Googleadssales[[#This Row],[Ad_ID]],'[1]pre processed data'!A:R,18,0)</f>
        <v>Hyderabad</v>
      </c>
      <c r="L1175" t="str">
        <f>VLOOKUP(Googleadssales[[#This Row],[Ad_ID]],'[1]pre processed data'!A:S,19,0)</f>
        <v>Desktop</v>
      </c>
      <c r="M1175" t="str">
        <f>VLOOKUP(Googleadssales[[#This Row],[Ad_ID]],'[1]pre processed data'!A:T,20,0)</f>
        <v>data analytics course</v>
      </c>
    </row>
    <row r="1176" spans="1:13" x14ac:dyDescent="0.3">
      <c r="A1176" t="s">
        <v>1189</v>
      </c>
      <c r="B1176" t="s">
        <v>14</v>
      </c>
      <c r="C1176" s="4">
        <f>VLOOKUP(Googleadssales[[#This Row],[Ad_ID]],'[1]pre processed data'!A:C,3,0)</f>
        <v>121</v>
      </c>
      <c r="D1176" s="4">
        <f>VLOOKUP(Googleadssales[[#This Row],[Ad_ID]],'[1]pre processed data'!A:E,5,0)</f>
        <v>4088</v>
      </c>
      <c r="E1176" s="5" t="str">
        <f>VLOOKUP(Googleadssales[[#This Row],[Ad_ID]],[1]!Table3[[Ad_ID]:[Cost-imputed]],7,0)</f>
        <v>$223.85</v>
      </c>
      <c r="F1176" s="4">
        <f>VLOOKUP(Googleadssales[[#This Row],[Ad_ID]],'[1]pre processed data'!A:I,9,0)</f>
        <v>19</v>
      </c>
      <c r="G1176" s="4">
        <f>VLOOKUP(Googleadssales[[#This Row],[Ad_ID]],'[1]pre processed data'!A:K,11,0)</f>
        <v>3</v>
      </c>
      <c r="H1176" s="2">
        <f>Googleadssales[[#This Row],[Conversions]]/Googleadssales[[#This Row],[Clicks]]</f>
        <v>2.4793388429752067E-2</v>
      </c>
      <c r="I1176" t="str">
        <f>VLOOKUP(Googleadssales[[#This Row],[Ad_ID]],'[1]pre processed data'!A:O,15,0)</f>
        <v>$1248</v>
      </c>
      <c r="J1176" s="3">
        <f>VLOOKUP(Googleadssales[[#This Row],[Ad_ID]],'[1]pre processed data'!A:Q,17,0)</f>
        <v>45622</v>
      </c>
      <c r="K1176" t="str">
        <f>VLOOKUP(Googleadssales[[#This Row],[Ad_ID]],'[1]pre processed data'!A:R,18,0)</f>
        <v>Hyderabad</v>
      </c>
      <c r="L1176" t="str">
        <f>VLOOKUP(Googleadssales[[#This Row],[Ad_ID]],'[1]pre processed data'!A:S,19,0)</f>
        <v>Mobile</v>
      </c>
      <c r="M1176" t="str">
        <f>VLOOKUP(Googleadssales[[#This Row],[Ad_ID]],'[1]pre processed data'!A:T,20,0)</f>
        <v>online data analytic</v>
      </c>
    </row>
    <row r="1177" spans="1:13" x14ac:dyDescent="0.3">
      <c r="A1177" t="s">
        <v>1190</v>
      </c>
      <c r="B1177" t="s">
        <v>14</v>
      </c>
      <c r="C1177" s="4">
        <f>VLOOKUP(Googleadssales[[#This Row],[Ad_ID]],'[1]pre processed data'!A:C,3,0)</f>
        <v>125</v>
      </c>
      <c r="D1177" s="4">
        <f>VLOOKUP(Googleadssales[[#This Row],[Ad_ID]],'[1]pre processed data'!A:E,5,0)</f>
        <v>4528</v>
      </c>
      <c r="E1177" s="5" t="str">
        <f>VLOOKUP(Googleadssales[[#This Row],[Ad_ID]],[1]!Table3[[Ad_ID]:[Cost-imputed]],7,0)</f>
        <v>$186.6</v>
      </c>
      <c r="F1177" s="4">
        <f>VLOOKUP(Googleadssales[[#This Row],[Ad_ID]],'[1]pre processed data'!A:I,9,0)</f>
        <v>10</v>
      </c>
      <c r="G1177" s="4">
        <f>VLOOKUP(Googleadssales[[#This Row],[Ad_ID]],'[1]pre processed data'!A:K,11,0)</f>
        <v>9</v>
      </c>
      <c r="H1177" s="2">
        <f>Googleadssales[[#This Row],[Conversions]]/Googleadssales[[#This Row],[Clicks]]</f>
        <v>7.1999999999999995E-2</v>
      </c>
      <c r="I1177" t="str">
        <f>VLOOKUP(Googleadssales[[#This Row],[Ad_ID]],'[1]pre processed data'!A:O,15,0)</f>
        <v>$1167</v>
      </c>
      <c r="J1177" s="3">
        <f>VLOOKUP(Googleadssales[[#This Row],[Ad_ID]],'[1]pre processed data'!A:Q,17,0)</f>
        <v>45602</v>
      </c>
      <c r="K1177" t="str">
        <f>VLOOKUP(Googleadssales[[#This Row],[Ad_ID]],'[1]pre processed data'!A:R,18,0)</f>
        <v>Chennai</v>
      </c>
      <c r="L1177" t="str">
        <f>VLOOKUP(Googleadssales[[#This Row],[Ad_ID]],'[1]pre processed data'!A:S,19,0)</f>
        <v>Desktop</v>
      </c>
      <c r="M1177" t="str">
        <f>VLOOKUP(Googleadssales[[#This Row],[Ad_ID]],'[1]pre processed data'!A:T,20,0)</f>
        <v>data analytics training</v>
      </c>
    </row>
    <row r="1178" spans="1:13" x14ac:dyDescent="0.3">
      <c r="A1178" t="s">
        <v>1191</v>
      </c>
      <c r="B1178" t="s">
        <v>18</v>
      </c>
      <c r="C1178" s="4">
        <f>VLOOKUP(Googleadssales[[#This Row],[Ad_ID]],'[1]pre processed data'!A:C,3,0)</f>
        <v>81</v>
      </c>
      <c r="D1178" s="4">
        <f>VLOOKUP(Googleadssales[[#This Row],[Ad_ID]],'[1]pre processed data'!A:E,5,0)</f>
        <v>3946</v>
      </c>
      <c r="E1178" s="5" t="str">
        <f>VLOOKUP(Googleadssales[[#This Row],[Ad_ID]],[1]!Table3[[Ad_ID]:[Cost-imputed]],7,0)</f>
        <v>$202.95</v>
      </c>
      <c r="F1178" s="4">
        <f>VLOOKUP(Googleadssales[[#This Row],[Ad_ID]],'[1]pre processed data'!A:I,9,0)</f>
        <v>10</v>
      </c>
      <c r="G1178" s="4">
        <f>VLOOKUP(Googleadssales[[#This Row],[Ad_ID]],'[1]pre processed data'!A:K,11,0)</f>
        <v>7</v>
      </c>
      <c r="H1178" s="2">
        <f>Googleadssales[[#This Row],[Conversions]]/Googleadssales[[#This Row],[Clicks]]</f>
        <v>8.6419753086419748E-2</v>
      </c>
      <c r="I1178" t="str">
        <f>VLOOKUP(Googleadssales[[#This Row],[Ad_ID]],'[1]pre processed data'!A:O,15,0)</f>
        <v>$1970</v>
      </c>
      <c r="J1178" s="3">
        <f>VLOOKUP(Googleadssales[[#This Row],[Ad_ID]],'[1]pre processed data'!A:Q,17,0)</f>
        <v>45623</v>
      </c>
      <c r="K1178" t="str">
        <f>VLOOKUP(Googleadssales[[#This Row],[Ad_ID]],'[1]pre processed data'!A:R,18,0)</f>
        <v>Hyderabad</v>
      </c>
      <c r="L1178" t="str">
        <f>VLOOKUP(Googleadssales[[#This Row],[Ad_ID]],'[1]pre processed data'!A:S,19,0)</f>
        <v>Mobile</v>
      </c>
      <c r="M1178" t="str">
        <f>VLOOKUP(Googleadssales[[#This Row],[Ad_ID]],'[1]pre processed data'!A:T,20,0)</f>
        <v>data analytics training</v>
      </c>
    </row>
    <row r="1179" spans="1:13" x14ac:dyDescent="0.3">
      <c r="A1179" t="s">
        <v>1192</v>
      </c>
      <c r="B1179" t="s">
        <v>14</v>
      </c>
      <c r="C1179" s="4">
        <f>VLOOKUP(Googleadssales[[#This Row],[Ad_ID]],'[1]pre processed data'!A:C,3,0)</f>
        <v>112</v>
      </c>
      <c r="D1179" s="4">
        <f>VLOOKUP(Googleadssales[[#This Row],[Ad_ID]],'[1]pre processed data'!A:E,5,0)</f>
        <v>4486</v>
      </c>
      <c r="E1179" s="5" t="str">
        <f>VLOOKUP(Googleadssales[[#This Row],[Ad_ID]],[1]!Table3[[Ad_ID]:[Cost-imputed]],7,0)</f>
        <v>$249.23</v>
      </c>
      <c r="F1179" s="4">
        <f>VLOOKUP(Googleadssales[[#This Row],[Ad_ID]],'[1]pre processed data'!A:I,9,0)</f>
        <v>28</v>
      </c>
      <c r="G1179" s="4">
        <f>VLOOKUP(Googleadssales[[#This Row],[Ad_ID]],'[1]pre processed data'!A:K,11,0)</f>
        <v>3</v>
      </c>
      <c r="H1179" s="2">
        <f>Googleadssales[[#This Row],[Conversions]]/Googleadssales[[#This Row],[Clicks]]</f>
        <v>2.6785714285714284E-2</v>
      </c>
      <c r="I1179" t="str">
        <f>VLOOKUP(Googleadssales[[#This Row],[Ad_ID]],'[1]pre processed data'!A:O,15,0)</f>
        <v>$1572</v>
      </c>
      <c r="J1179" s="3">
        <f>VLOOKUP(Googleadssales[[#This Row],[Ad_ID]],'[1]pre processed data'!A:Q,17,0)</f>
        <v>45622</v>
      </c>
      <c r="K1179" t="str">
        <f>VLOOKUP(Googleadssales[[#This Row],[Ad_ID]],'[1]pre processed data'!A:R,18,0)</f>
        <v>Bangaluru</v>
      </c>
      <c r="L1179" t="str">
        <f>VLOOKUP(Googleadssales[[#This Row],[Ad_ID]],'[1]pre processed data'!A:S,19,0)</f>
        <v>Desktop</v>
      </c>
      <c r="M1179" t="str">
        <f>VLOOKUP(Googleadssales[[#This Row],[Ad_ID]],'[1]pre processed data'!A:T,20,0)</f>
        <v>analytics for data</v>
      </c>
    </row>
    <row r="1180" spans="1:13" x14ac:dyDescent="0.3">
      <c r="A1180" t="s">
        <v>1193</v>
      </c>
      <c r="B1180" t="s">
        <v>18</v>
      </c>
      <c r="C1180" s="4">
        <f>VLOOKUP(Googleadssales[[#This Row],[Ad_ID]],'[1]pre processed data'!A:C,3,0)</f>
        <v>152</v>
      </c>
      <c r="D1180" s="4">
        <f>VLOOKUP(Googleadssales[[#This Row],[Ad_ID]],'[1]pre processed data'!A:E,5,0)</f>
        <v>5290</v>
      </c>
      <c r="E1180" s="5" t="str">
        <f>VLOOKUP(Googleadssales[[#This Row],[Ad_ID]],[1]!Table3[[Ad_ID]:[Cost-imputed]],7,0)</f>
        <v>$182.01</v>
      </c>
      <c r="F1180" s="4">
        <f>VLOOKUP(Googleadssales[[#This Row],[Ad_ID]],'[1]pre processed data'!A:I,9,0)</f>
        <v>24</v>
      </c>
      <c r="G1180" s="4">
        <f>VLOOKUP(Googleadssales[[#This Row],[Ad_ID]],'[1]pre processed data'!A:K,11,0)</f>
        <v>4</v>
      </c>
      <c r="H1180" s="2">
        <f>Googleadssales[[#This Row],[Conversions]]/Googleadssales[[#This Row],[Clicks]]</f>
        <v>2.6315789473684209E-2</v>
      </c>
      <c r="I1180" t="str">
        <f>VLOOKUP(Googleadssales[[#This Row],[Ad_ID]],'[1]pre processed data'!A:O,15,0)</f>
        <v>$1673</v>
      </c>
      <c r="J1180" s="3">
        <f>VLOOKUP(Googleadssales[[#This Row],[Ad_ID]],'[1]pre processed data'!A:Q,17,0)</f>
        <v>45601</v>
      </c>
      <c r="K1180" t="str">
        <f>VLOOKUP(Googleadssales[[#This Row],[Ad_ID]],'[1]pre processed data'!A:R,18,0)</f>
        <v>Hyderabad</v>
      </c>
      <c r="L1180" t="str">
        <f>VLOOKUP(Googleadssales[[#This Row],[Ad_ID]],'[1]pre processed data'!A:S,19,0)</f>
        <v>Mobile</v>
      </c>
      <c r="M1180" t="str">
        <f>VLOOKUP(Googleadssales[[#This Row],[Ad_ID]],'[1]pre processed data'!A:T,20,0)</f>
        <v>analytics for data</v>
      </c>
    </row>
    <row r="1181" spans="1:13" x14ac:dyDescent="0.3">
      <c r="A1181" t="s">
        <v>1194</v>
      </c>
      <c r="B1181" t="s">
        <v>18</v>
      </c>
      <c r="C1181" s="4">
        <f>VLOOKUP(Googleadssales[[#This Row],[Ad_ID]],'[1]pre processed data'!A:C,3,0)</f>
        <v>134</v>
      </c>
      <c r="D1181" s="4">
        <f>VLOOKUP(Googleadssales[[#This Row],[Ad_ID]],'[1]pre processed data'!A:E,5,0)</f>
        <v>5163</v>
      </c>
      <c r="E1181" s="5" t="str">
        <f>VLOOKUP(Googleadssales[[#This Row],[Ad_ID]],[1]!Table3[[Ad_ID]:[Cost-imputed]],7,0)</f>
        <v>$245.4</v>
      </c>
      <c r="F1181" s="4">
        <f>VLOOKUP(Googleadssales[[#This Row],[Ad_ID]],'[1]pre processed data'!A:I,9,0)</f>
        <v>26</v>
      </c>
      <c r="G1181" s="4">
        <f>VLOOKUP(Googleadssales[[#This Row],[Ad_ID]],'[1]pre processed data'!A:K,11,0)</f>
        <v>5</v>
      </c>
      <c r="H1181" s="2">
        <f>Googleadssales[[#This Row],[Conversions]]/Googleadssales[[#This Row],[Clicks]]</f>
        <v>3.7313432835820892E-2</v>
      </c>
      <c r="I1181" t="str">
        <f>VLOOKUP(Googleadssales[[#This Row],[Ad_ID]],'[1]pre processed data'!A:O,15,0)</f>
        <v>$1500</v>
      </c>
      <c r="J1181" s="3">
        <f>VLOOKUP(Googleadssales[[#This Row],[Ad_ID]],'[1]pre processed data'!A:Q,17,0)</f>
        <v>45610</v>
      </c>
      <c r="K1181" t="str">
        <f>VLOOKUP(Googleadssales[[#This Row],[Ad_ID]],'[1]pre processed data'!A:R,18,0)</f>
        <v>Hyderabad</v>
      </c>
      <c r="L1181" t="str">
        <f>VLOOKUP(Googleadssales[[#This Row],[Ad_ID]],'[1]pre processed data'!A:S,19,0)</f>
        <v>Tablet</v>
      </c>
      <c r="M1181" t="str">
        <f>VLOOKUP(Googleadssales[[#This Row],[Ad_ID]],'[1]pre processed data'!A:T,20,0)</f>
        <v>analytics for data</v>
      </c>
    </row>
    <row r="1182" spans="1:13" x14ac:dyDescent="0.3">
      <c r="A1182" t="s">
        <v>1195</v>
      </c>
      <c r="B1182" t="s">
        <v>18</v>
      </c>
      <c r="C1182" s="4">
        <f>VLOOKUP(Googleadssales[[#This Row],[Ad_ID]],'[1]pre processed data'!A:C,3,0)</f>
        <v>111</v>
      </c>
      <c r="D1182" s="4">
        <f>VLOOKUP(Googleadssales[[#This Row],[Ad_ID]],'[1]pre processed data'!A:E,5,0)</f>
        <v>3978</v>
      </c>
      <c r="E1182" s="5" t="str">
        <f>VLOOKUP(Googleadssales[[#This Row],[Ad_ID]],[1]!Table3[[Ad_ID]:[Cost-imputed]],7,0)</f>
        <v>$192.14</v>
      </c>
      <c r="F1182" s="4">
        <f>VLOOKUP(Googleadssales[[#This Row],[Ad_ID]],'[1]pre processed data'!A:I,9,0)</f>
        <v>19</v>
      </c>
      <c r="G1182" s="4">
        <f>VLOOKUP(Googleadssales[[#This Row],[Ad_ID]],'[1]pre processed data'!A:K,11,0)</f>
        <v>5</v>
      </c>
      <c r="H1182" s="2">
        <f>Googleadssales[[#This Row],[Conversions]]/Googleadssales[[#This Row],[Clicks]]</f>
        <v>4.5045045045045043E-2</v>
      </c>
      <c r="I1182" t="str">
        <f>VLOOKUP(Googleadssales[[#This Row],[Ad_ID]],'[1]pre processed data'!A:O,15,0)</f>
        <v>$1500</v>
      </c>
      <c r="J1182" s="3">
        <f>VLOOKUP(Googleadssales[[#This Row],[Ad_ID]],'[1]pre processed data'!A:Q,17,0)</f>
        <v>45602</v>
      </c>
      <c r="K1182" t="str">
        <f>VLOOKUP(Googleadssales[[#This Row],[Ad_ID]],'[1]pre processed data'!A:R,18,0)</f>
        <v>Chennai</v>
      </c>
      <c r="L1182" t="str">
        <f>VLOOKUP(Googleadssales[[#This Row],[Ad_ID]],'[1]pre processed data'!A:S,19,0)</f>
        <v>Desktop</v>
      </c>
      <c r="M1182" t="str">
        <f>VLOOKUP(Googleadssales[[#This Row],[Ad_ID]],'[1]pre processed data'!A:T,20,0)</f>
        <v>analytics for data</v>
      </c>
    </row>
    <row r="1183" spans="1:13" x14ac:dyDescent="0.3">
      <c r="A1183" t="s">
        <v>1196</v>
      </c>
      <c r="B1183" t="s">
        <v>14</v>
      </c>
      <c r="C1183" s="4">
        <f>VLOOKUP(Googleadssales[[#This Row],[Ad_ID]],'[1]pre processed data'!A:C,3,0)</f>
        <v>194</v>
      </c>
      <c r="D1183" s="4">
        <f>VLOOKUP(Googleadssales[[#This Row],[Ad_ID]],'[1]pre processed data'!A:E,5,0)</f>
        <v>4217</v>
      </c>
      <c r="E1183" s="5" t="str">
        <f>VLOOKUP(Googleadssales[[#This Row],[Ad_ID]],[1]!Table3[[Ad_ID]:[Cost-imputed]],7,0)</f>
        <v>$187.34</v>
      </c>
      <c r="F1183" s="4">
        <f>VLOOKUP(Googleadssales[[#This Row],[Ad_ID]],'[1]pre processed data'!A:I,9,0)</f>
        <v>12</v>
      </c>
      <c r="G1183" s="4">
        <f>VLOOKUP(Googleadssales[[#This Row],[Ad_ID]],'[1]pre processed data'!A:K,11,0)</f>
        <v>10</v>
      </c>
      <c r="H1183" s="2">
        <f>Googleadssales[[#This Row],[Conversions]]/Googleadssales[[#This Row],[Clicks]]</f>
        <v>5.1546391752577317E-2</v>
      </c>
      <c r="I1183" t="str">
        <f>VLOOKUP(Googleadssales[[#This Row],[Ad_ID]],'[1]pre processed data'!A:O,15,0)</f>
        <v>$1669</v>
      </c>
      <c r="J1183" s="3">
        <f>VLOOKUP(Googleadssales[[#This Row],[Ad_ID]],'[1]pre processed data'!A:Q,17,0)</f>
        <v>45603</v>
      </c>
      <c r="K1183" t="str">
        <f>VLOOKUP(Googleadssales[[#This Row],[Ad_ID]],'[1]pre processed data'!A:R,18,0)</f>
        <v>Chennai</v>
      </c>
      <c r="L1183" t="str">
        <f>VLOOKUP(Googleadssales[[#This Row],[Ad_ID]],'[1]pre processed data'!A:S,19,0)</f>
        <v>Tablet</v>
      </c>
      <c r="M1183" t="str">
        <f>VLOOKUP(Googleadssales[[#This Row],[Ad_ID]],'[1]pre processed data'!A:T,20,0)</f>
        <v>data analytics training</v>
      </c>
    </row>
    <row r="1184" spans="1:13" x14ac:dyDescent="0.3">
      <c r="A1184" t="s">
        <v>1197</v>
      </c>
      <c r="B1184" t="s">
        <v>14</v>
      </c>
      <c r="C1184" s="4">
        <f>VLOOKUP(Googleadssales[[#This Row],[Ad_ID]],'[1]pre processed data'!A:C,3,0)</f>
        <v>150</v>
      </c>
      <c r="D1184" s="4">
        <f>VLOOKUP(Googleadssales[[#This Row],[Ad_ID]],'[1]pre processed data'!A:E,5,0)</f>
        <v>5907</v>
      </c>
      <c r="E1184" s="5" t="str">
        <f>VLOOKUP(Googleadssales[[#This Row],[Ad_ID]],[1]!Table3[[Ad_ID]:[Cost-imputed]],7,0)</f>
        <v>$241.8</v>
      </c>
      <c r="F1184" s="4">
        <f>VLOOKUP(Googleadssales[[#This Row],[Ad_ID]],'[1]pre processed data'!A:I,9,0)</f>
        <v>25</v>
      </c>
      <c r="G1184" s="4">
        <f>VLOOKUP(Googleadssales[[#This Row],[Ad_ID]],'[1]pre processed data'!A:K,11,0)</f>
        <v>7</v>
      </c>
      <c r="H1184" s="2">
        <f>Googleadssales[[#This Row],[Conversions]]/Googleadssales[[#This Row],[Clicks]]</f>
        <v>4.6666666666666669E-2</v>
      </c>
      <c r="I1184" t="str">
        <f>VLOOKUP(Googleadssales[[#This Row],[Ad_ID]],'[1]pre processed data'!A:O,15,0)</f>
        <v>$1430</v>
      </c>
      <c r="J1184" s="3">
        <f>VLOOKUP(Googleadssales[[#This Row],[Ad_ID]],'[1]pre processed data'!A:Q,17,0)</f>
        <v>45607</v>
      </c>
      <c r="K1184" t="str">
        <f>VLOOKUP(Googleadssales[[#This Row],[Ad_ID]],'[1]pre processed data'!A:R,18,0)</f>
        <v>Bangaluru</v>
      </c>
      <c r="L1184" t="str">
        <f>VLOOKUP(Googleadssales[[#This Row],[Ad_ID]],'[1]pre processed data'!A:S,19,0)</f>
        <v>Desktop</v>
      </c>
      <c r="M1184" t="str">
        <f>VLOOKUP(Googleadssales[[#This Row],[Ad_ID]],'[1]pre processed data'!A:T,20,0)</f>
        <v>data analytics online</v>
      </c>
    </row>
    <row r="1185" spans="1:13" x14ac:dyDescent="0.3">
      <c r="A1185" t="s">
        <v>1198</v>
      </c>
      <c r="B1185" t="s">
        <v>14</v>
      </c>
      <c r="C1185" s="4">
        <f>VLOOKUP(Googleadssales[[#This Row],[Ad_ID]],'[1]pre processed data'!A:C,3,0)</f>
        <v>100</v>
      </c>
      <c r="D1185" s="4">
        <f>VLOOKUP(Googleadssales[[#This Row],[Ad_ID]],'[1]pre processed data'!A:E,5,0)</f>
        <v>5970</v>
      </c>
      <c r="E1185" s="5" t="str">
        <f>VLOOKUP(Googleadssales[[#This Row],[Ad_ID]],[1]!Table3[[Ad_ID]:[Cost-imputed]],7,0)</f>
        <v>$224.79</v>
      </c>
      <c r="F1185" s="4">
        <f>VLOOKUP(Googleadssales[[#This Row],[Ad_ID]],'[1]pre processed data'!A:I,9,0)</f>
        <v>13</v>
      </c>
      <c r="G1185" s="4">
        <f>VLOOKUP(Googleadssales[[#This Row],[Ad_ID]],'[1]pre processed data'!A:K,11,0)</f>
        <v>9</v>
      </c>
      <c r="H1185" s="2">
        <f>Googleadssales[[#This Row],[Conversions]]/Googleadssales[[#This Row],[Clicks]]</f>
        <v>0.09</v>
      </c>
      <c r="I1185" t="str">
        <f>VLOOKUP(Googleadssales[[#This Row],[Ad_ID]],'[1]pre processed data'!A:O,15,0)</f>
        <v>$1895</v>
      </c>
      <c r="J1185" s="3">
        <f>VLOOKUP(Googleadssales[[#This Row],[Ad_ID]],'[1]pre processed data'!A:Q,17,0)</f>
        <v>45611</v>
      </c>
      <c r="K1185" t="str">
        <f>VLOOKUP(Googleadssales[[#This Row],[Ad_ID]],'[1]pre processed data'!A:R,18,0)</f>
        <v>Chennai</v>
      </c>
      <c r="L1185" t="str">
        <f>VLOOKUP(Googleadssales[[#This Row],[Ad_ID]],'[1]pre processed data'!A:S,19,0)</f>
        <v>Mobile</v>
      </c>
      <c r="M1185" t="str">
        <f>VLOOKUP(Googleadssales[[#This Row],[Ad_ID]],'[1]pre processed data'!A:T,20,0)</f>
        <v>data analytics training</v>
      </c>
    </row>
    <row r="1186" spans="1:13" x14ac:dyDescent="0.3">
      <c r="A1186" t="s">
        <v>1199</v>
      </c>
      <c r="B1186" t="s">
        <v>18</v>
      </c>
      <c r="C1186" s="4">
        <f>VLOOKUP(Googleadssales[[#This Row],[Ad_ID]],'[1]pre processed data'!A:C,3,0)</f>
        <v>186</v>
      </c>
      <c r="D1186" s="4">
        <f>VLOOKUP(Googleadssales[[#This Row],[Ad_ID]],'[1]pre processed data'!A:E,5,0)</f>
        <v>5142</v>
      </c>
      <c r="E1186" s="5" t="str">
        <f>VLOOKUP(Googleadssales[[#This Row],[Ad_ID]],[1]!Table3[[Ad_ID]:[Cost-imputed]],7,0)</f>
        <v>$236.2</v>
      </c>
      <c r="F1186" s="4">
        <f>VLOOKUP(Googleadssales[[#This Row],[Ad_ID]],'[1]pre processed data'!A:I,9,0)</f>
        <v>18</v>
      </c>
      <c r="G1186" s="4">
        <f>VLOOKUP(Googleadssales[[#This Row],[Ad_ID]],'[1]pre processed data'!A:K,11,0)</f>
        <v>4</v>
      </c>
      <c r="H1186" s="2">
        <f>Googleadssales[[#This Row],[Conversions]]/Googleadssales[[#This Row],[Clicks]]</f>
        <v>2.1505376344086023E-2</v>
      </c>
      <c r="I1186" t="str">
        <f>VLOOKUP(Googleadssales[[#This Row],[Ad_ID]],'[1]pre processed data'!A:O,15,0)</f>
        <v>$1990</v>
      </c>
      <c r="J1186" s="3">
        <f>VLOOKUP(Googleadssales[[#This Row],[Ad_ID]],'[1]pre processed data'!A:Q,17,0)</f>
        <v>45620</v>
      </c>
      <c r="K1186" t="str">
        <f>VLOOKUP(Googleadssales[[#This Row],[Ad_ID]],'[1]pre processed data'!A:R,18,0)</f>
        <v>Chennai</v>
      </c>
      <c r="L1186" t="str">
        <f>VLOOKUP(Googleadssales[[#This Row],[Ad_ID]],'[1]pre processed data'!A:S,19,0)</f>
        <v>Tablet</v>
      </c>
      <c r="M1186" t="str">
        <f>VLOOKUP(Googleadssales[[#This Row],[Ad_ID]],'[1]pre processed data'!A:T,20,0)</f>
        <v>data analytics online</v>
      </c>
    </row>
    <row r="1187" spans="1:13" x14ac:dyDescent="0.3">
      <c r="A1187" t="s">
        <v>1200</v>
      </c>
      <c r="B1187" t="s">
        <v>14</v>
      </c>
      <c r="C1187" s="4">
        <f>VLOOKUP(Googleadssales[[#This Row],[Ad_ID]],'[1]pre processed data'!A:C,3,0)</f>
        <v>130</v>
      </c>
      <c r="D1187" s="4">
        <f>VLOOKUP(Googleadssales[[#This Row],[Ad_ID]],'[1]pre processed data'!A:E,5,0)</f>
        <v>3715</v>
      </c>
      <c r="E1187" s="5" t="str">
        <f>VLOOKUP(Googleadssales[[#This Row],[Ad_ID]],[1]!Table3[[Ad_ID]:[Cost-imputed]],7,0)</f>
        <v>$243.34</v>
      </c>
      <c r="F1187" s="4">
        <f>VLOOKUP(Googleadssales[[#This Row],[Ad_ID]],'[1]pre processed data'!A:I,9,0)</f>
        <v>12</v>
      </c>
      <c r="G1187" s="4">
        <f>VLOOKUP(Googleadssales[[#This Row],[Ad_ID]],'[1]pre processed data'!A:K,11,0)</f>
        <v>8</v>
      </c>
      <c r="H1187" s="2">
        <f>Googleadssales[[#This Row],[Conversions]]/Googleadssales[[#This Row],[Clicks]]</f>
        <v>6.1538461538461542E-2</v>
      </c>
      <c r="I1187" t="str">
        <f>VLOOKUP(Googleadssales[[#This Row],[Ad_ID]],'[1]pre processed data'!A:O,15,0)</f>
        <v>$1482</v>
      </c>
      <c r="J1187" s="3">
        <f>VLOOKUP(Googleadssales[[#This Row],[Ad_ID]],'[1]pre processed data'!A:Q,17,0)</f>
        <v>45597</v>
      </c>
      <c r="K1187" t="str">
        <f>VLOOKUP(Googleadssales[[#This Row],[Ad_ID]],'[1]pre processed data'!A:R,18,0)</f>
        <v>Hyderabad</v>
      </c>
      <c r="L1187" t="str">
        <f>VLOOKUP(Googleadssales[[#This Row],[Ad_ID]],'[1]pre processed data'!A:S,19,0)</f>
        <v>Desktop</v>
      </c>
      <c r="M1187" t="str">
        <f>VLOOKUP(Googleadssales[[#This Row],[Ad_ID]],'[1]pre processed data'!A:T,20,0)</f>
        <v>data analytics online</v>
      </c>
    </row>
    <row r="1188" spans="1:13" x14ac:dyDescent="0.3">
      <c r="A1188" t="s">
        <v>1201</v>
      </c>
      <c r="B1188" t="s">
        <v>14</v>
      </c>
      <c r="C1188" s="4">
        <f>VLOOKUP(Googleadssales[[#This Row],[Ad_ID]],'[1]pre processed data'!A:C,3,0)</f>
        <v>158</v>
      </c>
      <c r="D1188" s="4">
        <f>VLOOKUP(Googleadssales[[#This Row],[Ad_ID]],'[1]pre processed data'!A:E,5,0)</f>
        <v>4192</v>
      </c>
      <c r="E1188" s="5" t="str">
        <f>VLOOKUP(Googleadssales[[#This Row],[Ad_ID]],[1]!Table3[[Ad_ID]:[Cost-imputed]],7,0)</f>
        <v>$186.25</v>
      </c>
      <c r="F1188" s="4">
        <f>VLOOKUP(Googleadssales[[#This Row],[Ad_ID]],'[1]pre processed data'!A:I,9,0)</f>
        <v>27</v>
      </c>
      <c r="G1188" s="4">
        <f>VLOOKUP(Googleadssales[[#This Row],[Ad_ID]],'[1]pre processed data'!A:K,11,0)</f>
        <v>10</v>
      </c>
      <c r="H1188" s="2">
        <f>Googleadssales[[#This Row],[Conversions]]/Googleadssales[[#This Row],[Clicks]]</f>
        <v>6.3291139240506333E-2</v>
      </c>
      <c r="I1188" t="str">
        <f>VLOOKUP(Googleadssales[[#This Row],[Ad_ID]],'[1]pre processed data'!A:O,15,0)</f>
        <v>$1968</v>
      </c>
      <c r="J1188" s="3">
        <f>VLOOKUP(Googleadssales[[#This Row],[Ad_ID]],'[1]pre processed data'!A:Q,17,0)</f>
        <v>45602</v>
      </c>
      <c r="K1188" t="str">
        <f>VLOOKUP(Googleadssales[[#This Row],[Ad_ID]],'[1]pre processed data'!A:R,18,0)</f>
        <v>Hyderabad</v>
      </c>
      <c r="L1188" t="str">
        <f>VLOOKUP(Googleadssales[[#This Row],[Ad_ID]],'[1]pre processed data'!A:S,19,0)</f>
        <v>Tablet</v>
      </c>
      <c r="M1188" t="str">
        <f>VLOOKUP(Googleadssales[[#This Row],[Ad_ID]],'[1]pre processed data'!A:T,20,0)</f>
        <v>online data analytic</v>
      </c>
    </row>
    <row r="1189" spans="1:13" x14ac:dyDescent="0.3">
      <c r="A1189" t="s">
        <v>1202</v>
      </c>
      <c r="B1189" t="s">
        <v>14</v>
      </c>
      <c r="C1189" s="4">
        <f>VLOOKUP(Googleadssales[[#This Row],[Ad_ID]],'[1]pre processed data'!A:C,3,0)</f>
        <v>155</v>
      </c>
      <c r="D1189" s="4">
        <f>VLOOKUP(Googleadssales[[#This Row],[Ad_ID]],'[1]pre processed data'!A:E,5,0)</f>
        <v>5121</v>
      </c>
      <c r="E1189" s="5" t="str">
        <f>VLOOKUP(Googleadssales[[#This Row],[Ad_ID]],[1]!Table3[[Ad_ID]:[Cost-imputed]],7,0)</f>
        <v>$248.16</v>
      </c>
      <c r="F1189" s="4">
        <f>VLOOKUP(Googleadssales[[#This Row],[Ad_ID]],'[1]pre processed data'!A:I,9,0)</f>
        <v>22</v>
      </c>
      <c r="G1189" s="4">
        <f>VLOOKUP(Googleadssales[[#This Row],[Ad_ID]],'[1]pre processed data'!A:K,11,0)</f>
        <v>8</v>
      </c>
      <c r="H1189" s="2">
        <f>Googleadssales[[#This Row],[Conversions]]/Googleadssales[[#This Row],[Clicks]]</f>
        <v>5.1612903225806452E-2</v>
      </c>
      <c r="I1189" t="str">
        <f>VLOOKUP(Googleadssales[[#This Row],[Ad_ID]],'[1]pre processed data'!A:O,15,0)</f>
        <v>$1027</v>
      </c>
      <c r="J1189" s="3">
        <f>VLOOKUP(Googleadssales[[#This Row],[Ad_ID]],'[1]pre processed data'!A:Q,17,0)</f>
        <v>45602</v>
      </c>
      <c r="K1189" t="str">
        <f>VLOOKUP(Googleadssales[[#This Row],[Ad_ID]],'[1]pre processed data'!A:R,18,0)</f>
        <v>Chennai</v>
      </c>
      <c r="L1189" t="str">
        <f>VLOOKUP(Googleadssales[[#This Row],[Ad_ID]],'[1]pre processed data'!A:S,19,0)</f>
        <v>Tablet</v>
      </c>
      <c r="M1189" t="str">
        <f>VLOOKUP(Googleadssales[[#This Row],[Ad_ID]],'[1]pre processed data'!A:T,20,0)</f>
        <v>online data analytic</v>
      </c>
    </row>
    <row r="1190" spans="1:13" x14ac:dyDescent="0.3">
      <c r="A1190" t="s">
        <v>1203</v>
      </c>
      <c r="B1190" t="s">
        <v>18</v>
      </c>
      <c r="C1190" s="4">
        <f>VLOOKUP(Googleadssales[[#This Row],[Ad_ID]],'[1]pre processed data'!A:C,3,0)</f>
        <v>190</v>
      </c>
      <c r="D1190" s="4">
        <f>VLOOKUP(Googleadssales[[#This Row],[Ad_ID]],'[1]pre processed data'!A:E,5,0)</f>
        <v>5984</v>
      </c>
      <c r="E1190" s="5" t="str">
        <f>VLOOKUP(Googleadssales[[#This Row],[Ad_ID]],[1]!Table3[[Ad_ID]:[Cost-imputed]],7,0)</f>
        <v>$209.35</v>
      </c>
      <c r="F1190" s="4">
        <f>VLOOKUP(Googleadssales[[#This Row],[Ad_ID]],'[1]pre processed data'!A:I,9,0)</f>
        <v>14</v>
      </c>
      <c r="G1190" s="4">
        <f>VLOOKUP(Googleadssales[[#This Row],[Ad_ID]],'[1]pre processed data'!A:K,11,0)</f>
        <v>6</v>
      </c>
      <c r="H1190" s="2">
        <f>Googleadssales[[#This Row],[Conversions]]/Googleadssales[[#This Row],[Clicks]]</f>
        <v>3.1578947368421054E-2</v>
      </c>
      <c r="I1190" t="str">
        <f>VLOOKUP(Googleadssales[[#This Row],[Ad_ID]],'[1]pre processed data'!A:O,15,0)</f>
        <v>$1964</v>
      </c>
      <c r="J1190" s="3">
        <f>VLOOKUP(Googleadssales[[#This Row],[Ad_ID]],'[1]pre processed data'!A:Q,17,0)</f>
        <v>45602</v>
      </c>
      <c r="K1190" t="str">
        <f>VLOOKUP(Googleadssales[[#This Row],[Ad_ID]],'[1]pre processed data'!A:R,18,0)</f>
        <v>Chennai</v>
      </c>
      <c r="L1190" t="str">
        <f>VLOOKUP(Googleadssales[[#This Row],[Ad_ID]],'[1]pre processed data'!A:S,19,0)</f>
        <v>Desktop</v>
      </c>
      <c r="M1190" t="str">
        <f>VLOOKUP(Googleadssales[[#This Row],[Ad_ID]],'[1]pre processed data'!A:T,20,0)</f>
        <v>data analytics course</v>
      </c>
    </row>
    <row r="1191" spans="1:13" x14ac:dyDescent="0.3">
      <c r="A1191" t="s">
        <v>1204</v>
      </c>
      <c r="B1191" t="s">
        <v>14</v>
      </c>
      <c r="C1191" s="4">
        <f>VLOOKUP(Googleadssales[[#This Row],[Ad_ID]],'[1]pre processed data'!A:C,3,0)</f>
        <v>191</v>
      </c>
      <c r="D1191" s="4">
        <f>VLOOKUP(Googleadssales[[#This Row],[Ad_ID]],'[1]pre processed data'!A:E,5,0)</f>
        <v>3220</v>
      </c>
      <c r="E1191" s="5" t="str">
        <f>VLOOKUP(Googleadssales[[#This Row],[Ad_ID]],[1]!Table3[[Ad_ID]:[Cost-imputed]],7,0)</f>
        <v>$183.33</v>
      </c>
      <c r="F1191" s="4">
        <f>VLOOKUP(Googleadssales[[#This Row],[Ad_ID]],'[1]pre processed data'!A:I,9,0)</f>
        <v>20</v>
      </c>
      <c r="G1191" s="4">
        <f>VLOOKUP(Googleadssales[[#This Row],[Ad_ID]],'[1]pre processed data'!A:K,11,0)</f>
        <v>6</v>
      </c>
      <c r="H1191" s="2">
        <f>Googleadssales[[#This Row],[Conversions]]/Googleadssales[[#This Row],[Clicks]]</f>
        <v>3.1413612565445025E-2</v>
      </c>
      <c r="I1191" t="str">
        <f>VLOOKUP(Googleadssales[[#This Row],[Ad_ID]],'[1]pre processed data'!A:O,15,0)</f>
        <v>$1942</v>
      </c>
      <c r="J1191" s="3">
        <f>VLOOKUP(Googleadssales[[#This Row],[Ad_ID]],'[1]pre processed data'!A:Q,17,0)</f>
        <v>45624</v>
      </c>
      <c r="K1191" t="str">
        <f>VLOOKUP(Googleadssales[[#This Row],[Ad_ID]],'[1]pre processed data'!A:R,18,0)</f>
        <v>Hyderabad</v>
      </c>
      <c r="L1191" t="str">
        <f>VLOOKUP(Googleadssales[[#This Row],[Ad_ID]],'[1]pre processed data'!A:S,19,0)</f>
        <v>Tablet</v>
      </c>
      <c r="M1191" t="str">
        <f>VLOOKUP(Googleadssales[[#This Row],[Ad_ID]],'[1]pre processed data'!A:T,20,0)</f>
        <v>data analytics training</v>
      </c>
    </row>
    <row r="1192" spans="1:13" x14ac:dyDescent="0.3">
      <c r="A1192" t="s">
        <v>1205</v>
      </c>
      <c r="B1192" t="s">
        <v>14</v>
      </c>
      <c r="C1192" s="4">
        <f>VLOOKUP(Googleadssales[[#This Row],[Ad_ID]],'[1]pre processed data'!A:C,3,0)</f>
        <v>145</v>
      </c>
      <c r="D1192" s="4">
        <f>VLOOKUP(Googleadssales[[#This Row],[Ad_ID]],'[1]pre processed data'!A:E,5,0)</f>
        <v>5761</v>
      </c>
      <c r="E1192" s="5" t="str">
        <f>VLOOKUP(Googleadssales[[#This Row],[Ad_ID]],[1]!Table3[[Ad_ID]:[Cost-imputed]],7,0)</f>
        <v>$202.07</v>
      </c>
      <c r="F1192" s="4">
        <f>VLOOKUP(Googleadssales[[#This Row],[Ad_ID]],'[1]pre processed data'!A:I,9,0)</f>
        <v>17</v>
      </c>
      <c r="G1192" s="4">
        <f>VLOOKUP(Googleadssales[[#This Row],[Ad_ID]],'[1]pre processed data'!A:K,11,0)</f>
        <v>3</v>
      </c>
      <c r="H1192" s="2">
        <f>Googleadssales[[#This Row],[Conversions]]/Googleadssales[[#This Row],[Clicks]]</f>
        <v>2.0689655172413793E-2</v>
      </c>
      <c r="I1192" t="str">
        <f>VLOOKUP(Googleadssales[[#This Row],[Ad_ID]],'[1]pre processed data'!A:O,15,0)</f>
        <v>$1037</v>
      </c>
      <c r="J1192" s="3">
        <f>VLOOKUP(Googleadssales[[#This Row],[Ad_ID]],'[1]pre processed data'!A:Q,17,0)</f>
        <v>45609</v>
      </c>
      <c r="K1192" t="str">
        <f>VLOOKUP(Googleadssales[[#This Row],[Ad_ID]],'[1]pre processed data'!A:R,18,0)</f>
        <v>Chennai</v>
      </c>
      <c r="L1192" t="str">
        <f>VLOOKUP(Googleadssales[[#This Row],[Ad_ID]],'[1]pre processed data'!A:S,19,0)</f>
        <v>Mobile</v>
      </c>
      <c r="M1192" t="str">
        <f>VLOOKUP(Googleadssales[[#This Row],[Ad_ID]],'[1]pre processed data'!A:T,20,0)</f>
        <v>data analytics online</v>
      </c>
    </row>
    <row r="1193" spans="1:13" x14ac:dyDescent="0.3">
      <c r="A1193" t="s">
        <v>1206</v>
      </c>
      <c r="B1193" t="s">
        <v>18</v>
      </c>
      <c r="C1193" s="4">
        <f>VLOOKUP(Googleadssales[[#This Row],[Ad_ID]],'[1]pre processed data'!A:C,3,0)</f>
        <v>102</v>
      </c>
      <c r="D1193" s="4">
        <f>VLOOKUP(Googleadssales[[#This Row],[Ad_ID]],'[1]pre processed data'!A:E,5,0)</f>
        <v>5683</v>
      </c>
      <c r="E1193" s="5" t="str">
        <f>VLOOKUP(Googleadssales[[#This Row],[Ad_ID]],[1]!Table3[[Ad_ID]:[Cost-imputed]],7,0)</f>
        <v>$188.73</v>
      </c>
      <c r="F1193" s="4">
        <f>VLOOKUP(Googleadssales[[#This Row],[Ad_ID]],'[1]pre processed data'!A:I,9,0)</f>
        <v>28</v>
      </c>
      <c r="G1193" s="4">
        <f>VLOOKUP(Googleadssales[[#This Row],[Ad_ID]],'[1]pre processed data'!A:K,11,0)</f>
        <v>8</v>
      </c>
      <c r="H1193" s="2">
        <f>Googleadssales[[#This Row],[Conversions]]/Googleadssales[[#This Row],[Clicks]]</f>
        <v>7.8431372549019607E-2</v>
      </c>
      <c r="I1193" t="str">
        <f>VLOOKUP(Googleadssales[[#This Row],[Ad_ID]],'[1]pre processed data'!A:O,15,0)</f>
        <v>$1623</v>
      </c>
      <c r="J1193" s="3">
        <f>VLOOKUP(Googleadssales[[#This Row],[Ad_ID]],'[1]pre processed data'!A:Q,17,0)</f>
        <v>45612</v>
      </c>
      <c r="K1193" t="str">
        <f>VLOOKUP(Googleadssales[[#This Row],[Ad_ID]],'[1]pre processed data'!A:R,18,0)</f>
        <v>Hyderabad</v>
      </c>
      <c r="L1193" t="str">
        <f>VLOOKUP(Googleadssales[[#This Row],[Ad_ID]],'[1]pre processed data'!A:S,19,0)</f>
        <v>Tablet</v>
      </c>
      <c r="M1193" t="str">
        <f>VLOOKUP(Googleadssales[[#This Row],[Ad_ID]],'[1]pre processed data'!A:T,20,0)</f>
        <v>analytics for data</v>
      </c>
    </row>
    <row r="1194" spans="1:13" x14ac:dyDescent="0.3">
      <c r="A1194" t="s">
        <v>1207</v>
      </c>
      <c r="B1194" t="s">
        <v>14</v>
      </c>
      <c r="C1194" s="4">
        <f>VLOOKUP(Googleadssales[[#This Row],[Ad_ID]],'[1]pre processed data'!A:C,3,0)</f>
        <v>86</v>
      </c>
      <c r="D1194" s="4">
        <f>VLOOKUP(Googleadssales[[#This Row],[Ad_ID]],'[1]pre processed data'!A:E,5,0)</f>
        <v>5238</v>
      </c>
      <c r="E1194" s="5" t="str">
        <f>VLOOKUP(Googleadssales[[#This Row],[Ad_ID]],[1]!Table3[[Ad_ID]:[Cost-imputed]],7,0)</f>
        <v>$217.28</v>
      </c>
      <c r="F1194" s="4">
        <f>VLOOKUP(Googleadssales[[#This Row],[Ad_ID]],'[1]pre processed data'!A:I,9,0)</f>
        <v>13</v>
      </c>
      <c r="G1194" s="4">
        <f>VLOOKUP(Googleadssales[[#This Row],[Ad_ID]],'[1]pre processed data'!A:K,11,0)</f>
        <v>3</v>
      </c>
      <c r="H1194" s="2">
        <f>Googleadssales[[#This Row],[Conversions]]/Googleadssales[[#This Row],[Clicks]]</f>
        <v>3.4883720930232558E-2</v>
      </c>
      <c r="I1194" t="str">
        <f>VLOOKUP(Googleadssales[[#This Row],[Ad_ID]],'[1]pre processed data'!A:O,15,0)</f>
        <v>$1610</v>
      </c>
      <c r="J1194" s="3">
        <f>VLOOKUP(Googleadssales[[#This Row],[Ad_ID]],'[1]pre processed data'!A:Q,17,0)</f>
        <v>45618</v>
      </c>
      <c r="K1194" t="str">
        <f>VLOOKUP(Googleadssales[[#This Row],[Ad_ID]],'[1]pre processed data'!A:R,18,0)</f>
        <v>Hyderabad</v>
      </c>
      <c r="L1194" t="str">
        <f>VLOOKUP(Googleadssales[[#This Row],[Ad_ID]],'[1]pre processed data'!A:S,19,0)</f>
        <v>Desktop</v>
      </c>
      <c r="M1194" t="str">
        <f>VLOOKUP(Googleadssales[[#This Row],[Ad_ID]],'[1]pre processed data'!A:T,20,0)</f>
        <v>data analytics online</v>
      </c>
    </row>
    <row r="1195" spans="1:13" x14ac:dyDescent="0.3">
      <c r="A1195" t="s">
        <v>1208</v>
      </c>
      <c r="B1195" t="s">
        <v>14</v>
      </c>
      <c r="C1195" s="4">
        <f>VLOOKUP(Googleadssales[[#This Row],[Ad_ID]],'[1]pre processed data'!A:C,3,0)</f>
        <v>115</v>
      </c>
      <c r="D1195" s="4">
        <f>VLOOKUP(Googleadssales[[#This Row],[Ad_ID]],'[1]pre processed data'!A:E,5,0)</f>
        <v>5116</v>
      </c>
      <c r="E1195" s="5" t="str">
        <f>VLOOKUP(Googleadssales[[#This Row],[Ad_ID]],[1]!Table3[[Ad_ID]:[Cost-imputed]],7,0)</f>
        <v>$227.76</v>
      </c>
      <c r="F1195" s="4">
        <f>VLOOKUP(Googleadssales[[#This Row],[Ad_ID]],'[1]pre processed data'!A:I,9,0)</f>
        <v>24</v>
      </c>
      <c r="G1195" s="4">
        <f>VLOOKUP(Googleadssales[[#This Row],[Ad_ID]],'[1]pre processed data'!A:K,11,0)</f>
        <v>3</v>
      </c>
      <c r="H1195" s="2">
        <f>Googleadssales[[#This Row],[Conversions]]/Googleadssales[[#This Row],[Clicks]]</f>
        <v>2.6086956521739129E-2</v>
      </c>
      <c r="I1195" t="str">
        <f>VLOOKUP(Googleadssales[[#This Row],[Ad_ID]],'[1]pre processed data'!A:O,15,0)</f>
        <v>$1748</v>
      </c>
      <c r="J1195" s="3">
        <f>VLOOKUP(Googleadssales[[#This Row],[Ad_ID]],'[1]pre processed data'!A:Q,17,0)</f>
        <v>45611</v>
      </c>
      <c r="K1195" t="str">
        <f>VLOOKUP(Googleadssales[[#This Row],[Ad_ID]],'[1]pre processed data'!A:R,18,0)</f>
        <v>Hyderabad</v>
      </c>
      <c r="L1195" t="str">
        <f>VLOOKUP(Googleadssales[[#This Row],[Ad_ID]],'[1]pre processed data'!A:S,19,0)</f>
        <v>Desktop</v>
      </c>
      <c r="M1195" t="str">
        <f>VLOOKUP(Googleadssales[[#This Row],[Ad_ID]],'[1]pre processed data'!A:T,20,0)</f>
        <v>learn data analytics</v>
      </c>
    </row>
    <row r="1196" spans="1:13" x14ac:dyDescent="0.3">
      <c r="A1196" t="s">
        <v>1209</v>
      </c>
      <c r="B1196" t="s">
        <v>14</v>
      </c>
      <c r="C1196" s="4">
        <f>VLOOKUP(Googleadssales[[#This Row],[Ad_ID]],'[1]pre processed data'!A:C,3,0)</f>
        <v>83</v>
      </c>
      <c r="D1196" s="4">
        <f>VLOOKUP(Googleadssales[[#This Row],[Ad_ID]],'[1]pre processed data'!A:E,5,0)</f>
        <v>4476</v>
      </c>
      <c r="E1196" s="5" t="str">
        <f>VLOOKUP(Googleadssales[[#This Row],[Ad_ID]],[1]!Table3[[Ad_ID]:[Cost-imputed]],7,0)</f>
        <v>$204.88</v>
      </c>
      <c r="F1196" s="4">
        <f>VLOOKUP(Googleadssales[[#This Row],[Ad_ID]],'[1]pre processed data'!A:I,9,0)</f>
        <v>27</v>
      </c>
      <c r="G1196" s="4">
        <f>VLOOKUP(Googleadssales[[#This Row],[Ad_ID]],'[1]pre processed data'!A:K,11,0)</f>
        <v>8</v>
      </c>
      <c r="H1196" s="2">
        <f>Googleadssales[[#This Row],[Conversions]]/Googleadssales[[#This Row],[Clicks]]</f>
        <v>9.6385542168674704E-2</v>
      </c>
      <c r="I1196" t="str">
        <f>VLOOKUP(Googleadssales[[#This Row],[Ad_ID]],'[1]pre processed data'!A:O,15,0)</f>
        <v>$1359</v>
      </c>
      <c r="J1196" s="3">
        <f>VLOOKUP(Googleadssales[[#This Row],[Ad_ID]],'[1]pre processed data'!A:Q,17,0)</f>
        <v>45598</v>
      </c>
      <c r="K1196" t="str">
        <f>VLOOKUP(Googleadssales[[#This Row],[Ad_ID]],'[1]pre processed data'!A:R,18,0)</f>
        <v>Chennai</v>
      </c>
      <c r="L1196" t="str">
        <f>VLOOKUP(Googleadssales[[#This Row],[Ad_ID]],'[1]pre processed data'!A:S,19,0)</f>
        <v>Tablet</v>
      </c>
      <c r="M1196" t="str">
        <f>VLOOKUP(Googleadssales[[#This Row],[Ad_ID]],'[1]pre processed data'!A:T,20,0)</f>
        <v>online data analytic</v>
      </c>
    </row>
    <row r="1197" spans="1:13" x14ac:dyDescent="0.3">
      <c r="A1197" t="s">
        <v>1210</v>
      </c>
      <c r="B1197" t="s">
        <v>14</v>
      </c>
      <c r="C1197" s="4">
        <f>VLOOKUP(Googleadssales[[#This Row],[Ad_ID]],'[1]pre processed data'!A:C,3,0)</f>
        <v>178</v>
      </c>
      <c r="D1197" s="4">
        <f>VLOOKUP(Googleadssales[[#This Row],[Ad_ID]],'[1]pre processed data'!A:E,5,0)</f>
        <v>3461</v>
      </c>
      <c r="E1197" s="5" t="str">
        <f>VLOOKUP(Googleadssales[[#This Row],[Ad_ID]],[1]!Table3[[Ad_ID]:[Cost-imputed]],7,0)</f>
        <v>$238.96</v>
      </c>
      <c r="F1197" s="4">
        <f>VLOOKUP(Googleadssales[[#This Row],[Ad_ID]],'[1]pre processed data'!A:I,9,0)</f>
        <v>16</v>
      </c>
      <c r="G1197" s="4">
        <f>VLOOKUP(Googleadssales[[#This Row],[Ad_ID]],'[1]pre processed data'!A:K,11,0)</f>
        <v>5</v>
      </c>
      <c r="H1197" s="2">
        <f>Googleadssales[[#This Row],[Conversions]]/Googleadssales[[#This Row],[Clicks]]</f>
        <v>2.8089887640449437E-2</v>
      </c>
      <c r="I1197" t="str">
        <f>VLOOKUP(Googleadssales[[#This Row],[Ad_ID]],'[1]pre processed data'!A:O,15,0)</f>
        <v>$1321</v>
      </c>
      <c r="J1197" s="3">
        <f>VLOOKUP(Googleadssales[[#This Row],[Ad_ID]],'[1]pre processed data'!A:Q,17,0)</f>
        <v>45612</v>
      </c>
      <c r="K1197" t="str">
        <f>VLOOKUP(Googleadssales[[#This Row],[Ad_ID]],'[1]pre processed data'!A:R,18,0)</f>
        <v>Hyderabad</v>
      </c>
      <c r="L1197" t="str">
        <f>VLOOKUP(Googleadssales[[#This Row],[Ad_ID]],'[1]pre processed data'!A:S,19,0)</f>
        <v>Mobile</v>
      </c>
      <c r="M1197" t="str">
        <f>VLOOKUP(Googleadssales[[#This Row],[Ad_ID]],'[1]pre processed data'!A:T,20,0)</f>
        <v>learn data analytics</v>
      </c>
    </row>
    <row r="1198" spans="1:13" x14ac:dyDescent="0.3">
      <c r="A1198" t="s">
        <v>1211</v>
      </c>
      <c r="B1198" t="s">
        <v>14</v>
      </c>
      <c r="C1198" s="4">
        <f>VLOOKUP(Googleadssales[[#This Row],[Ad_ID]],'[1]pre processed data'!A:C,3,0)</f>
        <v>148</v>
      </c>
      <c r="D1198" s="4">
        <f>VLOOKUP(Googleadssales[[#This Row],[Ad_ID]],'[1]pre processed data'!A:E,5,0)</f>
        <v>5080</v>
      </c>
      <c r="E1198" s="5" t="str">
        <f>VLOOKUP(Googleadssales[[#This Row],[Ad_ID]],[1]!Table3[[Ad_ID]:[Cost-imputed]],7,0)</f>
        <v>$191.92</v>
      </c>
      <c r="F1198" s="4">
        <f>VLOOKUP(Googleadssales[[#This Row],[Ad_ID]],'[1]pre processed data'!A:I,9,0)</f>
        <v>12</v>
      </c>
      <c r="G1198" s="4">
        <f>VLOOKUP(Googleadssales[[#This Row],[Ad_ID]],'[1]pre processed data'!A:K,11,0)</f>
        <v>6</v>
      </c>
      <c r="H1198" s="2">
        <f>Googleadssales[[#This Row],[Conversions]]/Googleadssales[[#This Row],[Clicks]]</f>
        <v>4.0540540540540543E-2</v>
      </c>
      <c r="I1198" t="str">
        <f>VLOOKUP(Googleadssales[[#This Row],[Ad_ID]],'[1]pre processed data'!A:O,15,0)</f>
        <v>$1070</v>
      </c>
      <c r="J1198" s="3">
        <f>VLOOKUP(Googleadssales[[#This Row],[Ad_ID]],'[1]pre processed data'!A:Q,17,0)</f>
        <v>45613</v>
      </c>
      <c r="K1198" t="str">
        <f>VLOOKUP(Googleadssales[[#This Row],[Ad_ID]],'[1]pre processed data'!A:R,18,0)</f>
        <v>Chennai</v>
      </c>
      <c r="L1198" t="str">
        <f>VLOOKUP(Googleadssales[[#This Row],[Ad_ID]],'[1]pre processed data'!A:S,19,0)</f>
        <v>Tablet</v>
      </c>
      <c r="M1198" t="str">
        <f>VLOOKUP(Googleadssales[[#This Row],[Ad_ID]],'[1]pre processed data'!A:T,20,0)</f>
        <v>data analytics course</v>
      </c>
    </row>
    <row r="1199" spans="1:13" x14ac:dyDescent="0.3">
      <c r="A1199" t="s">
        <v>1212</v>
      </c>
      <c r="B1199" t="s">
        <v>18</v>
      </c>
      <c r="C1199" s="4">
        <f>VLOOKUP(Googleadssales[[#This Row],[Ad_ID]],'[1]pre processed data'!A:C,3,0)</f>
        <v>138.95699356913184</v>
      </c>
      <c r="D1199" s="4">
        <f>VLOOKUP(Googleadssales[[#This Row],[Ad_ID]],'[1]pre processed data'!A:E,5,0)</f>
        <v>3334</v>
      </c>
      <c r="E1199" s="5" t="str">
        <f>VLOOKUP(Googleadssales[[#This Row],[Ad_ID]],[1]!Table3[[Ad_ID]:[Cost-imputed]],7,0)</f>
        <v>$223.21</v>
      </c>
      <c r="F1199" s="4">
        <f>VLOOKUP(Googleadssales[[#This Row],[Ad_ID]],'[1]pre processed data'!A:I,9,0)</f>
        <v>14</v>
      </c>
      <c r="G1199" s="4">
        <f>VLOOKUP(Googleadssales[[#This Row],[Ad_ID]],'[1]pre processed data'!A:K,11,0)</f>
        <v>10</v>
      </c>
      <c r="H1199" s="2">
        <f>Googleadssales[[#This Row],[Conversions]]/Googleadssales[[#This Row],[Clicks]]</f>
        <v>7.1964711837443046E-2</v>
      </c>
      <c r="I1199" t="str">
        <f>VLOOKUP(Googleadssales[[#This Row],[Ad_ID]],'[1]pre processed data'!A:O,15,0)</f>
        <v>$1317</v>
      </c>
      <c r="J1199" s="3">
        <f>VLOOKUP(Googleadssales[[#This Row],[Ad_ID]],'[1]pre processed data'!A:Q,17,0)</f>
        <v>45599</v>
      </c>
      <c r="K1199" t="str">
        <f>VLOOKUP(Googleadssales[[#This Row],[Ad_ID]],'[1]pre processed data'!A:R,18,0)</f>
        <v>Bangaluru</v>
      </c>
      <c r="L1199" t="str">
        <f>VLOOKUP(Googleadssales[[#This Row],[Ad_ID]],'[1]pre processed data'!A:S,19,0)</f>
        <v>Tablet</v>
      </c>
      <c r="M1199" t="str">
        <f>VLOOKUP(Googleadssales[[#This Row],[Ad_ID]],'[1]pre processed data'!A:T,20,0)</f>
        <v>data analytics course</v>
      </c>
    </row>
    <row r="1200" spans="1:13" x14ac:dyDescent="0.3">
      <c r="A1200" t="s">
        <v>1213</v>
      </c>
      <c r="B1200" t="s">
        <v>14</v>
      </c>
      <c r="C1200" s="4">
        <f>VLOOKUP(Googleadssales[[#This Row],[Ad_ID]],'[1]pre processed data'!A:C,3,0)</f>
        <v>101</v>
      </c>
      <c r="D1200" s="4">
        <f>VLOOKUP(Googleadssales[[#This Row],[Ad_ID]],'[1]pre processed data'!A:E,5,0)</f>
        <v>5166</v>
      </c>
      <c r="E1200" s="5" t="str">
        <f>VLOOKUP(Googleadssales[[#This Row],[Ad_ID]],[1]!Table3[[Ad_ID]:[Cost-imputed]],7,0)</f>
        <v>$203.74</v>
      </c>
      <c r="F1200" s="4">
        <f>VLOOKUP(Googleadssales[[#This Row],[Ad_ID]],'[1]pre processed data'!A:I,9,0)</f>
        <v>30</v>
      </c>
      <c r="G1200" s="4">
        <f>VLOOKUP(Googleadssales[[#This Row],[Ad_ID]],'[1]pre processed data'!A:K,11,0)</f>
        <v>5</v>
      </c>
      <c r="H1200" s="2">
        <f>Googleadssales[[#This Row],[Conversions]]/Googleadssales[[#This Row],[Clicks]]</f>
        <v>4.9504950495049507E-2</v>
      </c>
      <c r="I1200" t="str">
        <f>VLOOKUP(Googleadssales[[#This Row],[Ad_ID]],'[1]pre processed data'!A:O,15,0)</f>
        <v>$1763</v>
      </c>
      <c r="J1200" s="3">
        <f>VLOOKUP(Googleadssales[[#This Row],[Ad_ID]],'[1]pre processed data'!A:Q,17,0)</f>
        <v>45609</v>
      </c>
      <c r="K1200" t="str">
        <f>VLOOKUP(Googleadssales[[#This Row],[Ad_ID]],'[1]pre processed data'!A:R,18,0)</f>
        <v>Hyderabad</v>
      </c>
      <c r="L1200" t="str">
        <f>VLOOKUP(Googleadssales[[#This Row],[Ad_ID]],'[1]pre processed data'!A:S,19,0)</f>
        <v>Desktop</v>
      </c>
      <c r="M1200" t="str">
        <f>VLOOKUP(Googleadssales[[#This Row],[Ad_ID]],'[1]pre processed data'!A:T,20,0)</f>
        <v>data analytics training</v>
      </c>
    </row>
    <row r="1201" spans="1:13" x14ac:dyDescent="0.3">
      <c r="A1201" t="s">
        <v>1214</v>
      </c>
      <c r="B1201" t="s">
        <v>14</v>
      </c>
      <c r="C1201" s="4">
        <f>VLOOKUP(Googleadssales[[#This Row],[Ad_ID]],'[1]pre processed data'!A:C,3,0)</f>
        <v>113</v>
      </c>
      <c r="D1201" s="4">
        <f>VLOOKUP(Googleadssales[[#This Row],[Ad_ID]],'[1]pre processed data'!A:E,5,0)</f>
        <v>5642</v>
      </c>
      <c r="E1201" s="5" t="str">
        <f>VLOOKUP(Googleadssales[[#This Row],[Ad_ID]],[1]!Table3[[Ad_ID]:[Cost-imputed]],7,0)</f>
        <v>$245.69</v>
      </c>
      <c r="F1201" s="4">
        <f>VLOOKUP(Googleadssales[[#This Row],[Ad_ID]],'[1]pre processed data'!A:I,9,0)</f>
        <v>19</v>
      </c>
      <c r="G1201" s="4">
        <f>VLOOKUP(Googleadssales[[#This Row],[Ad_ID]],'[1]pre processed data'!A:K,11,0)</f>
        <v>7</v>
      </c>
      <c r="H1201" s="2">
        <f>Googleadssales[[#This Row],[Conversions]]/Googleadssales[[#This Row],[Clicks]]</f>
        <v>6.1946902654867256E-2</v>
      </c>
      <c r="I1201" t="str">
        <f>VLOOKUP(Googleadssales[[#This Row],[Ad_ID]],'[1]pre processed data'!A:O,15,0)</f>
        <v>$1366</v>
      </c>
      <c r="J1201" s="3">
        <f>VLOOKUP(Googleadssales[[#This Row],[Ad_ID]],'[1]pre processed data'!A:Q,17,0)</f>
        <v>45616</v>
      </c>
      <c r="K1201" t="str">
        <f>VLOOKUP(Googleadssales[[#This Row],[Ad_ID]],'[1]pre processed data'!A:R,18,0)</f>
        <v>Bangaluru</v>
      </c>
      <c r="L1201" t="str">
        <f>VLOOKUP(Googleadssales[[#This Row],[Ad_ID]],'[1]pre processed data'!A:S,19,0)</f>
        <v>Mobile</v>
      </c>
      <c r="M1201" t="str">
        <f>VLOOKUP(Googleadssales[[#This Row],[Ad_ID]],'[1]pre processed data'!A:T,20,0)</f>
        <v>data analytics training</v>
      </c>
    </row>
    <row r="1202" spans="1:13" x14ac:dyDescent="0.3">
      <c r="A1202" t="s">
        <v>1215</v>
      </c>
      <c r="B1202" t="s">
        <v>14</v>
      </c>
      <c r="C1202" s="4">
        <f>VLOOKUP(Googleadssales[[#This Row],[Ad_ID]],'[1]pre processed data'!A:C,3,0)</f>
        <v>97</v>
      </c>
      <c r="D1202" s="4">
        <f>VLOOKUP(Googleadssales[[#This Row],[Ad_ID]],'[1]pre processed data'!A:E,5,0)</f>
        <v>5552</v>
      </c>
      <c r="E1202" s="5" t="str">
        <f>VLOOKUP(Googleadssales[[#This Row],[Ad_ID]],[1]!Table3[[Ad_ID]:[Cost-imputed]],7,0)</f>
        <v>$228.97</v>
      </c>
      <c r="F1202" s="4">
        <f>VLOOKUP(Googleadssales[[#This Row],[Ad_ID]],'[1]pre processed data'!A:I,9,0)</f>
        <v>14</v>
      </c>
      <c r="G1202" s="4">
        <f>VLOOKUP(Googleadssales[[#This Row],[Ad_ID]],'[1]pre processed data'!A:K,11,0)</f>
        <v>6</v>
      </c>
      <c r="H1202" s="2">
        <f>Googleadssales[[#This Row],[Conversions]]/Googleadssales[[#This Row],[Clicks]]</f>
        <v>6.1855670103092786E-2</v>
      </c>
      <c r="I1202" t="str">
        <f>VLOOKUP(Googleadssales[[#This Row],[Ad_ID]],'[1]pre processed data'!A:O,15,0)</f>
        <v>$1304</v>
      </c>
      <c r="J1202" s="3">
        <f>VLOOKUP(Googleadssales[[#This Row],[Ad_ID]],'[1]pre processed data'!A:Q,17,0)</f>
        <v>45603</v>
      </c>
      <c r="K1202" t="str">
        <f>VLOOKUP(Googleadssales[[#This Row],[Ad_ID]],'[1]pre processed data'!A:R,18,0)</f>
        <v>Hyderabad</v>
      </c>
      <c r="L1202" t="str">
        <f>VLOOKUP(Googleadssales[[#This Row],[Ad_ID]],'[1]pre processed data'!A:S,19,0)</f>
        <v>Desktop</v>
      </c>
      <c r="M1202" t="str">
        <f>VLOOKUP(Googleadssales[[#This Row],[Ad_ID]],'[1]pre processed data'!A:T,20,0)</f>
        <v>analytics for data</v>
      </c>
    </row>
    <row r="1203" spans="1:13" x14ac:dyDescent="0.3">
      <c r="A1203" t="s">
        <v>1216</v>
      </c>
      <c r="B1203" t="s">
        <v>18</v>
      </c>
      <c r="C1203" s="4">
        <f>VLOOKUP(Googleadssales[[#This Row],[Ad_ID]],'[1]pre processed data'!A:C,3,0)</f>
        <v>155</v>
      </c>
      <c r="D1203" s="4">
        <f>VLOOKUP(Googleadssales[[#This Row],[Ad_ID]],'[1]pre processed data'!A:E,5,0)</f>
        <v>3662</v>
      </c>
      <c r="E1203" s="5" t="str">
        <f>VLOOKUP(Googleadssales[[#This Row],[Ad_ID]],[1]!Table3[[Ad_ID]:[Cost-imputed]],7,0)</f>
        <v>$208.16</v>
      </c>
      <c r="F1203" s="4">
        <f>VLOOKUP(Googleadssales[[#This Row],[Ad_ID]],'[1]pre processed data'!A:I,9,0)</f>
        <v>23</v>
      </c>
      <c r="G1203" s="4">
        <f>VLOOKUP(Googleadssales[[#This Row],[Ad_ID]],'[1]pre processed data'!A:K,11,0)</f>
        <v>4</v>
      </c>
      <c r="H1203" s="2">
        <f>Googleadssales[[#This Row],[Conversions]]/Googleadssales[[#This Row],[Clicks]]</f>
        <v>2.5806451612903226E-2</v>
      </c>
      <c r="I1203" t="str">
        <f>VLOOKUP(Googleadssales[[#This Row],[Ad_ID]],'[1]pre processed data'!A:O,15,0)</f>
        <v>$1913</v>
      </c>
      <c r="J1203" s="3">
        <f>VLOOKUP(Googleadssales[[#This Row],[Ad_ID]],'[1]pre processed data'!A:Q,17,0)</f>
        <v>45623</v>
      </c>
      <c r="K1203" t="str">
        <f>VLOOKUP(Googleadssales[[#This Row],[Ad_ID]],'[1]pre processed data'!A:R,18,0)</f>
        <v>Hyderabad</v>
      </c>
      <c r="L1203" t="str">
        <f>VLOOKUP(Googleadssales[[#This Row],[Ad_ID]],'[1]pre processed data'!A:S,19,0)</f>
        <v>Desktop</v>
      </c>
      <c r="M1203" t="str">
        <f>VLOOKUP(Googleadssales[[#This Row],[Ad_ID]],'[1]pre processed data'!A:T,20,0)</f>
        <v>online data analytic</v>
      </c>
    </row>
    <row r="1204" spans="1:13" x14ac:dyDescent="0.3">
      <c r="A1204" t="s">
        <v>1217</v>
      </c>
      <c r="B1204" t="s">
        <v>14</v>
      </c>
      <c r="C1204" s="4">
        <f>VLOOKUP(Googleadssales[[#This Row],[Ad_ID]],'[1]pre processed data'!A:C,3,0)</f>
        <v>109</v>
      </c>
      <c r="D1204" s="4">
        <f>VLOOKUP(Googleadssales[[#This Row],[Ad_ID]],'[1]pre processed data'!A:E,5,0)</f>
        <v>5187</v>
      </c>
      <c r="E1204" s="5" t="str">
        <f>VLOOKUP(Googleadssales[[#This Row],[Ad_ID]],[1]!Table3[[Ad_ID]:[Cost-imputed]],7,0)</f>
        <v>$222.69</v>
      </c>
      <c r="F1204" s="4">
        <f>VLOOKUP(Googleadssales[[#This Row],[Ad_ID]],'[1]pre processed data'!A:I,9,0)</f>
        <v>17</v>
      </c>
      <c r="G1204" s="4">
        <f>VLOOKUP(Googleadssales[[#This Row],[Ad_ID]],'[1]pre processed data'!A:K,11,0)</f>
        <v>7</v>
      </c>
      <c r="H1204" s="2">
        <f>Googleadssales[[#This Row],[Conversions]]/Googleadssales[[#This Row],[Clicks]]</f>
        <v>6.4220183486238536E-2</v>
      </c>
      <c r="I1204" t="str">
        <f>VLOOKUP(Googleadssales[[#This Row],[Ad_ID]],'[1]pre processed data'!A:O,15,0)</f>
        <v>$1690</v>
      </c>
      <c r="J1204" s="3">
        <f>VLOOKUP(Googleadssales[[#This Row],[Ad_ID]],'[1]pre processed data'!A:Q,17,0)</f>
        <v>45619</v>
      </c>
      <c r="K1204" t="str">
        <f>VLOOKUP(Googleadssales[[#This Row],[Ad_ID]],'[1]pre processed data'!A:R,18,0)</f>
        <v>Bangaluru</v>
      </c>
      <c r="L1204" t="str">
        <f>VLOOKUP(Googleadssales[[#This Row],[Ad_ID]],'[1]pre processed data'!A:S,19,0)</f>
        <v>Tablet</v>
      </c>
      <c r="M1204" t="str">
        <f>VLOOKUP(Googleadssales[[#This Row],[Ad_ID]],'[1]pre processed data'!A:T,20,0)</f>
        <v>learn data analytics</v>
      </c>
    </row>
    <row r="1205" spans="1:13" x14ac:dyDescent="0.3">
      <c r="A1205" t="s">
        <v>1218</v>
      </c>
      <c r="B1205" t="s">
        <v>14</v>
      </c>
      <c r="C1205" s="4">
        <f>VLOOKUP(Googleadssales[[#This Row],[Ad_ID]],'[1]pre processed data'!A:C,3,0)</f>
        <v>181</v>
      </c>
      <c r="D1205" s="4">
        <f>VLOOKUP(Googleadssales[[#This Row],[Ad_ID]],'[1]pre processed data'!A:E,5,0)</f>
        <v>3647</v>
      </c>
      <c r="E1205" s="5" t="str">
        <f>VLOOKUP(Googleadssales[[#This Row],[Ad_ID]],[1]!Table3[[Ad_ID]:[Cost-imputed]],7,0)</f>
        <v>$227.37</v>
      </c>
      <c r="F1205" s="4">
        <f>VLOOKUP(Googleadssales[[#This Row],[Ad_ID]],'[1]pre processed data'!A:I,9,0)</f>
        <v>30</v>
      </c>
      <c r="G1205" s="4">
        <f>VLOOKUP(Googleadssales[[#This Row],[Ad_ID]],'[1]pre processed data'!A:K,11,0)</f>
        <v>6</v>
      </c>
      <c r="H1205" s="2">
        <f>Googleadssales[[#This Row],[Conversions]]/Googleadssales[[#This Row],[Clicks]]</f>
        <v>3.3149171270718231E-2</v>
      </c>
      <c r="I1205" t="str">
        <f>VLOOKUP(Googleadssales[[#This Row],[Ad_ID]],'[1]pre processed data'!A:O,15,0)</f>
        <v>$1412</v>
      </c>
      <c r="J1205" s="3">
        <f>VLOOKUP(Googleadssales[[#This Row],[Ad_ID]],'[1]pre processed data'!A:Q,17,0)</f>
        <v>45626</v>
      </c>
      <c r="K1205" t="str">
        <f>VLOOKUP(Googleadssales[[#This Row],[Ad_ID]],'[1]pre processed data'!A:R,18,0)</f>
        <v>Hyderabad</v>
      </c>
      <c r="L1205" t="str">
        <f>VLOOKUP(Googleadssales[[#This Row],[Ad_ID]],'[1]pre processed data'!A:S,19,0)</f>
        <v>Desktop</v>
      </c>
      <c r="M1205" t="str">
        <f>VLOOKUP(Googleadssales[[#This Row],[Ad_ID]],'[1]pre processed data'!A:T,20,0)</f>
        <v>data analytics course</v>
      </c>
    </row>
    <row r="1206" spans="1:13" x14ac:dyDescent="0.3">
      <c r="A1206" t="s">
        <v>1219</v>
      </c>
      <c r="B1206" t="s">
        <v>14</v>
      </c>
      <c r="C1206" s="4">
        <f>VLOOKUP(Googleadssales[[#This Row],[Ad_ID]],'[1]pre processed data'!A:C,3,0)</f>
        <v>131</v>
      </c>
      <c r="D1206" s="4">
        <f>VLOOKUP(Googleadssales[[#This Row],[Ad_ID]],'[1]pre processed data'!A:E,5,0)</f>
        <v>3626</v>
      </c>
      <c r="E1206" s="5" t="str">
        <f>VLOOKUP(Googleadssales[[#This Row],[Ad_ID]],[1]!Table3[[Ad_ID]:[Cost-imputed]],7,0)</f>
        <v>$193.68</v>
      </c>
      <c r="F1206" s="4">
        <f>VLOOKUP(Googleadssales[[#This Row],[Ad_ID]],'[1]pre processed data'!A:I,9,0)</f>
        <v>27</v>
      </c>
      <c r="G1206" s="4">
        <f>VLOOKUP(Googleadssales[[#This Row],[Ad_ID]],'[1]pre processed data'!A:K,11,0)</f>
        <v>3</v>
      </c>
      <c r="H1206" s="2">
        <f>Googleadssales[[#This Row],[Conversions]]/Googleadssales[[#This Row],[Clicks]]</f>
        <v>2.2900763358778626E-2</v>
      </c>
      <c r="I1206" t="str">
        <f>VLOOKUP(Googleadssales[[#This Row],[Ad_ID]],'[1]pre processed data'!A:O,15,0)</f>
        <v>$1500</v>
      </c>
      <c r="J1206" s="3">
        <f>VLOOKUP(Googleadssales[[#This Row],[Ad_ID]],'[1]pre processed data'!A:Q,17,0)</f>
        <v>45621</v>
      </c>
      <c r="K1206" t="str">
        <f>VLOOKUP(Googleadssales[[#This Row],[Ad_ID]],'[1]pre processed data'!A:R,18,0)</f>
        <v>Bangaluru</v>
      </c>
      <c r="L1206" t="str">
        <f>VLOOKUP(Googleadssales[[#This Row],[Ad_ID]],'[1]pre processed data'!A:S,19,0)</f>
        <v>Tablet</v>
      </c>
      <c r="M1206" t="str">
        <f>VLOOKUP(Googleadssales[[#This Row],[Ad_ID]],'[1]pre processed data'!A:T,20,0)</f>
        <v>data analytics online</v>
      </c>
    </row>
    <row r="1207" spans="1:13" x14ac:dyDescent="0.3">
      <c r="A1207" t="s">
        <v>1220</v>
      </c>
      <c r="B1207" t="s">
        <v>14</v>
      </c>
      <c r="C1207" s="4">
        <f>VLOOKUP(Googleadssales[[#This Row],[Ad_ID]],'[1]pre processed data'!A:C,3,0)</f>
        <v>138.95699356913184</v>
      </c>
      <c r="D1207" s="4">
        <f>VLOOKUP(Googleadssales[[#This Row],[Ad_ID]],'[1]pre processed data'!A:E,5,0)</f>
        <v>5650</v>
      </c>
      <c r="E1207" s="5" t="str">
        <f>VLOOKUP(Googleadssales[[#This Row],[Ad_ID]],[1]!Table3[[Ad_ID]:[Cost-imputed]],7,0)</f>
        <v>$225.22</v>
      </c>
      <c r="F1207" s="4">
        <f>VLOOKUP(Googleadssales[[#This Row],[Ad_ID]],'[1]pre processed data'!A:I,9,0)</f>
        <v>26</v>
      </c>
      <c r="G1207" s="4">
        <f>VLOOKUP(Googleadssales[[#This Row],[Ad_ID]],'[1]pre processed data'!A:K,11,0)</f>
        <v>3</v>
      </c>
      <c r="H1207" s="2">
        <f>Googleadssales[[#This Row],[Conversions]]/Googleadssales[[#This Row],[Clicks]]</f>
        <v>2.1589413551232915E-2</v>
      </c>
      <c r="I1207" t="str">
        <f>VLOOKUP(Googleadssales[[#This Row],[Ad_ID]],'[1]pre processed data'!A:O,15,0)</f>
        <v>$1774</v>
      </c>
      <c r="J1207" s="3">
        <f>VLOOKUP(Googleadssales[[#This Row],[Ad_ID]],'[1]pre processed data'!A:Q,17,0)</f>
        <v>45598</v>
      </c>
      <c r="K1207" t="str">
        <f>VLOOKUP(Googleadssales[[#This Row],[Ad_ID]],'[1]pre processed data'!A:R,18,0)</f>
        <v>Hyderabad</v>
      </c>
      <c r="L1207" t="str">
        <f>VLOOKUP(Googleadssales[[#This Row],[Ad_ID]],'[1]pre processed data'!A:S,19,0)</f>
        <v>Desktop</v>
      </c>
      <c r="M1207" t="str">
        <f>VLOOKUP(Googleadssales[[#This Row],[Ad_ID]],'[1]pre processed data'!A:T,20,0)</f>
        <v>online data analytic</v>
      </c>
    </row>
    <row r="1208" spans="1:13" x14ac:dyDescent="0.3">
      <c r="A1208" t="s">
        <v>1221</v>
      </c>
      <c r="B1208" t="s">
        <v>18</v>
      </c>
      <c r="C1208" s="4">
        <f>VLOOKUP(Googleadssales[[#This Row],[Ad_ID]],'[1]pre processed data'!A:C,3,0)</f>
        <v>109</v>
      </c>
      <c r="D1208" s="4">
        <f>VLOOKUP(Googleadssales[[#This Row],[Ad_ID]],'[1]pre processed data'!A:E,5,0)</f>
        <v>5219</v>
      </c>
      <c r="E1208" s="5" t="str">
        <f>VLOOKUP(Googleadssales[[#This Row],[Ad_ID]],[1]!Table3[[Ad_ID]:[Cost-imputed]],7,0)</f>
        <v>$215.76</v>
      </c>
      <c r="F1208" s="4">
        <f>VLOOKUP(Googleadssales[[#This Row],[Ad_ID]],'[1]pre processed data'!A:I,9,0)</f>
        <v>15</v>
      </c>
      <c r="G1208" s="4">
        <f>VLOOKUP(Googleadssales[[#This Row],[Ad_ID]],'[1]pre processed data'!A:K,11,0)</f>
        <v>3</v>
      </c>
      <c r="H1208" s="2">
        <f>Googleadssales[[#This Row],[Conversions]]/Googleadssales[[#This Row],[Clicks]]</f>
        <v>2.7522935779816515E-2</v>
      </c>
      <c r="I1208" t="str">
        <f>VLOOKUP(Googleadssales[[#This Row],[Ad_ID]],'[1]pre processed data'!A:O,15,0)</f>
        <v>$1408</v>
      </c>
      <c r="J1208" s="3">
        <f>VLOOKUP(Googleadssales[[#This Row],[Ad_ID]],'[1]pre processed data'!A:Q,17,0)</f>
        <v>45614</v>
      </c>
      <c r="K1208" t="str">
        <f>VLOOKUP(Googleadssales[[#This Row],[Ad_ID]],'[1]pre processed data'!A:R,18,0)</f>
        <v>Hyderabad</v>
      </c>
      <c r="L1208" t="str">
        <f>VLOOKUP(Googleadssales[[#This Row],[Ad_ID]],'[1]pre processed data'!A:S,19,0)</f>
        <v>Tablet</v>
      </c>
      <c r="M1208" t="str">
        <f>VLOOKUP(Googleadssales[[#This Row],[Ad_ID]],'[1]pre processed data'!A:T,20,0)</f>
        <v>learn data analytics</v>
      </c>
    </row>
    <row r="1209" spans="1:13" x14ac:dyDescent="0.3">
      <c r="A1209" t="s">
        <v>1222</v>
      </c>
      <c r="B1209" t="s">
        <v>14</v>
      </c>
      <c r="C1209" s="4">
        <f>VLOOKUP(Googleadssales[[#This Row],[Ad_ID]],'[1]pre processed data'!A:C,3,0)</f>
        <v>191</v>
      </c>
      <c r="D1209" s="4">
        <f>VLOOKUP(Googleadssales[[#This Row],[Ad_ID]],'[1]pre processed data'!A:E,5,0)</f>
        <v>3333</v>
      </c>
      <c r="E1209" s="5" t="str">
        <f>VLOOKUP(Googleadssales[[#This Row],[Ad_ID]],[1]!Table3[[Ad_ID]:[Cost-imputed]],7,0)</f>
        <v>$187.71</v>
      </c>
      <c r="F1209" s="4">
        <f>VLOOKUP(Googleadssales[[#This Row],[Ad_ID]],'[1]pre processed data'!A:I,9,0)</f>
        <v>13</v>
      </c>
      <c r="G1209" s="4">
        <f>VLOOKUP(Googleadssales[[#This Row],[Ad_ID]],'[1]pre processed data'!A:K,11,0)</f>
        <v>5</v>
      </c>
      <c r="H1209" s="2">
        <f>Googleadssales[[#This Row],[Conversions]]/Googleadssales[[#This Row],[Clicks]]</f>
        <v>2.6178010471204188E-2</v>
      </c>
      <c r="I1209" t="str">
        <f>VLOOKUP(Googleadssales[[#This Row],[Ad_ID]],'[1]pre processed data'!A:O,15,0)</f>
        <v>$1360</v>
      </c>
      <c r="J1209" s="3">
        <f>VLOOKUP(Googleadssales[[#This Row],[Ad_ID]],'[1]pre processed data'!A:Q,17,0)</f>
        <v>45622</v>
      </c>
      <c r="K1209" t="str">
        <f>VLOOKUP(Googleadssales[[#This Row],[Ad_ID]],'[1]pre processed data'!A:R,18,0)</f>
        <v>Hyderabad</v>
      </c>
      <c r="L1209" t="str">
        <f>VLOOKUP(Googleadssales[[#This Row],[Ad_ID]],'[1]pre processed data'!A:S,19,0)</f>
        <v>Desktop</v>
      </c>
      <c r="M1209" t="str">
        <f>VLOOKUP(Googleadssales[[#This Row],[Ad_ID]],'[1]pre processed data'!A:T,20,0)</f>
        <v>learn data analytics</v>
      </c>
    </row>
    <row r="1210" spans="1:13" x14ac:dyDescent="0.3">
      <c r="A1210" t="s">
        <v>1223</v>
      </c>
      <c r="B1210" t="s">
        <v>14</v>
      </c>
      <c r="C1210" s="4">
        <f>VLOOKUP(Googleadssales[[#This Row],[Ad_ID]],'[1]pre processed data'!A:C,3,0)</f>
        <v>101</v>
      </c>
      <c r="D1210" s="4">
        <f>VLOOKUP(Googleadssales[[#This Row],[Ad_ID]],'[1]pre processed data'!A:E,5,0)</f>
        <v>4435</v>
      </c>
      <c r="E1210" s="5" t="str">
        <f>VLOOKUP(Googleadssales[[#This Row],[Ad_ID]],[1]!Table3[[Ad_ID]:[Cost-imputed]],7,0)</f>
        <v>$222.49</v>
      </c>
      <c r="F1210" s="4">
        <f>VLOOKUP(Googleadssales[[#This Row],[Ad_ID]],'[1]pre processed data'!A:I,9,0)</f>
        <v>11</v>
      </c>
      <c r="G1210" s="4">
        <f>VLOOKUP(Googleadssales[[#This Row],[Ad_ID]],'[1]pre processed data'!A:K,11,0)</f>
        <v>10</v>
      </c>
      <c r="H1210" s="2">
        <f>Googleadssales[[#This Row],[Conversions]]/Googleadssales[[#This Row],[Clicks]]</f>
        <v>9.9009900990099015E-2</v>
      </c>
      <c r="I1210" t="str">
        <f>VLOOKUP(Googleadssales[[#This Row],[Ad_ID]],'[1]pre processed data'!A:O,15,0)</f>
        <v>$1277</v>
      </c>
      <c r="J1210" s="3">
        <f>VLOOKUP(Googleadssales[[#This Row],[Ad_ID]],'[1]pre processed data'!A:Q,17,0)</f>
        <v>45617</v>
      </c>
      <c r="K1210" t="str">
        <f>VLOOKUP(Googleadssales[[#This Row],[Ad_ID]],'[1]pre processed data'!A:R,18,0)</f>
        <v>Chennai</v>
      </c>
      <c r="L1210" t="str">
        <f>VLOOKUP(Googleadssales[[#This Row],[Ad_ID]],'[1]pre processed data'!A:S,19,0)</f>
        <v>Mobile</v>
      </c>
      <c r="M1210" t="str">
        <f>VLOOKUP(Googleadssales[[#This Row],[Ad_ID]],'[1]pre processed data'!A:T,20,0)</f>
        <v>data analytics training</v>
      </c>
    </row>
    <row r="1211" spans="1:13" x14ac:dyDescent="0.3">
      <c r="A1211" t="s">
        <v>1224</v>
      </c>
      <c r="B1211" t="s">
        <v>18</v>
      </c>
      <c r="C1211" s="4">
        <f>VLOOKUP(Googleadssales[[#This Row],[Ad_ID]],'[1]pre processed data'!A:C,3,0)</f>
        <v>152</v>
      </c>
      <c r="D1211" s="4">
        <f>VLOOKUP(Googleadssales[[#This Row],[Ad_ID]],'[1]pre processed data'!A:E,5,0)</f>
        <v>5204</v>
      </c>
      <c r="E1211" s="5" t="str">
        <f>VLOOKUP(Googleadssales[[#This Row],[Ad_ID]],[1]!Table3[[Ad_ID]:[Cost-imputed]],7,0)</f>
        <v>$210.28</v>
      </c>
      <c r="F1211" s="4">
        <f>VLOOKUP(Googleadssales[[#This Row],[Ad_ID]],'[1]pre processed data'!A:I,9,0)</f>
        <v>11</v>
      </c>
      <c r="G1211" s="4">
        <f>VLOOKUP(Googleadssales[[#This Row],[Ad_ID]],'[1]pre processed data'!A:K,11,0)</f>
        <v>7</v>
      </c>
      <c r="H1211" s="2">
        <f>Googleadssales[[#This Row],[Conversions]]/Googleadssales[[#This Row],[Clicks]]</f>
        <v>4.6052631578947366E-2</v>
      </c>
      <c r="I1211" t="str">
        <f>VLOOKUP(Googleadssales[[#This Row],[Ad_ID]],'[1]pre processed data'!A:O,15,0)</f>
        <v>$1500</v>
      </c>
      <c r="J1211" s="3">
        <f>VLOOKUP(Googleadssales[[#This Row],[Ad_ID]],'[1]pre processed data'!A:Q,17,0)</f>
        <v>45619</v>
      </c>
      <c r="K1211" t="str">
        <f>VLOOKUP(Googleadssales[[#This Row],[Ad_ID]],'[1]pre processed data'!A:R,18,0)</f>
        <v>Bangaluru</v>
      </c>
      <c r="L1211" t="str">
        <f>VLOOKUP(Googleadssales[[#This Row],[Ad_ID]],'[1]pre processed data'!A:S,19,0)</f>
        <v>Mobile</v>
      </c>
      <c r="M1211" t="str">
        <f>VLOOKUP(Googleadssales[[#This Row],[Ad_ID]],'[1]pre processed data'!A:T,20,0)</f>
        <v>online data analytic</v>
      </c>
    </row>
    <row r="1212" spans="1:13" x14ac:dyDescent="0.3">
      <c r="A1212" t="s">
        <v>1225</v>
      </c>
      <c r="B1212" t="s">
        <v>18</v>
      </c>
      <c r="C1212" s="4">
        <f>VLOOKUP(Googleadssales[[#This Row],[Ad_ID]],'[1]pre processed data'!A:C,3,0)</f>
        <v>164</v>
      </c>
      <c r="D1212" s="4">
        <f>VLOOKUP(Googleadssales[[#This Row],[Ad_ID]],'[1]pre processed data'!A:E,5,0)</f>
        <v>3856</v>
      </c>
      <c r="E1212" s="5" t="str">
        <f>VLOOKUP(Googleadssales[[#This Row],[Ad_ID]],[1]!Table3[[Ad_ID]:[Cost-imputed]],7,0)</f>
        <v>$241.65</v>
      </c>
      <c r="F1212" s="4">
        <f>VLOOKUP(Googleadssales[[#This Row],[Ad_ID]],'[1]pre processed data'!A:I,9,0)</f>
        <v>27</v>
      </c>
      <c r="G1212" s="4">
        <f>VLOOKUP(Googleadssales[[#This Row],[Ad_ID]],'[1]pre processed data'!A:K,11,0)</f>
        <v>4</v>
      </c>
      <c r="H1212" s="2">
        <f>Googleadssales[[#This Row],[Conversions]]/Googleadssales[[#This Row],[Clicks]]</f>
        <v>2.4390243902439025E-2</v>
      </c>
      <c r="I1212" t="str">
        <f>VLOOKUP(Googleadssales[[#This Row],[Ad_ID]],'[1]pre processed data'!A:O,15,0)</f>
        <v>$1786</v>
      </c>
      <c r="J1212" s="3">
        <f>VLOOKUP(Googleadssales[[#This Row],[Ad_ID]],'[1]pre processed data'!A:Q,17,0)</f>
        <v>45617</v>
      </c>
      <c r="K1212" t="str">
        <f>VLOOKUP(Googleadssales[[#This Row],[Ad_ID]],'[1]pre processed data'!A:R,18,0)</f>
        <v>Chennai</v>
      </c>
      <c r="L1212" t="str">
        <f>VLOOKUP(Googleadssales[[#This Row],[Ad_ID]],'[1]pre processed data'!A:S,19,0)</f>
        <v>Desktop</v>
      </c>
      <c r="M1212" t="str">
        <f>VLOOKUP(Googleadssales[[#This Row],[Ad_ID]],'[1]pre processed data'!A:T,20,0)</f>
        <v>data analytics training</v>
      </c>
    </row>
    <row r="1213" spans="1:13" x14ac:dyDescent="0.3">
      <c r="A1213" t="s">
        <v>1226</v>
      </c>
      <c r="B1213" t="s">
        <v>18</v>
      </c>
      <c r="C1213" s="4">
        <f>VLOOKUP(Googleadssales[[#This Row],[Ad_ID]],'[1]pre processed data'!A:C,3,0)</f>
        <v>83</v>
      </c>
      <c r="D1213" s="4">
        <f>VLOOKUP(Googleadssales[[#This Row],[Ad_ID]],'[1]pre processed data'!A:E,5,0)</f>
        <v>4143</v>
      </c>
      <c r="E1213" s="5" t="str">
        <f>VLOOKUP(Googleadssales[[#This Row],[Ad_ID]],[1]!Table3[[Ad_ID]:[Cost-imputed]],7,0)</f>
        <v>$203.11</v>
      </c>
      <c r="F1213" s="4">
        <f>VLOOKUP(Googleadssales[[#This Row],[Ad_ID]],'[1]pre processed data'!A:I,9,0)</f>
        <v>23</v>
      </c>
      <c r="G1213" s="4">
        <f>VLOOKUP(Googleadssales[[#This Row],[Ad_ID]],'[1]pre processed data'!A:K,11,0)</f>
        <v>10</v>
      </c>
      <c r="H1213" s="2">
        <f>Googleadssales[[#This Row],[Conversions]]/Googleadssales[[#This Row],[Clicks]]</f>
        <v>0.12048192771084337</v>
      </c>
      <c r="I1213" t="str">
        <f>VLOOKUP(Googleadssales[[#This Row],[Ad_ID]],'[1]pre processed data'!A:O,15,0)</f>
        <v>$1517</v>
      </c>
      <c r="J1213" s="3">
        <f>VLOOKUP(Googleadssales[[#This Row],[Ad_ID]],'[1]pre processed data'!A:Q,17,0)</f>
        <v>45622</v>
      </c>
      <c r="K1213" t="str">
        <f>VLOOKUP(Googleadssales[[#This Row],[Ad_ID]],'[1]pre processed data'!A:R,18,0)</f>
        <v>Chennai</v>
      </c>
      <c r="L1213" t="str">
        <f>VLOOKUP(Googleadssales[[#This Row],[Ad_ID]],'[1]pre processed data'!A:S,19,0)</f>
        <v>Mobile</v>
      </c>
      <c r="M1213" t="str">
        <f>VLOOKUP(Googleadssales[[#This Row],[Ad_ID]],'[1]pre processed data'!A:T,20,0)</f>
        <v>learn data analytics</v>
      </c>
    </row>
    <row r="1214" spans="1:13" x14ac:dyDescent="0.3">
      <c r="A1214" t="s">
        <v>1227</v>
      </c>
      <c r="B1214" t="s">
        <v>14</v>
      </c>
      <c r="C1214" s="4">
        <f>VLOOKUP(Googleadssales[[#This Row],[Ad_ID]],'[1]pre processed data'!A:C,3,0)</f>
        <v>199</v>
      </c>
      <c r="D1214" s="4">
        <f>VLOOKUP(Googleadssales[[#This Row],[Ad_ID]],'[1]pre processed data'!A:E,5,0)</f>
        <v>5895</v>
      </c>
      <c r="E1214" s="5" t="str">
        <f>VLOOKUP(Googleadssales[[#This Row],[Ad_ID]],[1]!Table3[[Ad_ID]:[Cost-imputed]],7,0)</f>
        <v>$239.59</v>
      </c>
      <c r="F1214" s="4">
        <f>VLOOKUP(Googleadssales[[#This Row],[Ad_ID]],'[1]pre processed data'!A:I,9,0)</f>
        <v>21</v>
      </c>
      <c r="G1214" s="4">
        <f>VLOOKUP(Googleadssales[[#This Row],[Ad_ID]],'[1]pre processed data'!A:K,11,0)</f>
        <v>4</v>
      </c>
      <c r="H1214" s="2">
        <f>Googleadssales[[#This Row],[Conversions]]/Googleadssales[[#This Row],[Clicks]]</f>
        <v>2.0100502512562814E-2</v>
      </c>
      <c r="I1214" t="str">
        <f>VLOOKUP(Googleadssales[[#This Row],[Ad_ID]],'[1]pre processed data'!A:O,15,0)</f>
        <v>$1592</v>
      </c>
      <c r="J1214" s="3">
        <f>VLOOKUP(Googleadssales[[#This Row],[Ad_ID]],'[1]pre processed data'!A:Q,17,0)</f>
        <v>45626</v>
      </c>
      <c r="K1214" t="str">
        <f>VLOOKUP(Googleadssales[[#This Row],[Ad_ID]],'[1]pre processed data'!A:R,18,0)</f>
        <v>Bangaluru</v>
      </c>
      <c r="L1214" t="str">
        <f>VLOOKUP(Googleadssales[[#This Row],[Ad_ID]],'[1]pre processed data'!A:S,19,0)</f>
        <v>Mobile</v>
      </c>
      <c r="M1214" t="str">
        <f>VLOOKUP(Googleadssales[[#This Row],[Ad_ID]],'[1]pre processed data'!A:T,20,0)</f>
        <v>data analytics training</v>
      </c>
    </row>
    <row r="1215" spans="1:13" x14ac:dyDescent="0.3">
      <c r="A1215" t="s">
        <v>1228</v>
      </c>
      <c r="B1215" t="s">
        <v>14</v>
      </c>
      <c r="C1215" s="4">
        <f>VLOOKUP(Googleadssales[[#This Row],[Ad_ID]],'[1]pre processed data'!A:C,3,0)</f>
        <v>141</v>
      </c>
      <c r="D1215" s="4">
        <f>VLOOKUP(Googleadssales[[#This Row],[Ad_ID]],'[1]pre processed data'!A:E,5,0)</f>
        <v>4039</v>
      </c>
      <c r="E1215" s="5" t="str">
        <f>VLOOKUP(Googleadssales[[#This Row],[Ad_ID]],[1]!Table3[[Ad_ID]:[Cost-imputed]],7,0)</f>
        <v>$205.8</v>
      </c>
      <c r="F1215" s="4">
        <f>VLOOKUP(Googleadssales[[#This Row],[Ad_ID]],'[1]pre processed data'!A:I,9,0)</f>
        <v>28</v>
      </c>
      <c r="G1215" s="4">
        <f>VLOOKUP(Googleadssales[[#This Row],[Ad_ID]],'[1]pre processed data'!A:K,11,0)</f>
        <v>6</v>
      </c>
      <c r="H1215" s="2">
        <f>Googleadssales[[#This Row],[Conversions]]/Googleadssales[[#This Row],[Clicks]]</f>
        <v>4.2553191489361701E-2</v>
      </c>
      <c r="I1215" t="str">
        <f>VLOOKUP(Googleadssales[[#This Row],[Ad_ID]],'[1]pre processed data'!A:O,15,0)</f>
        <v>$1220</v>
      </c>
      <c r="J1215" s="3">
        <f>VLOOKUP(Googleadssales[[#This Row],[Ad_ID]],'[1]pre processed data'!A:Q,17,0)</f>
        <v>45604</v>
      </c>
      <c r="K1215" t="str">
        <f>VLOOKUP(Googleadssales[[#This Row],[Ad_ID]],'[1]pre processed data'!A:R,18,0)</f>
        <v>Hyderabad</v>
      </c>
      <c r="L1215" t="str">
        <f>VLOOKUP(Googleadssales[[#This Row],[Ad_ID]],'[1]pre processed data'!A:S,19,0)</f>
        <v>Desktop</v>
      </c>
      <c r="M1215" t="str">
        <f>VLOOKUP(Googleadssales[[#This Row],[Ad_ID]],'[1]pre processed data'!A:T,20,0)</f>
        <v>data analytics online</v>
      </c>
    </row>
    <row r="1216" spans="1:13" x14ac:dyDescent="0.3">
      <c r="A1216" t="s">
        <v>1229</v>
      </c>
      <c r="B1216" t="s">
        <v>18</v>
      </c>
      <c r="C1216" s="4">
        <f>VLOOKUP(Googleadssales[[#This Row],[Ad_ID]],'[1]pre processed data'!A:C,3,0)</f>
        <v>131</v>
      </c>
      <c r="D1216" s="4">
        <f>VLOOKUP(Googleadssales[[#This Row],[Ad_ID]],'[1]pre processed data'!A:E,5,0)</f>
        <v>4773</v>
      </c>
      <c r="E1216" s="5" t="str">
        <f>VLOOKUP(Googleadssales[[#This Row],[Ad_ID]],[1]!Table3[[Ad_ID]:[Cost-imputed]],7,0)</f>
        <v>$215.36</v>
      </c>
      <c r="F1216" s="4">
        <f>VLOOKUP(Googleadssales[[#This Row],[Ad_ID]],'[1]pre processed data'!A:I,9,0)</f>
        <v>26</v>
      </c>
      <c r="G1216" s="4">
        <f>VLOOKUP(Googleadssales[[#This Row],[Ad_ID]],'[1]pre processed data'!A:K,11,0)</f>
        <v>7</v>
      </c>
      <c r="H1216" s="2">
        <f>Googleadssales[[#This Row],[Conversions]]/Googleadssales[[#This Row],[Clicks]]</f>
        <v>5.3435114503816793E-2</v>
      </c>
      <c r="I1216" t="str">
        <f>VLOOKUP(Googleadssales[[#This Row],[Ad_ID]],'[1]pre processed data'!A:O,15,0)</f>
        <v>$1363</v>
      </c>
      <c r="J1216" s="3">
        <f>VLOOKUP(Googleadssales[[#This Row],[Ad_ID]],'[1]pre processed data'!A:Q,17,0)</f>
        <v>45604</v>
      </c>
      <c r="K1216" t="str">
        <f>VLOOKUP(Googleadssales[[#This Row],[Ad_ID]],'[1]pre processed data'!A:R,18,0)</f>
        <v>Chennai</v>
      </c>
      <c r="L1216" t="str">
        <f>VLOOKUP(Googleadssales[[#This Row],[Ad_ID]],'[1]pre processed data'!A:S,19,0)</f>
        <v>Tablet</v>
      </c>
      <c r="M1216" t="str">
        <f>VLOOKUP(Googleadssales[[#This Row],[Ad_ID]],'[1]pre processed data'!A:T,20,0)</f>
        <v>data analytics online</v>
      </c>
    </row>
    <row r="1217" spans="1:13" x14ac:dyDescent="0.3">
      <c r="A1217" t="s">
        <v>1230</v>
      </c>
      <c r="B1217" t="s">
        <v>14</v>
      </c>
      <c r="C1217" s="4">
        <f>VLOOKUP(Googleadssales[[#This Row],[Ad_ID]],'[1]pre processed data'!A:C,3,0)</f>
        <v>138.95699356913184</v>
      </c>
      <c r="D1217" s="4">
        <f>VLOOKUP(Googleadssales[[#This Row],[Ad_ID]],'[1]pre processed data'!A:E,5,0)</f>
        <v>5360</v>
      </c>
      <c r="E1217" s="5" t="str">
        <f>VLOOKUP(Googleadssales[[#This Row],[Ad_ID]],[1]!Table3[[Ad_ID]:[Cost-imputed]],7,0)</f>
        <v>$229.38</v>
      </c>
      <c r="F1217" s="4">
        <f>VLOOKUP(Googleadssales[[#This Row],[Ad_ID]],'[1]pre processed data'!A:I,9,0)</f>
        <v>30</v>
      </c>
      <c r="G1217" s="4">
        <f>VLOOKUP(Googleadssales[[#This Row],[Ad_ID]],'[1]pre processed data'!A:K,11,0)</f>
        <v>7</v>
      </c>
      <c r="H1217" s="2">
        <f>Googleadssales[[#This Row],[Conversions]]/Googleadssales[[#This Row],[Clicks]]</f>
        <v>5.0375298286210138E-2</v>
      </c>
      <c r="I1217" t="str">
        <f>VLOOKUP(Googleadssales[[#This Row],[Ad_ID]],'[1]pre processed data'!A:O,15,0)</f>
        <v>$1896</v>
      </c>
      <c r="J1217" s="3">
        <f>VLOOKUP(Googleadssales[[#This Row],[Ad_ID]],'[1]pre processed data'!A:Q,17,0)</f>
        <v>45615</v>
      </c>
      <c r="K1217" t="str">
        <f>VLOOKUP(Googleadssales[[#This Row],[Ad_ID]],'[1]pre processed data'!A:R,18,0)</f>
        <v>Hyderabad</v>
      </c>
      <c r="L1217" t="str">
        <f>VLOOKUP(Googleadssales[[#This Row],[Ad_ID]],'[1]pre processed data'!A:S,19,0)</f>
        <v>Tablet</v>
      </c>
      <c r="M1217" t="str">
        <f>VLOOKUP(Googleadssales[[#This Row],[Ad_ID]],'[1]pre processed data'!A:T,20,0)</f>
        <v>learn data analytics</v>
      </c>
    </row>
    <row r="1218" spans="1:13" x14ac:dyDescent="0.3">
      <c r="A1218" t="s">
        <v>1231</v>
      </c>
      <c r="B1218" t="s">
        <v>14</v>
      </c>
      <c r="C1218" s="4">
        <f>VLOOKUP(Googleadssales[[#This Row],[Ad_ID]],'[1]pre processed data'!A:C,3,0)</f>
        <v>164</v>
      </c>
      <c r="D1218" s="4">
        <f>VLOOKUP(Googleadssales[[#This Row],[Ad_ID]],'[1]pre processed data'!A:E,5,0)</f>
        <v>5380</v>
      </c>
      <c r="E1218" s="5" t="str">
        <f>VLOOKUP(Googleadssales[[#This Row],[Ad_ID]],[1]!Table3[[Ad_ID]:[Cost-imputed]],7,0)</f>
        <v>$223.15</v>
      </c>
      <c r="F1218" s="4">
        <f>VLOOKUP(Googleadssales[[#This Row],[Ad_ID]],'[1]pre processed data'!A:I,9,0)</f>
        <v>13</v>
      </c>
      <c r="G1218" s="4">
        <f>VLOOKUP(Googleadssales[[#This Row],[Ad_ID]],'[1]pre processed data'!A:K,11,0)</f>
        <v>5</v>
      </c>
      <c r="H1218" s="2">
        <f>Googleadssales[[#This Row],[Conversions]]/Googleadssales[[#This Row],[Clicks]]</f>
        <v>3.048780487804878E-2</v>
      </c>
      <c r="I1218" t="str">
        <f>VLOOKUP(Googleadssales[[#This Row],[Ad_ID]],'[1]pre processed data'!A:O,15,0)</f>
        <v>$1661</v>
      </c>
      <c r="J1218" s="3">
        <f>VLOOKUP(Googleadssales[[#This Row],[Ad_ID]],'[1]pre processed data'!A:Q,17,0)</f>
        <v>45619</v>
      </c>
      <c r="K1218" t="str">
        <f>VLOOKUP(Googleadssales[[#This Row],[Ad_ID]],'[1]pre processed data'!A:R,18,0)</f>
        <v>Hyderabad</v>
      </c>
      <c r="L1218" t="str">
        <f>VLOOKUP(Googleadssales[[#This Row],[Ad_ID]],'[1]pre processed data'!A:S,19,0)</f>
        <v>Desktop</v>
      </c>
      <c r="M1218" t="str">
        <f>VLOOKUP(Googleadssales[[#This Row],[Ad_ID]],'[1]pre processed data'!A:T,20,0)</f>
        <v>analytics for data</v>
      </c>
    </row>
    <row r="1219" spans="1:13" x14ac:dyDescent="0.3">
      <c r="A1219" t="s">
        <v>1232</v>
      </c>
      <c r="B1219" t="s">
        <v>14</v>
      </c>
      <c r="C1219" s="4">
        <f>VLOOKUP(Googleadssales[[#This Row],[Ad_ID]],'[1]pre processed data'!A:C,3,0)</f>
        <v>149</v>
      </c>
      <c r="D1219" s="4">
        <f>VLOOKUP(Googleadssales[[#This Row],[Ad_ID]],'[1]pre processed data'!A:E,5,0)</f>
        <v>3323</v>
      </c>
      <c r="E1219" s="5" t="str">
        <f>VLOOKUP(Googleadssales[[#This Row],[Ad_ID]],[1]!Table3[[Ad_ID]:[Cost-imputed]],7,0)</f>
        <v>$197.76</v>
      </c>
      <c r="F1219" s="4">
        <f>VLOOKUP(Googleadssales[[#This Row],[Ad_ID]],'[1]pre processed data'!A:I,9,0)</f>
        <v>23</v>
      </c>
      <c r="G1219" s="4">
        <f>VLOOKUP(Googleadssales[[#This Row],[Ad_ID]],'[1]pre processed data'!A:K,11,0)</f>
        <v>4</v>
      </c>
      <c r="H1219" s="2">
        <f>Googleadssales[[#This Row],[Conversions]]/Googleadssales[[#This Row],[Clicks]]</f>
        <v>2.6845637583892617E-2</v>
      </c>
      <c r="I1219" t="str">
        <f>VLOOKUP(Googleadssales[[#This Row],[Ad_ID]],'[1]pre processed data'!A:O,15,0)</f>
        <v>$1181</v>
      </c>
      <c r="J1219" s="3">
        <f>VLOOKUP(Googleadssales[[#This Row],[Ad_ID]],'[1]pre processed data'!A:Q,17,0)</f>
        <v>45613</v>
      </c>
      <c r="K1219" t="str">
        <f>VLOOKUP(Googleadssales[[#This Row],[Ad_ID]],'[1]pre processed data'!A:R,18,0)</f>
        <v>Bangaluru</v>
      </c>
      <c r="L1219" t="str">
        <f>VLOOKUP(Googleadssales[[#This Row],[Ad_ID]],'[1]pre processed data'!A:S,19,0)</f>
        <v>Mobile</v>
      </c>
      <c r="M1219" t="str">
        <f>VLOOKUP(Googleadssales[[#This Row],[Ad_ID]],'[1]pre processed data'!A:T,20,0)</f>
        <v>data analytics online</v>
      </c>
    </row>
    <row r="1220" spans="1:13" x14ac:dyDescent="0.3">
      <c r="A1220" t="s">
        <v>1233</v>
      </c>
      <c r="B1220" t="s">
        <v>14</v>
      </c>
      <c r="C1220" s="4">
        <f>VLOOKUP(Googleadssales[[#This Row],[Ad_ID]],'[1]pre processed data'!A:C,3,0)</f>
        <v>112</v>
      </c>
      <c r="D1220" s="4">
        <f>VLOOKUP(Googleadssales[[#This Row],[Ad_ID]],'[1]pre processed data'!A:E,5,0)</f>
        <v>3870</v>
      </c>
      <c r="E1220" s="5" t="str">
        <f>VLOOKUP(Googleadssales[[#This Row],[Ad_ID]],[1]!Table3[[Ad_ID]:[Cost-imputed]],7,0)</f>
        <v>$215.05</v>
      </c>
      <c r="F1220" s="4">
        <f>VLOOKUP(Googleadssales[[#This Row],[Ad_ID]],'[1]pre processed data'!A:I,9,0)</f>
        <v>26</v>
      </c>
      <c r="G1220" s="4">
        <f>VLOOKUP(Googleadssales[[#This Row],[Ad_ID]],'[1]pre processed data'!A:K,11,0)</f>
        <v>6</v>
      </c>
      <c r="H1220" s="2">
        <f>Googleadssales[[#This Row],[Conversions]]/Googleadssales[[#This Row],[Clicks]]</f>
        <v>5.3571428571428568E-2</v>
      </c>
      <c r="I1220" t="str">
        <f>VLOOKUP(Googleadssales[[#This Row],[Ad_ID]],'[1]pre processed data'!A:O,15,0)</f>
        <v>$1483</v>
      </c>
      <c r="J1220" s="3">
        <f>VLOOKUP(Googleadssales[[#This Row],[Ad_ID]],'[1]pre processed data'!A:Q,17,0)</f>
        <v>45599</v>
      </c>
      <c r="K1220" t="str">
        <f>VLOOKUP(Googleadssales[[#This Row],[Ad_ID]],'[1]pre processed data'!A:R,18,0)</f>
        <v>Hyderabad</v>
      </c>
      <c r="L1220" t="str">
        <f>VLOOKUP(Googleadssales[[#This Row],[Ad_ID]],'[1]pre processed data'!A:S,19,0)</f>
        <v>Desktop</v>
      </c>
      <c r="M1220" t="str">
        <f>VLOOKUP(Googleadssales[[#This Row],[Ad_ID]],'[1]pre processed data'!A:T,20,0)</f>
        <v>learn data analytics</v>
      </c>
    </row>
    <row r="1221" spans="1:13" x14ac:dyDescent="0.3">
      <c r="A1221" t="s">
        <v>1234</v>
      </c>
      <c r="B1221" t="s">
        <v>14</v>
      </c>
      <c r="C1221" s="4">
        <f>VLOOKUP(Googleadssales[[#This Row],[Ad_ID]],'[1]pre processed data'!A:C,3,0)</f>
        <v>139</v>
      </c>
      <c r="D1221" s="4">
        <f>VLOOKUP(Googleadssales[[#This Row],[Ad_ID]],'[1]pre processed data'!A:E,5,0)</f>
        <v>4486</v>
      </c>
      <c r="E1221" s="5" t="str">
        <f>VLOOKUP(Googleadssales[[#This Row],[Ad_ID]],[1]!Table3[[Ad_ID]:[Cost-imputed]],7,0)</f>
        <v>$205.46</v>
      </c>
      <c r="F1221" s="4">
        <f>VLOOKUP(Googleadssales[[#This Row],[Ad_ID]],'[1]pre processed data'!A:I,9,0)</f>
        <v>28</v>
      </c>
      <c r="G1221" s="4">
        <f>VLOOKUP(Googleadssales[[#This Row],[Ad_ID]],'[1]pre processed data'!A:K,11,0)</f>
        <v>4</v>
      </c>
      <c r="H1221" s="2">
        <f>Googleadssales[[#This Row],[Conversions]]/Googleadssales[[#This Row],[Clicks]]</f>
        <v>2.8776978417266189E-2</v>
      </c>
      <c r="I1221" t="str">
        <f>VLOOKUP(Googleadssales[[#This Row],[Ad_ID]],'[1]pre processed data'!A:O,15,0)</f>
        <v>$1853</v>
      </c>
      <c r="J1221" s="3">
        <f>VLOOKUP(Googleadssales[[#This Row],[Ad_ID]],'[1]pre processed data'!A:Q,17,0)</f>
        <v>45620</v>
      </c>
      <c r="K1221" t="str">
        <f>VLOOKUP(Googleadssales[[#This Row],[Ad_ID]],'[1]pre processed data'!A:R,18,0)</f>
        <v>Bangaluru</v>
      </c>
      <c r="L1221" t="str">
        <f>VLOOKUP(Googleadssales[[#This Row],[Ad_ID]],'[1]pre processed data'!A:S,19,0)</f>
        <v>Tablet</v>
      </c>
      <c r="M1221" t="str">
        <f>VLOOKUP(Googleadssales[[#This Row],[Ad_ID]],'[1]pre processed data'!A:T,20,0)</f>
        <v>online data analytic</v>
      </c>
    </row>
    <row r="1222" spans="1:13" x14ac:dyDescent="0.3">
      <c r="A1222" t="s">
        <v>1235</v>
      </c>
      <c r="B1222" t="s">
        <v>14</v>
      </c>
      <c r="C1222" s="4">
        <f>VLOOKUP(Googleadssales[[#This Row],[Ad_ID]],'[1]pre processed data'!A:C,3,0)</f>
        <v>105</v>
      </c>
      <c r="D1222" s="4">
        <f>VLOOKUP(Googleadssales[[#This Row],[Ad_ID]],'[1]pre processed data'!A:E,5,0)</f>
        <v>3384</v>
      </c>
      <c r="E1222" s="5" t="str">
        <f>VLOOKUP(Googleadssales[[#This Row],[Ad_ID]],[1]!Table3[[Ad_ID]:[Cost-imputed]],7,0)</f>
        <v>$240.41</v>
      </c>
      <c r="F1222" s="4">
        <f>VLOOKUP(Googleadssales[[#This Row],[Ad_ID]],'[1]pre processed data'!A:I,9,0)</f>
        <v>26</v>
      </c>
      <c r="G1222" s="4">
        <f>VLOOKUP(Googleadssales[[#This Row],[Ad_ID]],'[1]pre processed data'!A:K,11,0)</f>
        <v>8</v>
      </c>
      <c r="H1222" s="2">
        <f>Googleadssales[[#This Row],[Conversions]]/Googleadssales[[#This Row],[Clicks]]</f>
        <v>7.6190476190476197E-2</v>
      </c>
      <c r="I1222" t="str">
        <f>VLOOKUP(Googleadssales[[#This Row],[Ad_ID]],'[1]pre processed data'!A:O,15,0)</f>
        <v>$1399</v>
      </c>
      <c r="J1222" s="3">
        <f>VLOOKUP(Googleadssales[[#This Row],[Ad_ID]],'[1]pre processed data'!A:Q,17,0)</f>
        <v>45599</v>
      </c>
      <c r="K1222" t="str">
        <f>VLOOKUP(Googleadssales[[#This Row],[Ad_ID]],'[1]pre processed data'!A:R,18,0)</f>
        <v>Bangaluru</v>
      </c>
      <c r="L1222" t="str">
        <f>VLOOKUP(Googleadssales[[#This Row],[Ad_ID]],'[1]pre processed data'!A:S,19,0)</f>
        <v>Desktop</v>
      </c>
      <c r="M1222" t="str">
        <f>VLOOKUP(Googleadssales[[#This Row],[Ad_ID]],'[1]pre processed data'!A:T,20,0)</f>
        <v>data analytics online</v>
      </c>
    </row>
    <row r="1223" spans="1:13" x14ac:dyDescent="0.3">
      <c r="A1223" t="s">
        <v>1236</v>
      </c>
      <c r="B1223" t="s">
        <v>14</v>
      </c>
      <c r="C1223" s="4">
        <f>VLOOKUP(Googleadssales[[#This Row],[Ad_ID]],'[1]pre processed data'!A:C,3,0)</f>
        <v>83</v>
      </c>
      <c r="D1223" s="4">
        <f>VLOOKUP(Googleadssales[[#This Row],[Ad_ID]],'[1]pre processed data'!A:E,5,0)</f>
        <v>5066</v>
      </c>
      <c r="E1223" s="5" t="str">
        <f>VLOOKUP(Googleadssales[[#This Row],[Ad_ID]],[1]!Table3[[Ad_ID]:[Cost-imputed]],7,0)</f>
        <v>$236.91</v>
      </c>
      <c r="F1223" s="4">
        <f>VLOOKUP(Googleadssales[[#This Row],[Ad_ID]],'[1]pre processed data'!A:I,9,0)</f>
        <v>22</v>
      </c>
      <c r="G1223" s="4">
        <f>VLOOKUP(Googleadssales[[#This Row],[Ad_ID]],'[1]pre processed data'!A:K,11,0)</f>
        <v>6.5225225225225225</v>
      </c>
      <c r="H1223" s="2">
        <f>Googleadssales[[#This Row],[Conversions]]/Googleadssales[[#This Row],[Clicks]]</f>
        <v>7.8584608705090639E-2</v>
      </c>
      <c r="I1223" t="str">
        <f>VLOOKUP(Googleadssales[[#This Row],[Ad_ID]],'[1]pre processed data'!A:O,15,0)</f>
        <v>$1500</v>
      </c>
      <c r="J1223" s="3">
        <f>VLOOKUP(Googleadssales[[#This Row],[Ad_ID]],'[1]pre processed data'!A:Q,17,0)</f>
        <v>45617</v>
      </c>
      <c r="K1223" t="str">
        <f>VLOOKUP(Googleadssales[[#This Row],[Ad_ID]],'[1]pre processed data'!A:R,18,0)</f>
        <v>Chennai</v>
      </c>
      <c r="L1223" t="str">
        <f>VLOOKUP(Googleadssales[[#This Row],[Ad_ID]],'[1]pre processed data'!A:S,19,0)</f>
        <v>Desktop</v>
      </c>
      <c r="M1223" t="str">
        <f>VLOOKUP(Googleadssales[[#This Row],[Ad_ID]],'[1]pre processed data'!A:T,20,0)</f>
        <v>learn data analytics</v>
      </c>
    </row>
    <row r="1224" spans="1:13" x14ac:dyDescent="0.3">
      <c r="A1224" t="s">
        <v>1237</v>
      </c>
      <c r="B1224" t="s">
        <v>18</v>
      </c>
      <c r="C1224" s="4">
        <f>VLOOKUP(Googleadssales[[#This Row],[Ad_ID]],'[1]pre processed data'!A:C,3,0)</f>
        <v>127</v>
      </c>
      <c r="D1224" s="4">
        <f>VLOOKUP(Googleadssales[[#This Row],[Ad_ID]],'[1]pre processed data'!A:E,5,0)</f>
        <v>5947</v>
      </c>
      <c r="E1224" s="5" t="str">
        <f>VLOOKUP(Googleadssales[[#This Row],[Ad_ID]],[1]!Table3[[Ad_ID]:[Cost-imputed]],7,0)</f>
        <v>$209.67</v>
      </c>
      <c r="F1224" s="4">
        <f>VLOOKUP(Googleadssales[[#This Row],[Ad_ID]],'[1]pre processed data'!A:I,9,0)</f>
        <v>27</v>
      </c>
      <c r="G1224" s="4">
        <f>VLOOKUP(Googleadssales[[#This Row],[Ad_ID]],'[1]pre processed data'!A:K,11,0)</f>
        <v>3</v>
      </c>
      <c r="H1224" s="2">
        <f>Googleadssales[[#This Row],[Conversions]]/Googleadssales[[#This Row],[Clicks]]</f>
        <v>2.3622047244094488E-2</v>
      </c>
      <c r="I1224" t="str">
        <f>VLOOKUP(Googleadssales[[#This Row],[Ad_ID]],'[1]pre processed data'!A:O,15,0)</f>
        <v>$1155</v>
      </c>
      <c r="J1224" s="3">
        <f>VLOOKUP(Googleadssales[[#This Row],[Ad_ID]],'[1]pre processed data'!A:Q,17,0)</f>
        <v>45624</v>
      </c>
      <c r="K1224" t="str">
        <f>VLOOKUP(Googleadssales[[#This Row],[Ad_ID]],'[1]pre processed data'!A:R,18,0)</f>
        <v>Chennai</v>
      </c>
      <c r="L1224" t="str">
        <f>VLOOKUP(Googleadssales[[#This Row],[Ad_ID]],'[1]pre processed data'!A:S,19,0)</f>
        <v>Desktop</v>
      </c>
      <c r="M1224" t="str">
        <f>VLOOKUP(Googleadssales[[#This Row],[Ad_ID]],'[1]pre processed data'!A:T,20,0)</f>
        <v>learn data analytics</v>
      </c>
    </row>
    <row r="1225" spans="1:13" x14ac:dyDescent="0.3">
      <c r="A1225" t="s">
        <v>1238</v>
      </c>
      <c r="B1225" t="s">
        <v>18</v>
      </c>
      <c r="C1225" s="4">
        <f>VLOOKUP(Googleadssales[[#This Row],[Ad_ID]],'[1]pre processed data'!A:C,3,0)</f>
        <v>133</v>
      </c>
      <c r="D1225" s="4">
        <f>VLOOKUP(Googleadssales[[#This Row],[Ad_ID]],'[1]pre processed data'!A:E,5,0)</f>
        <v>4286</v>
      </c>
      <c r="E1225" s="5" t="str">
        <f>VLOOKUP(Googleadssales[[#This Row],[Ad_ID]],[1]!Table3[[Ad_ID]:[Cost-imputed]],7,0)</f>
        <v>$216.16</v>
      </c>
      <c r="F1225" s="4">
        <f>VLOOKUP(Googleadssales[[#This Row],[Ad_ID]],'[1]pre processed data'!A:I,9,0)</f>
        <v>18</v>
      </c>
      <c r="G1225" s="4">
        <f>VLOOKUP(Googleadssales[[#This Row],[Ad_ID]],'[1]pre processed data'!A:K,11,0)</f>
        <v>9</v>
      </c>
      <c r="H1225" s="2">
        <f>Googleadssales[[#This Row],[Conversions]]/Googleadssales[[#This Row],[Clicks]]</f>
        <v>6.7669172932330823E-2</v>
      </c>
      <c r="I1225" t="str">
        <f>VLOOKUP(Googleadssales[[#This Row],[Ad_ID]],'[1]pre processed data'!A:O,15,0)</f>
        <v>$1839</v>
      </c>
      <c r="J1225" s="3">
        <f>VLOOKUP(Googleadssales[[#This Row],[Ad_ID]],'[1]pre processed data'!A:Q,17,0)</f>
        <v>45604</v>
      </c>
      <c r="K1225" t="str">
        <f>VLOOKUP(Googleadssales[[#This Row],[Ad_ID]],'[1]pre processed data'!A:R,18,0)</f>
        <v>Chennai</v>
      </c>
      <c r="L1225" t="str">
        <f>VLOOKUP(Googleadssales[[#This Row],[Ad_ID]],'[1]pre processed data'!A:S,19,0)</f>
        <v>Desktop</v>
      </c>
      <c r="M1225" t="str">
        <f>VLOOKUP(Googleadssales[[#This Row],[Ad_ID]],'[1]pre processed data'!A:T,20,0)</f>
        <v>data analytics online</v>
      </c>
    </row>
    <row r="1226" spans="1:13" x14ac:dyDescent="0.3">
      <c r="A1226" t="s">
        <v>1239</v>
      </c>
      <c r="B1226" t="s">
        <v>14</v>
      </c>
      <c r="C1226" s="4">
        <f>VLOOKUP(Googleadssales[[#This Row],[Ad_ID]],'[1]pre processed data'!A:C,3,0)</f>
        <v>197</v>
      </c>
      <c r="D1226" s="4">
        <f>VLOOKUP(Googleadssales[[#This Row],[Ad_ID]],'[1]pre processed data'!A:E,5,0)</f>
        <v>5733</v>
      </c>
      <c r="E1226" s="5" t="str">
        <f>VLOOKUP(Googleadssales[[#This Row],[Ad_ID]],[1]!Table3[[Ad_ID]:[Cost-imputed]],7,0)</f>
        <v>$185.09</v>
      </c>
      <c r="F1226" s="4">
        <f>VLOOKUP(Googleadssales[[#This Row],[Ad_ID]],'[1]pre processed data'!A:I,9,0)</f>
        <v>14</v>
      </c>
      <c r="G1226" s="4">
        <f>VLOOKUP(Googleadssales[[#This Row],[Ad_ID]],'[1]pre processed data'!A:K,11,0)</f>
        <v>5</v>
      </c>
      <c r="H1226" s="2">
        <f>Googleadssales[[#This Row],[Conversions]]/Googleadssales[[#This Row],[Clicks]]</f>
        <v>2.5380710659898477E-2</v>
      </c>
      <c r="I1226" t="str">
        <f>VLOOKUP(Googleadssales[[#This Row],[Ad_ID]],'[1]pre processed data'!A:O,15,0)</f>
        <v>$1295</v>
      </c>
      <c r="J1226" s="3">
        <f>VLOOKUP(Googleadssales[[#This Row],[Ad_ID]],'[1]pre processed data'!A:Q,17,0)</f>
        <v>45601</v>
      </c>
      <c r="K1226" t="str">
        <f>VLOOKUP(Googleadssales[[#This Row],[Ad_ID]],'[1]pre processed data'!A:R,18,0)</f>
        <v>Bangaluru</v>
      </c>
      <c r="L1226" t="str">
        <f>VLOOKUP(Googleadssales[[#This Row],[Ad_ID]],'[1]pre processed data'!A:S,19,0)</f>
        <v>Tablet</v>
      </c>
      <c r="M1226" t="str">
        <f>VLOOKUP(Googleadssales[[#This Row],[Ad_ID]],'[1]pre processed data'!A:T,20,0)</f>
        <v>data analytics training</v>
      </c>
    </row>
    <row r="1227" spans="1:13" x14ac:dyDescent="0.3">
      <c r="A1227" t="s">
        <v>1240</v>
      </c>
      <c r="B1227" t="s">
        <v>18</v>
      </c>
      <c r="C1227" s="4">
        <f>VLOOKUP(Googleadssales[[#This Row],[Ad_ID]],'[1]pre processed data'!A:C,3,0)</f>
        <v>125</v>
      </c>
      <c r="D1227" s="4">
        <f>VLOOKUP(Googleadssales[[#This Row],[Ad_ID]],'[1]pre processed data'!A:E,5,0)</f>
        <v>5103</v>
      </c>
      <c r="E1227" s="5" t="str">
        <f>VLOOKUP(Googleadssales[[#This Row],[Ad_ID]],[1]!Table3[[Ad_ID]:[Cost-imputed]],7,0)</f>
        <v>$221.93</v>
      </c>
      <c r="F1227" s="4">
        <f>VLOOKUP(Googleadssales[[#This Row],[Ad_ID]],'[1]pre processed data'!A:I,9,0)</f>
        <v>30</v>
      </c>
      <c r="G1227" s="4">
        <f>VLOOKUP(Googleadssales[[#This Row],[Ad_ID]],'[1]pre processed data'!A:K,11,0)</f>
        <v>7</v>
      </c>
      <c r="H1227" s="2">
        <f>Googleadssales[[#This Row],[Conversions]]/Googleadssales[[#This Row],[Clicks]]</f>
        <v>5.6000000000000001E-2</v>
      </c>
      <c r="I1227" t="str">
        <f>VLOOKUP(Googleadssales[[#This Row],[Ad_ID]],'[1]pre processed data'!A:O,15,0)</f>
        <v>$1398</v>
      </c>
      <c r="J1227" s="3">
        <f>VLOOKUP(Googleadssales[[#This Row],[Ad_ID]],'[1]pre processed data'!A:Q,17,0)</f>
        <v>45604</v>
      </c>
      <c r="K1227" t="str">
        <f>VLOOKUP(Googleadssales[[#This Row],[Ad_ID]],'[1]pre processed data'!A:R,18,0)</f>
        <v>Hyderabad</v>
      </c>
      <c r="L1227" t="str">
        <f>VLOOKUP(Googleadssales[[#This Row],[Ad_ID]],'[1]pre processed data'!A:S,19,0)</f>
        <v>Tablet</v>
      </c>
      <c r="M1227" t="str">
        <f>VLOOKUP(Googleadssales[[#This Row],[Ad_ID]],'[1]pre processed data'!A:T,20,0)</f>
        <v>analytics for data</v>
      </c>
    </row>
    <row r="1228" spans="1:13" x14ac:dyDescent="0.3">
      <c r="A1228" t="s">
        <v>1241</v>
      </c>
      <c r="B1228" t="s">
        <v>18</v>
      </c>
      <c r="C1228" s="4">
        <f>VLOOKUP(Googleadssales[[#This Row],[Ad_ID]],'[1]pre processed data'!A:C,3,0)</f>
        <v>147</v>
      </c>
      <c r="D1228" s="4">
        <f>VLOOKUP(Googleadssales[[#This Row],[Ad_ID]],'[1]pre processed data'!A:E,5,0)</f>
        <v>5228</v>
      </c>
      <c r="E1228" s="5" t="str">
        <f>VLOOKUP(Googleadssales[[#This Row],[Ad_ID]],[1]!Table3[[Ad_ID]:[Cost-imputed]],7,0)</f>
        <v>$210.94</v>
      </c>
      <c r="F1228" s="4">
        <f>VLOOKUP(Googleadssales[[#This Row],[Ad_ID]],'[1]pre processed data'!A:I,9,0)</f>
        <v>12</v>
      </c>
      <c r="G1228" s="4">
        <f>VLOOKUP(Googleadssales[[#This Row],[Ad_ID]],'[1]pre processed data'!A:K,11,0)</f>
        <v>9</v>
      </c>
      <c r="H1228" s="2">
        <f>Googleadssales[[#This Row],[Conversions]]/Googleadssales[[#This Row],[Clicks]]</f>
        <v>6.1224489795918366E-2</v>
      </c>
      <c r="I1228" t="str">
        <f>VLOOKUP(Googleadssales[[#This Row],[Ad_ID]],'[1]pre processed data'!A:O,15,0)</f>
        <v>$1784</v>
      </c>
      <c r="J1228" s="3">
        <f>VLOOKUP(Googleadssales[[#This Row],[Ad_ID]],'[1]pre processed data'!A:Q,17,0)</f>
        <v>45624</v>
      </c>
      <c r="K1228" t="str">
        <f>VLOOKUP(Googleadssales[[#This Row],[Ad_ID]],'[1]pre processed data'!A:R,18,0)</f>
        <v>Bangaluru</v>
      </c>
      <c r="L1228" t="str">
        <f>VLOOKUP(Googleadssales[[#This Row],[Ad_ID]],'[1]pre processed data'!A:S,19,0)</f>
        <v>Desktop</v>
      </c>
      <c r="M1228" t="str">
        <f>VLOOKUP(Googleadssales[[#This Row],[Ad_ID]],'[1]pre processed data'!A:T,20,0)</f>
        <v>data analytics training</v>
      </c>
    </row>
    <row r="1229" spans="1:13" x14ac:dyDescent="0.3">
      <c r="A1229" t="s">
        <v>1242</v>
      </c>
      <c r="B1229" t="s">
        <v>18</v>
      </c>
      <c r="C1229" s="4">
        <f>VLOOKUP(Googleadssales[[#This Row],[Ad_ID]],'[1]pre processed data'!A:C,3,0)</f>
        <v>153</v>
      </c>
      <c r="D1229" s="4">
        <f>VLOOKUP(Googleadssales[[#This Row],[Ad_ID]],'[1]pre processed data'!A:E,5,0)</f>
        <v>3666</v>
      </c>
      <c r="E1229" s="5" t="str">
        <f>VLOOKUP(Googleadssales[[#This Row],[Ad_ID]],[1]!Table3[[Ad_ID]:[Cost-imputed]],7,0)</f>
        <v>$198.4</v>
      </c>
      <c r="F1229" s="4">
        <f>VLOOKUP(Googleadssales[[#This Row],[Ad_ID]],'[1]pre processed data'!A:I,9,0)</f>
        <v>16</v>
      </c>
      <c r="G1229" s="4">
        <f>VLOOKUP(Googleadssales[[#This Row],[Ad_ID]],'[1]pre processed data'!A:K,11,0)</f>
        <v>4</v>
      </c>
      <c r="H1229" s="2">
        <f>Googleadssales[[#This Row],[Conversions]]/Googleadssales[[#This Row],[Clicks]]</f>
        <v>2.6143790849673203E-2</v>
      </c>
      <c r="I1229" t="str">
        <f>VLOOKUP(Googleadssales[[#This Row],[Ad_ID]],'[1]pre processed data'!A:O,15,0)</f>
        <v>$1820</v>
      </c>
      <c r="J1229" s="3">
        <f>VLOOKUP(Googleadssales[[#This Row],[Ad_ID]],'[1]pre processed data'!A:Q,17,0)</f>
        <v>45616</v>
      </c>
      <c r="K1229" t="str">
        <f>VLOOKUP(Googleadssales[[#This Row],[Ad_ID]],'[1]pre processed data'!A:R,18,0)</f>
        <v>Bangaluru</v>
      </c>
      <c r="L1229" t="str">
        <f>VLOOKUP(Googleadssales[[#This Row],[Ad_ID]],'[1]pre processed data'!A:S,19,0)</f>
        <v>Mobile</v>
      </c>
      <c r="M1229" t="str">
        <f>VLOOKUP(Googleadssales[[#This Row],[Ad_ID]],'[1]pre processed data'!A:T,20,0)</f>
        <v>learn data analytics</v>
      </c>
    </row>
    <row r="1230" spans="1:13" x14ac:dyDescent="0.3">
      <c r="A1230" t="s">
        <v>1243</v>
      </c>
      <c r="B1230" t="s">
        <v>14</v>
      </c>
      <c r="C1230" s="4">
        <f>VLOOKUP(Googleadssales[[#This Row],[Ad_ID]],'[1]pre processed data'!A:C,3,0)</f>
        <v>196</v>
      </c>
      <c r="D1230" s="4">
        <f>VLOOKUP(Googleadssales[[#This Row],[Ad_ID]],'[1]pre processed data'!A:E,5,0)</f>
        <v>3440</v>
      </c>
      <c r="E1230" s="5" t="str">
        <f>VLOOKUP(Googleadssales[[#This Row],[Ad_ID]],[1]!Table3[[Ad_ID]:[Cost-imputed]],7,0)</f>
        <v>$212.98</v>
      </c>
      <c r="F1230" s="4">
        <f>VLOOKUP(Googleadssales[[#This Row],[Ad_ID]],'[1]pre processed data'!A:I,9,0)</f>
        <v>15</v>
      </c>
      <c r="G1230" s="4">
        <f>VLOOKUP(Googleadssales[[#This Row],[Ad_ID]],'[1]pre processed data'!A:K,11,0)</f>
        <v>5</v>
      </c>
      <c r="H1230" s="2">
        <f>Googleadssales[[#This Row],[Conversions]]/Googleadssales[[#This Row],[Clicks]]</f>
        <v>2.5510204081632654E-2</v>
      </c>
      <c r="I1230" t="str">
        <f>VLOOKUP(Googleadssales[[#This Row],[Ad_ID]],'[1]pre processed data'!A:O,15,0)</f>
        <v>$1539</v>
      </c>
      <c r="J1230" s="3">
        <f>VLOOKUP(Googleadssales[[#This Row],[Ad_ID]],'[1]pre processed data'!A:Q,17,0)</f>
        <v>45622</v>
      </c>
      <c r="K1230" t="str">
        <f>VLOOKUP(Googleadssales[[#This Row],[Ad_ID]],'[1]pre processed data'!A:R,18,0)</f>
        <v>Hyderabad</v>
      </c>
      <c r="L1230" t="str">
        <f>VLOOKUP(Googleadssales[[#This Row],[Ad_ID]],'[1]pre processed data'!A:S,19,0)</f>
        <v>Tablet</v>
      </c>
      <c r="M1230" t="str">
        <f>VLOOKUP(Googleadssales[[#This Row],[Ad_ID]],'[1]pre processed data'!A:T,20,0)</f>
        <v>learn data analytics</v>
      </c>
    </row>
    <row r="1231" spans="1:13" x14ac:dyDescent="0.3">
      <c r="A1231" t="s">
        <v>1244</v>
      </c>
      <c r="B1231" t="s">
        <v>14</v>
      </c>
      <c r="C1231" s="4">
        <f>VLOOKUP(Googleadssales[[#This Row],[Ad_ID]],'[1]pre processed data'!A:C,3,0)</f>
        <v>87</v>
      </c>
      <c r="D1231" s="4">
        <f>VLOOKUP(Googleadssales[[#This Row],[Ad_ID]],'[1]pre processed data'!A:E,5,0)</f>
        <v>3031</v>
      </c>
      <c r="E1231" s="5" t="str">
        <f>VLOOKUP(Googleadssales[[#This Row],[Ad_ID]],[1]!Table3[[Ad_ID]:[Cost-imputed]],7,0)</f>
        <v>$234.25</v>
      </c>
      <c r="F1231" s="4">
        <f>VLOOKUP(Googleadssales[[#This Row],[Ad_ID]],'[1]pre processed data'!A:I,9,0)</f>
        <v>17</v>
      </c>
      <c r="G1231" s="4">
        <f>VLOOKUP(Googleadssales[[#This Row],[Ad_ID]],'[1]pre processed data'!A:K,11,0)</f>
        <v>7</v>
      </c>
      <c r="H1231" s="2">
        <f>Googleadssales[[#This Row],[Conversions]]/Googleadssales[[#This Row],[Clicks]]</f>
        <v>8.0459770114942528E-2</v>
      </c>
      <c r="I1231" t="str">
        <f>VLOOKUP(Googleadssales[[#This Row],[Ad_ID]],'[1]pre processed data'!A:O,15,0)</f>
        <v>$1167</v>
      </c>
      <c r="J1231" s="3">
        <f>VLOOKUP(Googleadssales[[#This Row],[Ad_ID]],'[1]pre processed data'!A:Q,17,0)</f>
        <v>45601</v>
      </c>
      <c r="K1231" t="str">
        <f>VLOOKUP(Googleadssales[[#This Row],[Ad_ID]],'[1]pre processed data'!A:R,18,0)</f>
        <v>Hyderabad</v>
      </c>
      <c r="L1231" t="str">
        <f>VLOOKUP(Googleadssales[[#This Row],[Ad_ID]],'[1]pre processed data'!A:S,19,0)</f>
        <v>Desktop</v>
      </c>
      <c r="M1231" t="str">
        <f>VLOOKUP(Googleadssales[[#This Row],[Ad_ID]],'[1]pre processed data'!A:T,20,0)</f>
        <v>data analytics online</v>
      </c>
    </row>
    <row r="1232" spans="1:13" x14ac:dyDescent="0.3">
      <c r="A1232" t="s">
        <v>1245</v>
      </c>
      <c r="B1232" t="s">
        <v>14</v>
      </c>
      <c r="C1232" s="4">
        <f>VLOOKUP(Googleadssales[[#This Row],[Ad_ID]],'[1]pre processed data'!A:C,3,0)</f>
        <v>151</v>
      </c>
      <c r="D1232" s="4">
        <f>VLOOKUP(Googleadssales[[#This Row],[Ad_ID]],'[1]pre processed data'!A:E,5,0)</f>
        <v>5957</v>
      </c>
      <c r="E1232" s="5" t="str">
        <f>VLOOKUP(Googleadssales[[#This Row],[Ad_ID]],[1]!Table3[[Ad_ID]:[Cost-imputed]],7,0)</f>
        <v>$188.22</v>
      </c>
      <c r="F1232" s="4">
        <f>VLOOKUP(Googleadssales[[#This Row],[Ad_ID]],'[1]pre processed data'!A:I,9,0)</f>
        <v>15</v>
      </c>
      <c r="G1232" s="4">
        <f>VLOOKUP(Googleadssales[[#This Row],[Ad_ID]],'[1]pre processed data'!A:K,11,0)</f>
        <v>8</v>
      </c>
      <c r="H1232" s="2">
        <f>Googleadssales[[#This Row],[Conversions]]/Googleadssales[[#This Row],[Clicks]]</f>
        <v>5.2980132450331126E-2</v>
      </c>
      <c r="I1232" t="str">
        <f>VLOOKUP(Googleadssales[[#This Row],[Ad_ID]],'[1]pre processed data'!A:O,15,0)</f>
        <v>$1468</v>
      </c>
      <c r="J1232" s="3">
        <f>VLOOKUP(Googleadssales[[#This Row],[Ad_ID]],'[1]pre processed data'!A:Q,17,0)</f>
        <v>45621</v>
      </c>
      <c r="K1232" t="str">
        <f>VLOOKUP(Googleadssales[[#This Row],[Ad_ID]],'[1]pre processed data'!A:R,18,0)</f>
        <v>Hyderabad</v>
      </c>
      <c r="L1232" t="str">
        <f>VLOOKUP(Googleadssales[[#This Row],[Ad_ID]],'[1]pre processed data'!A:S,19,0)</f>
        <v>Tablet</v>
      </c>
      <c r="M1232" t="str">
        <f>VLOOKUP(Googleadssales[[#This Row],[Ad_ID]],'[1]pre processed data'!A:T,20,0)</f>
        <v>analytics for data</v>
      </c>
    </row>
    <row r="1233" spans="1:13" x14ac:dyDescent="0.3">
      <c r="A1233" t="s">
        <v>1246</v>
      </c>
      <c r="B1233" t="s">
        <v>18</v>
      </c>
      <c r="C1233" s="4">
        <f>VLOOKUP(Googleadssales[[#This Row],[Ad_ID]],'[1]pre processed data'!A:C,3,0)</f>
        <v>93</v>
      </c>
      <c r="D1233" s="4">
        <f>VLOOKUP(Googleadssales[[#This Row],[Ad_ID]],'[1]pre processed data'!A:E,5,0)</f>
        <v>4689</v>
      </c>
      <c r="E1233" s="5" t="str">
        <f>VLOOKUP(Googleadssales[[#This Row],[Ad_ID]],[1]!Table3[[Ad_ID]:[Cost-imputed]],7,0)</f>
        <v>$197.54</v>
      </c>
      <c r="F1233" s="4">
        <f>VLOOKUP(Googleadssales[[#This Row],[Ad_ID]],'[1]pre processed data'!A:I,9,0)</f>
        <v>15</v>
      </c>
      <c r="G1233" s="4">
        <f>VLOOKUP(Googleadssales[[#This Row],[Ad_ID]],'[1]pre processed data'!A:K,11,0)</f>
        <v>4</v>
      </c>
      <c r="H1233" s="2">
        <f>Googleadssales[[#This Row],[Conversions]]/Googleadssales[[#This Row],[Clicks]]</f>
        <v>4.3010752688172046E-2</v>
      </c>
      <c r="I1233" t="str">
        <f>VLOOKUP(Googleadssales[[#This Row],[Ad_ID]],'[1]pre processed data'!A:O,15,0)</f>
        <v>$1073</v>
      </c>
      <c r="J1233" s="3">
        <f>VLOOKUP(Googleadssales[[#This Row],[Ad_ID]],'[1]pre processed data'!A:Q,17,0)</f>
        <v>45621</v>
      </c>
      <c r="K1233" t="str">
        <f>VLOOKUP(Googleadssales[[#This Row],[Ad_ID]],'[1]pre processed data'!A:R,18,0)</f>
        <v>Hyderabad</v>
      </c>
      <c r="L1233" t="str">
        <f>VLOOKUP(Googleadssales[[#This Row],[Ad_ID]],'[1]pre processed data'!A:S,19,0)</f>
        <v>Mobile</v>
      </c>
      <c r="M1233" t="str">
        <f>VLOOKUP(Googleadssales[[#This Row],[Ad_ID]],'[1]pre processed data'!A:T,20,0)</f>
        <v>data analytics online</v>
      </c>
    </row>
    <row r="1234" spans="1:13" x14ac:dyDescent="0.3">
      <c r="A1234" t="s">
        <v>1247</v>
      </c>
      <c r="B1234" t="s">
        <v>14</v>
      </c>
      <c r="C1234" s="4">
        <f>VLOOKUP(Googleadssales[[#This Row],[Ad_ID]],'[1]pre processed data'!A:C,3,0)</f>
        <v>145</v>
      </c>
      <c r="D1234" s="4">
        <f>VLOOKUP(Googleadssales[[#This Row],[Ad_ID]],'[1]pre processed data'!A:E,5,0)</f>
        <v>3085</v>
      </c>
      <c r="E1234" s="5" t="str">
        <f>VLOOKUP(Googleadssales[[#This Row],[Ad_ID]],[1]!Table3[[Ad_ID]:[Cost-imputed]],7,0)</f>
        <v>$194.96</v>
      </c>
      <c r="F1234" s="4">
        <f>VLOOKUP(Googleadssales[[#This Row],[Ad_ID]],'[1]pre processed data'!A:I,9,0)</f>
        <v>26</v>
      </c>
      <c r="G1234" s="4">
        <f>VLOOKUP(Googleadssales[[#This Row],[Ad_ID]],'[1]pre processed data'!A:K,11,0)</f>
        <v>5</v>
      </c>
      <c r="H1234" s="2">
        <f>Googleadssales[[#This Row],[Conversions]]/Googleadssales[[#This Row],[Clicks]]</f>
        <v>3.4482758620689655E-2</v>
      </c>
      <c r="I1234" t="str">
        <f>VLOOKUP(Googleadssales[[#This Row],[Ad_ID]],'[1]pre processed data'!A:O,15,0)</f>
        <v>$1673</v>
      </c>
      <c r="J1234" s="3">
        <f>VLOOKUP(Googleadssales[[#This Row],[Ad_ID]],'[1]pre processed data'!A:Q,17,0)</f>
        <v>45620</v>
      </c>
      <c r="K1234" t="str">
        <f>VLOOKUP(Googleadssales[[#This Row],[Ad_ID]],'[1]pre processed data'!A:R,18,0)</f>
        <v>Bangaluru</v>
      </c>
      <c r="L1234" t="str">
        <f>VLOOKUP(Googleadssales[[#This Row],[Ad_ID]],'[1]pre processed data'!A:S,19,0)</f>
        <v>Desktop</v>
      </c>
      <c r="M1234" t="str">
        <f>VLOOKUP(Googleadssales[[#This Row],[Ad_ID]],'[1]pre processed data'!A:T,20,0)</f>
        <v>online data analytic</v>
      </c>
    </row>
    <row r="1235" spans="1:13" x14ac:dyDescent="0.3">
      <c r="A1235" t="s">
        <v>1248</v>
      </c>
      <c r="B1235" t="s">
        <v>14</v>
      </c>
      <c r="C1235" s="4">
        <f>VLOOKUP(Googleadssales[[#This Row],[Ad_ID]],'[1]pre processed data'!A:C,3,0)</f>
        <v>128</v>
      </c>
      <c r="D1235" s="4">
        <f>VLOOKUP(Googleadssales[[#This Row],[Ad_ID]],'[1]pre processed data'!A:E,5,0)</f>
        <v>3341</v>
      </c>
      <c r="E1235" s="5" t="str">
        <f>VLOOKUP(Googleadssales[[#This Row],[Ad_ID]],[1]!Table3[[Ad_ID]:[Cost-imputed]],7,0)</f>
        <v>$185.57</v>
      </c>
      <c r="F1235" s="4">
        <f>VLOOKUP(Googleadssales[[#This Row],[Ad_ID]],'[1]pre processed data'!A:I,9,0)</f>
        <v>25</v>
      </c>
      <c r="G1235" s="4">
        <f>VLOOKUP(Googleadssales[[#This Row],[Ad_ID]],'[1]pre processed data'!A:K,11,0)</f>
        <v>5</v>
      </c>
      <c r="H1235" s="2">
        <f>Googleadssales[[#This Row],[Conversions]]/Googleadssales[[#This Row],[Clicks]]</f>
        <v>3.90625E-2</v>
      </c>
      <c r="I1235" t="str">
        <f>VLOOKUP(Googleadssales[[#This Row],[Ad_ID]],'[1]pre processed data'!A:O,15,0)</f>
        <v>$1516</v>
      </c>
      <c r="J1235" s="3">
        <f>VLOOKUP(Googleadssales[[#This Row],[Ad_ID]],'[1]pre processed data'!A:Q,17,0)</f>
        <v>45616</v>
      </c>
      <c r="K1235" t="str">
        <f>VLOOKUP(Googleadssales[[#This Row],[Ad_ID]],'[1]pre processed data'!A:R,18,0)</f>
        <v>Hyderabad</v>
      </c>
      <c r="L1235" t="str">
        <f>VLOOKUP(Googleadssales[[#This Row],[Ad_ID]],'[1]pre processed data'!A:S,19,0)</f>
        <v>Tablet</v>
      </c>
      <c r="M1235" t="str">
        <f>VLOOKUP(Googleadssales[[#This Row],[Ad_ID]],'[1]pre processed data'!A:T,20,0)</f>
        <v>online data analytic</v>
      </c>
    </row>
    <row r="1236" spans="1:13" x14ac:dyDescent="0.3">
      <c r="A1236" t="s">
        <v>1249</v>
      </c>
      <c r="B1236" t="s">
        <v>14</v>
      </c>
      <c r="C1236" s="4">
        <f>VLOOKUP(Googleadssales[[#This Row],[Ad_ID]],'[1]pre processed data'!A:C,3,0)</f>
        <v>134</v>
      </c>
      <c r="D1236" s="4">
        <f>VLOOKUP(Googleadssales[[#This Row],[Ad_ID]],'[1]pre processed data'!A:E,5,0)</f>
        <v>5521</v>
      </c>
      <c r="E1236" s="5" t="str">
        <f>VLOOKUP(Googleadssales[[#This Row],[Ad_ID]],[1]!Table3[[Ad_ID]:[Cost-imputed]],7,0)</f>
        <v>$243.57</v>
      </c>
      <c r="F1236" s="4">
        <f>VLOOKUP(Googleadssales[[#This Row],[Ad_ID]],'[1]pre processed data'!A:I,9,0)</f>
        <v>15</v>
      </c>
      <c r="G1236" s="4">
        <f>VLOOKUP(Googleadssales[[#This Row],[Ad_ID]],'[1]pre processed data'!A:K,11,0)</f>
        <v>3</v>
      </c>
      <c r="H1236" s="2">
        <f>Googleadssales[[#This Row],[Conversions]]/Googleadssales[[#This Row],[Clicks]]</f>
        <v>2.2388059701492536E-2</v>
      </c>
      <c r="I1236" t="str">
        <f>VLOOKUP(Googleadssales[[#This Row],[Ad_ID]],'[1]pre processed data'!A:O,15,0)</f>
        <v>$1658</v>
      </c>
      <c r="J1236" s="3">
        <f>VLOOKUP(Googleadssales[[#This Row],[Ad_ID]],'[1]pre processed data'!A:Q,17,0)</f>
        <v>45620</v>
      </c>
      <c r="K1236" t="str">
        <f>VLOOKUP(Googleadssales[[#This Row],[Ad_ID]],'[1]pre processed data'!A:R,18,0)</f>
        <v>Bangaluru</v>
      </c>
      <c r="L1236" t="str">
        <f>VLOOKUP(Googleadssales[[#This Row],[Ad_ID]],'[1]pre processed data'!A:S,19,0)</f>
        <v>Desktop</v>
      </c>
      <c r="M1236" t="str">
        <f>VLOOKUP(Googleadssales[[#This Row],[Ad_ID]],'[1]pre processed data'!A:T,20,0)</f>
        <v>online data analytic</v>
      </c>
    </row>
    <row r="1237" spans="1:13" x14ac:dyDescent="0.3">
      <c r="A1237" t="s">
        <v>1250</v>
      </c>
      <c r="B1237" t="s">
        <v>14</v>
      </c>
      <c r="C1237" s="4">
        <f>VLOOKUP(Googleadssales[[#This Row],[Ad_ID]],'[1]pre processed data'!A:C,3,0)</f>
        <v>104</v>
      </c>
      <c r="D1237" s="4">
        <f>VLOOKUP(Googleadssales[[#This Row],[Ad_ID]],'[1]pre processed data'!A:E,5,0)</f>
        <v>3696</v>
      </c>
      <c r="E1237" s="5" t="str">
        <f>VLOOKUP(Googleadssales[[#This Row],[Ad_ID]],[1]!Table3[[Ad_ID]:[Cost-imputed]],7,0)</f>
        <v>$206.54</v>
      </c>
      <c r="F1237" s="4">
        <f>VLOOKUP(Googleadssales[[#This Row],[Ad_ID]],'[1]pre processed data'!A:I,9,0)</f>
        <v>28</v>
      </c>
      <c r="G1237" s="4">
        <f>VLOOKUP(Googleadssales[[#This Row],[Ad_ID]],'[1]pre processed data'!A:K,11,0)</f>
        <v>6.5307050796057622</v>
      </c>
      <c r="H1237" s="2">
        <f>Googleadssales[[#This Row],[Conversions]]/Googleadssales[[#This Row],[Clicks]]</f>
        <v>6.27952411500554E-2</v>
      </c>
      <c r="I1237" t="str">
        <f>VLOOKUP(Googleadssales[[#This Row],[Ad_ID]],'[1]pre processed data'!A:O,15,0)</f>
        <v>$1985</v>
      </c>
      <c r="J1237" s="3">
        <f>VLOOKUP(Googleadssales[[#This Row],[Ad_ID]],'[1]pre processed data'!A:Q,17,0)</f>
        <v>45607</v>
      </c>
      <c r="K1237" t="str">
        <f>VLOOKUP(Googleadssales[[#This Row],[Ad_ID]],'[1]pre processed data'!A:R,18,0)</f>
        <v>Chennai</v>
      </c>
      <c r="L1237" t="str">
        <f>VLOOKUP(Googleadssales[[#This Row],[Ad_ID]],'[1]pre processed data'!A:S,19,0)</f>
        <v>Desktop</v>
      </c>
      <c r="M1237" t="str">
        <f>VLOOKUP(Googleadssales[[#This Row],[Ad_ID]],'[1]pre processed data'!A:T,20,0)</f>
        <v>data analytics training</v>
      </c>
    </row>
    <row r="1238" spans="1:13" x14ac:dyDescent="0.3">
      <c r="A1238" t="s">
        <v>1251</v>
      </c>
      <c r="B1238" t="s">
        <v>18</v>
      </c>
      <c r="C1238" s="4">
        <f>VLOOKUP(Googleadssales[[#This Row],[Ad_ID]],'[1]pre processed data'!A:C,3,0)</f>
        <v>177</v>
      </c>
      <c r="D1238" s="4">
        <f>VLOOKUP(Googleadssales[[#This Row],[Ad_ID]],'[1]pre processed data'!A:E,5,0)</f>
        <v>3765</v>
      </c>
      <c r="E1238" s="5" t="str">
        <f>VLOOKUP(Googleadssales[[#This Row],[Ad_ID]],[1]!Table3[[Ad_ID]:[Cost-imputed]],7,0)</f>
        <v>$216.48</v>
      </c>
      <c r="F1238" s="4">
        <f>VLOOKUP(Googleadssales[[#This Row],[Ad_ID]],'[1]pre processed data'!A:I,9,0)</f>
        <v>26</v>
      </c>
      <c r="G1238" s="4">
        <f>VLOOKUP(Googleadssales[[#This Row],[Ad_ID]],'[1]pre processed data'!A:K,11,0)</f>
        <v>10</v>
      </c>
      <c r="H1238" s="2">
        <f>Googleadssales[[#This Row],[Conversions]]/Googleadssales[[#This Row],[Clicks]]</f>
        <v>5.6497175141242938E-2</v>
      </c>
      <c r="I1238" t="str">
        <f>VLOOKUP(Googleadssales[[#This Row],[Ad_ID]],'[1]pre processed data'!A:O,15,0)</f>
        <v>$1507</v>
      </c>
      <c r="J1238" s="3">
        <f>VLOOKUP(Googleadssales[[#This Row],[Ad_ID]],'[1]pre processed data'!A:Q,17,0)</f>
        <v>45616</v>
      </c>
      <c r="K1238" t="str">
        <f>VLOOKUP(Googleadssales[[#This Row],[Ad_ID]],'[1]pre processed data'!A:R,18,0)</f>
        <v>Bangaluru</v>
      </c>
      <c r="L1238" t="str">
        <f>VLOOKUP(Googleadssales[[#This Row],[Ad_ID]],'[1]pre processed data'!A:S,19,0)</f>
        <v>Tablet</v>
      </c>
      <c r="M1238" t="str">
        <f>VLOOKUP(Googleadssales[[#This Row],[Ad_ID]],'[1]pre processed data'!A:T,20,0)</f>
        <v>data analytics online</v>
      </c>
    </row>
    <row r="1239" spans="1:13" x14ac:dyDescent="0.3">
      <c r="A1239" t="s">
        <v>1252</v>
      </c>
      <c r="B1239" t="s">
        <v>14</v>
      </c>
      <c r="C1239" s="4">
        <f>VLOOKUP(Googleadssales[[#This Row],[Ad_ID]],'[1]pre processed data'!A:C,3,0)</f>
        <v>94</v>
      </c>
      <c r="D1239" s="4">
        <f>VLOOKUP(Googleadssales[[#This Row],[Ad_ID]],'[1]pre processed data'!A:E,5,0)</f>
        <v>5455</v>
      </c>
      <c r="E1239" s="5" t="str">
        <f>VLOOKUP(Googleadssales[[#This Row],[Ad_ID]],[1]!Table3[[Ad_ID]:[Cost-imputed]],7,0)</f>
        <v>$249.09</v>
      </c>
      <c r="F1239" s="4">
        <f>VLOOKUP(Googleadssales[[#This Row],[Ad_ID]],'[1]pre processed data'!A:I,9,0)</f>
        <v>15</v>
      </c>
      <c r="G1239" s="4">
        <f>VLOOKUP(Googleadssales[[#This Row],[Ad_ID]],'[1]pre processed data'!A:K,11,0)</f>
        <v>3</v>
      </c>
      <c r="H1239" s="2">
        <f>Googleadssales[[#This Row],[Conversions]]/Googleadssales[[#This Row],[Clicks]]</f>
        <v>3.1914893617021274E-2</v>
      </c>
      <c r="I1239" t="str">
        <f>VLOOKUP(Googleadssales[[#This Row],[Ad_ID]],'[1]pre processed data'!A:O,15,0)</f>
        <v>$1500</v>
      </c>
      <c r="J1239" s="3">
        <f>VLOOKUP(Googleadssales[[#This Row],[Ad_ID]],'[1]pre processed data'!A:Q,17,0)</f>
        <v>45610</v>
      </c>
      <c r="K1239" t="str">
        <f>VLOOKUP(Googleadssales[[#This Row],[Ad_ID]],'[1]pre processed data'!A:R,18,0)</f>
        <v>Hyderabad</v>
      </c>
      <c r="L1239" t="str">
        <f>VLOOKUP(Googleadssales[[#This Row],[Ad_ID]],'[1]pre processed data'!A:S,19,0)</f>
        <v>Mobile</v>
      </c>
      <c r="M1239" t="str">
        <f>VLOOKUP(Googleadssales[[#This Row],[Ad_ID]],'[1]pre processed data'!A:T,20,0)</f>
        <v>analytics for data</v>
      </c>
    </row>
    <row r="1240" spans="1:13" x14ac:dyDescent="0.3">
      <c r="A1240" t="s">
        <v>1253</v>
      </c>
      <c r="B1240" t="s">
        <v>14</v>
      </c>
      <c r="C1240" s="4">
        <f>VLOOKUP(Googleadssales[[#This Row],[Ad_ID]],'[1]pre processed data'!A:C,3,0)</f>
        <v>198</v>
      </c>
      <c r="D1240" s="4">
        <f>VLOOKUP(Googleadssales[[#This Row],[Ad_ID]],'[1]pre processed data'!A:E,5,0)</f>
        <v>5260</v>
      </c>
      <c r="E1240" s="5" t="str">
        <f>VLOOKUP(Googleadssales[[#This Row],[Ad_ID]],[1]!Table3[[Ad_ID]:[Cost-imputed]],7,0)</f>
        <v>$205.53</v>
      </c>
      <c r="F1240" s="4">
        <f>VLOOKUP(Googleadssales[[#This Row],[Ad_ID]],'[1]pre processed data'!A:I,9,0)</f>
        <v>13</v>
      </c>
      <c r="G1240" s="4">
        <f>VLOOKUP(Googleadssales[[#This Row],[Ad_ID]],'[1]pre processed data'!A:K,11,0)</f>
        <v>10</v>
      </c>
      <c r="H1240" s="2">
        <f>Googleadssales[[#This Row],[Conversions]]/Googleadssales[[#This Row],[Clicks]]</f>
        <v>5.0505050505050504E-2</v>
      </c>
      <c r="I1240" t="str">
        <f>VLOOKUP(Googleadssales[[#This Row],[Ad_ID]],'[1]pre processed data'!A:O,15,0)</f>
        <v>$1766</v>
      </c>
      <c r="J1240" s="3">
        <f>VLOOKUP(Googleadssales[[#This Row],[Ad_ID]],'[1]pre processed data'!A:Q,17,0)</f>
        <v>45608</v>
      </c>
      <c r="K1240" t="str">
        <f>VLOOKUP(Googleadssales[[#This Row],[Ad_ID]],'[1]pre processed data'!A:R,18,0)</f>
        <v>Bangaluru</v>
      </c>
      <c r="L1240" t="str">
        <f>VLOOKUP(Googleadssales[[#This Row],[Ad_ID]],'[1]pre processed data'!A:S,19,0)</f>
        <v>Desktop</v>
      </c>
      <c r="M1240" t="str">
        <f>VLOOKUP(Googleadssales[[#This Row],[Ad_ID]],'[1]pre processed data'!A:T,20,0)</f>
        <v>analytics for data</v>
      </c>
    </row>
    <row r="1241" spans="1:13" x14ac:dyDescent="0.3">
      <c r="A1241" t="s">
        <v>1254</v>
      </c>
      <c r="B1241" t="s">
        <v>14</v>
      </c>
      <c r="C1241" s="4">
        <f>VLOOKUP(Googleadssales[[#This Row],[Ad_ID]],'[1]pre processed data'!A:C,3,0)</f>
        <v>140</v>
      </c>
      <c r="D1241" s="4">
        <f>VLOOKUP(Googleadssales[[#This Row],[Ad_ID]],'[1]pre processed data'!A:E,5,0)</f>
        <v>4404</v>
      </c>
      <c r="E1241" s="5" t="str">
        <f>VLOOKUP(Googleadssales[[#This Row],[Ad_ID]],[1]!Table3[[Ad_ID]:[Cost-imputed]],7,0)</f>
        <v>$186.01</v>
      </c>
      <c r="F1241" s="4">
        <f>VLOOKUP(Googleadssales[[#This Row],[Ad_ID]],'[1]pre processed data'!A:I,9,0)</f>
        <v>23</v>
      </c>
      <c r="G1241" s="4">
        <f>VLOOKUP(Googleadssales[[#This Row],[Ad_ID]],'[1]pre processed data'!A:K,11,0)</f>
        <v>6</v>
      </c>
      <c r="H1241" s="2">
        <f>Googleadssales[[#This Row],[Conversions]]/Googleadssales[[#This Row],[Clicks]]</f>
        <v>4.2857142857142858E-2</v>
      </c>
      <c r="I1241" t="str">
        <f>VLOOKUP(Googleadssales[[#This Row],[Ad_ID]],'[1]pre processed data'!A:O,15,0)</f>
        <v>$1625</v>
      </c>
      <c r="J1241" s="3">
        <f>VLOOKUP(Googleadssales[[#This Row],[Ad_ID]],'[1]pre processed data'!A:Q,17,0)</f>
        <v>45605</v>
      </c>
      <c r="K1241" t="str">
        <f>VLOOKUP(Googleadssales[[#This Row],[Ad_ID]],'[1]pre processed data'!A:R,18,0)</f>
        <v>Hyderabad</v>
      </c>
      <c r="L1241" t="str">
        <f>VLOOKUP(Googleadssales[[#This Row],[Ad_ID]],'[1]pre processed data'!A:S,19,0)</f>
        <v>Tablet</v>
      </c>
      <c r="M1241" t="str">
        <f>VLOOKUP(Googleadssales[[#This Row],[Ad_ID]],'[1]pre processed data'!A:T,20,0)</f>
        <v>analytics for data</v>
      </c>
    </row>
    <row r="1242" spans="1:13" x14ac:dyDescent="0.3">
      <c r="A1242" t="s">
        <v>1255</v>
      </c>
      <c r="B1242" t="s">
        <v>18</v>
      </c>
      <c r="C1242" s="4">
        <f>VLOOKUP(Googleadssales[[#This Row],[Ad_ID]],'[1]pre processed data'!A:C,3,0)</f>
        <v>137</v>
      </c>
      <c r="D1242" s="4">
        <f>VLOOKUP(Googleadssales[[#This Row],[Ad_ID]],'[1]pre processed data'!A:E,5,0)</f>
        <v>5445</v>
      </c>
      <c r="E1242" s="5" t="str">
        <f>VLOOKUP(Googleadssales[[#This Row],[Ad_ID]],[1]!Table3[[Ad_ID]:[Cost-imputed]],7,0)</f>
        <v>$237.51</v>
      </c>
      <c r="F1242" s="4">
        <f>VLOOKUP(Googleadssales[[#This Row],[Ad_ID]],'[1]pre processed data'!A:I,9,0)</f>
        <v>20</v>
      </c>
      <c r="G1242" s="4">
        <f>VLOOKUP(Googleadssales[[#This Row],[Ad_ID]],'[1]pre processed data'!A:K,11,0)</f>
        <v>5</v>
      </c>
      <c r="H1242" s="2">
        <f>Googleadssales[[#This Row],[Conversions]]/Googleadssales[[#This Row],[Clicks]]</f>
        <v>3.6496350364963501E-2</v>
      </c>
      <c r="I1242" t="str">
        <f>VLOOKUP(Googleadssales[[#This Row],[Ad_ID]],'[1]pre processed data'!A:O,15,0)</f>
        <v>$1904</v>
      </c>
      <c r="J1242" s="3">
        <f>VLOOKUP(Googleadssales[[#This Row],[Ad_ID]],'[1]pre processed data'!A:Q,17,0)</f>
        <v>45621</v>
      </c>
      <c r="K1242" t="str">
        <f>VLOOKUP(Googleadssales[[#This Row],[Ad_ID]],'[1]pre processed data'!A:R,18,0)</f>
        <v>Hyderabad</v>
      </c>
      <c r="L1242" t="str">
        <f>VLOOKUP(Googleadssales[[#This Row],[Ad_ID]],'[1]pre processed data'!A:S,19,0)</f>
        <v>Tablet</v>
      </c>
      <c r="M1242" t="str">
        <f>VLOOKUP(Googleadssales[[#This Row],[Ad_ID]],'[1]pre processed data'!A:T,20,0)</f>
        <v>learn data analytics</v>
      </c>
    </row>
    <row r="1243" spans="1:13" x14ac:dyDescent="0.3">
      <c r="A1243" t="s">
        <v>1256</v>
      </c>
      <c r="B1243" t="s">
        <v>18</v>
      </c>
      <c r="C1243" s="4">
        <f>VLOOKUP(Googleadssales[[#This Row],[Ad_ID]],'[1]pre processed data'!A:C,3,0)</f>
        <v>153</v>
      </c>
      <c r="D1243" s="4">
        <f>VLOOKUP(Googleadssales[[#This Row],[Ad_ID]],'[1]pre processed data'!A:E,5,0)</f>
        <v>3068</v>
      </c>
      <c r="E1243" s="5" t="str">
        <f>VLOOKUP(Googleadssales[[#This Row],[Ad_ID]],[1]!Table3[[Ad_ID]:[Cost-imputed]],7,0)</f>
        <v>$200.00</v>
      </c>
      <c r="F1243" s="4">
        <f>VLOOKUP(Googleadssales[[#This Row],[Ad_ID]],'[1]pre processed data'!A:I,9,0)</f>
        <v>25</v>
      </c>
      <c r="G1243" s="4">
        <f>VLOOKUP(Googleadssales[[#This Row],[Ad_ID]],'[1]pre processed data'!A:K,11,0)</f>
        <v>8</v>
      </c>
      <c r="H1243" s="2">
        <f>Googleadssales[[#This Row],[Conversions]]/Googleadssales[[#This Row],[Clicks]]</f>
        <v>5.2287581699346407E-2</v>
      </c>
      <c r="I1243" t="str">
        <f>VLOOKUP(Googleadssales[[#This Row],[Ad_ID]],'[1]pre processed data'!A:O,15,0)</f>
        <v>$1165</v>
      </c>
      <c r="J1243" s="3">
        <f>VLOOKUP(Googleadssales[[#This Row],[Ad_ID]],'[1]pre processed data'!A:Q,17,0)</f>
        <v>45615</v>
      </c>
      <c r="K1243" t="str">
        <f>VLOOKUP(Googleadssales[[#This Row],[Ad_ID]],'[1]pre processed data'!A:R,18,0)</f>
        <v>Chennai</v>
      </c>
      <c r="L1243" t="str">
        <f>VLOOKUP(Googleadssales[[#This Row],[Ad_ID]],'[1]pre processed data'!A:S,19,0)</f>
        <v>Tablet</v>
      </c>
      <c r="M1243" t="str">
        <f>VLOOKUP(Googleadssales[[#This Row],[Ad_ID]],'[1]pre processed data'!A:T,20,0)</f>
        <v>analytics for data</v>
      </c>
    </row>
    <row r="1244" spans="1:13" x14ac:dyDescent="0.3">
      <c r="A1244" t="s">
        <v>1257</v>
      </c>
      <c r="B1244" t="s">
        <v>14</v>
      </c>
      <c r="C1244" s="4">
        <f>VLOOKUP(Googleadssales[[#This Row],[Ad_ID]],'[1]pre processed data'!A:C,3,0)</f>
        <v>177</v>
      </c>
      <c r="D1244" s="4">
        <f>VLOOKUP(Googleadssales[[#This Row],[Ad_ID]],'[1]pre processed data'!A:E,5,0)</f>
        <v>4523.2808326787117</v>
      </c>
      <c r="E1244" s="5" t="str">
        <f>VLOOKUP(Googleadssales[[#This Row],[Ad_ID]],[1]!Table3[[Ad_ID]:[Cost-imputed]],7,0)</f>
        <v>$240.09</v>
      </c>
      <c r="F1244" s="4">
        <f>VLOOKUP(Googleadssales[[#This Row],[Ad_ID]],'[1]pre processed data'!A:I,9,0)</f>
        <v>26</v>
      </c>
      <c r="G1244" s="4">
        <f>VLOOKUP(Googleadssales[[#This Row],[Ad_ID]],'[1]pre processed data'!A:K,11,0)</f>
        <v>10</v>
      </c>
      <c r="H1244" s="2">
        <f>Googleadssales[[#This Row],[Conversions]]/Googleadssales[[#This Row],[Clicks]]</f>
        <v>5.6497175141242938E-2</v>
      </c>
      <c r="I1244" t="str">
        <f>VLOOKUP(Googleadssales[[#This Row],[Ad_ID]],'[1]pre processed data'!A:O,15,0)</f>
        <v>$1500</v>
      </c>
      <c r="J1244" s="3">
        <f>VLOOKUP(Googleadssales[[#This Row],[Ad_ID]],'[1]pre processed data'!A:Q,17,0)</f>
        <v>45604</v>
      </c>
      <c r="K1244" t="str">
        <f>VLOOKUP(Googleadssales[[#This Row],[Ad_ID]],'[1]pre processed data'!A:R,18,0)</f>
        <v>Chennai</v>
      </c>
      <c r="L1244" t="str">
        <f>VLOOKUP(Googleadssales[[#This Row],[Ad_ID]],'[1]pre processed data'!A:S,19,0)</f>
        <v>Mobile</v>
      </c>
      <c r="M1244" t="str">
        <f>VLOOKUP(Googleadssales[[#This Row],[Ad_ID]],'[1]pre processed data'!A:T,20,0)</f>
        <v>data analytics training</v>
      </c>
    </row>
    <row r="1245" spans="1:13" x14ac:dyDescent="0.3">
      <c r="A1245" t="s">
        <v>1258</v>
      </c>
      <c r="B1245" t="s">
        <v>14</v>
      </c>
      <c r="C1245" s="4">
        <f>VLOOKUP(Googleadssales[[#This Row],[Ad_ID]],'[1]pre processed data'!A:C,3,0)</f>
        <v>100</v>
      </c>
      <c r="D1245" s="4">
        <f>VLOOKUP(Googleadssales[[#This Row],[Ad_ID]],'[1]pre processed data'!A:E,5,0)</f>
        <v>4042</v>
      </c>
      <c r="E1245" s="5" t="str">
        <f>VLOOKUP(Googleadssales[[#This Row],[Ad_ID]],[1]!Table3[[Ad_ID]:[Cost-imputed]],7,0)</f>
        <v>$200.00</v>
      </c>
      <c r="F1245" s="4">
        <f>VLOOKUP(Googleadssales[[#This Row],[Ad_ID]],'[1]pre processed data'!A:I,9,0)</f>
        <v>13</v>
      </c>
      <c r="G1245" s="4">
        <f>VLOOKUP(Googleadssales[[#This Row],[Ad_ID]],'[1]pre processed data'!A:K,11,0)</f>
        <v>6</v>
      </c>
      <c r="H1245" s="2">
        <f>Googleadssales[[#This Row],[Conversions]]/Googleadssales[[#This Row],[Clicks]]</f>
        <v>0.06</v>
      </c>
      <c r="I1245" t="str">
        <f>VLOOKUP(Googleadssales[[#This Row],[Ad_ID]],'[1]pre processed data'!A:O,15,0)</f>
        <v>$1678</v>
      </c>
      <c r="J1245" s="3">
        <f>VLOOKUP(Googleadssales[[#This Row],[Ad_ID]],'[1]pre processed data'!A:Q,17,0)</f>
        <v>45614</v>
      </c>
      <c r="K1245" t="str">
        <f>VLOOKUP(Googleadssales[[#This Row],[Ad_ID]],'[1]pre processed data'!A:R,18,0)</f>
        <v>Chennai</v>
      </c>
      <c r="L1245" t="str">
        <f>VLOOKUP(Googleadssales[[#This Row],[Ad_ID]],'[1]pre processed data'!A:S,19,0)</f>
        <v>Desktop</v>
      </c>
      <c r="M1245" t="str">
        <f>VLOOKUP(Googleadssales[[#This Row],[Ad_ID]],'[1]pre processed data'!A:T,20,0)</f>
        <v>analytics for data</v>
      </c>
    </row>
    <row r="1246" spans="1:13" x14ac:dyDescent="0.3">
      <c r="A1246" t="s">
        <v>1259</v>
      </c>
      <c r="B1246" t="s">
        <v>14</v>
      </c>
      <c r="C1246" s="4">
        <f>VLOOKUP(Googleadssales[[#This Row],[Ad_ID]],'[1]pre processed data'!A:C,3,0)</f>
        <v>160</v>
      </c>
      <c r="D1246" s="4">
        <f>VLOOKUP(Googleadssales[[#This Row],[Ad_ID]],'[1]pre processed data'!A:E,5,0)</f>
        <v>5645</v>
      </c>
      <c r="E1246" s="5" t="str">
        <f>VLOOKUP(Googleadssales[[#This Row],[Ad_ID]],[1]!Table3[[Ad_ID]:[Cost-imputed]],7,0)</f>
        <v>$195.42</v>
      </c>
      <c r="F1246" s="4">
        <f>VLOOKUP(Googleadssales[[#This Row],[Ad_ID]],'[1]pre processed data'!A:I,9,0)</f>
        <v>25</v>
      </c>
      <c r="G1246" s="4">
        <f>VLOOKUP(Googleadssales[[#This Row],[Ad_ID]],'[1]pre processed data'!A:K,11,0)</f>
        <v>6</v>
      </c>
      <c r="H1246" s="2">
        <f>Googleadssales[[#This Row],[Conversions]]/Googleadssales[[#This Row],[Clicks]]</f>
        <v>3.7499999999999999E-2</v>
      </c>
      <c r="I1246" t="str">
        <f>VLOOKUP(Googleadssales[[#This Row],[Ad_ID]],'[1]pre processed data'!A:O,15,0)</f>
        <v>$1600</v>
      </c>
      <c r="J1246" s="3">
        <f>VLOOKUP(Googleadssales[[#This Row],[Ad_ID]],'[1]pre processed data'!A:Q,17,0)</f>
        <v>45612</v>
      </c>
      <c r="K1246" t="str">
        <f>VLOOKUP(Googleadssales[[#This Row],[Ad_ID]],'[1]pre processed data'!A:R,18,0)</f>
        <v>Hyderabad</v>
      </c>
      <c r="L1246" t="str">
        <f>VLOOKUP(Googleadssales[[#This Row],[Ad_ID]],'[1]pre processed data'!A:S,19,0)</f>
        <v>Tablet</v>
      </c>
      <c r="M1246" t="str">
        <f>VLOOKUP(Googleadssales[[#This Row],[Ad_ID]],'[1]pre processed data'!A:T,20,0)</f>
        <v>data analytics online</v>
      </c>
    </row>
    <row r="1247" spans="1:13" x14ac:dyDescent="0.3">
      <c r="A1247" t="s">
        <v>1260</v>
      </c>
      <c r="B1247" t="s">
        <v>18</v>
      </c>
      <c r="C1247" s="4">
        <f>VLOOKUP(Googleadssales[[#This Row],[Ad_ID]],'[1]pre processed data'!A:C,3,0)</f>
        <v>194</v>
      </c>
      <c r="D1247" s="4">
        <f>VLOOKUP(Googleadssales[[#This Row],[Ad_ID]],'[1]pre processed data'!A:E,5,0)</f>
        <v>3751</v>
      </c>
      <c r="E1247" s="5" t="str">
        <f>VLOOKUP(Googleadssales[[#This Row],[Ad_ID]],[1]!Table3[[Ad_ID]:[Cost-imputed]],7,0)</f>
        <v>$244.34</v>
      </c>
      <c r="F1247" s="4">
        <f>VLOOKUP(Googleadssales[[#This Row],[Ad_ID]],'[1]pre processed data'!A:I,9,0)</f>
        <v>23</v>
      </c>
      <c r="G1247" s="4">
        <f>VLOOKUP(Googleadssales[[#This Row],[Ad_ID]],'[1]pre processed data'!A:K,11,0)</f>
        <v>5</v>
      </c>
      <c r="H1247" s="2">
        <f>Googleadssales[[#This Row],[Conversions]]/Googleadssales[[#This Row],[Clicks]]</f>
        <v>2.5773195876288658E-2</v>
      </c>
      <c r="I1247" t="str">
        <f>VLOOKUP(Googleadssales[[#This Row],[Ad_ID]],'[1]pre processed data'!A:O,15,0)</f>
        <v>$1500</v>
      </c>
      <c r="J1247" s="3">
        <f>VLOOKUP(Googleadssales[[#This Row],[Ad_ID]],'[1]pre processed data'!A:Q,17,0)</f>
        <v>45598</v>
      </c>
      <c r="K1247" t="str">
        <f>VLOOKUP(Googleadssales[[#This Row],[Ad_ID]],'[1]pre processed data'!A:R,18,0)</f>
        <v>Bangaluru</v>
      </c>
      <c r="L1247" t="str">
        <f>VLOOKUP(Googleadssales[[#This Row],[Ad_ID]],'[1]pre processed data'!A:S,19,0)</f>
        <v>Mobile</v>
      </c>
      <c r="M1247" t="str">
        <f>VLOOKUP(Googleadssales[[#This Row],[Ad_ID]],'[1]pre processed data'!A:T,20,0)</f>
        <v>data analytics online</v>
      </c>
    </row>
    <row r="1248" spans="1:13" x14ac:dyDescent="0.3">
      <c r="A1248" t="s">
        <v>1261</v>
      </c>
      <c r="B1248" t="s">
        <v>14</v>
      </c>
      <c r="C1248" s="4">
        <f>VLOOKUP(Googleadssales[[#This Row],[Ad_ID]],'[1]pre processed data'!A:C,3,0)</f>
        <v>128</v>
      </c>
      <c r="D1248" s="4">
        <f>VLOOKUP(Googleadssales[[#This Row],[Ad_ID]],'[1]pre processed data'!A:E,5,0)</f>
        <v>5010</v>
      </c>
      <c r="E1248" s="5" t="str">
        <f>VLOOKUP(Googleadssales[[#This Row],[Ad_ID]],[1]!Table3[[Ad_ID]:[Cost-imputed]],7,0)</f>
        <v>$202.34</v>
      </c>
      <c r="F1248" s="4">
        <f>VLOOKUP(Googleadssales[[#This Row],[Ad_ID]],'[1]pre processed data'!A:I,9,0)</f>
        <v>26</v>
      </c>
      <c r="G1248" s="4">
        <f>VLOOKUP(Googleadssales[[#This Row],[Ad_ID]],'[1]pre processed data'!A:K,11,0)</f>
        <v>7</v>
      </c>
      <c r="H1248" s="2">
        <f>Googleadssales[[#This Row],[Conversions]]/Googleadssales[[#This Row],[Clicks]]</f>
        <v>5.46875E-2</v>
      </c>
      <c r="I1248" t="str">
        <f>VLOOKUP(Googleadssales[[#This Row],[Ad_ID]],'[1]pre processed data'!A:O,15,0)</f>
        <v>$1500</v>
      </c>
      <c r="J1248" s="3">
        <f>VLOOKUP(Googleadssales[[#This Row],[Ad_ID]],'[1]pre processed data'!A:Q,17,0)</f>
        <v>45612</v>
      </c>
      <c r="K1248" t="str">
        <f>VLOOKUP(Googleadssales[[#This Row],[Ad_ID]],'[1]pre processed data'!A:R,18,0)</f>
        <v>Hyderabad</v>
      </c>
      <c r="L1248" t="str">
        <f>VLOOKUP(Googleadssales[[#This Row],[Ad_ID]],'[1]pre processed data'!A:S,19,0)</f>
        <v>Tablet</v>
      </c>
      <c r="M1248" t="str">
        <f>VLOOKUP(Googleadssales[[#This Row],[Ad_ID]],'[1]pre processed data'!A:T,20,0)</f>
        <v>data analytics training</v>
      </c>
    </row>
    <row r="1249" spans="1:13" x14ac:dyDescent="0.3">
      <c r="A1249" t="s">
        <v>1262</v>
      </c>
      <c r="B1249" t="s">
        <v>14</v>
      </c>
      <c r="C1249" s="4">
        <f>VLOOKUP(Googleadssales[[#This Row],[Ad_ID]],'[1]pre processed data'!A:C,3,0)</f>
        <v>80</v>
      </c>
      <c r="D1249" s="4">
        <f>VLOOKUP(Googleadssales[[#This Row],[Ad_ID]],'[1]pre processed data'!A:E,5,0)</f>
        <v>4506</v>
      </c>
      <c r="E1249" s="5" t="str">
        <f>VLOOKUP(Googleadssales[[#This Row],[Ad_ID]],[1]!Table3[[Ad_ID]:[Cost-imputed]],7,0)</f>
        <v>$236.47</v>
      </c>
      <c r="F1249" s="4">
        <f>VLOOKUP(Googleadssales[[#This Row],[Ad_ID]],'[1]pre processed data'!A:I,9,0)</f>
        <v>11</v>
      </c>
      <c r="G1249" s="4">
        <f>VLOOKUP(Googleadssales[[#This Row],[Ad_ID]],'[1]pre processed data'!A:K,11,0)</f>
        <v>5</v>
      </c>
      <c r="H1249" s="2">
        <f>Googleadssales[[#This Row],[Conversions]]/Googleadssales[[#This Row],[Clicks]]</f>
        <v>6.25E-2</v>
      </c>
      <c r="I1249" t="str">
        <f>VLOOKUP(Googleadssales[[#This Row],[Ad_ID]],'[1]pre processed data'!A:O,15,0)</f>
        <v>$1953</v>
      </c>
      <c r="J1249" s="3">
        <f>VLOOKUP(Googleadssales[[#This Row],[Ad_ID]],'[1]pre processed data'!A:Q,17,0)</f>
        <v>45616</v>
      </c>
      <c r="K1249" t="str">
        <f>VLOOKUP(Googleadssales[[#This Row],[Ad_ID]],'[1]pre processed data'!A:R,18,0)</f>
        <v>Chennai</v>
      </c>
      <c r="L1249" t="str">
        <f>VLOOKUP(Googleadssales[[#This Row],[Ad_ID]],'[1]pre processed data'!A:S,19,0)</f>
        <v>Desktop</v>
      </c>
      <c r="M1249" t="str">
        <f>VLOOKUP(Googleadssales[[#This Row],[Ad_ID]],'[1]pre processed data'!A:T,20,0)</f>
        <v>data analytics course</v>
      </c>
    </row>
    <row r="1250" spans="1:13" x14ac:dyDescent="0.3">
      <c r="A1250" t="s">
        <v>1263</v>
      </c>
      <c r="B1250" t="s">
        <v>14</v>
      </c>
      <c r="C1250" s="4">
        <f>VLOOKUP(Googleadssales[[#This Row],[Ad_ID]],'[1]pre processed data'!A:C,3,0)</f>
        <v>81</v>
      </c>
      <c r="D1250" s="4">
        <f>VLOOKUP(Googleadssales[[#This Row],[Ad_ID]],'[1]pre processed data'!A:E,5,0)</f>
        <v>5843</v>
      </c>
      <c r="E1250" s="5" t="str">
        <f>VLOOKUP(Googleadssales[[#This Row],[Ad_ID]],[1]!Table3[[Ad_ID]:[Cost-imputed]],7,0)</f>
        <v>$209.54</v>
      </c>
      <c r="F1250" s="4">
        <f>VLOOKUP(Googleadssales[[#This Row],[Ad_ID]],'[1]pre processed data'!A:I,9,0)</f>
        <v>10</v>
      </c>
      <c r="G1250" s="4">
        <f>VLOOKUP(Googleadssales[[#This Row],[Ad_ID]],'[1]pre processed data'!A:K,11,0)</f>
        <v>9</v>
      </c>
      <c r="H1250" s="2">
        <f>Googleadssales[[#This Row],[Conversions]]/Googleadssales[[#This Row],[Clicks]]</f>
        <v>0.1111111111111111</v>
      </c>
      <c r="I1250" t="str">
        <f>VLOOKUP(Googleadssales[[#This Row],[Ad_ID]],'[1]pre processed data'!A:O,15,0)</f>
        <v>$1979</v>
      </c>
      <c r="J1250" s="3">
        <f>VLOOKUP(Googleadssales[[#This Row],[Ad_ID]],'[1]pre processed data'!A:Q,17,0)</f>
        <v>45605</v>
      </c>
      <c r="K1250" t="str">
        <f>VLOOKUP(Googleadssales[[#This Row],[Ad_ID]],'[1]pre processed data'!A:R,18,0)</f>
        <v>Hyderabad</v>
      </c>
      <c r="L1250" t="str">
        <f>VLOOKUP(Googleadssales[[#This Row],[Ad_ID]],'[1]pre processed data'!A:S,19,0)</f>
        <v>Tablet</v>
      </c>
      <c r="M1250" t="str">
        <f>VLOOKUP(Googleadssales[[#This Row],[Ad_ID]],'[1]pre processed data'!A:T,20,0)</f>
        <v>data analytics training</v>
      </c>
    </row>
    <row r="1251" spans="1:13" x14ac:dyDescent="0.3">
      <c r="A1251" t="s">
        <v>1264</v>
      </c>
      <c r="B1251" t="s">
        <v>18</v>
      </c>
      <c r="C1251" s="4">
        <f>VLOOKUP(Googleadssales[[#This Row],[Ad_ID]],'[1]pre processed data'!A:C,3,0)</f>
        <v>102</v>
      </c>
      <c r="D1251" s="4">
        <f>VLOOKUP(Googleadssales[[#This Row],[Ad_ID]],'[1]pre processed data'!A:E,5,0)</f>
        <v>5369</v>
      </c>
      <c r="E1251" s="5" t="str">
        <f>VLOOKUP(Googleadssales[[#This Row],[Ad_ID]],[1]!Table3[[Ad_ID]:[Cost-imputed]],7,0)</f>
        <v>$198.39</v>
      </c>
      <c r="F1251" s="4">
        <f>VLOOKUP(Googleadssales[[#This Row],[Ad_ID]],'[1]pre processed data'!A:I,9,0)</f>
        <v>29</v>
      </c>
      <c r="G1251" s="4">
        <f>VLOOKUP(Googleadssales[[#This Row],[Ad_ID]],'[1]pre processed data'!A:K,11,0)</f>
        <v>4</v>
      </c>
      <c r="H1251" s="2">
        <f>Googleadssales[[#This Row],[Conversions]]/Googleadssales[[#This Row],[Clicks]]</f>
        <v>3.9215686274509803E-2</v>
      </c>
      <c r="I1251" t="str">
        <f>VLOOKUP(Googleadssales[[#This Row],[Ad_ID]],'[1]pre processed data'!A:O,15,0)</f>
        <v>$1659</v>
      </c>
      <c r="J1251" s="3">
        <f>VLOOKUP(Googleadssales[[#This Row],[Ad_ID]],'[1]pre processed data'!A:Q,17,0)</f>
        <v>45615</v>
      </c>
      <c r="K1251" t="str">
        <f>VLOOKUP(Googleadssales[[#This Row],[Ad_ID]],'[1]pre processed data'!A:R,18,0)</f>
        <v>Chennai</v>
      </c>
      <c r="L1251" t="str">
        <f>VLOOKUP(Googleadssales[[#This Row],[Ad_ID]],'[1]pre processed data'!A:S,19,0)</f>
        <v>Tablet</v>
      </c>
      <c r="M1251" t="str">
        <f>VLOOKUP(Googleadssales[[#This Row],[Ad_ID]],'[1]pre processed data'!A:T,20,0)</f>
        <v>data analytics course</v>
      </c>
    </row>
    <row r="1252" spans="1:13" x14ac:dyDescent="0.3">
      <c r="A1252" t="s">
        <v>1265</v>
      </c>
      <c r="B1252" t="s">
        <v>14</v>
      </c>
      <c r="C1252" s="4">
        <f>VLOOKUP(Googleadssales[[#This Row],[Ad_ID]],'[1]pre processed data'!A:C,3,0)</f>
        <v>197</v>
      </c>
      <c r="D1252" s="4">
        <f>VLOOKUP(Googleadssales[[#This Row],[Ad_ID]],'[1]pre processed data'!A:E,5,0)</f>
        <v>4047</v>
      </c>
      <c r="E1252" s="5" t="str">
        <f>VLOOKUP(Googleadssales[[#This Row],[Ad_ID]],[1]!Table3[[Ad_ID]:[Cost-imputed]],7,0)</f>
        <v>$202.72</v>
      </c>
      <c r="F1252" s="4">
        <f>VLOOKUP(Googleadssales[[#This Row],[Ad_ID]],'[1]pre processed data'!A:I,9,0)</f>
        <v>15</v>
      </c>
      <c r="G1252" s="4">
        <f>VLOOKUP(Googleadssales[[#This Row],[Ad_ID]],'[1]pre processed data'!A:K,11,0)</f>
        <v>3</v>
      </c>
      <c r="H1252" s="2">
        <f>Googleadssales[[#This Row],[Conversions]]/Googleadssales[[#This Row],[Clicks]]</f>
        <v>1.5228426395939087E-2</v>
      </c>
      <c r="I1252" t="str">
        <f>VLOOKUP(Googleadssales[[#This Row],[Ad_ID]],'[1]pre processed data'!A:O,15,0)</f>
        <v>$1345</v>
      </c>
      <c r="J1252" s="3">
        <f>VLOOKUP(Googleadssales[[#This Row],[Ad_ID]],'[1]pre processed data'!A:Q,17,0)</f>
        <v>45601</v>
      </c>
      <c r="K1252" t="str">
        <f>VLOOKUP(Googleadssales[[#This Row],[Ad_ID]],'[1]pre processed data'!A:R,18,0)</f>
        <v>Bangaluru</v>
      </c>
      <c r="L1252" t="str">
        <f>VLOOKUP(Googleadssales[[#This Row],[Ad_ID]],'[1]pre processed data'!A:S,19,0)</f>
        <v>Mobile</v>
      </c>
      <c r="M1252" t="str">
        <f>VLOOKUP(Googleadssales[[#This Row],[Ad_ID]],'[1]pre processed data'!A:T,20,0)</f>
        <v>data analytics online</v>
      </c>
    </row>
    <row r="1253" spans="1:13" x14ac:dyDescent="0.3">
      <c r="A1253" t="s">
        <v>1266</v>
      </c>
      <c r="B1253" t="s">
        <v>14</v>
      </c>
      <c r="C1253" s="4">
        <f>VLOOKUP(Googleadssales[[#This Row],[Ad_ID]],'[1]pre processed data'!A:C,3,0)</f>
        <v>84</v>
      </c>
      <c r="D1253" s="4">
        <f>VLOOKUP(Googleadssales[[#This Row],[Ad_ID]],'[1]pre processed data'!A:E,5,0)</f>
        <v>4463</v>
      </c>
      <c r="E1253" s="5" t="str">
        <f>VLOOKUP(Googleadssales[[#This Row],[Ad_ID]],[1]!Table3[[Ad_ID]:[Cost-imputed]],7,0)</f>
        <v>$198.44</v>
      </c>
      <c r="F1253" s="4">
        <f>VLOOKUP(Googleadssales[[#This Row],[Ad_ID]],'[1]pre processed data'!A:I,9,0)</f>
        <v>17</v>
      </c>
      <c r="G1253" s="4">
        <f>VLOOKUP(Googleadssales[[#This Row],[Ad_ID]],'[1]pre processed data'!A:K,11,0)</f>
        <v>3</v>
      </c>
      <c r="H1253" s="2">
        <f>Googleadssales[[#This Row],[Conversions]]/Googleadssales[[#This Row],[Clicks]]</f>
        <v>3.5714285714285712E-2</v>
      </c>
      <c r="I1253" t="str">
        <f>VLOOKUP(Googleadssales[[#This Row],[Ad_ID]],'[1]pre processed data'!A:O,15,0)</f>
        <v>$1110</v>
      </c>
      <c r="J1253" s="3">
        <f>VLOOKUP(Googleadssales[[#This Row],[Ad_ID]],'[1]pre processed data'!A:Q,17,0)</f>
        <v>45598</v>
      </c>
      <c r="K1253" t="str">
        <f>VLOOKUP(Googleadssales[[#This Row],[Ad_ID]],'[1]pre processed data'!A:R,18,0)</f>
        <v>Chennai</v>
      </c>
      <c r="L1253" t="str">
        <f>VLOOKUP(Googleadssales[[#This Row],[Ad_ID]],'[1]pre processed data'!A:S,19,0)</f>
        <v>Mobile</v>
      </c>
      <c r="M1253" t="str">
        <f>VLOOKUP(Googleadssales[[#This Row],[Ad_ID]],'[1]pre processed data'!A:T,20,0)</f>
        <v>analytics for data</v>
      </c>
    </row>
    <row r="1254" spans="1:13" x14ac:dyDescent="0.3">
      <c r="A1254" t="s">
        <v>1267</v>
      </c>
      <c r="B1254" t="s">
        <v>14</v>
      </c>
      <c r="C1254" s="4">
        <f>VLOOKUP(Googleadssales[[#This Row],[Ad_ID]],'[1]pre processed data'!A:C,3,0)</f>
        <v>119</v>
      </c>
      <c r="D1254" s="4">
        <f>VLOOKUP(Googleadssales[[#This Row],[Ad_ID]],'[1]pre processed data'!A:E,5,0)</f>
        <v>4610</v>
      </c>
      <c r="E1254" s="5" t="str">
        <f>VLOOKUP(Googleadssales[[#This Row],[Ad_ID]],[1]!Table3[[Ad_ID]:[Cost-imputed]],7,0)</f>
        <v>$222.7</v>
      </c>
      <c r="F1254" s="4">
        <f>VLOOKUP(Googleadssales[[#This Row],[Ad_ID]],'[1]pre processed data'!A:I,9,0)</f>
        <v>18</v>
      </c>
      <c r="G1254" s="4">
        <f>VLOOKUP(Googleadssales[[#This Row],[Ad_ID]],'[1]pre processed data'!A:K,11,0)</f>
        <v>3</v>
      </c>
      <c r="H1254" s="2">
        <f>Googleadssales[[#This Row],[Conversions]]/Googleadssales[[#This Row],[Clicks]]</f>
        <v>2.5210084033613446E-2</v>
      </c>
      <c r="I1254" t="str">
        <f>VLOOKUP(Googleadssales[[#This Row],[Ad_ID]],'[1]pre processed data'!A:O,15,0)</f>
        <v>$1473</v>
      </c>
      <c r="J1254" s="3">
        <f>VLOOKUP(Googleadssales[[#This Row],[Ad_ID]],'[1]pre processed data'!A:Q,17,0)</f>
        <v>45614</v>
      </c>
      <c r="K1254" t="str">
        <f>VLOOKUP(Googleadssales[[#This Row],[Ad_ID]],'[1]pre processed data'!A:R,18,0)</f>
        <v>Hyderabad</v>
      </c>
      <c r="L1254" t="str">
        <f>VLOOKUP(Googleadssales[[#This Row],[Ad_ID]],'[1]pre processed data'!A:S,19,0)</f>
        <v>Desktop</v>
      </c>
      <c r="M1254" t="str">
        <f>VLOOKUP(Googleadssales[[#This Row],[Ad_ID]],'[1]pre processed data'!A:T,20,0)</f>
        <v>data analytics online</v>
      </c>
    </row>
    <row r="1255" spans="1:13" x14ac:dyDescent="0.3">
      <c r="A1255" t="s">
        <v>1268</v>
      </c>
      <c r="B1255" t="s">
        <v>14</v>
      </c>
      <c r="C1255" s="4">
        <f>VLOOKUP(Googleadssales[[#This Row],[Ad_ID]],'[1]pre processed data'!A:C,3,0)</f>
        <v>96</v>
      </c>
      <c r="D1255" s="4">
        <f>VLOOKUP(Googleadssales[[#This Row],[Ad_ID]],'[1]pre processed data'!A:E,5,0)</f>
        <v>5957</v>
      </c>
      <c r="E1255" s="5" t="str">
        <f>VLOOKUP(Googleadssales[[#This Row],[Ad_ID]],[1]!Table3[[Ad_ID]:[Cost-imputed]],7,0)</f>
        <v>$225.59</v>
      </c>
      <c r="F1255" s="4">
        <f>VLOOKUP(Googleadssales[[#This Row],[Ad_ID]],'[1]pre processed data'!A:I,9,0)</f>
        <v>27</v>
      </c>
      <c r="G1255" s="4">
        <f>VLOOKUP(Googleadssales[[#This Row],[Ad_ID]],'[1]pre processed data'!A:K,11,0)</f>
        <v>10</v>
      </c>
      <c r="H1255" s="2">
        <f>Googleadssales[[#This Row],[Conversions]]/Googleadssales[[#This Row],[Clicks]]</f>
        <v>0.10416666666666667</v>
      </c>
      <c r="I1255" t="str">
        <f>VLOOKUP(Googleadssales[[#This Row],[Ad_ID]],'[1]pre processed data'!A:O,15,0)</f>
        <v>$1062</v>
      </c>
      <c r="J1255" s="3">
        <f>VLOOKUP(Googleadssales[[#This Row],[Ad_ID]],'[1]pre processed data'!A:Q,17,0)</f>
        <v>45617</v>
      </c>
      <c r="K1255" t="str">
        <f>VLOOKUP(Googleadssales[[#This Row],[Ad_ID]],'[1]pre processed data'!A:R,18,0)</f>
        <v>Hyderabad</v>
      </c>
      <c r="L1255" t="str">
        <f>VLOOKUP(Googleadssales[[#This Row],[Ad_ID]],'[1]pre processed data'!A:S,19,0)</f>
        <v>Mobile</v>
      </c>
      <c r="M1255" t="str">
        <f>VLOOKUP(Googleadssales[[#This Row],[Ad_ID]],'[1]pre processed data'!A:T,20,0)</f>
        <v>data analytics online</v>
      </c>
    </row>
    <row r="1256" spans="1:13" x14ac:dyDescent="0.3">
      <c r="A1256" t="s">
        <v>1269</v>
      </c>
      <c r="B1256" t="s">
        <v>18</v>
      </c>
      <c r="C1256" s="4">
        <f>VLOOKUP(Googleadssales[[#This Row],[Ad_ID]],'[1]pre processed data'!A:C,3,0)</f>
        <v>144</v>
      </c>
      <c r="D1256" s="4">
        <f>VLOOKUP(Googleadssales[[#This Row],[Ad_ID]],'[1]pre processed data'!A:E,5,0)</f>
        <v>5704</v>
      </c>
      <c r="E1256" s="5" t="str">
        <f>VLOOKUP(Googleadssales[[#This Row],[Ad_ID]],[1]!Table3[[Ad_ID]:[Cost-imputed]],7,0)</f>
        <v>$196.67</v>
      </c>
      <c r="F1256" s="4">
        <f>VLOOKUP(Googleadssales[[#This Row],[Ad_ID]],'[1]pre processed data'!A:I,9,0)</f>
        <v>29</v>
      </c>
      <c r="G1256" s="4">
        <f>VLOOKUP(Googleadssales[[#This Row],[Ad_ID]],'[1]pre processed data'!A:K,11,0)</f>
        <v>6</v>
      </c>
      <c r="H1256" s="2">
        <f>Googleadssales[[#This Row],[Conversions]]/Googleadssales[[#This Row],[Clicks]]</f>
        <v>4.1666666666666664E-2</v>
      </c>
      <c r="I1256" t="str">
        <f>VLOOKUP(Googleadssales[[#This Row],[Ad_ID]],'[1]pre processed data'!A:O,15,0)</f>
        <v>$1573</v>
      </c>
      <c r="J1256" s="3">
        <f>VLOOKUP(Googleadssales[[#This Row],[Ad_ID]],'[1]pre processed data'!A:Q,17,0)</f>
        <v>45625</v>
      </c>
      <c r="K1256" t="str">
        <f>VLOOKUP(Googleadssales[[#This Row],[Ad_ID]],'[1]pre processed data'!A:R,18,0)</f>
        <v>Chennai</v>
      </c>
      <c r="L1256" t="str">
        <f>VLOOKUP(Googleadssales[[#This Row],[Ad_ID]],'[1]pre processed data'!A:S,19,0)</f>
        <v>Mobile</v>
      </c>
      <c r="M1256" t="str">
        <f>VLOOKUP(Googleadssales[[#This Row],[Ad_ID]],'[1]pre processed data'!A:T,20,0)</f>
        <v>analytics for data</v>
      </c>
    </row>
    <row r="1257" spans="1:13" x14ac:dyDescent="0.3">
      <c r="A1257" t="s">
        <v>1270</v>
      </c>
      <c r="B1257" t="s">
        <v>14</v>
      </c>
      <c r="C1257" s="4">
        <f>VLOOKUP(Googleadssales[[#This Row],[Ad_ID]],'[1]pre processed data'!A:C,3,0)</f>
        <v>148</v>
      </c>
      <c r="D1257" s="4">
        <f>VLOOKUP(Googleadssales[[#This Row],[Ad_ID]],'[1]pre processed data'!A:E,5,0)</f>
        <v>5335</v>
      </c>
      <c r="E1257" s="5" t="str">
        <f>VLOOKUP(Googleadssales[[#This Row],[Ad_ID]],[1]!Table3[[Ad_ID]:[Cost-imputed]],7,0)</f>
        <v>$223.36</v>
      </c>
      <c r="F1257" s="4">
        <f>VLOOKUP(Googleadssales[[#This Row],[Ad_ID]],'[1]pre processed data'!A:I,9,0)</f>
        <v>21</v>
      </c>
      <c r="G1257" s="4">
        <f>VLOOKUP(Googleadssales[[#This Row],[Ad_ID]],'[1]pre processed data'!A:K,11,0)</f>
        <v>9</v>
      </c>
      <c r="H1257" s="2">
        <f>Googleadssales[[#This Row],[Conversions]]/Googleadssales[[#This Row],[Clicks]]</f>
        <v>6.0810810810810814E-2</v>
      </c>
      <c r="I1257" t="str">
        <f>VLOOKUP(Googleadssales[[#This Row],[Ad_ID]],'[1]pre processed data'!A:O,15,0)</f>
        <v>$1251</v>
      </c>
      <c r="J1257" s="3">
        <f>VLOOKUP(Googleadssales[[#This Row],[Ad_ID]],'[1]pre processed data'!A:Q,17,0)</f>
        <v>45616</v>
      </c>
      <c r="K1257" t="str">
        <f>VLOOKUP(Googleadssales[[#This Row],[Ad_ID]],'[1]pre processed data'!A:R,18,0)</f>
        <v>Hyderabad</v>
      </c>
      <c r="L1257" t="str">
        <f>VLOOKUP(Googleadssales[[#This Row],[Ad_ID]],'[1]pre processed data'!A:S,19,0)</f>
        <v>Tablet</v>
      </c>
      <c r="M1257" t="str">
        <f>VLOOKUP(Googleadssales[[#This Row],[Ad_ID]],'[1]pre processed data'!A:T,20,0)</f>
        <v>data analytics online</v>
      </c>
    </row>
    <row r="1258" spans="1:13" x14ac:dyDescent="0.3">
      <c r="A1258" t="s">
        <v>1271</v>
      </c>
      <c r="B1258" t="s">
        <v>14</v>
      </c>
      <c r="C1258" s="4">
        <f>VLOOKUP(Googleadssales[[#This Row],[Ad_ID]],'[1]pre processed data'!A:C,3,0)</f>
        <v>151</v>
      </c>
      <c r="D1258" s="4">
        <f>VLOOKUP(Googleadssales[[#This Row],[Ad_ID]],'[1]pre processed data'!A:E,5,0)</f>
        <v>4901</v>
      </c>
      <c r="E1258" s="5" t="str">
        <f>VLOOKUP(Googleadssales[[#This Row],[Ad_ID]],[1]!Table3[[Ad_ID]:[Cost-imputed]],7,0)</f>
        <v>$224.29</v>
      </c>
      <c r="F1258" s="4">
        <f>VLOOKUP(Googleadssales[[#This Row],[Ad_ID]],'[1]pre processed data'!A:I,9,0)</f>
        <v>27</v>
      </c>
      <c r="G1258" s="4">
        <f>VLOOKUP(Googleadssales[[#This Row],[Ad_ID]],'[1]pre processed data'!A:K,11,0)</f>
        <v>7</v>
      </c>
      <c r="H1258" s="2">
        <f>Googleadssales[[#This Row],[Conversions]]/Googleadssales[[#This Row],[Clicks]]</f>
        <v>4.6357615894039736E-2</v>
      </c>
      <c r="I1258" t="str">
        <f>VLOOKUP(Googleadssales[[#This Row],[Ad_ID]],'[1]pre processed data'!A:O,15,0)</f>
        <v>$1425</v>
      </c>
      <c r="J1258" s="3">
        <f>VLOOKUP(Googleadssales[[#This Row],[Ad_ID]],'[1]pre processed data'!A:Q,17,0)</f>
        <v>45601</v>
      </c>
      <c r="K1258" t="str">
        <f>VLOOKUP(Googleadssales[[#This Row],[Ad_ID]],'[1]pre processed data'!A:R,18,0)</f>
        <v>Hyderabad</v>
      </c>
      <c r="L1258" t="str">
        <f>VLOOKUP(Googleadssales[[#This Row],[Ad_ID]],'[1]pre processed data'!A:S,19,0)</f>
        <v>Mobile</v>
      </c>
      <c r="M1258" t="str">
        <f>VLOOKUP(Googleadssales[[#This Row],[Ad_ID]],'[1]pre processed data'!A:T,20,0)</f>
        <v>data analytics training</v>
      </c>
    </row>
    <row r="1259" spans="1:13" x14ac:dyDescent="0.3">
      <c r="A1259" t="s">
        <v>1272</v>
      </c>
      <c r="B1259" t="s">
        <v>18</v>
      </c>
      <c r="C1259" s="4">
        <f>VLOOKUP(Googleadssales[[#This Row],[Ad_ID]],'[1]pre processed data'!A:C,3,0)</f>
        <v>175</v>
      </c>
      <c r="D1259" s="4">
        <f>VLOOKUP(Googleadssales[[#This Row],[Ad_ID]],'[1]pre processed data'!A:E,5,0)</f>
        <v>5392</v>
      </c>
      <c r="E1259" s="5" t="str">
        <f>VLOOKUP(Googleadssales[[#This Row],[Ad_ID]],[1]!Table3[[Ad_ID]:[Cost-imputed]],7,0)</f>
        <v>$187.74</v>
      </c>
      <c r="F1259" s="4">
        <f>VLOOKUP(Googleadssales[[#This Row],[Ad_ID]],'[1]pre processed data'!A:I,9,0)</f>
        <v>17</v>
      </c>
      <c r="G1259" s="4">
        <f>VLOOKUP(Googleadssales[[#This Row],[Ad_ID]],'[1]pre processed data'!A:K,11,0)</f>
        <v>9</v>
      </c>
      <c r="H1259" s="2">
        <f>Googleadssales[[#This Row],[Conversions]]/Googleadssales[[#This Row],[Clicks]]</f>
        <v>5.1428571428571428E-2</v>
      </c>
      <c r="I1259" t="str">
        <f>VLOOKUP(Googleadssales[[#This Row],[Ad_ID]],'[1]pre processed data'!A:O,15,0)</f>
        <v>$1015</v>
      </c>
      <c r="J1259" s="3">
        <f>VLOOKUP(Googleadssales[[#This Row],[Ad_ID]],'[1]pre processed data'!A:Q,17,0)</f>
        <v>45617</v>
      </c>
      <c r="K1259" t="str">
        <f>VLOOKUP(Googleadssales[[#This Row],[Ad_ID]],'[1]pre processed data'!A:R,18,0)</f>
        <v>Bangaluru</v>
      </c>
      <c r="L1259" t="str">
        <f>VLOOKUP(Googleadssales[[#This Row],[Ad_ID]],'[1]pre processed data'!A:S,19,0)</f>
        <v>Tablet</v>
      </c>
      <c r="M1259" t="str">
        <f>VLOOKUP(Googleadssales[[#This Row],[Ad_ID]],'[1]pre processed data'!A:T,20,0)</f>
        <v>data analytics online</v>
      </c>
    </row>
    <row r="1260" spans="1:13" x14ac:dyDescent="0.3">
      <c r="A1260" t="s">
        <v>1273</v>
      </c>
      <c r="B1260" t="s">
        <v>18</v>
      </c>
      <c r="C1260" s="4">
        <f>VLOOKUP(Googleadssales[[#This Row],[Ad_ID]],'[1]pre processed data'!A:C,3,0)</f>
        <v>189</v>
      </c>
      <c r="D1260" s="4">
        <f>VLOOKUP(Googleadssales[[#This Row],[Ad_ID]],'[1]pre processed data'!A:E,5,0)</f>
        <v>3461</v>
      </c>
      <c r="E1260" s="5" t="str">
        <f>VLOOKUP(Googleadssales[[#This Row],[Ad_ID]],[1]!Table3[[Ad_ID]:[Cost-imputed]],7,0)</f>
        <v>$224.72</v>
      </c>
      <c r="F1260" s="4">
        <f>VLOOKUP(Googleadssales[[#This Row],[Ad_ID]],'[1]pre processed data'!A:I,9,0)</f>
        <v>20</v>
      </c>
      <c r="G1260" s="4">
        <f>VLOOKUP(Googleadssales[[#This Row],[Ad_ID]],'[1]pre processed data'!A:K,11,0)</f>
        <v>6.530454895913647</v>
      </c>
      <c r="H1260" s="2">
        <f>Googleadssales[[#This Row],[Conversions]]/Googleadssales[[#This Row],[Clicks]]</f>
        <v>3.4552671406950515E-2</v>
      </c>
      <c r="I1260" t="str">
        <f>VLOOKUP(Googleadssales[[#This Row],[Ad_ID]],'[1]pre processed data'!A:O,15,0)</f>
        <v>$1390</v>
      </c>
      <c r="J1260" s="3">
        <f>VLOOKUP(Googleadssales[[#This Row],[Ad_ID]],'[1]pre processed data'!A:Q,17,0)</f>
        <v>45617</v>
      </c>
      <c r="K1260" t="str">
        <f>VLOOKUP(Googleadssales[[#This Row],[Ad_ID]],'[1]pre processed data'!A:R,18,0)</f>
        <v>Hyderabad</v>
      </c>
      <c r="L1260" t="str">
        <f>VLOOKUP(Googleadssales[[#This Row],[Ad_ID]],'[1]pre processed data'!A:S,19,0)</f>
        <v>Desktop</v>
      </c>
      <c r="M1260" t="str">
        <f>VLOOKUP(Googleadssales[[#This Row],[Ad_ID]],'[1]pre processed data'!A:T,20,0)</f>
        <v>data analytics training</v>
      </c>
    </row>
    <row r="1261" spans="1:13" x14ac:dyDescent="0.3">
      <c r="A1261" t="s">
        <v>1274</v>
      </c>
      <c r="B1261" t="s">
        <v>14</v>
      </c>
      <c r="C1261" s="4">
        <f>VLOOKUP(Googleadssales[[#This Row],[Ad_ID]],'[1]pre processed data'!A:C,3,0)</f>
        <v>157</v>
      </c>
      <c r="D1261" s="4">
        <f>VLOOKUP(Googleadssales[[#This Row],[Ad_ID]],'[1]pre processed data'!A:E,5,0)</f>
        <v>5451</v>
      </c>
      <c r="E1261" s="5" t="str">
        <f>VLOOKUP(Googleadssales[[#This Row],[Ad_ID]],[1]!Table3[[Ad_ID]:[Cost-imputed]],7,0)</f>
        <v>$183.89</v>
      </c>
      <c r="F1261" s="4">
        <f>VLOOKUP(Googleadssales[[#This Row],[Ad_ID]],'[1]pre processed data'!A:I,9,0)</f>
        <v>12</v>
      </c>
      <c r="G1261" s="4">
        <f>VLOOKUP(Googleadssales[[#This Row],[Ad_ID]],'[1]pre processed data'!A:K,11,0)</f>
        <v>10</v>
      </c>
      <c r="H1261" s="2">
        <f>Googleadssales[[#This Row],[Conversions]]/Googleadssales[[#This Row],[Clicks]]</f>
        <v>6.3694267515923567E-2</v>
      </c>
      <c r="I1261" t="str">
        <f>VLOOKUP(Googleadssales[[#This Row],[Ad_ID]],'[1]pre processed data'!A:O,15,0)</f>
        <v>$1180</v>
      </c>
      <c r="J1261" s="3">
        <f>VLOOKUP(Googleadssales[[#This Row],[Ad_ID]],'[1]pre processed data'!A:Q,17,0)</f>
        <v>45625</v>
      </c>
      <c r="K1261" t="str">
        <f>VLOOKUP(Googleadssales[[#This Row],[Ad_ID]],'[1]pre processed data'!A:R,18,0)</f>
        <v>Chennai</v>
      </c>
      <c r="L1261" t="str">
        <f>VLOOKUP(Googleadssales[[#This Row],[Ad_ID]],'[1]pre processed data'!A:S,19,0)</f>
        <v>Desktop</v>
      </c>
      <c r="M1261" t="str">
        <f>VLOOKUP(Googleadssales[[#This Row],[Ad_ID]],'[1]pre processed data'!A:T,20,0)</f>
        <v>data analytics course</v>
      </c>
    </row>
    <row r="1262" spans="1:13" x14ac:dyDescent="0.3">
      <c r="A1262" t="s">
        <v>1275</v>
      </c>
      <c r="B1262" t="s">
        <v>14</v>
      </c>
      <c r="C1262" s="4">
        <f>VLOOKUP(Googleadssales[[#This Row],[Ad_ID]],'[1]pre processed data'!A:C,3,0)</f>
        <v>126</v>
      </c>
      <c r="D1262" s="4">
        <f>VLOOKUP(Googleadssales[[#This Row],[Ad_ID]],'[1]pre processed data'!A:E,5,0)</f>
        <v>4523.2808326787117</v>
      </c>
      <c r="E1262" s="5" t="str">
        <f>VLOOKUP(Googleadssales[[#This Row],[Ad_ID]],[1]!Table3[[Ad_ID]:[Cost-imputed]],7,0)</f>
        <v>$201.56</v>
      </c>
      <c r="F1262" s="4">
        <f>VLOOKUP(Googleadssales[[#This Row],[Ad_ID]],'[1]pre processed data'!A:I,9,0)</f>
        <v>27</v>
      </c>
      <c r="G1262" s="4">
        <f>VLOOKUP(Googleadssales[[#This Row],[Ad_ID]],'[1]pre processed data'!A:K,11,0)</f>
        <v>10</v>
      </c>
      <c r="H1262" s="2">
        <f>Googleadssales[[#This Row],[Conversions]]/Googleadssales[[#This Row],[Clicks]]</f>
        <v>7.9365079365079361E-2</v>
      </c>
      <c r="I1262" t="str">
        <f>VLOOKUP(Googleadssales[[#This Row],[Ad_ID]],'[1]pre processed data'!A:O,15,0)</f>
        <v>$1122</v>
      </c>
      <c r="J1262" s="3">
        <f>VLOOKUP(Googleadssales[[#This Row],[Ad_ID]],'[1]pre processed data'!A:Q,17,0)</f>
        <v>45617</v>
      </c>
      <c r="K1262" t="str">
        <f>VLOOKUP(Googleadssales[[#This Row],[Ad_ID]],'[1]pre processed data'!A:R,18,0)</f>
        <v>Hyderabad</v>
      </c>
      <c r="L1262" t="str">
        <f>VLOOKUP(Googleadssales[[#This Row],[Ad_ID]],'[1]pre processed data'!A:S,19,0)</f>
        <v>Desktop</v>
      </c>
      <c r="M1262" t="str">
        <f>VLOOKUP(Googleadssales[[#This Row],[Ad_ID]],'[1]pre processed data'!A:T,20,0)</f>
        <v>analytics for data</v>
      </c>
    </row>
    <row r="1263" spans="1:13" x14ac:dyDescent="0.3">
      <c r="A1263" t="s">
        <v>1276</v>
      </c>
      <c r="B1263" t="s">
        <v>18</v>
      </c>
      <c r="C1263" s="4">
        <f>VLOOKUP(Googleadssales[[#This Row],[Ad_ID]],'[1]pre processed data'!A:C,3,0)</f>
        <v>85</v>
      </c>
      <c r="D1263" s="4">
        <f>VLOOKUP(Googleadssales[[#This Row],[Ad_ID]],'[1]pre processed data'!A:E,5,0)</f>
        <v>3770</v>
      </c>
      <c r="E1263" s="5" t="str">
        <f>VLOOKUP(Googleadssales[[#This Row],[Ad_ID]],[1]!Table3[[Ad_ID]:[Cost-imputed]],7,0)</f>
        <v>$204.04</v>
      </c>
      <c r="F1263" s="4">
        <f>VLOOKUP(Googleadssales[[#This Row],[Ad_ID]],'[1]pre processed data'!A:I,9,0)</f>
        <v>30</v>
      </c>
      <c r="G1263" s="4">
        <f>VLOOKUP(Googleadssales[[#This Row],[Ad_ID]],'[1]pre processed data'!A:K,11,0)</f>
        <v>7</v>
      </c>
      <c r="H1263" s="2">
        <f>Googleadssales[[#This Row],[Conversions]]/Googleadssales[[#This Row],[Clicks]]</f>
        <v>8.2352941176470587E-2</v>
      </c>
      <c r="I1263" t="str">
        <f>VLOOKUP(Googleadssales[[#This Row],[Ad_ID]],'[1]pre processed data'!A:O,15,0)</f>
        <v>$1238</v>
      </c>
      <c r="J1263" s="3">
        <f>VLOOKUP(Googleadssales[[#This Row],[Ad_ID]],'[1]pre processed data'!A:Q,17,0)</f>
        <v>45610</v>
      </c>
      <c r="K1263" t="str">
        <f>VLOOKUP(Googleadssales[[#This Row],[Ad_ID]],'[1]pre processed data'!A:R,18,0)</f>
        <v>Hyderabad</v>
      </c>
      <c r="L1263" t="str">
        <f>VLOOKUP(Googleadssales[[#This Row],[Ad_ID]],'[1]pre processed data'!A:S,19,0)</f>
        <v>Mobile</v>
      </c>
      <c r="M1263" t="str">
        <f>VLOOKUP(Googleadssales[[#This Row],[Ad_ID]],'[1]pre processed data'!A:T,20,0)</f>
        <v>learn data analytics</v>
      </c>
    </row>
    <row r="1264" spans="1:13" x14ac:dyDescent="0.3">
      <c r="A1264" t="s">
        <v>1277</v>
      </c>
      <c r="B1264" t="s">
        <v>14</v>
      </c>
      <c r="C1264" s="4">
        <f>VLOOKUP(Googleadssales[[#This Row],[Ad_ID]],'[1]pre processed data'!A:C,3,0)</f>
        <v>89</v>
      </c>
      <c r="D1264" s="4">
        <f>VLOOKUP(Googleadssales[[#This Row],[Ad_ID]],'[1]pre processed data'!A:E,5,0)</f>
        <v>3573</v>
      </c>
      <c r="E1264" s="5" t="str">
        <f>VLOOKUP(Googleadssales[[#This Row],[Ad_ID]],[1]!Table3[[Ad_ID]:[Cost-imputed]],7,0)</f>
        <v>$193.53</v>
      </c>
      <c r="F1264" s="4">
        <f>VLOOKUP(Googleadssales[[#This Row],[Ad_ID]],'[1]pre processed data'!A:I,9,0)</f>
        <v>20.014559386973179</v>
      </c>
      <c r="G1264" s="4">
        <f>VLOOKUP(Googleadssales[[#This Row],[Ad_ID]],'[1]pre processed data'!A:K,11,0)</f>
        <v>10</v>
      </c>
      <c r="H1264" s="2">
        <f>Googleadssales[[#This Row],[Conversions]]/Googleadssales[[#This Row],[Clicks]]</f>
        <v>0.11235955056179775</v>
      </c>
      <c r="I1264" t="str">
        <f>VLOOKUP(Googleadssales[[#This Row],[Ad_ID]],'[1]pre processed data'!A:O,15,0)</f>
        <v>$1926</v>
      </c>
      <c r="J1264" s="3">
        <f>VLOOKUP(Googleadssales[[#This Row],[Ad_ID]],'[1]pre processed data'!A:Q,17,0)</f>
        <v>45611</v>
      </c>
      <c r="K1264" t="str">
        <f>VLOOKUP(Googleadssales[[#This Row],[Ad_ID]],'[1]pre processed data'!A:R,18,0)</f>
        <v>Hyderabad</v>
      </c>
      <c r="L1264" t="str">
        <f>VLOOKUP(Googleadssales[[#This Row],[Ad_ID]],'[1]pre processed data'!A:S,19,0)</f>
        <v>Desktop</v>
      </c>
      <c r="M1264" t="str">
        <f>VLOOKUP(Googleadssales[[#This Row],[Ad_ID]],'[1]pre processed data'!A:T,20,0)</f>
        <v>learn data analytics</v>
      </c>
    </row>
    <row r="1265" spans="1:13" x14ac:dyDescent="0.3">
      <c r="A1265" t="s">
        <v>1278</v>
      </c>
      <c r="B1265" t="s">
        <v>14</v>
      </c>
      <c r="C1265" s="4">
        <f>VLOOKUP(Googleadssales[[#This Row],[Ad_ID]],'[1]pre processed data'!A:C,3,0)</f>
        <v>152</v>
      </c>
      <c r="D1265" s="4">
        <f>VLOOKUP(Googleadssales[[#This Row],[Ad_ID]],'[1]pre processed data'!A:E,5,0)</f>
        <v>4092</v>
      </c>
      <c r="E1265" s="5" t="str">
        <f>VLOOKUP(Googleadssales[[#This Row],[Ad_ID]],[1]!Table3[[Ad_ID]:[Cost-imputed]],7,0)</f>
        <v>$196.66</v>
      </c>
      <c r="F1265" s="4">
        <f>VLOOKUP(Googleadssales[[#This Row],[Ad_ID]],'[1]pre processed data'!A:I,9,0)</f>
        <v>10</v>
      </c>
      <c r="G1265" s="4">
        <f>VLOOKUP(Googleadssales[[#This Row],[Ad_ID]],'[1]pre processed data'!A:K,11,0)</f>
        <v>5</v>
      </c>
      <c r="H1265" s="2">
        <f>Googleadssales[[#This Row],[Conversions]]/Googleadssales[[#This Row],[Clicks]]</f>
        <v>3.2894736842105261E-2</v>
      </c>
      <c r="I1265" t="str">
        <f>VLOOKUP(Googleadssales[[#This Row],[Ad_ID]],'[1]pre processed data'!A:O,15,0)</f>
        <v>$1396</v>
      </c>
      <c r="J1265" s="3">
        <f>VLOOKUP(Googleadssales[[#This Row],[Ad_ID]],'[1]pre processed data'!A:Q,17,0)</f>
        <v>45607</v>
      </c>
      <c r="K1265" t="str">
        <f>VLOOKUP(Googleadssales[[#This Row],[Ad_ID]],'[1]pre processed data'!A:R,18,0)</f>
        <v>Chennai</v>
      </c>
      <c r="L1265" t="str">
        <f>VLOOKUP(Googleadssales[[#This Row],[Ad_ID]],'[1]pre processed data'!A:S,19,0)</f>
        <v>Desktop</v>
      </c>
      <c r="M1265" t="str">
        <f>VLOOKUP(Googleadssales[[#This Row],[Ad_ID]],'[1]pre processed data'!A:T,20,0)</f>
        <v>analytics for data</v>
      </c>
    </row>
    <row r="1266" spans="1:13" x14ac:dyDescent="0.3">
      <c r="A1266" t="s">
        <v>1279</v>
      </c>
      <c r="B1266" t="s">
        <v>14</v>
      </c>
      <c r="C1266" s="4">
        <f>VLOOKUP(Googleadssales[[#This Row],[Ad_ID]],'[1]pre processed data'!A:C,3,0)</f>
        <v>126</v>
      </c>
      <c r="D1266" s="4">
        <f>VLOOKUP(Googleadssales[[#This Row],[Ad_ID]],'[1]pre processed data'!A:E,5,0)</f>
        <v>3999</v>
      </c>
      <c r="E1266" s="5" t="str">
        <f>VLOOKUP(Googleadssales[[#This Row],[Ad_ID]],[1]!Table3[[Ad_ID]:[Cost-imputed]],7,0)</f>
        <v>$181.58</v>
      </c>
      <c r="F1266" s="4">
        <f>VLOOKUP(Googleadssales[[#This Row],[Ad_ID]],'[1]pre processed data'!A:I,9,0)</f>
        <v>22</v>
      </c>
      <c r="G1266" s="4">
        <f>VLOOKUP(Googleadssales[[#This Row],[Ad_ID]],'[1]pre processed data'!A:K,11,0)</f>
        <v>9</v>
      </c>
      <c r="H1266" s="2">
        <f>Googleadssales[[#This Row],[Conversions]]/Googleadssales[[#This Row],[Clicks]]</f>
        <v>7.1428571428571425E-2</v>
      </c>
      <c r="I1266" t="str">
        <f>VLOOKUP(Googleadssales[[#This Row],[Ad_ID]],'[1]pre processed data'!A:O,15,0)</f>
        <v>$1145</v>
      </c>
      <c r="J1266" s="3">
        <f>VLOOKUP(Googleadssales[[#This Row],[Ad_ID]],'[1]pre processed data'!A:Q,17,0)</f>
        <v>45623</v>
      </c>
      <c r="K1266" t="str">
        <f>VLOOKUP(Googleadssales[[#This Row],[Ad_ID]],'[1]pre processed data'!A:R,18,0)</f>
        <v>Hyderabad</v>
      </c>
      <c r="L1266" t="str">
        <f>VLOOKUP(Googleadssales[[#This Row],[Ad_ID]],'[1]pre processed data'!A:S,19,0)</f>
        <v>Mobile</v>
      </c>
      <c r="M1266" t="str">
        <f>VLOOKUP(Googleadssales[[#This Row],[Ad_ID]],'[1]pre processed data'!A:T,20,0)</f>
        <v>online data analytic</v>
      </c>
    </row>
    <row r="1267" spans="1:13" x14ac:dyDescent="0.3">
      <c r="A1267" t="s">
        <v>1280</v>
      </c>
      <c r="B1267" t="s">
        <v>14</v>
      </c>
      <c r="C1267" s="4">
        <f>VLOOKUP(Googleadssales[[#This Row],[Ad_ID]],'[1]pre processed data'!A:C,3,0)</f>
        <v>153</v>
      </c>
      <c r="D1267" s="4">
        <f>VLOOKUP(Googleadssales[[#This Row],[Ad_ID]],'[1]pre processed data'!A:E,5,0)</f>
        <v>3354</v>
      </c>
      <c r="E1267" s="5" t="str">
        <f>VLOOKUP(Googleadssales[[#This Row],[Ad_ID]],[1]!Table3[[Ad_ID]:[Cost-imputed]],7,0)</f>
        <v>$243.13</v>
      </c>
      <c r="F1267" s="4">
        <f>VLOOKUP(Googleadssales[[#This Row],[Ad_ID]],'[1]pre processed data'!A:I,9,0)</f>
        <v>24</v>
      </c>
      <c r="G1267" s="4">
        <f>VLOOKUP(Googleadssales[[#This Row],[Ad_ID]],'[1]pre processed data'!A:K,11,0)</f>
        <v>6</v>
      </c>
      <c r="H1267" s="2">
        <f>Googleadssales[[#This Row],[Conversions]]/Googleadssales[[#This Row],[Clicks]]</f>
        <v>3.9215686274509803E-2</v>
      </c>
      <c r="I1267" t="str">
        <f>VLOOKUP(Googleadssales[[#This Row],[Ad_ID]],'[1]pre processed data'!A:O,15,0)</f>
        <v>$1536</v>
      </c>
      <c r="J1267" s="3">
        <f>VLOOKUP(Googleadssales[[#This Row],[Ad_ID]],'[1]pre processed data'!A:Q,17,0)</f>
        <v>45606</v>
      </c>
      <c r="K1267" t="str">
        <f>VLOOKUP(Googleadssales[[#This Row],[Ad_ID]],'[1]pre processed data'!A:R,18,0)</f>
        <v>Chennai</v>
      </c>
      <c r="L1267" t="str">
        <f>VLOOKUP(Googleadssales[[#This Row],[Ad_ID]],'[1]pre processed data'!A:S,19,0)</f>
        <v>Mobile</v>
      </c>
      <c r="M1267" t="str">
        <f>VLOOKUP(Googleadssales[[#This Row],[Ad_ID]],'[1]pre processed data'!A:T,20,0)</f>
        <v>data analytics course</v>
      </c>
    </row>
    <row r="1268" spans="1:13" x14ac:dyDescent="0.3">
      <c r="A1268" t="s">
        <v>1281</v>
      </c>
      <c r="B1268" t="s">
        <v>14</v>
      </c>
      <c r="C1268" s="4">
        <f>VLOOKUP(Googleadssales[[#This Row],[Ad_ID]],'[1]pre processed data'!A:C,3,0)</f>
        <v>98</v>
      </c>
      <c r="D1268" s="4">
        <f>VLOOKUP(Googleadssales[[#This Row],[Ad_ID]],'[1]pre processed data'!A:E,5,0)</f>
        <v>4801</v>
      </c>
      <c r="E1268" s="5" t="str">
        <f>VLOOKUP(Googleadssales[[#This Row],[Ad_ID]],[1]!Table3[[Ad_ID]:[Cost-imputed]],7,0)</f>
        <v>$186.52</v>
      </c>
      <c r="F1268" s="4">
        <f>VLOOKUP(Googleadssales[[#This Row],[Ad_ID]],'[1]pre processed data'!A:I,9,0)</f>
        <v>10</v>
      </c>
      <c r="G1268" s="4">
        <f>VLOOKUP(Googleadssales[[#This Row],[Ad_ID]],'[1]pre processed data'!A:K,11,0)</f>
        <v>3</v>
      </c>
      <c r="H1268" s="2">
        <f>Googleadssales[[#This Row],[Conversions]]/Googleadssales[[#This Row],[Clicks]]</f>
        <v>3.0612244897959183E-2</v>
      </c>
      <c r="I1268" t="str">
        <f>VLOOKUP(Googleadssales[[#This Row],[Ad_ID]],'[1]pre processed data'!A:O,15,0)</f>
        <v>$1121</v>
      </c>
      <c r="J1268" s="3">
        <f>VLOOKUP(Googleadssales[[#This Row],[Ad_ID]],'[1]pre processed data'!A:Q,17,0)</f>
        <v>45603</v>
      </c>
      <c r="K1268" t="str">
        <f>VLOOKUP(Googleadssales[[#This Row],[Ad_ID]],'[1]pre processed data'!A:R,18,0)</f>
        <v>Hyderabad</v>
      </c>
      <c r="L1268" t="str">
        <f>VLOOKUP(Googleadssales[[#This Row],[Ad_ID]],'[1]pre processed data'!A:S,19,0)</f>
        <v>Desktop</v>
      </c>
      <c r="M1268" t="str">
        <f>VLOOKUP(Googleadssales[[#This Row],[Ad_ID]],'[1]pre processed data'!A:T,20,0)</f>
        <v>learn data analytics</v>
      </c>
    </row>
    <row r="1269" spans="1:13" x14ac:dyDescent="0.3">
      <c r="A1269" t="s">
        <v>1282</v>
      </c>
      <c r="B1269" t="s">
        <v>18</v>
      </c>
      <c r="C1269" s="4">
        <f>VLOOKUP(Googleadssales[[#This Row],[Ad_ID]],'[1]pre processed data'!A:C,3,0)</f>
        <v>145</v>
      </c>
      <c r="D1269" s="4">
        <f>VLOOKUP(Googleadssales[[#This Row],[Ad_ID]],'[1]pre processed data'!A:E,5,0)</f>
        <v>4799</v>
      </c>
      <c r="E1269" s="5" t="str">
        <f>VLOOKUP(Googleadssales[[#This Row],[Ad_ID]],[1]!Table3[[Ad_ID]:[Cost-imputed]],7,0)</f>
        <v>$194.74</v>
      </c>
      <c r="F1269" s="4">
        <f>VLOOKUP(Googleadssales[[#This Row],[Ad_ID]],'[1]pre processed data'!A:I,9,0)</f>
        <v>17</v>
      </c>
      <c r="G1269" s="4">
        <f>VLOOKUP(Googleadssales[[#This Row],[Ad_ID]],'[1]pre processed data'!A:K,11,0)</f>
        <v>6</v>
      </c>
      <c r="H1269" s="2">
        <f>Googleadssales[[#This Row],[Conversions]]/Googleadssales[[#This Row],[Clicks]]</f>
        <v>4.1379310344827586E-2</v>
      </c>
      <c r="I1269" t="str">
        <f>VLOOKUP(Googleadssales[[#This Row],[Ad_ID]],'[1]pre processed data'!A:O,15,0)</f>
        <v>$1381</v>
      </c>
      <c r="J1269" s="3">
        <f>VLOOKUP(Googleadssales[[#This Row],[Ad_ID]],'[1]pre processed data'!A:Q,17,0)</f>
        <v>45603</v>
      </c>
      <c r="K1269" t="str">
        <f>VLOOKUP(Googleadssales[[#This Row],[Ad_ID]],'[1]pre processed data'!A:R,18,0)</f>
        <v>Hyderabad</v>
      </c>
      <c r="L1269" t="str">
        <f>VLOOKUP(Googleadssales[[#This Row],[Ad_ID]],'[1]pre processed data'!A:S,19,0)</f>
        <v>Desktop</v>
      </c>
      <c r="M1269" t="str">
        <f>VLOOKUP(Googleadssales[[#This Row],[Ad_ID]],'[1]pre processed data'!A:T,20,0)</f>
        <v>analytics for data</v>
      </c>
    </row>
    <row r="1270" spans="1:13" x14ac:dyDescent="0.3">
      <c r="A1270" t="s">
        <v>1283</v>
      </c>
      <c r="B1270" t="s">
        <v>14</v>
      </c>
      <c r="C1270" s="4">
        <f>VLOOKUP(Googleadssales[[#This Row],[Ad_ID]],'[1]pre processed data'!A:C,3,0)</f>
        <v>179</v>
      </c>
      <c r="D1270" s="4">
        <f>VLOOKUP(Googleadssales[[#This Row],[Ad_ID]],'[1]pre processed data'!A:E,5,0)</f>
        <v>3753</v>
      </c>
      <c r="E1270" s="5" t="str">
        <f>VLOOKUP(Googleadssales[[#This Row],[Ad_ID]],[1]!Table3[[Ad_ID]:[Cost-imputed]],7,0)</f>
        <v>$220.87</v>
      </c>
      <c r="F1270" s="4">
        <f>VLOOKUP(Googleadssales[[#This Row],[Ad_ID]],'[1]pre processed data'!A:I,9,0)</f>
        <v>23</v>
      </c>
      <c r="G1270" s="4">
        <f>VLOOKUP(Googleadssales[[#This Row],[Ad_ID]],'[1]pre processed data'!A:K,11,0)</f>
        <v>6</v>
      </c>
      <c r="H1270" s="2">
        <f>Googleadssales[[#This Row],[Conversions]]/Googleadssales[[#This Row],[Clicks]]</f>
        <v>3.3519553072625698E-2</v>
      </c>
      <c r="I1270" t="str">
        <f>VLOOKUP(Googleadssales[[#This Row],[Ad_ID]],'[1]pre processed data'!A:O,15,0)</f>
        <v>$1966</v>
      </c>
      <c r="J1270" s="3">
        <f>VLOOKUP(Googleadssales[[#This Row],[Ad_ID]],'[1]pre processed data'!A:Q,17,0)</f>
        <v>45610</v>
      </c>
      <c r="K1270" t="str">
        <f>VLOOKUP(Googleadssales[[#This Row],[Ad_ID]],'[1]pre processed data'!A:R,18,0)</f>
        <v>Bangaluru</v>
      </c>
      <c r="L1270" t="str">
        <f>VLOOKUP(Googleadssales[[#This Row],[Ad_ID]],'[1]pre processed data'!A:S,19,0)</f>
        <v>Tablet</v>
      </c>
      <c r="M1270" t="str">
        <f>VLOOKUP(Googleadssales[[#This Row],[Ad_ID]],'[1]pre processed data'!A:T,20,0)</f>
        <v>data analytics course</v>
      </c>
    </row>
    <row r="1271" spans="1:13" x14ac:dyDescent="0.3">
      <c r="A1271" t="s">
        <v>1284</v>
      </c>
      <c r="B1271" t="s">
        <v>14</v>
      </c>
      <c r="C1271" s="4">
        <f>VLOOKUP(Googleadssales[[#This Row],[Ad_ID]],'[1]pre processed data'!A:C,3,0)</f>
        <v>108</v>
      </c>
      <c r="D1271" s="4">
        <f>VLOOKUP(Googleadssales[[#This Row],[Ad_ID]],'[1]pre processed data'!A:E,5,0)</f>
        <v>4698</v>
      </c>
      <c r="E1271" s="5" t="str">
        <f>VLOOKUP(Googleadssales[[#This Row],[Ad_ID]],[1]!Table3[[Ad_ID]:[Cost-imputed]],7,0)</f>
        <v>$187.19</v>
      </c>
      <c r="F1271" s="4">
        <f>VLOOKUP(Googleadssales[[#This Row],[Ad_ID]],'[1]pre processed data'!A:I,9,0)</f>
        <v>19</v>
      </c>
      <c r="G1271" s="4">
        <f>VLOOKUP(Googleadssales[[#This Row],[Ad_ID]],'[1]pre processed data'!A:K,11,0)</f>
        <v>10</v>
      </c>
      <c r="H1271" s="2">
        <f>Googleadssales[[#This Row],[Conversions]]/Googleadssales[[#This Row],[Clicks]]</f>
        <v>9.2592592592592587E-2</v>
      </c>
      <c r="I1271" t="str">
        <f>VLOOKUP(Googleadssales[[#This Row],[Ad_ID]],'[1]pre processed data'!A:O,15,0)</f>
        <v>$1118</v>
      </c>
      <c r="J1271" s="3">
        <f>VLOOKUP(Googleadssales[[#This Row],[Ad_ID]],'[1]pre processed data'!A:Q,17,0)</f>
        <v>45611</v>
      </c>
      <c r="K1271" t="str">
        <f>VLOOKUP(Googleadssales[[#This Row],[Ad_ID]],'[1]pre processed data'!A:R,18,0)</f>
        <v>Hyderabad</v>
      </c>
      <c r="L1271" t="str">
        <f>VLOOKUP(Googleadssales[[#This Row],[Ad_ID]],'[1]pre processed data'!A:S,19,0)</f>
        <v>Mobile</v>
      </c>
      <c r="M1271" t="str">
        <f>VLOOKUP(Googleadssales[[#This Row],[Ad_ID]],'[1]pre processed data'!A:T,20,0)</f>
        <v>data analytics online</v>
      </c>
    </row>
    <row r="1272" spans="1:13" x14ac:dyDescent="0.3">
      <c r="A1272" t="s">
        <v>1285</v>
      </c>
      <c r="B1272" t="s">
        <v>18</v>
      </c>
      <c r="C1272" s="4">
        <f>VLOOKUP(Googleadssales[[#This Row],[Ad_ID]],'[1]pre processed data'!A:C,3,0)</f>
        <v>191</v>
      </c>
      <c r="D1272" s="4">
        <f>VLOOKUP(Googleadssales[[#This Row],[Ad_ID]],'[1]pre processed data'!A:E,5,0)</f>
        <v>3522</v>
      </c>
      <c r="E1272" s="5" t="str">
        <f>VLOOKUP(Googleadssales[[#This Row],[Ad_ID]],[1]!Table3[[Ad_ID]:[Cost-imputed]],7,0)</f>
        <v>$216.65</v>
      </c>
      <c r="F1272" s="4">
        <f>VLOOKUP(Googleadssales[[#This Row],[Ad_ID]],'[1]pre processed data'!A:I,9,0)</f>
        <v>25</v>
      </c>
      <c r="G1272" s="4">
        <f>VLOOKUP(Googleadssales[[#This Row],[Ad_ID]],'[1]pre processed data'!A:K,11,0)</f>
        <v>5</v>
      </c>
      <c r="H1272" s="2">
        <f>Googleadssales[[#This Row],[Conversions]]/Googleadssales[[#This Row],[Clicks]]</f>
        <v>2.6178010471204188E-2</v>
      </c>
      <c r="I1272" t="str">
        <f>VLOOKUP(Googleadssales[[#This Row],[Ad_ID]],'[1]pre processed data'!A:O,15,0)</f>
        <v>$1835</v>
      </c>
      <c r="J1272" s="3">
        <f>VLOOKUP(Googleadssales[[#This Row],[Ad_ID]],'[1]pre processed data'!A:Q,17,0)</f>
        <v>45620</v>
      </c>
      <c r="K1272" t="str">
        <f>VLOOKUP(Googleadssales[[#This Row],[Ad_ID]],'[1]pre processed data'!A:R,18,0)</f>
        <v>Chennai</v>
      </c>
      <c r="L1272" t="str">
        <f>VLOOKUP(Googleadssales[[#This Row],[Ad_ID]],'[1]pre processed data'!A:S,19,0)</f>
        <v>Tablet</v>
      </c>
      <c r="M1272" t="str">
        <f>VLOOKUP(Googleadssales[[#This Row],[Ad_ID]],'[1]pre processed data'!A:T,20,0)</f>
        <v>data analytics training</v>
      </c>
    </row>
    <row r="1273" spans="1:13" x14ac:dyDescent="0.3">
      <c r="A1273" t="s">
        <v>1286</v>
      </c>
      <c r="B1273" t="s">
        <v>14</v>
      </c>
      <c r="C1273" s="4">
        <f>VLOOKUP(Googleadssales[[#This Row],[Ad_ID]],'[1]pre processed data'!A:C,3,0)</f>
        <v>183</v>
      </c>
      <c r="D1273" s="4">
        <f>VLOOKUP(Googleadssales[[#This Row],[Ad_ID]],'[1]pre processed data'!A:E,5,0)</f>
        <v>3363</v>
      </c>
      <c r="E1273" s="5" t="str">
        <f>VLOOKUP(Googleadssales[[#This Row],[Ad_ID]],[1]!Table3[[Ad_ID]:[Cost-imputed]],7,0)</f>
        <v>$212.08</v>
      </c>
      <c r="F1273" s="4">
        <f>VLOOKUP(Googleadssales[[#This Row],[Ad_ID]],'[1]pre processed data'!A:I,9,0)</f>
        <v>10</v>
      </c>
      <c r="G1273" s="4">
        <f>VLOOKUP(Googleadssales[[#This Row],[Ad_ID]],'[1]pre processed data'!A:K,11,0)</f>
        <v>9</v>
      </c>
      <c r="H1273" s="2">
        <f>Googleadssales[[#This Row],[Conversions]]/Googleadssales[[#This Row],[Clicks]]</f>
        <v>4.9180327868852458E-2</v>
      </c>
      <c r="I1273" t="str">
        <f>VLOOKUP(Googleadssales[[#This Row],[Ad_ID]],'[1]pre processed data'!A:O,15,0)</f>
        <v>$1511</v>
      </c>
      <c r="J1273" s="3">
        <f>VLOOKUP(Googleadssales[[#This Row],[Ad_ID]],'[1]pre processed data'!A:Q,17,0)</f>
        <v>45603</v>
      </c>
      <c r="K1273" t="str">
        <f>VLOOKUP(Googleadssales[[#This Row],[Ad_ID]],'[1]pre processed data'!A:R,18,0)</f>
        <v>Chennai</v>
      </c>
      <c r="L1273" t="str">
        <f>VLOOKUP(Googleadssales[[#This Row],[Ad_ID]],'[1]pre processed data'!A:S,19,0)</f>
        <v>Tablet</v>
      </c>
      <c r="M1273" t="str">
        <f>VLOOKUP(Googleadssales[[#This Row],[Ad_ID]],'[1]pre processed data'!A:T,20,0)</f>
        <v>data analytics online</v>
      </c>
    </row>
    <row r="1274" spans="1:13" x14ac:dyDescent="0.3">
      <c r="A1274" t="s">
        <v>1287</v>
      </c>
      <c r="B1274" t="s">
        <v>14</v>
      </c>
      <c r="C1274" s="4">
        <f>VLOOKUP(Googleadssales[[#This Row],[Ad_ID]],'[1]pre processed data'!A:C,3,0)</f>
        <v>175</v>
      </c>
      <c r="D1274" s="4">
        <f>VLOOKUP(Googleadssales[[#This Row],[Ad_ID]],'[1]pre processed data'!A:E,5,0)</f>
        <v>5924</v>
      </c>
      <c r="E1274" s="5" t="str">
        <f>VLOOKUP(Googleadssales[[#This Row],[Ad_ID]],[1]!Table3[[Ad_ID]:[Cost-imputed]],7,0)</f>
        <v>$223.3</v>
      </c>
      <c r="F1274" s="4">
        <f>VLOOKUP(Googleadssales[[#This Row],[Ad_ID]],'[1]pre processed data'!A:I,9,0)</f>
        <v>14</v>
      </c>
      <c r="G1274" s="4">
        <f>VLOOKUP(Googleadssales[[#This Row],[Ad_ID]],'[1]pre processed data'!A:K,11,0)</f>
        <v>3</v>
      </c>
      <c r="H1274" s="2">
        <f>Googleadssales[[#This Row],[Conversions]]/Googleadssales[[#This Row],[Clicks]]</f>
        <v>1.7142857142857144E-2</v>
      </c>
      <c r="I1274" t="str">
        <f>VLOOKUP(Googleadssales[[#This Row],[Ad_ID]],'[1]pre processed data'!A:O,15,0)</f>
        <v>$1505</v>
      </c>
      <c r="J1274" s="3">
        <f>VLOOKUP(Googleadssales[[#This Row],[Ad_ID]],'[1]pre processed data'!A:Q,17,0)</f>
        <v>45600</v>
      </c>
      <c r="K1274" t="str">
        <f>VLOOKUP(Googleadssales[[#This Row],[Ad_ID]],'[1]pre processed data'!A:R,18,0)</f>
        <v>Bangaluru</v>
      </c>
      <c r="L1274" t="str">
        <f>VLOOKUP(Googleadssales[[#This Row],[Ad_ID]],'[1]pre processed data'!A:S,19,0)</f>
        <v>Mobile</v>
      </c>
      <c r="M1274" t="str">
        <f>VLOOKUP(Googleadssales[[#This Row],[Ad_ID]],'[1]pre processed data'!A:T,20,0)</f>
        <v>analytics for data</v>
      </c>
    </row>
    <row r="1275" spans="1:13" x14ac:dyDescent="0.3">
      <c r="A1275" t="s">
        <v>1288</v>
      </c>
      <c r="B1275" t="s">
        <v>14</v>
      </c>
      <c r="C1275" s="4">
        <f>VLOOKUP(Googleadssales[[#This Row],[Ad_ID]],'[1]pre processed data'!A:C,3,0)</f>
        <v>97</v>
      </c>
      <c r="D1275" s="4">
        <f>VLOOKUP(Googleadssales[[#This Row],[Ad_ID]],'[1]pre processed data'!A:E,5,0)</f>
        <v>3558</v>
      </c>
      <c r="E1275" s="5" t="str">
        <f>VLOOKUP(Googleadssales[[#This Row],[Ad_ID]],[1]!Table3[[Ad_ID]:[Cost-imputed]],7,0)</f>
        <v>$195.5</v>
      </c>
      <c r="F1275" s="4">
        <f>VLOOKUP(Googleadssales[[#This Row],[Ad_ID]],'[1]pre processed data'!A:I,9,0)</f>
        <v>13</v>
      </c>
      <c r="G1275" s="4">
        <f>VLOOKUP(Googleadssales[[#This Row],[Ad_ID]],'[1]pre processed data'!A:K,11,0)</f>
        <v>3</v>
      </c>
      <c r="H1275" s="2">
        <f>Googleadssales[[#This Row],[Conversions]]/Googleadssales[[#This Row],[Clicks]]</f>
        <v>3.0927835051546393E-2</v>
      </c>
      <c r="I1275" t="str">
        <f>VLOOKUP(Googleadssales[[#This Row],[Ad_ID]],'[1]pre processed data'!A:O,15,0)</f>
        <v>$1544</v>
      </c>
      <c r="J1275" s="3">
        <f>VLOOKUP(Googleadssales[[#This Row],[Ad_ID]],'[1]pre processed data'!A:Q,17,0)</f>
        <v>45607</v>
      </c>
      <c r="K1275" t="str">
        <f>VLOOKUP(Googleadssales[[#This Row],[Ad_ID]],'[1]pre processed data'!A:R,18,0)</f>
        <v>Hyderabad</v>
      </c>
      <c r="L1275" t="str">
        <f>VLOOKUP(Googleadssales[[#This Row],[Ad_ID]],'[1]pre processed data'!A:S,19,0)</f>
        <v>Desktop</v>
      </c>
      <c r="M1275" t="str">
        <f>VLOOKUP(Googleadssales[[#This Row],[Ad_ID]],'[1]pre processed data'!A:T,20,0)</f>
        <v>data analytics course</v>
      </c>
    </row>
    <row r="1276" spans="1:13" x14ac:dyDescent="0.3">
      <c r="A1276" t="s">
        <v>1289</v>
      </c>
      <c r="B1276" t="s">
        <v>14</v>
      </c>
      <c r="C1276" s="4">
        <f>VLOOKUP(Googleadssales[[#This Row],[Ad_ID]],'[1]pre processed data'!A:C,3,0)</f>
        <v>159</v>
      </c>
      <c r="D1276" s="4">
        <f>VLOOKUP(Googleadssales[[#This Row],[Ad_ID]],'[1]pre processed data'!A:E,5,0)</f>
        <v>4208</v>
      </c>
      <c r="E1276" s="5" t="str">
        <f>VLOOKUP(Googleadssales[[#This Row],[Ad_ID]],[1]!Table3[[Ad_ID]:[Cost-imputed]],7,0)</f>
        <v>$236.75</v>
      </c>
      <c r="F1276" s="4">
        <f>VLOOKUP(Googleadssales[[#This Row],[Ad_ID]],'[1]pre processed data'!A:I,9,0)</f>
        <v>13</v>
      </c>
      <c r="G1276" s="4">
        <f>VLOOKUP(Googleadssales[[#This Row],[Ad_ID]],'[1]pre processed data'!A:K,11,0)</f>
        <v>8</v>
      </c>
      <c r="H1276" s="2">
        <f>Googleadssales[[#This Row],[Conversions]]/Googleadssales[[#This Row],[Clicks]]</f>
        <v>5.0314465408805034E-2</v>
      </c>
      <c r="I1276" t="str">
        <f>VLOOKUP(Googleadssales[[#This Row],[Ad_ID]],'[1]pre processed data'!A:O,15,0)</f>
        <v>$1849</v>
      </c>
      <c r="J1276" s="3">
        <f>VLOOKUP(Googleadssales[[#This Row],[Ad_ID]],'[1]pre processed data'!A:Q,17,0)</f>
        <v>45612</v>
      </c>
      <c r="K1276" t="str">
        <f>VLOOKUP(Googleadssales[[#This Row],[Ad_ID]],'[1]pre processed data'!A:R,18,0)</f>
        <v>Hyderabad</v>
      </c>
      <c r="L1276" t="str">
        <f>VLOOKUP(Googleadssales[[#This Row],[Ad_ID]],'[1]pre processed data'!A:S,19,0)</f>
        <v>Tablet</v>
      </c>
      <c r="M1276" t="str">
        <f>VLOOKUP(Googleadssales[[#This Row],[Ad_ID]],'[1]pre processed data'!A:T,20,0)</f>
        <v>data analytics training</v>
      </c>
    </row>
    <row r="1277" spans="1:13" x14ac:dyDescent="0.3">
      <c r="A1277" t="s">
        <v>1290</v>
      </c>
      <c r="B1277" t="s">
        <v>14</v>
      </c>
      <c r="C1277" s="4">
        <f>VLOOKUP(Googleadssales[[#This Row],[Ad_ID]],'[1]pre processed data'!A:C,3,0)</f>
        <v>125</v>
      </c>
      <c r="D1277" s="4">
        <f>VLOOKUP(Googleadssales[[#This Row],[Ad_ID]],'[1]pre processed data'!A:E,5,0)</f>
        <v>3607</v>
      </c>
      <c r="E1277" s="5" t="str">
        <f>VLOOKUP(Googleadssales[[#This Row],[Ad_ID]],[1]!Table3[[Ad_ID]:[Cost-imputed]],7,0)</f>
        <v>$224.45</v>
      </c>
      <c r="F1277" s="4">
        <f>VLOOKUP(Googleadssales[[#This Row],[Ad_ID]],'[1]pre processed data'!A:I,9,0)</f>
        <v>22</v>
      </c>
      <c r="G1277" s="4">
        <f>VLOOKUP(Googleadssales[[#This Row],[Ad_ID]],'[1]pre processed data'!A:K,11,0)</f>
        <v>9</v>
      </c>
      <c r="H1277" s="2">
        <f>Googleadssales[[#This Row],[Conversions]]/Googleadssales[[#This Row],[Clicks]]</f>
        <v>7.1999999999999995E-2</v>
      </c>
      <c r="I1277" t="str">
        <f>VLOOKUP(Googleadssales[[#This Row],[Ad_ID]],'[1]pre processed data'!A:O,15,0)</f>
        <v>$1392</v>
      </c>
      <c r="J1277" s="3">
        <f>VLOOKUP(Googleadssales[[#This Row],[Ad_ID]],'[1]pre processed data'!A:Q,17,0)</f>
        <v>45598</v>
      </c>
      <c r="K1277" t="str">
        <f>VLOOKUP(Googleadssales[[#This Row],[Ad_ID]],'[1]pre processed data'!A:R,18,0)</f>
        <v>Bangaluru</v>
      </c>
      <c r="L1277" t="str">
        <f>VLOOKUP(Googleadssales[[#This Row],[Ad_ID]],'[1]pre processed data'!A:S,19,0)</f>
        <v>Tablet</v>
      </c>
      <c r="M1277" t="str">
        <f>VLOOKUP(Googleadssales[[#This Row],[Ad_ID]],'[1]pre processed data'!A:T,20,0)</f>
        <v>analytics for data</v>
      </c>
    </row>
    <row r="1278" spans="1:13" x14ac:dyDescent="0.3">
      <c r="A1278" t="s">
        <v>1291</v>
      </c>
      <c r="B1278" t="s">
        <v>18</v>
      </c>
      <c r="C1278" s="4">
        <f>VLOOKUP(Googleadssales[[#This Row],[Ad_ID]],'[1]pre processed data'!A:C,3,0)</f>
        <v>193</v>
      </c>
      <c r="D1278" s="4">
        <f>VLOOKUP(Googleadssales[[#This Row],[Ad_ID]],'[1]pre processed data'!A:E,5,0)</f>
        <v>4523.2808326787117</v>
      </c>
      <c r="E1278" s="5" t="str">
        <f>VLOOKUP(Googleadssales[[#This Row],[Ad_ID]],[1]!Table3[[Ad_ID]:[Cost-imputed]],7,0)</f>
        <v>$199.27</v>
      </c>
      <c r="F1278" s="4">
        <f>VLOOKUP(Googleadssales[[#This Row],[Ad_ID]],'[1]pre processed data'!A:I,9,0)</f>
        <v>13</v>
      </c>
      <c r="G1278" s="4">
        <f>VLOOKUP(Googleadssales[[#This Row],[Ad_ID]],'[1]pre processed data'!A:K,11,0)</f>
        <v>9</v>
      </c>
      <c r="H1278" s="2">
        <f>Googleadssales[[#This Row],[Conversions]]/Googleadssales[[#This Row],[Clicks]]</f>
        <v>4.6632124352331605E-2</v>
      </c>
      <c r="I1278" t="str">
        <f>VLOOKUP(Googleadssales[[#This Row],[Ad_ID]],'[1]pre processed data'!A:O,15,0)</f>
        <v>$1612</v>
      </c>
      <c r="J1278" s="3">
        <f>VLOOKUP(Googleadssales[[#This Row],[Ad_ID]],'[1]pre processed data'!A:Q,17,0)</f>
        <v>45604</v>
      </c>
      <c r="K1278" t="str">
        <f>VLOOKUP(Googleadssales[[#This Row],[Ad_ID]],'[1]pre processed data'!A:R,18,0)</f>
        <v>Bangaluru</v>
      </c>
      <c r="L1278" t="str">
        <f>VLOOKUP(Googleadssales[[#This Row],[Ad_ID]],'[1]pre processed data'!A:S,19,0)</f>
        <v>Mobile</v>
      </c>
      <c r="M1278" t="str">
        <f>VLOOKUP(Googleadssales[[#This Row],[Ad_ID]],'[1]pre processed data'!A:T,20,0)</f>
        <v>data analytics online</v>
      </c>
    </row>
    <row r="1279" spans="1:13" x14ac:dyDescent="0.3">
      <c r="A1279" t="s">
        <v>1292</v>
      </c>
      <c r="B1279" t="s">
        <v>18</v>
      </c>
      <c r="C1279" s="4">
        <f>VLOOKUP(Googleadssales[[#This Row],[Ad_ID]],'[1]pre processed data'!A:C,3,0)</f>
        <v>110</v>
      </c>
      <c r="D1279" s="4">
        <f>VLOOKUP(Googleadssales[[#This Row],[Ad_ID]],'[1]pre processed data'!A:E,5,0)</f>
        <v>5220</v>
      </c>
      <c r="E1279" s="5" t="str">
        <f>VLOOKUP(Googleadssales[[#This Row],[Ad_ID]],[1]!Table3[[Ad_ID]:[Cost-imputed]],7,0)</f>
        <v>$233.06</v>
      </c>
      <c r="F1279" s="4">
        <f>VLOOKUP(Googleadssales[[#This Row],[Ad_ID]],'[1]pre processed data'!A:I,9,0)</f>
        <v>16</v>
      </c>
      <c r="G1279" s="4">
        <f>VLOOKUP(Googleadssales[[#This Row],[Ad_ID]],'[1]pre processed data'!A:K,11,0)</f>
        <v>4</v>
      </c>
      <c r="H1279" s="2">
        <f>Googleadssales[[#This Row],[Conversions]]/Googleadssales[[#This Row],[Clicks]]</f>
        <v>3.6363636363636362E-2</v>
      </c>
      <c r="I1279" t="str">
        <f>VLOOKUP(Googleadssales[[#This Row],[Ad_ID]],'[1]pre processed data'!A:O,15,0)</f>
        <v>$1711</v>
      </c>
      <c r="J1279" s="3">
        <f>VLOOKUP(Googleadssales[[#This Row],[Ad_ID]],'[1]pre processed data'!A:Q,17,0)</f>
        <v>45611</v>
      </c>
      <c r="K1279" t="str">
        <f>VLOOKUP(Googleadssales[[#This Row],[Ad_ID]],'[1]pre processed data'!A:R,18,0)</f>
        <v>Bangaluru</v>
      </c>
      <c r="L1279" t="str">
        <f>VLOOKUP(Googleadssales[[#This Row],[Ad_ID]],'[1]pre processed data'!A:S,19,0)</f>
        <v>Mobile</v>
      </c>
      <c r="M1279" t="str">
        <f>VLOOKUP(Googleadssales[[#This Row],[Ad_ID]],'[1]pre processed data'!A:T,20,0)</f>
        <v>data analytics training</v>
      </c>
    </row>
    <row r="1280" spans="1:13" x14ac:dyDescent="0.3">
      <c r="A1280" t="s">
        <v>1293</v>
      </c>
      <c r="B1280" t="s">
        <v>14</v>
      </c>
      <c r="C1280" s="4">
        <f>VLOOKUP(Googleadssales[[#This Row],[Ad_ID]],'[1]pre processed data'!A:C,3,0)</f>
        <v>83</v>
      </c>
      <c r="D1280" s="4">
        <f>VLOOKUP(Googleadssales[[#This Row],[Ad_ID]],'[1]pre processed data'!A:E,5,0)</f>
        <v>5247</v>
      </c>
      <c r="E1280" s="5" t="str">
        <f>VLOOKUP(Googleadssales[[#This Row],[Ad_ID]],[1]!Table3[[Ad_ID]:[Cost-imputed]],7,0)</f>
        <v>$231.04</v>
      </c>
      <c r="F1280" s="4">
        <f>VLOOKUP(Googleadssales[[#This Row],[Ad_ID]],'[1]pre processed data'!A:I,9,0)</f>
        <v>27</v>
      </c>
      <c r="G1280" s="4">
        <f>VLOOKUP(Googleadssales[[#This Row],[Ad_ID]],'[1]pre processed data'!A:K,11,0)</f>
        <v>3</v>
      </c>
      <c r="H1280" s="2">
        <f>Googleadssales[[#This Row],[Conversions]]/Googleadssales[[#This Row],[Clicks]]</f>
        <v>3.614457831325301E-2</v>
      </c>
      <c r="I1280" t="str">
        <f>VLOOKUP(Googleadssales[[#This Row],[Ad_ID]],'[1]pre processed data'!A:O,15,0)</f>
        <v>$1636</v>
      </c>
      <c r="J1280" s="3">
        <f>VLOOKUP(Googleadssales[[#This Row],[Ad_ID]],'[1]pre processed data'!A:Q,17,0)</f>
        <v>45600</v>
      </c>
      <c r="K1280" t="str">
        <f>VLOOKUP(Googleadssales[[#This Row],[Ad_ID]],'[1]pre processed data'!A:R,18,0)</f>
        <v>Chennai</v>
      </c>
      <c r="L1280" t="str">
        <f>VLOOKUP(Googleadssales[[#This Row],[Ad_ID]],'[1]pre processed data'!A:S,19,0)</f>
        <v>Desktop</v>
      </c>
      <c r="M1280" t="str">
        <f>VLOOKUP(Googleadssales[[#This Row],[Ad_ID]],'[1]pre processed data'!A:T,20,0)</f>
        <v>data analytics online</v>
      </c>
    </row>
    <row r="1281" spans="1:13" x14ac:dyDescent="0.3">
      <c r="A1281" t="s">
        <v>1294</v>
      </c>
      <c r="B1281" t="s">
        <v>14</v>
      </c>
      <c r="C1281" s="4">
        <f>VLOOKUP(Googleadssales[[#This Row],[Ad_ID]],'[1]pre processed data'!A:C,3,0)</f>
        <v>166</v>
      </c>
      <c r="D1281" s="4">
        <f>VLOOKUP(Googleadssales[[#This Row],[Ad_ID]],'[1]pre processed data'!A:E,5,0)</f>
        <v>5522</v>
      </c>
      <c r="E1281" s="5" t="str">
        <f>VLOOKUP(Googleadssales[[#This Row],[Ad_ID]],[1]!Table3[[Ad_ID]:[Cost-imputed]],7,0)</f>
        <v>$218.34</v>
      </c>
      <c r="F1281" s="4">
        <f>VLOOKUP(Googleadssales[[#This Row],[Ad_ID]],'[1]pre processed data'!A:I,9,0)</f>
        <v>13</v>
      </c>
      <c r="G1281" s="4">
        <f>VLOOKUP(Googleadssales[[#This Row],[Ad_ID]],'[1]pre processed data'!A:K,11,0)</f>
        <v>3</v>
      </c>
      <c r="H1281" s="2">
        <f>Googleadssales[[#This Row],[Conversions]]/Googleadssales[[#This Row],[Clicks]]</f>
        <v>1.8072289156626505E-2</v>
      </c>
      <c r="I1281" t="str">
        <f>VLOOKUP(Googleadssales[[#This Row],[Ad_ID]],'[1]pre processed data'!A:O,15,0)</f>
        <v>$1235</v>
      </c>
      <c r="J1281" s="3">
        <f>VLOOKUP(Googleadssales[[#This Row],[Ad_ID]],'[1]pre processed data'!A:Q,17,0)</f>
        <v>45618</v>
      </c>
      <c r="K1281" t="str">
        <f>VLOOKUP(Googleadssales[[#This Row],[Ad_ID]],'[1]pre processed data'!A:R,18,0)</f>
        <v>Chennai</v>
      </c>
      <c r="L1281" t="str">
        <f>VLOOKUP(Googleadssales[[#This Row],[Ad_ID]],'[1]pre processed data'!A:S,19,0)</f>
        <v>Desktop</v>
      </c>
      <c r="M1281" t="str">
        <f>VLOOKUP(Googleadssales[[#This Row],[Ad_ID]],'[1]pre processed data'!A:T,20,0)</f>
        <v>online data analytic</v>
      </c>
    </row>
    <row r="1282" spans="1:13" x14ac:dyDescent="0.3">
      <c r="A1282" t="s">
        <v>1295</v>
      </c>
      <c r="B1282" t="s">
        <v>14</v>
      </c>
      <c r="C1282" s="4">
        <f>VLOOKUP(Googleadssales[[#This Row],[Ad_ID]],'[1]pre processed data'!A:C,3,0)</f>
        <v>108</v>
      </c>
      <c r="D1282" s="4">
        <f>VLOOKUP(Googleadssales[[#This Row],[Ad_ID]],'[1]pre processed data'!A:E,5,0)</f>
        <v>3682</v>
      </c>
      <c r="E1282" s="5" t="str">
        <f>VLOOKUP(Googleadssales[[#This Row],[Ad_ID]],[1]!Table3[[Ad_ID]:[Cost-imputed]],7,0)</f>
        <v>$214.43</v>
      </c>
      <c r="F1282" s="4">
        <f>VLOOKUP(Googleadssales[[#This Row],[Ad_ID]],'[1]pre processed data'!A:I,9,0)</f>
        <v>20</v>
      </c>
      <c r="G1282" s="4">
        <f>VLOOKUP(Googleadssales[[#This Row],[Ad_ID]],'[1]pre processed data'!A:K,11,0)</f>
        <v>3</v>
      </c>
      <c r="H1282" s="2">
        <f>Googleadssales[[#This Row],[Conversions]]/Googleadssales[[#This Row],[Clicks]]</f>
        <v>2.7777777777777776E-2</v>
      </c>
      <c r="I1282" t="str">
        <f>VLOOKUP(Googleadssales[[#This Row],[Ad_ID]],'[1]pre processed data'!A:O,15,0)</f>
        <v>$1553</v>
      </c>
      <c r="J1282" s="3">
        <f>VLOOKUP(Googleadssales[[#This Row],[Ad_ID]],'[1]pre processed data'!A:Q,17,0)</f>
        <v>45623</v>
      </c>
      <c r="K1282" t="str">
        <f>VLOOKUP(Googleadssales[[#This Row],[Ad_ID]],'[1]pre processed data'!A:R,18,0)</f>
        <v>Bangaluru</v>
      </c>
      <c r="L1282" t="str">
        <f>VLOOKUP(Googleadssales[[#This Row],[Ad_ID]],'[1]pre processed data'!A:S,19,0)</f>
        <v>Desktop</v>
      </c>
      <c r="M1282" t="str">
        <f>VLOOKUP(Googleadssales[[#This Row],[Ad_ID]],'[1]pre processed data'!A:T,20,0)</f>
        <v>learn data analytics</v>
      </c>
    </row>
    <row r="1283" spans="1:13" x14ac:dyDescent="0.3">
      <c r="A1283" t="s">
        <v>1296</v>
      </c>
      <c r="B1283" t="s">
        <v>18</v>
      </c>
      <c r="C1283" s="4">
        <f>VLOOKUP(Googleadssales[[#This Row],[Ad_ID]],'[1]pre processed data'!A:C,3,0)</f>
        <v>84</v>
      </c>
      <c r="D1283" s="4">
        <f>VLOOKUP(Googleadssales[[#This Row],[Ad_ID]],'[1]pre processed data'!A:E,5,0)</f>
        <v>4549</v>
      </c>
      <c r="E1283" s="5" t="str">
        <f>VLOOKUP(Googleadssales[[#This Row],[Ad_ID]],[1]!Table3[[Ad_ID]:[Cost-imputed]],7,0)</f>
        <v>$191.96</v>
      </c>
      <c r="F1283" s="4">
        <f>VLOOKUP(Googleadssales[[#This Row],[Ad_ID]],'[1]pre processed data'!A:I,9,0)</f>
        <v>15</v>
      </c>
      <c r="G1283" s="4">
        <f>VLOOKUP(Googleadssales[[#This Row],[Ad_ID]],'[1]pre processed data'!A:K,11,0)</f>
        <v>7</v>
      </c>
      <c r="H1283" s="2">
        <f>Googleadssales[[#This Row],[Conversions]]/Googleadssales[[#This Row],[Clicks]]</f>
        <v>8.3333333333333329E-2</v>
      </c>
      <c r="I1283" t="str">
        <f>VLOOKUP(Googleadssales[[#This Row],[Ad_ID]],'[1]pre processed data'!A:O,15,0)</f>
        <v>$1303</v>
      </c>
      <c r="J1283" s="3">
        <f>VLOOKUP(Googleadssales[[#This Row],[Ad_ID]],'[1]pre processed data'!A:Q,17,0)</f>
        <v>45609</v>
      </c>
      <c r="K1283" t="str">
        <f>VLOOKUP(Googleadssales[[#This Row],[Ad_ID]],'[1]pre processed data'!A:R,18,0)</f>
        <v>Hyderabad</v>
      </c>
      <c r="L1283" t="str">
        <f>VLOOKUP(Googleadssales[[#This Row],[Ad_ID]],'[1]pre processed data'!A:S,19,0)</f>
        <v>Desktop</v>
      </c>
      <c r="M1283" t="str">
        <f>VLOOKUP(Googleadssales[[#This Row],[Ad_ID]],'[1]pre processed data'!A:T,20,0)</f>
        <v>data analytics course</v>
      </c>
    </row>
    <row r="1284" spans="1:13" x14ac:dyDescent="0.3">
      <c r="A1284" t="s">
        <v>1297</v>
      </c>
      <c r="B1284" t="s">
        <v>14</v>
      </c>
      <c r="C1284" s="4">
        <f>VLOOKUP(Googleadssales[[#This Row],[Ad_ID]],'[1]pre processed data'!A:C,3,0)</f>
        <v>117</v>
      </c>
      <c r="D1284" s="4">
        <f>VLOOKUP(Googleadssales[[#This Row],[Ad_ID]],'[1]pre processed data'!A:E,5,0)</f>
        <v>5170</v>
      </c>
      <c r="E1284" s="5" t="str">
        <f>VLOOKUP(Googleadssales[[#This Row],[Ad_ID]],[1]!Table3[[Ad_ID]:[Cost-imputed]],7,0)</f>
        <v>$200.00</v>
      </c>
      <c r="F1284" s="4">
        <f>VLOOKUP(Googleadssales[[#This Row],[Ad_ID]],'[1]pre processed data'!A:I,9,0)</f>
        <v>16</v>
      </c>
      <c r="G1284" s="4">
        <f>VLOOKUP(Googleadssales[[#This Row],[Ad_ID]],'[1]pre processed data'!A:K,11,0)</f>
        <v>10</v>
      </c>
      <c r="H1284" s="2">
        <f>Googleadssales[[#This Row],[Conversions]]/Googleadssales[[#This Row],[Clicks]]</f>
        <v>8.5470085470085472E-2</v>
      </c>
      <c r="I1284" t="str">
        <f>VLOOKUP(Googleadssales[[#This Row],[Ad_ID]],'[1]pre processed data'!A:O,15,0)</f>
        <v>$1500</v>
      </c>
      <c r="J1284" s="3">
        <f>VLOOKUP(Googleadssales[[#This Row],[Ad_ID]],'[1]pre processed data'!A:Q,17,0)</f>
        <v>45616</v>
      </c>
      <c r="K1284" t="str">
        <f>VLOOKUP(Googleadssales[[#This Row],[Ad_ID]],'[1]pre processed data'!A:R,18,0)</f>
        <v>Hyderabad</v>
      </c>
      <c r="L1284" t="str">
        <f>VLOOKUP(Googleadssales[[#This Row],[Ad_ID]],'[1]pre processed data'!A:S,19,0)</f>
        <v>Tablet</v>
      </c>
      <c r="M1284" t="str">
        <f>VLOOKUP(Googleadssales[[#This Row],[Ad_ID]],'[1]pre processed data'!A:T,20,0)</f>
        <v>data analytics online</v>
      </c>
    </row>
    <row r="1285" spans="1:13" x14ac:dyDescent="0.3">
      <c r="A1285" t="s">
        <v>1298</v>
      </c>
      <c r="B1285" t="s">
        <v>14</v>
      </c>
      <c r="C1285" s="4">
        <f>VLOOKUP(Googleadssales[[#This Row],[Ad_ID]],'[1]pre processed data'!A:C,3,0)</f>
        <v>195</v>
      </c>
      <c r="D1285" s="4">
        <f>VLOOKUP(Googleadssales[[#This Row],[Ad_ID]],'[1]pre processed data'!A:E,5,0)</f>
        <v>3122</v>
      </c>
      <c r="E1285" s="5" t="str">
        <f>VLOOKUP(Googleadssales[[#This Row],[Ad_ID]],[1]!Table3[[Ad_ID]:[Cost-imputed]],7,0)</f>
        <v>$205.3</v>
      </c>
      <c r="F1285" s="4">
        <f>VLOOKUP(Googleadssales[[#This Row],[Ad_ID]],'[1]pre processed data'!A:I,9,0)</f>
        <v>24</v>
      </c>
      <c r="G1285" s="4">
        <f>VLOOKUP(Googleadssales[[#This Row],[Ad_ID]],'[1]pre processed data'!A:K,11,0)</f>
        <v>4</v>
      </c>
      <c r="H1285" s="2">
        <f>Googleadssales[[#This Row],[Conversions]]/Googleadssales[[#This Row],[Clicks]]</f>
        <v>2.0512820512820513E-2</v>
      </c>
      <c r="I1285" t="str">
        <f>VLOOKUP(Googleadssales[[#This Row],[Ad_ID]],'[1]pre processed data'!A:O,15,0)</f>
        <v>$1326</v>
      </c>
      <c r="J1285" s="3">
        <f>VLOOKUP(Googleadssales[[#This Row],[Ad_ID]],'[1]pre processed data'!A:Q,17,0)</f>
        <v>45610</v>
      </c>
      <c r="K1285" t="str">
        <f>VLOOKUP(Googleadssales[[#This Row],[Ad_ID]],'[1]pre processed data'!A:R,18,0)</f>
        <v>Bangaluru</v>
      </c>
      <c r="L1285" t="str">
        <f>VLOOKUP(Googleadssales[[#This Row],[Ad_ID]],'[1]pre processed data'!A:S,19,0)</f>
        <v>Mobile</v>
      </c>
      <c r="M1285" t="str">
        <f>VLOOKUP(Googleadssales[[#This Row],[Ad_ID]],'[1]pre processed data'!A:T,20,0)</f>
        <v>data analytics training</v>
      </c>
    </row>
    <row r="1286" spans="1:13" x14ac:dyDescent="0.3">
      <c r="A1286" t="s">
        <v>1299</v>
      </c>
      <c r="B1286" t="s">
        <v>14</v>
      </c>
      <c r="C1286" s="4">
        <f>VLOOKUP(Googleadssales[[#This Row],[Ad_ID]],'[1]pre processed data'!A:C,3,0)</f>
        <v>149</v>
      </c>
      <c r="D1286" s="4">
        <f>VLOOKUP(Googleadssales[[#This Row],[Ad_ID]],'[1]pre processed data'!A:E,5,0)</f>
        <v>3650</v>
      </c>
      <c r="E1286" s="5" t="str">
        <f>VLOOKUP(Googleadssales[[#This Row],[Ad_ID]],[1]!Table3[[Ad_ID]:[Cost-imputed]],7,0)</f>
        <v>$220.25</v>
      </c>
      <c r="F1286" s="4">
        <f>VLOOKUP(Googleadssales[[#This Row],[Ad_ID]],'[1]pre processed data'!A:I,9,0)</f>
        <v>17</v>
      </c>
      <c r="G1286" s="4">
        <f>VLOOKUP(Googleadssales[[#This Row],[Ad_ID]],'[1]pre processed data'!A:K,11,0)</f>
        <v>3</v>
      </c>
      <c r="H1286" s="2">
        <f>Googleadssales[[#This Row],[Conversions]]/Googleadssales[[#This Row],[Clicks]]</f>
        <v>2.0134228187919462E-2</v>
      </c>
      <c r="I1286" t="str">
        <f>VLOOKUP(Googleadssales[[#This Row],[Ad_ID]],'[1]pre processed data'!A:O,15,0)</f>
        <v>$1500</v>
      </c>
      <c r="J1286" s="3">
        <f>VLOOKUP(Googleadssales[[#This Row],[Ad_ID]],'[1]pre processed data'!A:Q,17,0)</f>
        <v>45625</v>
      </c>
      <c r="K1286" t="str">
        <f>VLOOKUP(Googleadssales[[#This Row],[Ad_ID]],'[1]pre processed data'!A:R,18,0)</f>
        <v>Hyderabad</v>
      </c>
      <c r="L1286" t="str">
        <f>VLOOKUP(Googleadssales[[#This Row],[Ad_ID]],'[1]pre processed data'!A:S,19,0)</f>
        <v>Mobile</v>
      </c>
      <c r="M1286" t="str">
        <f>VLOOKUP(Googleadssales[[#This Row],[Ad_ID]],'[1]pre processed data'!A:T,20,0)</f>
        <v>data analytics online</v>
      </c>
    </row>
    <row r="1287" spans="1:13" x14ac:dyDescent="0.3">
      <c r="A1287" t="s">
        <v>1300</v>
      </c>
      <c r="B1287" t="s">
        <v>14</v>
      </c>
      <c r="C1287" s="4">
        <f>VLOOKUP(Googleadssales[[#This Row],[Ad_ID]],'[1]pre processed data'!A:C,3,0)</f>
        <v>142</v>
      </c>
      <c r="D1287" s="4">
        <f>VLOOKUP(Googleadssales[[#This Row],[Ad_ID]],'[1]pre processed data'!A:E,5,0)</f>
        <v>5436</v>
      </c>
      <c r="E1287" s="5" t="str">
        <f>VLOOKUP(Googleadssales[[#This Row],[Ad_ID]],[1]!Table3[[Ad_ID]:[Cost-imputed]],7,0)</f>
        <v>$237.09</v>
      </c>
      <c r="F1287" s="4">
        <f>VLOOKUP(Googleadssales[[#This Row],[Ad_ID]],'[1]pre processed data'!A:I,9,0)</f>
        <v>14</v>
      </c>
      <c r="G1287" s="4">
        <f>VLOOKUP(Googleadssales[[#This Row],[Ad_ID]],'[1]pre processed data'!A:K,11,0)</f>
        <v>7</v>
      </c>
      <c r="H1287" s="2">
        <f>Googleadssales[[#This Row],[Conversions]]/Googleadssales[[#This Row],[Clicks]]</f>
        <v>4.9295774647887321E-2</v>
      </c>
      <c r="I1287" t="str">
        <f>VLOOKUP(Googleadssales[[#This Row],[Ad_ID]],'[1]pre processed data'!A:O,15,0)</f>
        <v>$1269</v>
      </c>
      <c r="J1287" s="3">
        <f>VLOOKUP(Googleadssales[[#This Row],[Ad_ID]],'[1]pre processed data'!A:Q,17,0)</f>
        <v>45616</v>
      </c>
      <c r="K1287" t="str">
        <f>VLOOKUP(Googleadssales[[#This Row],[Ad_ID]],'[1]pre processed data'!A:R,18,0)</f>
        <v>Bangaluru</v>
      </c>
      <c r="L1287" t="str">
        <f>VLOOKUP(Googleadssales[[#This Row],[Ad_ID]],'[1]pre processed data'!A:S,19,0)</f>
        <v>Tablet</v>
      </c>
      <c r="M1287" t="str">
        <f>VLOOKUP(Googleadssales[[#This Row],[Ad_ID]],'[1]pre processed data'!A:T,20,0)</f>
        <v>online data analytic</v>
      </c>
    </row>
    <row r="1288" spans="1:13" x14ac:dyDescent="0.3">
      <c r="A1288" t="s">
        <v>1301</v>
      </c>
      <c r="B1288" t="s">
        <v>14</v>
      </c>
      <c r="C1288" s="4">
        <f>VLOOKUP(Googleadssales[[#This Row],[Ad_ID]],'[1]pre processed data'!A:C,3,0)</f>
        <v>98</v>
      </c>
      <c r="D1288" s="4">
        <f>VLOOKUP(Googleadssales[[#This Row],[Ad_ID]],'[1]pre processed data'!A:E,5,0)</f>
        <v>5485</v>
      </c>
      <c r="E1288" s="5" t="str">
        <f>VLOOKUP(Googleadssales[[#This Row],[Ad_ID]],[1]!Table3[[Ad_ID]:[Cost-imputed]],7,0)</f>
        <v>$182.29</v>
      </c>
      <c r="F1288" s="4">
        <f>VLOOKUP(Googleadssales[[#This Row],[Ad_ID]],'[1]pre processed data'!A:I,9,0)</f>
        <v>16</v>
      </c>
      <c r="G1288" s="4">
        <f>VLOOKUP(Googleadssales[[#This Row],[Ad_ID]],'[1]pre processed data'!A:K,11,0)</f>
        <v>5</v>
      </c>
      <c r="H1288" s="2">
        <f>Googleadssales[[#This Row],[Conversions]]/Googleadssales[[#This Row],[Clicks]]</f>
        <v>5.1020408163265307E-2</v>
      </c>
      <c r="I1288" t="str">
        <f>VLOOKUP(Googleadssales[[#This Row],[Ad_ID]],'[1]pre processed data'!A:O,15,0)</f>
        <v>$1518</v>
      </c>
      <c r="J1288" s="3">
        <f>VLOOKUP(Googleadssales[[#This Row],[Ad_ID]],'[1]pre processed data'!A:Q,17,0)</f>
        <v>45615</v>
      </c>
      <c r="K1288" t="str">
        <f>VLOOKUP(Googleadssales[[#This Row],[Ad_ID]],'[1]pre processed data'!A:R,18,0)</f>
        <v>Chennai</v>
      </c>
      <c r="L1288" t="str">
        <f>VLOOKUP(Googleadssales[[#This Row],[Ad_ID]],'[1]pre processed data'!A:S,19,0)</f>
        <v>Desktop</v>
      </c>
      <c r="M1288" t="str">
        <f>VLOOKUP(Googleadssales[[#This Row],[Ad_ID]],'[1]pre processed data'!A:T,20,0)</f>
        <v>learn data analytics</v>
      </c>
    </row>
    <row r="1289" spans="1:13" x14ac:dyDescent="0.3">
      <c r="A1289" t="s">
        <v>1302</v>
      </c>
      <c r="B1289" t="s">
        <v>14</v>
      </c>
      <c r="C1289" s="4">
        <f>VLOOKUP(Googleadssales[[#This Row],[Ad_ID]],'[1]pre processed data'!A:C,3,0)</f>
        <v>169</v>
      </c>
      <c r="D1289" s="4">
        <f>VLOOKUP(Googleadssales[[#This Row],[Ad_ID]],'[1]pre processed data'!A:E,5,0)</f>
        <v>3778</v>
      </c>
      <c r="E1289" s="5" t="str">
        <f>VLOOKUP(Googleadssales[[#This Row],[Ad_ID]],[1]!Table3[[Ad_ID]:[Cost-imputed]],7,0)</f>
        <v>$200.00</v>
      </c>
      <c r="F1289" s="4">
        <f>VLOOKUP(Googleadssales[[#This Row],[Ad_ID]],'[1]pre processed data'!A:I,9,0)</f>
        <v>11</v>
      </c>
      <c r="G1289" s="4">
        <f>VLOOKUP(Googleadssales[[#This Row],[Ad_ID]],'[1]pre processed data'!A:K,11,0)</f>
        <v>3</v>
      </c>
      <c r="H1289" s="2">
        <f>Googleadssales[[#This Row],[Conversions]]/Googleadssales[[#This Row],[Clicks]]</f>
        <v>1.7751479289940829E-2</v>
      </c>
      <c r="I1289" t="str">
        <f>VLOOKUP(Googleadssales[[#This Row],[Ad_ID]],'[1]pre processed data'!A:O,15,0)</f>
        <v>$1721</v>
      </c>
      <c r="J1289" s="3">
        <f>VLOOKUP(Googleadssales[[#This Row],[Ad_ID]],'[1]pre processed data'!A:Q,17,0)</f>
        <v>45610</v>
      </c>
      <c r="K1289" t="str">
        <f>VLOOKUP(Googleadssales[[#This Row],[Ad_ID]],'[1]pre processed data'!A:R,18,0)</f>
        <v>Bangaluru</v>
      </c>
      <c r="L1289" t="str">
        <f>VLOOKUP(Googleadssales[[#This Row],[Ad_ID]],'[1]pre processed data'!A:S,19,0)</f>
        <v>Desktop</v>
      </c>
      <c r="M1289" t="str">
        <f>VLOOKUP(Googleadssales[[#This Row],[Ad_ID]],'[1]pre processed data'!A:T,20,0)</f>
        <v>data analytics training</v>
      </c>
    </row>
    <row r="1290" spans="1:13" x14ac:dyDescent="0.3">
      <c r="A1290" t="s">
        <v>1303</v>
      </c>
      <c r="B1290" t="s">
        <v>14</v>
      </c>
      <c r="C1290" s="4">
        <f>VLOOKUP(Googleadssales[[#This Row],[Ad_ID]],'[1]pre processed data'!A:C,3,0)</f>
        <v>99</v>
      </c>
      <c r="D1290" s="4">
        <f>VLOOKUP(Googleadssales[[#This Row],[Ad_ID]],'[1]pre processed data'!A:E,5,0)</f>
        <v>3051</v>
      </c>
      <c r="E1290" s="5" t="str">
        <f>VLOOKUP(Googleadssales[[#This Row],[Ad_ID]],[1]!Table3[[Ad_ID]:[Cost-imputed]],7,0)</f>
        <v>$200.00</v>
      </c>
      <c r="F1290" s="4">
        <f>VLOOKUP(Googleadssales[[#This Row],[Ad_ID]],'[1]pre processed data'!A:I,9,0)</f>
        <v>18</v>
      </c>
      <c r="G1290" s="4">
        <f>VLOOKUP(Googleadssales[[#This Row],[Ad_ID]],'[1]pre processed data'!A:K,11,0)</f>
        <v>6</v>
      </c>
      <c r="H1290" s="2">
        <f>Googleadssales[[#This Row],[Conversions]]/Googleadssales[[#This Row],[Clicks]]</f>
        <v>6.0606060606060608E-2</v>
      </c>
      <c r="I1290" t="str">
        <f>VLOOKUP(Googleadssales[[#This Row],[Ad_ID]],'[1]pre processed data'!A:O,15,0)</f>
        <v>$1762</v>
      </c>
      <c r="J1290" s="3">
        <f>VLOOKUP(Googleadssales[[#This Row],[Ad_ID]],'[1]pre processed data'!A:Q,17,0)</f>
        <v>45625</v>
      </c>
      <c r="K1290" t="str">
        <f>VLOOKUP(Googleadssales[[#This Row],[Ad_ID]],'[1]pre processed data'!A:R,18,0)</f>
        <v>Hyderabad</v>
      </c>
      <c r="L1290" t="str">
        <f>VLOOKUP(Googleadssales[[#This Row],[Ad_ID]],'[1]pre processed data'!A:S,19,0)</f>
        <v>Mobile</v>
      </c>
      <c r="M1290" t="str">
        <f>VLOOKUP(Googleadssales[[#This Row],[Ad_ID]],'[1]pre processed data'!A:T,20,0)</f>
        <v>online data analytic</v>
      </c>
    </row>
    <row r="1291" spans="1:13" x14ac:dyDescent="0.3">
      <c r="A1291" t="s">
        <v>1304</v>
      </c>
      <c r="B1291" t="s">
        <v>18</v>
      </c>
      <c r="C1291" s="4">
        <f>VLOOKUP(Googleadssales[[#This Row],[Ad_ID]],'[1]pre processed data'!A:C,3,0)</f>
        <v>170</v>
      </c>
      <c r="D1291" s="4">
        <f>VLOOKUP(Googleadssales[[#This Row],[Ad_ID]],'[1]pre processed data'!A:E,5,0)</f>
        <v>5286</v>
      </c>
      <c r="E1291" s="5" t="str">
        <f>VLOOKUP(Googleadssales[[#This Row],[Ad_ID]],[1]!Table3[[Ad_ID]:[Cost-imputed]],7,0)</f>
        <v>$190.65</v>
      </c>
      <c r="F1291" s="4">
        <f>VLOOKUP(Googleadssales[[#This Row],[Ad_ID]],'[1]pre processed data'!A:I,9,0)</f>
        <v>22</v>
      </c>
      <c r="G1291" s="4">
        <f>VLOOKUP(Googleadssales[[#This Row],[Ad_ID]],'[1]pre processed data'!A:K,11,0)</f>
        <v>7</v>
      </c>
      <c r="H1291" s="2">
        <f>Googleadssales[[#This Row],[Conversions]]/Googleadssales[[#This Row],[Clicks]]</f>
        <v>4.1176470588235294E-2</v>
      </c>
      <c r="I1291" t="str">
        <f>VLOOKUP(Googleadssales[[#This Row],[Ad_ID]],'[1]pre processed data'!A:O,15,0)</f>
        <v>$1110</v>
      </c>
      <c r="J1291" s="3">
        <f>VLOOKUP(Googleadssales[[#This Row],[Ad_ID]],'[1]pre processed data'!A:Q,17,0)</f>
        <v>45605</v>
      </c>
      <c r="K1291" t="str">
        <f>VLOOKUP(Googleadssales[[#This Row],[Ad_ID]],'[1]pre processed data'!A:R,18,0)</f>
        <v>Hyderabad</v>
      </c>
      <c r="L1291" t="str">
        <f>VLOOKUP(Googleadssales[[#This Row],[Ad_ID]],'[1]pre processed data'!A:S,19,0)</f>
        <v>Desktop</v>
      </c>
      <c r="M1291" t="str">
        <f>VLOOKUP(Googleadssales[[#This Row],[Ad_ID]],'[1]pre processed data'!A:T,20,0)</f>
        <v>data analytics online</v>
      </c>
    </row>
    <row r="1292" spans="1:13" x14ac:dyDescent="0.3">
      <c r="A1292" t="s">
        <v>1305</v>
      </c>
      <c r="B1292" t="s">
        <v>14</v>
      </c>
      <c r="C1292" s="4">
        <f>VLOOKUP(Googleadssales[[#This Row],[Ad_ID]],'[1]pre processed data'!A:C,3,0)</f>
        <v>138.95699356913184</v>
      </c>
      <c r="D1292" s="4">
        <f>VLOOKUP(Googleadssales[[#This Row],[Ad_ID]],'[1]pre processed data'!A:E,5,0)</f>
        <v>3533</v>
      </c>
      <c r="E1292" s="5" t="str">
        <f>VLOOKUP(Googleadssales[[#This Row],[Ad_ID]],[1]!Table3[[Ad_ID]:[Cost-imputed]],7,0)</f>
        <v>$248.96</v>
      </c>
      <c r="F1292" s="4">
        <f>VLOOKUP(Googleadssales[[#This Row],[Ad_ID]],'[1]pre processed data'!A:I,9,0)</f>
        <v>22</v>
      </c>
      <c r="G1292" s="4">
        <f>VLOOKUP(Googleadssales[[#This Row],[Ad_ID]],'[1]pre processed data'!A:K,11,0)</f>
        <v>4</v>
      </c>
      <c r="H1292" s="2">
        <f>Googleadssales[[#This Row],[Conversions]]/Googleadssales[[#This Row],[Clicks]]</f>
        <v>2.8785884734977219E-2</v>
      </c>
      <c r="I1292" t="str">
        <f>VLOOKUP(Googleadssales[[#This Row],[Ad_ID]],'[1]pre processed data'!A:O,15,0)</f>
        <v>$1606</v>
      </c>
      <c r="J1292" s="3">
        <f>VLOOKUP(Googleadssales[[#This Row],[Ad_ID]],'[1]pre processed data'!A:Q,17,0)</f>
        <v>45601</v>
      </c>
      <c r="K1292" t="str">
        <f>VLOOKUP(Googleadssales[[#This Row],[Ad_ID]],'[1]pre processed data'!A:R,18,0)</f>
        <v>Hyderabad</v>
      </c>
      <c r="L1292" t="str">
        <f>VLOOKUP(Googleadssales[[#This Row],[Ad_ID]],'[1]pre processed data'!A:S,19,0)</f>
        <v>Mobile</v>
      </c>
      <c r="M1292" t="str">
        <f>VLOOKUP(Googleadssales[[#This Row],[Ad_ID]],'[1]pre processed data'!A:T,20,0)</f>
        <v>data analytics training</v>
      </c>
    </row>
    <row r="1293" spans="1:13" x14ac:dyDescent="0.3">
      <c r="A1293" t="s">
        <v>1306</v>
      </c>
      <c r="B1293" t="s">
        <v>14</v>
      </c>
      <c r="C1293" s="4">
        <f>VLOOKUP(Googleadssales[[#This Row],[Ad_ID]],'[1]pre processed data'!A:C,3,0)</f>
        <v>156</v>
      </c>
      <c r="D1293" s="4">
        <f>VLOOKUP(Googleadssales[[#This Row],[Ad_ID]],'[1]pre processed data'!A:E,5,0)</f>
        <v>5125</v>
      </c>
      <c r="E1293" s="5" t="str">
        <f>VLOOKUP(Googleadssales[[#This Row],[Ad_ID]],[1]!Table3[[Ad_ID]:[Cost-imputed]],7,0)</f>
        <v>$182.15</v>
      </c>
      <c r="F1293" s="4">
        <f>VLOOKUP(Googleadssales[[#This Row],[Ad_ID]],'[1]pre processed data'!A:I,9,0)</f>
        <v>26</v>
      </c>
      <c r="G1293" s="4">
        <f>VLOOKUP(Googleadssales[[#This Row],[Ad_ID]],'[1]pre processed data'!A:K,11,0)</f>
        <v>10</v>
      </c>
      <c r="H1293" s="2">
        <f>Googleadssales[[#This Row],[Conversions]]/Googleadssales[[#This Row],[Clicks]]</f>
        <v>6.4102564102564097E-2</v>
      </c>
      <c r="I1293" t="str">
        <f>VLOOKUP(Googleadssales[[#This Row],[Ad_ID]],'[1]pre processed data'!A:O,15,0)</f>
        <v>$1658</v>
      </c>
      <c r="J1293" s="3">
        <f>VLOOKUP(Googleadssales[[#This Row],[Ad_ID]],'[1]pre processed data'!A:Q,17,0)</f>
        <v>45612</v>
      </c>
      <c r="K1293" t="str">
        <f>VLOOKUP(Googleadssales[[#This Row],[Ad_ID]],'[1]pre processed data'!A:R,18,0)</f>
        <v>Hyderabad</v>
      </c>
      <c r="L1293" t="str">
        <f>VLOOKUP(Googleadssales[[#This Row],[Ad_ID]],'[1]pre processed data'!A:S,19,0)</f>
        <v>Mobile</v>
      </c>
      <c r="M1293" t="str">
        <f>VLOOKUP(Googleadssales[[#This Row],[Ad_ID]],'[1]pre processed data'!A:T,20,0)</f>
        <v>data analytics course</v>
      </c>
    </row>
    <row r="1294" spans="1:13" x14ac:dyDescent="0.3">
      <c r="A1294" t="s">
        <v>1307</v>
      </c>
      <c r="B1294" t="s">
        <v>14</v>
      </c>
      <c r="C1294" s="4">
        <f>VLOOKUP(Googleadssales[[#This Row],[Ad_ID]],'[1]pre processed data'!A:C,3,0)</f>
        <v>91</v>
      </c>
      <c r="D1294" s="4">
        <f>VLOOKUP(Googleadssales[[#This Row],[Ad_ID]],'[1]pre processed data'!A:E,5,0)</f>
        <v>4500</v>
      </c>
      <c r="E1294" s="5" t="str">
        <f>VLOOKUP(Googleadssales[[#This Row],[Ad_ID]],[1]!Table3[[Ad_ID]:[Cost-imputed]],7,0)</f>
        <v>$241.81</v>
      </c>
      <c r="F1294" s="4">
        <f>VLOOKUP(Googleadssales[[#This Row],[Ad_ID]],'[1]pre processed data'!A:I,9,0)</f>
        <v>20</v>
      </c>
      <c r="G1294" s="4">
        <f>VLOOKUP(Googleadssales[[#This Row],[Ad_ID]],'[1]pre processed data'!A:K,11,0)</f>
        <v>3</v>
      </c>
      <c r="H1294" s="2">
        <f>Googleadssales[[#This Row],[Conversions]]/Googleadssales[[#This Row],[Clicks]]</f>
        <v>3.2967032967032968E-2</v>
      </c>
      <c r="I1294" t="str">
        <f>VLOOKUP(Googleadssales[[#This Row],[Ad_ID]],'[1]pre processed data'!A:O,15,0)</f>
        <v>$1902</v>
      </c>
      <c r="J1294" s="3">
        <f>VLOOKUP(Googleadssales[[#This Row],[Ad_ID]],'[1]pre processed data'!A:Q,17,0)</f>
        <v>45618</v>
      </c>
      <c r="K1294" t="str">
        <f>VLOOKUP(Googleadssales[[#This Row],[Ad_ID]],'[1]pre processed data'!A:R,18,0)</f>
        <v>Hyderabad</v>
      </c>
      <c r="L1294" t="str">
        <f>VLOOKUP(Googleadssales[[#This Row],[Ad_ID]],'[1]pre processed data'!A:S,19,0)</f>
        <v>Mobile</v>
      </c>
      <c r="M1294" t="str">
        <f>VLOOKUP(Googleadssales[[#This Row],[Ad_ID]],'[1]pre processed data'!A:T,20,0)</f>
        <v>data analytics online</v>
      </c>
    </row>
    <row r="1295" spans="1:13" x14ac:dyDescent="0.3">
      <c r="A1295" t="s">
        <v>1308</v>
      </c>
      <c r="B1295" t="s">
        <v>14</v>
      </c>
      <c r="C1295" s="4">
        <f>VLOOKUP(Googleadssales[[#This Row],[Ad_ID]],'[1]pre processed data'!A:C,3,0)</f>
        <v>140</v>
      </c>
      <c r="D1295" s="4">
        <f>VLOOKUP(Googleadssales[[#This Row],[Ad_ID]],'[1]pre processed data'!A:E,5,0)</f>
        <v>4633</v>
      </c>
      <c r="E1295" s="5" t="str">
        <f>VLOOKUP(Googleadssales[[#This Row],[Ad_ID]],[1]!Table3[[Ad_ID]:[Cost-imputed]],7,0)</f>
        <v>$228.65</v>
      </c>
      <c r="F1295" s="4">
        <f>VLOOKUP(Googleadssales[[#This Row],[Ad_ID]],'[1]pre processed data'!A:I,9,0)</f>
        <v>15</v>
      </c>
      <c r="G1295" s="4">
        <f>VLOOKUP(Googleadssales[[#This Row],[Ad_ID]],'[1]pre processed data'!A:K,11,0)</f>
        <v>4</v>
      </c>
      <c r="H1295" s="2">
        <f>Googleadssales[[#This Row],[Conversions]]/Googleadssales[[#This Row],[Clicks]]</f>
        <v>2.8571428571428571E-2</v>
      </c>
      <c r="I1295" t="str">
        <f>VLOOKUP(Googleadssales[[#This Row],[Ad_ID]],'[1]pre processed data'!A:O,15,0)</f>
        <v>$1738</v>
      </c>
      <c r="J1295" s="3">
        <f>VLOOKUP(Googleadssales[[#This Row],[Ad_ID]],'[1]pre processed data'!A:Q,17,0)</f>
        <v>45616</v>
      </c>
      <c r="K1295" t="str">
        <f>VLOOKUP(Googleadssales[[#This Row],[Ad_ID]],'[1]pre processed data'!A:R,18,0)</f>
        <v>Hyderabad</v>
      </c>
      <c r="L1295" t="str">
        <f>VLOOKUP(Googleadssales[[#This Row],[Ad_ID]],'[1]pre processed data'!A:S,19,0)</f>
        <v>Mobile</v>
      </c>
      <c r="M1295" t="str">
        <f>VLOOKUP(Googleadssales[[#This Row],[Ad_ID]],'[1]pre processed data'!A:T,20,0)</f>
        <v>data analytics online</v>
      </c>
    </row>
    <row r="1296" spans="1:13" x14ac:dyDescent="0.3">
      <c r="A1296" t="s">
        <v>1309</v>
      </c>
      <c r="B1296" t="s">
        <v>18</v>
      </c>
      <c r="C1296" s="4">
        <f>VLOOKUP(Googleadssales[[#This Row],[Ad_ID]],'[1]pre processed data'!A:C,3,0)</f>
        <v>142</v>
      </c>
      <c r="D1296" s="4">
        <f>VLOOKUP(Googleadssales[[#This Row],[Ad_ID]],'[1]pre processed data'!A:E,5,0)</f>
        <v>3155</v>
      </c>
      <c r="E1296" s="5" t="str">
        <f>VLOOKUP(Googleadssales[[#This Row],[Ad_ID]],[1]!Table3[[Ad_ID]:[Cost-imputed]],7,0)</f>
        <v>$229.01</v>
      </c>
      <c r="F1296" s="4">
        <f>VLOOKUP(Googleadssales[[#This Row],[Ad_ID]],'[1]pre processed data'!A:I,9,0)</f>
        <v>20.07221350078493</v>
      </c>
      <c r="G1296" s="4">
        <f>VLOOKUP(Googleadssales[[#This Row],[Ad_ID]],'[1]pre processed data'!A:K,11,0)</f>
        <v>10</v>
      </c>
      <c r="H1296" s="2">
        <f>Googleadssales[[#This Row],[Conversions]]/Googleadssales[[#This Row],[Clicks]]</f>
        <v>7.0422535211267609E-2</v>
      </c>
      <c r="I1296" t="str">
        <f>VLOOKUP(Googleadssales[[#This Row],[Ad_ID]],'[1]pre processed data'!A:O,15,0)</f>
        <v>$1955</v>
      </c>
      <c r="J1296" s="3">
        <f>VLOOKUP(Googleadssales[[#This Row],[Ad_ID]],'[1]pre processed data'!A:Q,17,0)</f>
        <v>45597</v>
      </c>
      <c r="K1296" t="str">
        <f>VLOOKUP(Googleadssales[[#This Row],[Ad_ID]],'[1]pre processed data'!A:R,18,0)</f>
        <v>Hyderabad</v>
      </c>
      <c r="L1296" t="str">
        <f>VLOOKUP(Googleadssales[[#This Row],[Ad_ID]],'[1]pre processed data'!A:S,19,0)</f>
        <v>Mobile</v>
      </c>
      <c r="M1296" t="str">
        <f>VLOOKUP(Googleadssales[[#This Row],[Ad_ID]],'[1]pre processed data'!A:T,20,0)</f>
        <v>learn data analytics</v>
      </c>
    </row>
    <row r="1297" spans="1:13" x14ac:dyDescent="0.3">
      <c r="A1297" t="s">
        <v>1310</v>
      </c>
      <c r="B1297" t="s">
        <v>14</v>
      </c>
      <c r="C1297" s="4">
        <f>VLOOKUP(Googleadssales[[#This Row],[Ad_ID]],'[1]pre processed data'!A:C,3,0)</f>
        <v>198</v>
      </c>
      <c r="D1297" s="4">
        <f>VLOOKUP(Googleadssales[[#This Row],[Ad_ID]],'[1]pre processed data'!A:E,5,0)</f>
        <v>3444</v>
      </c>
      <c r="E1297" s="5" t="str">
        <f>VLOOKUP(Googleadssales[[#This Row],[Ad_ID]],[1]!Table3[[Ad_ID]:[Cost-imputed]],7,0)</f>
        <v>$195.91</v>
      </c>
      <c r="F1297" s="4">
        <f>VLOOKUP(Googleadssales[[#This Row],[Ad_ID]],'[1]pre processed data'!A:I,9,0)</f>
        <v>27</v>
      </c>
      <c r="G1297" s="4">
        <f>VLOOKUP(Googleadssales[[#This Row],[Ad_ID]],'[1]pre processed data'!A:K,11,0)</f>
        <v>4</v>
      </c>
      <c r="H1297" s="2">
        <f>Googleadssales[[#This Row],[Conversions]]/Googleadssales[[#This Row],[Clicks]]</f>
        <v>2.0202020202020204E-2</v>
      </c>
      <c r="I1297" t="str">
        <f>VLOOKUP(Googleadssales[[#This Row],[Ad_ID]],'[1]pre processed data'!A:O,15,0)</f>
        <v>$1317</v>
      </c>
      <c r="J1297" s="3">
        <f>VLOOKUP(Googleadssales[[#This Row],[Ad_ID]],'[1]pre processed data'!A:Q,17,0)</f>
        <v>45606</v>
      </c>
      <c r="K1297" t="str">
        <f>VLOOKUP(Googleadssales[[#This Row],[Ad_ID]],'[1]pre processed data'!A:R,18,0)</f>
        <v>Chennai</v>
      </c>
      <c r="L1297" t="str">
        <f>VLOOKUP(Googleadssales[[#This Row],[Ad_ID]],'[1]pre processed data'!A:S,19,0)</f>
        <v>Desktop</v>
      </c>
      <c r="M1297" t="str">
        <f>VLOOKUP(Googleadssales[[#This Row],[Ad_ID]],'[1]pre processed data'!A:T,20,0)</f>
        <v>data analytics online</v>
      </c>
    </row>
    <row r="1298" spans="1:13" x14ac:dyDescent="0.3">
      <c r="A1298" t="s">
        <v>1311</v>
      </c>
      <c r="B1298" t="s">
        <v>14</v>
      </c>
      <c r="C1298" s="4">
        <f>VLOOKUP(Googleadssales[[#This Row],[Ad_ID]],'[1]pre processed data'!A:C,3,0)</f>
        <v>88</v>
      </c>
      <c r="D1298" s="4">
        <f>VLOOKUP(Googleadssales[[#This Row],[Ad_ID]],'[1]pre processed data'!A:E,5,0)</f>
        <v>4253</v>
      </c>
      <c r="E1298" s="5" t="str">
        <f>VLOOKUP(Googleadssales[[#This Row],[Ad_ID]],[1]!Table3[[Ad_ID]:[Cost-imputed]],7,0)</f>
        <v>$210.5</v>
      </c>
      <c r="F1298" s="4">
        <f>VLOOKUP(Googleadssales[[#This Row],[Ad_ID]],'[1]pre processed data'!A:I,9,0)</f>
        <v>23</v>
      </c>
      <c r="G1298" s="4">
        <f>VLOOKUP(Googleadssales[[#This Row],[Ad_ID]],'[1]pre processed data'!A:K,11,0)</f>
        <v>8</v>
      </c>
      <c r="H1298" s="2">
        <f>Googleadssales[[#This Row],[Conversions]]/Googleadssales[[#This Row],[Clicks]]</f>
        <v>9.0909090909090912E-2</v>
      </c>
      <c r="I1298" t="str">
        <f>VLOOKUP(Googleadssales[[#This Row],[Ad_ID]],'[1]pre processed data'!A:O,15,0)</f>
        <v>$1918</v>
      </c>
      <c r="J1298" s="3">
        <f>VLOOKUP(Googleadssales[[#This Row],[Ad_ID]],'[1]pre processed data'!A:Q,17,0)</f>
        <v>45607</v>
      </c>
      <c r="K1298" t="str">
        <f>VLOOKUP(Googleadssales[[#This Row],[Ad_ID]],'[1]pre processed data'!A:R,18,0)</f>
        <v>Bangaluru</v>
      </c>
      <c r="L1298" t="str">
        <f>VLOOKUP(Googleadssales[[#This Row],[Ad_ID]],'[1]pre processed data'!A:S,19,0)</f>
        <v>Tablet</v>
      </c>
      <c r="M1298" t="str">
        <f>VLOOKUP(Googleadssales[[#This Row],[Ad_ID]],'[1]pre processed data'!A:T,20,0)</f>
        <v>data analytics online</v>
      </c>
    </row>
    <row r="1299" spans="1:13" x14ac:dyDescent="0.3">
      <c r="A1299" t="s">
        <v>1312</v>
      </c>
      <c r="B1299" t="s">
        <v>14</v>
      </c>
      <c r="C1299" s="4">
        <f>VLOOKUP(Googleadssales[[#This Row],[Ad_ID]],'[1]pre processed data'!A:C,3,0)</f>
        <v>130</v>
      </c>
      <c r="D1299" s="4">
        <f>VLOOKUP(Googleadssales[[#This Row],[Ad_ID]],'[1]pre processed data'!A:E,5,0)</f>
        <v>4925</v>
      </c>
      <c r="E1299" s="5" t="str">
        <f>VLOOKUP(Googleadssales[[#This Row],[Ad_ID]],[1]!Table3[[Ad_ID]:[Cost-imputed]],7,0)</f>
        <v>$201.1</v>
      </c>
      <c r="F1299" s="4">
        <f>VLOOKUP(Googleadssales[[#This Row],[Ad_ID]],'[1]pre processed data'!A:I,9,0)</f>
        <v>26</v>
      </c>
      <c r="G1299" s="4">
        <f>VLOOKUP(Googleadssales[[#This Row],[Ad_ID]],'[1]pre processed data'!A:K,11,0)</f>
        <v>5</v>
      </c>
      <c r="H1299" s="2">
        <f>Googleadssales[[#This Row],[Conversions]]/Googleadssales[[#This Row],[Clicks]]</f>
        <v>3.8461538461538464E-2</v>
      </c>
      <c r="I1299" t="str">
        <f>VLOOKUP(Googleadssales[[#This Row],[Ad_ID]],'[1]pre processed data'!A:O,15,0)</f>
        <v>$1301</v>
      </c>
      <c r="J1299" s="3">
        <f>VLOOKUP(Googleadssales[[#This Row],[Ad_ID]],'[1]pre processed data'!A:Q,17,0)</f>
        <v>45611</v>
      </c>
      <c r="K1299" t="str">
        <f>VLOOKUP(Googleadssales[[#This Row],[Ad_ID]],'[1]pre processed data'!A:R,18,0)</f>
        <v>Hyderabad</v>
      </c>
      <c r="L1299" t="str">
        <f>VLOOKUP(Googleadssales[[#This Row],[Ad_ID]],'[1]pre processed data'!A:S,19,0)</f>
        <v>Tablet</v>
      </c>
      <c r="M1299" t="str">
        <f>VLOOKUP(Googleadssales[[#This Row],[Ad_ID]],'[1]pre processed data'!A:T,20,0)</f>
        <v>analytics for data</v>
      </c>
    </row>
    <row r="1300" spans="1:13" x14ac:dyDescent="0.3">
      <c r="A1300" t="s">
        <v>1313</v>
      </c>
      <c r="B1300" t="s">
        <v>14</v>
      </c>
      <c r="C1300" s="4">
        <f>VLOOKUP(Googleadssales[[#This Row],[Ad_ID]],'[1]pre processed data'!A:C,3,0)</f>
        <v>186</v>
      </c>
      <c r="D1300" s="4">
        <f>VLOOKUP(Googleadssales[[#This Row],[Ad_ID]],'[1]pre processed data'!A:E,5,0)</f>
        <v>3576</v>
      </c>
      <c r="E1300" s="5" t="str">
        <f>VLOOKUP(Googleadssales[[#This Row],[Ad_ID]],[1]!Table3[[Ad_ID]:[Cost-imputed]],7,0)</f>
        <v>$213.96</v>
      </c>
      <c r="F1300" s="4">
        <f>VLOOKUP(Googleadssales[[#This Row],[Ad_ID]],'[1]pre processed data'!A:I,9,0)</f>
        <v>26</v>
      </c>
      <c r="G1300" s="4">
        <f>VLOOKUP(Googleadssales[[#This Row],[Ad_ID]],'[1]pre processed data'!A:K,11,0)</f>
        <v>4</v>
      </c>
      <c r="H1300" s="2">
        <f>Googleadssales[[#This Row],[Conversions]]/Googleadssales[[#This Row],[Clicks]]</f>
        <v>2.1505376344086023E-2</v>
      </c>
      <c r="I1300" t="str">
        <f>VLOOKUP(Googleadssales[[#This Row],[Ad_ID]],'[1]pre processed data'!A:O,15,0)</f>
        <v>$1689</v>
      </c>
      <c r="J1300" s="3">
        <f>VLOOKUP(Googleadssales[[#This Row],[Ad_ID]],'[1]pre processed data'!A:Q,17,0)</f>
        <v>45598</v>
      </c>
      <c r="K1300" t="str">
        <f>VLOOKUP(Googleadssales[[#This Row],[Ad_ID]],'[1]pre processed data'!A:R,18,0)</f>
        <v>Chennai</v>
      </c>
      <c r="L1300" t="str">
        <f>VLOOKUP(Googleadssales[[#This Row],[Ad_ID]],'[1]pre processed data'!A:S,19,0)</f>
        <v>Tablet</v>
      </c>
      <c r="M1300" t="str">
        <f>VLOOKUP(Googleadssales[[#This Row],[Ad_ID]],'[1]pre processed data'!A:T,20,0)</f>
        <v>learn data analytics</v>
      </c>
    </row>
    <row r="1301" spans="1:13" x14ac:dyDescent="0.3">
      <c r="A1301" t="s">
        <v>1314</v>
      </c>
      <c r="B1301" t="s">
        <v>14</v>
      </c>
      <c r="C1301" s="4">
        <f>VLOOKUP(Googleadssales[[#This Row],[Ad_ID]],'[1]pre processed data'!A:C,3,0)</f>
        <v>146</v>
      </c>
      <c r="D1301" s="4">
        <f>VLOOKUP(Googleadssales[[#This Row],[Ad_ID]],'[1]pre processed data'!A:E,5,0)</f>
        <v>5831</v>
      </c>
      <c r="E1301" s="5" t="str">
        <f>VLOOKUP(Googleadssales[[#This Row],[Ad_ID]],[1]!Table3[[Ad_ID]:[Cost-imputed]],7,0)</f>
        <v>$203.07</v>
      </c>
      <c r="F1301" s="4">
        <f>VLOOKUP(Googleadssales[[#This Row],[Ad_ID]],'[1]pre processed data'!A:I,9,0)</f>
        <v>19</v>
      </c>
      <c r="G1301" s="4">
        <f>VLOOKUP(Googleadssales[[#This Row],[Ad_ID]],'[1]pre processed data'!A:K,11,0)</f>
        <v>5</v>
      </c>
      <c r="H1301" s="2">
        <f>Googleadssales[[#This Row],[Conversions]]/Googleadssales[[#This Row],[Clicks]]</f>
        <v>3.4246575342465752E-2</v>
      </c>
      <c r="I1301" t="str">
        <f>VLOOKUP(Googleadssales[[#This Row],[Ad_ID]],'[1]pre processed data'!A:O,15,0)</f>
        <v>$1216</v>
      </c>
      <c r="J1301" s="3">
        <f>VLOOKUP(Googleadssales[[#This Row],[Ad_ID]],'[1]pre processed data'!A:Q,17,0)</f>
        <v>45624</v>
      </c>
      <c r="K1301" t="str">
        <f>VLOOKUP(Googleadssales[[#This Row],[Ad_ID]],'[1]pre processed data'!A:R,18,0)</f>
        <v>Hyderabad</v>
      </c>
      <c r="L1301" t="str">
        <f>VLOOKUP(Googleadssales[[#This Row],[Ad_ID]],'[1]pre processed data'!A:S,19,0)</f>
        <v>Mobile</v>
      </c>
      <c r="M1301" t="str">
        <f>VLOOKUP(Googleadssales[[#This Row],[Ad_ID]],'[1]pre processed data'!A:T,20,0)</f>
        <v>analytics for data</v>
      </c>
    </row>
    <row r="1302" spans="1:13" x14ac:dyDescent="0.3">
      <c r="A1302" t="s">
        <v>1315</v>
      </c>
      <c r="B1302" t="s">
        <v>14</v>
      </c>
      <c r="C1302" s="4">
        <f>VLOOKUP(Googleadssales[[#This Row],[Ad_ID]],'[1]pre processed data'!A:C,3,0)</f>
        <v>199</v>
      </c>
      <c r="D1302" s="4">
        <f>VLOOKUP(Googleadssales[[#This Row],[Ad_ID]],'[1]pre processed data'!A:E,5,0)</f>
        <v>5147</v>
      </c>
      <c r="E1302" s="5" t="str">
        <f>VLOOKUP(Googleadssales[[#This Row],[Ad_ID]],[1]!Table3[[Ad_ID]:[Cost-imputed]],7,0)</f>
        <v>$203.08</v>
      </c>
      <c r="F1302" s="4">
        <f>VLOOKUP(Googleadssales[[#This Row],[Ad_ID]],'[1]pre processed data'!A:I,9,0)</f>
        <v>27</v>
      </c>
      <c r="G1302" s="4">
        <f>VLOOKUP(Googleadssales[[#This Row],[Ad_ID]],'[1]pre processed data'!A:K,11,0)</f>
        <v>10</v>
      </c>
      <c r="H1302" s="2">
        <f>Googleadssales[[#This Row],[Conversions]]/Googleadssales[[#This Row],[Clicks]]</f>
        <v>5.0251256281407038E-2</v>
      </c>
      <c r="I1302" t="str">
        <f>VLOOKUP(Googleadssales[[#This Row],[Ad_ID]],'[1]pre processed data'!A:O,15,0)</f>
        <v>$1126</v>
      </c>
      <c r="J1302" s="3">
        <f>VLOOKUP(Googleadssales[[#This Row],[Ad_ID]],'[1]pre processed data'!A:Q,17,0)</f>
        <v>45626</v>
      </c>
      <c r="K1302" t="str">
        <f>VLOOKUP(Googleadssales[[#This Row],[Ad_ID]],'[1]pre processed data'!A:R,18,0)</f>
        <v>Chennai</v>
      </c>
      <c r="L1302" t="str">
        <f>VLOOKUP(Googleadssales[[#This Row],[Ad_ID]],'[1]pre processed data'!A:S,19,0)</f>
        <v>Tablet</v>
      </c>
      <c r="M1302" t="str">
        <f>VLOOKUP(Googleadssales[[#This Row],[Ad_ID]],'[1]pre processed data'!A:T,20,0)</f>
        <v>data analytics course</v>
      </c>
    </row>
    <row r="1303" spans="1:13" x14ac:dyDescent="0.3">
      <c r="A1303" t="s">
        <v>1316</v>
      </c>
      <c r="B1303" t="s">
        <v>14</v>
      </c>
      <c r="C1303" s="4">
        <f>VLOOKUP(Googleadssales[[#This Row],[Ad_ID]],'[1]pre processed data'!A:C,3,0)</f>
        <v>94</v>
      </c>
      <c r="D1303" s="4">
        <f>VLOOKUP(Googleadssales[[#This Row],[Ad_ID]],'[1]pre processed data'!A:E,5,0)</f>
        <v>4242</v>
      </c>
      <c r="E1303" s="5" t="str">
        <f>VLOOKUP(Googleadssales[[#This Row],[Ad_ID]],[1]!Table3[[Ad_ID]:[Cost-imputed]],7,0)</f>
        <v>$208.78</v>
      </c>
      <c r="F1303" s="4">
        <f>VLOOKUP(Googleadssales[[#This Row],[Ad_ID]],'[1]pre processed data'!A:I,9,0)</f>
        <v>14</v>
      </c>
      <c r="G1303" s="4">
        <f>VLOOKUP(Googleadssales[[#This Row],[Ad_ID]],'[1]pre processed data'!A:K,11,0)</f>
        <v>5</v>
      </c>
      <c r="H1303" s="2">
        <f>Googleadssales[[#This Row],[Conversions]]/Googleadssales[[#This Row],[Clicks]]</f>
        <v>5.3191489361702128E-2</v>
      </c>
      <c r="I1303" t="str">
        <f>VLOOKUP(Googleadssales[[#This Row],[Ad_ID]],'[1]pre processed data'!A:O,15,0)</f>
        <v>$1122</v>
      </c>
      <c r="J1303" s="3">
        <f>VLOOKUP(Googleadssales[[#This Row],[Ad_ID]],'[1]pre processed data'!A:Q,17,0)</f>
        <v>45613</v>
      </c>
      <c r="K1303" t="str">
        <f>VLOOKUP(Googleadssales[[#This Row],[Ad_ID]],'[1]pre processed data'!A:R,18,0)</f>
        <v>Hyderabad</v>
      </c>
      <c r="L1303" t="str">
        <f>VLOOKUP(Googleadssales[[#This Row],[Ad_ID]],'[1]pre processed data'!A:S,19,0)</f>
        <v>Tablet</v>
      </c>
      <c r="M1303" t="str">
        <f>VLOOKUP(Googleadssales[[#This Row],[Ad_ID]],'[1]pre processed data'!A:T,20,0)</f>
        <v>learn data analytics</v>
      </c>
    </row>
    <row r="1304" spans="1:13" x14ac:dyDescent="0.3">
      <c r="A1304" t="s">
        <v>1317</v>
      </c>
      <c r="B1304" t="s">
        <v>18</v>
      </c>
      <c r="C1304" s="4">
        <f>VLOOKUP(Googleadssales[[#This Row],[Ad_ID]],'[1]pre processed data'!A:C,3,0)</f>
        <v>119</v>
      </c>
      <c r="D1304" s="4">
        <f>VLOOKUP(Googleadssales[[#This Row],[Ad_ID]],'[1]pre processed data'!A:E,5,0)</f>
        <v>5530</v>
      </c>
      <c r="E1304" s="5" t="str">
        <f>VLOOKUP(Googleadssales[[#This Row],[Ad_ID]],[1]!Table3[[Ad_ID]:[Cost-imputed]],7,0)</f>
        <v>$205.75</v>
      </c>
      <c r="F1304" s="4">
        <f>VLOOKUP(Googleadssales[[#This Row],[Ad_ID]],'[1]pre processed data'!A:I,9,0)</f>
        <v>25</v>
      </c>
      <c r="G1304" s="4">
        <f>VLOOKUP(Googleadssales[[#This Row],[Ad_ID]],'[1]pre processed data'!A:K,11,0)</f>
        <v>9</v>
      </c>
      <c r="H1304" s="2">
        <f>Googleadssales[[#This Row],[Conversions]]/Googleadssales[[#This Row],[Clicks]]</f>
        <v>7.5630252100840331E-2</v>
      </c>
      <c r="I1304" t="str">
        <f>VLOOKUP(Googleadssales[[#This Row],[Ad_ID]],'[1]pre processed data'!A:O,15,0)</f>
        <v>$1725</v>
      </c>
      <c r="J1304" s="3">
        <f>VLOOKUP(Googleadssales[[#This Row],[Ad_ID]],'[1]pre processed data'!A:Q,17,0)</f>
        <v>45610</v>
      </c>
      <c r="K1304" t="str">
        <f>VLOOKUP(Googleadssales[[#This Row],[Ad_ID]],'[1]pre processed data'!A:R,18,0)</f>
        <v>Hyderabad</v>
      </c>
      <c r="L1304" t="str">
        <f>VLOOKUP(Googleadssales[[#This Row],[Ad_ID]],'[1]pre processed data'!A:S,19,0)</f>
        <v>Mobile</v>
      </c>
      <c r="M1304" t="str">
        <f>VLOOKUP(Googleadssales[[#This Row],[Ad_ID]],'[1]pre processed data'!A:T,20,0)</f>
        <v>analytics for data</v>
      </c>
    </row>
    <row r="1305" spans="1:13" x14ac:dyDescent="0.3">
      <c r="A1305" t="s">
        <v>1318</v>
      </c>
      <c r="B1305" t="s">
        <v>18</v>
      </c>
      <c r="C1305" s="4">
        <f>VLOOKUP(Googleadssales[[#This Row],[Ad_ID]],'[1]pre processed data'!A:C,3,0)</f>
        <v>168</v>
      </c>
      <c r="D1305" s="4">
        <f>VLOOKUP(Googleadssales[[#This Row],[Ad_ID]],'[1]pre processed data'!A:E,5,0)</f>
        <v>4614</v>
      </c>
      <c r="E1305" s="5" t="str">
        <f>VLOOKUP(Googleadssales[[#This Row],[Ad_ID]],[1]!Table3[[Ad_ID]:[Cost-imputed]],7,0)</f>
        <v>$241.24</v>
      </c>
      <c r="F1305" s="4">
        <f>VLOOKUP(Googleadssales[[#This Row],[Ad_ID]],'[1]pre processed data'!A:I,9,0)</f>
        <v>28</v>
      </c>
      <c r="G1305" s="4">
        <f>VLOOKUP(Googleadssales[[#This Row],[Ad_ID]],'[1]pre processed data'!A:K,11,0)</f>
        <v>9</v>
      </c>
      <c r="H1305" s="2">
        <f>Googleadssales[[#This Row],[Conversions]]/Googleadssales[[#This Row],[Clicks]]</f>
        <v>5.3571428571428568E-2</v>
      </c>
      <c r="I1305" t="str">
        <f>VLOOKUP(Googleadssales[[#This Row],[Ad_ID]],'[1]pre processed data'!A:O,15,0)</f>
        <v>$1307</v>
      </c>
      <c r="J1305" s="3">
        <f>VLOOKUP(Googleadssales[[#This Row],[Ad_ID]],'[1]pre processed data'!A:Q,17,0)</f>
        <v>45597</v>
      </c>
      <c r="K1305" t="str">
        <f>VLOOKUP(Googleadssales[[#This Row],[Ad_ID]],'[1]pre processed data'!A:R,18,0)</f>
        <v>Hyderabad</v>
      </c>
      <c r="L1305" t="str">
        <f>VLOOKUP(Googleadssales[[#This Row],[Ad_ID]],'[1]pre processed data'!A:S,19,0)</f>
        <v>Mobile</v>
      </c>
      <c r="M1305" t="str">
        <f>VLOOKUP(Googleadssales[[#This Row],[Ad_ID]],'[1]pre processed data'!A:T,20,0)</f>
        <v>online data analytic</v>
      </c>
    </row>
    <row r="1306" spans="1:13" x14ac:dyDescent="0.3">
      <c r="A1306" t="s">
        <v>1319</v>
      </c>
      <c r="B1306" t="s">
        <v>14</v>
      </c>
      <c r="C1306" s="4">
        <f>VLOOKUP(Googleadssales[[#This Row],[Ad_ID]],'[1]pre processed data'!A:C,3,0)</f>
        <v>117</v>
      </c>
      <c r="D1306" s="4">
        <f>VLOOKUP(Googleadssales[[#This Row],[Ad_ID]],'[1]pre processed data'!A:E,5,0)</f>
        <v>5016</v>
      </c>
      <c r="E1306" s="5" t="str">
        <f>VLOOKUP(Googleadssales[[#This Row],[Ad_ID]],[1]!Table3[[Ad_ID]:[Cost-imputed]],7,0)</f>
        <v>$249.38</v>
      </c>
      <c r="F1306" s="4">
        <f>VLOOKUP(Googleadssales[[#This Row],[Ad_ID]],'[1]pre processed data'!A:I,9,0)</f>
        <v>10</v>
      </c>
      <c r="G1306" s="4">
        <f>VLOOKUP(Googleadssales[[#This Row],[Ad_ID]],'[1]pre processed data'!A:K,11,0)</f>
        <v>9</v>
      </c>
      <c r="H1306" s="2">
        <f>Googleadssales[[#This Row],[Conversions]]/Googleadssales[[#This Row],[Clicks]]</f>
        <v>7.6923076923076927E-2</v>
      </c>
      <c r="I1306" t="str">
        <f>VLOOKUP(Googleadssales[[#This Row],[Ad_ID]],'[1]pre processed data'!A:O,15,0)</f>
        <v>$1832</v>
      </c>
      <c r="J1306" s="3">
        <f>VLOOKUP(Googleadssales[[#This Row],[Ad_ID]],'[1]pre processed data'!A:Q,17,0)</f>
        <v>45598</v>
      </c>
      <c r="K1306" t="str">
        <f>VLOOKUP(Googleadssales[[#This Row],[Ad_ID]],'[1]pre processed data'!A:R,18,0)</f>
        <v>Bangaluru</v>
      </c>
      <c r="L1306" t="str">
        <f>VLOOKUP(Googleadssales[[#This Row],[Ad_ID]],'[1]pre processed data'!A:S,19,0)</f>
        <v>Tablet</v>
      </c>
      <c r="M1306" t="str">
        <f>VLOOKUP(Googleadssales[[#This Row],[Ad_ID]],'[1]pre processed data'!A:T,20,0)</f>
        <v>learn data analytics</v>
      </c>
    </row>
    <row r="1307" spans="1:13" x14ac:dyDescent="0.3">
      <c r="A1307" t="s">
        <v>1320</v>
      </c>
      <c r="B1307" t="s">
        <v>18</v>
      </c>
      <c r="C1307" s="4">
        <f>VLOOKUP(Googleadssales[[#This Row],[Ad_ID]],'[1]pre processed data'!A:C,3,0)</f>
        <v>156</v>
      </c>
      <c r="D1307" s="4">
        <f>VLOOKUP(Googleadssales[[#This Row],[Ad_ID]],'[1]pre processed data'!A:E,5,0)</f>
        <v>5072</v>
      </c>
      <c r="E1307" s="5" t="str">
        <f>VLOOKUP(Googleadssales[[#This Row],[Ad_ID]],[1]!Table3[[Ad_ID]:[Cost-imputed]],7,0)</f>
        <v>$249.37</v>
      </c>
      <c r="F1307" s="4">
        <f>VLOOKUP(Googleadssales[[#This Row],[Ad_ID]],'[1]pre processed data'!A:I,9,0)</f>
        <v>18</v>
      </c>
      <c r="G1307" s="4">
        <f>VLOOKUP(Googleadssales[[#This Row],[Ad_ID]],'[1]pre processed data'!A:K,11,0)</f>
        <v>3</v>
      </c>
      <c r="H1307" s="2">
        <f>Googleadssales[[#This Row],[Conversions]]/Googleadssales[[#This Row],[Clicks]]</f>
        <v>1.9230769230769232E-2</v>
      </c>
      <c r="I1307" t="str">
        <f>VLOOKUP(Googleadssales[[#This Row],[Ad_ID]],'[1]pre processed data'!A:O,15,0)</f>
        <v>$1701</v>
      </c>
      <c r="J1307" s="3">
        <f>VLOOKUP(Googleadssales[[#This Row],[Ad_ID]],'[1]pre processed data'!A:Q,17,0)</f>
        <v>45608</v>
      </c>
      <c r="K1307" t="str">
        <f>VLOOKUP(Googleadssales[[#This Row],[Ad_ID]],'[1]pre processed data'!A:R,18,0)</f>
        <v>Hyderabad</v>
      </c>
      <c r="L1307" t="str">
        <f>VLOOKUP(Googleadssales[[#This Row],[Ad_ID]],'[1]pre processed data'!A:S,19,0)</f>
        <v>Mobile</v>
      </c>
      <c r="M1307" t="str">
        <f>VLOOKUP(Googleadssales[[#This Row],[Ad_ID]],'[1]pre processed data'!A:T,20,0)</f>
        <v>learn data analytics</v>
      </c>
    </row>
    <row r="1308" spans="1:13" x14ac:dyDescent="0.3">
      <c r="A1308" t="s">
        <v>1321</v>
      </c>
      <c r="B1308" t="s">
        <v>14</v>
      </c>
      <c r="C1308" s="4">
        <f>VLOOKUP(Googleadssales[[#This Row],[Ad_ID]],'[1]pre processed data'!A:C,3,0)</f>
        <v>151</v>
      </c>
      <c r="D1308" s="4">
        <f>VLOOKUP(Googleadssales[[#This Row],[Ad_ID]],'[1]pre processed data'!A:E,5,0)</f>
        <v>4805</v>
      </c>
      <c r="E1308" s="5" t="str">
        <f>VLOOKUP(Googleadssales[[#This Row],[Ad_ID]],[1]!Table3[[Ad_ID]:[Cost-imputed]],7,0)</f>
        <v>$241.95</v>
      </c>
      <c r="F1308" s="4">
        <f>VLOOKUP(Googleadssales[[#This Row],[Ad_ID]],'[1]pre processed data'!A:I,9,0)</f>
        <v>22</v>
      </c>
      <c r="G1308" s="4">
        <f>VLOOKUP(Googleadssales[[#This Row],[Ad_ID]],'[1]pre processed data'!A:K,11,0)</f>
        <v>3</v>
      </c>
      <c r="H1308" s="2">
        <f>Googleadssales[[#This Row],[Conversions]]/Googleadssales[[#This Row],[Clicks]]</f>
        <v>1.9867549668874173E-2</v>
      </c>
      <c r="I1308" t="str">
        <f>VLOOKUP(Googleadssales[[#This Row],[Ad_ID]],'[1]pre processed data'!A:O,15,0)</f>
        <v>$1571</v>
      </c>
      <c r="J1308" s="3">
        <f>VLOOKUP(Googleadssales[[#This Row],[Ad_ID]],'[1]pre processed data'!A:Q,17,0)</f>
        <v>45599</v>
      </c>
      <c r="K1308" t="str">
        <f>VLOOKUP(Googleadssales[[#This Row],[Ad_ID]],'[1]pre processed data'!A:R,18,0)</f>
        <v>Chennai</v>
      </c>
      <c r="L1308" t="str">
        <f>VLOOKUP(Googleadssales[[#This Row],[Ad_ID]],'[1]pre processed data'!A:S,19,0)</f>
        <v>Tablet</v>
      </c>
      <c r="M1308" t="str">
        <f>VLOOKUP(Googleadssales[[#This Row],[Ad_ID]],'[1]pre processed data'!A:T,20,0)</f>
        <v>online data analytic</v>
      </c>
    </row>
    <row r="1309" spans="1:13" x14ac:dyDescent="0.3">
      <c r="A1309" t="s">
        <v>1322</v>
      </c>
      <c r="B1309" t="s">
        <v>18</v>
      </c>
      <c r="C1309" s="4">
        <f>VLOOKUP(Googleadssales[[#This Row],[Ad_ID]],'[1]pre processed data'!A:C,3,0)</f>
        <v>133</v>
      </c>
      <c r="D1309" s="4">
        <f>VLOOKUP(Googleadssales[[#This Row],[Ad_ID]],'[1]pre processed data'!A:E,5,0)</f>
        <v>4474</v>
      </c>
      <c r="E1309" s="5" t="str">
        <f>VLOOKUP(Googleadssales[[#This Row],[Ad_ID]],[1]!Table3[[Ad_ID]:[Cost-imputed]],7,0)</f>
        <v>$198.99</v>
      </c>
      <c r="F1309" s="4">
        <f>VLOOKUP(Googleadssales[[#This Row],[Ad_ID]],'[1]pre processed data'!A:I,9,0)</f>
        <v>10</v>
      </c>
      <c r="G1309" s="4">
        <f>VLOOKUP(Googleadssales[[#This Row],[Ad_ID]],'[1]pre processed data'!A:K,11,0)</f>
        <v>6.542834267413931</v>
      </c>
      <c r="H1309" s="2">
        <f>Googleadssales[[#This Row],[Conversions]]/Googleadssales[[#This Row],[Clicks]]</f>
        <v>4.9194242612134821E-2</v>
      </c>
      <c r="I1309" t="str">
        <f>VLOOKUP(Googleadssales[[#This Row],[Ad_ID]],'[1]pre processed data'!A:O,15,0)</f>
        <v>$1394</v>
      </c>
      <c r="J1309" s="3">
        <f>VLOOKUP(Googleadssales[[#This Row],[Ad_ID]],'[1]pre processed data'!A:Q,17,0)</f>
        <v>45599</v>
      </c>
      <c r="K1309" t="str">
        <f>VLOOKUP(Googleadssales[[#This Row],[Ad_ID]],'[1]pre processed data'!A:R,18,0)</f>
        <v>Bangaluru</v>
      </c>
      <c r="L1309" t="str">
        <f>VLOOKUP(Googleadssales[[#This Row],[Ad_ID]],'[1]pre processed data'!A:S,19,0)</f>
        <v>Mobile</v>
      </c>
      <c r="M1309" t="str">
        <f>VLOOKUP(Googleadssales[[#This Row],[Ad_ID]],'[1]pre processed data'!A:T,20,0)</f>
        <v>online data analytic</v>
      </c>
    </row>
    <row r="1310" spans="1:13" x14ac:dyDescent="0.3">
      <c r="A1310" t="s">
        <v>1323</v>
      </c>
      <c r="B1310" t="s">
        <v>14</v>
      </c>
      <c r="C1310" s="4">
        <f>VLOOKUP(Googleadssales[[#This Row],[Ad_ID]],'[1]pre processed data'!A:C,3,0)</f>
        <v>105</v>
      </c>
      <c r="D1310" s="4">
        <f>VLOOKUP(Googleadssales[[#This Row],[Ad_ID]],'[1]pre processed data'!A:E,5,0)</f>
        <v>5151</v>
      </c>
      <c r="E1310" s="5" t="str">
        <f>VLOOKUP(Googleadssales[[#This Row],[Ad_ID]],[1]!Table3[[Ad_ID]:[Cost-imputed]],7,0)</f>
        <v>$188.18</v>
      </c>
      <c r="F1310" s="4">
        <f>VLOOKUP(Googleadssales[[#This Row],[Ad_ID]],'[1]pre processed data'!A:I,9,0)</f>
        <v>14</v>
      </c>
      <c r="G1310" s="4">
        <f>VLOOKUP(Googleadssales[[#This Row],[Ad_ID]],'[1]pre processed data'!A:K,11,0)</f>
        <v>9</v>
      </c>
      <c r="H1310" s="2">
        <f>Googleadssales[[#This Row],[Conversions]]/Googleadssales[[#This Row],[Clicks]]</f>
        <v>8.5714285714285715E-2</v>
      </c>
      <c r="I1310" t="str">
        <f>VLOOKUP(Googleadssales[[#This Row],[Ad_ID]],'[1]pre processed data'!A:O,15,0)</f>
        <v>$1595</v>
      </c>
      <c r="J1310" s="3">
        <f>VLOOKUP(Googleadssales[[#This Row],[Ad_ID]],'[1]pre processed data'!A:Q,17,0)</f>
        <v>45599</v>
      </c>
      <c r="K1310" t="str">
        <f>VLOOKUP(Googleadssales[[#This Row],[Ad_ID]],'[1]pre processed data'!A:R,18,0)</f>
        <v>Chennai</v>
      </c>
      <c r="L1310" t="str">
        <f>VLOOKUP(Googleadssales[[#This Row],[Ad_ID]],'[1]pre processed data'!A:S,19,0)</f>
        <v>Tablet</v>
      </c>
      <c r="M1310" t="str">
        <f>VLOOKUP(Googleadssales[[#This Row],[Ad_ID]],'[1]pre processed data'!A:T,20,0)</f>
        <v>online data analytic</v>
      </c>
    </row>
    <row r="1311" spans="1:13" x14ac:dyDescent="0.3">
      <c r="A1311" t="s">
        <v>1324</v>
      </c>
      <c r="B1311" t="s">
        <v>14</v>
      </c>
      <c r="C1311" s="4">
        <f>VLOOKUP(Googleadssales[[#This Row],[Ad_ID]],'[1]pre processed data'!A:C,3,0)</f>
        <v>98</v>
      </c>
      <c r="D1311" s="4">
        <f>VLOOKUP(Googleadssales[[#This Row],[Ad_ID]],'[1]pre processed data'!A:E,5,0)</f>
        <v>4515</v>
      </c>
      <c r="E1311" s="5" t="str">
        <f>VLOOKUP(Googleadssales[[#This Row],[Ad_ID]],[1]!Table3[[Ad_ID]:[Cost-imputed]],7,0)</f>
        <v>$219.39</v>
      </c>
      <c r="F1311" s="4">
        <f>VLOOKUP(Googleadssales[[#This Row],[Ad_ID]],'[1]pre processed data'!A:I,9,0)</f>
        <v>12</v>
      </c>
      <c r="G1311" s="4">
        <f>VLOOKUP(Googleadssales[[#This Row],[Ad_ID]],'[1]pre processed data'!A:K,11,0)</f>
        <v>7</v>
      </c>
      <c r="H1311" s="2">
        <f>Googleadssales[[#This Row],[Conversions]]/Googleadssales[[#This Row],[Clicks]]</f>
        <v>7.1428571428571425E-2</v>
      </c>
      <c r="I1311" t="str">
        <f>VLOOKUP(Googleadssales[[#This Row],[Ad_ID]],'[1]pre processed data'!A:O,15,0)</f>
        <v>$1805</v>
      </c>
      <c r="J1311" s="3">
        <f>VLOOKUP(Googleadssales[[#This Row],[Ad_ID]],'[1]pre processed data'!A:Q,17,0)</f>
        <v>45603</v>
      </c>
      <c r="K1311" t="str">
        <f>VLOOKUP(Googleadssales[[#This Row],[Ad_ID]],'[1]pre processed data'!A:R,18,0)</f>
        <v>Bangaluru</v>
      </c>
      <c r="L1311" t="str">
        <f>VLOOKUP(Googleadssales[[#This Row],[Ad_ID]],'[1]pre processed data'!A:S,19,0)</f>
        <v>Desktop</v>
      </c>
      <c r="M1311" t="str">
        <f>VLOOKUP(Googleadssales[[#This Row],[Ad_ID]],'[1]pre processed data'!A:T,20,0)</f>
        <v>learn data analytics</v>
      </c>
    </row>
    <row r="1312" spans="1:13" x14ac:dyDescent="0.3">
      <c r="A1312" t="s">
        <v>1325</v>
      </c>
      <c r="B1312" t="s">
        <v>14</v>
      </c>
      <c r="C1312" s="4">
        <f>VLOOKUP(Googleadssales[[#This Row],[Ad_ID]],'[1]pre processed data'!A:C,3,0)</f>
        <v>93</v>
      </c>
      <c r="D1312" s="4">
        <f>VLOOKUP(Googleadssales[[#This Row],[Ad_ID]],'[1]pre processed data'!A:E,5,0)</f>
        <v>4269</v>
      </c>
      <c r="E1312" s="5" t="str">
        <f>VLOOKUP(Googleadssales[[#This Row],[Ad_ID]],[1]!Table3[[Ad_ID]:[Cost-imputed]],7,0)</f>
        <v>$247.76</v>
      </c>
      <c r="F1312" s="4">
        <f>VLOOKUP(Googleadssales[[#This Row],[Ad_ID]],'[1]pre processed data'!A:I,9,0)</f>
        <v>21</v>
      </c>
      <c r="G1312" s="4">
        <f>VLOOKUP(Googleadssales[[#This Row],[Ad_ID]],'[1]pre processed data'!A:K,11,0)</f>
        <v>8</v>
      </c>
      <c r="H1312" s="2">
        <f>Googleadssales[[#This Row],[Conversions]]/Googleadssales[[#This Row],[Clicks]]</f>
        <v>8.6021505376344093E-2</v>
      </c>
      <c r="I1312" t="str">
        <f>VLOOKUP(Googleadssales[[#This Row],[Ad_ID]],'[1]pre processed data'!A:O,15,0)</f>
        <v>$1543</v>
      </c>
      <c r="J1312" s="3">
        <f>VLOOKUP(Googleadssales[[#This Row],[Ad_ID]],'[1]pre processed data'!A:Q,17,0)</f>
        <v>45615</v>
      </c>
      <c r="K1312" t="str">
        <f>VLOOKUP(Googleadssales[[#This Row],[Ad_ID]],'[1]pre processed data'!A:R,18,0)</f>
        <v>Chennai</v>
      </c>
      <c r="L1312" t="str">
        <f>VLOOKUP(Googleadssales[[#This Row],[Ad_ID]],'[1]pre processed data'!A:S,19,0)</f>
        <v>Tablet</v>
      </c>
      <c r="M1312" t="str">
        <f>VLOOKUP(Googleadssales[[#This Row],[Ad_ID]],'[1]pre processed data'!A:T,20,0)</f>
        <v>learn data analytics</v>
      </c>
    </row>
    <row r="1313" spans="1:13" x14ac:dyDescent="0.3">
      <c r="A1313" t="s">
        <v>1326</v>
      </c>
      <c r="B1313" t="s">
        <v>14</v>
      </c>
      <c r="C1313" s="4">
        <f>VLOOKUP(Googleadssales[[#This Row],[Ad_ID]],'[1]pre processed data'!A:C,3,0)</f>
        <v>165</v>
      </c>
      <c r="D1313" s="4">
        <f>VLOOKUP(Googleadssales[[#This Row],[Ad_ID]],'[1]pre processed data'!A:E,5,0)</f>
        <v>3759</v>
      </c>
      <c r="E1313" s="5" t="str">
        <f>VLOOKUP(Googleadssales[[#This Row],[Ad_ID]],[1]!Table3[[Ad_ID]:[Cost-imputed]],7,0)</f>
        <v>$231.62</v>
      </c>
      <c r="F1313" s="4">
        <f>VLOOKUP(Googleadssales[[#This Row],[Ad_ID]],'[1]pre processed data'!A:I,9,0)</f>
        <v>23</v>
      </c>
      <c r="G1313" s="4">
        <f>VLOOKUP(Googleadssales[[#This Row],[Ad_ID]],'[1]pre processed data'!A:K,11,0)</f>
        <v>6.5393258426966296</v>
      </c>
      <c r="H1313" s="2">
        <f>Googleadssales[[#This Row],[Conversions]]/Googleadssales[[#This Row],[Clicks]]</f>
        <v>3.9632277834525026E-2</v>
      </c>
      <c r="I1313" t="str">
        <f>VLOOKUP(Googleadssales[[#This Row],[Ad_ID]],'[1]pre processed data'!A:O,15,0)</f>
        <v>$1052</v>
      </c>
      <c r="J1313" s="3">
        <f>VLOOKUP(Googleadssales[[#This Row],[Ad_ID]],'[1]pre processed data'!A:Q,17,0)</f>
        <v>45624</v>
      </c>
      <c r="K1313" t="str">
        <f>VLOOKUP(Googleadssales[[#This Row],[Ad_ID]],'[1]pre processed data'!A:R,18,0)</f>
        <v>Chennai</v>
      </c>
      <c r="L1313" t="str">
        <f>VLOOKUP(Googleadssales[[#This Row],[Ad_ID]],'[1]pre processed data'!A:S,19,0)</f>
        <v>Mobile</v>
      </c>
      <c r="M1313" t="str">
        <f>VLOOKUP(Googleadssales[[#This Row],[Ad_ID]],'[1]pre processed data'!A:T,20,0)</f>
        <v>analytics for data</v>
      </c>
    </row>
    <row r="1314" spans="1:13" x14ac:dyDescent="0.3">
      <c r="A1314" t="s">
        <v>1327</v>
      </c>
      <c r="B1314" t="s">
        <v>14</v>
      </c>
      <c r="C1314" s="4">
        <f>VLOOKUP(Googleadssales[[#This Row],[Ad_ID]],'[1]pre processed data'!A:C,3,0)</f>
        <v>156</v>
      </c>
      <c r="D1314" s="4">
        <f>VLOOKUP(Googleadssales[[#This Row],[Ad_ID]],'[1]pre processed data'!A:E,5,0)</f>
        <v>4476</v>
      </c>
      <c r="E1314" s="5" t="str">
        <f>VLOOKUP(Googleadssales[[#This Row],[Ad_ID]],[1]!Table3[[Ad_ID]:[Cost-imputed]],7,0)</f>
        <v>$186.68</v>
      </c>
      <c r="F1314" s="4">
        <f>VLOOKUP(Googleadssales[[#This Row],[Ad_ID]],'[1]pre processed data'!A:I,9,0)</f>
        <v>17</v>
      </c>
      <c r="G1314" s="4">
        <f>VLOOKUP(Googleadssales[[#This Row],[Ad_ID]],'[1]pre processed data'!A:K,11,0)</f>
        <v>10</v>
      </c>
      <c r="H1314" s="2">
        <f>Googleadssales[[#This Row],[Conversions]]/Googleadssales[[#This Row],[Clicks]]</f>
        <v>6.4102564102564097E-2</v>
      </c>
      <c r="I1314" t="str">
        <f>VLOOKUP(Googleadssales[[#This Row],[Ad_ID]],'[1]pre processed data'!A:O,15,0)</f>
        <v>$1372</v>
      </c>
      <c r="J1314" s="3">
        <f>VLOOKUP(Googleadssales[[#This Row],[Ad_ID]],'[1]pre processed data'!A:Q,17,0)</f>
        <v>45609</v>
      </c>
      <c r="K1314" t="str">
        <f>VLOOKUP(Googleadssales[[#This Row],[Ad_ID]],'[1]pre processed data'!A:R,18,0)</f>
        <v>Bangaluru</v>
      </c>
      <c r="L1314" t="str">
        <f>VLOOKUP(Googleadssales[[#This Row],[Ad_ID]],'[1]pre processed data'!A:S,19,0)</f>
        <v>Tablet</v>
      </c>
      <c r="M1314" t="str">
        <f>VLOOKUP(Googleadssales[[#This Row],[Ad_ID]],'[1]pre processed data'!A:T,20,0)</f>
        <v>analytics for data</v>
      </c>
    </row>
    <row r="1315" spans="1:13" x14ac:dyDescent="0.3">
      <c r="A1315" t="s">
        <v>1328</v>
      </c>
      <c r="B1315" t="s">
        <v>14</v>
      </c>
      <c r="C1315" s="4">
        <f>VLOOKUP(Googleadssales[[#This Row],[Ad_ID]],'[1]pre processed data'!A:C,3,0)</f>
        <v>166</v>
      </c>
      <c r="D1315" s="4">
        <f>VLOOKUP(Googleadssales[[#This Row],[Ad_ID]],'[1]pre processed data'!A:E,5,0)</f>
        <v>5749</v>
      </c>
      <c r="E1315" s="5" t="str">
        <f>VLOOKUP(Googleadssales[[#This Row],[Ad_ID]],[1]!Table3[[Ad_ID]:[Cost-imputed]],7,0)</f>
        <v>$236.52</v>
      </c>
      <c r="F1315" s="4">
        <f>VLOOKUP(Googleadssales[[#This Row],[Ad_ID]],'[1]pre processed data'!A:I,9,0)</f>
        <v>11</v>
      </c>
      <c r="G1315" s="4">
        <f>VLOOKUP(Googleadssales[[#This Row],[Ad_ID]],'[1]pre processed data'!A:K,11,0)</f>
        <v>5</v>
      </c>
      <c r="H1315" s="2">
        <f>Googleadssales[[#This Row],[Conversions]]/Googleadssales[[#This Row],[Clicks]]</f>
        <v>3.0120481927710843E-2</v>
      </c>
      <c r="I1315" t="str">
        <f>VLOOKUP(Googleadssales[[#This Row],[Ad_ID]],'[1]pre processed data'!A:O,15,0)</f>
        <v>$1780</v>
      </c>
      <c r="J1315" s="3">
        <f>VLOOKUP(Googleadssales[[#This Row],[Ad_ID]],'[1]pre processed data'!A:Q,17,0)</f>
        <v>45611</v>
      </c>
      <c r="K1315" t="str">
        <f>VLOOKUP(Googleadssales[[#This Row],[Ad_ID]],'[1]pre processed data'!A:R,18,0)</f>
        <v>Hyderabad</v>
      </c>
      <c r="L1315" t="str">
        <f>VLOOKUP(Googleadssales[[#This Row],[Ad_ID]],'[1]pre processed data'!A:S,19,0)</f>
        <v>Desktop</v>
      </c>
      <c r="M1315" t="str">
        <f>VLOOKUP(Googleadssales[[#This Row],[Ad_ID]],'[1]pre processed data'!A:T,20,0)</f>
        <v>analytics for data</v>
      </c>
    </row>
    <row r="1316" spans="1:13" x14ac:dyDescent="0.3">
      <c r="A1316" t="s">
        <v>1329</v>
      </c>
      <c r="B1316" t="s">
        <v>14</v>
      </c>
      <c r="C1316" s="4">
        <f>VLOOKUP(Googleadssales[[#This Row],[Ad_ID]],'[1]pre processed data'!A:C,3,0)</f>
        <v>134</v>
      </c>
      <c r="D1316" s="4">
        <f>VLOOKUP(Googleadssales[[#This Row],[Ad_ID]],'[1]pre processed data'!A:E,5,0)</f>
        <v>5166</v>
      </c>
      <c r="E1316" s="5" t="str">
        <f>VLOOKUP(Googleadssales[[#This Row],[Ad_ID]],[1]!Table3[[Ad_ID]:[Cost-imputed]],7,0)</f>
        <v>$191.92</v>
      </c>
      <c r="F1316" s="4">
        <f>VLOOKUP(Googleadssales[[#This Row],[Ad_ID]],'[1]pre processed data'!A:I,9,0)</f>
        <v>10</v>
      </c>
      <c r="G1316" s="4">
        <f>VLOOKUP(Googleadssales[[#This Row],[Ad_ID]],'[1]pre processed data'!A:K,11,0)</f>
        <v>3</v>
      </c>
      <c r="H1316" s="2">
        <f>Googleadssales[[#This Row],[Conversions]]/Googleadssales[[#This Row],[Clicks]]</f>
        <v>2.2388059701492536E-2</v>
      </c>
      <c r="I1316" t="str">
        <f>VLOOKUP(Googleadssales[[#This Row],[Ad_ID]],'[1]pre processed data'!A:O,15,0)</f>
        <v>$1526</v>
      </c>
      <c r="J1316" s="3">
        <f>VLOOKUP(Googleadssales[[#This Row],[Ad_ID]],'[1]pre processed data'!A:Q,17,0)</f>
        <v>45600</v>
      </c>
      <c r="K1316" t="str">
        <f>VLOOKUP(Googleadssales[[#This Row],[Ad_ID]],'[1]pre processed data'!A:R,18,0)</f>
        <v>Bangaluru</v>
      </c>
      <c r="L1316" t="str">
        <f>VLOOKUP(Googleadssales[[#This Row],[Ad_ID]],'[1]pre processed data'!A:S,19,0)</f>
        <v>Mobile</v>
      </c>
      <c r="M1316" t="str">
        <f>VLOOKUP(Googleadssales[[#This Row],[Ad_ID]],'[1]pre processed data'!A:T,20,0)</f>
        <v>learn data analytics</v>
      </c>
    </row>
    <row r="1317" spans="1:13" x14ac:dyDescent="0.3">
      <c r="A1317" t="s">
        <v>1330</v>
      </c>
      <c r="B1317" t="s">
        <v>14</v>
      </c>
      <c r="C1317" s="4">
        <f>VLOOKUP(Googleadssales[[#This Row],[Ad_ID]],'[1]pre processed data'!A:C,3,0)</f>
        <v>103</v>
      </c>
      <c r="D1317" s="4">
        <f>VLOOKUP(Googleadssales[[#This Row],[Ad_ID]],'[1]pre processed data'!A:E,5,0)</f>
        <v>3687</v>
      </c>
      <c r="E1317" s="5" t="str">
        <f>VLOOKUP(Googleadssales[[#This Row],[Ad_ID]],[1]!Table3[[Ad_ID]:[Cost-imputed]],7,0)</f>
        <v>$194.73</v>
      </c>
      <c r="F1317" s="4">
        <f>VLOOKUP(Googleadssales[[#This Row],[Ad_ID]],'[1]pre processed data'!A:I,9,0)</f>
        <v>27</v>
      </c>
      <c r="G1317" s="4">
        <f>VLOOKUP(Googleadssales[[#This Row],[Ad_ID]],'[1]pre processed data'!A:K,11,0)</f>
        <v>4</v>
      </c>
      <c r="H1317" s="2">
        <f>Googleadssales[[#This Row],[Conversions]]/Googleadssales[[#This Row],[Clicks]]</f>
        <v>3.8834951456310676E-2</v>
      </c>
      <c r="I1317" t="str">
        <f>VLOOKUP(Googleadssales[[#This Row],[Ad_ID]],'[1]pre processed data'!A:O,15,0)</f>
        <v>$1347</v>
      </c>
      <c r="J1317" s="3">
        <f>VLOOKUP(Googleadssales[[#This Row],[Ad_ID]],'[1]pre processed data'!A:Q,17,0)</f>
        <v>45611</v>
      </c>
      <c r="K1317" t="str">
        <f>VLOOKUP(Googleadssales[[#This Row],[Ad_ID]],'[1]pre processed data'!A:R,18,0)</f>
        <v>Hyderabad</v>
      </c>
      <c r="L1317" t="str">
        <f>VLOOKUP(Googleadssales[[#This Row],[Ad_ID]],'[1]pre processed data'!A:S,19,0)</f>
        <v>Tablet</v>
      </c>
      <c r="M1317" t="str">
        <f>VLOOKUP(Googleadssales[[#This Row],[Ad_ID]],'[1]pre processed data'!A:T,20,0)</f>
        <v>learn data analytics</v>
      </c>
    </row>
    <row r="1318" spans="1:13" x14ac:dyDescent="0.3">
      <c r="A1318" t="s">
        <v>1331</v>
      </c>
      <c r="B1318" t="s">
        <v>18</v>
      </c>
      <c r="C1318" s="4">
        <f>VLOOKUP(Googleadssales[[#This Row],[Ad_ID]],'[1]pre processed data'!A:C,3,0)</f>
        <v>95</v>
      </c>
      <c r="D1318" s="4">
        <f>VLOOKUP(Googleadssales[[#This Row],[Ad_ID]],'[1]pre processed data'!A:E,5,0)</f>
        <v>4939</v>
      </c>
      <c r="E1318" s="5" t="str">
        <f>VLOOKUP(Googleadssales[[#This Row],[Ad_ID]],[1]!Table3[[Ad_ID]:[Cost-imputed]],7,0)</f>
        <v>$219.43</v>
      </c>
      <c r="F1318" s="4">
        <f>VLOOKUP(Googleadssales[[#This Row],[Ad_ID]],'[1]pre processed data'!A:I,9,0)</f>
        <v>26</v>
      </c>
      <c r="G1318" s="4">
        <f>VLOOKUP(Googleadssales[[#This Row],[Ad_ID]],'[1]pre processed data'!A:K,11,0)</f>
        <v>3</v>
      </c>
      <c r="H1318" s="2">
        <f>Googleadssales[[#This Row],[Conversions]]/Googleadssales[[#This Row],[Clicks]]</f>
        <v>3.1578947368421054E-2</v>
      </c>
      <c r="I1318" t="str">
        <f>VLOOKUP(Googleadssales[[#This Row],[Ad_ID]],'[1]pre processed data'!A:O,15,0)</f>
        <v>$1785</v>
      </c>
      <c r="J1318" s="3">
        <f>VLOOKUP(Googleadssales[[#This Row],[Ad_ID]],'[1]pre processed data'!A:Q,17,0)</f>
        <v>45603</v>
      </c>
      <c r="K1318" t="str">
        <f>VLOOKUP(Googleadssales[[#This Row],[Ad_ID]],'[1]pre processed data'!A:R,18,0)</f>
        <v>Hyderabad</v>
      </c>
      <c r="L1318" t="str">
        <f>VLOOKUP(Googleadssales[[#This Row],[Ad_ID]],'[1]pre processed data'!A:S,19,0)</f>
        <v>Mobile</v>
      </c>
      <c r="M1318" t="str">
        <f>VLOOKUP(Googleadssales[[#This Row],[Ad_ID]],'[1]pre processed data'!A:T,20,0)</f>
        <v>data analytics training</v>
      </c>
    </row>
    <row r="1319" spans="1:13" x14ac:dyDescent="0.3">
      <c r="A1319" t="s">
        <v>1332</v>
      </c>
      <c r="B1319" t="s">
        <v>14</v>
      </c>
      <c r="C1319" s="4">
        <f>VLOOKUP(Googleadssales[[#This Row],[Ad_ID]],'[1]pre processed data'!A:C,3,0)</f>
        <v>155</v>
      </c>
      <c r="D1319" s="4">
        <f>VLOOKUP(Googleadssales[[#This Row],[Ad_ID]],'[1]pre processed data'!A:E,5,0)</f>
        <v>3180</v>
      </c>
      <c r="E1319" s="5" t="str">
        <f>VLOOKUP(Googleadssales[[#This Row],[Ad_ID]],[1]!Table3[[Ad_ID]:[Cost-imputed]],7,0)</f>
        <v>$229.63</v>
      </c>
      <c r="F1319" s="4">
        <f>VLOOKUP(Googleadssales[[#This Row],[Ad_ID]],'[1]pre processed data'!A:I,9,0)</f>
        <v>15</v>
      </c>
      <c r="G1319" s="4">
        <f>VLOOKUP(Googleadssales[[#This Row],[Ad_ID]],'[1]pre processed data'!A:K,11,0)</f>
        <v>8</v>
      </c>
      <c r="H1319" s="2">
        <f>Googleadssales[[#This Row],[Conversions]]/Googleadssales[[#This Row],[Clicks]]</f>
        <v>5.1612903225806452E-2</v>
      </c>
      <c r="I1319" t="str">
        <f>VLOOKUP(Googleadssales[[#This Row],[Ad_ID]],'[1]pre processed data'!A:O,15,0)</f>
        <v>$1832</v>
      </c>
      <c r="J1319" s="3">
        <f>VLOOKUP(Googleadssales[[#This Row],[Ad_ID]],'[1]pre processed data'!A:Q,17,0)</f>
        <v>45611</v>
      </c>
      <c r="K1319" t="str">
        <f>VLOOKUP(Googleadssales[[#This Row],[Ad_ID]],'[1]pre processed data'!A:R,18,0)</f>
        <v>Hyderabad</v>
      </c>
      <c r="L1319" t="str">
        <f>VLOOKUP(Googleadssales[[#This Row],[Ad_ID]],'[1]pre processed data'!A:S,19,0)</f>
        <v>Desktop</v>
      </c>
      <c r="M1319" t="str">
        <f>VLOOKUP(Googleadssales[[#This Row],[Ad_ID]],'[1]pre processed data'!A:T,20,0)</f>
        <v>data analytics course</v>
      </c>
    </row>
    <row r="1320" spans="1:13" x14ac:dyDescent="0.3">
      <c r="A1320" t="s">
        <v>1333</v>
      </c>
      <c r="B1320" t="s">
        <v>14</v>
      </c>
      <c r="C1320" s="4">
        <f>VLOOKUP(Googleadssales[[#This Row],[Ad_ID]],'[1]pre processed data'!A:C,3,0)</f>
        <v>184</v>
      </c>
      <c r="D1320" s="4">
        <f>VLOOKUP(Googleadssales[[#This Row],[Ad_ID]],'[1]pre processed data'!A:E,5,0)</f>
        <v>3981</v>
      </c>
      <c r="E1320" s="5" t="str">
        <f>VLOOKUP(Googleadssales[[#This Row],[Ad_ID]],[1]!Table3[[Ad_ID]:[Cost-imputed]],7,0)</f>
        <v>$193.25</v>
      </c>
      <c r="F1320" s="4">
        <f>VLOOKUP(Googleadssales[[#This Row],[Ad_ID]],'[1]pre processed data'!A:I,9,0)</f>
        <v>16</v>
      </c>
      <c r="G1320" s="4">
        <f>VLOOKUP(Googleadssales[[#This Row],[Ad_ID]],'[1]pre processed data'!A:K,11,0)</f>
        <v>3</v>
      </c>
      <c r="H1320" s="2">
        <f>Googleadssales[[#This Row],[Conversions]]/Googleadssales[[#This Row],[Clicks]]</f>
        <v>1.6304347826086956E-2</v>
      </c>
      <c r="I1320" t="str">
        <f>VLOOKUP(Googleadssales[[#This Row],[Ad_ID]],'[1]pre processed data'!A:O,15,0)</f>
        <v>$1359</v>
      </c>
      <c r="J1320" s="3">
        <f>VLOOKUP(Googleadssales[[#This Row],[Ad_ID]],'[1]pre processed data'!A:Q,17,0)</f>
        <v>45626</v>
      </c>
      <c r="K1320" t="str">
        <f>VLOOKUP(Googleadssales[[#This Row],[Ad_ID]],'[1]pre processed data'!A:R,18,0)</f>
        <v>Hyderabad</v>
      </c>
      <c r="L1320" t="str">
        <f>VLOOKUP(Googleadssales[[#This Row],[Ad_ID]],'[1]pre processed data'!A:S,19,0)</f>
        <v>Tablet</v>
      </c>
      <c r="M1320" t="str">
        <f>VLOOKUP(Googleadssales[[#This Row],[Ad_ID]],'[1]pre processed data'!A:T,20,0)</f>
        <v>learn data analytics</v>
      </c>
    </row>
    <row r="1321" spans="1:13" x14ac:dyDescent="0.3">
      <c r="A1321" t="s">
        <v>1334</v>
      </c>
      <c r="B1321" t="s">
        <v>14</v>
      </c>
      <c r="C1321" s="4">
        <f>VLOOKUP(Googleadssales[[#This Row],[Ad_ID]],'[1]pre processed data'!A:C,3,0)</f>
        <v>186</v>
      </c>
      <c r="D1321" s="4">
        <f>VLOOKUP(Googleadssales[[#This Row],[Ad_ID]],'[1]pre processed data'!A:E,5,0)</f>
        <v>3392</v>
      </c>
      <c r="E1321" s="5" t="str">
        <f>VLOOKUP(Googleadssales[[#This Row],[Ad_ID]],[1]!Table3[[Ad_ID]:[Cost-imputed]],7,0)</f>
        <v>$218.16</v>
      </c>
      <c r="F1321" s="4">
        <f>VLOOKUP(Googleadssales[[#This Row],[Ad_ID]],'[1]pre processed data'!A:I,9,0)</f>
        <v>29</v>
      </c>
      <c r="G1321" s="4">
        <f>VLOOKUP(Googleadssales[[#This Row],[Ad_ID]],'[1]pre processed data'!A:K,11,0)</f>
        <v>7</v>
      </c>
      <c r="H1321" s="2">
        <f>Googleadssales[[#This Row],[Conversions]]/Googleadssales[[#This Row],[Clicks]]</f>
        <v>3.7634408602150539E-2</v>
      </c>
      <c r="I1321" t="str">
        <f>VLOOKUP(Googleadssales[[#This Row],[Ad_ID]],'[1]pre processed data'!A:O,15,0)</f>
        <v>$1012</v>
      </c>
      <c r="J1321" s="3">
        <f>VLOOKUP(Googleadssales[[#This Row],[Ad_ID]],'[1]pre processed data'!A:Q,17,0)</f>
        <v>45604</v>
      </c>
      <c r="K1321" t="str">
        <f>VLOOKUP(Googleadssales[[#This Row],[Ad_ID]],'[1]pre processed data'!A:R,18,0)</f>
        <v>Hyderabad</v>
      </c>
      <c r="L1321" t="str">
        <f>VLOOKUP(Googleadssales[[#This Row],[Ad_ID]],'[1]pre processed data'!A:S,19,0)</f>
        <v>Desktop</v>
      </c>
      <c r="M1321" t="str">
        <f>VLOOKUP(Googleadssales[[#This Row],[Ad_ID]],'[1]pre processed data'!A:T,20,0)</f>
        <v>analytics for data</v>
      </c>
    </row>
    <row r="1322" spans="1:13" x14ac:dyDescent="0.3">
      <c r="A1322" t="s">
        <v>1335</v>
      </c>
      <c r="B1322" t="s">
        <v>14</v>
      </c>
      <c r="C1322" s="4">
        <f>VLOOKUP(Googleadssales[[#This Row],[Ad_ID]],'[1]pre processed data'!A:C,3,0)</f>
        <v>93</v>
      </c>
      <c r="D1322" s="4">
        <f>VLOOKUP(Googleadssales[[#This Row],[Ad_ID]],'[1]pre processed data'!A:E,5,0)</f>
        <v>3160</v>
      </c>
      <c r="E1322" s="5" t="str">
        <f>VLOOKUP(Googleadssales[[#This Row],[Ad_ID]],[1]!Table3[[Ad_ID]:[Cost-imputed]],7,0)</f>
        <v>$220.75</v>
      </c>
      <c r="F1322" s="4">
        <f>VLOOKUP(Googleadssales[[#This Row],[Ad_ID]],'[1]pre processed data'!A:I,9,0)</f>
        <v>30</v>
      </c>
      <c r="G1322" s="4">
        <f>VLOOKUP(Googleadssales[[#This Row],[Ad_ID]],'[1]pre processed data'!A:K,11,0)</f>
        <v>8</v>
      </c>
      <c r="H1322" s="2">
        <f>Googleadssales[[#This Row],[Conversions]]/Googleadssales[[#This Row],[Clicks]]</f>
        <v>8.6021505376344093E-2</v>
      </c>
      <c r="I1322" t="str">
        <f>VLOOKUP(Googleadssales[[#This Row],[Ad_ID]],'[1]pre processed data'!A:O,15,0)</f>
        <v>$1472</v>
      </c>
      <c r="J1322" s="3">
        <f>VLOOKUP(Googleadssales[[#This Row],[Ad_ID]],'[1]pre processed data'!A:Q,17,0)</f>
        <v>45604</v>
      </c>
      <c r="K1322" t="str">
        <f>VLOOKUP(Googleadssales[[#This Row],[Ad_ID]],'[1]pre processed data'!A:R,18,0)</f>
        <v>Hyderabad</v>
      </c>
      <c r="L1322" t="str">
        <f>VLOOKUP(Googleadssales[[#This Row],[Ad_ID]],'[1]pre processed data'!A:S,19,0)</f>
        <v>Desktop</v>
      </c>
      <c r="M1322" t="str">
        <f>VLOOKUP(Googleadssales[[#This Row],[Ad_ID]],'[1]pre processed data'!A:T,20,0)</f>
        <v>data analytics online</v>
      </c>
    </row>
    <row r="1323" spans="1:13" x14ac:dyDescent="0.3">
      <c r="A1323" t="s">
        <v>1336</v>
      </c>
      <c r="B1323" t="s">
        <v>14</v>
      </c>
      <c r="C1323" s="4">
        <f>VLOOKUP(Googleadssales[[#This Row],[Ad_ID]],'[1]pre processed data'!A:C,3,0)</f>
        <v>138</v>
      </c>
      <c r="D1323" s="4">
        <f>VLOOKUP(Googleadssales[[#This Row],[Ad_ID]],'[1]pre processed data'!A:E,5,0)</f>
        <v>4699</v>
      </c>
      <c r="E1323" s="5" t="str">
        <f>VLOOKUP(Googleadssales[[#This Row],[Ad_ID]],[1]!Table3[[Ad_ID]:[Cost-imputed]],7,0)</f>
        <v>$202.54</v>
      </c>
      <c r="F1323" s="4">
        <f>VLOOKUP(Googleadssales[[#This Row],[Ad_ID]],'[1]pre processed data'!A:I,9,0)</f>
        <v>26</v>
      </c>
      <c r="G1323" s="4">
        <f>VLOOKUP(Googleadssales[[#This Row],[Ad_ID]],'[1]pre processed data'!A:K,11,0)</f>
        <v>9</v>
      </c>
      <c r="H1323" s="2">
        <f>Googleadssales[[#This Row],[Conversions]]/Googleadssales[[#This Row],[Clicks]]</f>
        <v>6.5217391304347824E-2</v>
      </c>
      <c r="I1323" t="str">
        <f>VLOOKUP(Googleadssales[[#This Row],[Ad_ID]],'[1]pre processed data'!A:O,15,0)</f>
        <v>$1133</v>
      </c>
      <c r="J1323" s="3">
        <f>VLOOKUP(Googleadssales[[#This Row],[Ad_ID]],'[1]pre processed data'!A:Q,17,0)</f>
        <v>45621</v>
      </c>
      <c r="K1323" t="str">
        <f>VLOOKUP(Googleadssales[[#This Row],[Ad_ID]],'[1]pre processed data'!A:R,18,0)</f>
        <v>Hyderabad</v>
      </c>
      <c r="L1323" t="str">
        <f>VLOOKUP(Googleadssales[[#This Row],[Ad_ID]],'[1]pre processed data'!A:S,19,0)</f>
        <v>Tablet</v>
      </c>
      <c r="M1323" t="str">
        <f>VLOOKUP(Googleadssales[[#This Row],[Ad_ID]],'[1]pre processed data'!A:T,20,0)</f>
        <v>online data analytic</v>
      </c>
    </row>
    <row r="1324" spans="1:13" x14ac:dyDescent="0.3">
      <c r="A1324" t="s">
        <v>1337</v>
      </c>
      <c r="B1324" t="s">
        <v>14</v>
      </c>
      <c r="C1324" s="4">
        <f>VLOOKUP(Googleadssales[[#This Row],[Ad_ID]],'[1]pre processed data'!A:C,3,0)</f>
        <v>96</v>
      </c>
      <c r="D1324" s="4">
        <f>VLOOKUP(Googleadssales[[#This Row],[Ad_ID]],'[1]pre processed data'!A:E,5,0)</f>
        <v>3730</v>
      </c>
      <c r="E1324" s="5" t="str">
        <f>VLOOKUP(Googleadssales[[#This Row],[Ad_ID]],[1]!Table3[[Ad_ID]:[Cost-imputed]],7,0)</f>
        <v>$217.61</v>
      </c>
      <c r="F1324" s="4">
        <f>VLOOKUP(Googleadssales[[#This Row],[Ad_ID]],'[1]pre processed data'!A:I,9,0)</f>
        <v>16</v>
      </c>
      <c r="G1324" s="4">
        <f>VLOOKUP(Googleadssales[[#This Row],[Ad_ID]],'[1]pre processed data'!A:K,11,0)</f>
        <v>4</v>
      </c>
      <c r="H1324" s="2">
        <f>Googleadssales[[#This Row],[Conversions]]/Googleadssales[[#This Row],[Clicks]]</f>
        <v>4.1666666666666664E-2</v>
      </c>
      <c r="I1324" t="str">
        <f>VLOOKUP(Googleadssales[[#This Row],[Ad_ID]],'[1]pre processed data'!A:O,15,0)</f>
        <v>$1283</v>
      </c>
      <c r="J1324" s="3">
        <f>VLOOKUP(Googleadssales[[#This Row],[Ad_ID]],'[1]pre processed data'!A:Q,17,0)</f>
        <v>45603</v>
      </c>
      <c r="K1324" t="str">
        <f>VLOOKUP(Googleadssales[[#This Row],[Ad_ID]],'[1]pre processed data'!A:R,18,0)</f>
        <v>Hyderabad</v>
      </c>
      <c r="L1324" t="str">
        <f>VLOOKUP(Googleadssales[[#This Row],[Ad_ID]],'[1]pre processed data'!A:S,19,0)</f>
        <v>Desktop</v>
      </c>
      <c r="M1324" t="str">
        <f>VLOOKUP(Googleadssales[[#This Row],[Ad_ID]],'[1]pre processed data'!A:T,20,0)</f>
        <v>analytics for data</v>
      </c>
    </row>
    <row r="1325" spans="1:13" x14ac:dyDescent="0.3">
      <c r="A1325" t="s">
        <v>1338</v>
      </c>
      <c r="B1325" t="s">
        <v>14</v>
      </c>
      <c r="C1325" s="4">
        <f>VLOOKUP(Googleadssales[[#This Row],[Ad_ID]],'[1]pre processed data'!A:C,3,0)</f>
        <v>127</v>
      </c>
      <c r="D1325" s="4">
        <f>VLOOKUP(Googleadssales[[#This Row],[Ad_ID]],'[1]pre processed data'!A:E,5,0)</f>
        <v>5221</v>
      </c>
      <c r="E1325" s="5" t="str">
        <f>VLOOKUP(Googleadssales[[#This Row],[Ad_ID]],[1]!Table3[[Ad_ID]:[Cost-imputed]],7,0)</f>
        <v>$226.67</v>
      </c>
      <c r="F1325" s="4">
        <f>VLOOKUP(Googleadssales[[#This Row],[Ad_ID]],'[1]pre processed data'!A:I,9,0)</f>
        <v>17</v>
      </c>
      <c r="G1325" s="4">
        <f>VLOOKUP(Googleadssales[[#This Row],[Ad_ID]],'[1]pre processed data'!A:K,11,0)</f>
        <v>3</v>
      </c>
      <c r="H1325" s="2">
        <f>Googleadssales[[#This Row],[Conversions]]/Googleadssales[[#This Row],[Clicks]]</f>
        <v>2.3622047244094488E-2</v>
      </c>
      <c r="I1325" t="str">
        <f>VLOOKUP(Googleadssales[[#This Row],[Ad_ID]],'[1]pre processed data'!A:O,15,0)</f>
        <v>$1384</v>
      </c>
      <c r="J1325" s="3">
        <f>VLOOKUP(Googleadssales[[#This Row],[Ad_ID]],'[1]pre processed data'!A:Q,17,0)</f>
        <v>45599</v>
      </c>
      <c r="K1325" t="str">
        <f>VLOOKUP(Googleadssales[[#This Row],[Ad_ID]],'[1]pre processed data'!A:R,18,0)</f>
        <v>Bangaluru</v>
      </c>
      <c r="L1325" t="str">
        <f>VLOOKUP(Googleadssales[[#This Row],[Ad_ID]],'[1]pre processed data'!A:S,19,0)</f>
        <v>Tablet</v>
      </c>
      <c r="M1325" t="str">
        <f>VLOOKUP(Googleadssales[[#This Row],[Ad_ID]],'[1]pre processed data'!A:T,20,0)</f>
        <v>data analytics training</v>
      </c>
    </row>
    <row r="1326" spans="1:13" x14ac:dyDescent="0.3">
      <c r="A1326" t="s">
        <v>1339</v>
      </c>
      <c r="B1326" t="s">
        <v>18</v>
      </c>
      <c r="C1326" s="4">
        <f>VLOOKUP(Googleadssales[[#This Row],[Ad_ID]],'[1]pre processed data'!A:C,3,0)</f>
        <v>92</v>
      </c>
      <c r="D1326" s="4">
        <f>VLOOKUP(Googleadssales[[#This Row],[Ad_ID]],'[1]pre processed data'!A:E,5,0)</f>
        <v>3299</v>
      </c>
      <c r="E1326" s="5" t="str">
        <f>VLOOKUP(Googleadssales[[#This Row],[Ad_ID]],[1]!Table3[[Ad_ID]:[Cost-imputed]],7,0)</f>
        <v>$188.58</v>
      </c>
      <c r="F1326" s="4">
        <f>VLOOKUP(Googleadssales[[#This Row],[Ad_ID]],'[1]pre processed data'!A:I,9,0)</f>
        <v>11</v>
      </c>
      <c r="G1326" s="4">
        <f>VLOOKUP(Googleadssales[[#This Row],[Ad_ID]],'[1]pre processed data'!A:K,11,0)</f>
        <v>9</v>
      </c>
      <c r="H1326" s="2">
        <f>Googleadssales[[#This Row],[Conversions]]/Googleadssales[[#This Row],[Clicks]]</f>
        <v>9.7826086956521743E-2</v>
      </c>
      <c r="I1326" t="str">
        <f>VLOOKUP(Googleadssales[[#This Row],[Ad_ID]],'[1]pre processed data'!A:O,15,0)</f>
        <v>$1678</v>
      </c>
      <c r="J1326" s="3">
        <f>VLOOKUP(Googleadssales[[#This Row],[Ad_ID]],'[1]pre processed data'!A:Q,17,0)</f>
        <v>45623</v>
      </c>
      <c r="K1326" t="str">
        <f>VLOOKUP(Googleadssales[[#This Row],[Ad_ID]],'[1]pre processed data'!A:R,18,0)</f>
        <v>Hyderabad</v>
      </c>
      <c r="L1326" t="str">
        <f>VLOOKUP(Googleadssales[[#This Row],[Ad_ID]],'[1]pre processed data'!A:S,19,0)</f>
        <v>Desktop</v>
      </c>
      <c r="M1326" t="str">
        <f>VLOOKUP(Googleadssales[[#This Row],[Ad_ID]],'[1]pre processed data'!A:T,20,0)</f>
        <v>data analytics online</v>
      </c>
    </row>
    <row r="1327" spans="1:13" x14ac:dyDescent="0.3">
      <c r="A1327" t="s">
        <v>1340</v>
      </c>
      <c r="B1327" t="s">
        <v>14</v>
      </c>
      <c r="C1327" s="4">
        <f>VLOOKUP(Googleadssales[[#This Row],[Ad_ID]],'[1]pre processed data'!A:C,3,0)</f>
        <v>156</v>
      </c>
      <c r="D1327" s="4">
        <f>VLOOKUP(Googleadssales[[#This Row],[Ad_ID]],'[1]pre processed data'!A:E,5,0)</f>
        <v>5634</v>
      </c>
      <c r="E1327" s="5" t="str">
        <f>VLOOKUP(Googleadssales[[#This Row],[Ad_ID]],[1]!Table3[[Ad_ID]:[Cost-imputed]],7,0)</f>
        <v>$247.45</v>
      </c>
      <c r="F1327" s="4">
        <f>VLOOKUP(Googleadssales[[#This Row],[Ad_ID]],'[1]pre processed data'!A:I,9,0)</f>
        <v>16</v>
      </c>
      <c r="G1327" s="4">
        <f>VLOOKUP(Googleadssales[[#This Row],[Ad_ID]],'[1]pre processed data'!A:K,11,0)</f>
        <v>5</v>
      </c>
      <c r="H1327" s="2">
        <f>Googleadssales[[#This Row],[Conversions]]/Googleadssales[[#This Row],[Clicks]]</f>
        <v>3.2051282051282048E-2</v>
      </c>
      <c r="I1327" t="str">
        <f>VLOOKUP(Googleadssales[[#This Row],[Ad_ID]],'[1]pre processed data'!A:O,15,0)</f>
        <v>$1925</v>
      </c>
      <c r="J1327" s="3">
        <f>VLOOKUP(Googleadssales[[#This Row],[Ad_ID]],'[1]pre processed data'!A:Q,17,0)</f>
        <v>45604</v>
      </c>
      <c r="K1327" t="str">
        <f>VLOOKUP(Googleadssales[[#This Row],[Ad_ID]],'[1]pre processed data'!A:R,18,0)</f>
        <v>Bangaluru</v>
      </c>
      <c r="L1327" t="str">
        <f>VLOOKUP(Googleadssales[[#This Row],[Ad_ID]],'[1]pre processed data'!A:S,19,0)</f>
        <v>Tablet</v>
      </c>
      <c r="M1327" t="str">
        <f>VLOOKUP(Googleadssales[[#This Row],[Ad_ID]],'[1]pre processed data'!A:T,20,0)</f>
        <v>data analytics course</v>
      </c>
    </row>
    <row r="1328" spans="1:13" x14ac:dyDescent="0.3">
      <c r="A1328" t="s">
        <v>1341</v>
      </c>
      <c r="B1328" t="s">
        <v>18</v>
      </c>
      <c r="C1328" s="4">
        <f>VLOOKUP(Googleadssales[[#This Row],[Ad_ID]],'[1]pre processed data'!A:C,3,0)</f>
        <v>113</v>
      </c>
      <c r="D1328" s="4">
        <f>VLOOKUP(Googleadssales[[#This Row],[Ad_ID]],'[1]pre processed data'!A:E,5,0)</f>
        <v>5991</v>
      </c>
      <c r="E1328" s="5" t="str">
        <f>VLOOKUP(Googleadssales[[#This Row],[Ad_ID]],[1]!Table3[[Ad_ID]:[Cost-imputed]],7,0)</f>
        <v>$211.28</v>
      </c>
      <c r="F1328" s="4">
        <f>VLOOKUP(Googleadssales[[#This Row],[Ad_ID]],'[1]pre processed data'!A:I,9,0)</f>
        <v>16</v>
      </c>
      <c r="G1328" s="4">
        <f>VLOOKUP(Googleadssales[[#This Row],[Ad_ID]],'[1]pre processed data'!A:K,11,0)</f>
        <v>3</v>
      </c>
      <c r="H1328" s="2">
        <f>Googleadssales[[#This Row],[Conversions]]/Googleadssales[[#This Row],[Clicks]]</f>
        <v>2.6548672566371681E-2</v>
      </c>
      <c r="I1328" t="str">
        <f>VLOOKUP(Googleadssales[[#This Row],[Ad_ID]],'[1]pre processed data'!A:O,15,0)</f>
        <v>$1499</v>
      </c>
      <c r="J1328" s="3">
        <f>VLOOKUP(Googleadssales[[#This Row],[Ad_ID]],'[1]pre processed data'!A:Q,17,0)</f>
        <v>45612</v>
      </c>
      <c r="K1328" t="str">
        <f>VLOOKUP(Googleadssales[[#This Row],[Ad_ID]],'[1]pre processed data'!A:R,18,0)</f>
        <v>Bangaluru</v>
      </c>
      <c r="L1328" t="str">
        <f>VLOOKUP(Googleadssales[[#This Row],[Ad_ID]],'[1]pre processed data'!A:S,19,0)</f>
        <v>Tablet</v>
      </c>
      <c r="M1328" t="str">
        <f>VLOOKUP(Googleadssales[[#This Row],[Ad_ID]],'[1]pre processed data'!A:T,20,0)</f>
        <v>learn data analytics</v>
      </c>
    </row>
    <row r="1329" spans="1:13" x14ac:dyDescent="0.3">
      <c r="A1329" t="s">
        <v>1342</v>
      </c>
      <c r="B1329" t="s">
        <v>14</v>
      </c>
      <c r="C1329" s="4">
        <f>VLOOKUP(Googleadssales[[#This Row],[Ad_ID]],'[1]pre processed data'!A:C,3,0)</f>
        <v>84</v>
      </c>
      <c r="D1329" s="4">
        <f>VLOOKUP(Googleadssales[[#This Row],[Ad_ID]],'[1]pre processed data'!A:E,5,0)</f>
        <v>3917</v>
      </c>
      <c r="E1329" s="5" t="str">
        <f>VLOOKUP(Googleadssales[[#This Row],[Ad_ID]],[1]!Table3[[Ad_ID]:[Cost-imputed]],7,0)</f>
        <v>$233.19</v>
      </c>
      <c r="F1329" s="4">
        <f>VLOOKUP(Googleadssales[[#This Row],[Ad_ID]],'[1]pre processed data'!A:I,9,0)</f>
        <v>13</v>
      </c>
      <c r="G1329" s="4">
        <f>VLOOKUP(Googleadssales[[#This Row],[Ad_ID]],'[1]pre processed data'!A:K,11,0)</f>
        <v>10</v>
      </c>
      <c r="H1329" s="2">
        <f>Googleadssales[[#This Row],[Conversions]]/Googleadssales[[#This Row],[Clicks]]</f>
        <v>0.11904761904761904</v>
      </c>
      <c r="I1329" t="str">
        <f>VLOOKUP(Googleadssales[[#This Row],[Ad_ID]],'[1]pre processed data'!A:O,15,0)</f>
        <v>$1500</v>
      </c>
      <c r="J1329" s="3">
        <f>VLOOKUP(Googleadssales[[#This Row],[Ad_ID]],'[1]pre processed data'!A:Q,17,0)</f>
        <v>45607</v>
      </c>
      <c r="K1329" t="str">
        <f>VLOOKUP(Googleadssales[[#This Row],[Ad_ID]],'[1]pre processed data'!A:R,18,0)</f>
        <v>Chennai</v>
      </c>
      <c r="L1329" t="str">
        <f>VLOOKUP(Googleadssales[[#This Row],[Ad_ID]],'[1]pre processed data'!A:S,19,0)</f>
        <v>Desktop</v>
      </c>
      <c r="M1329" t="str">
        <f>VLOOKUP(Googleadssales[[#This Row],[Ad_ID]],'[1]pre processed data'!A:T,20,0)</f>
        <v>data analytics course</v>
      </c>
    </row>
    <row r="1330" spans="1:13" x14ac:dyDescent="0.3">
      <c r="A1330" t="s">
        <v>1343</v>
      </c>
      <c r="B1330" t="s">
        <v>14</v>
      </c>
      <c r="C1330" s="4">
        <f>VLOOKUP(Googleadssales[[#This Row],[Ad_ID]],'[1]pre processed data'!A:C,3,0)</f>
        <v>189</v>
      </c>
      <c r="D1330" s="4">
        <f>VLOOKUP(Googleadssales[[#This Row],[Ad_ID]],'[1]pre processed data'!A:E,5,0)</f>
        <v>5335</v>
      </c>
      <c r="E1330" s="5" t="str">
        <f>VLOOKUP(Googleadssales[[#This Row],[Ad_ID]],[1]!Table3[[Ad_ID]:[Cost-imputed]],7,0)</f>
        <v>$181.46</v>
      </c>
      <c r="F1330" s="4">
        <f>VLOOKUP(Googleadssales[[#This Row],[Ad_ID]],'[1]pre processed data'!A:I,9,0)</f>
        <v>27</v>
      </c>
      <c r="G1330" s="4">
        <f>VLOOKUP(Googleadssales[[#This Row],[Ad_ID]],'[1]pre processed data'!A:K,11,0)</f>
        <v>9</v>
      </c>
      <c r="H1330" s="2">
        <f>Googleadssales[[#This Row],[Conversions]]/Googleadssales[[#This Row],[Clicks]]</f>
        <v>4.7619047619047616E-2</v>
      </c>
      <c r="I1330" t="str">
        <f>VLOOKUP(Googleadssales[[#This Row],[Ad_ID]],'[1]pre processed data'!A:O,15,0)</f>
        <v>$1734</v>
      </c>
      <c r="J1330" s="3">
        <f>VLOOKUP(Googleadssales[[#This Row],[Ad_ID]],'[1]pre processed data'!A:Q,17,0)</f>
        <v>45604</v>
      </c>
      <c r="K1330" t="str">
        <f>VLOOKUP(Googleadssales[[#This Row],[Ad_ID]],'[1]pre processed data'!A:R,18,0)</f>
        <v>Hyderabad</v>
      </c>
      <c r="L1330" t="str">
        <f>VLOOKUP(Googleadssales[[#This Row],[Ad_ID]],'[1]pre processed data'!A:S,19,0)</f>
        <v>Mobile</v>
      </c>
      <c r="M1330" t="str">
        <f>VLOOKUP(Googleadssales[[#This Row],[Ad_ID]],'[1]pre processed data'!A:T,20,0)</f>
        <v>online data analytic</v>
      </c>
    </row>
    <row r="1331" spans="1:13" x14ac:dyDescent="0.3">
      <c r="A1331" t="s">
        <v>1344</v>
      </c>
      <c r="B1331" t="s">
        <v>14</v>
      </c>
      <c r="C1331" s="4">
        <f>VLOOKUP(Googleadssales[[#This Row],[Ad_ID]],'[1]pre processed data'!A:C,3,0)</f>
        <v>149</v>
      </c>
      <c r="D1331" s="4">
        <f>VLOOKUP(Googleadssales[[#This Row],[Ad_ID]],'[1]pre processed data'!A:E,5,0)</f>
        <v>4550</v>
      </c>
      <c r="E1331" s="5" t="str">
        <f>VLOOKUP(Googleadssales[[#This Row],[Ad_ID]],[1]!Table3[[Ad_ID]:[Cost-imputed]],7,0)</f>
        <v>$219.44</v>
      </c>
      <c r="F1331" s="4">
        <f>VLOOKUP(Googleadssales[[#This Row],[Ad_ID]],'[1]pre processed data'!A:I,9,0)</f>
        <v>11</v>
      </c>
      <c r="G1331" s="4">
        <f>VLOOKUP(Googleadssales[[#This Row],[Ad_ID]],'[1]pre processed data'!A:K,11,0)</f>
        <v>9</v>
      </c>
      <c r="H1331" s="2">
        <f>Googleadssales[[#This Row],[Conversions]]/Googleadssales[[#This Row],[Clicks]]</f>
        <v>6.0402684563758392E-2</v>
      </c>
      <c r="I1331" t="str">
        <f>VLOOKUP(Googleadssales[[#This Row],[Ad_ID]],'[1]pre processed data'!A:O,15,0)</f>
        <v>$1659</v>
      </c>
      <c r="J1331" s="3">
        <f>VLOOKUP(Googleadssales[[#This Row],[Ad_ID]],'[1]pre processed data'!A:Q,17,0)</f>
        <v>45612</v>
      </c>
      <c r="K1331" t="str">
        <f>VLOOKUP(Googleadssales[[#This Row],[Ad_ID]],'[1]pre processed data'!A:R,18,0)</f>
        <v>Hyderabad</v>
      </c>
      <c r="L1331" t="str">
        <f>VLOOKUP(Googleadssales[[#This Row],[Ad_ID]],'[1]pre processed data'!A:S,19,0)</f>
        <v>Tablet</v>
      </c>
      <c r="M1331" t="str">
        <f>VLOOKUP(Googleadssales[[#This Row],[Ad_ID]],'[1]pre processed data'!A:T,20,0)</f>
        <v>online data analytic</v>
      </c>
    </row>
    <row r="1332" spans="1:13" x14ac:dyDescent="0.3">
      <c r="A1332" t="s">
        <v>1345</v>
      </c>
      <c r="B1332" t="s">
        <v>14</v>
      </c>
      <c r="C1332" s="4">
        <f>VLOOKUP(Googleadssales[[#This Row],[Ad_ID]],'[1]pre processed data'!A:C,3,0)</f>
        <v>100</v>
      </c>
      <c r="D1332" s="4">
        <f>VLOOKUP(Googleadssales[[#This Row],[Ad_ID]],'[1]pre processed data'!A:E,5,0)</f>
        <v>5805</v>
      </c>
      <c r="E1332" s="5" t="str">
        <f>VLOOKUP(Googleadssales[[#This Row],[Ad_ID]],[1]!Table3[[Ad_ID]:[Cost-imputed]],7,0)</f>
        <v>$181.27</v>
      </c>
      <c r="F1332" s="4">
        <f>VLOOKUP(Googleadssales[[#This Row],[Ad_ID]],'[1]pre processed data'!A:I,9,0)</f>
        <v>15</v>
      </c>
      <c r="G1332" s="4">
        <f>VLOOKUP(Googleadssales[[#This Row],[Ad_ID]],'[1]pre processed data'!A:K,11,0)</f>
        <v>4</v>
      </c>
      <c r="H1332" s="2">
        <f>Googleadssales[[#This Row],[Conversions]]/Googleadssales[[#This Row],[Clicks]]</f>
        <v>0.04</v>
      </c>
      <c r="I1332" t="str">
        <f>VLOOKUP(Googleadssales[[#This Row],[Ad_ID]],'[1]pre processed data'!A:O,15,0)</f>
        <v>$1195</v>
      </c>
      <c r="J1332" s="3">
        <f>VLOOKUP(Googleadssales[[#This Row],[Ad_ID]],'[1]pre processed data'!A:Q,17,0)</f>
        <v>45600</v>
      </c>
      <c r="K1332" t="str">
        <f>VLOOKUP(Googleadssales[[#This Row],[Ad_ID]],'[1]pre processed data'!A:R,18,0)</f>
        <v>Hyderabad</v>
      </c>
      <c r="L1332" t="str">
        <f>VLOOKUP(Googleadssales[[#This Row],[Ad_ID]],'[1]pre processed data'!A:S,19,0)</f>
        <v>Desktop</v>
      </c>
      <c r="M1332" t="str">
        <f>VLOOKUP(Googleadssales[[#This Row],[Ad_ID]],'[1]pre processed data'!A:T,20,0)</f>
        <v>learn data analytics</v>
      </c>
    </row>
    <row r="1333" spans="1:13" x14ac:dyDescent="0.3">
      <c r="A1333" t="s">
        <v>1346</v>
      </c>
      <c r="B1333" t="s">
        <v>14</v>
      </c>
      <c r="C1333" s="4">
        <f>VLOOKUP(Googleadssales[[#This Row],[Ad_ID]],'[1]pre processed data'!A:C,3,0)</f>
        <v>105</v>
      </c>
      <c r="D1333" s="4">
        <f>VLOOKUP(Googleadssales[[#This Row],[Ad_ID]],'[1]pre processed data'!A:E,5,0)</f>
        <v>5156</v>
      </c>
      <c r="E1333" s="5" t="str">
        <f>VLOOKUP(Googleadssales[[#This Row],[Ad_ID]],[1]!Table3[[Ad_ID]:[Cost-imputed]],7,0)</f>
        <v>$201.01</v>
      </c>
      <c r="F1333" s="4">
        <f>VLOOKUP(Googleadssales[[#This Row],[Ad_ID]],'[1]pre processed data'!A:I,9,0)</f>
        <v>25</v>
      </c>
      <c r="G1333" s="4">
        <f>VLOOKUP(Googleadssales[[#This Row],[Ad_ID]],'[1]pre processed data'!A:K,11,0)</f>
        <v>10</v>
      </c>
      <c r="H1333" s="2">
        <f>Googleadssales[[#This Row],[Conversions]]/Googleadssales[[#This Row],[Clicks]]</f>
        <v>9.5238095238095233E-2</v>
      </c>
      <c r="I1333" t="str">
        <f>VLOOKUP(Googleadssales[[#This Row],[Ad_ID]],'[1]pre processed data'!A:O,15,0)</f>
        <v>$1472</v>
      </c>
      <c r="J1333" s="3">
        <f>VLOOKUP(Googleadssales[[#This Row],[Ad_ID]],'[1]pre processed data'!A:Q,17,0)</f>
        <v>45607</v>
      </c>
      <c r="K1333" t="str">
        <f>VLOOKUP(Googleadssales[[#This Row],[Ad_ID]],'[1]pre processed data'!A:R,18,0)</f>
        <v>Bangaluru</v>
      </c>
      <c r="L1333" t="str">
        <f>VLOOKUP(Googleadssales[[#This Row],[Ad_ID]],'[1]pre processed data'!A:S,19,0)</f>
        <v>Desktop</v>
      </c>
      <c r="M1333" t="str">
        <f>VLOOKUP(Googleadssales[[#This Row],[Ad_ID]],'[1]pre processed data'!A:T,20,0)</f>
        <v>analytics for data</v>
      </c>
    </row>
    <row r="1334" spans="1:13" x14ac:dyDescent="0.3">
      <c r="A1334" t="s">
        <v>1347</v>
      </c>
      <c r="B1334" t="s">
        <v>18</v>
      </c>
      <c r="C1334" s="4">
        <f>VLOOKUP(Googleadssales[[#This Row],[Ad_ID]],'[1]pre processed data'!A:C,3,0)</f>
        <v>86</v>
      </c>
      <c r="D1334" s="4">
        <f>VLOOKUP(Googleadssales[[#This Row],[Ad_ID]],'[1]pre processed data'!A:E,5,0)</f>
        <v>5060</v>
      </c>
      <c r="E1334" s="5" t="str">
        <f>VLOOKUP(Googleadssales[[#This Row],[Ad_ID]],[1]!Table3[[Ad_ID]:[Cost-imputed]],7,0)</f>
        <v>$249.4</v>
      </c>
      <c r="F1334" s="4">
        <f>VLOOKUP(Googleadssales[[#This Row],[Ad_ID]],'[1]pre processed data'!A:I,9,0)</f>
        <v>15</v>
      </c>
      <c r="G1334" s="4">
        <f>VLOOKUP(Googleadssales[[#This Row],[Ad_ID]],'[1]pre processed data'!A:K,11,0)</f>
        <v>4</v>
      </c>
      <c r="H1334" s="2">
        <f>Googleadssales[[#This Row],[Conversions]]/Googleadssales[[#This Row],[Clicks]]</f>
        <v>4.6511627906976744E-2</v>
      </c>
      <c r="I1334" t="str">
        <f>VLOOKUP(Googleadssales[[#This Row],[Ad_ID]],'[1]pre processed data'!A:O,15,0)</f>
        <v>$1761</v>
      </c>
      <c r="J1334" s="3">
        <f>VLOOKUP(Googleadssales[[#This Row],[Ad_ID]],'[1]pre processed data'!A:Q,17,0)</f>
        <v>45611</v>
      </c>
      <c r="K1334" t="str">
        <f>VLOOKUP(Googleadssales[[#This Row],[Ad_ID]],'[1]pre processed data'!A:R,18,0)</f>
        <v>Chennai</v>
      </c>
      <c r="L1334" t="str">
        <f>VLOOKUP(Googleadssales[[#This Row],[Ad_ID]],'[1]pre processed data'!A:S,19,0)</f>
        <v>Tablet</v>
      </c>
      <c r="M1334" t="str">
        <f>VLOOKUP(Googleadssales[[#This Row],[Ad_ID]],'[1]pre processed data'!A:T,20,0)</f>
        <v>data analytics online</v>
      </c>
    </row>
    <row r="1335" spans="1:13" x14ac:dyDescent="0.3">
      <c r="A1335" t="s">
        <v>1348</v>
      </c>
      <c r="B1335" t="s">
        <v>18</v>
      </c>
      <c r="C1335" s="4">
        <f>VLOOKUP(Googleadssales[[#This Row],[Ad_ID]],'[1]pre processed data'!A:C,3,0)</f>
        <v>93</v>
      </c>
      <c r="D1335" s="4">
        <f>VLOOKUP(Googleadssales[[#This Row],[Ad_ID]],'[1]pre processed data'!A:E,5,0)</f>
        <v>5178</v>
      </c>
      <c r="E1335" s="5" t="str">
        <f>VLOOKUP(Googleadssales[[#This Row],[Ad_ID]],[1]!Table3[[Ad_ID]:[Cost-imputed]],7,0)</f>
        <v>$245.13</v>
      </c>
      <c r="F1335" s="4">
        <f>VLOOKUP(Googleadssales[[#This Row],[Ad_ID]],'[1]pre processed data'!A:I,9,0)</f>
        <v>14</v>
      </c>
      <c r="G1335" s="4">
        <f>VLOOKUP(Googleadssales[[#This Row],[Ad_ID]],'[1]pre processed data'!A:K,11,0)</f>
        <v>5</v>
      </c>
      <c r="H1335" s="2">
        <f>Googleadssales[[#This Row],[Conversions]]/Googleadssales[[#This Row],[Clicks]]</f>
        <v>5.3763440860215055E-2</v>
      </c>
      <c r="I1335" t="str">
        <f>VLOOKUP(Googleadssales[[#This Row],[Ad_ID]],'[1]pre processed data'!A:O,15,0)</f>
        <v>$1080</v>
      </c>
      <c r="J1335" s="3">
        <f>VLOOKUP(Googleadssales[[#This Row],[Ad_ID]],'[1]pre processed data'!A:Q,17,0)</f>
        <v>45604</v>
      </c>
      <c r="K1335" t="str">
        <f>VLOOKUP(Googleadssales[[#This Row],[Ad_ID]],'[1]pre processed data'!A:R,18,0)</f>
        <v>Bangaluru</v>
      </c>
      <c r="L1335" t="str">
        <f>VLOOKUP(Googleadssales[[#This Row],[Ad_ID]],'[1]pre processed data'!A:S,19,0)</f>
        <v>Mobile</v>
      </c>
      <c r="M1335" t="str">
        <f>VLOOKUP(Googleadssales[[#This Row],[Ad_ID]],'[1]pre processed data'!A:T,20,0)</f>
        <v>data analytics online</v>
      </c>
    </row>
    <row r="1336" spans="1:13" x14ac:dyDescent="0.3">
      <c r="A1336" t="s">
        <v>1349</v>
      </c>
      <c r="B1336" t="s">
        <v>18</v>
      </c>
      <c r="C1336" s="4">
        <f>VLOOKUP(Googleadssales[[#This Row],[Ad_ID]],'[1]pre processed data'!A:C,3,0)</f>
        <v>180</v>
      </c>
      <c r="D1336" s="4">
        <f>VLOOKUP(Googleadssales[[#This Row],[Ad_ID]],'[1]pre processed data'!A:E,5,0)</f>
        <v>3076</v>
      </c>
      <c r="E1336" s="5" t="str">
        <f>VLOOKUP(Googleadssales[[#This Row],[Ad_ID]],[1]!Table3[[Ad_ID]:[Cost-imputed]],7,0)</f>
        <v>$227.91</v>
      </c>
      <c r="F1336" s="4">
        <f>VLOOKUP(Googleadssales[[#This Row],[Ad_ID]],'[1]pre processed data'!A:I,9,0)</f>
        <v>12</v>
      </c>
      <c r="G1336" s="4">
        <f>VLOOKUP(Googleadssales[[#This Row],[Ad_ID]],'[1]pre processed data'!A:K,11,0)</f>
        <v>10</v>
      </c>
      <c r="H1336" s="2">
        <f>Googleadssales[[#This Row],[Conversions]]/Googleadssales[[#This Row],[Clicks]]</f>
        <v>5.5555555555555552E-2</v>
      </c>
      <c r="I1336" t="str">
        <f>VLOOKUP(Googleadssales[[#This Row],[Ad_ID]],'[1]pre processed data'!A:O,15,0)</f>
        <v>$1500</v>
      </c>
      <c r="J1336" s="3">
        <f>VLOOKUP(Googleadssales[[#This Row],[Ad_ID]],'[1]pre processed data'!A:Q,17,0)</f>
        <v>45601</v>
      </c>
      <c r="K1336" t="str">
        <f>VLOOKUP(Googleadssales[[#This Row],[Ad_ID]],'[1]pre processed data'!A:R,18,0)</f>
        <v>Bangaluru</v>
      </c>
      <c r="L1336" t="str">
        <f>VLOOKUP(Googleadssales[[#This Row],[Ad_ID]],'[1]pre processed data'!A:S,19,0)</f>
        <v>Desktop</v>
      </c>
      <c r="M1336" t="str">
        <f>VLOOKUP(Googleadssales[[#This Row],[Ad_ID]],'[1]pre processed data'!A:T,20,0)</f>
        <v>online data analytic</v>
      </c>
    </row>
    <row r="1337" spans="1:13" x14ac:dyDescent="0.3">
      <c r="A1337" t="s">
        <v>1350</v>
      </c>
      <c r="B1337" t="s">
        <v>18</v>
      </c>
      <c r="C1337" s="4">
        <f>VLOOKUP(Googleadssales[[#This Row],[Ad_ID]],'[1]pre processed data'!A:C,3,0)</f>
        <v>156</v>
      </c>
      <c r="D1337" s="4">
        <f>VLOOKUP(Googleadssales[[#This Row],[Ad_ID]],'[1]pre processed data'!A:E,5,0)</f>
        <v>3218</v>
      </c>
      <c r="E1337" s="5" t="str">
        <f>VLOOKUP(Googleadssales[[#This Row],[Ad_ID]],[1]!Table3[[Ad_ID]:[Cost-imputed]],7,0)</f>
        <v>$235.69</v>
      </c>
      <c r="F1337" s="4">
        <f>VLOOKUP(Googleadssales[[#This Row],[Ad_ID]],'[1]pre processed data'!A:I,9,0)</f>
        <v>28</v>
      </c>
      <c r="G1337" s="4">
        <f>VLOOKUP(Googleadssales[[#This Row],[Ad_ID]],'[1]pre processed data'!A:K,11,0)</f>
        <v>6</v>
      </c>
      <c r="H1337" s="2">
        <f>Googleadssales[[#This Row],[Conversions]]/Googleadssales[[#This Row],[Clicks]]</f>
        <v>3.8461538461538464E-2</v>
      </c>
      <c r="I1337" t="str">
        <f>VLOOKUP(Googleadssales[[#This Row],[Ad_ID]],'[1]pre processed data'!A:O,15,0)</f>
        <v>$1289</v>
      </c>
      <c r="J1337" s="3">
        <f>VLOOKUP(Googleadssales[[#This Row],[Ad_ID]],'[1]pre processed data'!A:Q,17,0)</f>
        <v>45612</v>
      </c>
      <c r="K1337" t="str">
        <f>VLOOKUP(Googleadssales[[#This Row],[Ad_ID]],'[1]pre processed data'!A:R,18,0)</f>
        <v>Hyderabad</v>
      </c>
      <c r="L1337" t="str">
        <f>VLOOKUP(Googleadssales[[#This Row],[Ad_ID]],'[1]pre processed data'!A:S,19,0)</f>
        <v>Tablet</v>
      </c>
      <c r="M1337" t="str">
        <f>VLOOKUP(Googleadssales[[#This Row],[Ad_ID]],'[1]pre processed data'!A:T,20,0)</f>
        <v>data analytics online</v>
      </c>
    </row>
    <row r="1338" spans="1:13" x14ac:dyDescent="0.3">
      <c r="A1338" t="s">
        <v>1351</v>
      </c>
      <c r="B1338" t="s">
        <v>14</v>
      </c>
      <c r="C1338" s="4">
        <f>VLOOKUP(Googleadssales[[#This Row],[Ad_ID]],'[1]pre processed data'!A:C,3,0)</f>
        <v>124</v>
      </c>
      <c r="D1338" s="4">
        <f>VLOOKUP(Googleadssales[[#This Row],[Ad_ID]],'[1]pre processed data'!A:E,5,0)</f>
        <v>4682</v>
      </c>
      <c r="E1338" s="5" t="str">
        <f>VLOOKUP(Googleadssales[[#This Row],[Ad_ID]],[1]!Table3[[Ad_ID]:[Cost-imputed]],7,0)</f>
        <v>$207.53</v>
      </c>
      <c r="F1338" s="4">
        <f>VLOOKUP(Googleadssales[[#This Row],[Ad_ID]],'[1]pre processed data'!A:I,9,0)</f>
        <v>20</v>
      </c>
      <c r="G1338" s="4">
        <f>VLOOKUP(Googleadssales[[#This Row],[Ad_ID]],'[1]pre processed data'!A:K,11,0)</f>
        <v>3</v>
      </c>
      <c r="H1338" s="2">
        <f>Googleadssales[[#This Row],[Conversions]]/Googleadssales[[#This Row],[Clicks]]</f>
        <v>2.4193548387096774E-2</v>
      </c>
      <c r="I1338" t="str">
        <f>VLOOKUP(Googleadssales[[#This Row],[Ad_ID]],'[1]pre processed data'!A:O,15,0)</f>
        <v>$1550</v>
      </c>
      <c r="J1338" s="3">
        <f>VLOOKUP(Googleadssales[[#This Row],[Ad_ID]],'[1]pre processed data'!A:Q,17,0)</f>
        <v>45599</v>
      </c>
      <c r="K1338" t="str">
        <f>VLOOKUP(Googleadssales[[#This Row],[Ad_ID]],'[1]pre processed data'!A:R,18,0)</f>
        <v>Bangaluru</v>
      </c>
      <c r="L1338" t="str">
        <f>VLOOKUP(Googleadssales[[#This Row],[Ad_ID]],'[1]pre processed data'!A:S,19,0)</f>
        <v>Tablet</v>
      </c>
      <c r="M1338" t="str">
        <f>VLOOKUP(Googleadssales[[#This Row],[Ad_ID]],'[1]pre processed data'!A:T,20,0)</f>
        <v>online data analytic</v>
      </c>
    </row>
    <row r="1339" spans="1:13" x14ac:dyDescent="0.3">
      <c r="A1339" t="s">
        <v>1352</v>
      </c>
      <c r="B1339" t="s">
        <v>14</v>
      </c>
      <c r="C1339" s="4">
        <f>VLOOKUP(Googleadssales[[#This Row],[Ad_ID]],'[1]pre processed data'!A:C,3,0)</f>
        <v>177</v>
      </c>
      <c r="D1339" s="4">
        <f>VLOOKUP(Googleadssales[[#This Row],[Ad_ID]],'[1]pre processed data'!A:E,5,0)</f>
        <v>3592</v>
      </c>
      <c r="E1339" s="5" t="str">
        <f>VLOOKUP(Googleadssales[[#This Row],[Ad_ID]],[1]!Table3[[Ad_ID]:[Cost-imputed]],7,0)</f>
        <v>$205.25</v>
      </c>
      <c r="F1339" s="4">
        <f>VLOOKUP(Googleadssales[[#This Row],[Ad_ID]],'[1]pre processed data'!A:I,9,0)</f>
        <v>29</v>
      </c>
      <c r="G1339" s="4">
        <f>VLOOKUP(Googleadssales[[#This Row],[Ad_ID]],'[1]pre processed data'!A:K,11,0)</f>
        <v>9</v>
      </c>
      <c r="H1339" s="2">
        <f>Googleadssales[[#This Row],[Conversions]]/Googleadssales[[#This Row],[Clicks]]</f>
        <v>5.0847457627118647E-2</v>
      </c>
      <c r="I1339" t="str">
        <f>VLOOKUP(Googleadssales[[#This Row],[Ad_ID]],'[1]pre processed data'!A:O,15,0)</f>
        <v>$1271</v>
      </c>
      <c r="J1339" s="3">
        <f>VLOOKUP(Googleadssales[[#This Row],[Ad_ID]],'[1]pre processed data'!A:Q,17,0)</f>
        <v>45611</v>
      </c>
      <c r="K1339" t="str">
        <f>VLOOKUP(Googleadssales[[#This Row],[Ad_ID]],'[1]pre processed data'!A:R,18,0)</f>
        <v>Hyderabad</v>
      </c>
      <c r="L1339" t="str">
        <f>VLOOKUP(Googleadssales[[#This Row],[Ad_ID]],'[1]pre processed data'!A:S,19,0)</f>
        <v>Desktop</v>
      </c>
      <c r="M1339" t="str">
        <f>VLOOKUP(Googleadssales[[#This Row],[Ad_ID]],'[1]pre processed data'!A:T,20,0)</f>
        <v>data analytics training</v>
      </c>
    </row>
    <row r="1340" spans="1:13" x14ac:dyDescent="0.3">
      <c r="A1340" t="s">
        <v>1353</v>
      </c>
      <c r="B1340" t="s">
        <v>14</v>
      </c>
      <c r="C1340" s="4">
        <f>VLOOKUP(Googleadssales[[#This Row],[Ad_ID]],'[1]pre processed data'!A:C,3,0)</f>
        <v>156</v>
      </c>
      <c r="D1340" s="4">
        <f>VLOOKUP(Googleadssales[[#This Row],[Ad_ID]],'[1]pre processed data'!A:E,5,0)</f>
        <v>3506</v>
      </c>
      <c r="E1340" s="5" t="str">
        <f>VLOOKUP(Googleadssales[[#This Row],[Ad_ID]],[1]!Table3[[Ad_ID]:[Cost-imputed]],7,0)</f>
        <v>$242.9</v>
      </c>
      <c r="F1340" s="4">
        <f>VLOOKUP(Googleadssales[[#This Row],[Ad_ID]],'[1]pre processed data'!A:I,9,0)</f>
        <v>13</v>
      </c>
      <c r="G1340" s="4">
        <f>VLOOKUP(Googleadssales[[#This Row],[Ad_ID]],'[1]pre processed data'!A:K,11,0)</f>
        <v>6.5450819672131146</v>
      </c>
      <c r="H1340" s="2">
        <f>Googleadssales[[#This Row],[Conversions]]/Googleadssales[[#This Row],[Clicks]]</f>
        <v>4.1955653635981506E-2</v>
      </c>
      <c r="I1340" t="str">
        <f>VLOOKUP(Googleadssales[[#This Row],[Ad_ID]],'[1]pre processed data'!A:O,15,0)</f>
        <v>$1208</v>
      </c>
      <c r="J1340" s="3">
        <f>VLOOKUP(Googleadssales[[#This Row],[Ad_ID]],'[1]pre processed data'!A:Q,17,0)</f>
        <v>45597</v>
      </c>
      <c r="K1340" t="str">
        <f>VLOOKUP(Googleadssales[[#This Row],[Ad_ID]],'[1]pre processed data'!A:R,18,0)</f>
        <v>Hyderabad</v>
      </c>
      <c r="L1340" t="str">
        <f>VLOOKUP(Googleadssales[[#This Row],[Ad_ID]],'[1]pre processed data'!A:S,19,0)</f>
        <v>Desktop</v>
      </c>
      <c r="M1340" t="str">
        <f>VLOOKUP(Googleadssales[[#This Row],[Ad_ID]],'[1]pre processed data'!A:T,20,0)</f>
        <v>analytics for data</v>
      </c>
    </row>
    <row r="1341" spans="1:13" x14ac:dyDescent="0.3">
      <c r="A1341" t="s">
        <v>1354</v>
      </c>
      <c r="B1341" t="s">
        <v>14</v>
      </c>
      <c r="C1341" s="4">
        <f>VLOOKUP(Googleadssales[[#This Row],[Ad_ID]],'[1]pre processed data'!A:C,3,0)</f>
        <v>132</v>
      </c>
      <c r="D1341" s="4">
        <f>VLOOKUP(Googleadssales[[#This Row],[Ad_ID]],'[1]pre processed data'!A:E,5,0)</f>
        <v>3562</v>
      </c>
      <c r="E1341" s="5" t="str">
        <f>VLOOKUP(Googleadssales[[#This Row],[Ad_ID]],[1]!Table3[[Ad_ID]:[Cost-imputed]],7,0)</f>
        <v>$238.34</v>
      </c>
      <c r="F1341" s="4">
        <f>VLOOKUP(Googleadssales[[#This Row],[Ad_ID]],'[1]pre processed data'!A:I,9,0)</f>
        <v>23</v>
      </c>
      <c r="G1341" s="4">
        <f>VLOOKUP(Googleadssales[[#This Row],[Ad_ID]],'[1]pre processed data'!A:K,11,0)</f>
        <v>4</v>
      </c>
      <c r="H1341" s="2">
        <f>Googleadssales[[#This Row],[Conversions]]/Googleadssales[[#This Row],[Clicks]]</f>
        <v>3.0303030303030304E-2</v>
      </c>
      <c r="I1341" t="str">
        <f>VLOOKUP(Googleadssales[[#This Row],[Ad_ID]],'[1]pre processed data'!A:O,15,0)</f>
        <v>$1033</v>
      </c>
      <c r="J1341" s="3">
        <f>VLOOKUP(Googleadssales[[#This Row],[Ad_ID]],'[1]pre processed data'!A:Q,17,0)</f>
        <v>45625</v>
      </c>
      <c r="K1341" t="str">
        <f>VLOOKUP(Googleadssales[[#This Row],[Ad_ID]],'[1]pre processed data'!A:R,18,0)</f>
        <v>Hyderabad</v>
      </c>
      <c r="L1341" t="str">
        <f>VLOOKUP(Googleadssales[[#This Row],[Ad_ID]],'[1]pre processed data'!A:S,19,0)</f>
        <v>Tablet</v>
      </c>
      <c r="M1341" t="str">
        <f>VLOOKUP(Googleadssales[[#This Row],[Ad_ID]],'[1]pre processed data'!A:T,20,0)</f>
        <v>data analytics course</v>
      </c>
    </row>
    <row r="1342" spans="1:13" x14ac:dyDescent="0.3">
      <c r="A1342" t="s">
        <v>1355</v>
      </c>
      <c r="B1342" t="s">
        <v>18</v>
      </c>
      <c r="C1342" s="4">
        <f>VLOOKUP(Googleadssales[[#This Row],[Ad_ID]],'[1]pre processed data'!A:C,3,0)</f>
        <v>178</v>
      </c>
      <c r="D1342" s="4">
        <f>VLOOKUP(Googleadssales[[#This Row],[Ad_ID]],'[1]pre processed data'!A:E,5,0)</f>
        <v>4523.2808326787117</v>
      </c>
      <c r="E1342" s="5" t="str">
        <f>VLOOKUP(Googleadssales[[#This Row],[Ad_ID]],[1]!Table3[[Ad_ID]:[Cost-imputed]],7,0)</f>
        <v>$203.6</v>
      </c>
      <c r="F1342" s="4">
        <f>VLOOKUP(Googleadssales[[#This Row],[Ad_ID]],'[1]pre processed data'!A:I,9,0)</f>
        <v>12</v>
      </c>
      <c r="G1342" s="4">
        <f>VLOOKUP(Googleadssales[[#This Row],[Ad_ID]],'[1]pre processed data'!A:K,11,0)</f>
        <v>3</v>
      </c>
      <c r="H1342" s="2">
        <f>Googleadssales[[#This Row],[Conversions]]/Googleadssales[[#This Row],[Clicks]]</f>
        <v>1.6853932584269662E-2</v>
      </c>
      <c r="I1342" t="str">
        <f>VLOOKUP(Googleadssales[[#This Row],[Ad_ID]],'[1]pre processed data'!A:O,15,0)</f>
        <v>$1155</v>
      </c>
      <c r="J1342" s="3">
        <f>VLOOKUP(Googleadssales[[#This Row],[Ad_ID]],'[1]pre processed data'!A:Q,17,0)</f>
        <v>45598</v>
      </c>
      <c r="K1342" t="str">
        <f>VLOOKUP(Googleadssales[[#This Row],[Ad_ID]],'[1]pre processed data'!A:R,18,0)</f>
        <v>Hyderabad</v>
      </c>
      <c r="L1342" t="str">
        <f>VLOOKUP(Googleadssales[[#This Row],[Ad_ID]],'[1]pre processed data'!A:S,19,0)</f>
        <v>Tablet</v>
      </c>
      <c r="M1342" t="str">
        <f>VLOOKUP(Googleadssales[[#This Row],[Ad_ID]],'[1]pre processed data'!A:T,20,0)</f>
        <v>analytics for data</v>
      </c>
    </row>
    <row r="1343" spans="1:13" x14ac:dyDescent="0.3">
      <c r="A1343" t="s">
        <v>1356</v>
      </c>
      <c r="B1343" t="s">
        <v>18</v>
      </c>
      <c r="C1343" s="4">
        <f>VLOOKUP(Googleadssales[[#This Row],[Ad_ID]],'[1]pre processed data'!A:C,3,0)</f>
        <v>153</v>
      </c>
      <c r="D1343" s="4">
        <f>VLOOKUP(Googleadssales[[#This Row],[Ad_ID]],'[1]pre processed data'!A:E,5,0)</f>
        <v>3953</v>
      </c>
      <c r="E1343" s="5" t="str">
        <f>VLOOKUP(Googleadssales[[#This Row],[Ad_ID]],[1]!Table3[[Ad_ID]:[Cost-imputed]],7,0)</f>
        <v>$237.56</v>
      </c>
      <c r="F1343" s="4">
        <f>VLOOKUP(Googleadssales[[#This Row],[Ad_ID]],'[1]pre processed data'!A:I,9,0)</f>
        <v>20</v>
      </c>
      <c r="G1343" s="4">
        <f>VLOOKUP(Googleadssales[[#This Row],[Ad_ID]],'[1]pre processed data'!A:K,11,0)</f>
        <v>6</v>
      </c>
      <c r="H1343" s="2">
        <f>Googleadssales[[#This Row],[Conversions]]/Googleadssales[[#This Row],[Clicks]]</f>
        <v>3.9215686274509803E-2</v>
      </c>
      <c r="I1343" t="str">
        <f>VLOOKUP(Googleadssales[[#This Row],[Ad_ID]],'[1]pre processed data'!A:O,15,0)</f>
        <v>$1388</v>
      </c>
      <c r="J1343" s="3">
        <f>VLOOKUP(Googleadssales[[#This Row],[Ad_ID]],'[1]pre processed data'!A:Q,17,0)</f>
        <v>45622</v>
      </c>
      <c r="K1343" t="str">
        <f>VLOOKUP(Googleadssales[[#This Row],[Ad_ID]],'[1]pre processed data'!A:R,18,0)</f>
        <v>Hyderabad</v>
      </c>
      <c r="L1343" t="str">
        <f>VLOOKUP(Googleadssales[[#This Row],[Ad_ID]],'[1]pre processed data'!A:S,19,0)</f>
        <v>Tablet</v>
      </c>
      <c r="M1343" t="str">
        <f>VLOOKUP(Googleadssales[[#This Row],[Ad_ID]],'[1]pre processed data'!A:T,20,0)</f>
        <v>learn data analytics</v>
      </c>
    </row>
    <row r="1344" spans="1:13" x14ac:dyDescent="0.3">
      <c r="A1344" t="s">
        <v>1357</v>
      </c>
      <c r="B1344" t="s">
        <v>14</v>
      </c>
      <c r="C1344" s="4">
        <f>VLOOKUP(Googleadssales[[#This Row],[Ad_ID]],'[1]pre processed data'!A:C,3,0)</f>
        <v>187</v>
      </c>
      <c r="D1344" s="4">
        <f>VLOOKUP(Googleadssales[[#This Row],[Ad_ID]],'[1]pre processed data'!A:E,5,0)</f>
        <v>4891</v>
      </c>
      <c r="E1344" s="5" t="str">
        <f>VLOOKUP(Googleadssales[[#This Row],[Ad_ID]],[1]!Table3[[Ad_ID]:[Cost-imputed]],7,0)</f>
        <v>$223.99</v>
      </c>
      <c r="F1344" s="4">
        <f>VLOOKUP(Googleadssales[[#This Row],[Ad_ID]],'[1]pre processed data'!A:I,9,0)</f>
        <v>14</v>
      </c>
      <c r="G1344" s="4">
        <f>VLOOKUP(Googleadssales[[#This Row],[Ad_ID]],'[1]pre processed data'!A:K,11,0)</f>
        <v>8</v>
      </c>
      <c r="H1344" s="2">
        <f>Googleadssales[[#This Row],[Conversions]]/Googleadssales[[#This Row],[Clicks]]</f>
        <v>4.2780748663101602E-2</v>
      </c>
      <c r="I1344" t="str">
        <f>VLOOKUP(Googleadssales[[#This Row],[Ad_ID]],'[1]pre processed data'!A:O,15,0)</f>
        <v>$1014</v>
      </c>
      <c r="J1344" s="3">
        <f>VLOOKUP(Googleadssales[[#This Row],[Ad_ID]],'[1]pre processed data'!A:Q,17,0)</f>
        <v>45622</v>
      </c>
      <c r="K1344" t="str">
        <f>VLOOKUP(Googleadssales[[#This Row],[Ad_ID]],'[1]pre processed data'!A:R,18,0)</f>
        <v>Bangaluru</v>
      </c>
      <c r="L1344" t="str">
        <f>VLOOKUP(Googleadssales[[#This Row],[Ad_ID]],'[1]pre processed data'!A:S,19,0)</f>
        <v>Mobile</v>
      </c>
      <c r="M1344" t="str">
        <f>VLOOKUP(Googleadssales[[#This Row],[Ad_ID]],'[1]pre processed data'!A:T,20,0)</f>
        <v>online data analytic</v>
      </c>
    </row>
    <row r="1345" spans="1:13" x14ac:dyDescent="0.3">
      <c r="A1345" t="s">
        <v>1358</v>
      </c>
      <c r="B1345" t="s">
        <v>14</v>
      </c>
      <c r="C1345" s="4">
        <f>VLOOKUP(Googleadssales[[#This Row],[Ad_ID]],'[1]pre processed data'!A:C,3,0)</f>
        <v>155</v>
      </c>
      <c r="D1345" s="4">
        <f>VLOOKUP(Googleadssales[[#This Row],[Ad_ID]],'[1]pre processed data'!A:E,5,0)</f>
        <v>4976</v>
      </c>
      <c r="E1345" s="5" t="str">
        <f>VLOOKUP(Googleadssales[[#This Row],[Ad_ID]],[1]!Table3[[Ad_ID]:[Cost-imputed]],7,0)</f>
        <v>$183.21</v>
      </c>
      <c r="F1345" s="4">
        <f>VLOOKUP(Googleadssales[[#This Row],[Ad_ID]],'[1]pre processed data'!A:I,9,0)</f>
        <v>10</v>
      </c>
      <c r="G1345" s="4">
        <f>VLOOKUP(Googleadssales[[#This Row],[Ad_ID]],'[1]pre processed data'!A:K,11,0)</f>
        <v>5</v>
      </c>
      <c r="H1345" s="2">
        <f>Googleadssales[[#This Row],[Conversions]]/Googleadssales[[#This Row],[Clicks]]</f>
        <v>3.2258064516129031E-2</v>
      </c>
      <c r="I1345" t="str">
        <f>VLOOKUP(Googleadssales[[#This Row],[Ad_ID]],'[1]pre processed data'!A:O,15,0)</f>
        <v>$1554</v>
      </c>
      <c r="J1345" s="3">
        <f>VLOOKUP(Googleadssales[[#This Row],[Ad_ID]],'[1]pre processed data'!A:Q,17,0)</f>
        <v>45609</v>
      </c>
      <c r="K1345" t="str">
        <f>VLOOKUP(Googleadssales[[#This Row],[Ad_ID]],'[1]pre processed data'!A:R,18,0)</f>
        <v>Hyderabad</v>
      </c>
      <c r="L1345" t="str">
        <f>VLOOKUP(Googleadssales[[#This Row],[Ad_ID]],'[1]pre processed data'!A:S,19,0)</f>
        <v>Tablet</v>
      </c>
      <c r="M1345" t="str">
        <f>VLOOKUP(Googleadssales[[#This Row],[Ad_ID]],'[1]pre processed data'!A:T,20,0)</f>
        <v>online data analytic</v>
      </c>
    </row>
    <row r="1346" spans="1:13" x14ac:dyDescent="0.3">
      <c r="A1346" t="s">
        <v>1359</v>
      </c>
      <c r="B1346" t="s">
        <v>14</v>
      </c>
      <c r="C1346" s="4">
        <f>VLOOKUP(Googleadssales[[#This Row],[Ad_ID]],'[1]pre processed data'!A:C,3,0)</f>
        <v>90</v>
      </c>
      <c r="D1346" s="4">
        <f>VLOOKUP(Googleadssales[[#This Row],[Ad_ID]],'[1]pre processed data'!A:E,5,0)</f>
        <v>5781</v>
      </c>
      <c r="E1346" s="5" t="str">
        <f>VLOOKUP(Googleadssales[[#This Row],[Ad_ID]],[1]!Table3[[Ad_ID]:[Cost-imputed]],7,0)</f>
        <v>$200.71</v>
      </c>
      <c r="F1346" s="4">
        <f>VLOOKUP(Googleadssales[[#This Row],[Ad_ID]],'[1]pre processed data'!A:I,9,0)</f>
        <v>28</v>
      </c>
      <c r="G1346" s="4">
        <f>VLOOKUP(Googleadssales[[#This Row],[Ad_ID]],'[1]pre processed data'!A:K,11,0)</f>
        <v>5</v>
      </c>
      <c r="H1346" s="2">
        <f>Googleadssales[[#This Row],[Conversions]]/Googleadssales[[#This Row],[Clicks]]</f>
        <v>5.5555555555555552E-2</v>
      </c>
      <c r="I1346" t="str">
        <f>VLOOKUP(Googleadssales[[#This Row],[Ad_ID]],'[1]pre processed data'!A:O,15,0)</f>
        <v>$1500</v>
      </c>
      <c r="J1346" s="3">
        <f>VLOOKUP(Googleadssales[[#This Row],[Ad_ID]],'[1]pre processed data'!A:Q,17,0)</f>
        <v>45603</v>
      </c>
      <c r="K1346" t="str">
        <f>VLOOKUP(Googleadssales[[#This Row],[Ad_ID]],'[1]pre processed data'!A:R,18,0)</f>
        <v>Bangaluru</v>
      </c>
      <c r="L1346" t="str">
        <f>VLOOKUP(Googleadssales[[#This Row],[Ad_ID]],'[1]pre processed data'!A:S,19,0)</f>
        <v>Mobile</v>
      </c>
      <c r="M1346" t="str">
        <f>VLOOKUP(Googleadssales[[#This Row],[Ad_ID]],'[1]pre processed data'!A:T,20,0)</f>
        <v>data analytics online</v>
      </c>
    </row>
    <row r="1347" spans="1:13" x14ac:dyDescent="0.3">
      <c r="A1347" t="s">
        <v>1360</v>
      </c>
      <c r="B1347" t="s">
        <v>18</v>
      </c>
      <c r="C1347" s="4">
        <f>VLOOKUP(Googleadssales[[#This Row],[Ad_ID]],'[1]pre processed data'!A:C,3,0)</f>
        <v>172</v>
      </c>
      <c r="D1347" s="4">
        <f>VLOOKUP(Googleadssales[[#This Row],[Ad_ID]],'[1]pre processed data'!A:E,5,0)</f>
        <v>3001</v>
      </c>
      <c r="E1347" s="5" t="str">
        <f>VLOOKUP(Googleadssales[[#This Row],[Ad_ID]],[1]!Table3[[Ad_ID]:[Cost-imputed]],7,0)</f>
        <v>$210.62</v>
      </c>
      <c r="F1347" s="4">
        <f>VLOOKUP(Googleadssales[[#This Row],[Ad_ID]],'[1]pre processed data'!A:I,9,0)</f>
        <v>14</v>
      </c>
      <c r="G1347" s="4">
        <f>VLOOKUP(Googleadssales[[#This Row],[Ad_ID]],'[1]pre processed data'!A:K,11,0)</f>
        <v>4</v>
      </c>
      <c r="H1347" s="2">
        <f>Googleadssales[[#This Row],[Conversions]]/Googleadssales[[#This Row],[Clicks]]</f>
        <v>2.3255813953488372E-2</v>
      </c>
      <c r="I1347" t="str">
        <f>VLOOKUP(Googleadssales[[#This Row],[Ad_ID]],'[1]pre processed data'!A:O,15,0)</f>
        <v>$1192</v>
      </c>
      <c r="J1347" s="3">
        <f>VLOOKUP(Googleadssales[[#This Row],[Ad_ID]],'[1]pre processed data'!A:Q,17,0)</f>
        <v>45621</v>
      </c>
      <c r="K1347" t="str">
        <f>VLOOKUP(Googleadssales[[#This Row],[Ad_ID]],'[1]pre processed data'!A:R,18,0)</f>
        <v>Hyderabad</v>
      </c>
      <c r="L1347" t="str">
        <f>VLOOKUP(Googleadssales[[#This Row],[Ad_ID]],'[1]pre processed data'!A:S,19,0)</f>
        <v>Tablet</v>
      </c>
      <c r="M1347" t="str">
        <f>VLOOKUP(Googleadssales[[#This Row],[Ad_ID]],'[1]pre processed data'!A:T,20,0)</f>
        <v>data analytics online</v>
      </c>
    </row>
    <row r="1348" spans="1:13" x14ac:dyDescent="0.3">
      <c r="A1348" t="s">
        <v>1361</v>
      </c>
      <c r="B1348" t="s">
        <v>14</v>
      </c>
      <c r="C1348" s="4">
        <f>VLOOKUP(Googleadssales[[#This Row],[Ad_ID]],'[1]pre processed data'!A:C,3,0)</f>
        <v>92</v>
      </c>
      <c r="D1348" s="4">
        <f>VLOOKUP(Googleadssales[[#This Row],[Ad_ID]],'[1]pre processed data'!A:E,5,0)</f>
        <v>5728</v>
      </c>
      <c r="E1348" s="5" t="str">
        <f>VLOOKUP(Googleadssales[[#This Row],[Ad_ID]],[1]!Table3[[Ad_ID]:[Cost-imputed]],7,0)</f>
        <v>$224.5</v>
      </c>
      <c r="F1348" s="4">
        <f>VLOOKUP(Googleadssales[[#This Row],[Ad_ID]],'[1]pre processed data'!A:I,9,0)</f>
        <v>14</v>
      </c>
      <c r="G1348" s="4">
        <f>VLOOKUP(Googleadssales[[#This Row],[Ad_ID]],'[1]pre processed data'!A:K,11,0)</f>
        <v>9</v>
      </c>
      <c r="H1348" s="2">
        <f>Googleadssales[[#This Row],[Conversions]]/Googleadssales[[#This Row],[Clicks]]</f>
        <v>9.7826086956521743E-2</v>
      </c>
      <c r="I1348" t="str">
        <f>VLOOKUP(Googleadssales[[#This Row],[Ad_ID]],'[1]pre processed data'!A:O,15,0)</f>
        <v>$1876</v>
      </c>
      <c r="J1348" s="3">
        <f>VLOOKUP(Googleadssales[[#This Row],[Ad_ID]],'[1]pre processed data'!A:Q,17,0)</f>
        <v>45622</v>
      </c>
      <c r="K1348" t="str">
        <f>VLOOKUP(Googleadssales[[#This Row],[Ad_ID]],'[1]pre processed data'!A:R,18,0)</f>
        <v>Hyderabad</v>
      </c>
      <c r="L1348" t="str">
        <f>VLOOKUP(Googleadssales[[#This Row],[Ad_ID]],'[1]pre processed data'!A:S,19,0)</f>
        <v>Tablet</v>
      </c>
      <c r="M1348" t="str">
        <f>VLOOKUP(Googleadssales[[#This Row],[Ad_ID]],'[1]pre processed data'!A:T,20,0)</f>
        <v>online data analytic</v>
      </c>
    </row>
    <row r="1349" spans="1:13" x14ac:dyDescent="0.3">
      <c r="A1349" t="s">
        <v>1362</v>
      </c>
      <c r="B1349" t="s">
        <v>14</v>
      </c>
      <c r="C1349" s="4">
        <f>VLOOKUP(Googleadssales[[#This Row],[Ad_ID]],'[1]pre processed data'!A:C,3,0)</f>
        <v>162</v>
      </c>
      <c r="D1349" s="4">
        <f>VLOOKUP(Googleadssales[[#This Row],[Ad_ID]],'[1]pre processed data'!A:E,5,0)</f>
        <v>5103</v>
      </c>
      <c r="E1349" s="5" t="str">
        <f>VLOOKUP(Googleadssales[[#This Row],[Ad_ID]],[1]!Table3[[Ad_ID]:[Cost-imputed]],7,0)</f>
        <v>$188.15</v>
      </c>
      <c r="F1349" s="4">
        <f>VLOOKUP(Googleadssales[[#This Row],[Ad_ID]],'[1]pre processed data'!A:I,9,0)</f>
        <v>13</v>
      </c>
      <c r="G1349" s="4">
        <f>VLOOKUP(Googleadssales[[#This Row],[Ad_ID]],'[1]pre processed data'!A:K,11,0)</f>
        <v>9</v>
      </c>
      <c r="H1349" s="2">
        <f>Googleadssales[[#This Row],[Conversions]]/Googleadssales[[#This Row],[Clicks]]</f>
        <v>5.5555555555555552E-2</v>
      </c>
      <c r="I1349" t="str">
        <f>VLOOKUP(Googleadssales[[#This Row],[Ad_ID]],'[1]pre processed data'!A:O,15,0)</f>
        <v>$1264</v>
      </c>
      <c r="J1349" s="3">
        <f>VLOOKUP(Googleadssales[[#This Row],[Ad_ID]],'[1]pre processed data'!A:Q,17,0)</f>
        <v>45624</v>
      </c>
      <c r="K1349" t="str">
        <f>VLOOKUP(Googleadssales[[#This Row],[Ad_ID]],'[1]pre processed data'!A:R,18,0)</f>
        <v>Hyderabad</v>
      </c>
      <c r="L1349" t="str">
        <f>VLOOKUP(Googleadssales[[#This Row],[Ad_ID]],'[1]pre processed data'!A:S,19,0)</f>
        <v>Mobile</v>
      </c>
      <c r="M1349" t="str">
        <f>VLOOKUP(Googleadssales[[#This Row],[Ad_ID]],'[1]pre processed data'!A:T,20,0)</f>
        <v>analytics for data</v>
      </c>
    </row>
    <row r="1350" spans="1:13" x14ac:dyDescent="0.3">
      <c r="A1350" t="s">
        <v>1363</v>
      </c>
      <c r="B1350" t="s">
        <v>14</v>
      </c>
      <c r="C1350" s="4">
        <f>VLOOKUP(Googleadssales[[#This Row],[Ad_ID]],'[1]pre processed data'!A:C,3,0)</f>
        <v>193</v>
      </c>
      <c r="D1350" s="4">
        <f>VLOOKUP(Googleadssales[[#This Row],[Ad_ID]],'[1]pre processed data'!A:E,5,0)</f>
        <v>3131</v>
      </c>
      <c r="E1350" s="5" t="str">
        <f>VLOOKUP(Googleadssales[[#This Row],[Ad_ID]],[1]!Table3[[Ad_ID]:[Cost-imputed]],7,0)</f>
        <v>$198.1</v>
      </c>
      <c r="F1350" s="4">
        <f>VLOOKUP(Googleadssales[[#This Row],[Ad_ID]],'[1]pre processed data'!A:I,9,0)</f>
        <v>22</v>
      </c>
      <c r="G1350" s="4">
        <f>VLOOKUP(Googleadssales[[#This Row],[Ad_ID]],'[1]pre processed data'!A:K,11,0)</f>
        <v>5</v>
      </c>
      <c r="H1350" s="2">
        <f>Googleadssales[[#This Row],[Conversions]]/Googleadssales[[#This Row],[Clicks]]</f>
        <v>2.5906735751295335E-2</v>
      </c>
      <c r="I1350" t="str">
        <f>VLOOKUP(Googleadssales[[#This Row],[Ad_ID]],'[1]pre processed data'!A:O,15,0)</f>
        <v>$1870</v>
      </c>
      <c r="J1350" s="3">
        <f>VLOOKUP(Googleadssales[[#This Row],[Ad_ID]],'[1]pre processed data'!A:Q,17,0)</f>
        <v>45615</v>
      </c>
      <c r="K1350" t="str">
        <f>VLOOKUP(Googleadssales[[#This Row],[Ad_ID]],'[1]pre processed data'!A:R,18,0)</f>
        <v>Bangaluru</v>
      </c>
      <c r="L1350" t="str">
        <f>VLOOKUP(Googleadssales[[#This Row],[Ad_ID]],'[1]pre processed data'!A:S,19,0)</f>
        <v>Tablet</v>
      </c>
      <c r="M1350" t="str">
        <f>VLOOKUP(Googleadssales[[#This Row],[Ad_ID]],'[1]pre processed data'!A:T,20,0)</f>
        <v>data analytics course</v>
      </c>
    </row>
    <row r="1351" spans="1:13" x14ac:dyDescent="0.3">
      <c r="A1351" t="s">
        <v>1364</v>
      </c>
      <c r="B1351" t="s">
        <v>18</v>
      </c>
      <c r="C1351" s="4">
        <f>VLOOKUP(Googleadssales[[#This Row],[Ad_ID]],'[1]pre processed data'!A:C,3,0)</f>
        <v>138.95699356913184</v>
      </c>
      <c r="D1351" s="4">
        <f>VLOOKUP(Googleadssales[[#This Row],[Ad_ID]],'[1]pre processed data'!A:E,5,0)</f>
        <v>3547</v>
      </c>
      <c r="E1351" s="5" t="str">
        <f>VLOOKUP(Googleadssales[[#This Row],[Ad_ID]],[1]!Table3[[Ad_ID]:[Cost-imputed]],7,0)</f>
        <v>$238.34</v>
      </c>
      <c r="F1351" s="4">
        <f>VLOOKUP(Googleadssales[[#This Row],[Ad_ID]],'[1]pre processed data'!A:I,9,0)</f>
        <v>13</v>
      </c>
      <c r="G1351" s="4">
        <f>VLOOKUP(Googleadssales[[#This Row],[Ad_ID]],'[1]pre processed data'!A:K,11,0)</f>
        <v>5</v>
      </c>
      <c r="H1351" s="2">
        <f>Googleadssales[[#This Row],[Conversions]]/Googleadssales[[#This Row],[Clicks]]</f>
        <v>3.5982355918721523E-2</v>
      </c>
      <c r="I1351" t="str">
        <f>VLOOKUP(Googleadssales[[#This Row],[Ad_ID]],'[1]pre processed data'!A:O,15,0)</f>
        <v>$1130</v>
      </c>
      <c r="J1351" s="3">
        <f>VLOOKUP(Googleadssales[[#This Row],[Ad_ID]],'[1]pre processed data'!A:Q,17,0)</f>
        <v>45598</v>
      </c>
      <c r="K1351" t="str">
        <f>VLOOKUP(Googleadssales[[#This Row],[Ad_ID]],'[1]pre processed data'!A:R,18,0)</f>
        <v>Hyderabad</v>
      </c>
      <c r="L1351" t="str">
        <f>VLOOKUP(Googleadssales[[#This Row],[Ad_ID]],'[1]pre processed data'!A:S,19,0)</f>
        <v>Desktop</v>
      </c>
      <c r="M1351" t="str">
        <f>VLOOKUP(Googleadssales[[#This Row],[Ad_ID]],'[1]pre processed data'!A:T,20,0)</f>
        <v>data analytics online</v>
      </c>
    </row>
    <row r="1352" spans="1:13" x14ac:dyDescent="0.3">
      <c r="A1352" t="s">
        <v>1365</v>
      </c>
      <c r="B1352" t="s">
        <v>18</v>
      </c>
      <c r="C1352" s="4">
        <f>VLOOKUP(Googleadssales[[#This Row],[Ad_ID]],'[1]pre processed data'!A:C,3,0)</f>
        <v>185</v>
      </c>
      <c r="D1352" s="4">
        <f>VLOOKUP(Googleadssales[[#This Row],[Ad_ID]],'[1]pre processed data'!A:E,5,0)</f>
        <v>4070</v>
      </c>
      <c r="E1352" s="5" t="str">
        <f>VLOOKUP(Googleadssales[[#This Row],[Ad_ID]],[1]!Table3[[Ad_ID]:[Cost-imputed]],7,0)</f>
        <v>$200.95</v>
      </c>
      <c r="F1352" s="4">
        <f>VLOOKUP(Googleadssales[[#This Row],[Ad_ID]],'[1]pre processed data'!A:I,9,0)</f>
        <v>21</v>
      </c>
      <c r="G1352" s="4">
        <f>VLOOKUP(Googleadssales[[#This Row],[Ad_ID]],'[1]pre processed data'!A:K,11,0)</f>
        <v>5</v>
      </c>
      <c r="H1352" s="2">
        <f>Googleadssales[[#This Row],[Conversions]]/Googleadssales[[#This Row],[Clicks]]</f>
        <v>2.7027027027027029E-2</v>
      </c>
      <c r="I1352" t="str">
        <f>VLOOKUP(Googleadssales[[#This Row],[Ad_ID]],'[1]pre processed data'!A:O,15,0)</f>
        <v>$1503</v>
      </c>
      <c r="J1352" s="3">
        <f>VLOOKUP(Googleadssales[[#This Row],[Ad_ID]],'[1]pre processed data'!A:Q,17,0)</f>
        <v>45603</v>
      </c>
      <c r="K1352" t="str">
        <f>VLOOKUP(Googleadssales[[#This Row],[Ad_ID]],'[1]pre processed data'!A:R,18,0)</f>
        <v>Hyderabad</v>
      </c>
      <c r="L1352" t="str">
        <f>VLOOKUP(Googleadssales[[#This Row],[Ad_ID]],'[1]pre processed data'!A:S,19,0)</f>
        <v>Mobile</v>
      </c>
      <c r="M1352" t="str">
        <f>VLOOKUP(Googleadssales[[#This Row],[Ad_ID]],'[1]pre processed data'!A:T,20,0)</f>
        <v>online data analytic</v>
      </c>
    </row>
    <row r="1353" spans="1:13" x14ac:dyDescent="0.3">
      <c r="A1353" t="s">
        <v>1366</v>
      </c>
      <c r="B1353" t="s">
        <v>18</v>
      </c>
      <c r="C1353" s="4">
        <f>VLOOKUP(Googleadssales[[#This Row],[Ad_ID]],'[1]pre processed data'!A:C,3,0)</f>
        <v>117</v>
      </c>
      <c r="D1353" s="4">
        <f>VLOOKUP(Googleadssales[[#This Row],[Ad_ID]],'[1]pre processed data'!A:E,5,0)</f>
        <v>3350</v>
      </c>
      <c r="E1353" s="5" t="str">
        <f>VLOOKUP(Googleadssales[[#This Row],[Ad_ID]],[1]!Table3[[Ad_ID]:[Cost-imputed]],7,0)</f>
        <v>$243.68</v>
      </c>
      <c r="F1353" s="4">
        <f>VLOOKUP(Googleadssales[[#This Row],[Ad_ID]],'[1]pre processed data'!A:I,9,0)</f>
        <v>23</v>
      </c>
      <c r="G1353" s="4">
        <f>VLOOKUP(Googleadssales[[#This Row],[Ad_ID]],'[1]pre processed data'!A:K,11,0)</f>
        <v>5</v>
      </c>
      <c r="H1353" s="2">
        <f>Googleadssales[[#This Row],[Conversions]]/Googleadssales[[#This Row],[Clicks]]</f>
        <v>4.2735042735042736E-2</v>
      </c>
      <c r="I1353" t="str">
        <f>VLOOKUP(Googleadssales[[#This Row],[Ad_ID]],'[1]pre processed data'!A:O,15,0)</f>
        <v>$1204</v>
      </c>
      <c r="J1353" s="3">
        <f>VLOOKUP(Googleadssales[[#This Row],[Ad_ID]],'[1]pre processed data'!A:Q,17,0)</f>
        <v>45610</v>
      </c>
      <c r="K1353" t="str">
        <f>VLOOKUP(Googleadssales[[#This Row],[Ad_ID]],'[1]pre processed data'!A:R,18,0)</f>
        <v>Hyderabad</v>
      </c>
      <c r="L1353" t="str">
        <f>VLOOKUP(Googleadssales[[#This Row],[Ad_ID]],'[1]pre processed data'!A:S,19,0)</f>
        <v>Desktop</v>
      </c>
      <c r="M1353" t="str">
        <f>VLOOKUP(Googleadssales[[#This Row],[Ad_ID]],'[1]pre processed data'!A:T,20,0)</f>
        <v>analytics for data</v>
      </c>
    </row>
    <row r="1354" spans="1:13" x14ac:dyDescent="0.3">
      <c r="A1354" t="s">
        <v>1367</v>
      </c>
      <c r="B1354" t="s">
        <v>14</v>
      </c>
      <c r="C1354" s="4">
        <f>VLOOKUP(Googleadssales[[#This Row],[Ad_ID]],'[1]pre processed data'!A:C,3,0)</f>
        <v>123</v>
      </c>
      <c r="D1354" s="4">
        <f>VLOOKUP(Googleadssales[[#This Row],[Ad_ID]],'[1]pre processed data'!A:E,5,0)</f>
        <v>4976</v>
      </c>
      <c r="E1354" s="5" t="str">
        <f>VLOOKUP(Googleadssales[[#This Row],[Ad_ID]],[1]!Table3[[Ad_ID]:[Cost-imputed]],7,0)</f>
        <v>$244.49</v>
      </c>
      <c r="F1354" s="4">
        <f>VLOOKUP(Googleadssales[[#This Row],[Ad_ID]],'[1]pre processed data'!A:I,9,0)</f>
        <v>14</v>
      </c>
      <c r="G1354" s="4">
        <f>VLOOKUP(Googleadssales[[#This Row],[Ad_ID]],'[1]pre processed data'!A:K,11,0)</f>
        <v>4</v>
      </c>
      <c r="H1354" s="2">
        <f>Googleadssales[[#This Row],[Conversions]]/Googleadssales[[#This Row],[Clicks]]</f>
        <v>3.2520325203252036E-2</v>
      </c>
      <c r="I1354" t="str">
        <f>VLOOKUP(Googleadssales[[#This Row],[Ad_ID]],'[1]pre processed data'!A:O,15,0)</f>
        <v>$1579</v>
      </c>
      <c r="J1354" s="3">
        <f>VLOOKUP(Googleadssales[[#This Row],[Ad_ID]],'[1]pre processed data'!A:Q,17,0)</f>
        <v>45598</v>
      </c>
      <c r="K1354" t="str">
        <f>VLOOKUP(Googleadssales[[#This Row],[Ad_ID]],'[1]pre processed data'!A:R,18,0)</f>
        <v>Chennai</v>
      </c>
      <c r="L1354" t="str">
        <f>VLOOKUP(Googleadssales[[#This Row],[Ad_ID]],'[1]pre processed data'!A:S,19,0)</f>
        <v>Desktop</v>
      </c>
      <c r="M1354" t="str">
        <f>VLOOKUP(Googleadssales[[#This Row],[Ad_ID]],'[1]pre processed data'!A:T,20,0)</f>
        <v>analytics for data</v>
      </c>
    </row>
    <row r="1355" spans="1:13" x14ac:dyDescent="0.3">
      <c r="A1355" t="s">
        <v>1368</v>
      </c>
      <c r="B1355" t="s">
        <v>14</v>
      </c>
      <c r="C1355" s="4">
        <f>VLOOKUP(Googleadssales[[#This Row],[Ad_ID]],'[1]pre processed data'!A:C,3,0)</f>
        <v>181</v>
      </c>
      <c r="D1355" s="4">
        <f>VLOOKUP(Googleadssales[[#This Row],[Ad_ID]],'[1]pre processed data'!A:E,5,0)</f>
        <v>5612</v>
      </c>
      <c r="E1355" s="5" t="str">
        <f>VLOOKUP(Googleadssales[[#This Row],[Ad_ID]],[1]!Table3[[Ad_ID]:[Cost-imputed]],7,0)</f>
        <v>$203.66</v>
      </c>
      <c r="F1355" s="4">
        <f>VLOOKUP(Googleadssales[[#This Row],[Ad_ID]],'[1]pre processed data'!A:I,9,0)</f>
        <v>17</v>
      </c>
      <c r="G1355" s="4">
        <f>VLOOKUP(Googleadssales[[#This Row],[Ad_ID]],'[1]pre processed data'!A:K,11,0)</f>
        <v>3</v>
      </c>
      <c r="H1355" s="2">
        <f>Googleadssales[[#This Row],[Conversions]]/Googleadssales[[#This Row],[Clicks]]</f>
        <v>1.6574585635359115E-2</v>
      </c>
      <c r="I1355" t="str">
        <f>VLOOKUP(Googleadssales[[#This Row],[Ad_ID]],'[1]pre processed data'!A:O,15,0)</f>
        <v>$1500</v>
      </c>
      <c r="J1355" s="3">
        <f>VLOOKUP(Googleadssales[[#This Row],[Ad_ID]],'[1]pre processed data'!A:Q,17,0)</f>
        <v>45603</v>
      </c>
      <c r="K1355" t="str">
        <f>VLOOKUP(Googleadssales[[#This Row],[Ad_ID]],'[1]pre processed data'!A:R,18,0)</f>
        <v>Hyderabad</v>
      </c>
      <c r="L1355" t="str">
        <f>VLOOKUP(Googleadssales[[#This Row],[Ad_ID]],'[1]pre processed data'!A:S,19,0)</f>
        <v>Tablet</v>
      </c>
      <c r="M1355" t="str">
        <f>VLOOKUP(Googleadssales[[#This Row],[Ad_ID]],'[1]pre processed data'!A:T,20,0)</f>
        <v>data analytics training</v>
      </c>
    </row>
    <row r="1356" spans="1:13" x14ac:dyDescent="0.3">
      <c r="A1356" t="s">
        <v>1369</v>
      </c>
      <c r="B1356" t="s">
        <v>18</v>
      </c>
      <c r="C1356" s="4">
        <f>VLOOKUP(Googleadssales[[#This Row],[Ad_ID]],'[1]pre processed data'!A:C,3,0)</f>
        <v>118</v>
      </c>
      <c r="D1356" s="4">
        <f>VLOOKUP(Googleadssales[[#This Row],[Ad_ID]],'[1]pre processed data'!A:E,5,0)</f>
        <v>4390</v>
      </c>
      <c r="E1356" s="5" t="str">
        <f>VLOOKUP(Googleadssales[[#This Row],[Ad_ID]],[1]!Table3[[Ad_ID]:[Cost-imputed]],7,0)</f>
        <v>$214.04</v>
      </c>
      <c r="F1356" s="4">
        <f>VLOOKUP(Googleadssales[[#This Row],[Ad_ID]],'[1]pre processed data'!A:I,9,0)</f>
        <v>24</v>
      </c>
      <c r="G1356" s="4">
        <f>VLOOKUP(Googleadssales[[#This Row],[Ad_ID]],'[1]pre processed data'!A:K,11,0)</f>
        <v>8</v>
      </c>
      <c r="H1356" s="2">
        <f>Googleadssales[[#This Row],[Conversions]]/Googleadssales[[#This Row],[Clicks]]</f>
        <v>6.7796610169491525E-2</v>
      </c>
      <c r="I1356" t="str">
        <f>VLOOKUP(Googleadssales[[#This Row],[Ad_ID]],'[1]pre processed data'!A:O,15,0)</f>
        <v>$1071</v>
      </c>
      <c r="J1356" s="3">
        <f>VLOOKUP(Googleadssales[[#This Row],[Ad_ID]],'[1]pre processed data'!A:Q,17,0)</f>
        <v>45614</v>
      </c>
      <c r="K1356" t="str">
        <f>VLOOKUP(Googleadssales[[#This Row],[Ad_ID]],'[1]pre processed data'!A:R,18,0)</f>
        <v>Hyderabad</v>
      </c>
      <c r="L1356" t="str">
        <f>VLOOKUP(Googleadssales[[#This Row],[Ad_ID]],'[1]pre processed data'!A:S,19,0)</f>
        <v>Tablet</v>
      </c>
      <c r="M1356" t="str">
        <f>VLOOKUP(Googleadssales[[#This Row],[Ad_ID]],'[1]pre processed data'!A:T,20,0)</f>
        <v>analytics for data</v>
      </c>
    </row>
    <row r="1357" spans="1:13" x14ac:dyDescent="0.3">
      <c r="A1357" t="s">
        <v>1370</v>
      </c>
      <c r="B1357" t="s">
        <v>14</v>
      </c>
      <c r="C1357" s="4">
        <f>VLOOKUP(Googleadssales[[#This Row],[Ad_ID]],'[1]pre processed data'!A:C,3,0)</f>
        <v>82</v>
      </c>
      <c r="D1357" s="4">
        <f>VLOOKUP(Googleadssales[[#This Row],[Ad_ID]],'[1]pre processed data'!A:E,5,0)</f>
        <v>3698</v>
      </c>
      <c r="E1357" s="5" t="str">
        <f>VLOOKUP(Googleadssales[[#This Row],[Ad_ID]],[1]!Table3[[Ad_ID]:[Cost-imputed]],7,0)</f>
        <v>$229.12</v>
      </c>
      <c r="F1357" s="4">
        <f>VLOOKUP(Googleadssales[[#This Row],[Ad_ID]],'[1]pre processed data'!A:I,9,0)</f>
        <v>30</v>
      </c>
      <c r="G1357" s="4">
        <f>VLOOKUP(Googleadssales[[#This Row],[Ad_ID]],'[1]pre processed data'!A:K,11,0)</f>
        <v>9</v>
      </c>
      <c r="H1357" s="2">
        <f>Googleadssales[[#This Row],[Conversions]]/Googleadssales[[#This Row],[Clicks]]</f>
        <v>0.10975609756097561</v>
      </c>
      <c r="I1357" t="str">
        <f>VLOOKUP(Googleadssales[[#This Row],[Ad_ID]],'[1]pre processed data'!A:O,15,0)</f>
        <v>$1246</v>
      </c>
      <c r="J1357" s="3">
        <f>VLOOKUP(Googleadssales[[#This Row],[Ad_ID]],'[1]pre processed data'!A:Q,17,0)</f>
        <v>45616</v>
      </c>
      <c r="K1357" t="str">
        <f>VLOOKUP(Googleadssales[[#This Row],[Ad_ID]],'[1]pre processed data'!A:R,18,0)</f>
        <v>Hyderabad</v>
      </c>
      <c r="L1357" t="str">
        <f>VLOOKUP(Googleadssales[[#This Row],[Ad_ID]],'[1]pre processed data'!A:S,19,0)</f>
        <v>Mobile</v>
      </c>
      <c r="M1357" t="str">
        <f>VLOOKUP(Googleadssales[[#This Row],[Ad_ID]],'[1]pre processed data'!A:T,20,0)</f>
        <v>learn data analytics</v>
      </c>
    </row>
    <row r="1358" spans="1:13" x14ac:dyDescent="0.3">
      <c r="A1358" t="s">
        <v>1371</v>
      </c>
      <c r="B1358" t="s">
        <v>14</v>
      </c>
      <c r="C1358" s="4">
        <f>VLOOKUP(Googleadssales[[#This Row],[Ad_ID]],'[1]pre processed data'!A:C,3,0)</f>
        <v>175</v>
      </c>
      <c r="D1358" s="4">
        <f>VLOOKUP(Googleadssales[[#This Row],[Ad_ID]],'[1]pre processed data'!A:E,5,0)</f>
        <v>4295</v>
      </c>
      <c r="E1358" s="5" t="str">
        <f>VLOOKUP(Googleadssales[[#This Row],[Ad_ID]],[1]!Table3[[Ad_ID]:[Cost-imputed]],7,0)</f>
        <v>$195.17</v>
      </c>
      <c r="F1358" s="4">
        <f>VLOOKUP(Googleadssales[[#This Row],[Ad_ID]],'[1]pre processed data'!A:I,9,0)</f>
        <v>18</v>
      </c>
      <c r="G1358" s="4">
        <f>VLOOKUP(Googleadssales[[#This Row],[Ad_ID]],'[1]pre processed data'!A:K,11,0)</f>
        <v>6</v>
      </c>
      <c r="H1358" s="2">
        <f>Googleadssales[[#This Row],[Conversions]]/Googleadssales[[#This Row],[Clicks]]</f>
        <v>3.4285714285714287E-2</v>
      </c>
      <c r="I1358" t="str">
        <f>VLOOKUP(Googleadssales[[#This Row],[Ad_ID]],'[1]pre processed data'!A:O,15,0)</f>
        <v>$1939</v>
      </c>
      <c r="J1358" s="3">
        <f>VLOOKUP(Googleadssales[[#This Row],[Ad_ID]],'[1]pre processed data'!A:Q,17,0)</f>
        <v>45623</v>
      </c>
      <c r="K1358" t="str">
        <f>VLOOKUP(Googleadssales[[#This Row],[Ad_ID]],'[1]pre processed data'!A:R,18,0)</f>
        <v>Hyderabad</v>
      </c>
      <c r="L1358" t="str">
        <f>VLOOKUP(Googleadssales[[#This Row],[Ad_ID]],'[1]pre processed data'!A:S,19,0)</f>
        <v>Tablet</v>
      </c>
      <c r="M1358" t="str">
        <f>VLOOKUP(Googleadssales[[#This Row],[Ad_ID]],'[1]pre processed data'!A:T,20,0)</f>
        <v>data analytics online</v>
      </c>
    </row>
    <row r="1359" spans="1:13" x14ac:dyDescent="0.3">
      <c r="A1359" t="s">
        <v>1372</v>
      </c>
      <c r="B1359" t="s">
        <v>14</v>
      </c>
      <c r="C1359" s="4">
        <f>VLOOKUP(Googleadssales[[#This Row],[Ad_ID]],'[1]pre processed data'!A:C,3,0)</f>
        <v>130</v>
      </c>
      <c r="D1359" s="4">
        <f>VLOOKUP(Googleadssales[[#This Row],[Ad_ID]],'[1]pre processed data'!A:E,5,0)</f>
        <v>3332</v>
      </c>
      <c r="E1359" s="5" t="str">
        <f>VLOOKUP(Googleadssales[[#This Row],[Ad_ID]],[1]!Table3[[Ad_ID]:[Cost-imputed]],7,0)</f>
        <v>$202.06</v>
      </c>
      <c r="F1359" s="4">
        <f>VLOOKUP(Googleadssales[[#This Row],[Ad_ID]],'[1]pre processed data'!A:I,9,0)</f>
        <v>14</v>
      </c>
      <c r="G1359" s="4">
        <f>VLOOKUP(Googleadssales[[#This Row],[Ad_ID]],'[1]pre processed data'!A:K,11,0)</f>
        <v>5</v>
      </c>
      <c r="H1359" s="2">
        <f>Googleadssales[[#This Row],[Conversions]]/Googleadssales[[#This Row],[Clicks]]</f>
        <v>3.8461538461538464E-2</v>
      </c>
      <c r="I1359" t="str">
        <f>VLOOKUP(Googleadssales[[#This Row],[Ad_ID]],'[1]pre processed data'!A:O,15,0)</f>
        <v>$1184</v>
      </c>
      <c r="J1359" s="3">
        <f>VLOOKUP(Googleadssales[[#This Row],[Ad_ID]],'[1]pre processed data'!A:Q,17,0)</f>
        <v>45610</v>
      </c>
      <c r="K1359" t="str">
        <f>VLOOKUP(Googleadssales[[#This Row],[Ad_ID]],'[1]pre processed data'!A:R,18,0)</f>
        <v>Hyderabad</v>
      </c>
      <c r="L1359" t="str">
        <f>VLOOKUP(Googleadssales[[#This Row],[Ad_ID]],'[1]pre processed data'!A:S,19,0)</f>
        <v>Desktop</v>
      </c>
      <c r="M1359" t="str">
        <f>VLOOKUP(Googleadssales[[#This Row],[Ad_ID]],'[1]pre processed data'!A:T,20,0)</f>
        <v>online data analytic</v>
      </c>
    </row>
    <row r="1360" spans="1:13" x14ac:dyDescent="0.3">
      <c r="A1360" t="s">
        <v>1373</v>
      </c>
      <c r="B1360" t="s">
        <v>18</v>
      </c>
      <c r="C1360" s="4">
        <f>VLOOKUP(Googleadssales[[#This Row],[Ad_ID]],'[1]pre processed data'!A:C,3,0)</f>
        <v>92</v>
      </c>
      <c r="D1360" s="4">
        <f>VLOOKUP(Googleadssales[[#This Row],[Ad_ID]],'[1]pre processed data'!A:E,5,0)</f>
        <v>4082</v>
      </c>
      <c r="E1360" s="5" t="str">
        <f>VLOOKUP(Googleadssales[[#This Row],[Ad_ID]],[1]!Table3[[Ad_ID]:[Cost-imputed]],7,0)</f>
        <v>$186.29</v>
      </c>
      <c r="F1360" s="4">
        <f>VLOOKUP(Googleadssales[[#This Row],[Ad_ID]],'[1]pre processed data'!A:I,9,0)</f>
        <v>25</v>
      </c>
      <c r="G1360" s="4">
        <f>VLOOKUP(Googleadssales[[#This Row],[Ad_ID]],'[1]pre processed data'!A:K,11,0)</f>
        <v>5</v>
      </c>
      <c r="H1360" s="2">
        <f>Googleadssales[[#This Row],[Conversions]]/Googleadssales[[#This Row],[Clicks]]</f>
        <v>5.434782608695652E-2</v>
      </c>
      <c r="I1360" t="str">
        <f>VLOOKUP(Googleadssales[[#This Row],[Ad_ID]],'[1]pre processed data'!A:O,15,0)</f>
        <v>$1046</v>
      </c>
      <c r="J1360" s="3">
        <f>VLOOKUP(Googleadssales[[#This Row],[Ad_ID]],'[1]pre processed data'!A:Q,17,0)</f>
        <v>45620</v>
      </c>
      <c r="K1360" t="str">
        <f>VLOOKUP(Googleadssales[[#This Row],[Ad_ID]],'[1]pre processed data'!A:R,18,0)</f>
        <v>Chennai</v>
      </c>
      <c r="L1360" t="str">
        <f>VLOOKUP(Googleadssales[[#This Row],[Ad_ID]],'[1]pre processed data'!A:S,19,0)</f>
        <v>Tablet</v>
      </c>
      <c r="M1360" t="str">
        <f>VLOOKUP(Googleadssales[[#This Row],[Ad_ID]],'[1]pre processed data'!A:T,20,0)</f>
        <v>online data analytic</v>
      </c>
    </row>
    <row r="1361" spans="1:13" x14ac:dyDescent="0.3">
      <c r="A1361" t="s">
        <v>1374</v>
      </c>
      <c r="B1361" t="s">
        <v>14</v>
      </c>
      <c r="C1361" s="4">
        <f>VLOOKUP(Googleadssales[[#This Row],[Ad_ID]],'[1]pre processed data'!A:C,3,0)</f>
        <v>159</v>
      </c>
      <c r="D1361" s="4">
        <f>VLOOKUP(Googleadssales[[#This Row],[Ad_ID]],'[1]pre processed data'!A:E,5,0)</f>
        <v>4464</v>
      </c>
      <c r="E1361" s="5" t="str">
        <f>VLOOKUP(Googleadssales[[#This Row],[Ad_ID]],[1]!Table3[[Ad_ID]:[Cost-imputed]],7,0)</f>
        <v>$204.86</v>
      </c>
      <c r="F1361" s="4">
        <f>VLOOKUP(Googleadssales[[#This Row],[Ad_ID]],'[1]pre processed data'!A:I,9,0)</f>
        <v>27</v>
      </c>
      <c r="G1361" s="4">
        <f>VLOOKUP(Googleadssales[[#This Row],[Ad_ID]],'[1]pre processed data'!A:K,11,0)</f>
        <v>3</v>
      </c>
      <c r="H1361" s="2">
        <f>Googleadssales[[#This Row],[Conversions]]/Googleadssales[[#This Row],[Clicks]]</f>
        <v>1.8867924528301886E-2</v>
      </c>
      <c r="I1361" t="str">
        <f>VLOOKUP(Googleadssales[[#This Row],[Ad_ID]],'[1]pre processed data'!A:O,15,0)</f>
        <v>$1963</v>
      </c>
      <c r="J1361" s="3">
        <f>VLOOKUP(Googleadssales[[#This Row],[Ad_ID]],'[1]pre processed data'!A:Q,17,0)</f>
        <v>45616</v>
      </c>
      <c r="K1361" t="str">
        <f>VLOOKUP(Googleadssales[[#This Row],[Ad_ID]],'[1]pre processed data'!A:R,18,0)</f>
        <v>Chennai</v>
      </c>
      <c r="L1361" t="str">
        <f>VLOOKUP(Googleadssales[[#This Row],[Ad_ID]],'[1]pre processed data'!A:S,19,0)</f>
        <v>Tablet</v>
      </c>
      <c r="M1361" t="str">
        <f>VLOOKUP(Googleadssales[[#This Row],[Ad_ID]],'[1]pre processed data'!A:T,20,0)</f>
        <v>analytics for data</v>
      </c>
    </row>
    <row r="1362" spans="1:13" x14ac:dyDescent="0.3">
      <c r="A1362" t="s">
        <v>1375</v>
      </c>
      <c r="B1362" t="s">
        <v>14</v>
      </c>
      <c r="C1362" s="4">
        <f>VLOOKUP(Googleadssales[[#This Row],[Ad_ID]],'[1]pre processed data'!A:C,3,0)</f>
        <v>193</v>
      </c>
      <c r="D1362" s="4">
        <f>VLOOKUP(Googleadssales[[#This Row],[Ad_ID]],'[1]pre processed data'!A:E,5,0)</f>
        <v>5263</v>
      </c>
      <c r="E1362" s="5" t="str">
        <f>VLOOKUP(Googleadssales[[#This Row],[Ad_ID]],[1]!Table3[[Ad_ID]:[Cost-imputed]],7,0)</f>
        <v>$240.5</v>
      </c>
      <c r="F1362" s="4">
        <f>VLOOKUP(Googleadssales[[#This Row],[Ad_ID]],'[1]pre processed data'!A:I,9,0)</f>
        <v>18</v>
      </c>
      <c r="G1362" s="4">
        <f>VLOOKUP(Googleadssales[[#This Row],[Ad_ID]],'[1]pre processed data'!A:K,11,0)</f>
        <v>6</v>
      </c>
      <c r="H1362" s="2">
        <f>Googleadssales[[#This Row],[Conversions]]/Googleadssales[[#This Row],[Clicks]]</f>
        <v>3.1088082901554404E-2</v>
      </c>
      <c r="I1362" t="str">
        <f>VLOOKUP(Googleadssales[[#This Row],[Ad_ID]],'[1]pre processed data'!A:O,15,0)</f>
        <v>$1670</v>
      </c>
      <c r="J1362" s="3">
        <f>VLOOKUP(Googleadssales[[#This Row],[Ad_ID]],'[1]pre processed data'!A:Q,17,0)</f>
        <v>45617</v>
      </c>
      <c r="K1362" t="str">
        <f>VLOOKUP(Googleadssales[[#This Row],[Ad_ID]],'[1]pre processed data'!A:R,18,0)</f>
        <v>Hyderabad</v>
      </c>
      <c r="L1362" t="str">
        <f>VLOOKUP(Googleadssales[[#This Row],[Ad_ID]],'[1]pre processed data'!A:S,19,0)</f>
        <v>Tablet</v>
      </c>
      <c r="M1362" t="str">
        <f>VLOOKUP(Googleadssales[[#This Row],[Ad_ID]],'[1]pre processed data'!A:T,20,0)</f>
        <v>online data analytic</v>
      </c>
    </row>
    <row r="1363" spans="1:13" x14ac:dyDescent="0.3">
      <c r="A1363" t="s">
        <v>1376</v>
      </c>
      <c r="B1363" t="s">
        <v>14</v>
      </c>
      <c r="C1363" s="4">
        <f>VLOOKUP(Googleadssales[[#This Row],[Ad_ID]],'[1]pre processed data'!A:C,3,0)</f>
        <v>98</v>
      </c>
      <c r="D1363" s="4">
        <f>VLOOKUP(Googleadssales[[#This Row],[Ad_ID]],'[1]pre processed data'!A:E,5,0)</f>
        <v>4371</v>
      </c>
      <c r="E1363" s="5" t="str">
        <f>VLOOKUP(Googleadssales[[#This Row],[Ad_ID]],[1]!Table3[[Ad_ID]:[Cost-imputed]],7,0)</f>
        <v>$246.23</v>
      </c>
      <c r="F1363" s="4">
        <f>VLOOKUP(Googleadssales[[#This Row],[Ad_ID]],'[1]pre processed data'!A:I,9,0)</f>
        <v>25</v>
      </c>
      <c r="G1363" s="4">
        <f>VLOOKUP(Googleadssales[[#This Row],[Ad_ID]],'[1]pre processed data'!A:K,11,0)</f>
        <v>7</v>
      </c>
      <c r="H1363" s="2">
        <f>Googleadssales[[#This Row],[Conversions]]/Googleadssales[[#This Row],[Clicks]]</f>
        <v>7.1428571428571425E-2</v>
      </c>
      <c r="I1363" t="str">
        <f>VLOOKUP(Googleadssales[[#This Row],[Ad_ID]],'[1]pre processed data'!A:O,15,0)</f>
        <v>$1114</v>
      </c>
      <c r="J1363" s="3">
        <f>VLOOKUP(Googleadssales[[#This Row],[Ad_ID]],'[1]pre processed data'!A:Q,17,0)</f>
        <v>45610</v>
      </c>
      <c r="K1363" t="str">
        <f>VLOOKUP(Googleadssales[[#This Row],[Ad_ID]],'[1]pre processed data'!A:R,18,0)</f>
        <v>Hyderabad</v>
      </c>
      <c r="L1363" t="str">
        <f>VLOOKUP(Googleadssales[[#This Row],[Ad_ID]],'[1]pre processed data'!A:S,19,0)</f>
        <v>Tablet</v>
      </c>
      <c r="M1363" t="str">
        <f>VLOOKUP(Googleadssales[[#This Row],[Ad_ID]],'[1]pre processed data'!A:T,20,0)</f>
        <v>analytics for data</v>
      </c>
    </row>
    <row r="1364" spans="1:13" x14ac:dyDescent="0.3">
      <c r="A1364" t="s">
        <v>1377</v>
      </c>
      <c r="B1364" t="s">
        <v>14</v>
      </c>
      <c r="C1364" s="4">
        <f>VLOOKUP(Googleadssales[[#This Row],[Ad_ID]],'[1]pre processed data'!A:C,3,0)</f>
        <v>176</v>
      </c>
      <c r="D1364" s="4">
        <f>VLOOKUP(Googleadssales[[#This Row],[Ad_ID]],'[1]pre processed data'!A:E,5,0)</f>
        <v>3657</v>
      </c>
      <c r="E1364" s="5" t="str">
        <f>VLOOKUP(Googleadssales[[#This Row],[Ad_ID]],[1]!Table3[[Ad_ID]:[Cost-imputed]],7,0)</f>
        <v>$209.44</v>
      </c>
      <c r="F1364" s="4">
        <f>VLOOKUP(Googleadssales[[#This Row],[Ad_ID]],'[1]pre processed data'!A:I,9,0)</f>
        <v>19</v>
      </c>
      <c r="G1364" s="4">
        <f>VLOOKUP(Googleadssales[[#This Row],[Ad_ID]],'[1]pre processed data'!A:K,11,0)</f>
        <v>3</v>
      </c>
      <c r="H1364" s="2">
        <f>Googleadssales[[#This Row],[Conversions]]/Googleadssales[[#This Row],[Clicks]]</f>
        <v>1.7045454545454544E-2</v>
      </c>
      <c r="I1364" t="str">
        <f>VLOOKUP(Googleadssales[[#This Row],[Ad_ID]],'[1]pre processed data'!A:O,15,0)</f>
        <v>$1171</v>
      </c>
      <c r="J1364" s="3">
        <f>VLOOKUP(Googleadssales[[#This Row],[Ad_ID]],'[1]pre processed data'!A:Q,17,0)</f>
        <v>45603</v>
      </c>
      <c r="K1364" t="str">
        <f>VLOOKUP(Googleadssales[[#This Row],[Ad_ID]],'[1]pre processed data'!A:R,18,0)</f>
        <v>Bangaluru</v>
      </c>
      <c r="L1364" t="str">
        <f>VLOOKUP(Googleadssales[[#This Row],[Ad_ID]],'[1]pre processed data'!A:S,19,0)</f>
        <v>Desktop</v>
      </c>
      <c r="M1364" t="str">
        <f>VLOOKUP(Googleadssales[[#This Row],[Ad_ID]],'[1]pre processed data'!A:T,20,0)</f>
        <v>online data analytic</v>
      </c>
    </row>
    <row r="1365" spans="1:13" x14ac:dyDescent="0.3">
      <c r="A1365" t="s">
        <v>1378</v>
      </c>
      <c r="B1365" t="s">
        <v>14</v>
      </c>
      <c r="C1365" s="4">
        <f>VLOOKUP(Googleadssales[[#This Row],[Ad_ID]],'[1]pre processed data'!A:C,3,0)</f>
        <v>182</v>
      </c>
      <c r="D1365" s="4">
        <f>VLOOKUP(Googleadssales[[#This Row],[Ad_ID]],'[1]pre processed data'!A:E,5,0)</f>
        <v>5833</v>
      </c>
      <c r="E1365" s="5" t="str">
        <f>VLOOKUP(Googleadssales[[#This Row],[Ad_ID]],[1]!Table3[[Ad_ID]:[Cost-imputed]],7,0)</f>
        <v>$243.72</v>
      </c>
      <c r="F1365" s="4">
        <f>VLOOKUP(Googleadssales[[#This Row],[Ad_ID]],'[1]pre processed data'!A:I,9,0)</f>
        <v>20</v>
      </c>
      <c r="G1365" s="4">
        <f>VLOOKUP(Googleadssales[[#This Row],[Ad_ID]],'[1]pre processed data'!A:K,11,0)</f>
        <v>5</v>
      </c>
      <c r="H1365" s="2">
        <f>Googleadssales[[#This Row],[Conversions]]/Googleadssales[[#This Row],[Clicks]]</f>
        <v>2.7472527472527472E-2</v>
      </c>
      <c r="I1365" t="str">
        <f>VLOOKUP(Googleadssales[[#This Row],[Ad_ID]],'[1]pre processed data'!A:O,15,0)</f>
        <v>$1206</v>
      </c>
      <c r="J1365" s="3">
        <f>VLOOKUP(Googleadssales[[#This Row],[Ad_ID]],'[1]pre processed data'!A:Q,17,0)</f>
        <v>45610</v>
      </c>
      <c r="K1365" t="str">
        <f>VLOOKUP(Googleadssales[[#This Row],[Ad_ID]],'[1]pre processed data'!A:R,18,0)</f>
        <v>Bangaluru</v>
      </c>
      <c r="L1365" t="str">
        <f>VLOOKUP(Googleadssales[[#This Row],[Ad_ID]],'[1]pre processed data'!A:S,19,0)</f>
        <v>Desktop</v>
      </c>
      <c r="M1365" t="str">
        <f>VLOOKUP(Googleadssales[[#This Row],[Ad_ID]],'[1]pre processed data'!A:T,20,0)</f>
        <v>data analytics course</v>
      </c>
    </row>
    <row r="1366" spans="1:13" x14ac:dyDescent="0.3">
      <c r="A1366" t="s">
        <v>1379</v>
      </c>
      <c r="B1366" t="s">
        <v>18</v>
      </c>
      <c r="C1366" s="4">
        <f>VLOOKUP(Googleadssales[[#This Row],[Ad_ID]],'[1]pre processed data'!A:C,3,0)</f>
        <v>85</v>
      </c>
      <c r="D1366" s="4">
        <f>VLOOKUP(Googleadssales[[#This Row],[Ad_ID]],'[1]pre processed data'!A:E,5,0)</f>
        <v>3077</v>
      </c>
      <c r="E1366" s="5" t="str">
        <f>VLOOKUP(Googleadssales[[#This Row],[Ad_ID]],[1]!Table3[[Ad_ID]:[Cost-imputed]],7,0)</f>
        <v>$200.16</v>
      </c>
      <c r="F1366" s="4">
        <f>VLOOKUP(Googleadssales[[#This Row],[Ad_ID]],'[1]pre processed data'!A:I,9,0)</f>
        <v>11</v>
      </c>
      <c r="G1366" s="4">
        <f>VLOOKUP(Googleadssales[[#This Row],[Ad_ID]],'[1]pre processed data'!A:K,11,0)</f>
        <v>10</v>
      </c>
      <c r="H1366" s="2">
        <f>Googleadssales[[#This Row],[Conversions]]/Googleadssales[[#This Row],[Clicks]]</f>
        <v>0.11764705882352941</v>
      </c>
      <c r="I1366" t="str">
        <f>VLOOKUP(Googleadssales[[#This Row],[Ad_ID]],'[1]pre processed data'!A:O,15,0)</f>
        <v>$1876</v>
      </c>
      <c r="J1366" s="3">
        <f>VLOOKUP(Googleadssales[[#This Row],[Ad_ID]],'[1]pre processed data'!A:Q,17,0)</f>
        <v>45619</v>
      </c>
      <c r="K1366" t="str">
        <f>VLOOKUP(Googleadssales[[#This Row],[Ad_ID]],'[1]pre processed data'!A:R,18,0)</f>
        <v>Hyderabad</v>
      </c>
      <c r="L1366" t="str">
        <f>VLOOKUP(Googleadssales[[#This Row],[Ad_ID]],'[1]pre processed data'!A:S,19,0)</f>
        <v>Mobile</v>
      </c>
      <c r="M1366" t="str">
        <f>VLOOKUP(Googleadssales[[#This Row],[Ad_ID]],'[1]pre processed data'!A:T,20,0)</f>
        <v>analytics for data</v>
      </c>
    </row>
    <row r="1367" spans="1:13" x14ac:dyDescent="0.3">
      <c r="A1367" t="s">
        <v>1380</v>
      </c>
      <c r="B1367" t="s">
        <v>18</v>
      </c>
      <c r="C1367" s="4">
        <f>VLOOKUP(Googleadssales[[#This Row],[Ad_ID]],'[1]pre processed data'!A:C,3,0)</f>
        <v>98</v>
      </c>
      <c r="D1367" s="4">
        <f>VLOOKUP(Googleadssales[[#This Row],[Ad_ID]],'[1]pre processed data'!A:E,5,0)</f>
        <v>3646</v>
      </c>
      <c r="E1367" s="5" t="str">
        <f>VLOOKUP(Googleadssales[[#This Row],[Ad_ID]],[1]!Table3[[Ad_ID]:[Cost-imputed]],7,0)</f>
        <v>$239.05</v>
      </c>
      <c r="F1367" s="4">
        <f>VLOOKUP(Googleadssales[[#This Row],[Ad_ID]],'[1]pre processed data'!A:I,9,0)</f>
        <v>14</v>
      </c>
      <c r="G1367" s="4">
        <f>VLOOKUP(Googleadssales[[#This Row],[Ad_ID]],'[1]pre processed data'!A:K,11,0)</f>
        <v>6</v>
      </c>
      <c r="H1367" s="2">
        <f>Googleadssales[[#This Row],[Conversions]]/Googleadssales[[#This Row],[Clicks]]</f>
        <v>6.1224489795918366E-2</v>
      </c>
      <c r="I1367" t="str">
        <f>VLOOKUP(Googleadssales[[#This Row],[Ad_ID]],'[1]pre processed data'!A:O,15,0)</f>
        <v>$1586</v>
      </c>
      <c r="J1367" s="3">
        <f>VLOOKUP(Googleadssales[[#This Row],[Ad_ID]],'[1]pre processed data'!A:Q,17,0)</f>
        <v>45610</v>
      </c>
      <c r="K1367" t="str">
        <f>VLOOKUP(Googleadssales[[#This Row],[Ad_ID]],'[1]pre processed data'!A:R,18,0)</f>
        <v>Bangaluru</v>
      </c>
      <c r="L1367" t="str">
        <f>VLOOKUP(Googleadssales[[#This Row],[Ad_ID]],'[1]pre processed data'!A:S,19,0)</f>
        <v>Desktop</v>
      </c>
      <c r="M1367" t="str">
        <f>VLOOKUP(Googleadssales[[#This Row],[Ad_ID]],'[1]pre processed data'!A:T,20,0)</f>
        <v>data analytics course</v>
      </c>
    </row>
    <row r="1368" spans="1:13" x14ac:dyDescent="0.3">
      <c r="A1368" t="s">
        <v>1381</v>
      </c>
      <c r="B1368" t="s">
        <v>14</v>
      </c>
      <c r="C1368" s="4">
        <f>VLOOKUP(Googleadssales[[#This Row],[Ad_ID]],'[1]pre processed data'!A:C,3,0)</f>
        <v>160</v>
      </c>
      <c r="D1368" s="4">
        <f>VLOOKUP(Googleadssales[[#This Row],[Ad_ID]],'[1]pre processed data'!A:E,5,0)</f>
        <v>3139</v>
      </c>
      <c r="E1368" s="5" t="str">
        <f>VLOOKUP(Googleadssales[[#This Row],[Ad_ID]],[1]!Table3[[Ad_ID]:[Cost-imputed]],7,0)</f>
        <v>$230.55</v>
      </c>
      <c r="F1368" s="4">
        <f>VLOOKUP(Googleadssales[[#This Row],[Ad_ID]],'[1]pre processed data'!A:I,9,0)</f>
        <v>28</v>
      </c>
      <c r="G1368" s="4">
        <f>VLOOKUP(Googleadssales[[#This Row],[Ad_ID]],'[1]pre processed data'!A:K,11,0)</f>
        <v>5</v>
      </c>
      <c r="H1368" s="2">
        <f>Googleadssales[[#This Row],[Conversions]]/Googleadssales[[#This Row],[Clicks]]</f>
        <v>3.125E-2</v>
      </c>
      <c r="I1368" t="str">
        <f>VLOOKUP(Googleadssales[[#This Row],[Ad_ID]],'[1]pre processed data'!A:O,15,0)</f>
        <v>$1449</v>
      </c>
      <c r="J1368" s="3">
        <f>VLOOKUP(Googleadssales[[#This Row],[Ad_ID]],'[1]pre processed data'!A:Q,17,0)</f>
        <v>45611</v>
      </c>
      <c r="K1368" t="str">
        <f>VLOOKUP(Googleadssales[[#This Row],[Ad_ID]],'[1]pre processed data'!A:R,18,0)</f>
        <v>Hyderabad</v>
      </c>
      <c r="L1368" t="str">
        <f>VLOOKUP(Googleadssales[[#This Row],[Ad_ID]],'[1]pre processed data'!A:S,19,0)</f>
        <v>Desktop</v>
      </c>
      <c r="M1368" t="str">
        <f>VLOOKUP(Googleadssales[[#This Row],[Ad_ID]],'[1]pre processed data'!A:T,20,0)</f>
        <v>analytics for data</v>
      </c>
    </row>
    <row r="1369" spans="1:13" x14ac:dyDescent="0.3">
      <c r="A1369" t="s">
        <v>1382</v>
      </c>
      <c r="B1369" t="s">
        <v>18</v>
      </c>
      <c r="C1369" s="4">
        <f>VLOOKUP(Googleadssales[[#This Row],[Ad_ID]],'[1]pre processed data'!A:C,3,0)</f>
        <v>179</v>
      </c>
      <c r="D1369" s="4">
        <f>VLOOKUP(Googleadssales[[#This Row],[Ad_ID]],'[1]pre processed data'!A:E,5,0)</f>
        <v>4005</v>
      </c>
      <c r="E1369" s="5" t="str">
        <f>VLOOKUP(Googleadssales[[#This Row],[Ad_ID]],[1]!Table3[[Ad_ID]:[Cost-imputed]],7,0)</f>
        <v>$232.47</v>
      </c>
      <c r="F1369" s="4">
        <f>VLOOKUP(Googleadssales[[#This Row],[Ad_ID]],'[1]pre processed data'!A:I,9,0)</f>
        <v>16</v>
      </c>
      <c r="G1369" s="4">
        <f>VLOOKUP(Googleadssales[[#This Row],[Ad_ID]],'[1]pre processed data'!A:K,11,0)</f>
        <v>10</v>
      </c>
      <c r="H1369" s="2">
        <f>Googleadssales[[#This Row],[Conversions]]/Googleadssales[[#This Row],[Clicks]]</f>
        <v>5.5865921787709494E-2</v>
      </c>
      <c r="I1369" t="str">
        <f>VLOOKUP(Googleadssales[[#This Row],[Ad_ID]],'[1]pre processed data'!A:O,15,0)</f>
        <v>$1553</v>
      </c>
      <c r="J1369" s="3">
        <f>VLOOKUP(Googleadssales[[#This Row],[Ad_ID]],'[1]pre processed data'!A:Q,17,0)</f>
        <v>45620</v>
      </c>
      <c r="K1369" t="str">
        <f>VLOOKUP(Googleadssales[[#This Row],[Ad_ID]],'[1]pre processed data'!A:R,18,0)</f>
        <v>Hyderabad</v>
      </c>
      <c r="L1369" t="str">
        <f>VLOOKUP(Googleadssales[[#This Row],[Ad_ID]],'[1]pre processed data'!A:S,19,0)</f>
        <v>Desktop</v>
      </c>
      <c r="M1369" t="str">
        <f>VLOOKUP(Googleadssales[[#This Row],[Ad_ID]],'[1]pre processed data'!A:T,20,0)</f>
        <v>analytics for data</v>
      </c>
    </row>
    <row r="1370" spans="1:13" x14ac:dyDescent="0.3">
      <c r="A1370" t="s">
        <v>1383</v>
      </c>
      <c r="B1370" t="s">
        <v>14</v>
      </c>
      <c r="C1370" s="4">
        <f>VLOOKUP(Googleadssales[[#This Row],[Ad_ID]],'[1]pre processed data'!A:C,3,0)</f>
        <v>138.95699356913184</v>
      </c>
      <c r="D1370" s="4">
        <f>VLOOKUP(Googleadssales[[#This Row],[Ad_ID]],'[1]pre processed data'!A:E,5,0)</f>
        <v>4315</v>
      </c>
      <c r="E1370" s="5" t="str">
        <f>VLOOKUP(Googleadssales[[#This Row],[Ad_ID]],[1]!Table3[[Ad_ID]:[Cost-imputed]],7,0)</f>
        <v>$196.3</v>
      </c>
      <c r="F1370" s="4">
        <f>VLOOKUP(Googleadssales[[#This Row],[Ad_ID]],'[1]pre processed data'!A:I,9,0)</f>
        <v>24</v>
      </c>
      <c r="G1370" s="4">
        <f>VLOOKUP(Googleadssales[[#This Row],[Ad_ID]],'[1]pre processed data'!A:K,11,0)</f>
        <v>5</v>
      </c>
      <c r="H1370" s="2">
        <f>Googleadssales[[#This Row],[Conversions]]/Googleadssales[[#This Row],[Clicks]]</f>
        <v>3.5982355918721523E-2</v>
      </c>
      <c r="I1370" t="str">
        <f>VLOOKUP(Googleadssales[[#This Row],[Ad_ID]],'[1]pre processed data'!A:O,15,0)</f>
        <v>$1364</v>
      </c>
      <c r="J1370" s="3">
        <f>VLOOKUP(Googleadssales[[#This Row],[Ad_ID]],'[1]pre processed data'!A:Q,17,0)</f>
        <v>45622</v>
      </c>
      <c r="K1370" t="str">
        <f>VLOOKUP(Googleadssales[[#This Row],[Ad_ID]],'[1]pre processed data'!A:R,18,0)</f>
        <v>Hyderabad</v>
      </c>
      <c r="L1370" t="str">
        <f>VLOOKUP(Googleadssales[[#This Row],[Ad_ID]],'[1]pre processed data'!A:S,19,0)</f>
        <v>Mobile</v>
      </c>
      <c r="M1370" t="str">
        <f>VLOOKUP(Googleadssales[[#This Row],[Ad_ID]],'[1]pre processed data'!A:T,20,0)</f>
        <v>data analytics course</v>
      </c>
    </row>
    <row r="1371" spans="1:13" x14ac:dyDescent="0.3">
      <c r="A1371" t="s">
        <v>1384</v>
      </c>
      <c r="B1371" t="s">
        <v>14</v>
      </c>
      <c r="C1371" s="4">
        <f>VLOOKUP(Googleadssales[[#This Row],[Ad_ID]],'[1]pre processed data'!A:C,3,0)</f>
        <v>195</v>
      </c>
      <c r="D1371" s="4">
        <f>VLOOKUP(Googleadssales[[#This Row],[Ad_ID]],'[1]pre processed data'!A:E,5,0)</f>
        <v>3876</v>
      </c>
      <c r="E1371" s="5" t="str">
        <f>VLOOKUP(Googleadssales[[#This Row],[Ad_ID]],[1]!Table3[[Ad_ID]:[Cost-imputed]],7,0)</f>
        <v>$187.59</v>
      </c>
      <c r="F1371" s="4">
        <f>VLOOKUP(Googleadssales[[#This Row],[Ad_ID]],'[1]pre processed data'!A:I,9,0)</f>
        <v>28</v>
      </c>
      <c r="G1371" s="4">
        <f>VLOOKUP(Googleadssales[[#This Row],[Ad_ID]],'[1]pre processed data'!A:K,11,0)</f>
        <v>3</v>
      </c>
      <c r="H1371" s="2">
        <f>Googleadssales[[#This Row],[Conversions]]/Googleadssales[[#This Row],[Clicks]]</f>
        <v>1.5384615384615385E-2</v>
      </c>
      <c r="I1371" t="str">
        <f>VLOOKUP(Googleadssales[[#This Row],[Ad_ID]],'[1]pre processed data'!A:O,15,0)</f>
        <v>$1828</v>
      </c>
      <c r="J1371" s="3">
        <f>VLOOKUP(Googleadssales[[#This Row],[Ad_ID]],'[1]pre processed data'!A:Q,17,0)</f>
        <v>45617</v>
      </c>
      <c r="K1371" t="str">
        <f>VLOOKUP(Googleadssales[[#This Row],[Ad_ID]],'[1]pre processed data'!A:R,18,0)</f>
        <v>Chennai</v>
      </c>
      <c r="L1371" t="str">
        <f>VLOOKUP(Googleadssales[[#This Row],[Ad_ID]],'[1]pre processed data'!A:S,19,0)</f>
        <v>Mobile</v>
      </c>
      <c r="M1371" t="str">
        <f>VLOOKUP(Googleadssales[[#This Row],[Ad_ID]],'[1]pre processed data'!A:T,20,0)</f>
        <v>data analytics course</v>
      </c>
    </row>
    <row r="1372" spans="1:13" x14ac:dyDescent="0.3">
      <c r="A1372" t="s">
        <v>1385</v>
      </c>
      <c r="B1372" t="s">
        <v>14</v>
      </c>
      <c r="C1372" s="4">
        <f>VLOOKUP(Googleadssales[[#This Row],[Ad_ID]],'[1]pre processed data'!A:C,3,0)</f>
        <v>197</v>
      </c>
      <c r="D1372" s="4">
        <f>VLOOKUP(Googleadssales[[#This Row],[Ad_ID]],'[1]pre processed data'!A:E,5,0)</f>
        <v>3174</v>
      </c>
      <c r="E1372" s="5" t="str">
        <f>VLOOKUP(Googleadssales[[#This Row],[Ad_ID]],[1]!Table3[[Ad_ID]:[Cost-imputed]],7,0)</f>
        <v>$200.00</v>
      </c>
      <c r="F1372" s="4">
        <f>VLOOKUP(Googleadssales[[#This Row],[Ad_ID]],'[1]pre processed data'!A:I,9,0)</f>
        <v>22</v>
      </c>
      <c r="G1372" s="4">
        <f>VLOOKUP(Googleadssales[[#This Row],[Ad_ID]],'[1]pre processed data'!A:K,11,0)</f>
        <v>7</v>
      </c>
      <c r="H1372" s="2">
        <f>Googleadssales[[#This Row],[Conversions]]/Googleadssales[[#This Row],[Clicks]]</f>
        <v>3.553299492385787E-2</v>
      </c>
      <c r="I1372" t="str">
        <f>VLOOKUP(Googleadssales[[#This Row],[Ad_ID]],'[1]pre processed data'!A:O,15,0)</f>
        <v>$1527</v>
      </c>
      <c r="J1372" s="3">
        <f>VLOOKUP(Googleadssales[[#This Row],[Ad_ID]],'[1]pre processed data'!A:Q,17,0)</f>
        <v>45610</v>
      </c>
      <c r="K1372" t="str">
        <f>VLOOKUP(Googleadssales[[#This Row],[Ad_ID]],'[1]pre processed data'!A:R,18,0)</f>
        <v>Chennai</v>
      </c>
      <c r="L1372" t="str">
        <f>VLOOKUP(Googleadssales[[#This Row],[Ad_ID]],'[1]pre processed data'!A:S,19,0)</f>
        <v>Tablet</v>
      </c>
      <c r="M1372" t="str">
        <f>VLOOKUP(Googleadssales[[#This Row],[Ad_ID]],'[1]pre processed data'!A:T,20,0)</f>
        <v>data analytics online</v>
      </c>
    </row>
    <row r="1373" spans="1:13" x14ac:dyDescent="0.3">
      <c r="A1373" t="s">
        <v>1386</v>
      </c>
      <c r="B1373" t="s">
        <v>14</v>
      </c>
      <c r="C1373" s="4">
        <f>VLOOKUP(Googleadssales[[#This Row],[Ad_ID]],'[1]pre processed data'!A:C,3,0)</f>
        <v>92</v>
      </c>
      <c r="D1373" s="4">
        <f>VLOOKUP(Googleadssales[[#This Row],[Ad_ID]],'[1]pre processed data'!A:E,5,0)</f>
        <v>5550</v>
      </c>
      <c r="E1373" s="5" t="str">
        <f>VLOOKUP(Googleadssales[[#This Row],[Ad_ID]],[1]!Table3[[Ad_ID]:[Cost-imputed]],7,0)</f>
        <v>$226.38</v>
      </c>
      <c r="F1373" s="4">
        <f>VLOOKUP(Googleadssales[[#This Row],[Ad_ID]],'[1]pre processed data'!A:I,9,0)</f>
        <v>28</v>
      </c>
      <c r="G1373" s="4">
        <f>VLOOKUP(Googleadssales[[#This Row],[Ad_ID]],'[1]pre processed data'!A:K,11,0)</f>
        <v>8</v>
      </c>
      <c r="H1373" s="2">
        <f>Googleadssales[[#This Row],[Conversions]]/Googleadssales[[#This Row],[Clicks]]</f>
        <v>8.6956521739130432E-2</v>
      </c>
      <c r="I1373" t="str">
        <f>VLOOKUP(Googleadssales[[#This Row],[Ad_ID]],'[1]pre processed data'!A:O,15,0)</f>
        <v>$1322</v>
      </c>
      <c r="J1373" s="3">
        <f>VLOOKUP(Googleadssales[[#This Row],[Ad_ID]],'[1]pre processed data'!A:Q,17,0)</f>
        <v>45617</v>
      </c>
      <c r="K1373" t="str">
        <f>VLOOKUP(Googleadssales[[#This Row],[Ad_ID]],'[1]pre processed data'!A:R,18,0)</f>
        <v>Hyderabad</v>
      </c>
      <c r="L1373" t="str">
        <f>VLOOKUP(Googleadssales[[#This Row],[Ad_ID]],'[1]pre processed data'!A:S,19,0)</f>
        <v>Tablet</v>
      </c>
      <c r="M1373" t="str">
        <f>VLOOKUP(Googleadssales[[#This Row],[Ad_ID]],'[1]pre processed data'!A:T,20,0)</f>
        <v>learn data analytics</v>
      </c>
    </row>
    <row r="1374" spans="1:13" x14ac:dyDescent="0.3">
      <c r="A1374" t="s">
        <v>1387</v>
      </c>
      <c r="B1374" t="s">
        <v>14</v>
      </c>
      <c r="C1374" s="4">
        <f>VLOOKUP(Googleadssales[[#This Row],[Ad_ID]],'[1]pre processed data'!A:C,3,0)</f>
        <v>90</v>
      </c>
      <c r="D1374" s="4">
        <f>VLOOKUP(Googleadssales[[#This Row],[Ad_ID]],'[1]pre processed data'!A:E,5,0)</f>
        <v>3526</v>
      </c>
      <c r="E1374" s="5" t="str">
        <f>VLOOKUP(Googleadssales[[#This Row],[Ad_ID]],[1]!Table3[[Ad_ID]:[Cost-imputed]],7,0)</f>
        <v>$211.39</v>
      </c>
      <c r="F1374" s="4">
        <f>VLOOKUP(Googleadssales[[#This Row],[Ad_ID]],'[1]pre processed data'!A:I,9,0)</f>
        <v>10</v>
      </c>
      <c r="G1374" s="4">
        <f>VLOOKUP(Googleadssales[[#This Row],[Ad_ID]],'[1]pre processed data'!A:K,11,0)</f>
        <v>3</v>
      </c>
      <c r="H1374" s="2">
        <f>Googleadssales[[#This Row],[Conversions]]/Googleadssales[[#This Row],[Clicks]]</f>
        <v>3.3333333333333333E-2</v>
      </c>
      <c r="I1374" t="str">
        <f>VLOOKUP(Googleadssales[[#This Row],[Ad_ID]],'[1]pre processed data'!A:O,15,0)</f>
        <v>$1395</v>
      </c>
      <c r="J1374" s="3">
        <f>VLOOKUP(Googleadssales[[#This Row],[Ad_ID]],'[1]pre processed data'!A:Q,17,0)</f>
        <v>45616</v>
      </c>
      <c r="K1374" t="str">
        <f>VLOOKUP(Googleadssales[[#This Row],[Ad_ID]],'[1]pre processed data'!A:R,18,0)</f>
        <v>Chennai</v>
      </c>
      <c r="L1374" t="str">
        <f>VLOOKUP(Googleadssales[[#This Row],[Ad_ID]],'[1]pre processed data'!A:S,19,0)</f>
        <v>Desktop</v>
      </c>
      <c r="M1374" t="str">
        <f>VLOOKUP(Googleadssales[[#This Row],[Ad_ID]],'[1]pre processed data'!A:T,20,0)</f>
        <v>online data analytic</v>
      </c>
    </row>
    <row r="1375" spans="1:13" x14ac:dyDescent="0.3">
      <c r="A1375" t="s">
        <v>1388</v>
      </c>
      <c r="B1375" t="s">
        <v>14</v>
      </c>
      <c r="C1375" s="4">
        <f>VLOOKUP(Googleadssales[[#This Row],[Ad_ID]],'[1]pre processed data'!A:C,3,0)</f>
        <v>149</v>
      </c>
      <c r="D1375" s="4">
        <f>VLOOKUP(Googleadssales[[#This Row],[Ad_ID]],'[1]pre processed data'!A:E,5,0)</f>
        <v>3192</v>
      </c>
      <c r="E1375" s="5" t="str">
        <f>VLOOKUP(Googleadssales[[#This Row],[Ad_ID]],[1]!Table3[[Ad_ID]:[Cost-imputed]],7,0)</f>
        <v>$200.00</v>
      </c>
      <c r="F1375" s="4">
        <f>VLOOKUP(Googleadssales[[#This Row],[Ad_ID]],'[1]pre processed data'!A:I,9,0)</f>
        <v>20.119565217391305</v>
      </c>
      <c r="G1375" s="4">
        <f>VLOOKUP(Googleadssales[[#This Row],[Ad_ID]],'[1]pre processed data'!A:K,11,0)</f>
        <v>4</v>
      </c>
      <c r="H1375" s="2">
        <f>Googleadssales[[#This Row],[Conversions]]/Googleadssales[[#This Row],[Clicks]]</f>
        <v>2.6845637583892617E-2</v>
      </c>
      <c r="I1375" t="str">
        <f>VLOOKUP(Googleadssales[[#This Row],[Ad_ID]],'[1]pre processed data'!A:O,15,0)</f>
        <v>$1708</v>
      </c>
      <c r="J1375" s="3">
        <f>VLOOKUP(Googleadssales[[#This Row],[Ad_ID]],'[1]pre processed data'!A:Q,17,0)</f>
        <v>45610</v>
      </c>
      <c r="K1375" t="str">
        <f>VLOOKUP(Googleadssales[[#This Row],[Ad_ID]],'[1]pre processed data'!A:R,18,0)</f>
        <v>Chennai</v>
      </c>
      <c r="L1375" t="str">
        <f>VLOOKUP(Googleadssales[[#This Row],[Ad_ID]],'[1]pre processed data'!A:S,19,0)</f>
        <v>Tablet</v>
      </c>
      <c r="M1375" t="str">
        <f>VLOOKUP(Googleadssales[[#This Row],[Ad_ID]],'[1]pre processed data'!A:T,20,0)</f>
        <v>online data analytic</v>
      </c>
    </row>
    <row r="1376" spans="1:13" x14ac:dyDescent="0.3">
      <c r="A1376" t="s">
        <v>1389</v>
      </c>
      <c r="B1376" t="s">
        <v>14</v>
      </c>
      <c r="C1376" s="4">
        <f>VLOOKUP(Googleadssales[[#This Row],[Ad_ID]],'[1]pre processed data'!A:C,3,0)</f>
        <v>82</v>
      </c>
      <c r="D1376" s="4">
        <f>VLOOKUP(Googleadssales[[#This Row],[Ad_ID]],'[1]pre processed data'!A:E,5,0)</f>
        <v>4132</v>
      </c>
      <c r="E1376" s="5" t="str">
        <f>VLOOKUP(Googleadssales[[#This Row],[Ad_ID]],[1]!Table3[[Ad_ID]:[Cost-imputed]],7,0)</f>
        <v>$247.13</v>
      </c>
      <c r="F1376" s="4">
        <f>VLOOKUP(Googleadssales[[#This Row],[Ad_ID]],'[1]pre processed data'!A:I,9,0)</f>
        <v>11</v>
      </c>
      <c r="G1376" s="4">
        <f>VLOOKUP(Googleadssales[[#This Row],[Ad_ID]],'[1]pre processed data'!A:K,11,0)</f>
        <v>6</v>
      </c>
      <c r="H1376" s="2">
        <f>Googleadssales[[#This Row],[Conversions]]/Googleadssales[[#This Row],[Clicks]]</f>
        <v>7.3170731707317069E-2</v>
      </c>
      <c r="I1376" t="str">
        <f>VLOOKUP(Googleadssales[[#This Row],[Ad_ID]],'[1]pre processed data'!A:O,15,0)</f>
        <v>$1091</v>
      </c>
      <c r="J1376" s="3">
        <f>VLOOKUP(Googleadssales[[#This Row],[Ad_ID]],'[1]pre processed data'!A:Q,17,0)</f>
        <v>45608</v>
      </c>
      <c r="K1376" t="str">
        <f>VLOOKUP(Googleadssales[[#This Row],[Ad_ID]],'[1]pre processed data'!A:R,18,0)</f>
        <v>Hyderabad</v>
      </c>
      <c r="L1376" t="str">
        <f>VLOOKUP(Googleadssales[[#This Row],[Ad_ID]],'[1]pre processed data'!A:S,19,0)</f>
        <v>Tablet</v>
      </c>
      <c r="M1376" t="str">
        <f>VLOOKUP(Googleadssales[[#This Row],[Ad_ID]],'[1]pre processed data'!A:T,20,0)</f>
        <v>data analytics training</v>
      </c>
    </row>
    <row r="1377" spans="1:13" x14ac:dyDescent="0.3">
      <c r="A1377" t="s">
        <v>1390</v>
      </c>
      <c r="B1377" t="s">
        <v>18</v>
      </c>
      <c r="C1377" s="4">
        <f>VLOOKUP(Googleadssales[[#This Row],[Ad_ID]],'[1]pre processed data'!A:C,3,0)</f>
        <v>151</v>
      </c>
      <c r="D1377" s="4">
        <f>VLOOKUP(Googleadssales[[#This Row],[Ad_ID]],'[1]pre processed data'!A:E,5,0)</f>
        <v>5826</v>
      </c>
      <c r="E1377" s="5" t="str">
        <f>VLOOKUP(Googleadssales[[#This Row],[Ad_ID]],[1]!Table3[[Ad_ID]:[Cost-imputed]],7,0)</f>
        <v>$226.53</v>
      </c>
      <c r="F1377" s="4">
        <f>VLOOKUP(Googleadssales[[#This Row],[Ad_ID]],'[1]pre processed data'!A:I,9,0)</f>
        <v>16</v>
      </c>
      <c r="G1377" s="4">
        <f>VLOOKUP(Googleadssales[[#This Row],[Ad_ID]],'[1]pre processed data'!A:K,11,0)</f>
        <v>8</v>
      </c>
      <c r="H1377" s="2">
        <f>Googleadssales[[#This Row],[Conversions]]/Googleadssales[[#This Row],[Clicks]]</f>
        <v>5.2980132450331126E-2</v>
      </c>
      <c r="I1377" t="str">
        <f>VLOOKUP(Googleadssales[[#This Row],[Ad_ID]],'[1]pre processed data'!A:O,15,0)</f>
        <v>$1511</v>
      </c>
      <c r="J1377" s="3">
        <f>VLOOKUP(Googleadssales[[#This Row],[Ad_ID]],'[1]pre processed data'!A:Q,17,0)</f>
        <v>45621</v>
      </c>
      <c r="K1377" t="str">
        <f>VLOOKUP(Googleadssales[[#This Row],[Ad_ID]],'[1]pre processed data'!A:R,18,0)</f>
        <v>Hyderabad</v>
      </c>
      <c r="L1377" t="str">
        <f>VLOOKUP(Googleadssales[[#This Row],[Ad_ID]],'[1]pre processed data'!A:S,19,0)</f>
        <v>Desktop</v>
      </c>
      <c r="M1377" t="str">
        <f>VLOOKUP(Googleadssales[[#This Row],[Ad_ID]],'[1]pre processed data'!A:T,20,0)</f>
        <v>learn data analytics</v>
      </c>
    </row>
    <row r="1378" spans="1:13" x14ac:dyDescent="0.3">
      <c r="A1378" t="s">
        <v>1391</v>
      </c>
      <c r="B1378" t="s">
        <v>14</v>
      </c>
      <c r="C1378" s="4">
        <f>VLOOKUP(Googleadssales[[#This Row],[Ad_ID]],'[1]pre processed data'!A:C,3,0)</f>
        <v>162</v>
      </c>
      <c r="D1378" s="4">
        <f>VLOOKUP(Googleadssales[[#This Row],[Ad_ID]],'[1]pre processed data'!A:E,5,0)</f>
        <v>5997</v>
      </c>
      <c r="E1378" s="5" t="str">
        <f>VLOOKUP(Googleadssales[[#This Row],[Ad_ID]],[1]!Table3[[Ad_ID]:[Cost-imputed]],7,0)</f>
        <v>$240.29</v>
      </c>
      <c r="F1378" s="4">
        <f>VLOOKUP(Googleadssales[[#This Row],[Ad_ID]],'[1]pre processed data'!A:I,9,0)</f>
        <v>20</v>
      </c>
      <c r="G1378" s="4">
        <f>VLOOKUP(Googleadssales[[#This Row],[Ad_ID]],'[1]pre processed data'!A:K,11,0)</f>
        <v>5</v>
      </c>
      <c r="H1378" s="2">
        <f>Googleadssales[[#This Row],[Conversions]]/Googleadssales[[#This Row],[Clicks]]</f>
        <v>3.0864197530864196E-2</v>
      </c>
      <c r="I1378" t="str">
        <f>VLOOKUP(Googleadssales[[#This Row],[Ad_ID]],'[1]pre processed data'!A:O,15,0)</f>
        <v>$1144</v>
      </c>
      <c r="J1378" s="3">
        <f>VLOOKUP(Googleadssales[[#This Row],[Ad_ID]],'[1]pre processed data'!A:Q,17,0)</f>
        <v>45620</v>
      </c>
      <c r="K1378" t="str">
        <f>VLOOKUP(Googleadssales[[#This Row],[Ad_ID]],'[1]pre processed data'!A:R,18,0)</f>
        <v>Bangaluru</v>
      </c>
      <c r="L1378" t="str">
        <f>VLOOKUP(Googleadssales[[#This Row],[Ad_ID]],'[1]pre processed data'!A:S,19,0)</f>
        <v>Mobile</v>
      </c>
      <c r="M1378" t="str">
        <f>VLOOKUP(Googleadssales[[#This Row],[Ad_ID]],'[1]pre processed data'!A:T,20,0)</f>
        <v>data analytics online</v>
      </c>
    </row>
    <row r="1379" spans="1:13" x14ac:dyDescent="0.3">
      <c r="A1379" t="s">
        <v>1392</v>
      </c>
      <c r="B1379" t="s">
        <v>18</v>
      </c>
      <c r="C1379" s="4">
        <f>VLOOKUP(Googleadssales[[#This Row],[Ad_ID]],'[1]pre processed data'!A:C,3,0)</f>
        <v>197</v>
      </c>
      <c r="D1379" s="4">
        <f>VLOOKUP(Googleadssales[[#This Row],[Ad_ID]],'[1]pre processed data'!A:E,5,0)</f>
        <v>4541</v>
      </c>
      <c r="E1379" s="5" t="str">
        <f>VLOOKUP(Googleadssales[[#This Row],[Ad_ID]],[1]!Table3[[Ad_ID]:[Cost-imputed]],7,0)</f>
        <v>$243.81</v>
      </c>
      <c r="F1379" s="4">
        <f>VLOOKUP(Googleadssales[[#This Row],[Ad_ID]],'[1]pre processed data'!A:I,9,0)</f>
        <v>19</v>
      </c>
      <c r="G1379" s="4">
        <f>VLOOKUP(Googleadssales[[#This Row],[Ad_ID]],'[1]pre processed data'!A:K,11,0)</f>
        <v>9</v>
      </c>
      <c r="H1379" s="2">
        <f>Googleadssales[[#This Row],[Conversions]]/Googleadssales[[#This Row],[Clicks]]</f>
        <v>4.5685279187817257E-2</v>
      </c>
      <c r="I1379" t="str">
        <f>VLOOKUP(Googleadssales[[#This Row],[Ad_ID]],'[1]pre processed data'!A:O,15,0)</f>
        <v>$1701</v>
      </c>
      <c r="J1379" s="3">
        <f>VLOOKUP(Googleadssales[[#This Row],[Ad_ID]],'[1]pre processed data'!A:Q,17,0)</f>
        <v>45607</v>
      </c>
      <c r="K1379" t="str">
        <f>VLOOKUP(Googleadssales[[#This Row],[Ad_ID]],'[1]pre processed data'!A:R,18,0)</f>
        <v>Hyderabad</v>
      </c>
      <c r="L1379" t="str">
        <f>VLOOKUP(Googleadssales[[#This Row],[Ad_ID]],'[1]pre processed data'!A:S,19,0)</f>
        <v>Desktop</v>
      </c>
      <c r="M1379" t="str">
        <f>VLOOKUP(Googleadssales[[#This Row],[Ad_ID]],'[1]pre processed data'!A:T,20,0)</f>
        <v>data analytics training</v>
      </c>
    </row>
    <row r="1380" spans="1:13" x14ac:dyDescent="0.3">
      <c r="A1380" t="s">
        <v>1393</v>
      </c>
      <c r="B1380" t="s">
        <v>18</v>
      </c>
      <c r="C1380" s="4">
        <f>VLOOKUP(Googleadssales[[#This Row],[Ad_ID]],'[1]pre processed data'!A:C,3,0)</f>
        <v>133</v>
      </c>
      <c r="D1380" s="4">
        <f>VLOOKUP(Googleadssales[[#This Row],[Ad_ID]],'[1]pre processed data'!A:E,5,0)</f>
        <v>4642</v>
      </c>
      <c r="E1380" s="5" t="str">
        <f>VLOOKUP(Googleadssales[[#This Row],[Ad_ID]],[1]!Table3[[Ad_ID]:[Cost-imputed]],7,0)</f>
        <v>$184.52</v>
      </c>
      <c r="F1380" s="4">
        <f>VLOOKUP(Googleadssales[[#This Row],[Ad_ID]],'[1]pre processed data'!A:I,9,0)</f>
        <v>22</v>
      </c>
      <c r="G1380" s="4">
        <f>VLOOKUP(Googleadssales[[#This Row],[Ad_ID]],'[1]pre processed data'!A:K,11,0)</f>
        <v>4</v>
      </c>
      <c r="H1380" s="2">
        <f>Googleadssales[[#This Row],[Conversions]]/Googleadssales[[#This Row],[Clicks]]</f>
        <v>3.007518796992481E-2</v>
      </c>
      <c r="I1380" t="str">
        <f>VLOOKUP(Googleadssales[[#This Row],[Ad_ID]],'[1]pre processed data'!A:O,15,0)</f>
        <v>$1074</v>
      </c>
      <c r="J1380" s="3">
        <f>VLOOKUP(Googleadssales[[#This Row],[Ad_ID]],'[1]pre processed data'!A:Q,17,0)</f>
        <v>45610</v>
      </c>
      <c r="K1380" t="str">
        <f>VLOOKUP(Googleadssales[[#This Row],[Ad_ID]],'[1]pre processed data'!A:R,18,0)</f>
        <v>Hyderabad</v>
      </c>
      <c r="L1380" t="str">
        <f>VLOOKUP(Googleadssales[[#This Row],[Ad_ID]],'[1]pre processed data'!A:S,19,0)</f>
        <v>Desktop</v>
      </c>
      <c r="M1380" t="str">
        <f>VLOOKUP(Googleadssales[[#This Row],[Ad_ID]],'[1]pre processed data'!A:T,20,0)</f>
        <v>online data analytic</v>
      </c>
    </row>
    <row r="1381" spans="1:13" x14ac:dyDescent="0.3">
      <c r="A1381" t="s">
        <v>1394</v>
      </c>
      <c r="B1381" t="s">
        <v>14</v>
      </c>
      <c r="C1381" s="4">
        <f>VLOOKUP(Googleadssales[[#This Row],[Ad_ID]],'[1]pre processed data'!A:C,3,0)</f>
        <v>194</v>
      </c>
      <c r="D1381" s="4">
        <f>VLOOKUP(Googleadssales[[#This Row],[Ad_ID]],'[1]pre processed data'!A:E,5,0)</f>
        <v>5509</v>
      </c>
      <c r="E1381" s="5" t="str">
        <f>VLOOKUP(Googleadssales[[#This Row],[Ad_ID]],[1]!Table3[[Ad_ID]:[Cost-imputed]],7,0)</f>
        <v>$235.45</v>
      </c>
      <c r="F1381" s="4">
        <f>VLOOKUP(Googleadssales[[#This Row],[Ad_ID]],'[1]pre processed data'!A:I,9,0)</f>
        <v>18</v>
      </c>
      <c r="G1381" s="4">
        <f>VLOOKUP(Googleadssales[[#This Row],[Ad_ID]],'[1]pre processed data'!A:K,11,0)</f>
        <v>5</v>
      </c>
      <c r="H1381" s="2">
        <f>Googleadssales[[#This Row],[Conversions]]/Googleadssales[[#This Row],[Clicks]]</f>
        <v>2.5773195876288658E-2</v>
      </c>
      <c r="I1381" t="str">
        <f>VLOOKUP(Googleadssales[[#This Row],[Ad_ID]],'[1]pre processed data'!A:O,15,0)</f>
        <v>$1025</v>
      </c>
      <c r="J1381" s="3">
        <f>VLOOKUP(Googleadssales[[#This Row],[Ad_ID]],'[1]pre processed data'!A:Q,17,0)</f>
        <v>45608</v>
      </c>
      <c r="K1381" t="str">
        <f>VLOOKUP(Googleadssales[[#This Row],[Ad_ID]],'[1]pre processed data'!A:R,18,0)</f>
        <v>Chennai</v>
      </c>
      <c r="L1381" t="str">
        <f>VLOOKUP(Googleadssales[[#This Row],[Ad_ID]],'[1]pre processed data'!A:S,19,0)</f>
        <v>Tablet</v>
      </c>
      <c r="M1381" t="str">
        <f>VLOOKUP(Googleadssales[[#This Row],[Ad_ID]],'[1]pre processed data'!A:T,20,0)</f>
        <v>online data analytic</v>
      </c>
    </row>
    <row r="1382" spans="1:13" x14ac:dyDescent="0.3">
      <c r="A1382" t="s">
        <v>1395</v>
      </c>
      <c r="B1382" t="s">
        <v>14</v>
      </c>
      <c r="C1382" s="4">
        <f>VLOOKUP(Googleadssales[[#This Row],[Ad_ID]],'[1]pre processed data'!A:C,3,0)</f>
        <v>169</v>
      </c>
      <c r="D1382" s="4">
        <f>VLOOKUP(Googleadssales[[#This Row],[Ad_ID]],'[1]pre processed data'!A:E,5,0)</f>
        <v>3647</v>
      </c>
      <c r="E1382" s="5" t="str">
        <f>VLOOKUP(Googleadssales[[#This Row],[Ad_ID]],[1]!Table3[[Ad_ID]:[Cost-imputed]],7,0)</f>
        <v>$194.12</v>
      </c>
      <c r="F1382" s="4">
        <f>VLOOKUP(Googleadssales[[#This Row],[Ad_ID]],'[1]pre processed data'!A:I,9,0)</f>
        <v>12</v>
      </c>
      <c r="G1382" s="4">
        <f>VLOOKUP(Googleadssales[[#This Row],[Ad_ID]],'[1]pre processed data'!A:K,11,0)</f>
        <v>6</v>
      </c>
      <c r="H1382" s="2">
        <f>Googleadssales[[#This Row],[Conversions]]/Googleadssales[[#This Row],[Clicks]]</f>
        <v>3.5502958579881658E-2</v>
      </c>
      <c r="I1382" t="str">
        <f>VLOOKUP(Googleadssales[[#This Row],[Ad_ID]],'[1]pre processed data'!A:O,15,0)</f>
        <v>$1697</v>
      </c>
      <c r="J1382" s="3">
        <f>VLOOKUP(Googleadssales[[#This Row],[Ad_ID]],'[1]pre processed data'!A:Q,17,0)</f>
        <v>45618</v>
      </c>
      <c r="K1382" t="str">
        <f>VLOOKUP(Googleadssales[[#This Row],[Ad_ID]],'[1]pre processed data'!A:R,18,0)</f>
        <v>Bangaluru</v>
      </c>
      <c r="L1382" t="str">
        <f>VLOOKUP(Googleadssales[[#This Row],[Ad_ID]],'[1]pre processed data'!A:S,19,0)</f>
        <v>Desktop</v>
      </c>
      <c r="M1382" t="str">
        <f>VLOOKUP(Googleadssales[[#This Row],[Ad_ID]],'[1]pre processed data'!A:T,20,0)</f>
        <v>learn data analytics</v>
      </c>
    </row>
    <row r="1383" spans="1:13" x14ac:dyDescent="0.3">
      <c r="A1383" t="s">
        <v>1396</v>
      </c>
      <c r="B1383" t="s">
        <v>14</v>
      </c>
      <c r="C1383" s="4">
        <f>VLOOKUP(Googleadssales[[#This Row],[Ad_ID]],'[1]pre processed data'!A:C,3,0)</f>
        <v>149</v>
      </c>
      <c r="D1383" s="4">
        <f>VLOOKUP(Googleadssales[[#This Row],[Ad_ID]],'[1]pre processed data'!A:E,5,0)</f>
        <v>5209</v>
      </c>
      <c r="E1383" s="5" t="str">
        <f>VLOOKUP(Googleadssales[[#This Row],[Ad_ID]],[1]!Table3[[Ad_ID]:[Cost-imputed]],7,0)</f>
        <v>$183.91</v>
      </c>
      <c r="F1383" s="4">
        <f>VLOOKUP(Googleadssales[[#This Row],[Ad_ID]],'[1]pre processed data'!A:I,9,0)</f>
        <v>18</v>
      </c>
      <c r="G1383" s="4">
        <f>VLOOKUP(Googleadssales[[#This Row],[Ad_ID]],'[1]pre processed data'!A:K,11,0)</f>
        <v>10</v>
      </c>
      <c r="H1383" s="2">
        <f>Googleadssales[[#This Row],[Conversions]]/Googleadssales[[#This Row],[Clicks]]</f>
        <v>6.7114093959731544E-2</v>
      </c>
      <c r="I1383" t="str">
        <f>VLOOKUP(Googleadssales[[#This Row],[Ad_ID]],'[1]pre processed data'!A:O,15,0)</f>
        <v>$1799</v>
      </c>
      <c r="J1383" s="3">
        <f>VLOOKUP(Googleadssales[[#This Row],[Ad_ID]],'[1]pre processed data'!A:Q,17,0)</f>
        <v>45625</v>
      </c>
      <c r="K1383" t="str">
        <f>VLOOKUP(Googleadssales[[#This Row],[Ad_ID]],'[1]pre processed data'!A:R,18,0)</f>
        <v>Hyderabad</v>
      </c>
      <c r="L1383" t="str">
        <f>VLOOKUP(Googleadssales[[#This Row],[Ad_ID]],'[1]pre processed data'!A:S,19,0)</f>
        <v>Desktop</v>
      </c>
      <c r="M1383" t="str">
        <f>VLOOKUP(Googleadssales[[#This Row],[Ad_ID]],'[1]pre processed data'!A:T,20,0)</f>
        <v>learn data analytics</v>
      </c>
    </row>
    <row r="1384" spans="1:13" x14ac:dyDescent="0.3">
      <c r="A1384" t="s">
        <v>1397</v>
      </c>
      <c r="B1384" t="s">
        <v>18</v>
      </c>
      <c r="C1384" s="4">
        <f>VLOOKUP(Googleadssales[[#This Row],[Ad_ID]],'[1]pre processed data'!A:C,3,0)</f>
        <v>124</v>
      </c>
      <c r="D1384" s="4">
        <f>VLOOKUP(Googleadssales[[#This Row],[Ad_ID]],'[1]pre processed data'!A:E,5,0)</f>
        <v>5980</v>
      </c>
      <c r="E1384" s="5" t="str">
        <f>VLOOKUP(Googleadssales[[#This Row],[Ad_ID]],[1]!Table3[[Ad_ID]:[Cost-imputed]],7,0)</f>
        <v>$200.65</v>
      </c>
      <c r="F1384" s="4">
        <f>VLOOKUP(Googleadssales[[#This Row],[Ad_ID]],'[1]pre processed data'!A:I,9,0)</f>
        <v>25</v>
      </c>
      <c r="G1384" s="4">
        <f>VLOOKUP(Googleadssales[[#This Row],[Ad_ID]],'[1]pre processed data'!A:K,11,0)</f>
        <v>4</v>
      </c>
      <c r="H1384" s="2">
        <f>Googleadssales[[#This Row],[Conversions]]/Googleadssales[[#This Row],[Clicks]]</f>
        <v>3.2258064516129031E-2</v>
      </c>
      <c r="I1384" t="str">
        <f>VLOOKUP(Googleadssales[[#This Row],[Ad_ID]],'[1]pre processed data'!A:O,15,0)</f>
        <v>$1768</v>
      </c>
      <c r="J1384" s="3">
        <f>VLOOKUP(Googleadssales[[#This Row],[Ad_ID]],'[1]pre processed data'!A:Q,17,0)</f>
        <v>45600</v>
      </c>
      <c r="K1384" t="str">
        <f>VLOOKUP(Googleadssales[[#This Row],[Ad_ID]],'[1]pre processed data'!A:R,18,0)</f>
        <v>Bangaluru</v>
      </c>
      <c r="L1384" t="str">
        <f>VLOOKUP(Googleadssales[[#This Row],[Ad_ID]],'[1]pre processed data'!A:S,19,0)</f>
        <v>Desktop</v>
      </c>
      <c r="M1384" t="str">
        <f>VLOOKUP(Googleadssales[[#This Row],[Ad_ID]],'[1]pre processed data'!A:T,20,0)</f>
        <v>learn data analytics</v>
      </c>
    </row>
    <row r="1385" spans="1:13" x14ac:dyDescent="0.3">
      <c r="A1385" t="s">
        <v>1398</v>
      </c>
      <c r="B1385" t="s">
        <v>14</v>
      </c>
      <c r="C1385" s="4">
        <f>VLOOKUP(Googleadssales[[#This Row],[Ad_ID]],'[1]pre processed data'!A:C,3,0)</f>
        <v>170</v>
      </c>
      <c r="D1385" s="4">
        <f>VLOOKUP(Googleadssales[[#This Row],[Ad_ID]],'[1]pre processed data'!A:E,5,0)</f>
        <v>5443</v>
      </c>
      <c r="E1385" s="5" t="str">
        <f>VLOOKUP(Googleadssales[[#This Row],[Ad_ID]],[1]!Table3[[Ad_ID]:[Cost-imputed]],7,0)</f>
        <v>$235.99</v>
      </c>
      <c r="F1385" s="4">
        <f>VLOOKUP(Googleadssales[[#This Row],[Ad_ID]],'[1]pre processed data'!A:I,9,0)</f>
        <v>23</v>
      </c>
      <c r="G1385" s="4">
        <f>VLOOKUP(Googleadssales[[#This Row],[Ad_ID]],'[1]pre processed data'!A:K,11,0)</f>
        <v>5</v>
      </c>
      <c r="H1385" s="2">
        <f>Googleadssales[[#This Row],[Conversions]]/Googleadssales[[#This Row],[Clicks]]</f>
        <v>2.9411764705882353E-2</v>
      </c>
      <c r="I1385" t="str">
        <f>VLOOKUP(Googleadssales[[#This Row],[Ad_ID]],'[1]pre processed data'!A:O,15,0)</f>
        <v>$1314</v>
      </c>
      <c r="J1385" s="3">
        <f>VLOOKUP(Googleadssales[[#This Row],[Ad_ID]],'[1]pre processed data'!A:Q,17,0)</f>
        <v>45617</v>
      </c>
      <c r="K1385" t="str">
        <f>VLOOKUP(Googleadssales[[#This Row],[Ad_ID]],'[1]pre processed data'!A:R,18,0)</f>
        <v>Hyderabad</v>
      </c>
      <c r="L1385" t="str">
        <f>VLOOKUP(Googleadssales[[#This Row],[Ad_ID]],'[1]pre processed data'!A:S,19,0)</f>
        <v>Mobile</v>
      </c>
      <c r="M1385" t="str">
        <f>VLOOKUP(Googleadssales[[#This Row],[Ad_ID]],'[1]pre processed data'!A:T,20,0)</f>
        <v>analytics for data</v>
      </c>
    </row>
    <row r="1386" spans="1:13" x14ac:dyDescent="0.3">
      <c r="A1386" t="s">
        <v>1399</v>
      </c>
      <c r="B1386" t="s">
        <v>14</v>
      </c>
      <c r="C1386" s="4">
        <f>VLOOKUP(Googleadssales[[#This Row],[Ad_ID]],'[1]pre processed data'!A:C,3,0)</f>
        <v>127</v>
      </c>
      <c r="D1386" s="4">
        <f>VLOOKUP(Googleadssales[[#This Row],[Ad_ID]],'[1]pre processed data'!A:E,5,0)</f>
        <v>5326</v>
      </c>
      <c r="E1386" s="5" t="str">
        <f>VLOOKUP(Googleadssales[[#This Row],[Ad_ID]],[1]!Table3[[Ad_ID]:[Cost-imputed]],7,0)</f>
        <v>$226.11</v>
      </c>
      <c r="F1386" s="4">
        <f>VLOOKUP(Googleadssales[[#This Row],[Ad_ID]],'[1]pre processed data'!A:I,9,0)</f>
        <v>18</v>
      </c>
      <c r="G1386" s="4">
        <f>VLOOKUP(Googleadssales[[#This Row],[Ad_ID]],'[1]pre processed data'!A:K,11,0)</f>
        <v>10</v>
      </c>
      <c r="H1386" s="2">
        <f>Googleadssales[[#This Row],[Conversions]]/Googleadssales[[#This Row],[Clicks]]</f>
        <v>7.874015748031496E-2</v>
      </c>
      <c r="I1386" t="str">
        <f>VLOOKUP(Googleadssales[[#This Row],[Ad_ID]],'[1]pre processed data'!A:O,15,0)</f>
        <v>$1040</v>
      </c>
      <c r="J1386" s="3">
        <f>VLOOKUP(Googleadssales[[#This Row],[Ad_ID]],'[1]pre processed data'!A:Q,17,0)</f>
        <v>45617</v>
      </c>
      <c r="K1386" t="str">
        <f>VLOOKUP(Googleadssales[[#This Row],[Ad_ID]],'[1]pre processed data'!A:R,18,0)</f>
        <v>Hyderabad</v>
      </c>
      <c r="L1386" t="str">
        <f>VLOOKUP(Googleadssales[[#This Row],[Ad_ID]],'[1]pre processed data'!A:S,19,0)</f>
        <v>Mobile</v>
      </c>
      <c r="M1386" t="str">
        <f>VLOOKUP(Googleadssales[[#This Row],[Ad_ID]],'[1]pre processed data'!A:T,20,0)</f>
        <v>online data analytic</v>
      </c>
    </row>
    <row r="1387" spans="1:13" x14ac:dyDescent="0.3">
      <c r="A1387" t="s">
        <v>1400</v>
      </c>
      <c r="B1387" t="s">
        <v>14</v>
      </c>
      <c r="C1387" s="4">
        <f>VLOOKUP(Googleadssales[[#This Row],[Ad_ID]],'[1]pre processed data'!A:C,3,0)</f>
        <v>114</v>
      </c>
      <c r="D1387" s="4">
        <f>VLOOKUP(Googleadssales[[#This Row],[Ad_ID]],'[1]pre processed data'!A:E,5,0)</f>
        <v>5565</v>
      </c>
      <c r="E1387" s="5" t="str">
        <f>VLOOKUP(Googleadssales[[#This Row],[Ad_ID]],[1]!Table3[[Ad_ID]:[Cost-imputed]],7,0)</f>
        <v>$210.04</v>
      </c>
      <c r="F1387" s="4">
        <f>VLOOKUP(Googleadssales[[#This Row],[Ad_ID]],'[1]pre processed data'!A:I,9,0)</f>
        <v>16</v>
      </c>
      <c r="G1387" s="4">
        <f>VLOOKUP(Googleadssales[[#This Row],[Ad_ID]],'[1]pre processed data'!A:K,11,0)</f>
        <v>4</v>
      </c>
      <c r="H1387" s="2">
        <f>Googleadssales[[#This Row],[Conversions]]/Googleadssales[[#This Row],[Clicks]]</f>
        <v>3.5087719298245612E-2</v>
      </c>
      <c r="I1387" t="str">
        <f>VLOOKUP(Googleadssales[[#This Row],[Ad_ID]],'[1]pre processed data'!A:O,15,0)</f>
        <v>$1800</v>
      </c>
      <c r="J1387" s="3">
        <f>VLOOKUP(Googleadssales[[#This Row],[Ad_ID]],'[1]pre processed data'!A:Q,17,0)</f>
        <v>45603</v>
      </c>
      <c r="K1387" t="str">
        <f>VLOOKUP(Googleadssales[[#This Row],[Ad_ID]],'[1]pre processed data'!A:R,18,0)</f>
        <v>Bangaluru</v>
      </c>
      <c r="L1387" t="str">
        <f>VLOOKUP(Googleadssales[[#This Row],[Ad_ID]],'[1]pre processed data'!A:S,19,0)</f>
        <v>Desktop</v>
      </c>
      <c r="M1387" t="str">
        <f>VLOOKUP(Googleadssales[[#This Row],[Ad_ID]],'[1]pre processed data'!A:T,20,0)</f>
        <v>data analytics training</v>
      </c>
    </row>
    <row r="1388" spans="1:13" x14ac:dyDescent="0.3">
      <c r="A1388" t="s">
        <v>1401</v>
      </c>
      <c r="B1388" t="s">
        <v>14</v>
      </c>
      <c r="C1388" s="4">
        <f>VLOOKUP(Googleadssales[[#This Row],[Ad_ID]],'[1]pre processed data'!A:C,3,0)</f>
        <v>154</v>
      </c>
      <c r="D1388" s="4">
        <f>VLOOKUP(Googleadssales[[#This Row],[Ad_ID]],'[1]pre processed data'!A:E,5,0)</f>
        <v>3312</v>
      </c>
      <c r="E1388" s="5" t="str">
        <f>VLOOKUP(Googleadssales[[#This Row],[Ad_ID]],[1]!Table3[[Ad_ID]:[Cost-imputed]],7,0)</f>
        <v>$203.23</v>
      </c>
      <c r="F1388" s="4">
        <f>VLOOKUP(Googleadssales[[#This Row],[Ad_ID]],'[1]pre processed data'!A:I,9,0)</f>
        <v>16</v>
      </c>
      <c r="G1388" s="4">
        <f>VLOOKUP(Googleadssales[[#This Row],[Ad_ID]],'[1]pre processed data'!A:K,11,0)</f>
        <v>5</v>
      </c>
      <c r="H1388" s="2">
        <f>Googleadssales[[#This Row],[Conversions]]/Googleadssales[[#This Row],[Clicks]]</f>
        <v>3.2467532467532464E-2</v>
      </c>
      <c r="I1388" t="str">
        <f>VLOOKUP(Googleadssales[[#This Row],[Ad_ID]],'[1]pre processed data'!A:O,15,0)</f>
        <v>$1977</v>
      </c>
      <c r="J1388" s="3">
        <f>VLOOKUP(Googleadssales[[#This Row],[Ad_ID]],'[1]pre processed data'!A:Q,17,0)</f>
        <v>45600</v>
      </c>
      <c r="K1388" t="str">
        <f>VLOOKUP(Googleadssales[[#This Row],[Ad_ID]],'[1]pre processed data'!A:R,18,0)</f>
        <v>Hyderabad</v>
      </c>
      <c r="L1388" t="str">
        <f>VLOOKUP(Googleadssales[[#This Row],[Ad_ID]],'[1]pre processed data'!A:S,19,0)</f>
        <v>Desktop</v>
      </c>
      <c r="M1388" t="str">
        <f>VLOOKUP(Googleadssales[[#This Row],[Ad_ID]],'[1]pre processed data'!A:T,20,0)</f>
        <v>data analytics training</v>
      </c>
    </row>
    <row r="1389" spans="1:13" x14ac:dyDescent="0.3">
      <c r="A1389" t="s">
        <v>1402</v>
      </c>
      <c r="B1389" t="s">
        <v>14</v>
      </c>
      <c r="C1389" s="4">
        <f>VLOOKUP(Googleadssales[[#This Row],[Ad_ID]],'[1]pre processed data'!A:C,3,0)</f>
        <v>138.95699356913184</v>
      </c>
      <c r="D1389" s="4">
        <f>VLOOKUP(Googleadssales[[#This Row],[Ad_ID]],'[1]pre processed data'!A:E,5,0)</f>
        <v>4369</v>
      </c>
      <c r="E1389" s="5" t="str">
        <f>VLOOKUP(Googleadssales[[#This Row],[Ad_ID]],[1]!Table3[[Ad_ID]:[Cost-imputed]],7,0)</f>
        <v>$225.53</v>
      </c>
      <c r="F1389" s="4">
        <f>VLOOKUP(Googleadssales[[#This Row],[Ad_ID]],'[1]pre processed data'!A:I,9,0)</f>
        <v>28</v>
      </c>
      <c r="G1389" s="4">
        <f>VLOOKUP(Googleadssales[[#This Row],[Ad_ID]],'[1]pre processed data'!A:K,11,0)</f>
        <v>4</v>
      </c>
      <c r="H1389" s="2">
        <f>Googleadssales[[#This Row],[Conversions]]/Googleadssales[[#This Row],[Clicks]]</f>
        <v>2.8785884734977219E-2</v>
      </c>
      <c r="I1389" t="str">
        <f>VLOOKUP(Googleadssales[[#This Row],[Ad_ID]],'[1]pre processed data'!A:O,15,0)</f>
        <v>$1241</v>
      </c>
      <c r="J1389" s="3">
        <f>VLOOKUP(Googleadssales[[#This Row],[Ad_ID]],'[1]pre processed data'!A:Q,17,0)</f>
        <v>45619</v>
      </c>
      <c r="K1389" t="str">
        <f>VLOOKUP(Googleadssales[[#This Row],[Ad_ID]],'[1]pre processed data'!A:R,18,0)</f>
        <v>Hyderabad</v>
      </c>
      <c r="L1389" t="str">
        <f>VLOOKUP(Googleadssales[[#This Row],[Ad_ID]],'[1]pre processed data'!A:S,19,0)</f>
        <v>Tablet</v>
      </c>
      <c r="M1389" t="str">
        <f>VLOOKUP(Googleadssales[[#This Row],[Ad_ID]],'[1]pre processed data'!A:T,20,0)</f>
        <v>data analytics online</v>
      </c>
    </row>
    <row r="1390" spans="1:13" x14ac:dyDescent="0.3">
      <c r="A1390" t="s">
        <v>1403</v>
      </c>
      <c r="B1390" t="s">
        <v>14</v>
      </c>
      <c r="C1390" s="4">
        <f>VLOOKUP(Googleadssales[[#This Row],[Ad_ID]],'[1]pre processed data'!A:C,3,0)</f>
        <v>126</v>
      </c>
      <c r="D1390" s="4">
        <f>VLOOKUP(Googleadssales[[#This Row],[Ad_ID]],'[1]pre processed data'!A:E,5,0)</f>
        <v>3570</v>
      </c>
      <c r="E1390" s="5" t="str">
        <f>VLOOKUP(Googleadssales[[#This Row],[Ad_ID]],[1]!Table3[[Ad_ID]:[Cost-imputed]],7,0)</f>
        <v>$214.78</v>
      </c>
      <c r="F1390" s="4">
        <f>VLOOKUP(Googleadssales[[#This Row],[Ad_ID]],'[1]pre processed data'!A:I,9,0)</f>
        <v>28</v>
      </c>
      <c r="G1390" s="4">
        <f>VLOOKUP(Googleadssales[[#This Row],[Ad_ID]],'[1]pre processed data'!A:K,11,0)</f>
        <v>9</v>
      </c>
      <c r="H1390" s="2">
        <f>Googleadssales[[#This Row],[Conversions]]/Googleadssales[[#This Row],[Clicks]]</f>
        <v>7.1428571428571425E-2</v>
      </c>
      <c r="I1390" t="str">
        <f>VLOOKUP(Googleadssales[[#This Row],[Ad_ID]],'[1]pre processed data'!A:O,15,0)</f>
        <v>$1078</v>
      </c>
      <c r="J1390" s="3">
        <f>VLOOKUP(Googleadssales[[#This Row],[Ad_ID]],'[1]pre processed data'!A:Q,17,0)</f>
        <v>45608</v>
      </c>
      <c r="K1390" t="str">
        <f>VLOOKUP(Googleadssales[[#This Row],[Ad_ID]],'[1]pre processed data'!A:R,18,0)</f>
        <v>Chennai</v>
      </c>
      <c r="L1390" t="str">
        <f>VLOOKUP(Googleadssales[[#This Row],[Ad_ID]],'[1]pre processed data'!A:S,19,0)</f>
        <v>Tablet</v>
      </c>
      <c r="M1390" t="str">
        <f>VLOOKUP(Googleadssales[[#This Row],[Ad_ID]],'[1]pre processed data'!A:T,20,0)</f>
        <v>data analytics training</v>
      </c>
    </row>
    <row r="1391" spans="1:13" x14ac:dyDescent="0.3">
      <c r="A1391" t="s">
        <v>1404</v>
      </c>
      <c r="B1391" t="s">
        <v>18</v>
      </c>
      <c r="C1391" s="4">
        <f>VLOOKUP(Googleadssales[[#This Row],[Ad_ID]],'[1]pre processed data'!A:C,3,0)</f>
        <v>138.95699356913184</v>
      </c>
      <c r="D1391" s="4">
        <f>VLOOKUP(Googleadssales[[#This Row],[Ad_ID]],'[1]pre processed data'!A:E,5,0)</f>
        <v>3883</v>
      </c>
      <c r="E1391" s="5" t="str">
        <f>VLOOKUP(Googleadssales[[#This Row],[Ad_ID]],[1]!Table3[[Ad_ID]:[Cost-imputed]],7,0)</f>
        <v>$225.89</v>
      </c>
      <c r="F1391" s="4">
        <f>VLOOKUP(Googleadssales[[#This Row],[Ad_ID]],'[1]pre processed data'!A:I,9,0)</f>
        <v>23</v>
      </c>
      <c r="G1391" s="4">
        <f>VLOOKUP(Googleadssales[[#This Row],[Ad_ID]],'[1]pre processed data'!A:K,11,0)</f>
        <v>5</v>
      </c>
      <c r="H1391" s="2">
        <f>Googleadssales[[#This Row],[Conversions]]/Googleadssales[[#This Row],[Clicks]]</f>
        <v>3.5982355918721523E-2</v>
      </c>
      <c r="I1391" t="str">
        <f>VLOOKUP(Googleadssales[[#This Row],[Ad_ID]],'[1]pre processed data'!A:O,15,0)</f>
        <v>$1183</v>
      </c>
      <c r="J1391" s="3">
        <f>VLOOKUP(Googleadssales[[#This Row],[Ad_ID]],'[1]pre processed data'!A:Q,17,0)</f>
        <v>45617</v>
      </c>
      <c r="K1391" t="str">
        <f>VLOOKUP(Googleadssales[[#This Row],[Ad_ID]],'[1]pre processed data'!A:R,18,0)</f>
        <v>Bangaluru</v>
      </c>
      <c r="L1391" t="str">
        <f>VLOOKUP(Googleadssales[[#This Row],[Ad_ID]],'[1]pre processed data'!A:S,19,0)</f>
        <v>Mobile</v>
      </c>
      <c r="M1391" t="str">
        <f>VLOOKUP(Googleadssales[[#This Row],[Ad_ID]],'[1]pre processed data'!A:T,20,0)</f>
        <v>online data analytic</v>
      </c>
    </row>
    <row r="1392" spans="1:13" x14ac:dyDescent="0.3">
      <c r="A1392" t="s">
        <v>1405</v>
      </c>
      <c r="B1392" t="s">
        <v>14</v>
      </c>
      <c r="C1392" s="4">
        <f>VLOOKUP(Googleadssales[[#This Row],[Ad_ID]],'[1]pre processed data'!A:C,3,0)</f>
        <v>125</v>
      </c>
      <c r="D1392" s="4">
        <f>VLOOKUP(Googleadssales[[#This Row],[Ad_ID]],'[1]pre processed data'!A:E,5,0)</f>
        <v>5736</v>
      </c>
      <c r="E1392" s="5" t="str">
        <f>VLOOKUP(Googleadssales[[#This Row],[Ad_ID]],[1]!Table3[[Ad_ID]:[Cost-imputed]],7,0)</f>
        <v>$197.28</v>
      </c>
      <c r="F1392" s="4">
        <f>VLOOKUP(Googleadssales[[#This Row],[Ad_ID]],'[1]pre processed data'!A:I,9,0)</f>
        <v>30</v>
      </c>
      <c r="G1392" s="4">
        <f>VLOOKUP(Googleadssales[[#This Row],[Ad_ID]],'[1]pre processed data'!A:K,11,0)</f>
        <v>5</v>
      </c>
      <c r="H1392" s="2">
        <f>Googleadssales[[#This Row],[Conversions]]/Googleadssales[[#This Row],[Clicks]]</f>
        <v>0.04</v>
      </c>
      <c r="I1392" t="str">
        <f>VLOOKUP(Googleadssales[[#This Row],[Ad_ID]],'[1]pre processed data'!A:O,15,0)</f>
        <v>$1265</v>
      </c>
      <c r="J1392" s="3">
        <f>VLOOKUP(Googleadssales[[#This Row],[Ad_ID]],'[1]pre processed data'!A:Q,17,0)</f>
        <v>45614</v>
      </c>
      <c r="K1392" t="str">
        <f>VLOOKUP(Googleadssales[[#This Row],[Ad_ID]],'[1]pre processed data'!A:R,18,0)</f>
        <v>Chennai</v>
      </c>
      <c r="L1392" t="str">
        <f>VLOOKUP(Googleadssales[[#This Row],[Ad_ID]],'[1]pre processed data'!A:S,19,0)</f>
        <v>Mobile</v>
      </c>
      <c r="M1392" t="str">
        <f>VLOOKUP(Googleadssales[[#This Row],[Ad_ID]],'[1]pre processed data'!A:T,20,0)</f>
        <v>analytics for data</v>
      </c>
    </row>
    <row r="1393" spans="1:13" x14ac:dyDescent="0.3">
      <c r="A1393" t="s">
        <v>1406</v>
      </c>
      <c r="B1393" t="s">
        <v>14</v>
      </c>
      <c r="C1393" s="4">
        <f>VLOOKUP(Googleadssales[[#This Row],[Ad_ID]],'[1]pre processed data'!A:C,3,0)</f>
        <v>197</v>
      </c>
      <c r="D1393" s="4">
        <f>VLOOKUP(Googleadssales[[#This Row],[Ad_ID]],'[1]pre processed data'!A:E,5,0)</f>
        <v>5921</v>
      </c>
      <c r="E1393" s="5" t="str">
        <f>VLOOKUP(Googleadssales[[#This Row],[Ad_ID]],[1]!Table3[[Ad_ID]:[Cost-imputed]],7,0)</f>
        <v>$214.97</v>
      </c>
      <c r="F1393" s="4">
        <f>VLOOKUP(Googleadssales[[#This Row],[Ad_ID]],'[1]pre processed data'!A:I,9,0)</f>
        <v>18</v>
      </c>
      <c r="G1393" s="4">
        <f>VLOOKUP(Googleadssales[[#This Row],[Ad_ID]],'[1]pre processed data'!A:K,11,0)</f>
        <v>6</v>
      </c>
      <c r="H1393" s="2">
        <f>Googleadssales[[#This Row],[Conversions]]/Googleadssales[[#This Row],[Clicks]]</f>
        <v>3.0456852791878174E-2</v>
      </c>
      <c r="I1393" t="str">
        <f>VLOOKUP(Googleadssales[[#This Row],[Ad_ID]],'[1]pre processed data'!A:O,15,0)</f>
        <v>$1975</v>
      </c>
      <c r="J1393" s="3">
        <f>VLOOKUP(Googleadssales[[#This Row],[Ad_ID]],'[1]pre processed data'!A:Q,17,0)</f>
        <v>45610</v>
      </c>
      <c r="K1393" t="str">
        <f>VLOOKUP(Googleadssales[[#This Row],[Ad_ID]],'[1]pre processed data'!A:R,18,0)</f>
        <v>Chennai</v>
      </c>
      <c r="L1393" t="str">
        <f>VLOOKUP(Googleadssales[[#This Row],[Ad_ID]],'[1]pre processed data'!A:S,19,0)</f>
        <v>Desktop</v>
      </c>
      <c r="M1393" t="str">
        <f>VLOOKUP(Googleadssales[[#This Row],[Ad_ID]],'[1]pre processed data'!A:T,20,0)</f>
        <v>learn data analytics</v>
      </c>
    </row>
    <row r="1394" spans="1:13" x14ac:dyDescent="0.3">
      <c r="A1394" t="s">
        <v>1407</v>
      </c>
      <c r="B1394" t="s">
        <v>18</v>
      </c>
      <c r="C1394" s="4">
        <f>VLOOKUP(Googleadssales[[#This Row],[Ad_ID]],'[1]pre processed data'!A:C,3,0)</f>
        <v>98</v>
      </c>
      <c r="D1394" s="4">
        <f>VLOOKUP(Googleadssales[[#This Row],[Ad_ID]],'[1]pre processed data'!A:E,5,0)</f>
        <v>3687</v>
      </c>
      <c r="E1394" s="5" t="str">
        <f>VLOOKUP(Googleadssales[[#This Row],[Ad_ID]],[1]!Table3[[Ad_ID]:[Cost-imputed]],7,0)</f>
        <v>$206.7</v>
      </c>
      <c r="F1394" s="4">
        <f>VLOOKUP(Googleadssales[[#This Row],[Ad_ID]],'[1]pre processed data'!A:I,9,0)</f>
        <v>12</v>
      </c>
      <c r="G1394" s="4">
        <f>VLOOKUP(Googleadssales[[#This Row],[Ad_ID]],'[1]pre processed data'!A:K,11,0)</f>
        <v>10</v>
      </c>
      <c r="H1394" s="2">
        <f>Googleadssales[[#This Row],[Conversions]]/Googleadssales[[#This Row],[Clicks]]</f>
        <v>0.10204081632653061</v>
      </c>
      <c r="I1394" t="str">
        <f>VLOOKUP(Googleadssales[[#This Row],[Ad_ID]],'[1]pre processed data'!A:O,15,0)</f>
        <v>$1640</v>
      </c>
      <c r="J1394" s="3">
        <f>VLOOKUP(Googleadssales[[#This Row],[Ad_ID]],'[1]pre processed data'!A:Q,17,0)</f>
        <v>45603</v>
      </c>
      <c r="K1394" t="str">
        <f>VLOOKUP(Googleadssales[[#This Row],[Ad_ID]],'[1]pre processed data'!A:R,18,0)</f>
        <v>Hyderabad</v>
      </c>
      <c r="L1394" t="str">
        <f>VLOOKUP(Googleadssales[[#This Row],[Ad_ID]],'[1]pre processed data'!A:S,19,0)</f>
        <v>Mobile</v>
      </c>
      <c r="M1394" t="str">
        <f>VLOOKUP(Googleadssales[[#This Row],[Ad_ID]],'[1]pre processed data'!A:T,20,0)</f>
        <v>online data analytic</v>
      </c>
    </row>
    <row r="1395" spans="1:13" x14ac:dyDescent="0.3">
      <c r="A1395" t="s">
        <v>1408</v>
      </c>
      <c r="B1395" t="s">
        <v>14</v>
      </c>
      <c r="C1395" s="4">
        <f>VLOOKUP(Googleadssales[[#This Row],[Ad_ID]],'[1]pre processed data'!A:C,3,0)</f>
        <v>164</v>
      </c>
      <c r="D1395" s="4">
        <f>VLOOKUP(Googleadssales[[#This Row],[Ad_ID]],'[1]pre processed data'!A:E,5,0)</f>
        <v>5334</v>
      </c>
      <c r="E1395" s="5" t="str">
        <f>VLOOKUP(Googleadssales[[#This Row],[Ad_ID]],[1]!Table3[[Ad_ID]:[Cost-imputed]],7,0)</f>
        <v>$203.91</v>
      </c>
      <c r="F1395" s="4">
        <f>VLOOKUP(Googleadssales[[#This Row],[Ad_ID]],'[1]pre processed data'!A:I,9,0)</f>
        <v>18</v>
      </c>
      <c r="G1395" s="4">
        <f>VLOOKUP(Googleadssales[[#This Row],[Ad_ID]],'[1]pre processed data'!A:K,11,0)</f>
        <v>6</v>
      </c>
      <c r="H1395" s="2">
        <f>Googleadssales[[#This Row],[Conversions]]/Googleadssales[[#This Row],[Clicks]]</f>
        <v>3.6585365853658534E-2</v>
      </c>
      <c r="I1395" t="str">
        <f>VLOOKUP(Googleadssales[[#This Row],[Ad_ID]],'[1]pre processed data'!A:O,15,0)</f>
        <v>$1128</v>
      </c>
      <c r="J1395" s="3">
        <f>VLOOKUP(Googleadssales[[#This Row],[Ad_ID]],'[1]pre processed data'!A:Q,17,0)</f>
        <v>45614</v>
      </c>
      <c r="K1395" t="str">
        <f>VLOOKUP(Googleadssales[[#This Row],[Ad_ID]],'[1]pre processed data'!A:R,18,0)</f>
        <v>Chennai</v>
      </c>
      <c r="L1395" t="str">
        <f>VLOOKUP(Googleadssales[[#This Row],[Ad_ID]],'[1]pre processed data'!A:S,19,0)</f>
        <v>Desktop</v>
      </c>
      <c r="M1395" t="str">
        <f>VLOOKUP(Googleadssales[[#This Row],[Ad_ID]],'[1]pre processed data'!A:T,20,0)</f>
        <v>data analytics course</v>
      </c>
    </row>
    <row r="1396" spans="1:13" x14ac:dyDescent="0.3">
      <c r="A1396" t="s">
        <v>1409</v>
      </c>
      <c r="B1396" t="s">
        <v>14</v>
      </c>
      <c r="C1396" s="4">
        <f>VLOOKUP(Googleadssales[[#This Row],[Ad_ID]],'[1]pre processed data'!A:C,3,0)</f>
        <v>111</v>
      </c>
      <c r="D1396" s="4">
        <f>VLOOKUP(Googleadssales[[#This Row],[Ad_ID]],'[1]pre processed data'!A:E,5,0)</f>
        <v>4647</v>
      </c>
      <c r="E1396" s="5" t="str">
        <f>VLOOKUP(Googleadssales[[#This Row],[Ad_ID]],[1]!Table3[[Ad_ID]:[Cost-imputed]],7,0)</f>
        <v>$247.0</v>
      </c>
      <c r="F1396" s="4">
        <f>VLOOKUP(Googleadssales[[#This Row],[Ad_ID]],'[1]pre processed data'!A:I,9,0)</f>
        <v>15</v>
      </c>
      <c r="G1396" s="4">
        <f>VLOOKUP(Googleadssales[[#This Row],[Ad_ID]],'[1]pre processed data'!A:K,11,0)</f>
        <v>4</v>
      </c>
      <c r="H1396" s="2">
        <f>Googleadssales[[#This Row],[Conversions]]/Googleadssales[[#This Row],[Clicks]]</f>
        <v>3.6036036036036036E-2</v>
      </c>
      <c r="I1396" t="str">
        <f>VLOOKUP(Googleadssales[[#This Row],[Ad_ID]],'[1]pre processed data'!A:O,15,0)</f>
        <v>$1601</v>
      </c>
      <c r="J1396" s="3">
        <f>VLOOKUP(Googleadssales[[#This Row],[Ad_ID]],'[1]pre processed data'!A:Q,17,0)</f>
        <v>45625</v>
      </c>
      <c r="K1396" t="str">
        <f>VLOOKUP(Googleadssales[[#This Row],[Ad_ID]],'[1]pre processed data'!A:R,18,0)</f>
        <v>Chennai</v>
      </c>
      <c r="L1396" t="str">
        <f>VLOOKUP(Googleadssales[[#This Row],[Ad_ID]],'[1]pre processed data'!A:S,19,0)</f>
        <v>Desktop</v>
      </c>
      <c r="M1396" t="str">
        <f>VLOOKUP(Googleadssales[[#This Row],[Ad_ID]],'[1]pre processed data'!A:T,20,0)</f>
        <v>learn data analytics</v>
      </c>
    </row>
    <row r="1397" spans="1:13" x14ac:dyDescent="0.3">
      <c r="A1397" t="s">
        <v>1410</v>
      </c>
      <c r="B1397" t="s">
        <v>14</v>
      </c>
      <c r="C1397" s="4">
        <f>VLOOKUP(Googleadssales[[#This Row],[Ad_ID]],'[1]pre processed data'!A:C,3,0)</f>
        <v>191</v>
      </c>
      <c r="D1397" s="4">
        <f>VLOOKUP(Googleadssales[[#This Row],[Ad_ID]],'[1]pre processed data'!A:E,5,0)</f>
        <v>3485</v>
      </c>
      <c r="E1397" s="5" t="str">
        <f>VLOOKUP(Googleadssales[[#This Row],[Ad_ID]],[1]!Table3[[Ad_ID]:[Cost-imputed]],7,0)</f>
        <v>$212.43</v>
      </c>
      <c r="F1397" s="4">
        <f>VLOOKUP(Googleadssales[[#This Row],[Ad_ID]],'[1]pre processed data'!A:I,9,0)</f>
        <v>10</v>
      </c>
      <c r="G1397" s="4">
        <f>VLOOKUP(Googleadssales[[#This Row],[Ad_ID]],'[1]pre processed data'!A:K,11,0)</f>
        <v>7</v>
      </c>
      <c r="H1397" s="2">
        <f>Googleadssales[[#This Row],[Conversions]]/Googleadssales[[#This Row],[Clicks]]</f>
        <v>3.6649214659685861E-2</v>
      </c>
      <c r="I1397" t="str">
        <f>VLOOKUP(Googleadssales[[#This Row],[Ad_ID]],'[1]pre processed data'!A:O,15,0)</f>
        <v>$1813</v>
      </c>
      <c r="J1397" s="3">
        <f>VLOOKUP(Googleadssales[[#This Row],[Ad_ID]],'[1]pre processed data'!A:Q,17,0)</f>
        <v>45624</v>
      </c>
      <c r="K1397" t="str">
        <f>VLOOKUP(Googleadssales[[#This Row],[Ad_ID]],'[1]pre processed data'!A:R,18,0)</f>
        <v>Bangaluru</v>
      </c>
      <c r="L1397" t="str">
        <f>VLOOKUP(Googleadssales[[#This Row],[Ad_ID]],'[1]pre processed data'!A:S,19,0)</f>
        <v>Mobile</v>
      </c>
      <c r="M1397" t="str">
        <f>VLOOKUP(Googleadssales[[#This Row],[Ad_ID]],'[1]pre processed data'!A:T,20,0)</f>
        <v>analytics for data</v>
      </c>
    </row>
    <row r="1398" spans="1:13" x14ac:dyDescent="0.3">
      <c r="A1398" t="s">
        <v>1411</v>
      </c>
      <c r="B1398" t="s">
        <v>14</v>
      </c>
      <c r="C1398" s="4">
        <f>VLOOKUP(Googleadssales[[#This Row],[Ad_ID]],'[1]pre processed data'!A:C,3,0)</f>
        <v>149</v>
      </c>
      <c r="D1398" s="4">
        <f>VLOOKUP(Googleadssales[[#This Row],[Ad_ID]],'[1]pre processed data'!A:E,5,0)</f>
        <v>5720</v>
      </c>
      <c r="E1398" s="5" t="str">
        <f>VLOOKUP(Googleadssales[[#This Row],[Ad_ID]],[1]!Table3[[Ad_ID]:[Cost-imputed]],7,0)</f>
        <v>$211.54</v>
      </c>
      <c r="F1398" s="4">
        <f>VLOOKUP(Googleadssales[[#This Row],[Ad_ID]],'[1]pre processed data'!A:I,9,0)</f>
        <v>14</v>
      </c>
      <c r="G1398" s="4">
        <f>VLOOKUP(Googleadssales[[#This Row],[Ad_ID]],'[1]pre processed data'!A:K,11,0)</f>
        <v>5</v>
      </c>
      <c r="H1398" s="2">
        <f>Googleadssales[[#This Row],[Conversions]]/Googleadssales[[#This Row],[Clicks]]</f>
        <v>3.3557046979865772E-2</v>
      </c>
      <c r="I1398" t="str">
        <f>VLOOKUP(Googleadssales[[#This Row],[Ad_ID]],'[1]pre processed data'!A:O,15,0)</f>
        <v>$1612</v>
      </c>
      <c r="J1398" s="3">
        <f>VLOOKUP(Googleadssales[[#This Row],[Ad_ID]],'[1]pre processed data'!A:Q,17,0)</f>
        <v>45625</v>
      </c>
      <c r="K1398" t="str">
        <f>VLOOKUP(Googleadssales[[#This Row],[Ad_ID]],'[1]pre processed data'!A:R,18,0)</f>
        <v>Hyderabad</v>
      </c>
      <c r="L1398" t="str">
        <f>VLOOKUP(Googleadssales[[#This Row],[Ad_ID]],'[1]pre processed data'!A:S,19,0)</f>
        <v>Desktop</v>
      </c>
      <c r="M1398" t="str">
        <f>VLOOKUP(Googleadssales[[#This Row],[Ad_ID]],'[1]pre processed data'!A:T,20,0)</f>
        <v>data analytics course</v>
      </c>
    </row>
    <row r="1399" spans="1:13" x14ac:dyDescent="0.3">
      <c r="A1399" t="s">
        <v>1412</v>
      </c>
      <c r="B1399" t="s">
        <v>14</v>
      </c>
      <c r="C1399" s="4">
        <f>VLOOKUP(Googleadssales[[#This Row],[Ad_ID]],'[1]pre processed data'!A:C,3,0)</f>
        <v>183</v>
      </c>
      <c r="D1399" s="4">
        <f>VLOOKUP(Googleadssales[[#This Row],[Ad_ID]],'[1]pre processed data'!A:E,5,0)</f>
        <v>3540</v>
      </c>
      <c r="E1399" s="5" t="str">
        <f>VLOOKUP(Googleadssales[[#This Row],[Ad_ID]],[1]!Table3[[Ad_ID]:[Cost-imputed]],7,0)</f>
        <v>$222.14</v>
      </c>
      <c r="F1399" s="4">
        <f>VLOOKUP(Googleadssales[[#This Row],[Ad_ID]],'[1]pre processed data'!A:I,9,0)</f>
        <v>15</v>
      </c>
      <c r="G1399" s="4">
        <f>VLOOKUP(Googleadssales[[#This Row],[Ad_ID]],'[1]pre processed data'!A:K,11,0)</f>
        <v>3</v>
      </c>
      <c r="H1399" s="2">
        <f>Googleadssales[[#This Row],[Conversions]]/Googleadssales[[#This Row],[Clicks]]</f>
        <v>1.6393442622950821E-2</v>
      </c>
      <c r="I1399" t="str">
        <f>VLOOKUP(Googleadssales[[#This Row],[Ad_ID]],'[1]pre processed data'!A:O,15,0)</f>
        <v>$1248</v>
      </c>
      <c r="J1399" s="3">
        <f>VLOOKUP(Googleadssales[[#This Row],[Ad_ID]],'[1]pre processed data'!A:Q,17,0)</f>
        <v>45607</v>
      </c>
      <c r="K1399" t="str">
        <f>VLOOKUP(Googleadssales[[#This Row],[Ad_ID]],'[1]pre processed data'!A:R,18,0)</f>
        <v>Hyderabad</v>
      </c>
      <c r="L1399" t="str">
        <f>VLOOKUP(Googleadssales[[#This Row],[Ad_ID]],'[1]pre processed data'!A:S,19,0)</f>
        <v>Mobile</v>
      </c>
      <c r="M1399" t="str">
        <f>VLOOKUP(Googleadssales[[#This Row],[Ad_ID]],'[1]pre processed data'!A:T,20,0)</f>
        <v>learn data analytics</v>
      </c>
    </row>
    <row r="1400" spans="1:13" x14ac:dyDescent="0.3">
      <c r="A1400" t="s">
        <v>1413</v>
      </c>
      <c r="B1400" t="s">
        <v>18</v>
      </c>
      <c r="C1400" s="4">
        <f>VLOOKUP(Googleadssales[[#This Row],[Ad_ID]],'[1]pre processed data'!A:C,3,0)</f>
        <v>198</v>
      </c>
      <c r="D1400" s="4">
        <f>VLOOKUP(Googleadssales[[#This Row],[Ad_ID]],'[1]pre processed data'!A:E,5,0)</f>
        <v>4035</v>
      </c>
      <c r="E1400" s="5" t="str">
        <f>VLOOKUP(Googleadssales[[#This Row],[Ad_ID]],[1]!Table3[[Ad_ID]:[Cost-imputed]],7,0)</f>
        <v>$215.94</v>
      </c>
      <c r="F1400" s="4">
        <f>VLOOKUP(Googleadssales[[#This Row],[Ad_ID]],'[1]pre processed data'!A:I,9,0)</f>
        <v>22</v>
      </c>
      <c r="G1400" s="4">
        <f>VLOOKUP(Googleadssales[[#This Row],[Ad_ID]],'[1]pre processed data'!A:K,11,0)</f>
        <v>8</v>
      </c>
      <c r="H1400" s="2">
        <f>Googleadssales[[#This Row],[Conversions]]/Googleadssales[[#This Row],[Clicks]]</f>
        <v>4.0404040404040407E-2</v>
      </c>
      <c r="I1400" t="str">
        <f>VLOOKUP(Googleadssales[[#This Row],[Ad_ID]],'[1]pre processed data'!A:O,15,0)</f>
        <v>$1500</v>
      </c>
      <c r="J1400" s="3">
        <f>VLOOKUP(Googleadssales[[#This Row],[Ad_ID]],'[1]pre processed data'!A:Q,17,0)</f>
        <v>45606</v>
      </c>
      <c r="K1400" t="str">
        <f>VLOOKUP(Googleadssales[[#This Row],[Ad_ID]],'[1]pre processed data'!A:R,18,0)</f>
        <v>Bangaluru</v>
      </c>
      <c r="L1400" t="str">
        <f>VLOOKUP(Googleadssales[[#This Row],[Ad_ID]],'[1]pre processed data'!A:S,19,0)</f>
        <v>Mobile</v>
      </c>
      <c r="M1400" t="str">
        <f>VLOOKUP(Googleadssales[[#This Row],[Ad_ID]],'[1]pre processed data'!A:T,20,0)</f>
        <v>learn data analytics</v>
      </c>
    </row>
    <row r="1401" spans="1:13" x14ac:dyDescent="0.3">
      <c r="A1401" t="s">
        <v>1414</v>
      </c>
      <c r="B1401" t="s">
        <v>18</v>
      </c>
      <c r="C1401" s="4">
        <f>VLOOKUP(Googleadssales[[#This Row],[Ad_ID]],'[1]pre processed data'!A:C,3,0)</f>
        <v>170</v>
      </c>
      <c r="D1401" s="4">
        <f>VLOOKUP(Googleadssales[[#This Row],[Ad_ID]],'[1]pre processed data'!A:E,5,0)</f>
        <v>3024</v>
      </c>
      <c r="E1401" s="5" t="str">
        <f>VLOOKUP(Googleadssales[[#This Row],[Ad_ID]],[1]!Table3[[Ad_ID]:[Cost-imputed]],7,0)</f>
        <v>$234.76</v>
      </c>
      <c r="F1401" s="4">
        <f>VLOOKUP(Googleadssales[[#This Row],[Ad_ID]],'[1]pre processed data'!A:I,9,0)</f>
        <v>11</v>
      </c>
      <c r="G1401" s="4">
        <f>VLOOKUP(Googleadssales[[#This Row],[Ad_ID]],'[1]pre processed data'!A:K,11,0)</f>
        <v>10</v>
      </c>
      <c r="H1401" s="2">
        <f>Googleadssales[[#This Row],[Conversions]]/Googleadssales[[#This Row],[Clicks]]</f>
        <v>5.8823529411764705E-2</v>
      </c>
      <c r="I1401" t="str">
        <f>VLOOKUP(Googleadssales[[#This Row],[Ad_ID]],'[1]pre processed data'!A:O,15,0)</f>
        <v>$1941</v>
      </c>
      <c r="J1401" s="3">
        <f>VLOOKUP(Googleadssales[[#This Row],[Ad_ID]],'[1]pre processed data'!A:Q,17,0)</f>
        <v>45602</v>
      </c>
      <c r="K1401" t="str">
        <f>VLOOKUP(Googleadssales[[#This Row],[Ad_ID]],'[1]pre processed data'!A:R,18,0)</f>
        <v>Chennai</v>
      </c>
      <c r="L1401" t="str">
        <f>VLOOKUP(Googleadssales[[#This Row],[Ad_ID]],'[1]pre processed data'!A:S,19,0)</f>
        <v>Mobile</v>
      </c>
      <c r="M1401" t="str">
        <f>VLOOKUP(Googleadssales[[#This Row],[Ad_ID]],'[1]pre processed data'!A:T,20,0)</f>
        <v>learn data analytics</v>
      </c>
    </row>
    <row r="1402" spans="1:13" x14ac:dyDescent="0.3">
      <c r="A1402" t="s">
        <v>1415</v>
      </c>
      <c r="B1402" t="s">
        <v>14</v>
      </c>
      <c r="C1402" s="4">
        <f>VLOOKUP(Googleadssales[[#This Row],[Ad_ID]],'[1]pre processed data'!A:C,3,0)</f>
        <v>174</v>
      </c>
      <c r="D1402" s="4">
        <f>VLOOKUP(Googleadssales[[#This Row],[Ad_ID]],'[1]pre processed data'!A:E,5,0)</f>
        <v>4334</v>
      </c>
      <c r="E1402" s="5" t="str">
        <f>VLOOKUP(Googleadssales[[#This Row],[Ad_ID]],[1]!Table3[[Ad_ID]:[Cost-imputed]],7,0)</f>
        <v>$186.29</v>
      </c>
      <c r="F1402" s="4">
        <f>VLOOKUP(Googleadssales[[#This Row],[Ad_ID]],'[1]pre processed data'!A:I,9,0)</f>
        <v>12</v>
      </c>
      <c r="G1402" s="4">
        <f>VLOOKUP(Googleadssales[[#This Row],[Ad_ID]],'[1]pre processed data'!A:K,11,0)</f>
        <v>4</v>
      </c>
      <c r="H1402" s="2">
        <f>Googleadssales[[#This Row],[Conversions]]/Googleadssales[[#This Row],[Clicks]]</f>
        <v>2.2988505747126436E-2</v>
      </c>
      <c r="I1402" t="str">
        <f>VLOOKUP(Googleadssales[[#This Row],[Ad_ID]],'[1]pre processed data'!A:O,15,0)</f>
        <v>$1457</v>
      </c>
      <c r="J1402" s="3">
        <f>VLOOKUP(Googleadssales[[#This Row],[Ad_ID]],'[1]pre processed data'!A:Q,17,0)</f>
        <v>45618</v>
      </c>
      <c r="K1402" t="str">
        <f>VLOOKUP(Googleadssales[[#This Row],[Ad_ID]],'[1]pre processed data'!A:R,18,0)</f>
        <v>Bangaluru</v>
      </c>
      <c r="L1402" t="str">
        <f>VLOOKUP(Googleadssales[[#This Row],[Ad_ID]],'[1]pre processed data'!A:S,19,0)</f>
        <v>Mobile</v>
      </c>
      <c r="M1402" t="str">
        <f>VLOOKUP(Googleadssales[[#This Row],[Ad_ID]],'[1]pre processed data'!A:T,20,0)</f>
        <v>analytics for data</v>
      </c>
    </row>
    <row r="1403" spans="1:13" x14ac:dyDescent="0.3">
      <c r="A1403" t="s">
        <v>1416</v>
      </c>
      <c r="B1403" t="s">
        <v>18</v>
      </c>
      <c r="C1403" s="4">
        <f>VLOOKUP(Googleadssales[[#This Row],[Ad_ID]],'[1]pre processed data'!A:C,3,0)</f>
        <v>91</v>
      </c>
      <c r="D1403" s="4">
        <f>VLOOKUP(Googleadssales[[#This Row],[Ad_ID]],'[1]pre processed data'!A:E,5,0)</f>
        <v>4038</v>
      </c>
      <c r="E1403" s="5" t="str">
        <f>VLOOKUP(Googleadssales[[#This Row],[Ad_ID]],[1]!Table3[[Ad_ID]:[Cost-imputed]],7,0)</f>
        <v>$197.15</v>
      </c>
      <c r="F1403" s="4">
        <f>VLOOKUP(Googleadssales[[#This Row],[Ad_ID]],'[1]pre processed data'!A:I,9,0)</f>
        <v>23</v>
      </c>
      <c r="G1403" s="4">
        <f>VLOOKUP(Googleadssales[[#This Row],[Ad_ID]],'[1]pre processed data'!A:K,11,0)</f>
        <v>6</v>
      </c>
      <c r="H1403" s="2">
        <f>Googleadssales[[#This Row],[Conversions]]/Googleadssales[[#This Row],[Clicks]]</f>
        <v>6.5934065934065936E-2</v>
      </c>
      <c r="I1403" t="str">
        <f>VLOOKUP(Googleadssales[[#This Row],[Ad_ID]],'[1]pre processed data'!A:O,15,0)</f>
        <v>$1000</v>
      </c>
      <c r="J1403" s="3">
        <f>VLOOKUP(Googleadssales[[#This Row],[Ad_ID]],'[1]pre processed data'!A:Q,17,0)</f>
        <v>45625</v>
      </c>
      <c r="K1403" t="str">
        <f>VLOOKUP(Googleadssales[[#This Row],[Ad_ID]],'[1]pre processed data'!A:R,18,0)</f>
        <v>Hyderabad</v>
      </c>
      <c r="L1403" t="str">
        <f>VLOOKUP(Googleadssales[[#This Row],[Ad_ID]],'[1]pre processed data'!A:S,19,0)</f>
        <v>Mobile</v>
      </c>
      <c r="M1403" t="str">
        <f>VLOOKUP(Googleadssales[[#This Row],[Ad_ID]],'[1]pre processed data'!A:T,20,0)</f>
        <v>data analytics online</v>
      </c>
    </row>
    <row r="1404" spans="1:13" x14ac:dyDescent="0.3">
      <c r="A1404" t="s">
        <v>1417</v>
      </c>
      <c r="B1404" t="s">
        <v>18</v>
      </c>
      <c r="C1404" s="4">
        <f>VLOOKUP(Googleadssales[[#This Row],[Ad_ID]],'[1]pre processed data'!A:C,3,0)</f>
        <v>197</v>
      </c>
      <c r="D1404" s="4">
        <f>VLOOKUP(Googleadssales[[#This Row],[Ad_ID]],'[1]pre processed data'!A:E,5,0)</f>
        <v>4347</v>
      </c>
      <c r="E1404" s="5" t="str">
        <f>VLOOKUP(Googleadssales[[#This Row],[Ad_ID]],[1]!Table3[[Ad_ID]:[Cost-imputed]],7,0)</f>
        <v>$215.2</v>
      </c>
      <c r="F1404" s="4">
        <f>VLOOKUP(Googleadssales[[#This Row],[Ad_ID]],'[1]pre processed data'!A:I,9,0)</f>
        <v>20</v>
      </c>
      <c r="G1404" s="4">
        <f>VLOOKUP(Googleadssales[[#This Row],[Ad_ID]],'[1]pre processed data'!A:K,11,0)</f>
        <v>6</v>
      </c>
      <c r="H1404" s="2">
        <f>Googleadssales[[#This Row],[Conversions]]/Googleadssales[[#This Row],[Clicks]]</f>
        <v>3.0456852791878174E-2</v>
      </c>
      <c r="I1404" t="str">
        <f>VLOOKUP(Googleadssales[[#This Row],[Ad_ID]],'[1]pre processed data'!A:O,15,0)</f>
        <v>$1204</v>
      </c>
      <c r="J1404" s="3">
        <f>VLOOKUP(Googleadssales[[#This Row],[Ad_ID]],'[1]pre processed data'!A:Q,17,0)</f>
        <v>45622</v>
      </c>
      <c r="K1404" t="str">
        <f>VLOOKUP(Googleadssales[[#This Row],[Ad_ID]],'[1]pre processed data'!A:R,18,0)</f>
        <v>Hyderabad</v>
      </c>
      <c r="L1404" t="str">
        <f>VLOOKUP(Googleadssales[[#This Row],[Ad_ID]],'[1]pre processed data'!A:S,19,0)</f>
        <v>Desktop</v>
      </c>
      <c r="M1404" t="str">
        <f>VLOOKUP(Googleadssales[[#This Row],[Ad_ID]],'[1]pre processed data'!A:T,20,0)</f>
        <v>online data analytic</v>
      </c>
    </row>
    <row r="1405" spans="1:13" x14ac:dyDescent="0.3">
      <c r="A1405" t="s">
        <v>1418</v>
      </c>
      <c r="B1405" t="s">
        <v>18</v>
      </c>
      <c r="C1405" s="4">
        <f>VLOOKUP(Googleadssales[[#This Row],[Ad_ID]],'[1]pre processed data'!A:C,3,0)</f>
        <v>138.95699356913184</v>
      </c>
      <c r="D1405" s="4">
        <f>VLOOKUP(Googleadssales[[#This Row],[Ad_ID]],'[1]pre processed data'!A:E,5,0)</f>
        <v>5803</v>
      </c>
      <c r="E1405" s="5" t="str">
        <f>VLOOKUP(Googleadssales[[#This Row],[Ad_ID]],[1]!Table3[[Ad_ID]:[Cost-imputed]],7,0)</f>
        <v>$203.03</v>
      </c>
      <c r="F1405" s="4">
        <f>VLOOKUP(Googleadssales[[#This Row],[Ad_ID]],'[1]pre processed data'!A:I,9,0)</f>
        <v>16</v>
      </c>
      <c r="G1405" s="4">
        <f>VLOOKUP(Googleadssales[[#This Row],[Ad_ID]],'[1]pre processed data'!A:K,11,0)</f>
        <v>8</v>
      </c>
      <c r="H1405" s="2">
        <f>Googleadssales[[#This Row],[Conversions]]/Googleadssales[[#This Row],[Clicks]]</f>
        <v>5.7571769469954438E-2</v>
      </c>
      <c r="I1405" t="str">
        <f>VLOOKUP(Googleadssales[[#This Row],[Ad_ID]],'[1]pre processed data'!A:O,15,0)</f>
        <v>$1397</v>
      </c>
      <c r="J1405" s="3">
        <f>VLOOKUP(Googleadssales[[#This Row],[Ad_ID]],'[1]pre processed data'!A:Q,17,0)</f>
        <v>45626</v>
      </c>
      <c r="K1405" t="str">
        <f>VLOOKUP(Googleadssales[[#This Row],[Ad_ID]],'[1]pre processed data'!A:R,18,0)</f>
        <v>Chennai</v>
      </c>
      <c r="L1405" t="str">
        <f>VLOOKUP(Googleadssales[[#This Row],[Ad_ID]],'[1]pre processed data'!A:S,19,0)</f>
        <v>Mobile</v>
      </c>
      <c r="M1405" t="str">
        <f>VLOOKUP(Googleadssales[[#This Row],[Ad_ID]],'[1]pre processed data'!A:T,20,0)</f>
        <v>analytics for data</v>
      </c>
    </row>
    <row r="1406" spans="1:13" x14ac:dyDescent="0.3">
      <c r="A1406" t="s">
        <v>1419</v>
      </c>
      <c r="B1406" t="s">
        <v>14</v>
      </c>
      <c r="C1406" s="4">
        <f>VLOOKUP(Googleadssales[[#This Row],[Ad_ID]],'[1]pre processed data'!A:C,3,0)</f>
        <v>152</v>
      </c>
      <c r="D1406" s="4">
        <f>VLOOKUP(Googleadssales[[#This Row],[Ad_ID]],'[1]pre processed data'!A:E,5,0)</f>
        <v>4182</v>
      </c>
      <c r="E1406" s="5" t="str">
        <f>VLOOKUP(Googleadssales[[#This Row],[Ad_ID]],[1]!Table3[[Ad_ID]:[Cost-imputed]],7,0)</f>
        <v>$233.45</v>
      </c>
      <c r="F1406" s="4">
        <f>VLOOKUP(Googleadssales[[#This Row],[Ad_ID]],'[1]pre processed data'!A:I,9,0)</f>
        <v>19</v>
      </c>
      <c r="G1406" s="4">
        <f>VLOOKUP(Googleadssales[[#This Row],[Ad_ID]],'[1]pre processed data'!A:K,11,0)</f>
        <v>5</v>
      </c>
      <c r="H1406" s="2">
        <f>Googleadssales[[#This Row],[Conversions]]/Googleadssales[[#This Row],[Clicks]]</f>
        <v>3.2894736842105261E-2</v>
      </c>
      <c r="I1406" t="str">
        <f>VLOOKUP(Googleadssales[[#This Row],[Ad_ID]],'[1]pre processed data'!A:O,15,0)</f>
        <v>$1719</v>
      </c>
      <c r="J1406" s="3">
        <f>VLOOKUP(Googleadssales[[#This Row],[Ad_ID]],'[1]pre processed data'!A:Q,17,0)</f>
        <v>45609</v>
      </c>
      <c r="K1406" t="str">
        <f>VLOOKUP(Googleadssales[[#This Row],[Ad_ID]],'[1]pre processed data'!A:R,18,0)</f>
        <v>Hyderabad</v>
      </c>
      <c r="L1406" t="str">
        <f>VLOOKUP(Googleadssales[[#This Row],[Ad_ID]],'[1]pre processed data'!A:S,19,0)</f>
        <v>Mobile</v>
      </c>
      <c r="M1406" t="str">
        <f>VLOOKUP(Googleadssales[[#This Row],[Ad_ID]],'[1]pre processed data'!A:T,20,0)</f>
        <v>data analytics course</v>
      </c>
    </row>
    <row r="1407" spans="1:13" x14ac:dyDescent="0.3">
      <c r="A1407" t="s">
        <v>1420</v>
      </c>
      <c r="B1407" t="s">
        <v>18</v>
      </c>
      <c r="C1407" s="4">
        <f>VLOOKUP(Googleadssales[[#This Row],[Ad_ID]],'[1]pre processed data'!A:C,3,0)</f>
        <v>189</v>
      </c>
      <c r="D1407" s="4">
        <f>VLOOKUP(Googleadssales[[#This Row],[Ad_ID]],'[1]pre processed data'!A:E,5,0)</f>
        <v>4809</v>
      </c>
      <c r="E1407" s="5" t="str">
        <f>VLOOKUP(Googleadssales[[#This Row],[Ad_ID]],[1]!Table3[[Ad_ID]:[Cost-imputed]],7,0)</f>
        <v>$225.32</v>
      </c>
      <c r="F1407" s="4">
        <f>VLOOKUP(Googleadssales[[#This Row],[Ad_ID]],'[1]pre processed data'!A:I,9,0)</f>
        <v>27</v>
      </c>
      <c r="G1407" s="4">
        <f>VLOOKUP(Googleadssales[[#This Row],[Ad_ID]],'[1]pre processed data'!A:K,11,0)</f>
        <v>10</v>
      </c>
      <c r="H1407" s="2">
        <f>Googleadssales[[#This Row],[Conversions]]/Googleadssales[[#This Row],[Clicks]]</f>
        <v>5.2910052910052907E-2</v>
      </c>
      <c r="I1407" t="str">
        <f>VLOOKUP(Googleadssales[[#This Row],[Ad_ID]],'[1]pre processed data'!A:O,15,0)</f>
        <v>$1324</v>
      </c>
      <c r="J1407" s="3">
        <f>VLOOKUP(Googleadssales[[#This Row],[Ad_ID]],'[1]pre processed data'!A:Q,17,0)</f>
        <v>45614</v>
      </c>
      <c r="K1407" t="str">
        <f>VLOOKUP(Googleadssales[[#This Row],[Ad_ID]],'[1]pre processed data'!A:R,18,0)</f>
        <v>Hyderabad</v>
      </c>
      <c r="L1407" t="str">
        <f>VLOOKUP(Googleadssales[[#This Row],[Ad_ID]],'[1]pre processed data'!A:S,19,0)</f>
        <v>Mobile</v>
      </c>
      <c r="M1407" t="str">
        <f>VLOOKUP(Googleadssales[[#This Row],[Ad_ID]],'[1]pre processed data'!A:T,20,0)</f>
        <v>analytics for data</v>
      </c>
    </row>
    <row r="1408" spans="1:13" x14ac:dyDescent="0.3">
      <c r="A1408" t="s">
        <v>1421</v>
      </c>
      <c r="B1408" t="s">
        <v>14</v>
      </c>
      <c r="C1408" s="4">
        <f>VLOOKUP(Googleadssales[[#This Row],[Ad_ID]],'[1]pre processed data'!A:C,3,0)</f>
        <v>138.95699356913184</v>
      </c>
      <c r="D1408" s="4">
        <f>VLOOKUP(Googleadssales[[#This Row],[Ad_ID]],'[1]pre processed data'!A:E,5,0)</f>
        <v>5640</v>
      </c>
      <c r="E1408" s="5" t="str">
        <f>VLOOKUP(Googleadssales[[#This Row],[Ad_ID]],[1]!Table3[[Ad_ID]:[Cost-imputed]],7,0)</f>
        <v>$210.51</v>
      </c>
      <c r="F1408" s="4">
        <f>VLOOKUP(Googleadssales[[#This Row],[Ad_ID]],'[1]pre processed data'!A:I,9,0)</f>
        <v>13</v>
      </c>
      <c r="G1408" s="4">
        <f>VLOOKUP(Googleadssales[[#This Row],[Ad_ID]],'[1]pre processed data'!A:K,11,0)</f>
        <v>8</v>
      </c>
      <c r="H1408" s="2">
        <f>Googleadssales[[#This Row],[Conversions]]/Googleadssales[[#This Row],[Clicks]]</f>
        <v>5.7571769469954438E-2</v>
      </c>
      <c r="I1408" t="str">
        <f>VLOOKUP(Googleadssales[[#This Row],[Ad_ID]],'[1]pre processed data'!A:O,15,0)</f>
        <v>$1536</v>
      </c>
      <c r="J1408" s="3">
        <f>VLOOKUP(Googleadssales[[#This Row],[Ad_ID]],'[1]pre processed data'!A:Q,17,0)</f>
        <v>45607</v>
      </c>
      <c r="K1408" t="str">
        <f>VLOOKUP(Googleadssales[[#This Row],[Ad_ID]],'[1]pre processed data'!A:R,18,0)</f>
        <v>Hyderabad</v>
      </c>
      <c r="L1408" t="str">
        <f>VLOOKUP(Googleadssales[[#This Row],[Ad_ID]],'[1]pre processed data'!A:S,19,0)</f>
        <v>Desktop</v>
      </c>
      <c r="M1408" t="str">
        <f>VLOOKUP(Googleadssales[[#This Row],[Ad_ID]],'[1]pre processed data'!A:T,20,0)</f>
        <v>data analytics course</v>
      </c>
    </row>
    <row r="1409" spans="1:13" x14ac:dyDescent="0.3">
      <c r="A1409" t="s">
        <v>1422</v>
      </c>
      <c r="B1409" t="s">
        <v>18</v>
      </c>
      <c r="C1409" s="4">
        <f>VLOOKUP(Googleadssales[[#This Row],[Ad_ID]],'[1]pre processed data'!A:C,3,0)</f>
        <v>159</v>
      </c>
      <c r="D1409" s="4">
        <f>VLOOKUP(Googleadssales[[#This Row],[Ad_ID]],'[1]pre processed data'!A:E,5,0)</f>
        <v>3401</v>
      </c>
      <c r="E1409" s="5" t="str">
        <f>VLOOKUP(Googleadssales[[#This Row],[Ad_ID]],[1]!Table3[[Ad_ID]:[Cost-imputed]],7,0)</f>
        <v>$222.71</v>
      </c>
      <c r="F1409" s="4">
        <f>VLOOKUP(Googleadssales[[#This Row],[Ad_ID]],'[1]pre processed data'!A:I,9,0)</f>
        <v>18</v>
      </c>
      <c r="G1409" s="4">
        <f>VLOOKUP(Googleadssales[[#This Row],[Ad_ID]],'[1]pre processed data'!A:K,11,0)</f>
        <v>3</v>
      </c>
      <c r="H1409" s="2">
        <f>Googleadssales[[#This Row],[Conversions]]/Googleadssales[[#This Row],[Clicks]]</f>
        <v>1.8867924528301886E-2</v>
      </c>
      <c r="I1409" t="str">
        <f>VLOOKUP(Googleadssales[[#This Row],[Ad_ID]],'[1]pre processed data'!A:O,15,0)</f>
        <v>$1849</v>
      </c>
      <c r="J1409" s="3">
        <f>VLOOKUP(Googleadssales[[#This Row],[Ad_ID]],'[1]pre processed data'!A:Q,17,0)</f>
        <v>45601</v>
      </c>
      <c r="K1409" t="str">
        <f>VLOOKUP(Googleadssales[[#This Row],[Ad_ID]],'[1]pre processed data'!A:R,18,0)</f>
        <v>Hyderabad</v>
      </c>
      <c r="L1409" t="str">
        <f>VLOOKUP(Googleadssales[[#This Row],[Ad_ID]],'[1]pre processed data'!A:S,19,0)</f>
        <v>Desktop</v>
      </c>
      <c r="M1409" t="str">
        <f>VLOOKUP(Googleadssales[[#This Row],[Ad_ID]],'[1]pre processed data'!A:T,20,0)</f>
        <v>data analytics online</v>
      </c>
    </row>
    <row r="1410" spans="1:13" x14ac:dyDescent="0.3">
      <c r="A1410" t="s">
        <v>1423</v>
      </c>
      <c r="B1410" t="s">
        <v>18</v>
      </c>
      <c r="C1410" s="4">
        <f>VLOOKUP(Googleadssales[[#This Row],[Ad_ID]],'[1]pre processed data'!A:C,3,0)</f>
        <v>175</v>
      </c>
      <c r="D1410" s="4">
        <f>VLOOKUP(Googleadssales[[#This Row],[Ad_ID]],'[1]pre processed data'!A:E,5,0)</f>
        <v>5561</v>
      </c>
      <c r="E1410" s="5" t="str">
        <f>VLOOKUP(Googleadssales[[#This Row],[Ad_ID]],[1]!Table3[[Ad_ID]:[Cost-imputed]],7,0)</f>
        <v>$231.96</v>
      </c>
      <c r="F1410" s="4">
        <f>VLOOKUP(Googleadssales[[#This Row],[Ad_ID]],'[1]pre processed data'!A:I,9,0)</f>
        <v>20</v>
      </c>
      <c r="G1410" s="4">
        <f>VLOOKUP(Googleadssales[[#This Row],[Ad_ID]],'[1]pre processed data'!A:K,11,0)</f>
        <v>8</v>
      </c>
      <c r="H1410" s="2">
        <f>Googleadssales[[#This Row],[Conversions]]/Googleadssales[[#This Row],[Clicks]]</f>
        <v>4.5714285714285714E-2</v>
      </c>
      <c r="I1410" t="str">
        <f>VLOOKUP(Googleadssales[[#This Row],[Ad_ID]],'[1]pre processed data'!A:O,15,0)</f>
        <v>$1174</v>
      </c>
      <c r="J1410" s="3">
        <f>VLOOKUP(Googleadssales[[#This Row],[Ad_ID]],'[1]pre processed data'!A:Q,17,0)</f>
        <v>45610</v>
      </c>
      <c r="K1410" t="str">
        <f>VLOOKUP(Googleadssales[[#This Row],[Ad_ID]],'[1]pre processed data'!A:R,18,0)</f>
        <v>Hyderabad</v>
      </c>
      <c r="L1410" t="str">
        <f>VLOOKUP(Googleadssales[[#This Row],[Ad_ID]],'[1]pre processed data'!A:S,19,0)</f>
        <v>Mobile</v>
      </c>
      <c r="M1410" t="str">
        <f>VLOOKUP(Googleadssales[[#This Row],[Ad_ID]],'[1]pre processed data'!A:T,20,0)</f>
        <v>data analytics course</v>
      </c>
    </row>
    <row r="1411" spans="1:13" x14ac:dyDescent="0.3">
      <c r="A1411" t="s">
        <v>1424</v>
      </c>
      <c r="B1411" t="s">
        <v>14</v>
      </c>
      <c r="C1411" s="4">
        <f>VLOOKUP(Googleadssales[[#This Row],[Ad_ID]],'[1]pre processed data'!A:C,3,0)</f>
        <v>175</v>
      </c>
      <c r="D1411" s="4">
        <f>VLOOKUP(Googleadssales[[#This Row],[Ad_ID]],'[1]pre processed data'!A:E,5,0)</f>
        <v>5720</v>
      </c>
      <c r="E1411" s="5" t="str">
        <f>VLOOKUP(Googleadssales[[#This Row],[Ad_ID]],[1]!Table3[[Ad_ID]:[Cost-imputed]],7,0)</f>
        <v>$243.8</v>
      </c>
      <c r="F1411" s="4">
        <f>VLOOKUP(Googleadssales[[#This Row],[Ad_ID]],'[1]pre processed data'!A:I,9,0)</f>
        <v>17</v>
      </c>
      <c r="G1411" s="4">
        <f>VLOOKUP(Googleadssales[[#This Row],[Ad_ID]],'[1]pre processed data'!A:K,11,0)</f>
        <v>6</v>
      </c>
      <c r="H1411" s="2">
        <f>Googleadssales[[#This Row],[Conversions]]/Googleadssales[[#This Row],[Clicks]]</f>
        <v>3.4285714285714287E-2</v>
      </c>
      <c r="I1411" t="str">
        <f>VLOOKUP(Googleadssales[[#This Row],[Ad_ID]],'[1]pre processed data'!A:O,15,0)</f>
        <v>$1500</v>
      </c>
      <c r="J1411" s="3">
        <f>VLOOKUP(Googleadssales[[#This Row],[Ad_ID]],'[1]pre processed data'!A:Q,17,0)</f>
        <v>45622</v>
      </c>
      <c r="K1411" t="str">
        <f>VLOOKUP(Googleadssales[[#This Row],[Ad_ID]],'[1]pre processed data'!A:R,18,0)</f>
        <v>Chennai</v>
      </c>
      <c r="L1411" t="str">
        <f>VLOOKUP(Googleadssales[[#This Row],[Ad_ID]],'[1]pre processed data'!A:S,19,0)</f>
        <v>Desktop</v>
      </c>
      <c r="M1411" t="str">
        <f>VLOOKUP(Googleadssales[[#This Row],[Ad_ID]],'[1]pre processed data'!A:T,20,0)</f>
        <v>data analytics online</v>
      </c>
    </row>
    <row r="1412" spans="1:13" x14ac:dyDescent="0.3">
      <c r="A1412" t="s">
        <v>1425</v>
      </c>
      <c r="B1412" t="s">
        <v>18</v>
      </c>
      <c r="C1412" s="4">
        <f>VLOOKUP(Googleadssales[[#This Row],[Ad_ID]],'[1]pre processed data'!A:C,3,0)</f>
        <v>82</v>
      </c>
      <c r="D1412" s="4">
        <f>VLOOKUP(Googleadssales[[#This Row],[Ad_ID]],'[1]pre processed data'!A:E,5,0)</f>
        <v>4898</v>
      </c>
      <c r="E1412" s="5" t="str">
        <f>VLOOKUP(Googleadssales[[#This Row],[Ad_ID]],[1]!Table3[[Ad_ID]:[Cost-imputed]],7,0)</f>
        <v>$215.11</v>
      </c>
      <c r="F1412" s="4">
        <f>VLOOKUP(Googleadssales[[#This Row],[Ad_ID]],'[1]pre processed data'!A:I,9,0)</f>
        <v>25</v>
      </c>
      <c r="G1412" s="4">
        <f>VLOOKUP(Googleadssales[[#This Row],[Ad_ID]],'[1]pre processed data'!A:K,11,0)</f>
        <v>8</v>
      </c>
      <c r="H1412" s="2">
        <f>Googleadssales[[#This Row],[Conversions]]/Googleadssales[[#This Row],[Clicks]]</f>
        <v>9.7560975609756101E-2</v>
      </c>
      <c r="I1412" t="str">
        <f>VLOOKUP(Googleadssales[[#This Row],[Ad_ID]],'[1]pre processed data'!A:O,15,0)</f>
        <v>$1776</v>
      </c>
      <c r="J1412" s="3">
        <f>VLOOKUP(Googleadssales[[#This Row],[Ad_ID]],'[1]pre processed data'!A:Q,17,0)</f>
        <v>45605</v>
      </c>
      <c r="K1412" t="str">
        <f>VLOOKUP(Googleadssales[[#This Row],[Ad_ID]],'[1]pre processed data'!A:R,18,0)</f>
        <v>Hyderabad</v>
      </c>
      <c r="L1412" t="str">
        <f>VLOOKUP(Googleadssales[[#This Row],[Ad_ID]],'[1]pre processed data'!A:S,19,0)</f>
        <v>Tablet</v>
      </c>
      <c r="M1412" t="str">
        <f>VLOOKUP(Googleadssales[[#This Row],[Ad_ID]],'[1]pre processed data'!A:T,20,0)</f>
        <v>analytics for data</v>
      </c>
    </row>
    <row r="1413" spans="1:13" x14ac:dyDescent="0.3">
      <c r="A1413" t="s">
        <v>1426</v>
      </c>
      <c r="B1413" t="s">
        <v>18</v>
      </c>
      <c r="C1413" s="4">
        <f>VLOOKUP(Googleadssales[[#This Row],[Ad_ID]],'[1]pre processed data'!A:C,3,0)</f>
        <v>146</v>
      </c>
      <c r="D1413" s="4">
        <f>VLOOKUP(Googleadssales[[#This Row],[Ad_ID]],'[1]pre processed data'!A:E,5,0)</f>
        <v>5871</v>
      </c>
      <c r="E1413" s="5" t="str">
        <f>VLOOKUP(Googleadssales[[#This Row],[Ad_ID]],[1]!Table3[[Ad_ID]:[Cost-imputed]],7,0)</f>
        <v>$218.69</v>
      </c>
      <c r="F1413" s="4">
        <f>VLOOKUP(Googleadssales[[#This Row],[Ad_ID]],'[1]pre processed data'!A:I,9,0)</f>
        <v>30</v>
      </c>
      <c r="G1413" s="4">
        <f>VLOOKUP(Googleadssales[[#This Row],[Ad_ID]],'[1]pre processed data'!A:K,11,0)</f>
        <v>4</v>
      </c>
      <c r="H1413" s="2">
        <f>Googleadssales[[#This Row],[Conversions]]/Googleadssales[[#This Row],[Clicks]]</f>
        <v>2.7397260273972601E-2</v>
      </c>
      <c r="I1413" t="str">
        <f>VLOOKUP(Googleadssales[[#This Row],[Ad_ID]],'[1]pre processed data'!A:O,15,0)</f>
        <v>$1500</v>
      </c>
      <c r="J1413" s="3">
        <f>VLOOKUP(Googleadssales[[#This Row],[Ad_ID]],'[1]pre processed data'!A:Q,17,0)</f>
        <v>45618</v>
      </c>
      <c r="K1413" t="str">
        <f>VLOOKUP(Googleadssales[[#This Row],[Ad_ID]],'[1]pre processed data'!A:R,18,0)</f>
        <v>Hyderabad</v>
      </c>
      <c r="L1413" t="str">
        <f>VLOOKUP(Googleadssales[[#This Row],[Ad_ID]],'[1]pre processed data'!A:S,19,0)</f>
        <v>Desktop</v>
      </c>
      <c r="M1413" t="str">
        <f>VLOOKUP(Googleadssales[[#This Row],[Ad_ID]],'[1]pre processed data'!A:T,20,0)</f>
        <v>learn data analytics</v>
      </c>
    </row>
    <row r="1414" spans="1:13" x14ac:dyDescent="0.3">
      <c r="A1414" t="s">
        <v>1427</v>
      </c>
      <c r="B1414" t="s">
        <v>14</v>
      </c>
      <c r="C1414" s="4">
        <f>VLOOKUP(Googleadssales[[#This Row],[Ad_ID]],'[1]pre processed data'!A:C,3,0)</f>
        <v>85</v>
      </c>
      <c r="D1414" s="4">
        <f>VLOOKUP(Googleadssales[[#This Row],[Ad_ID]],'[1]pre processed data'!A:E,5,0)</f>
        <v>5954</v>
      </c>
      <c r="E1414" s="5" t="str">
        <f>VLOOKUP(Googleadssales[[#This Row],[Ad_ID]],[1]!Table3[[Ad_ID]:[Cost-imputed]],7,0)</f>
        <v>$201.88</v>
      </c>
      <c r="F1414" s="4">
        <f>VLOOKUP(Googleadssales[[#This Row],[Ad_ID]],'[1]pre processed data'!A:I,9,0)</f>
        <v>18</v>
      </c>
      <c r="G1414" s="4">
        <f>VLOOKUP(Googleadssales[[#This Row],[Ad_ID]],'[1]pre processed data'!A:K,11,0)</f>
        <v>6</v>
      </c>
      <c r="H1414" s="2">
        <f>Googleadssales[[#This Row],[Conversions]]/Googleadssales[[#This Row],[Clicks]]</f>
        <v>7.0588235294117646E-2</v>
      </c>
      <c r="I1414" t="str">
        <f>VLOOKUP(Googleadssales[[#This Row],[Ad_ID]],'[1]pre processed data'!A:O,15,0)</f>
        <v>$1526</v>
      </c>
      <c r="J1414" s="3">
        <f>VLOOKUP(Googleadssales[[#This Row],[Ad_ID]],'[1]pre processed data'!A:Q,17,0)</f>
        <v>45623</v>
      </c>
      <c r="K1414" t="str">
        <f>VLOOKUP(Googleadssales[[#This Row],[Ad_ID]],'[1]pre processed data'!A:R,18,0)</f>
        <v>Chennai</v>
      </c>
      <c r="L1414" t="str">
        <f>VLOOKUP(Googleadssales[[#This Row],[Ad_ID]],'[1]pre processed data'!A:S,19,0)</f>
        <v>Tablet</v>
      </c>
      <c r="M1414" t="str">
        <f>VLOOKUP(Googleadssales[[#This Row],[Ad_ID]],'[1]pre processed data'!A:T,20,0)</f>
        <v>analytics for data</v>
      </c>
    </row>
    <row r="1415" spans="1:13" x14ac:dyDescent="0.3">
      <c r="A1415" t="s">
        <v>1428</v>
      </c>
      <c r="B1415" t="s">
        <v>14</v>
      </c>
      <c r="C1415" s="4">
        <f>VLOOKUP(Googleadssales[[#This Row],[Ad_ID]],'[1]pre processed data'!A:C,3,0)</f>
        <v>128</v>
      </c>
      <c r="D1415" s="4">
        <f>VLOOKUP(Googleadssales[[#This Row],[Ad_ID]],'[1]pre processed data'!A:E,5,0)</f>
        <v>3487</v>
      </c>
      <c r="E1415" s="5" t="str">
        <f>VLOOKUP(Googleadssales[[#This Row],[Ad_ID]],[1]!Table3[[Ad_ID]:[Cost-imputed]],7,0)</f>
        <v>$236.19</v>
      </c>
      <c r="F1415" s="4">
        <f>VLOOKUP(Googleadssales[[#This Row],[Ad_ID]],'[1]pre processed data'!A:I,9,0)</f>
        <v>25</v>
      </c>
      <c r="G1415" s="4">
        <f>VLOOKUP(Googleadssales[[#This Row],[Ad_ID]],'[1]pre processed data'!A:K,11,0)</f>
        <v>6</v>
      </c>
      <c r="H1415" s="2">
        <f>Googleadssales[[#This Row],[Conversions]]/Googleadssales[[#This Row],[Clicks]]</f>
        <v>4.6875E-2</v>
      </c>
      <c r="I1415" t="str">
        <f>VLOOKUP(Googleadssales[[#This Row],[Ad_ID]],'[1]pre processed data'!A:O,15,0)</f>
        <v>$1961</v>
      </c>
      <c r="J1415" s="3">
        <f>VLOOKUP(Googleadssales[[#This Row],[Ad_ID]],'[1]pre processed data'!A:Q,17,0)</f>
        <v>45598</v>
      </c>
      <c r="K1415" t="str">
        <f>VLOOKUP(Googleadssales[[#This Row],[Ad_ID]],'[1]pre processed data'!A:R,18,0)</f>
        <v>Hyderabad</v>
      </c>
      <c r="L1415" t="str">
        <f>VLOOKUP(Googleadssales[[#This Row],[Ad_ID]],'[1]pre processed data'!A:S,19,0)</f>
        <v>Tablet</v>
      </c>
      <c r="M1415" t="str">
        <f>VLOOKUP(Googleadssales[[#This Row],[Ad_ID]],'[1]pre processed data'!A:T,20,0)</f>
        <v>data analytics course</v>
      </c>
    </row>
    <row r="1416" spans="1:13" x14ac:dyDescent="0.3">
      <c r="A1416" t="s">
        <v>1429</v>
      </c>
      <c r="B1416" t="s">
        <v>14</v>
      </c>
      <c r="C1416" s="4">
        <f>VLOOKUP(Googleadssales[[#This Row],[Ad_ID]],'[1]pre processed data'!A:C,3,0)</f>
        <v>153</v>
      </c>
      <c r="D1416" s="4">
        <f>VLOOKUP(Googleadssales[[#This Row],[Ad_ID]],'[1]pre processed data'!A:E,5,0)</f>
        <v>3808</v>
      </c>
      <c r="E1416" s="5" t="str">
        <f>VLOOKUP(Googleadssales[[#This Row],[Ad_ID]],[1]!Table3[[Ad_ID]:[Cost-imputed]],7,0)</f>
        <v>$189.61</v>
      </c>
      <c r="F1416" s="4">
        <f>VLOOKUP(Googleadssales[[#This Row],[Ad_ID]],'[1]pre processed data'!A:I,9,0)</f>
        <v>19</v>
      </c>
      <c r="G1416" s="4">
        <f>VLOOKUP(Googleadssales[[#This Row],[Ad_ID]],'[1]pre processed data'!A:K,11,0)</f>
        <v>8</v>
      </c>
      <c r="H1416" s="2">
        <f>Googleadssales[[#This Row],[Conversions]]/Googleadssales[[#This Row],[Clicks]]</f>
        <v>5.2287581699346407E-2</v>
      </c>
      <c r="I1416" t="str">
        <f>VLOOKUP(Googleadssales[[#This Row],[Ad_ID]],'[1]pre processed data'!A:O,15,0)</f>
        <v>$1246</v>
      </c>
      <c r="J1416" s="3">
        <f>VLOOKUP(Googleadssales[[#This Row],[Ad_ID]],'[1]pre processed data'!A:Q,17,0)</f>
        <v>45598</v>
      </c>
      <c r="K1416" t="str">
        <f>VLOOKUP(Googleadssales[[#This Row],[Ad_ID]],'[1]pre processed data'!A:R,18,0)</f>
        <v>Hyderabad</v>
      </c>
      <c r="L1416" t="str">
        <f>VLOOKUP(Googleadssales[[#This Row],[Ad_ID]],'[1]pre processed data'!A:S,19,0)</f>
        <v>Tablet</v>
      </c>
      <c r="M1416" t="str">
        <f>VLOOKUP(Googleadssales[[#This Row],[Ad_ID]],'[1]pre processed data'!A:T,20,0)</f>
        <v>data analytics course</v>
      </c>
    </row>
    <row r="1417" spans="1:13" x14ac:dyDescent="0.3">
      <c r="A1417" t="s">
        <v>1430</v>
      </c>
      <c r="B1417" t="s">
        <v>18</v>
      </c>
      <c r="C1417" s="4">
        <f>VLOOKUP(Googleadssales[[#This Row],[Ad_ID]],'[1]pre processed data'!A:C,3,0)</f>
        <v>192</v>
      </c>
      <c r="D1417" s="4">
        <f>VLOOKUP(Googleadssales[[#This Row],[Ad_ID]],'[1]pre processed data'!A:E,5,0)</f>
        <v>5720</v>
      </c>
      <c r="E1417" s="5" t="str">
        <f>VLOOKUP(Googleadssales[[#This Row],[Ad_ID]],[1]!Table3[[Ad_ID]:[Cost-imputed]],7,0)</f>
        <v>$243.11</v>
      </c>
      <c r="F1417" s="4">
        <f>VLOOKUP(Googleadssales[[#This Row],[Ad_ID]],'[1]pre processed data'!A:I,9,0)</f>
        <v>30</v>
      </c>
      <c r="G1417" s="4">
        <f>VLOOKUP(Googleadssales[[#This Row],[Ad_ID]],'[1]pre processed data'!A:K,11,0)</f>
        <v>9</v>
      </c>
      <c r="H1417" s="2">
        <f>Googleadssales[[#This Row],[Conversions]]/Googleadssales[[#This Row],[Clicks]]</f>
        <v>4.6875E-2</v>
      </c>
      <c r="I1417" t="str">
        <f>VLOOKUP(Googleadssales[[#This Row],[Ad_ID]],'[1]pre processed data'!A:O,15,0)</f>
        <v>$1555</v>
      </c>
      <c r="J1417" s="3">
        <f>VLOOKUP(Googleadssales[[#This Row],[Ad_ID]],'[1]pre processed data'!A:Q,17,0)</f>
        <v>45598</v>
      </c>
      <c r="K1417" t="str">
        <f>VLOOKUP(Googleadssales[[#This Row],[Ad_ID]],'[1]pre processed data'!A:R,18,0)</f>
        <v>Bangaluru</v>
      </c>
      <c r="L1417" t="str">
        <f>VLOOKUP(Googleadssales[[#This Row],[Ad_ID]],'[1]pre processed data'!A:S,19,0)</f>
        <v>Mobile</v>
      </c>
      <c r="M1417" t="str">
        <f>VLOOKUP(Googleadssales[[#This Row],[Ad_ID]],'[1]pre processed data'!A:T,20,0)</f>
        <v>online data analytic</v>
      </c>
    </row>
    <row r="1418" spans="1:13" x14ac:dyDescent="0.3">
      <c r="A1418" t="s">
        <v>1431</v>
      </c>
      <c r="B1418" t="s">
        <v>18</v>
      </c>
      <c r="C1418" s="4">
        <f>VLOOKUP(Googleadssales[[#This Row],[Ad_ID]],'[1]pre processed data'!A:C,3,0)</f>
        <v>148</v>
      </c>
      <c r="D1418" s="4">
        <f>VLOOKUP(Googleadssales[[#This Row],[Ad_ID]],'[1]pre processed data'!A:E,5,0)</f>
        <v>4721</v>
      </c>
      <c r="E1418" s="5" t="str">
        <f>VLOOKUP(Googleadssales[[#This Row],[Ad_ID]],[1]!Table3[[Ad_ID]:[Cost-imputed]],7,0)</f>
        <v>$189.48</v>
      </c>
      <c r="F1418" s="4">
        <f>VLOOKUP(Googleadssales[[#This Row],[Ad_ID]],'[1]pre processed data'!A:I,9,0)</f>
        <v>26</v>
      </c>
      <c r="G1418" s="4">
        <f>VLOOKUP(Googleadssales[[#This Row],[Ad_ID]],'[1]pre processed data'!A:K,11,0)</f>
        <v>8</v>
      </c>
      <c r="H1418" s="2">
        <f>Googleadssales[[#This Row],[Conversions]]/Googleadssales[[#This Row],[Clicks]]</f>
        <v>5.4054054054054057E-2</v>
      </c>
      <c r="I1418" t="str">
        <f>VLOOKUP(Googleadssales[[#This Row],[Ad_ID]],'[1]pre processed data'!A:O,15,0)</f>
        <v>$1176</v>
      </c>
      <c r="J1418" s="3">
        <f>VLOOKUP(Googleadssales[[#This Row],[Ad_ID]],'[1]pre processed data'!A:Q,17,0)</f>
        <v>45597</v>
      </c>
      <c r="K1418" t="str">
        <f>VLOOKUP(Googleadssales[[#This Row],[Ad_ID]],'[1]pre processed data'!A:R,18,0)</f>
        <v>Hyderabad</v>
      </c>
      <c r="L1418" t="str">
        <f>VLOOKUP(Googleadssales[[#This Row],[Ad_ID]],'[1]pre processed data'!A:S,19,0)</f>
        <v>Mobile</v>
      </c>
      <c r="M1418" t="str">
        <f>VLOOKUP(Googleadssales[[#This Row],[Ad_ID]],'[1]pre processed data'!A:T,20,0)</f>
        <v>online data analytic</v>
      </c>
    </row>
    <row r="1419" spans="1:13" x14ac:dyDescent="0.3">
      <c r="A1419" t="s">
        <v>1432</v>
      </c>
      <c r="B1419" t="s">
        <v>14</v>
      </c>
      <c r="C1419" s="4">
        <f>VLOOKUP(Googleadssales[[#This Row],[Ad_ID]],'[1]pre processed data'!A:C,3,0)</f>
        <v>153</v>
      </c>
      <c r="D1419" s="4">
        <f>VLOOKUP(Googleadssales[[#This Row],[Ad_ID]],'[1]pre processed data'!A:E,5,0)</f>
        <v>4768</v>
      </c>
      <c r="E1419" s="5" t="str">
        <f>VLOOKUP(Googleadssales[[#This Row],[Ad_ID]],[1]!Table3[[Ad_ID]:[Cost-imputed]],7,0)</f>
        <v>$214.39</v>
      </c>
      <c r="F1419" s="4">
        <f>VLOOKUP(Googleadssales[[#This Row],[Ad_ID]],'[1]pre processed data'!A:I,9,0)</f>
        <v>25</v>
      </c>
      <c r="G1419" s="4">
        <f>VLOOKUP(Googleadssales[[#This Row],[Ad_ID]],'[1]pre processed data'!A:K,11,0)</f>
        <v>5</v>
      </c>
      <c r="H1419" s="2">
        <f>Googleadssales[[#This Row],[Conversions]]/Googleadssales[[#This Row],[Clicks]]</f>
        <v>3.2679738562091505E-2</v>
      </c>
      <c r="I1419" t="str">
        <f>VLOOKUP(Googleadssales[[#This Row],[Ad_ID]],'[1]pre processed data'!A:O,15,0)</f>
        <v>$1837</v>
      </c>
      <c r="J1419" s="3">
        <f>VLOOKUP(Googleadssales[[#This Row],[Ad_ID]],'[1]pre processed data'!A:Q,17,0)</f>
        <v>45622</v>
      </c>
      <c r="K1419" t="str">
        <f>VLOOKUP(Googleadssales[[#This Row],[Ad_ID]],'[1]pre processed data'!A:R,18,0)</f>
        <v>Bangaluru</v>
      </c>
      <c r="L1419" t="str">
        <f>VLOOKUP(Googleadssales[[#This Row],[Ad_ID]],'[1]pre processed data'!A:S,19,0)</f>
        <v>Tablet</v>
      </c>
      <c r="M1419" t="str">
        <f>VLOOKUP(Googleadssales[[#This Row],[Ad_ID]],'[1]pre processed data'!A:T,20,0)</f>
        <v>data analytics online</v>
      </c>
    </row>
    <row r="1420" spans="1:13" x14ac:dyDescent="0.3">
      <c r="A1420" t="s">
        <v>1433</v>
      </c>
      <c r="B1420" t="s">
        <v>14</v>
      </c>
      <c r="C1420" s="4">
        <f>VLOOKUP(Googleadssales[[#This Row],[Ad_ID]],'[1]pre processed data'!A:C,3,0)</f>
        <v>138.95699356913184</v>
      </c>
      <c r="D1420" s="4">
        <f>VLOOKUP(Googleadssales[[#This Row],[Ad_ID]],'[1]pre processed data'!A:E,5,0)</f>
        <v>5494</v>
      </c>
      <c r="E1420" s="5" t="str">
        <f>VLOOKUP(Googleadssales[[#This Row],[Ad_ID]],[1]!Table3[[Ad_ID]:[Cost-imputed]],7,0)</f>
        <v>$187.68</v>
      </c>
      <c r="F1420" s="4">
        <f>VLOOKUP(Googleadssales[[#This Row],[Ad_ID]],'[1]pre processed data'!A:I,9,0)</f>
        <v>23</v>
      </c>
      <c r="G1420" s="4">
        <f>VLOOKUP(Googleadssales[[#This Row],[Ad_ID]],'[1]pre processed data'!A:K,11,0)</f>
        <v>8</v>
      </c>
      <c r="H1420" s="2">
        <f>Googleadssales[[#This Row],[Conversions]]/Googleadssales[[#This Row],[Clicks]]</f>
        <v>5.7571769469954438E-2</v>
      </c>
      <c r="I1420" t="str">
        <f>VLOOKUP(Googleadssales[[#This Row],[Ad_ID]],'[1]pre processed data'!A:O,15,0)</f>
        <v>$1402</v>
      </c>
      <c r="J1420" s="3">
        <f>VLOOKUP(Googleadssales[[#This Row],[Ad_ID]],'[1]pre processed data'!A:Q,17,0)</f>
        <v>45620</v>
      </c>
      <c r="K1420" t="str">
        <f>VLOOKUP(Googleadssales[[#This Row],[Ad_ID]],'[1]pre processed data'!A:R,18,0)</f>
        <v>Hyderabad</v>
      </c>
      <c r="L1420" t="str">
        <f>VLOOKUP(Googleadssales[[#This Row],[Ad_ID]],'[1]pre processed data'!A:S,19,0)</f>
        <v>Tablet</v>
      </c>
      <c r="M1420" t="str">
        <f>VLOOKUP(Googleadssales[[#This Row],[Ad_ID]],'[1]pre processed data'!A:T,20,0)</f>
        <v>data analytics course</v>
      </c>
    </row>
    <row r="1421" spans="1:13" x14ac:dyDescent="0.3">
      <c r="A1421" t="s">
        <v>1434</v>
      </c>
      <c r="B1421" t="s">
        <v>14</v>
      </c>
      <c r="C1421" s="4">
        <f>VLOOKUP(Googleadssales[[#This Row],[Ad_ID]],'[1]pre processed data'!A:C,3,0)</f>
        <v>169</v>
      </c>
      <c r="D1421" s="4">
        <f>VLOOKUP(Googleadssales[[#This Row],[Ad_ID]],'[1]pre processed data'!A:E,5,0)</f>
        <v>4523.2808326787117</v>
      </c>
      <c r="E1421" s="5" t="str">
        <f>VLOOKUP(Googleadssales[[#This Row],[Ad_ID]],[1]!Table3[[Ad_ID]:[Cost-imputed]],7,0)</f>
        <v>$180.58</v>
      </c>
      <c r="F1421" s="4">
        <f>VLOOKUP(Googleadssales[[#This Row],[Ad_ID]],'[1]pre processed data'!A:I,9,0)</f>
        <v>30</v>
      </c>
      <c r="G1421" s="4">
        <f>VLOOKUP(Googleadssales[[#This Row],[Ad_ID]],'[1]pre processed data'!A:K,11,0)</f>
        <v>7</v>
      </c>
      <c r="H1421" s="2">
        <f>Googleadssales[[#This Row],[Conversions]]/Googleadssales[[#This Row],[Clicks]]</f>
        <v>4.142011834319527E-2</v>
      </c>
      <c r="I1421" t="str">
        <f>VLOOKUP(Googleadssales[[#This Row],[Ad_ID]],'[1]pre processed data'!A:O,15,0)</f>
        <v>$1661</v>
      </c>
      <c r="J1421" s="3">
        <f>VLOOKUP(Googleadssales[[#This Row],[Ad_ID]],'[1]pre processed data'!A:Q,17,0)</f>
        <v>45622</v>
      </c>
      <c r="K1421" t="str">
        <f>VLOOKUP(Googleadssales[[#This Row],[Ad_ID]],'[1]pre processed data'!A:R,18,0)</f>
        <v>Chennai</v>
      </c>
      <c r="L1421" t="str">
        <f>VLOOKUP(Googleadssales[[#This Row],[Ad_ID]],'[1]pre processed data'!A:S,19,0)</f>
        <v>Mobile</v>
      </c>
      <c r="M1421" t="str">
        <f>VLOOKUP(Googleadssales[[#This Row],[Ad_ID]],'[1]pre processed data'!A:T,20,0)</f>
        <v>data analytics training</v>
      </c>
    </row>
    <row r="1422" spans="1:13" x14ac:dyDescent="0.3">
      <c r="A1422" t="s">
        <v>1435</v>
      </c>
      <c r="B1422" t="s">
        <v>14</v>
      </c>
      <c r="C1422" s="4">
        <f>VLOOKUP(Googleadssales[[#This Row],[Ad_ID]],'[1]pre processed data'!A:C,3,0)</f>
        <v>146</v>
      </c>
      <c r="D1422" s="4">
        <f>VLOOKUP(Googleadssales[[#This Row],[Ad_ID]],'[1]pre processed data'!A:E,5,0)</f>
        <v>5173</v>
      </c>
      <c r="E1422" s="5" t="str">
        <f>VLOOKUP(Googleadssales[[#This Row],[Ad_ID]],[1]!Table3[[Ad_ID]:[Cost-imputed]],7,0)</f>
        <v>$234.26</v>
      </c>
      <c r="F1422" s="4">
        <f>VLOOKUP(Googleadssales[[#This Row],[Ad_ID]],'[1]pre processed data'!A:I,9,0)</f>
        <v>20</v>
      </c>
      <c r="G1422" s="4">
        <f>VLOOKUP(Googleadssales[[#This Row],[Ad_ID]],'[1]pre processed data'!A:K,11,0)</f>
        <v>7</v>
      </c>
      <c r="H1422" s="2">
        <f>Googleadssales[[#This Row],[Conversions]]/Googleadssales[[#This Row],[Clicks]]</f>
        <v>4.7945205479452052E-2</v>
      </c>
      <c r="I1422" t="str">
        <f>VLOOKUP(Googleadssales[[#This Row],[Ad_ID]],'[1]pre processed data'!A:O,15,0)</f>
        <v>$1089</v>
      </c>
      <c r="J1422" s="3">
        <f>VLOOKUP(Googleadssales[[#This Row],[Ad_ID]],'[1]pre processed data'!A:Q,17,0)</f>
        <v>45624</v>
      </c>
      <c r="K1422" t="str">
        <f>VLOOKUP(Googleadssales[[#This Row],[Ad_ID]],'[1]pre processed data'!A:R,18,0)</f>
        <v>Hyderabad</v>
      </c>
      <c r="L1422" t="str">
        <f>VLOOKUP(Googleadssales[[#This Row],[Ad_ID]],'[1]pre processed data'!A:S,19,0)</f>
        <v>Mobile</v>
      </c>
      <c r="M1422" t="str">
        <f>VLOOKUP(Googleadssales[[#This Row],[Ad_ID]],'[1]pre processed data'!A:T,20,0)</f>
        <v>online data analytic</v>
      </c>
    </row>
    <row r="1423" spans="1:13" x14ac:dyDescent="0.3">
      <c r="A1423" t="s">
        <v>1436</v>
      </c>
      <c r="B1423" t="s">
        <v>14</v>
      </c>
      <c r="C1423" s="4">
        <f>VLOOKUP(Googleadssales[[#This Row],[Ad_ID]],'[1]pre processed data'!A:C,3,0)</f>
        <v>81</v>
      </c>
      <c r="D1423" s="4">
        <f>VLOOKUP(Googleadssales[[#This Row],[Ad_ID]],'[1]pre processed data'!A:E,5,0)</f>
        <v>4808</v>
      </c>
      <c r="E1423" s="5" t="str">
        <f>VLOOKUP(Googleadssales[[#This Row],[Ad_ID]],[1]!Table3[[Ad_ID]:[Cost-imputed]],7,0)</f>
        <v>$189.19</v>
      </c>
      <c r="F1423" s="4">
        <f>VLOOKUP(Googleadssales[[#This Row],[Ad_ID]],'[1]pre processed data'!A:I,9,0)</f>
        <v>17</v>
      </c>
      <c r="G1423" s="4">
        <f>VLOOKUP(Googleadssales[[#This Row],[Ad_ID]],'[1]pre processed data'!A:K,11,0)</f>
        <v>9</v>
      </c>
      <c r="H1423" s="2">
        <f>Googleadssales[[#This Row],[Conversions]]/Googleadssales[[#This Row],[Clicks]]</f>
        <v>0.1111111111111111</v>
      </c>
      <c r="I1423" t="str">
        <f>VLOOKUP(Googleadssales[[#This Row],[Ad_ID]],'[1]pre processed data'!A:O,15,0)</f>
        <v>$1759</v>
      </c>
      <c r="J1423" s="3">
        <f>VLOOKUP(Googleadssales[[#This Row],[Ad_ID]],'[1]pre processed data'!A:Q,17,0)</f>
        <v>45621</v>
      </c>
      <c r="K1423" t="str">
        <f>VLOOKUP(Googleadssales[[#This Row],[Ad_ID]],'[1]pre processed data'!A:R,18,0)</f>
        <v>Hyderabad</v>
      </c>
      <c r="L1423" t="str">
        <f>VLOOKUP(Googleadssales[[#This Row],[Ad_ID]],'[1]pre processed data'!A:S,19,0)</f>
        <v>Desktop</v>
      </c>
      <c r="M1423" t="str">
        <f>VLOOKUP(Googleadssales[[#This Row],[Ad_ID]],'[1]pre processed data'!A:T,20,0)</f>
        <v>online data analytic</v>
      </c>
    </row>
    <row r="1424" spans="1:13" x14ac:dyDescent="0.3">
      <c r="A1424" t="s">
        <v>1437</v>
      </c>
      <c r="B1424" t="s">
        <v>18</v>
      </c>
      <c r="C1424" s="4">
        <f>VLOOKUP(Googleadssales[[#This Row],[Ad_ID]],'[1]pre processed data'!A:C,3,0)</f>
        <v>185</v>
      </c>
      <c r="D1424" s="4">
        <f>VLOOKUP(Googleadssales[[#This Row],[Ad_ID]],'[1]pre processed data'!A:E,5,0)</f>
        <v>4523.2808326787117</v>
      </c>
      <c r="E1424" s="5" t="str">
        <f>VLOOKUP(Googleadssales[[#This Row],[Ad_ID]],[1]!Table3[[Ad_ID]:[Cost-imputed]],7,0)</f>
        <v>$234.72</v>
      </c>
      <c r="F1424" s="4">
        <f>VLOOKUP(Googleadssales[[#This Row],[Ad_ID]],'[1]pre processed data'!A:I,9,0)</f>
        <v>18</v>
      </c>
      <c r="G1424" s="4">
        <f>VLOOKUP(Googleadssales[[#This Row],[Ad_ID]],'[1]pre processed data'!A:K,11,0)</f>
        <v>6</v>
      </c>
      <c r="H1424" s="2">
        <f>Googleadssales[[#This Row],[Conversions]]/Googleadssales[[#This Row],[Clicks]]</f>
        <v>3.2432432432432434E-2</v>
      </c>
      <c r="I1424" t="str">
        <f>VLOOKUP(Googleadssales[[#This Row],[Ad_ID]],'[1]pre processed data'!A:O,15,0)</f>
        <v>$1508</v>
      </c>
      <c r="J1424" s="3">
        <f>VLOOKUP(Googleadssales[[#This Row],[Ad_ID]],'[1]pre processed data'!A:Q,17,0)</f>
        <v>45623</v>
      </c>
      <c r="K1424" t="str">
        <f>VLOOKUP(Googleadssales[[#This Row],[Ad_ID]],'[1]pre processed data'!A:R,18,0)</f>
        <v>Hyderabad</v>
      </c>
      <c r="L1424" t="str">
        <f>VLOOKUP(Googleadssales[[#This Row],[Ad_ID]],'[1]pre processed data'!A:S,19,0)</f>
        <v>Desktop</v>
      </c>
      <c r="M1424" t="str">
        <f>VLOOKUP(Googleadssales[[#This Row],[Ad_ID]],'[1]pre processed data'!A:T,20,0)</f>
        <v>data analytics online</v>
      </c>
    </row>
    <row r="1425" spans="1:13" x14ac:dyDescent="0.3">
      <c r="A1425" t="s">
        <v>1438</v>
      </c>
      <c r="B1425" t="s">
        <v>14</v>
      </c>
      <c r="C1425" s="4">
        <f>VLOOKUP(Googleadssales[[#This Row],[Ad_ID]],'[1]pre processed data'!A:C,3,0)</f>
        <v>90</v>
      </c>
      <c r="D1425" s="4">
        <f>VLOOKUP(Googleadssales[[#This Row],[Ad_ID]],'[1]pre processed data'!A:E,5,0)</f>
        <v>5319</v>
      </c>
      <c r="E1425" s="5" t="str">
        <f>VLOOKUP(Googleadssales[[#This Row],[Ad_ID]],[1]!Table3[[Ad_ID]:[Cost-imputed]],7,0)</f>
        <v>$208.19</v>
      </c>
      <c r="F1425" s="4">
        <f>VLOOKUP(Googleadssales[[#This Row],[Ad_ID]],'[1]pre processed data'!A:I,9,0)</f>
        <v>13</v>
      </c>
      <c r="G1425" s="4">
        <f>VLOOKUP(Googleadssales[[#This Row],[Ad_ID]],'[1]pre processed data'!A:K,11,0)</f>
        <v>7</v>
      </c>
      <c r="H1425" s="2">
        <f>Googleadssales[[#This Row],[Conversions]]/Googleadssales[[#This Row],[Clicks]]</f>
        <v>7.7777777777777779E-2</v>
      </c>
      <c r="I1425" t="str">
        <f>VLOOKUP(Googleadssales[[#This Row],[Ad_ID]],'[1]pre processed data'!A:O,15,0)</f>
        <v>$1719</v>
      </c>
      <c r="J1425" s="3">
        <f>VLOOKUP(Googleadssales[[#This Row],[Ad_ID]],'[1]pre processed data'!A:Q,17,0)</f>
        <v>45622</v>
      </c>
      <c r="K1425" t="str">
        <f>VLOOKUP(Googleadssales[[#This Row],[Ad_ID]],'[1]pre processed data'!A:R,18,0)</f>
        <v>Hyderabad</v>
      </c>
      <c r="L1425" t="str">
        <f>VLOOKUP(Googleadssales[[#This Row],[Ad_ID]],'[1]pre processed data'!A:S,19,0)</f>
        <v>Tablet</v>
      </c>
      <c r="M1425" t="str">
        <f>VLOOKUP(Googleadssales[[#This Row],[Ad_ID]],'[1]pre processed data'!A:T,20,0)</f>
        <v>data analytics training</v>
      </c>
    </row>
    <row r="1426" spans="1:13" x14ac:dyDescent="0.3">
      <c r="A1426" t="s">
        <v>1439</v>
      </c>
      <c r="B1426" t="s">
        <v>14</v>
      </c>
      <c r="C1426" s="4">
        <f>VLOOKUP(Googleadssales[[#This Row],[Ad_ID]],'[1]pre processed data'!A:C,3,0)</f>
        <v>155</v>
      </c>
      <c r="D1426" s="4">
        <f>VLOOKUP(Googleadssales[[#This Row],[Ad_ID]],'[1]pre processed data'!A:E,5,0)</f>
        <v>4532</v>
      </c>
      <c r="E1426" s="5" t="str">
        <f>VLOOKUP(Googleadssales[[#This Row],[Ad_ID]],[1]!Table3[[Ad_ID]:[Cost-imputed]],7,0)</f>
        <v>$203.44</v>
      </c>
      <c r="F1426" s="4">
        <f>VLOOKUP(Googleadssales[[#This Row],[Ad_ID]],'[1]pre processed data'!A:I,9,0)</f>
        <v>19</v>
      </c>
      <c r="G1426" s="4">
        <f>VLOOKUP(Googleadssales[[#This Row],[Ad_ID]],'[1]pre processed data'!A:K,11,0)</f>
        <v>8</v>
      </c>
      <c r="H1426" s="2">
        <f>Googleadssales[[#This Row],[Conversions]]/Googleadssales[[#This Row],[Clicks]]</f>
        <v>5.1612903225806452E-2</v>
      </c>
      <c r="I1426" t="str">
        <f>VLOOKUP(Googleadssales[[#This Row],[Ad_ID]],'[1]pre processed data'!A:O,15,0)</f>
        <v>$1709</v>
      </c>
      <c r="J1426" s="3">
        <f>VLOOKUP(Googleadssales[[#This Row],[Ad_ID]],'[1]pre processed data'!A:Q,17,0)</f>
        <v>45613</v>
      </c>
      <c r="K1426" t="str">
        <f>VLOOKUP(Googleadssales[[#This Row],[Ad_ID]],'[1]pre processed data'!A:R,18,0)</f>
        <v>Bangaluru</v>
      </c>
      <c r="L1426" t="str">
        <f>VLOOKUP(Googleadssales[[#This Row],[Ad_ID]],'[1]pre processed data'!A:S,19,0)</f>
        <v>Desktop</v>
      </c>
      <c r="M1426" t="str">
        <f>VLOOKUP(Googleadssales[[#This Row],[Ad_ID]],'[1]pre processed data'!A:T,20,0)</f>
        <v>learn data analytics</v>
      </c>
    </row>
    <row r="1427" spans="1:13" x14ac:dyDescent="0.3">
      <c r="A1427" t="s">
        <v>1440</v>
      </c>
      <c r="B1427" t="s">
        <v>18</v>
      </c>
      <c r="C1427" s="4">
        <f>VLOOKUP(Googleadssales[[#This Row],[Ad_ID]],'[1]pre processed data'!A:C,3,0)</f>
        <v>125</v>
      </c>
      <c r="D1427" s="4">
        <f>VLOOKUP(Googleadssales[[#This Row],[Ad_ID]],'[1]pre processed data'!A:E,5,0)</f>
        <v>3458</v>
      </c>
      <c r="E1427" s="5" t="str">
        <f>VLOOKUP(Googleadssales[[#This Row],[Ad_ID]],[1]!Table3[[Ad_ID]:[Cost-imputed]],7,0)</f>
        <v>$180.49</v>
      </c>
      <c r="F1427" s="4">
        <f>VLOOKUP(Googleadssales[[#This Row],[Ad_ID]],'[1]pre processed data'!A:I,9,0)</f>
        <v>19</v>
      </c>
      <c r="G1427" s="4">
        <f>VLOOKUP(Googleadssales[[#This Row],[Ad_ID]],'[1]pre processed data'!A:K,11,0)</f>
        <v>3</v>
      </c>
      <c r="H1427" s="2">
        <f>Googleadssales[[#This Row],[Conversions]]/Googleadssales[[#This Row],[Clicks]]</f>
        <v>2.4E-2</v>
      </c>
      <c r="I1427" t="str">
        <f>VLOOKUP(Googleadssales[[#This Row],[Ad_ID]],'[1]pre processed data'!A:O,15,0)</f>
        <v>$1754</v>
      </c>
      <c r="J1427" s="3">
        <f>VLOOKUP(Googleadssales[[#This Row],[Ad_ID]],'[1]pre processed data'!A:Q,17,0)</f>
        <v>45605</v>
      </c>
      <c r="K1427" t="str">
        <f>VLOOKUP(Googleadssales[[#This Row],[Ad_ID]],'[1]pre processed data'!A:R,18,0)</f>
        <v>Chennai</v>
      </c>
      <c r="L1427" t="str">
        <f>VLOOKUP(Googleadssales[[#This Row],[Ad_ID]],'[1]pre processed data'!A:S,19,0)</f>
        <v>Tablet</v>
      </c>
      <c r="M1427" t="str">
        <f>VLOOKUP(Googleadssales[[#This Row],[Ad_ID]],'[1]pre processed data'!A:T,20,0)</f>
        <v>data analytics online</v>
      </c>
    </row>
    <row r="1428" spans="1:13" x14ac:dyDescent="0.3">
      <c r="A1428" t="s">
        <v>1441</v>
      </c>
      <c r="B1428" t="s">
        <v>14</v>
      </c>
      <c r="C1428" s="4">
        <f>VLOOKUP(Googleadssales[[#This Row],[Ad_ID]],'[1]pre processed data'!A:C,3,0)</f>
        <v>151</v>
      </c>
      <c r="D1428" s="4">
        <f>VLOOKUP(Googleadssales[[#This Row],[Ad_ID]],'[1]pre processed data'!A:E,5,0)</f>
        <v>5432</v>
      </c>
      <c r="E1428" s="5" t="str">
        <f>VLOOKUP(Googleadssales[[#This Row],[Ad_ID]],[1]!Table3[[Ad_ID]:[Cost-imputed]],7,0)</f>
        <v>$204.76</v>
      </c>
      <c r="F1428" s="4">
        <f>VLOOKUP(Googleadssales[[#This Row],[Ad_ID]],'[1]pre processed data'!A:I,9,0)</f>
        <v>18</v>
      </c>
      <c r="G1428" s="4">
        <f>VLOOKUP(Googleadssales[[#This Row],[Ad_ID]],'[1]pre processed data'!A:K,11,0)</f>
        <v>9</v>
      </c>
      <c r="H1428" s="2">
        <f>Googleadssales[[#This Row],[Conversions]]/Googleadssales[[#This Row],[Clicks]]</f>
        <v>5.9602649006622516E-2</v>
      </c>
      <c r="I1428" t="str">
        <f>VLOOKUP(Googleadssales[[#This Row],[Ad_ID]],'[1]pre processed data'!A:O,15,0)</f>
        <v>$1500</v>
      </c>
      <c r="J1428" s="3">
        <f>VLOOKUP(Googleadssales[[#This Row],[Ad_ID]],'[1]pre processed data'!A:Q,17,0)</f>
        <v>45609</v>
      </c>
      <c r="K1428" t="str">
        <f>VLOOKUP(Googleadssales[[#This Row],[Ad_ID]],'[1]pre processed data'!A:R,18,0)</f>
        <v>Bangaluru</v>
      </c>
      <c r="L1428" t="str">
        <f>VLOOKUP(Googleadssales[[#This Row],[Ad_ID]],'[1]pre processed data'!A:S,19,0)</f>
        <v>Mobile</v>
      </c>
      <c r="M1428" t="str">
        <f>VLOOKUP(Googleadssales[[#This Row],[Ad_ID]],'[1]pre processed data'!A:T,20,0)</f>
        <v>data analytics training</v>
      </c>
    </row>
    <row r="1429" spans="1:13" x14ac:dyDescent="0.3">
      <c r="A1429" t="s">
        <v>1442</v>
      </c>
      <c r="B1429" t="s">
        <v>14</v>
      </c>
      <c r="C1429" s="4">
        <f>VLOOKUP(Googleadssales[[#This Row],[Ad_ID]],'[1]pre processed data'!A:C,3,0)</f>
        <v>82</v>
      </c>
      <c r="D1429" s="4">
        <f>VLOOKUP(Googleadssales[[#This Row],[Ad_ID]],'[1]pre processed data'!A:E,5,0)</f>
        <v>3052</v>
      </c>
      <c r="E1429" s="5" t="str">
        <f>VLOOKUP(Googleadssales[[#This Row],[Ad_ID]],[1]!Table3[[Ad_ID]:[Cost-imputed]],7,0)</f>
        <v>$211.11</v>
      </c>
      <c r="F1429" s="4">
        <f>VLOOKUP(Googleadssales[[#This Row],[Ad_ID]],'[1]pre processed data'!A:I,9,0)</f>
        <v>12</v>
      </c>
      <c r="G1429" s="4">
        <f>VLOOKUP(Googleadssales[[#This Row],[Ad_ID]],'[1]pre processed data'!A:K,11,0)</f>
        <v>3</v>
      </c>
      <c r="H1429" s="2">
        <f>Googleadssales[[#This Row],[Conversions]]/Googleadssales[[#This Row],[Clicks]]</f>
        <v>3.6585365853658534E-2</v>
      </c>
      <c r="I1429" t="str">
        <f>VLOOKUP(Googleadssales[[#This Row],[Ad_ID]],'[1]pre processed data'!A:O,15,0)</f>
        <v>$1917</v>
      </c>
      <c r="J1429" s="3">
        <f>VLOOKUP(Googleadssales[[#This Row],[Ad_ID]],'[1]pre processed data'!A:Q,17,0)</f>
        <v>45602</v>
      </c>
      <c r="K1429" t="str">
        <f>VLOOKUP(Googleadssales[[#This Row],[Ad_ID]],'[1]pre processed data'!A:R,18,0)</f>
        <v>Hyderabad</v>
      </c>
      <c r="L1429" t="str">
        <f>VLOOKUP(Googleadssales[[#This Row],[Ad_ID]],'[1]pre processed data'!A:S,19,0)</f>
        <v>Desktop</v>
      </c>
      <c r="M1429" t="str">
        <f>VLOOKUP(Googleadssales[[#This Row],[Ad_ID]],'[1]pre processed data'!A:T,20,0)</f>
        <v>learn data analytics</v>
      </c>
    </row>
    <row r="1430" spans="1:13" x14ac:dyDescent="0.3">
      <c r="A1430" t="s">
        <v>1443</v>
      </c>
      <c r="B1430" t="s">
        <v>18</v>
      </c>
      <c r="C1430" s="4">
        <f>VLOOKUP(Googleadssales[[#This Row],[Ad_ID]],'[1]pre processed data'!A:C,3,0)</f>
        <v>198</v>
      </c>
      <c r="D1430" s="4">
        <f>VLOOKUP(Googleadssales[[#This Row],[Ad_ID]],'[1]pre processed data'!A:E,5,0)</f>
        <v>5718</v>
      </c>
      <c r="E1430" s="5" t="str">
        <f>VLOOKUP(Googleadssales[[#This Row],[Ad_ID]],[1]!Table3[[Ad_ID]:[Cost-imputed]],7,0)</f>
        <v>$194.37</v>
      </c>
      <c r="F1430" s="4">
        <f>VLOOKUP(Googleadssales[[#This Row],[Ad_ID]],'[1]pre processed data'!A:I,9,0)</f>
        <v>13</v>
      </c>
      <c r="G1430" s="4">
        <f>VLOOKUP(Googleadssales[[#This Row],[Ad_ID]],'[1]pre processed data'!A:K,11,0)</f>
        <v>8</v>
      </c>
      <c r="H1430" s="2">
        <f>Googleadssales[[#This Row],[Conversions]]/Googleadssales[[#This Row],[Clicks]]</f>
        <v>4.0404040404040407E-2</v>
      </c>
      <c r="I1430" t="str">
        <f>VLOOKUP(Googleadssales[[#This Row],[Ad_ID]],'[1]pre processed data'!A:O,15,0)</f>
        <v>$1118</v>
      </c>
      <c r="J1430" s="3">
        <f>VLOOKUP(Googleadssales[[#This Row],[Ad_ID]],'[1]pre processed data'!A:Q,17,0)</f>
        <v>45612</v>
      </c>
      <c r="K1430" t="str">
        <f>VLOOKUP(Googleadssales[[#This Row],[Ad_ID]],'[1]pre processed data'!A:R,18,0)</f>
        <v>Bangaluru</v>
      </c>
      <c r="L1430" t="str">
        <f>VLOOKUP(Googleadssales[[#This Row],[Ad_ID]],'[1]pre processed data'!A:S,19,0)</f>
        <v>Tablet</v>
      </c>
      <c r="M1430" t="str">
        <f>VLOOKUP(Googleadssales[[#This Row],[Ad_ID]],'[1]pre processed data'!A:T,20,0)</f>
        <v>data analytics training</v>
      </c>
    </row>
    <row r="1431" spans="1:13" x14ac:dyDescent="0.3">
      <c r="A1431" t="s">
        <v>1444</v>
      </c>
      <c r="B1431" t="s">
        <v>18</v>
      </c>
      <c r="C1431" s="4">
        <f>VLOOKUP(Googleadssales[[#This Row],[Ad_ID]],'[1]pre processed data'!A:C,3,0)</f>
        <v>115</v>
      </c>
      <c r="D1431" s="4">
        <f>VLOOKUP(Googleadssales[[#This Row],[Ad_ID]],'[1]pre processed data'!A:E,5,0)</f>
        <v>4762</v>
      </c>
      <c r="E1431" s="5" t="str">
        <f>VLOOKUP(Googleadssales[[#This Row],[Ad_ID]],[1]!Table3[[Ad_ID]:[Cost-imputed]],7,0)</f>
        <v>$241.63</v>
      </c>
      <c r="F1431" s="4">
        <f>VLOOKUP(Googleadssales[[#This Row],[Ad_ID]],'[1]pre processed data'!A:I,9,0)</f>
        <v>20</v>
      </c>
      <c r="G1431" s="4">
        <f>VLOOKUP(Googleadssales[[#This Row],[Ad_ID]],'[1]pre processed data'!A:K,11,0)</f>
        <v>8</v>
      </c>
      <c r="H1431" s="2">
        <f>Googleadssales[[#This Row],[Conversions]]/Googleadssales[[#This Row],[Clicks]]</f>
        <v>6.9565217391304349E-2</v>
      </c>
      <c r="I1431" t="str">
        <f>VLOOKUP(Googleadssales[[#This Row],[Ad_ID]],'[1]pre processed data'!A:O,15,0)</f>
        <v>$1555</v>
      </c>
      <c r="J1431" s="3">
        <f>VLOOKUP(Googleadssales[[#This Row],[Ad_ID]],'[1]pre processed data'!A:Q,17,0)</f>
        <v>45599</v>
      </c>
      <c r="K1431" t="str">
        <f>VLOOKUP(Googleadssales[[#This Row],[Ad_ID]],'[1]pre processed data'!A:R,18,0)</f>
        <v>Chennai</v>
      </c>
      <c r="L1431" t="str">
        <f>VLOOKUP(Googleadssales[[#This Row],[Ad_ID]],'[1]pre processed data'!A:S,19,0)</f>
        <v>Desktop</v>
      </c>
      <c r="M1431" t="str">
        <f>VLOOKUP(Googleadssales[[#This Row],[Ad_ID]],'[1]pre processed data'!A:T,20,0)</f>
        <v>data analytics course</v>
      </c>
    </row>
    <row r="1432" spans="1:13" x14ac:dyDescent="0.3">
      <c r="A1432" t="s">
        <v>1445</v>
      </c>
      <c r="B1432" t="s">
        <v>14</v>
      </c>
      <c r="C1432" s="4">
        <f>VLOOKUP(Googleadssales[[#This Row],[Ad_ID]],'[1]pre processed data'!A:C,3,0)</f>
        <v>158</v>
      </c>
      <c r="D1432" s="4">
        <f>VLOOKUP(Googleadssales[[#This Row],[Ad_ID]],'[1]pre processed data'!A:E,5,0)</f>
        <v>4953</v>
      </c>
      <c r="E1432" s="5" t="str">
        <f>VLOOKUP(Googleadssales[[#This Row],[Ad_ID]],[1]!Table3[[Ad_ID]:[Cost-imputed]],7,0)</f>
        <v>$243.07</v>
      </c>
      <c r="F1432" s="4">
        <f>VLOOKUP(Googleadssales[[#This Row],[Ad_ID]],'[1]pre processed data'!A:I,9,0)</f>
        <v>20</v>
      </c>
      <c r="G1432" s="4">
        <f>VLOOKUP(Googleadssales[[#This Row],[Ad_ID]],'[1]pre processed data'!A:K,11,0)</f>
        <v>8</v>
      </c>
      <c r="H1432" s="2">
        <f>Googleadssales[[#This Row],[Conversions]]/Googleadssales[[#This Row],[Clicks]]</f>
        <v>5.0632911392405063E-2</v>
      </c>
      <c r="I1432" t="str">
        <f>VLOOKUP(Googleadssales[[#This Row],[Ad_ID]],'[1]pre processed data'!A:O,15,0)</f>
        <v>$1955</v>
      </c>
      <c r="J1432" s="3">
        <f>VLOOKUP(Googleadssales[[#This Row],[Ad_ID]],'[1]pre processed data'!A:Q,17,0)</f>
        <v>45600</v>
      </c>
      <c r="K1432" t="str">
        <f>VLOOKUP(Googleadssales[[#This Row],[Ad_ID]],'[1]pre processed data'!A:R,18,0)</f>
        <v>Hyderabad</v>
      </c>
      <c r="L1432" t="str">
        <f>VLOOKUP(Googleadssales[[#This Row],[Ad_ID]],'[1]pre processed data'!A:S,19,0)</f>
        <v>Tablet</v>
      </c>
      <c r="M1432" t="str">
        <f>VLOOKUP(Googleadssales[[#This Row],[Ad_ID]],'[1]pre processed data'!A:T,20,0)</f>
        <v>learn data analytics</v>
      </c>
    </row>
    <row r="1433" spans="1:13" x14ac:dyDescent="0.3">
      <c r="A1433" t="s">
        <v>1446</v>
      </c>
      <c r="B1433" t="s">
        <v>14</v>
      </c>
      <c r="C1433" s="4">
        <f>VLOOKUP(Googleadssales[[#This Row],[Ad_ID]],'[1]pre processed data'!A:C,3,0)</f>
        <v>102</v>
      </c>
      <c r="D1433" s="4">
        <f>VLOOKUP(Googleadssales[[#This Row],[Ad_ID]],'[1]pre processed data'!A:E,5,0)</f>
        <v>3784</v>
      </c>
      <c r="E1433" s="5" t="str">
        <f>VLOOKUP(Googleadssales[[#This Row],[Ad_ID]],[1]!Table3[[Ad_ID]:[Cost-imputed]],7,0)</f>
        <v>$219.45</v>
      </c>
      <c r="F1433" s="4">
        <f>VLOOKUP(Googleadssales[[#This Row],[Ad_ID]],'[1]pre processed data'!A:I,9,0)</f>
        <v>13</v>
      </c>
      <c r="G1433" s="4">
        <f>VLOOKUP(Googleadssales[[#This Row],[Ad_ID]],'[1]pre processed data'!A:K,11,0)</f>
        <v>9</v>
      </c>
      <c r="H1433" s="2">
        <f>Googleadssales[[#This Row],[Conversions]]/Googleadssales[[#This Row],[Clicks]]</f>
        <v>8.8235294117647065E-2</v>
      </c>
      <c r="I1433" t="str">
        <f>VLOOKUP(Googleadssales[[#This Row],[Ad_ID]],'[1]pre processed data'!A:O,15,0)</f>
        <v>$1967</v>
      </c>
      <c r="J1433" s="3">
        <f>VLOOKUP(Googleadssales[[#This Row],[Ad_ID]],'[1]pre processed data'!A:Q,17,0)</f>
        <v>45616</v>
      </c>
      <c r="K1433" t="str">
        <f>VLOOKUP(Googleadssales[[#This Row],[Ad_ID]],'[1]pre processed data'!A:R,18,0)</f>
        <v>Hyderabad</v>
      </c>
      <c r="L1433" t="str">
        <f>VLOOKUP(Googleadssales[[#This Row],[Ad_ID]],'[1]pre processed data'!A:S,19,0)</f>
        <v>Desktop</v>
      </c>
      <c r="M1433" t="str">
        <f>VLOOKUP(Googleadssales[[#This Row],[Ad_ID]],'[1]pre processed data'!A:T,20,0)</f>
        <v>data analytics course</v>
      </c>
    </row>
    <row r="1434" spans="1:13" x14ac:dyDescent="0.3">
      <c r="A1434" t="s">
        <v>1447</v>
      </c>
      <c r="B1434" t="s">
        <v>18</v>
      </c>
      <c r="C1434" s="4">
        <f>VLOOKUP(Googleadssales[[#This Row],[Ad_ID]],'[1]pre processed data'!A:C,3,0)</f>
        <v>93</v>
      </c>
      <c r="D1434" s="4">
        <f>VLOOKUP(Googleadssales[[#This Row],[Ad_ID]],'[1]pre processed data'!A:E,5,0)</f>
        <v>4523.2808326787117</v>
      </c>
      <c r="E1434" s="5" t="str">
        <f>VLOOKUP(Googleadssales[[#This Row],[Ad_ID]],[1]!Table3[[Ad_ID]:[Cost-imputed]],7,0)</f>
        <v>$192.81</v>
      </c>
      <c r="F1434" s="4">
        <f>VLOOKUP(Googleadssales[[#This Row],[Ad_ID]],'[1]pre processed data'!A:I,9,0)</f>
        <v>22</v>
      </c>
      <c r="G1434" s="4">
        <f>VLOOKUP(Googleadssales[[#This Row],[Ad_ID]],'[1]pre processed data'!A:K,11,0)</f>
        <v>7</v>
      </c>
      <c r="H1434" s="2">
        <f>Googleadssales[[#This Row],[Conversions]]/Googleadssales[[#This Row],[Clicks]]</f>
        <v>7.5268817204301078E-2</v>
      </c>
      <c r="I1434" t="str">
        <f>VLOOKUP(Googleadssales[[#This Row],[Ad_ID]],'[1]pre processed data'!A:O,15,0)</f>
        <v>$1726</v>
      </c>
      <c r="J1434" s="3">
        <f>VLOOKUP(Googleadssales[[#This Row],[Ad_ID]],'[1]pre processed data'!A:Q,17,0)</f>
        <v>45614</v>
      </c>
      <c r="K1434" t="str">
        <f>VLOOKUP(Googleadssales[[#This Row],[Ad_ID]],'[1]pre processed data'!A:R,18,0)</f>
        <v>Bangaluru</v>
      </c>
      <c r="L1434" t="str">
        <f>VLOOKUP(Googleadssales[[#This Row],[Ad_ID]],'[1]pre processed data'!A:S,19,0)</f>
        <v>Desktop</v>
      </c>
      <c r="M1434" t="str">
        <f>VLOOKUP(Googleadssales[[#This Row],[Ad_ID]],'[1]pre processed data'!A:T,20,0)</f>
        <v>learn data analytics</v>
      </c>
    </row>
    <row r="1435" spans="1:13" x14ac:dyDescent="0.3">
      <c r="A1435" t="s">
        <v>1448</v>
      </c>
      <c r="B1435" t="s">
        <v>14</v>
      </c>
      <c r="C1435" s="4">
        <f>VLOOKUP(Googleadssales[[#This Row],[Ad_ID]],'[1]pre processed data'!A:C,3,0)</f>
        <v>198</v>
      </c>
      <c r="D1435" s="4">
        <f>VLOOKUP(Googleadssales[[#This Row],[Ad_ID]],'[1]pre processed data'!A:E,5,0)</f>
        <v>5860</v>
      </c>
      <c r="E1435" s="5" t="str">
        <f>VLOOKUP(Googleadssales[[#This Row],[Ad_ID]],[1]!Table3[[Ad_ID]:[Cost-imputed]],7,0)</f>
        <v>$185.25</v>
      </c>
      <c r="F1435" s="4">
        <f>VLOOKUP(Googleadssales[[#This Row],[Ad_ID]],'[1]pre processed data'!A:I,9,0)</f>
        <v>24</v>
      </c>
      <c r="G1435" s="4">
        <f>VLOOKUP(Googleadssales[[#This Row],[Ad_ID]],'[1]pre processed data'!A:K,11,0)</f>
        <v>9</v>
      </c>
      <c r="H1435" s="2">
        <f>Googleadssales[[#This Row],[Conversions]]/Googleadssales[[#This Row],[Clicks]]</f>
        <v>4.5454545454545456E-2</v>
      </c>
      <c r="I1435" t="str">
        <f>VLOOKUP(Googleadssales[[#This Row],[Ad_ID]],'[1]pre processed data'!A:O,15,0)</f>
        <v>$1950</v>
      </c>
      <c r="J1435" s="3">
        <f>VLOOKUP(Googleadssales[[#This Row],[Ad_ID]],'[1]pre processed data'!A:Q,17,0)</f>
        <v>45597</v>
      </c>
      <c r="K1435" t="str">
        <f>VLOOKUP(Googleadssales[[#This Row],[Ad_ID]],'[1]pre processed data'!A:R,18,0)</f>
        <v>Bangaluru</v>
      </c>
      <c r="L1435" t="str">
        <f>VLOOKUP(Googleadssales[[#This Row],[Ad_ID]],'[1]pre processed data'!A:S,19,0)</f>
        <v>Tablet</v>
      </c>
      <c r="M1435" t="str">
        <f>VLOOKUP(Googleadssales[[#This Row],[Ad_ID]],'[1]pre processed data'!A:T,20,0)</f>
        <v>data analytics training</v>
      </c>
    </row>
    <row r="1436" spans="1:13" x14ac:dyDescent="0.3">
      <c r="A1436" t="s">
        <v>1449</v>
      </c>
      <c r="B1436" t="s">
        <v>14</v>
      </c>
      <c r="C1436" s="4">
        <f>VLOOKUP(Googleadssales[[#This Row],[Ad_ID]],'[1]pre processed data'!A:C,3,0)</f>
        <v>174</v>
      </c>
      <c r="D1436" s="4">
        <f>VLOOKUP(Googleadssales[[#This Row],[Ad_ID]],'[1]pre processed data'!A:E,5,0)</f>
        <v>4169</v>
      </c>
      <c r="E1436" s="5" t="str">
        <f>VLOOKUP(Googleadssales[[#This Row],[Ad_ID]],[1]!Table3[[Ad_ID]:[Cost-imputed]],7,0)</f>
        <v>$189.36</v>
      </c>
      <c r="F1436" s="4">
        <f>VLOOKUP(Googleadssales[[#This Row],[Ad_ID]],'[1]pre processed data'!A:I,9,0)</f>
        <v>23</v>
      </c>
      <c r="G1436" s="4">
        <f>VLOOKUP(Googleadssales[[#This Row],[Ad_ID]],'[1]pre processed data'!A:K,11,0)</f>
        <v>8</v>
      </c>
      <c r="H1436" s="2">
        <f>Googleadssales[[#This Row],[Conversions]]/Googleadssales[[#This Row],[Clicks]]</f>
        <v>4.5977011494252873E-2</v>
      </c>
      <c r="I1436" t="str">
        <f>VLOOKUP(Googleadssales[[#This Row],[Ad_ID]],'[1]pre processed data'!A:O,15,0)</f>
        <v>$1110</v>
      </c>
      <c r="J1436" s="3">
        <f>VLOOKUP(Googleadssales[[#This Row],[Ad_ID]],'[1]pre processed data'!A:Q,17,0)</f>
        <v>45610</v>
      </c>
      <c r="K1436" t="str">
        <f>VLOOKUP(Googleadssales[[#This Row],[Ad_ID]],'[1]pre processed data'!A:R,18,0)</f>
        <v>Hyderabad</v>
      </c>
      <c r="L1436" t="str">
        <f>VLOOKUP(Googleadssales[[#This Row],[Ad_ID]],'[1]pre processed data'!A:S,19,0)</f>
        <v>Tablet</v>
      </c>
      <c r="M1436" t="str">
        <f>VLOOKUP(Googleadssales[[#This Row],[Ad_ID]],'[1]pre processed data'!A:T,20,0)</f>
        <v>data analytics course</v>
      </c>
    </row>
    <row r="1437" spans="1:13" x14ac:dyDescent="0.3">
      <c r="A1437" t="s">
        <v>1450</v>
      </c>
      <c r="B1437" t="s">
        <v>14</v>
      </c>
      <c r="C1437" s="4">
        <f>VLOOKUP(Googleadssales[[#This Row],[Ad_ID]],'[1]pre processed data'!A:C,3,0)</f>
        <v>193</v>
      </c>
      <c r="D1437" s="4">
        <f>VLOOKUP(Googleadssales[[#This Row],[Ad_ID]],'[1]pre processed data'!A:E,5,0)</f>
        <v>5831</v>
      </c>
      <c r="E1437" s="5" t="str">
        <f>VLOOKUP(Googleadssales[[#This Row],[Ad_ID]],[1]!Table3[[Ad_ID]:[Cost-imputed]],7,0)</f>
        <v>$200.00</v>
      </c>
      <c r="F1437" s="4">
        <f>VLOOKUP(Googleadssales[[#This Row],[Ad_ID]],'[1]pre processed data'!A:I,9,0)</f>
        <v>24</v>
      </c>
      <c r="G1437" s="4">
        <f>VLOOKUP(Googleadssales[[#This Row],[Ad_ID]],'[1]pre processed data'!A:K,11,0)</f>
        <v>5</v>
      </c>
      <c r="H1437" s="2">
        <f>Googleadssales[[#This Row],[Conversions]]/Googleadssales[[#This Row],[Clicks]]</f>
        <v>2.5906735751295335E-2</v>
      </c>
      <c r="I1437" t="str">
        <f>VLOOKUP(Googleadssales[[#This Row],[Ad_ID]],'[1]pre processed data'!A:O,15,0)</f>
        <v>$1265</v>
      </c>
      <c r="J1437" s="3">
        <f>VLOOKUP(Googleadssales[[#This Row],[Ad_ID]],'[1]pre processed data'!A:Q,17,0)</f>
        <v>45610</v>
      </c>
      <c r="K1437" t="str">
        <f>VLOOKUP(Googleadssales[[#This Row],[Ad_ID]],'[1]pre processed data'!A:R,18,0)</f>
        <v>Chennai</v>
      </c>
      <c r="L1437" t="str">
        <f>VLOOKUP(Googleadssales[[#This Row],[Ad_ID]],'[1]pre processed data'!A:S,19,0)</f>
        <v>Mobile</v>
      </c>
      <c r="M1437" t="str">
        <f>VLOOKUP(Googleadssales[[#This Row],[Ad_ID]],'[1]pre processed data'!A:T,20,0)</f>
        <v>online data analytic</v>
      </c>
    </row>
    <row r="1438" spans="1:13" x14ac:dyDescent="0.3">
      <c r="A1438" t="s">
        <v>1451</v>
      </c>
      <c r="B1438" t="s">
        <v>14</v>
      </c>
      <c r="C1438" s="4">
        <f>VLOOKUP(Googleadssales[[#This Row],[Ad_ID]],'[1]pre processed data'!A:C,3,0)</f>
        <v>117</v>
      </c>
      <c r="D1438" s="4">
        <f>VLOOKUP(Googleadssales[[#This Row],[Ad_ID]],'[1]pre processed data'!A:E,5,0)</f>
        <v>5269</v>
      </c>
      <c r="E1438" s="5" t="str">
        <f>VLOOKUP(Googleadssales[[#This Row],[Ad_ID]],[1]!Table3[[Ad_ID]:[Cost-imputed]],7,0)</f>
        <v>$196.1</v>
      </c>
      <c r="F1438" s="4">
        <f>VLOOKUP(Googleadssales[[#This Row],[Ad_ID]],'[1]pre processed data'!A:I,9,0)</f>
        <v>26</v>
      </c>
      <c r="G1438" s="4">
        <f>VLOOKUP(Googleadssales[[#This Row],[Ad_ID]],'[1]pre processed data'!A:K,11,0)</f>
        <v>6.5690115761353516</v>
      </c>
      <c r="H1438" s="2">
        <f>Googleadssales[[#This Row],[Conversions]]/Googleadssales[[#This Row],[Clicks]]</f>
        <v>5.6145398086626934E-2</v>
      </c>
      <c r="I1438" t="str">
        <f>VLOOKUP(Googleadssales[[#This Row],[Ad_ID]],'[1]pre processed data'!A:O,15,0)</f>
        <v>$1096</v>
      </c>
      <c r="J1438" s="3">
        <f>VLOOKUP(Googleadssales[[#This Row],[Ad_ID]],'[1]pre processed data'!A:Q,17,0)</f>
        <v>45601</v>
      </c>
      <c r="K1438" t="str">
        <f>VLOOKUP(Googleadssales[[#This Row],[Ad_ID]],'[1]pre processed data'!A:R,18,0)</f>
        <v>Bangaluru</v>
      </c>
      <c r="L1438" t="str">
        <f>VLOOKUP(Googleadssales[[#This Row],[Ad_ID]],'[1]pre processed data'!A:S,19,0)</f>
        <v>Desktop</v>
      </c>
      <c r="M1438" t="str">
        <f>VLOOKUP(Googleadssales[[#This Row],[Ad_ID]],'[1]pre processed data'!A:T,20,0)</f>
        <v>online data analytic</v>
      </c>
    </row>
    <row r="1439" spans="1:13" x14ac:dyDescent="0.3">
      <c r="A1439" t="s">
        <v>1452</v>
      </c>
      <c r="B1439" t="s">
        <v>14</v>
      </c>
      <c r="C1439" s="4">
        <f>VLOOKUP(Googleadssales[[#This Row],[Ad_ID]],'[1]pre processed data'!A:C,3,0)</f>
        <v>147</v>
      </c>
      <c r="D1439" s="4">
        <f>VLOOKUP(Googleadssales[[#This Row],[Ad_ID]],'[1]pre processed data'!A:E,5,0)</f>
        <v>5793</v>
      </c>
      <c r="E1439" s="5" t="str">
        <f>VLOOKUP(Googleadssales[[#This Row],[Ad_ID]],[1]!Table3[[Ad_ID]:[Cost-imputed]],7,0)</f>
        <v>$240.32</v>
      </c>
      <c r="F1439" s="4">
        <f>VLOOKUP(Googleadssales[[#This Row],[Ad_ID]],'[1]pre processed data'!A:I,9,0)</f>
        <v>25</v>
      </c>
      <c r="G1439" s="4">
        <f>VLOOKUP(Googleadssales[[#This Row],[Ad_ID]],'[1]pre processed data'!A:K,11,0)</f>
        <v>5</v>
      </c>
      <c r="H1439" s="2">
        <f>Googleadssales[[#This Row],[Conversions]]/Googleadssales[[#This Row],[Clicks]]</f>
        <v>3.4013605442176874E-2</v>
      </c>
      <c r="I1439" t="str">
        <f>VLOOKUP(Googleadssales[[#This Row],[Ad_ID]],'[1]pre processed data'!A:O,15,0)</f>
        <v>$1645</v>
      </c>
      <c r="J1439" s="3">
        <f>VLOOKUP(Googleadssales[[#This Row],[Ad_ID]],'[1]pre processed data'!A:Q,17,0)</f>
        <v>45623</v>
      </c>
      <c r="K1439" t="str">
        <f>VLOOKUP(Googleadssales[[#This Row],[Ad_ID]],'[1]pre processed data'!A:R,18,0)</f>
        <v>Hyderabad</v>
      </c>
      <c r="L1439" t="str">
        <f>VLOOKUP(Googleadssales[[#This Row],[Ad_ID]],'[1]pre processed data'!A:S,19,0)</f>
        <v>Tablet</v>
      </c>
      <c r="M1439" t="str">
        <f>VLOOKUP(Googleadssales[[#This Row],[Ad_ID]],'[1]pre processed data'!A:T,20,0)</f>
        <v>data analytics course</v>
      </c>
    </row>
    <row r="1440" spans="1:13" x14ac:dyDescent="0.3">
      <c r="A1440" t="s">
        <v>1453</v>
      </c>
      <c r="B1440" t="s">
        <v>14</v>
      </c>
      <c r="C1440" s="4">
        <f>VLOOKUP(Googleadssales[[#This Row],[Ad_ID]],'[1]pre processed data'!A:C,3,0)</f>
        <v>179</v>
      </c>
      <c r="D1440" s="4">
        <f>VLOOKUP(Googleadssales[[#This Row],[Ad_ID]],'[1]pre processed data'!A:E,5,0)</f>
        <v>3338</v>
      </c>
      <c r="E1440" s="5" t="str">
        <f>VLOOKUP(Googleadssales[[#This Row],[Ad_ID]],[1]!Table3[[Ad_ID]:[Cost-imputed]],7,0)</f>
        <v>$218.33</v>
      </c>
      <c r="F1440" s="4">
        <f>VLOOKUP(Googleadssales[[#This Row],[Ad_ID]],'[1]pre processed data'!A:I,9,0)</f>
        <v>30</v>
      </c>
      <c r="G1440" s="4">
        <f>VLOOKUP(Googleadssales[[#This Row],[Ad_ID]],'[1]pre processed data'!A:K,11,0)</f>
        <v>7</v>
      </c>
      <c r="H1440" s="2">
        <f>Googleadssales[[#This Row],[Conversions]]/Googleadssales[[#This Row],[Clicks]]</f>
        <v>3.9106145251396648E-2</v>
      </c>
      <c r="I1440" t="str">
        <f>VLOOKUP(Googleadssales[[#This Row],[Ad_ID]],'[1]pre processed data'!A:O,15,0)</f>
        <v>$1500</v>
      </c>
      <c r="J1440" s="3">
        <f>VLOOKUP(Googleadssales[[#This Row],[Ad_ID]],'[1]pre processed data'!A:Q,17,0)</f>
        <v>45620</v>
      </c>
      <c r="K1440" t="str">
        <f>VLOOKUP(Googleadssales[[#This Row],[Ad_ID]],'[1]pre processed data'!A:R,18,0)</f>
        <v>Hyderabad</v>
      </c>
      <c r="L1440" t="str">
        <f>VLOOKUP(Googleadssales[[#This Row],[Ad_ID]],'[1]pre processed data'!A:S,19,0)</f>
        <v>Desktop</v>
      </c>
      <c r="M1440" t="str">
        <f>VLOOKUP(Googleadssales[[#This Row],[Ad_ID]],'[1]pre processed data'!A:T,20,0)</f>
        <v>data analytics online</v>
      </c>
    </row>
    <row r="1441" spans="1:13" x14ac:dyDescent="0.3">
      <c r="A1441" t="s">
        <v>1454</v>
      </c>
      <c r="B1441" t="s">
        <v>14</v>
      </c>
      <c r="C1441" s="4">
        <f>VLOOKUP(Googleadssales[[#This Row],[Ad_ID]],'[1]pre processed data'!A:C,3,0)</f>
        <v>194</v>
      </c>
      <c r="D1441" s="4">
        <f>VLOOKUP(Googleadssales[[#This Row],[Ad_ID]],'[1]pre processed data'!A:E,5,0)</f>
        <v>4297</v>
      </c>
      <c r="E1441" s="5" t="str">
        <f>VLOOKUP(Googleadssales[[#This Row],[Ad_ID]],[1]!Table3[[Ad_ID]:[Cost-imputed]],7,0)</f>
        <v>$237.87</v>
      </c>
      <c r="F1441" s="4">
        <f>VLOOKUP(Googleadssales[[#This Row],[Ad_ID]],'[1]pre processed data'!A:I,9,0)</f>
        <v>22</v>
      </c>
      <c r="G1441" s="4">
        <f>VLOOKUP(Googleadssales[[#This Row],[Ad_ID]],'[1]pre processed data'!A:K,11,0)</f>
        <v>3</v>
      </c>
      <c r="H1441" s="2">
        <f>Googleadssales[[#This Row],[Conversions]]/Googleadssales[[#This Row],[Clicks]]</f>
        <v>1.5463917525773196E-2</v>
      </c>
      <c r="I1441" t="str">
        <f>VLOOKUP(Googleadssales[[#This Row],[Ad_ID]],'[1]pre processed data'!A:O,15,0)</f>
        <v>$1739</v>
      </c>
      <c r="J1441" s="3">
        <f>VLOOKUP(Googleadssales[[#This Row],[Ad_ID]],'[1]pre processed data'!A:Q,17,0)</f>
        <v>45625</v>
      </c>
      <c r="K1441" t="str">
        <f>VLOOKUP(Googleadssales[[#This Row],[Ad_ID]],'[1]pre processed data'!A:R,18,0)</f>
        <v>Hyderabad</v>
      </c>
      <c r="L1441" t="str">
        <f>VLOOKUP(Googleadssales[[#This Row],[Ad_ID]],'[1]pre processed data'!A:S,19,0)</f>
        <v>Desktop</v>
      </c>
      <c r="M1441" t="str">
        <f>VLOOKUP(Googleadssales[[#This Row],[Ad_ID]],'[1]pre processed data'!A:T,20,0)</f>
        <v>data analytics course</v>
      </c>
    </row>
    <row r="1442" spans="1:13" x14ac:dyDescent="0.3">
      <c r="A1442" t="s">
        <v>1455</v>
      </c>
      <c r="B1442" t="s">
        <v>14</v>
      </c>
      <c r="C1442" s="4">
        <f>VLOOKUP(Googleadssales[[#This Row],[Ad_ID]],'[1]pre processed data'!A:C,3,0)</f>
        <v>112</v>
      </c>
      <c r="D1442" s="4">
        <f>VLOOKUP(Googleadssales[[#This Row],[Ad_ID]],'[1]pre processed data'!A:E,5,0)</f>
        <v>3961</v>
      </c>
      <c r="E1442" s="5" t="str">
        <f>VLOOKUP(Googleadssales[[#This Row],[Ad_ID]],[1]!Table3[[Ad_ID]:[Cost-imputed]],7,0)</f>
        <v>$214.45</v>
      </c>
      <c r="F1442" s="4">
        <f>VLOOKUP(Googleadssales[[#This Row],[Ad_ID]],'[1]pre processed data'!A:I,9,0)</f>
        <v>13</v>
      </c>
      <c r="G1442" s="4">
        <f>VLOOKUP(Googleadssales[[#This Row],[Ad_ID]],'[1]pre processed data'!A:K,11,0)</f>
        <v>7</v>
      </c>
      <c r="H1442" s="2">
        <f>Googleadssales[[#This Row],[Conversions]]/Googleadssales[[#This Row],[Clicks]]</f>
        <v>6.25E-2</v>
      </c>
      <c r="I1442" t="str">
        <f>VLOOKUP(Googleadssales[[#This Row],[Ad_ID]],'[1]pre processed data'!A:O,15,0)</f>
        <v>$1594</v>
      </c>
      <c r="J1442" s="3">
        <f>VLOOKUP(Googleadssales[[#This Row],[Ad_ID]],'[1]pre processed data'!A:Q,17,0)</f>
        <v>45613</v>
      </c>
      <c r="K1442" t="str">
        <f>VLOOKUP(Googleadssales[[#This Row],[Ad_ID]],'[1]pre processed data'!A:R,18,0)</f>
        <v>Hyderabad</v>
      </c>
      <c r="L1442" t="str">
        <f>VLOOKUP(Googleadssales[[#This Row],[Ad_ID]],'[1]pre processed data'!A:S,19,0)</f>
        <v>Desktop</v>
      </c>
      <c r="M1442" t="str">
        <f>VLOOKUP(Googleadssales[[#This Row],[Ad_ID]],'[1]pre processed data'!A:T,20,0)</f>
        <v>analytics for data</v>
      </c>
    </row>
    <row r="1443" spans="1:13" x14ac:dyDescent="0.3">
      <c r="A1443" t="s">
        <v>1456</v>
      </c>
      <c r="B1443" t="s">
        <v>14</v>
      </c>
      <c r="C1443" s="4">
        <f>VLOOKUP(Googleadssales[[#This Row],[Ad_ID]],'[1]pre processed data'!A:C,3,0)</f>
        <v>88</v>
      </c>
      <c r="D1443" s="4">
        <f>VLOOKUP(Googleadssales[[#This Row],[Ad_ID]],'[1]pre processed data'!A:E,5,0)</f>
        <v>5063</v>
      </c>
      <c r="E1443" s="5" t="str">
        <f>VLOOKUP(Googleadssales[[#This Row],[Ad_ID]],[1]!Table3[[Ad_ID]:[Cost-imputed]],7,0)</f>
        <v>$195.2</v>
      </c>
      <c r="F1443" s="4">
        <f>VLOOKUP(Googleadssales[[#This Row],[Ad_ID]],'[1]pre processed data'!A:I,9,0)</f>
        <v>22</v>
      </c>
      <c r="G1443" s="4">
        <f>VLOOKUP(Googleadssales[[#This Row],[Ad_ID]],'[1]pre processed data'!A:K,11,0)</f>
        <v>3</v>
      </c>
      <c r="H1443" s="2">
        <f>Googleadssales[[#This Row],[Conversions]]/Googleadssales[[#This Row],[Clicks]]</f>
        <v>3.4090909090909088E-2</v>
      </c>
      <c r="I1443" t="str">
        <f>VLOOKUP(Googleadssales[[#This Row],[Ad_ID]],'[1]pre processed data'!A:O,15,0)</f>
        <v>$1460</v>
      </c>
      <c r="J1443" s="3">
        <f>VLOOKUP(Googleadssales[[#This Row],[Ad_ID]],'[1]pre processed data'!A:Q,17,0)</f>
        <v>45616</v>
      </c>
      <c r="K1443" t="str">
        <f>VLOOKUP(Googleadssales[[#This Row],[Ad_ID]],'[1]pre processed data'!A:R,18,0)</f>
        <v>Hyderabad</v>
      </c>
      <c r="L1443" t="str">
        <f>VLOOKUP(Googleadssales[[#This Row],[Ad_ID]],'[1]pre processed data'!A:S,19,0)</f>
        <v>Mobile</v>
      </c>
      <c r="M1443" t="str">
        <f>VLOOKUP(Googleadssales[[#This Row],[Ad_ID]],'[1]pre processed data'!A:T,20,0)</f>
        <v>analytics for data</v>
      </c>
    </row>
    <row r="1444" spans="1:13" x14ac:dyDescent="0.3">
      <c r="A1444" t="s">
        <v>1457</v>
      </c>
      <c r="B1444" t="s">
        <v>18</v>
      </c>
      <c r="C1444" s="4">
        <f>VLOOKUP(Googleadssales[[#This Row],[Ad_ID]],'[1]pre processed data'!A:C,3,0)</f>
        <v>172</v>
      </c>
      <c r="D1444" s="4">
        <f>VLOOKUP(Googleadssales[[#This Row],[Ad_ID]],'[1]pre processed data'!A:E,5,0)</f>
        <v>5635</v>
      </c>
      <c r="E1444" s="5" t="str">
        <f>VLOOKUP(Googleadssales[[#This Row],[Ad_ID]],[1]!Table3[[Ad_ID]:[Cost-imputed]],7,0)</f>
        <v>$200.16</v>
      </c>
      <c r="F1444" s="4">
        <f>VLOOKUP(Googleadssales[[#This Row],[Ad_ID]],'[1]pre processed data'!A:I,9,0)</f>
        <v>21</v>
      </c>
      <c r="G1444" s="4">
        <f>VLOOKUP(Googleadssales[[#This Row],[Ad_ID]],'[1]pre processed data'!A:K,11,0)</f>
        <v>7</v>
      </c>
      <c r="H1444" s="2">
        <f>Googleadssales[[#This Row],[Conversions]]/Googleadssales[[#This Row],[Clicks]]</f>
        <v>4.0697674418604654E-2</v>
      </c>
      <c r="I1444" t="str">
        <f>VLOOKUP(Googleadssales[[#This Row],[Ad_ID]],'[1]pre processed data'!A:O,15,0)</f>
        <v>$1727</v>
      </c>
      <c r="J1444" s="3">
        <f>VLOOKUP(Googleadssales[[#This Row],[Ad_ID]],'[1]pre processed data'!A:Q,17,0)</f>
        <v>45610</v>
      </c>
      <c r="K1444" t="str">
        <f>VLOOKUP(Googleadssales[[#This Row],[Ad_ID]],'[1]pre processed data'!A:R,18,0)</f>
        <v>Chennai</v>
      </c>
      <c r="L1444" t="str">
        <f>VLOOKUP(Googleadssales[[#This Row],[Ad_ID]],'[1]pre processed data'!A:S,19,0)</f>
        <v>Mobile</v>
      </c>
      <c r="M1444" t="str">
        <f>VLOOKUP(Googleadssales[[#This Row],[Ad_ID]],'[1]pre processed data'!A:T,20,0)</f>
        <v>data analytics online</v>
      </c>
    </row>
    <row r="1445" spans="1:13" x14ac:dyDescent="0.3">
      <c r="A1445" t="s">
        <v>1458</v>
      </c>
      <c r="B1445" t="s">
        <v>18</v>
      </c>
      <c r="C1445" s="4">
        <f>VLOOKUP(Googleadssales[[#This Row],[Ad_ID]],'[1]pre processed data'!A:C,3,0)</f>
        <v>81</v>
      </c>
      <c r="D1445" s="4">
        <f>VLOOKUP(Googleadssales[[#This Row],[Ad_ID]],'[1]pre processed data'!A:E,5,0)</f>
        <v>4404</v>
      </c>
      <c r="E1445" s="5" t="str">
        <f>VLOOKUP(Googleadssales[[#This Row],[Ad_ID]],[1]!Table3[[Ad_ID]:[Cost-imputed]],7,0)</f>
        <v>$239.62</v>
      </c>
      <c r="F1445" s="4">
        <f>VLOOKUP(Googleadssales[[#This Row],[Ad_ID]],'[1]pre processed data'!A:I,9,0)</f>
        <v>11</v>
      </c>
      <c r="G1445" s="4">
        <f>VLOOKUP(Googleadssales[[#This Row],[Ad_ID]],'[1]pre processed data'!A:K,11,0)</f>
        <v>4</v>
      </c>
      <c r="H1445" s="2">
        <f>Googleadssales[[#This Row],[Conversions]]/Googleadssales[[#This Row],[Clicks]]</f>
        <v>4.9382716049382713E-2</v>
      </c>
      <c r="I1445" t="str">
        <f>VLOOKUP(Googleadssales[[#This Row],[Ad_ID]],'[1]pre processed data'!A:O,15,0)</f>
        <v>$1814</v>
      </c>
      <c r="J1445" s="3">
        <f>VLOOKUP(Googleadssales[[#This Row],[Ad_ID]],'[1]pre processed data'!A:Q,17,0)</f>
        <v>45617</v>
      </c>
      <c r="K1445" t="str">
        <f>VLOOKUP(Googleadssales[[#This Row],[Ad_ID]],'[1]pre processed data'!A:R,18,0)</f>
        <v>Bangaluru</v>
      </c>
      <c r="L1445" t="str">
        <f>VLOOKUP(Googleadssales[[#This Row],[Ad_ID]],'[1]pre processed data'!A:S,19,0)</f>
        <v>Mobile</v>
      </c>
      <c r="M1445" t="str">
        <f>VLOOKUP(Googleadssales[[#This Row],[Ad_ID]],'[1]pre processed data'!A:T,20,0)</f>
        <v>data analytics course</v>
      </c>
    </row>
    <row r="1446" spans="1:13" x14ac:dyDescent="0.3">
      <c r="A1446" t="s">
        <v>1459</v>
      </c>
      <c r="B1446" t="s">
        <v>14</v>
      </c>
      <c r="C1446" s="4">
        <f>VLOOKUP(Googleadssales[[#This Row],[Ad_ID]],'[1]pre processed data'!A:C,3,0)</f>
        <v>142</v>
      </c>
      <c r="D1446" s="4">
        <f>VLOOKUP(Googleadssales[[#This Row],[Ad_ID]],'[1]pre processed data'!A:E,5,0)</f>
        <v>4312</v>
      </c>
      <c r="E1446" s="5" t="str">
        <f>VLOOKUP(Googleadssales[[#This Row],[Ad_ID]],[1]!Table3[[Ad_ID]:[Cost-imputed]],7,0)</f>
        <v>$213.54</v>
      </c>
      <c r="F1446" s="4">
        <f>VLOOKUP(Googleadssales[[#This Row],[Ad_ID]],'[1]pre processed data'!A:I,9,0)</f>
        <v>21</v>
      </c>
      <c r="G1446" s="4">
        <f>VLOOKUP(Googleadssales[[#This Row],[Ad_ID]],'[1]pre processed data'!A:K,11,0)</f>
        <v>7</v>
      </c>
      <c r="H1446" s="2">
        <f>Googleadssales[[#This Row],[Conversions]]/Googleadssales[[#This Row],[Clicks]]</f>
        <v>4.9295774647887321E-2</v>
      </c>
      <c r="I1446" t="str">
        <f>VLOOKUP(Googleadssales[[#This Row],[Ad_ID]],'[1]pre processed data'!A:O,15,0)</f>
        <v>$1666</v>
      </c>
      <c r="J1446" s="3">
        <f>VLOOKUP(Googleadssales[[#This Row],[Ad_ID]],'[1]pre processed data'!A:Q,17,0)</f>
        <v>45616</v>
      </c>
      <c r="K1446" t="str">
        <f>VLOOKUP(Googleadssales[[#This Row],[Ad_ID]],'[1]pre processed data'!A:R,18,0)</f>
        <v>Hyderabad</v>
      </c>
      <c r="L1446" t="str">
        <f>VLOOKUP(Googleadssales[[#This Row],[Ad_ID]],'[1]pre processed data'!A:S,19,0)</f>
        <v>Desktop</v>
      </c>
      <c r="M1446" t="str">
        <f>VLOOKUP(Googleadssales[[#This Row],[Ad_ID]],'[1]pre processed data'!A:T,20,0)</f>
        <v>learn data analytics</v>
      </c>
    </row>
    <row r="1447" spans="1:13" x14ac:dyDescent="0.3">
      <c r="A1447" t="s">
        <v>1460</v>
      </c>
      <c r="B1447" t="s">
        <v>14</v>
      </c>
      <c r="C1447" s="4">
        <f>VLOOKUP(Googleadssales[[#This Row],[Ad_ID]],'[1]pre processed data'!A:C,3,0)</f>
        <v>111</v>
      </c>
      <c r="D1447" s="4">
        <f>VLOOKUP(Googleadssales[[#This Row],[Ad_ID]],'[1]pre processed data'!A:E,5,0)</f>
        <v>3302</v>
      </c>
      <c r="E1447" s="5" t="str">
        <f>VLOOKUP(Googleadssales[[#This Row],[Ad_ID]],[1]!Table3[[Ad_ID]:[Cost-imputed]],7,0)</f>
        <v>$193.18</v>
      </c>
      <c r="F1447" s="4">
        <f>VLOOKUP(Googleadssales[[#This Row],[Ad_ID]],'[1]pre processed data'!A:I,9,0)</f>
        <v>30</v>
      </c>
      <c r="G1447" s="4">
        <f>VLOOKUP(Googleadssales[[#This Row],[Ad_ID]],'[1]pre processed data'!A:K,11,0)</f>
        <v>10</v>
      </c>
      <c r="H1447" s="2">
        <f>Googleadssales[[#This Row],[Conversions]]/Googleadssales[[#This Row],[Clicks]]</f>
        <v>9.0090090090090086E-2</v>
      </c>
      <c r="I1447" t="str">
        <f>VLOOKUP(Googleadssales[[#This Row],[Ad_ID]],'[1]pre processed data'!A:O,15,0)</f>
        <v>$1783</v>
      </c>
      <c r="J1447" s="3">
        <f>VLOOKUP(Googleadssales[[#This Row],[Ad_ID]],'[1]pre processed data'!A:Q,17,0)</f>
        <v>45615</v>
      </c>
      <c r="K1447" t="str">
        <f>VLOOKUP(Googleadssales[[#This Row],[Ad_ID]],'[1]pre processed data'!A:R,18,0)</f>
        <v>Chennai</v>
      </c>
      <c r="L1447" t="str">
        <f>VLOOKUP(Googleadssales[[#This Row],[Ad_ID]],'[1]pre processed data'!A:S,19,0)</f>
        <v>Mobile</v>
      </c>
      <c r="M1447" t="str">
        <f>VLOOKUP(Googleadssales[[#This Row],[Ad_ID]],'[1]pre processed data'!A:T,20,0)</f>
        <v>analytics for data</v>
      </c>
    </row>
    <row r="1448" spans="1:13" x14ac:dyDescent="0.3">
      <c r="A1448" t="s">
        <v>1461</v>
      </c>
      <c r="B1448" t="s">
        <v>14</v>
      </c>
      <c r="C1448" s="4">
        <f>VLOOKUP(Googleadssales[[#This Row],[Ad_ID]],'[1]pre processed data'!A:C,3,0)</f>
        <v>81</v>
      </c>
      <c r="D1448" s="4">
        <f>VLOOKUP(Googleadssales[[#This Row],[Ad_ID]],'[1]pre processed data'!A:E,5,0)</f>
        <v>3575</v>
      </c>
      <c r="E1448" s="5" t="str">
        <f>VLOOKUP(Googleadssales[[#This Row],[Ad_ID]],[1]!Table3[[Ad_ID]:[Cost-imputed]],7,0)</f>
        <v>$192.71</v>
      </c>
      <c r="F1448" s="4">
        <f>VLOOKUP(Googleadssales[[#This Row],[Ad_ID]],'[1]pre processed data'!A:I,9,0)</f>
        <v>27</v>
      </c>
      <c r="G1448" s="4">
        <f>VLOOKUP(Googleadssales[[#This Row],[Ad_ID]],'[1]pre processed data'!A:K,11,0)</f>
        <v>4</v>
      </c>
      <c r="H1448" s="2">
        <f>Googleadssales[[#This Row],[Conversions]]/Googleadssales[[#This Row],[Clicks]]</f>
        <v>4.9382716049382713E-2</v>
      </c>
      <c r="I1448" t="str">
        <f>VLOOKUP(Googleadssales[[#This Row],[Ad_ID]],'[1]pre processed data'!A:O,15,0)</f>
        <v>$1158</v>
      </c>
      <c r="J1448" s="3">
        <f>VLOOKUP(Googleadssales[[#This Row],[Ad_ID]],'[1]pre processed data'!A:Q,17,0)</f>
        <v>45607</v>
      </c>
      <c r="K1448" t="str">
        <f>VLOOKUP(Googleadssales[[#This Row],[Ad_ID]],'[1]pre processed data'!A:R,18,0)</f>
        <v>Hyderabad</v>
      </c>
      <c r="L1448" t="str">
        <f>VLOOKUP(Googleadssales[[#This Row],[Ad_ID]],'[1]pre processed data'!A:S,19,0)</f>
        <v>Tablet</v>
      </c>
      <c r="M1448" t="str">
        <f>VLOOKUP(Googleadssales[[#This Row],[Ad_ID]],'[1]pre processed data'!A:T,20,0)</f>
        <v>online data analytic</v>
      </c>
    </row>
    <row r="1449" spans="1:13" x14ac:dyDescent="0.3">
      <c r="A1449" t="s">
        <v>1462</v>
      </c>
      <c r="B1449" t="s">
        <v>18</v>
      </c>
      <c r="C1449" s="4">
        <f>VLOOKUP(Googleadssales[[#This Row],[Ad_ID]],'[1]pre processed data'!A:C,3,0)</f>
        <v>112</v>
      </c>
      <c r="D1449" s="4">
        <f>VLOOKUP(Googleadssales[[#This Row],[Ad_ID]],'[1]pre processed data'!A:E,5,0)</f>
        <v>5055</v>
      </c>
      <c r="E1449" s="5" t="str">
        <f>VLOOKUP(Googleadssales[[#This Row],[Ad_ID]],[1]!Table3[[Ad_ID]:[Cost-imputed]],7,0)</f>
        <v>$213.36</v>
      </c>
      <c r="F1449" s="4">
        <f>VLOOKUP(Googleadssales[[#This Row],[Ad_ID]],'[1]pre processed data'!A:I,9,0)</f>
        <v>26</v>
      </c>
      <c r="G1449" s="4">
        <f>VLOOKUP(Googleadssales[[#This Row],[Ad_ID]],'[1]pre processed data'!A:K,11,0)</f>
        <v>5</v>
      </c>
      <c r="H1449" s="2">
        <f>Googleadssales[[#This Row],[Conversions]]/Googleadssales[[#This Row],[Clicks]]</f>
        <v>4.4642857142857144E-2</v>
      </c>
      <c r="I1449" t="str">
        <f>VLOOKUP(Googleadssales[[#This Row],[Ad_ID]],'[1]pre processed data'!A:O,15,0)</f>
        <v>$1959</v>
      </c>
      <c r="J1449" s="3">
        <f>VLOOKUP(Googleadssales[[#This Row],[Ad_ID]],'[1]pre processed data'!A:Q,17,0)</f>
        <v>45625</v>
      </c>
      <c r="K1449" t="str">
        <f>VLOOKUP(Googleadssales[[#This Row],[Ad_ID]],'[1]pre processed data'!A:R,18,0)</f>
        <v>Hyderabad</v>
      </c>
      <c r="L1449" t="str">
        <f>VLOOKUP(Googleadssales[[#This Row],[Ad_ID]],'[1]pre processed data'!A:S,19,0)</f>
        <v>Desktop</v>
      </c>
      <c r="M1449" t="str">
        <f>VLOOKUP(Googleadssales[[#This Row],[Ad_ID]],'[1]pre processed data'!A:T,20,0)</f>
        <v>data analytics training</v>
      </c>
    </row>
    <row r="1450" spans="1:13" x14ac:dyDescent="0.3">
      <c r="A1450" t="s">
        <v>1463</v>
      </c>
      <c r="B1450" t="s">
        <v>14</v>
      </c>
      <c r="C1450" s="4">
        <f>VLOOKUP(Googleadssales[[#This Row],[Ad_ID]],'[1]pre processed data'!A:C,3,0)</f>
        <v>101</v>
      </c>
      <c r="D1450" s="4">
        <f>VLOOKUP(Googleadssales[[#This Row],[Ad_ID]],'[1]pre processed data'!A:E,5,0)</f>
        <v>5415</v>
      </c>
      <c r="E1450" s="5" t="str">
        <f>VLOOKUP(Googleadssales[[#This Row],[Ad_ID]],[1]!Table3[[Ad_ID]:[Cost-imputed]],7,0)</f>
        <v>$236.41</v>
      </c>
      <c r="F1450" s="4">
        <f>VLOOKUP(Googleadssales[[#This Row],[Ad_ID]],'[1]pre processed data'!A:I,9,0)</f>
        <v>13</v>
      </c>
      <c r="G1450" s="4">
        <f>VLOOKUP(Googleadssales[[#This Row],[Ad_ID]],'[1]pre processed data'!A:K,11,0)</f>
        <v>10</v>
      </c>
      <c r="H1450" s="2">
        <f>Googleadssales[[#This Row],[Conversions]]/Googleadssales[[#This Row],[Clicks]]</f>
        <v>9.9009900990099015E-2</v>
      </c>
      <c r="I1450" t="str">
        <f>VLOOKUP(Googleadssales[[#This Row],[Ad_ID]],'[1]pre processed data'!A:O,15,0)</f>
        <v>$1832</v>
      </c>
      <c r="J1450" s="3">
        <f>VLOOKUP(Googleadssales[[#This Row],[Ad_ID]],'[1]pre processed data'!A:Q,17,0)</f>
        <v>45611</v>
      </c>
      <c r="K1450" t="str">
        <f>VLOOKUP(Googleadssales[[#This Row],[Ad_ID]],'[1]pre processed data'!A:R,18,0)</f>
        <v>Hyderabad</v>
      </c>
      <c r="L1450" t="str">
        <f>VLOOKUP(Googleadssales[[#This Row],[Ad_ID]],'[1]pre processed data'!A:S,19,0)</f>
        <v>Tablet</v>
      </c>
      <c r="M1450" t="str">
        <f>VLOOKUP(Googleadssales[[#This Row],[Ad_ID]],'[1]pre processed data'!A:T,20,0)</f>
        <v>learn data analytics</v>
      </c>
    </row>
    <row r="1451" spans="1:13" x14ac:dyDescent="0.3">
      <c r="A1451" t="s">
        <v>1464</v>
      </c>
      <c r="B1451" t="s">
        <v>14</v>
      </c>
      <c r="C1451" s="4">
        <f>VLOOKUP(Googleadssales[[#This Row],[Ad_ID]],'[1]pre processed data'!A:C,3,0)</f>
        <v>166</v>
      </c>
      <c r="D1451" s="4">
        <f>VLOOKUP(Googleadssales[[#This Row],[Ad_ID]],'[1]pre processed data'!A:E,5,0)</f>
        <v>3118</v>
      </c>
      <c r="E1451" s="5" t="str">
        <f>VLOOKUP(Googleadssales[[#This Row],[Ad_ID]],[1]!Table3[[Ad_ID]:[Cost-imputed]],7,0)</f>
        <v>$212.46</v>
      </c>
      <c r="F1451" s="4">
        <f>VLOOKUP(Googleadssales[[#This Row],[Ad_ID]],'[1]pre processed data'!A:I,9,0)</f>
        <v>25</v>
      </c>
      <c r="G1451" s="4">
        <f>VLOOKUP(Googleadssales[[#This Row],[Ad_ID]],'[1]pre processed data'!A:K,11,0)</f>
        <v>7</v>
      </c>
      <c r="H1451" s="2">
        <f>Googleadssales[[#This Row],[Conversions]]/Googleadssales[[#This Row],[Clicks]]</f>
        <v>4.2168674698795178E-2</v>
      </c>
      <c r="I1451" t="str">
        <f>VLOOKUP(Googleadssales[[#This Row],[Ad_ID]],'[1]pre processed data'!A:O,15,0)</f>
        <v>$1813</v>
      </c>
      <c r="J1451" s="3">
        <f>VLOOKUP(Googleadssales[[#This Row],[Ad_ID]],'[1]pre processed data'!A:Q,17,0)</f>
        <v>45610</v>
      </c>
      <c r="K1451" t="str">
        <f>VLOOKUP(Googleadssales[[#This Row],[Ad_ID]],'[1]pre processed data'!A:R,18,0)</f>
        <v>Hyderabad</v>
      </c>
      <c r="L1451" t="str">
        <f>VLOOKUP(Googleadssales[[#This Row],[Ad_ID]],'[1]pre processed data'!A:S,19,0)</f>
        <v>Tablet</v>
      </c>
      <c r="M1451" t="str">
        <f>VLOOKUP(Googleadssales[[#This Row],[Ad_ID]],'[1]pre processed data'!A:T,20,0)</f>
        <v>online data analytic</v>
      </c>
    </row>
    <row r="1452" spans="1:13" x14ac:dyDescent="0.3">
      <c r="A1452" t="s">
        <v>1465</v>
      </c>
      <c r="B1452" t="s">
        <v>14</v>
      </c>
      <c r="C1452" s="4">
        <f>VLOOKUP(Googleadssales[[#This Row],[Ad_ID]],'[1]pre processed data'!A:C,3,0)</f>
        <v>138.95699356913184</v>
      </c>
      <c r="D1452" s="4">
        <f>VLOOKUP(Googleadssales[[#This Row],[Ad_ID]],'[1]pre processed data'!A:E,5,0)</f>
        <v>5271</v>
      </c>
      <c r="E1452" s="5" t="str">
        <f>VLOOKUP(Googleadssales[[#This Row],[Ad_ID]],[1]!Table3[[Ad_ID]:[Cost-imputed]],7,0)</f>
        <v>$200.00</v>
      </c>
      <c r="F1452" s="4">
        <f>VLOOKUP(Googleadssales[[#This Row],[Ad_ID]],'[1]pre processed data'!A:I,9,0)</f>
        <v>14</v>
      </c>
      <c r="G1452" s="4">
        <f>VLOOKUP(Googleadssales[[#This Row],[Ad_ID]],'[1]pre processed data'!A:K,11,0)</f>
        <v>8</v>
      </c>
      <c r="H1452" s="2">
        <f>Googleadssales[[#This Row],[Conversions]]/Googleadssales[[#This Row],[Clicks]]</f>
        <v>5.7571769469954438E-2</v>
      </c>
      <c r="I1452" t="str">
        <f>VLOOKUP(Googleadssales[[#This Row],[Ad_ID]],'[1]pre processed data'!A:O,15,0)</f>
        <v>$1629</v>
      </c>
      <c r="J1452" s="3">
        <f>VLOOKUP(Googleadssales[[#This Row],[Ad_ID]],'[1]pre processed data'!A:Q,17,0)</f>
        <v>45618</v>
      </c>
      <c r="K1452" t="str">
        <f>VLOOKUP(Googleadssales[[#This Row],[Ad_ID]],'[1]pre processed data'!A:R,18,0)</f>
        <v>Hyderabad</v>
      </c>
      <c r="L1452" t="str">
        <f>VLOOKUP(Googleadssales[[#This Row],[Ad_ID]],'[1]pre processed data'!A:S,19,0)</f>
        <v>Mobile</v>
      </c>
      <c r="M1452" t="str">
        <f>VLOOKUP(Googleadssales[[#This Row],[Ad_ID]],'[1]pre processed data'!A:T,20,0)</f>
        <v>data analytics online</v>
      </c>
    </row>
    <row r="1453" spans="1:13" x14ac:dyDescent="0.3">
      <c r="A1453" t="s">
        <v>1466</v>
      </c>
      <c r="B1453" t="s">
        <v>18</v>
      </c>
      <c r="C1453" s="4">
        <f>VLOOKUP(Googleadssales[[#This Row],[Ad_ID]],'[1]pre processed data'!A:C,3,0)</f>
        <v>148</v>
      </c>
      <c r="D1453" s="4">
        <f>VLOOKUP(Googleadssales[[#This Row],[Ad_ID]],'[1]pre processed data'!A:E,5,0)</f>
        <v>4523.2808326787117</v>
      </c>
      <c r="E1453" s="5" t="str">
        <f>VLOOKUP(Googleadssales[[#This Row],[Ad_ID]],[1]!Table3[[Ad_ID]:[Cost-imputed]],7,0)</f>
        <v>$214.26</v>
      </c>
      <c r="F1453" s="4">
        <f>VLOOKUP(Googleadssales[[#This Row],[Ad_ID]],'[1]pre processed data'!A:I,9,0)</f>
        <v>21</v>
      </c>
      <c r="G1453" s="4">
        <f>VLOOKUP(Googleadssales[[#This Row],[Ad_ID]],'[1]pre processed data'!A:K,11,0)</f>
        <v>8</v>
      </c>
      <c r="H1453" s="2">
        <f>Googleadssales[[#This Row],[Conversions]]/Googleadssales[[#This Row],[Clicks]]</f>
        <v>5.4054054054054057E-2</v>
      </c>
      <c r="I1453" t="str">
        <f>VLOOKUP(Googleadssales[[#This Row],[Ad_ID]],'[1]pre processed data'!A:O,15,0)</f>
        <v>$1629</v>
      </c>
      <c r="J1453" s="3">
        <f>VLOOKUP(Googleadssales[[#This Row],[Ad_ID]],'[1]pre processed data'!A:Q,17,0)</f>
        <v>45609</v>
      </c>
      <c r="K1453" t="str">
        <f>VLOOKUP(Googleadssales[[#This Row],[Ad_ID]],'[1]pre processed data'!A:R,18,0)</f>
        <v>Hyderabad</v>
      </c>
      <c r="L1453" t="str">
        <f>VLOOKUP(Googleadssales[[#This Row],[Ad_ID]],'[1]pre processed data'!A:S,19,0)</f>
        <v>Tablet</v>
      </c>
      <c r="M1453" t="str">
        <f>VLOOKUP(Googleadssales[[#This Row],[Ad_ID]],'[1]pre processed data'!A:T,20,0)</f>
        <v>data analytics online</v>
      </c>
    </row>
    <row r="1454" spans="1:13" x14ac:dyDescent="0.3">
      <c r="A1454" t="s">
        <v>1467</v>
      </c>
      <c r="B1454" t="s">
        <v>18</v>
      </c>
      <c r="C1454" s="4">
        <f>VLOOKUP(Googleadssales[[#This Row],[Ad_ID]],'[1]pre processed data'!A:C,3,0)</f>
        <v>126</v>
      </c>
      <c r="D1454" s="4">
        <f>VLOOKUP(Googleadssales[[#This Row],[Ad_ID]],'[1]pre processed data'!A:E,5,0)</f>
        <v>5250</v>
      </c>
      <c r="E1454" s="5" t="str">
        <f>VLOOKUP(Googleadssales[[#This Row],[Ad_ID]],[1]!Table3[[Ad_ID]:[Cost-imputed]],7,0)</f>
        <v>$239.73</v>
      </c>
      <c r="F1454" s="4">
        <f>VLOOKUP(Googleadssales[[#This Row],[Ad_ID]],'[1]pre processed data'!A:I,9,0)</f>
        <v>30</v>
      </c>
      <c r="G1454" s="4">
        <f>VLOOKUP(Googleadssales[[#This Row],[Ad_ID]],'[1]pre processed data'!A:K,11,0)</f>
        <v>4</v>
      </c>
      <c r="H1454" s="2">
        <f>Googleadssales[[#This Row],[Conversions]]/Googleadssales[[#This Row],[Clicks]]</f>
        <v>3.1746031746031744E-2</v>
      </c>
      <c r="I1454" t="str">
        <f>VLOOKUP(Googleadssales[[#This Row],[Ad_ID]],'[1]pre processed data'!A:O,15,0)</f>
        <v>$1070</v>
      </c>
      <c r="J1454" s="3">
        <f>VLOOKUP(Googleadssales[[#This Row],[Ad_ID]],'[1]pre processed data'!A:Q,17,0)</f>
        <v>45619</v>
      </c>
      <c r="K1454" t="str">
        <f>VLOOKUP(Googleadssales[[#This Row],[Ad_ID]],'[1]pre processed data'!A:R,18,0)</f>
        <v>Bangaluru</v>
      </c>
      <c r="L1454" t="str">
        <f>VLOOKUP(Googleadssales[[#This Row],[Ad_ID]],'[1]pre processed data'!A:S,19,0)</f>
        <v>Tablet</v>
      </c>
      <c r="M1454" t="str">
        <f>VLOOKUP(Googleadssales[[#This Row],[Ad_ID]],'[1]pre processed data'!A:T,20,0)</f>
        <v>analytics for data</v>
      </c>
    </row>
    <row r="1455" spans="1:13" x14ac:dyDescent="0.3">
      <c r="A1455" t="s">
        <v>1468</v>
      </c>
      <c r="B1455" t="s">
        <v>14</v>
      </c>
      <c r="C1455" s="4">
        <f>VLOOKUP(Googleadssales[[#This Row],[Ad_ID]],'[1]pre processed data'!A:C,3,0)</f>
        <v>119</v>
      </c>
      <c r="D1455" s="4">
        <f>VLOOKUP(Googleadssales[[#This Row],[Ad_ID]],'[1]pre processed data'!A:E,5,0)</f>
        <v>4405</v>
      </c>
      <c r="E1455" s="5" t="str">
        <f>VLOOKUP(Googleadssales[[#This Row],[Ad_ID]],[1]!Table3[[Ad_ID]:[Cost-imputed]],7,0)</f>
        <v>$233.66</v>
      </c>
      <c r="F1455" s="4">
        <f>VLOOKUP(Googleadssales[[#This Row],[Ad_ID]],'[1]pre processed data'!A:I,9,0)</f>
        <v>25</v>
      </c>
      <c r="G1455" s="4">
        <f>VLOOKUP(Googleadssales[[#This Row],[Ad_ID]],'[1]pre processed data'!A:K,11,0)</f>
        <v>3</v>
      </c>
      <c r="H1455" s="2">
        <f>Googleadssales[[#This Row],[Conversions]]/Googleadssales[[#This Row],[Clicks]]</f>
        <v>2.5210084033613446E-2</v>
      </c>
      <c r="I1455" t="str">
        <f>VLOOKUP(Googleadssales[[#This Row],[Ad_ID]],'[1]pre processed data'!A:O,15,0)</f>
        <v>$1407</v>
      </c>
      <c r="J1455" s="3">
        <f>VLOOKUP(Googleadssales[[#This Row],[Ad_ID]],'[1]pre processed data'!A:Q,17,0)</f>
        <v>45608</v>
      </c>
      <c r="K1455" t="str">
        <f>VLOOKUP(Googleadssales[[#This Row],[Ad_ID]],'[1]pre processed data'!A:R,18,0)</f>
        <v>Hyderabad</v>
      </c>
      <c r="L1455" t="str">
        <f>VLOOKUP(Googleadssales[[#This Row],[Ad_ID]],'[1]pre processed data'!A:S,19,0)</f>
        <v>Desktop</v>
      </c>
      <c r="M1455" t="str">
        <f>VLOOKUP(Googleadssales[[#This Row],[Ad_ID]],'[1]pre processed data'!A:T,20,0)</f>
        <v>data analytics course</v>
      </c>
    </row>
    <row r="1456" spans="1:13" x14ac:dyDescent="0.3">
      <c r="A1456" t="s">
        <v>1469</v>
      </c>
      <c r="B1456" t="s">
        <v>14</v>
      </c>
      <c r="C1456" s="4">
        <f>VLOOKUP(Googleadssales[[#This Row],[Ad_ID]],'[1]pre processed data'!A:C,3,0)</f>
        <v>189</v>
      </c>
      <c r="D1456" s="4">
        <f>VLOOKUP(Googleadssales[[#This Row],[Ad_ID]],'[1]pre processed data'!A:E,5,0)</f>
        <v>5060</v>
      </c>
      <c r="E1456" s="5" t="str">
        <f>VLOOKUP(Googleadssales[[#This Row],[Ad_ID]],[1]!Table3[[Ad_ID]:[Cost-imputed]],7,0)</f>
        <v>$236.54</v>
      </c>
      <c r="F1456" s="4">
        <f>VLOOKUP(Googleadssales[[#This Row],[Ad_ID]],'[1]pre processed data'!A:I,9,0)</f>
        <v>26</v>
      </c>
      <c r="G1456" s="4">
        <f>VLOOKUP(Googleadssales[[#This Row],[Ad_ID]],'[1]pre processed data'!A:K,11,0)</f>
        <v>7</v>
      </c>
      <c r="H1456" s="2">
        <f>Googleadssales[[#This Row],[Conversions]]/Googleadssales[[#This Row],[Clicks]]</f>
        <v>3.7037037037037035E-2</v>
      </c>
      <c r="I1456" t="str">
        <f>VLOOKUP(Googleadssales[[#This Row],[Ad_ID]],'[1]pre processed data'!A:O,15,0)</f>
        <v>$1877</v>
      </c>
      <c r="J1456" s="3">
        <f>VLOOKUP(Googleadssales[[#This Row],[Ad_ID]],'[1]pre processed data'!A:Q,17,0)</f>
        <v>45606</v>
      </c>
      <c r="K1456" t="str">
        <f>VLOOKUP(Googleadssales[[#This Row],[Ad_ID]],'[1]pre processed data'!A:R,18,0)</f>
        <v>Chennai</v>
      </c>
      <c r="L1456" t="str">
        <f>VLOOKUP(Googleadssales[[#This Row],[Ad_ID]],'[1]pre processed data'!A:S,19,0)</f>
        <v>Mobile</v>
      </c>
      <c r="M1456" t="str">
        <f>VLOOKUP(Googleadssales[[#This Row],[Ad_ID]],'[1]pre processed data'!A:T,20,0)</f>
        <v>data analytics training</v>
      </c>
    </row>
    <row r="1457" spans="1:13" x14ac:dyDescent="0.3">
      <c r="A1457" t="s">
        <v>1470</v>
      </c>
      <c r="B1457" t="s">
        <v>14</v>
      </c>
      <c r="C1457" s="4">
        <f>VLOOKUP(Googleadssales[[#This Row],[Ad_ID]],'[1]pre processed data'!A:C,3,0)</f>
        <v>167</v>
      </c>
      <c r="D1457" s="4">
        <f>VLOOKUP(Googleadssales[[#This Row],[Ad_ID]],'[1]pre processed data'!A:E,5,0)</f>
        <v>3296</v>
      </c>
      <c r="E1457" s="5" t="str">
        <f>VLOOKUP(Googleadssales[[#This Row],[Ad_ID]],[1]!Table3[[Ad_ID]:[Cost-imputed]],7,0)</f>
        <v>$246.85</v>
      </c>
      <c r="F1457" s="4">
        <f>VLOOKUP(Googleadssales[[#This Row],[Ad_ID]],'[1]pre processed data'!A:I,9,0)</f>
        <v>29</v>
      </c>
      <c r="G1457" s="4">
        <f>VLOOKUP(Googleadssales[[#This Row],[Ad_ID]],'[1]pre processed data'!A:K,11,0)</f>
        <v>8</v>
      </c>
      <c r="H1457" s="2">
        <f>Googleadssales[[#This Row],[Conversions]]/Googleadssales[[#This Row],[Clicks]]</f>
        <v>4.790419161676647E-2</v>
      </c>
      <c r="I1457" t="str">
        <f>VLOOKUP(Googleadssales[[#This Row],[Ad_ID]],'[1]pre processed data'!A:O,15,0)</f>
        <v>$1723</v>
      </c>
      <c r="J1457" s="3">
        <f>VLOOKUP(Googleadssales[[#This Row],[Ad_ID]],'[1]pre processed data'!A:Q,17,0)</f>
        <v>45613</v>
      </c>
      <c r="K1457" t="str">
        <f>VLOOKUP(Googleadssales[[#This Row],[Ad_ID]],'[1]pre processed data'!A:R,18,0)</f>
        <v>Bangaluru</v>
      </c>
      <c r="L1457" t="str">
        <f>VLOOKUP(Googleadssales[[#This Row],[Ad_ID]],'[1]pre processed data'!A:S,19,0)</f>
        <v>Desktop</v>
      </c>
      <c r="M1457" t="str">
        <f>VLOOKUP(Googleadssales[[#This Row],[Ad_ID]],'[1]pre processed data'!A:T,20,0)</f>
        <v>data analytics online</v>
      </c>
    </row>
    <row r="1458" spans="1:13" x14ac:dyDescent="0.3">
      <c r="A1458" t="s">
        <v>1471</v>
      </c>
      <c r="B1458" t="s">
        <v>18</v>
      </c>
      <c r="C1458" s="4">
        <f>VLOOKUP(Googleadssales[[#This Row],[Ad_ID]],'[1]pre processed data'!A:C,3,0)</f>
        <v>198</v>
      </c>
      <c r="D1458" s="4">
        <f>VLOOKUP(Googleadssales[[#This Row],[Ad_ID]],'[1]pre processed data'!A:E,5,0)</f>
        <v>3499</v>
      </c>
      <c r="E1458" s="5" t="str">
        <f>VLOOKUP(Googleadssales[[#This Row],[Ad_ID]],[1]!Table3[[Ad_ID]:[Cost-imputed]],7,0)</f>
        <v>$209.74</v>
      </c>
      <c r="F1458" s="4">
        <f>VLOOKUP(Googleadssales[[#This Row],[Ad_ID]],'[1]pre processed data'!A:I,9,0)</f>
        <v>30</v>
      </c>
      <c r="G1458" s="4">
        <f>VLOOKUP(Googleadssales[[#This Row],[Ad_ID]],'[1]pre processed data'!A:K,11,0)</f>
        <v>9</v>
      </c>
      <c r="H1458" s="2">
        <f>Googleadssales[[#This Row],[Conversions]]/Googleadssales[[#This Row],[Clicks]]</f>
        <v>4.5454545454545456E-2</v>
      </c>
      <c r="I1458" t="str">
        <f>VLOOKUP(Googleadssales[[#This Row],[Ad_ID]],'[1]pre processed data'!A:O,15,0)</f>
        <v>$1893</v>
      </c>
      <c r="J1458" s="3">
        <f>VLOOKUP(Googleadssales[[#This Row],[Ad_ID]],'[1]pre processed data'!A:Q,17,0)</f>
        <v>45621</v>
      </c>
      <c r="K1458" t="str">
        <f>VLOOKUP(Googleadssales[[#This Row],[Ad_ID]],'[1]pre processed data'!A:R,18,0)</f>
        <v>Hyderabad</v>
      </c>
      <c r="L1458" t="str">
        <f>VLOOKUP(Googleadssales[[#This Row],[Ad_ID]],'[1]pre processed data'!A:S,19,0)</f>
        <v>Desktop</v>
      </c>
      <c r="M1458" t="str">
        <f>VLOOKUP(Googleadssales[[#This Row],[Ad_ID]],'[1]pre processed data'!A:T,20,0)</f>
        <v>data analytics course</v>
      </c>
    </row>
    <row r="1459" spans="1:13" x14ac:dyDescent="0.3">
      <c r="A1459" t="s">
        <v>1472</v>
      </c>
      <c r="B1459" t="s">
        <v>14</v>
      </c>
      <c r="C1459" s="4">
        <f>VLOOKUP(Googleadssales[[#This Row],[Ad_ID]],'[1]pre processed data'!A:C,3,0)</f>
        <v>95</v>
      </c>
      <c r="D1459" s="4">
        <f>VLOOKUP(Googleadssales[[#This Row],[Ad_ID]],'[1]pre processed data'!A:E,5,0)</f>
        <v>3449</v>
      </c>
      <c r="E1459" s="5" t="str">
        <f>VLOOKUP(Googleadssales[[#This Row],[Ad_ID]],[1]!Table3[[Ad_ID]:[Cost-imputed]],7,0)</f>
        <v>$184.55</v>
      </c>
      <c r="F1459" s="4">
        <f>VLOOKUP(Googleadssales[[#This Row],[Ad_ID]],'[1]pre processed data'!A:I,9,0)</f>
        <v>10</v>
      </c>
      <c r="G1459" s="4">
        <f>VLOOKUP(Googleadssales[[#This Row],[Ad_ID]],'[1]pre processed data'!A:K,11,0)</f>
        <v>10</v>
      </c>
      <c r="H1459" s="2">
        <f>Googleadssales[[#This Row],[Conversions]]/Googleadssales[[#This Row],[Clicks]]</f>
        <v>0.10526315789473684</v>
      </c>
      <c r="I1459" t="str">
        <f>VLOOKUP(Googleadssales[[#This Row],[Ad_ID]],'[1]pre processed data'!A:O,15,0)</f>
        <v>$1601</v>
      </c>
      <c r="J1459" s="3">
        <f>VLOOKUP(Googleadssales[[#This Row],[Ad_ID]],'[1]pre processed data'!A:Q,17,0)</f>
        <v>45612</v>
      </c>
      <c r="K1459" t="str">
        <f>VLOOKUP(Googleadssales[[#This Row],[Ad_ID]],'[1]pre processed data'!A:R,18,0)</f>
        <v>Hyderabad</v>
      </c>
      <c r="L1459" t="str">
        <f>VLOOKUP(Googleadssales[[#This Row],[Ad_ID]],'[1]pre processed data'!A:S,19,0)</f>
        <v>Mobile</v>
      </c>
      <c r="M1459" t="str">
        <f>VLOOKUP(Googleadssales[[#This Row],[Ad_ID]],'[1]pre processed data'!A:T,20,0)</f>
        <v>analytics for data</v>
      </c>
    </row>
    <row r="1460" spans="1:13" x14ac:dyDescent="0.3">
      <c r="A1460" t="s">
        <v>1473</v>
      </c>
      <c r="B1460" t="s">
        <v>14</v>
      </c>
      <c r="C1460" s="4">
        <f>VLOOKUP(Googleadssales[[#This Row],[Ad_ID]],'[1]pre processed data'!A:C,3,0)</f>
        <v>181</v>
      </c>
      <c r="D1460" s="4">
        <f>VLOOKUP(Googleadssales[[#This Row],[Ad_ID]],'[1]pre processed data'!A:E,5,0)</f>
        <v>3738</v>
      </c>
      <c r="E1460" s="5" t="str">
        <f>VLOOKUP(Googleadssales[[#This Row],[Ad_ID]],[1]!Table3[[Ad_ID]:[Cost-imputed]],7,0)</f>
        <v>$206.61</v>
      </c>
      <c r="F1460" s="4">
        <f>VLOOKUP(Googleadssales[[#This Row],[Ad_ID]],'[1]pre processed data'!A:I,9,0)</f>
        <v>16</v>
      </c>
      <c r="G1460" s="4">
        <f>VLOOKUP(Googleadssales[[#This Row],[Ad_ID]],'[1]pre processed data'!A:K,11,0)</f>
        <v>9</v>
      </c>
      <c r="H1460" s="2">
        <f>Googleadssales[[#This Row],[Conversions]]/Googleadssales[[#This Row],[Clicks]]</f>
        <v>4.9723756906077346E-2</v>
      </c>
      <c r="I1460" t="str">
        <f>VLOOKUP(Googleadssales[[#This Row],[Ad_ID]],'[1]pre processed data'!A:O,15,0)</f>
        <v>$1868</v>
      </c>
      <c r="J1460" s="3">
        <f>VLOOKUP(Googleadssales[[#This Row],[Ad_ID]],'[1]pre processed data'!A:Q,17,0)</f>
        <v>45605</v>
      </c>
      <c r="K1460" t="str">
        <f>VLOOKUP(Googleadssales[[#This Row],[Ad_ID]],'[1]pre processed data'!A:R,18,0)</f>
        <v>Hyderabad</v>
      </c>
      <c r="L1460" t="str">
        <f>VLOOKUP(Googleadssales[[#This Row],[Ad_ID]],'[1]pre processed data'!A:S,19,0)</f>
        <v>Mobile</v>
      </c>
      <c r="M1460" t="str">
        <f>VLOOKUP(Googleadssales[[#This Row],[Ad_ID]],'[1]pre processed data'!A:T,20,0)</f>
        <v>online data analytic</v>
      </c>
    </row>
    <row r="1461" spans="1:13" x14ac:dyDescent="0.3">
      <c r="A1461" t="s">
        <v>1474</v>
      </c>
      <c r="B1461" t="s">
        <v>14</v>
      </c>
      <c r="C1461" s="4">
        <f>VLOOKUP(Googleadssales[[#This Row],[Ad_ID]],'[1]pre processed data'!A:C,3,0)</f>
        <v>105</v>
      </c>
      <c r="D1461" s="4">
        <f>VLOOKUP(Googleadssales[[#This Row],[Ad_ID]],'[1]pre processed data'!A:E,5,0)</f>
        <v>4236</v>
      </c>
      <c r="E1461" s="5" t="str">
        <f>VLOOKUP(Googleadssales[[#This Row],[Ad_ID]],[1]!Table3[[Ad_ID]:[Cost-imputed]],7,0)</f>
        <v>$180.2</v>
      </c>
      <c r="F1461" s="4">
        <f>VLOOKUP(Googleadssales[[#This Row],[Ad_ID]],'[1]pre processed data'!A:I,9,0)</f>
        <v>12</v>
      </c>
      <c r="G1461" s="4">
        <f>VLOOKUP(Googleadssales[[#This Row],[Ad_ID]],'[1]pre processed data'!A:K,11,0)</f>
        <v>7</v>
      </c>
      <c r="H1461" s="2">
        <f>Googleadssales[[#This Row],[Conversions]]/Googleadssales[[#This Row],[Clicks]]</f>
        <v>6.6666666666666666E-2</v>
      </c>
      <c r="I1461" t="str">
        <f>VLOOKUP(Googleadssales[[#This Row],[Ad_ID]],'[1]pre processed data'!A:O,15,0)</f>
        <v>$1500</v>
      </c>
      <c r="J1461" s="3">
        <f>VLOOKUP(Googleadssales[[#This Row],[Ad_ID]],'[1]pre processed data'!A:Q,17,0)</f>
        <v>45620</v>
      </c>
      <c r="K1461" t="str">
        <f>VLOOKUP(Googleadssales[[#This Row],[Ad_ID]],'[1]pre processed data'!A:R,18,0)</f>
        <v>Chennai</v>
      </c>
      <c r="L1461" t="str">
        <f>VLOOKUP(Googleadssales[[#This Row],[Ad_ID]],'[1]pre processed data'!A:S,19,0)</f>
        <v>Mobile</v>
      </c>
      <c r="M1461" t="str">
        <f>VLOOKUP(Googleadssales[[#This Row],[Ad_ID]],'[1]pre processed data'!A:T,20,0)</f>
        <v>learn data analytics</v>
      </c>
    </row>
    <row r="1462" spans="1:13" x14ac:dyDescent="0.3">
      <c r="A1462" t="s">
        <v>1475</v>
      </c>
      <c r="B1462" t="s">
        <v>14</v>
      </c>
      <c r="C1462" s="4">
        <f>VLOOKUP(Googleadssales[[#This Row],[Ad_ID]],'[1]pre processed data'!A:C,3,0)</f>
        <v>178</v>
      </c>
      <c r="D1462" s="4">
        <f>VLOOKUP(Googleadssales[[#This Row],[Ad_ID]],'[1]pre processed data'!A:E,5,0)</f>
        <v>5751</v>
      </c>
      <c r="E1462" s="5" t="str">
        <f>VLOOKUP(Googleadssales[[#This Row],[Ad_ID]],[1]!Table3[[Ad_ID]:[Cost-imputed]],7,0)</f>
        <v>$205.34</v>
      </c>
      <c r="F1462" s="4">
        <f>VLOOKUP(Googleadssales[[#This Row],[Ad_ID]],'[1]pre processed data'!A:I,9,0)</f>
        <v>24</v>
      </c>
      <c r="G1462" s="4">
        <f>VLOOKUP(Googleadssales[[#This Row],[Ad_ID]],'[1]pre processed data'!A:K,11,0)</f>
        <v>10</v>
      </c>
      <c r="H1462" s="2">
        <f>Googleadssales[[#This Row],[Conversions]]/Googleadssales[[#This Row],[Clicks]]</f>
        <v>5.6179775280898875E-2</v>
      </c>
      <c r="I1462" t="str">
        <f>VLOOKUP(Googleadssales[[#This Row],[Ad_ID]],'[1]pre processed data'!A:O,15,0)</f>
        <v>$1903</v>
      </c>
      <c r="J1462" s="3">
        <f>VLOOKUP(Googleadssales[[#This Row],[Ad_ID]],'[1]pre processed data'!A:Q,17,0)</f>
        <v>45616</v>
      </c>
      <c r="K1462" t="str">
        <f>VLOOKUP(Googleadssales[[#This Row],[Ad_ID]],'[1]pre processed data'!A:R,18,0)</f>
        <v>Hyderabad</v>
      </c>
      <c r="L1462" t="str">
        <f>VLOOKUP(Googleadssales[[#This Row],[Ad_ID]],'[1]pre processed data'!A:S,19,0)</f>
        <v>Desktop</v>
      </c>
      <c r="M1462" t="str">
        <f>VLOOKUP(Googleadssales[[#This Row],[Ad_ID]],'[1]pre processed data'!A:T,20,0)</f>
        <v>data analytics course</v>
      </c>
    </row>
    <row r="1463" spans="1:13" x14ac:dyDescent="0.3">
      <c r="A1463" t="s">
        <v>1476</v>
      </c>
      <c r="B1463" t="s">
        <v>18</v>
      </c>
      <c r="C1463" s="4">
        <f>VLOOKUP(Googleadssales[[#This Row],[Ad_ID]],'[1]pre processed data'!A:C,3,0)</f>
        <v>127</v>
      </c>
      <c r="D1463" s="4">
        <f>VLOOKUP(Googleadssales[[#This Row],[Ad_ID]],'[1]pre processed data'!A:E,5,0)</f>
        <v>5050</v>
      </c>
      <c r="E1463" s="5" t="str">
        <f>VLOOKUP(Googleadssales[[#This Row],[Ad_ID]],[1]!Table3[[Ad_ID]:[Cost-imputed]],7,0)</f>
        <v>$184.77</v>
      </c>
      <c r="F1463" s="4">
        <f>VLOOKUP(Googleadssales[[#This Row],[Ad_ID]],'[1]pre processed data'!A:I,9,0)</f>
        <v>28</v>
      </c>
      <c r="G1463" s="4">
        <f>VLOOKUP(Googleadssales[[#This Row],[Ad_ID]],'[1]pre processed data'!A:K,11,0)</f>
        <v>9</v>
      </c>
      <c r="H1463" s="2">
        <f>Googleadssales[[#This Row],[Conversions]]/Googleadssales[[#This Row],[Clicks]]</f>
        <v>7.0866141732283464E-2</v>
      </c>
      <c r="I1463" t="str">
        <f>VLOOKUP(Googleadssales[[#This Row],[Ad_ID]],'[1]pre processed data'!A:O,15,0)</f>
        <v>$1906</v>
      </c>
      <c r="J1463" s="3">
        <f>VLOOKUP(Googleadssales[[#This Row],[Ad_ID]],'[1]pre processed data'!A:Q,17,0)</f>
        <v>45598</v>
      </c>
      <c r="K1463" t="str">
        <f>VLOOKUP(Googleadssales[[#This Row],[Ad_ID]],'[1]pre processed data'!A:R,18,0)</f>
        <v>Chennai</v>
      </c>
      <c r="L1463" t="str">
        <f>VLOOKUP(Googleadssales[[#This Row],[Ad_ID]],'[1]pre processed data'!A:S,19,0)</f>
        <v>Desktop</v>
      </c>
      <c r="M1463" t="str">
        <f>VLOOKUP(Googleadssales[[#This Row],[Ad_ID]],'[1]pre processed data'!A:T,20,0)</f>
        <v>data analytics online</v>
      </c>
    </row>
    <row r="1464" spans="1:13" x14ac:dyDescent="0.3">
      <c r="A1464" t="s">
        <v>1477</v>
      </c>
      <c r="B1464" t="s">
        <v>14</v>
      </c>
      <c r="C1464" s="4">
        <f>VLOOKUP(Googleadssales[[#This Row],[Ad_ID]],'[1]pre processed data'!A:C,3,0)</f>
        <v>198</v>
      </c>
      <c r="D1464" s="4">
        <f>VLOOKUP(Googleadssales[[#This Row],[Ad_ID]],'[1]pre processed data'!A:E,5,0)</f>
        <v>4773</v>
      </c>
      <c r="E1464" s="5" t="str">
        <f>VLOOKUP(Googleadssales[[#This Row],[Ad_ID]],[1]!Table3[[Ad_ID]:[Cost-imputed]],7,0)</f>
        <v>$202.54</v>
      </c>
      <c r="F1464" s="4">
        <f>VLOOKUP(Googleadssales[[#This Row],[Ad_ID]],'[1]pre processed data'!A:I,9,0)</f>
        <v>17</v>
      </c>
      <c r="G1464" s="4">
        <f>VLOOKUP(Googleadssales[[#This Row],[Ad_ID]],'[1]pre processed data'!A:K,11,0)</f>
        <v>10</v>
      </c>
      <c r="H1464" s="2">
        <f>Googleadssales[[#This Row],[Conversions]]/Googleadssales[[#This Row],[Clicks]]</f>
        <v>5.0505050505050504E-2</v>
      </c>
      <c r="I1464" t="str">
        <f>VLOOKUP(Googleadssales[[#This Row],[Ad_ID]],'[1]pre processed data'!A:O,15,0)</f>
        <v>$1082</v>
      </c>
      <c r="J1464" s="3">
        <f>VLOOKUP(Googleadssales[[#This Row],[Ad_ID]],'[1]pre processed data'!A:Q,17,0)</f>
        <v>45615</v>
      </c>
      <c r="K1464" t="str">
        <f>VLOOKUP(Googleadssales[[#This Row],[Ad_ID]],'[1]pre processed data'!A:R,18,0)</f>
        <v>Bangaluru</v>
      </c>
      <c r="L1464" t="str">
        <f>VLOOKUP(Googleadssales[[#This Row],[Ad_ID]],'[1]pre processed data'!A:S,19,0)</f>
        <v>Mobile</v>
      </c>
      <c r="M1464" t="str">
        <f>VLOOKUP(Googleadssales[[#This Row],[Ad_ID]],'[1]pre processed data'!A:T,20,0)</f>
        <v>data analytics online</v>
      </c>
    </row>
    <row r="1465" spans="1:13" x14ac:dyDescent="0.3">
      <c r="A1465" t="s">
        <v>1478</v>
      </c>
      <c r="B1465" t="s">
        <v>18</v>
      </c>
      <c r="C1465" s="4">
        <f>VLOOKUP(Googleadssales[[#This Row],[Ad_ID]],'[1]pre processed data'!A:C,3,0)</f>
        <v>86</v>
      </c>
      <c r="D1465" s="4">
        <f>VLOOKUP(Googleadssales[[#This Row],[Ad_ID]],'[1]pre processed data'!A:E,5,0)</f>
        <v>5652</v>
      </c>
      <c r="E1465" s="5" t="str">
        <f>VLOOKUP(Googleadssales[[#This Row],[Ad_ID]],[1]!Table3[[Ad_ID]:[Cost-imputed]],7,0)</f>
        <v>$249.13</v>
      </c>
      <c r="F1465" s="4">
        <f>VLOOKUP(Googleadssales[[#This Row],[Ad_ID]],'[1]pre processed data'!A:I,9,0)</f>
        <v>25</v>
      </c>
      <c r="G1465" s="4">
        <f>VLOOKUP(Googleadssales[[#This Row],[Ad_ID]],'[1]pre processed data'!A:K,11,0)</f>
        <v>7</v>
      </c>
      <c r="H1465" s="2">
        <f>Googleadssales[[#This Row],[Conversions]]/Googleadssales[[#This Row],[Clicks]]</f>
        <v>8.1395348837209308E-2</v>
      </c>
      <c r="I1465" t="str">
        <f>VLOOKUP(Googleadssales[[#This Row],[Ad_ID]],'[1]pre processed data'!A:O,15,0)</f>
        <v>$1981</v>
      </c>
      <c r="J1465" s="3">
        <f>VLOOKUP(Googleadssales[[#This Row],[Ad_ID]],'[1]pre processed data'!A:Q,17,0)</f>
        <v>45602</v>
      </c>
      <c r="K1465" t="str">
        <f>VLOOKUP(Googleadssales[[#This Row],[Ad_ID]],'[1]pre processed data'!A:R,18,0)</f>
        <v>Hyderabad</v>
      </c>
      <c r="L1465" t="str">
        <f>VLOOKUP(Googleadssales[[#This Row],[Ad_ID]],'[1]pre processed data'!A:S,19,0)</f>
        <v>Mobile</v>
      </c>
      <c r="M1465" t="str">
        <f>VLOOKUP(Googleadssales[[#This Row],[Ad_ID]],'[1]pre processed data'!A:T,20,0)</f>
        <v>data analytics training</v>
      </c>
    </row>
    <row r="1466" spans="1:13" x14ac:dyDescent="0.3">
      <c r="A1466" t="s">
        <v>1479</v>
      </c>
      <c r="B1466" t="s">
        <v>14</v>
      </c>
      <c r="C1466" s="4">
        <f>VLOOKUP(Googleadssales[[#This Row],[Ad_ID]],'[1]pre processed data'!A:C,3,0)</f>
        <v>138.95699356913184</v>
      </c>
      <c r="D1466" s="4">
        <f>VLOOKUP(Googleadssales[[#This Row],[Ad_ID]],'[1]pre processed data'!A:E,5,0)</f>
        <v>5085</v>
      </c>
      <c r="E1466" s="5" t="str">
        <f>VLOOKUP(Googleadssales[[#This Row],[Ad_ID]],[1]!Table3[[Ad_ID]:[Cost-imputed]],7,0)</f>
        <v>$182.42</v>
      </c>
      <c r="F1466" s="4">
        <f>VLOOKUP(Googleadssales[[#This Row],[Ad_ID]],'[1]pre processed data'!A:I,9,0)</f>
        <v>11</v>
      </c>
      <c r="G1466" s="4">
        <f>VLOOKUP(Googleadssales[[#This Row],[Ad_ID]],'[1]pre processed data'!A:K,11,0)</f>
        <v>7</v>
      </c>
      <c r="H1466" s="2">
        <f>Googleadssales[[#This Row],[Conversions]]/Googleadssales[[#This Row],[Clicks]]</f>
        <v>5.0375298286210138E-2</v>
      </c>
      <c r="I1466" t="str">
        <f>VLOOKUP(Googleadssales[[#This Row],[Ad_ID]],'[1]pre processed data'!A:O,15,0)</f>
        <v>$1109</v>
      </c>
      <c r="J1466" s="3">
        <f>VLOOKUP(Googleadssales[[#This Row],[Ad_ID]],'[1]pre processed data'!A:Q,17,0)</f>
        <v>45600</v>
      </c>
      <c r="K1466" t="str">
        <f>VLOOKUP(Googleadssales[[#This Row],[Ad_ID]],'[1]pre processed data'!A:R,18,0)</f>
        <v>Bangaluru</v>
      </c>
      <c r="L1466" t="str">
        <f>VLOOKUP(Googleadssales[[#This Row],[Ad_ID]],'[1]pre processed data'!A:S,19,0)</f>
        <v>Desktop</v>
      </c>
      <c r="M1466" t="str">
        <f>VLOOKUP(Googleadssales[[#This Row],[Ad_ID]],'[1]pre processed data'!A:T,20,0)</f>
        <v>online data analytic</v>
      </c>
    </row>
    <row r="1467" spans="1:13" x14ac:dyDescent="0.3">
      <c r="A1467" t="s">
        <v>1480</v>
      </c>
      <c r="B1467" t="s">
        <v>14</v>
      </c>
      <c r="C1467" s="4">
        <f>VLOOKUP(Googleadssales[[#This Row],[Ad_ID]],'[1]pre processed data'!A:C,3,0)</f>
        <v>191</v>
      </c>
      <c r="D1467" s="4">
        <f>VLOOKUP(Googleadssales[[#This Row],[Ad_ID]],'[1]pre processed data'!A:E,5,0)</f>
        <v>5070</v>
      </c>
      <c r="E1467" s="5" t="str">
        <f>VLOOKUP(Googleadssales[[#This Row],[Ad_ID]],[1]!Table3[[Ad_ID]:[Cost-imputed]],7,0)</f>
        <v>$247.41</v>
      </c>
      <c r="F1467" s="4">
        <f>VLOOKUP(Googleadssales[[#This Row],[Ad_ID]],'[1]pre processed data'!A:I,9,0)</f>
        <v>12</v>
      </c>
      <c r="G1467" s="4">
        <f>VLOOKUP(Googleadssales[[#This Row],[Ad_ID]],'[1]pre processed data'!A:K,11,0)</f>
        <v>4</v>
      </c>
      <c r="H1467" s="2">
        <f>Googleadssales[[#This Row],[Conversions]]/Googleadssales[[#This Row],[Clicks]]</f>
        <v>2.0942408376963352E-2</v>
      </c>
      <c r="I1467" t="str">
        <f>VLOOKUP(Googleadssales[[#This Row],[Ad_ID]],'[1]pre processed data'!A:O,15,0)</f>
        <v>$1266</v>
      </c>
      <c r="J1467" s="3">
        <f>VLOOKUP(Googleadssales[[#This Row],[Ad_ID]],'[1]pre processed data'!A:Q,17,0)</f>
        <v>45621</v>
      </c>
      <c r="K1467" t="str">
        <f>VLOOKUP(Googleadssales[[#This Row],[Ad_ID]],'[1]pre processed data'!A:R,18,0)</f>
        <v>Hyderabad</v>
      </c>
      <c r="L1467" t="str">
        <f>VLOOKUP(Googleadssales[[#This Row],[Ad_ID]],'[1]pre processed data'!A:S,19,0)</f>
        <v>Mobile</v>
      </c>
      <c r="M1467" t="str">
        <f>VLOOKUP(Googleadssales[[#This Row],[Ad_ID]],'[1]pre processed data'!A:T,20,0)</f>
        <v>analytics for data</v>
      </c>
    </row>
    <row r="1468" spans="1:13" x14ac:dyDescent="0.3">
      <c r="A1468" t="s">
        <v>1481</v>
      </c>
      <c r="B1468" t="s">
        <v>18</v>
      </c>
      <c r="C1468" s="4">
        <f>VLOOKUP(Googleadssales[[#This Row],[Ad_ID]],'[1]pre processed data'!A:C,3,0)</f>
        <v>139</v>
      </c>
      <c r="D1468" s="4">
        <f>VLOOKUP(Googleadssales[[#This Row],[Ad_ID]],'[1]pre processed data'!A:E,5,0)</f>
        <v>5879</v>
      </c>
      <c r="E1468" s="5" t="str">
        <f>VLOOKUP(Googleadssales[[#This Row],[Ad_ID]],[1]!Table3[[Ad_ID]:[Cost-imputed]],7,0)</f>
        <v>$197.9</v>
      </c>
      <c r="F1468" s="4">
        <f>VLOOKUP(Googleadssales[[#This Row],[Ad_ID]],'[1]pre processed data'!A:I,9,0)</f>
        <v>24</v>
      </c>
      <c r="G1468" s="4">
        <f>VLOOKUP(Googleadssales[[#This Row],[Ad_ID]],'[1]pre processed data'!A:K,11,0)</f>
        <v>4</v>
      </c>
      <c r="H1468" s="2">
        <f>Googleadssales[[#This Row],[Conversions]]/Googleadssales[[#This Row],[Clicks]]</f>
        <v>2.8776978417266189E-2</v>
      </c>
      <c r="I1468" t="str">
        <f>VLOOKUP(Googleadssales[[#This Row],[Ad_ID]],'[1]pre processed data'!A:O,15,0)</f>
        <v>$1476</v>
      </c>
      <c r="J1468" s="3">
        <f>VLOOKUP(Googleadssales[[#This Row],[Ad_ID]],'[1]pre processed data'!A:Q,17,0)</f>
        <v>45601</v>
      </c>
      <c r="K1468" t="str">
        <f>VLOOKUP(Googleadssales[[#This Row],[Ad_ID]],'[1]pre processed data'!A:R,18,0)</f>
        <v>Hyderabad</v>
      </c>
      <c r="L1468" t="str">
        <f>VLOOKUP(Googleadssales[[#This Row],[Ad_ID]],'[1]pre processed data'!A:S,19,0)</f>
        <v>Mobile</v>
      </c>
      <c r="M1468" t="str">
        <f>VLOOKUP(Googleadssales[[#This Row],[Ad_ID]],'[1]pre processed data'!A:T,20,0)</f>
        <v>data analytics course</v>
      </c>
    </row>
    <row r="1469" spans="1:13" x14ac:dyDescent="0.3">
      <c r="A1469" t="s">
        <v>1482</v>
      </c>
      <c r="B1469" t="s">
        <v>14</v>
      </c>
      <c r="C1469" s="4">
        <f>VLOOKUP(Googleadssales[[#This Row],[Ad_ID]],'[1]pre processed data'!A:C,3,0)</f>
        <v>197</v>
      </c>
      <c r="D1469" s="4">
        <f>VLOOKUP(Googleadssales[[#This Row],[Ad_ID]],'[1]pre processed data'!A:E,5,0)</f>
        <v>3620</v>
      </c>
      <c r="E1469" s="5" t="str">
        <f>VLOOKUP(Googleadssales[[#This Row],[Ad_ID]],[1]!Table3[[Ad_ID]:[Cost-imputed]],7,0)</f>
        <v>$235.19</v>
      </c>
      <c r="F1469" s="4">
        <f>VLOOKUP(Googleadssales[[#This Row],[Ad_ID]],'[1]pre processed data'!A:I,9,0)</f>
        <v>18</v>
      </c>
      <c r="G1469" s="4">
        <f>VLOOKUP(Googleadssales[[#This Row],[Ad_ID]],'[1]pre processed data'!A:K,11,0)</f>
        <v>7</v>
      </c>
      <c r="H1469" s="2">
        <f>Googleadssales[[#This Row],[Conversions]]/Googleadssales[[#This Row],[Clicks]]</f>
        <v>3.553299492385787E-2</v>
      </c>
      <c r="I1469" t="str">
        <f>VLOOKUP(Googleadssales[[#This Row],[Ad_ID]],'[1]pre processed data'!A:O,15,0)</f>
        <v>$1740</v>
      </c>
      <c r="J1469" s="3">
        <f>VLOOKUP(Googleadssales[[#This Row],[Ad_ID]],'[1]pre processed data'!A:Q,17,0)</f>
        <v>45597</v>
      </c>
      <c r="K1469" t="str">
        <f>VLOOKUP(Googleadssales[[#This Row],[Ad_ID]],'[1]pre processed data'!A:R,18,0)</f>
        <v>Bangaluru</v>
      </c>
      <c r="L1469" t="str">
        <f>VLOOKUP(Googleadssales[[#This Row],[Ad_ID]],'[1]pre processed data'!A:S,19,0)</f>
        <v>Mobile</v>
      </c>
      <c r="M1469" t="str">
        <f>VLOOKUP(Googleadssales[[#This Row],[Ad_ID]],'[1]pre processed data'!A:T,20,0)</f>
        <v>online data analytic</v>
      </c>
    </row>
    <row r="1470" spans="1:13" x14ac:dyDescent="0.3">
      <c r="A1470" t="s">
        <v>1483</v>
      </c>
      <c r="B1470" t="s">
        <v>14</v>
      </c>
      <c r="C1470" s="4">
        <f>VLOOKUP(Googleadssales[[#This Row],[Ad_ID]],'[1]pre processed data'!A:C,3,0)</f>
        <v>116</v>
      </c>
      <c r="D1470" s="4">
        <f>VLOOKUP(Googleadssales[[#This Row],[Ad_ID]],'[1]pre processed data'!A:E,5,0)</f>
        <v>4250</v>
      </c>
      <c r="E1470" s="5" t="str">
        <f>VLOOKUP(Googleadssales[[#This Row],[Ad_ID]],[1]!Table3[[Ad_ID]:[Cost-imputed]],7,0)</f>
        <v>$216.66</v>
      </c>
      <c r="F1470" s="4">
        <f>VLOOKUP(Googleadssales[[#This Row],[Ad_ID]],'[1]pre processed data'!A:I,9,0)</f>
        <v>10</v>
      </c>
      <c r="G1470" s="4">
        <f>VLOOKUP(Googleadssales[[#This Row],[Ad_ID]],'[1]pre processed data'!A:K,11,0)</f>
        <v>9</v>
      </c>
      <c r="H1470" s="2">
        <f>Googleadssales[[#This Row],[Conversions]]/Googleadssales[[#This Row],[Clicks]]</f>
        <v>7.7586206896551727E-2</v>
      </c>
      <c r="I1470" t="str">
        <f>VLOOKUP(Googleadssales[[#This Row],[Ad_ID]],'[1]pre processed data'!A:O,15,0)</f>
        <v>$1877</v>
      </c>
      <c r="J1470" s="3">
        <f>VLOOKUP(Googleadssales[[#This Row],[Ad_ID]],'[1]pre processed data'!A:Q,17,0)</f>
        <v>45598</v>
      </c>
      <c r="K1470" t="str">
        <f>VLOOKUP(Googleadssales[[#This Row],[Ad_ID]],'[1]pre processed data'!A:R,18,0)</f>
        <v>Chennai</v>
      </c>
      <c r="L1470" t="str">
        <f>VLOOKUP(Googleadssales[[#This Row],[Ad_ID]],'[1]pre processed data'!A:S,19,0)</f>
        <v>Mobile</v>
      </c>
      <c r="M1470" t="str">
        <f>VLOOKUP(Googleadssales[[#This Row],[Ad_ID]],'[1]pre processed data'!A:T,20,0)</f>
        <v>data analytics training</v>
      </c>
    </row>
    <row r="1471" spans="1:13" x14ac:dyDescent="0.3">
      <c r="A1471" t="s">
        <v>1484</v>
      </c>
      <c r="B1471" t="s">
        <v>14</v>
      </c>
      <c r="C1471" s="4">
        <f>VLOOKUP(Googleadssales[[#This Row],[Ad_ID]],'[1]pre processed data'!A:C,3,0)</f>
        <v>192</v>
      </c>
      <c r="D1471" s="4">
        <f>VLOOKUP(Googleadssales[[#This Row],[Ad_ID]],'[1]pre processed data'!A:E,5,0)</f>
        <v>4850</v>
      </c>
      <c r="E1471" s="5" t="str">
        <f>VLOOKUP(Googleadssales[[#This Row],[Ad_ID]],[1]!Table3[[Ad_ID]:[Cost-imputed]],7,0)</f>
        <v>$235.42</v>
      </c>
      <c r="F1471" s="4">
        <f>VLOOKUP(Googleadssales[[#This Row],[Ad_ID]],'[1]pre processed data'!A:I,9,0)</f>
        <v>22</v>
      </c>
      <c r="G1471" s="4">
        <f>VLOOKUP(Googleadssales[[#This Row],[Ad_ID]],'[1]pre processed data'!A:K,11,0)</f>
        <v>10</v>
      </c>
      <c r="H1471" s="2">
        <f>Googleadssales[[#This Row],[Conversions]]/Googleadssales[[#This Row],[Clicks]]</f>
        <v>5.2083333333333336E-2</v>
      </c>
      <c r="I1471" t="str">
        <f>VLOOKUP(Googleadssales[[#This Row],[Ad_ID]],'[1]pre processed data'!A:O,15,0)</f>
        <v>$1124</v>
      </c>
      <c r="J1471" s="3">
        <f>VLOOKUP(Googleadssales[[#This Row],[Ad_ID]],'[1]pre processed data'!A:Q,17,0)</f>
        <v>45610</v>
      </c>
      <c r="K1471" t="str">
        <f>VLOOKUP(Googleadssales[[#This Row],[Ad_ID]],'[1]pre processed data'!A:R,18,0)</f>
        <v>Bangaluru</v>
      </c>
      <c r="L1471" t="str">
        <f>VLOOKUP(Googleadssales[[#This Row],[Ad_ID]],'[1]pre processed data'!A:S,19,0)</f>
        <v>Desktop</v>
      </c>
      <c r="M1471" t="str">
        <f>VLOOKUP(Googleadssales[[#This Row],[Ad_ID]],'[1]pre processed data'!A:T,20,0)</f>
        <v>analytics for data</v>
      </c>
    </row>
    <row r="1472" spans="1:13" x14ac:dyDescent="0.3">
      <c r="A1472" t="s">
        <v>1485</v>
      </c>
      <c r="B1472" t="s">
        <v>14</v>
      </c>
      <c r="C1472" s="4">
        <f>VLOOKUP(Googleadssales[[#This Row],[Ad_ID]],'[1]pre processed data'!A:C,3,0)</f>
        <v>118</v>
      </c>
      <c r="D1472" s="4">
        <f>VLOOKUP(Googleadssales[[#This Row],[Ad_ID]],'[1]pre processed data'!A:E,5,0)</f>
        <v>3815</v>
      </c>
      <c r="E1472" s="5" t="str">
        <f>VLOOKUP(Googleadssales[[#This Row],[Ad_ID]],[1]!Table3[[Ad_ID]:[Cost-imputed]],7,0)</f>
        <v>$185.78</v>
      </c>
      <c r="F1472" s="4">
        <f>VLOOKUP(Googleadssales[[#This Row],[Ad_ID]],'[1]pre processed data'!A:I,9,0)</f>
        <v>16</v>
      </c>
      <c r="G1472" s="4">
        <f>VLOOKUP(Googleadssales[[#This Row],[Ad_ID]],'[1]pre processed data'!A:K,11,0)</f>
        <v>4</v>
      </c>
      <c r="H1472" s="2">
        <f>Googleadssales[[#This Row],[Conversions]]/Googleadssales[[#This Row],[Clicks]]</f>
        <v>3.3898305084745763E-2</v>
      </c>
      <c r="I1472" t="str">
        <f>VLOOKUP(Googleadssales[[#This Row],[Ad_ID]],'[1]pre processed data'!A:O,15,0)</f>
        <v>$1093</v>
      </c>
      <c r="J1472" s="3">
        <f>VLOOKUP(Googleadssales[[#This Row],[Ad_ID]],'[1]pre processed data'!A:Q,17,0)</f>
        <v>45613</v>
      </c>
      <c r="K1472" t="str">
        <f>VLOOKUP(Googleadssales[[#This Row],[Ad_ID]],'[1]pre processed data'!A:R,18,0)</f>
        <v>Hyderabad</v>
      </c>
      <c r="L1472" t="str">
        <f>VLOOKUP(Googleadssales[[#This Row],[Ad_ID]],'[1]pre processed data'!A:S,19,0)</f>
        <v>Desktop</v>
      </c>
      <c r="M1472" t="str">
        <f>VLOOKUP(Googleadssales[[#This Row],[Ad_ID]],'[1]pre processed data'!A:T,20,0)</f>
        <v>data analytics online</v>
      </c>
    </row>
    <row r="1473" spans="1:13" x14ac:dyDescent="0.3">
      <c r="A1473" t="s">
        <v>1486</v>
      </c>
      <c r="B1473" t="s">
        <v>14</v>
      </c>
      <c r="C1473" s="4">
        <f>VLOOKUP(Googleadssales[[#This Row],[Ad_ID]],'[1]pre processed data'!A:C,3,0)</f>
        <v>172</v>
      </c>
      <c r="D1473" s="4">
        <f>VLOOKUP(Googleadssales[[#This Row],[Ad_ID]],'[1]pre processed data'!A:E,5,0)</f>
        <v>5741</v>
      </c>
      <c r="E1473" s="5" t="str">
        <f>VLOOKUP(Googleadssales[[#This Row],[Ad_ID]],[1]!Table3[[Ad_ID]:[Cost-imputed]],7,0)</f>
        <v>$198.44</v>
      </c>
      <c r="F1473" s="4">
        <f>VLOOKUP(Googleadssales[[#This Row],[Ad_ID]],'[1]pre processed data'!A:I,9,0)</f>
        <v>14</v>
      </c>
      <c r="G1473" s="4">
        <f>VLOOKUP(Googleadssales[[#This Row],[Ad_ID]],'[1]pre processed data'!A:K,11,0)</f>
        <v>4</v>
      </c>
      <c r="H1473" s="2">
        <f>Googleadssales[[#This Row],[Conversions]]/Googleadssales[[#This Row],[Clicks]]</f>
        <v>2.3255813953488372E-2</v>
      </c>
      <c r="I1473" t="str">
        <f>VLOOKUP(Googleadssales[[#This Row],[Ad_ID]],'[1]pre processed data'!A:O,15,0)</f>
        <v>$1755</v>
      </c>
      <c r="J1473" s="3">
        <f>VLOOKUP(Googleadssales[[#This Row],[Ad_ID]],'[1]pre processed data'!A:Q,17,0)</f>
        <v>45607</v>
      </c>
      <c r="K1473" t="str">
        <f>VLOOKUP(Googleadssales[[#This Row],[Ad_ID]],'[1]pre processed data'!A:R,18,0)</f>
        <v>Chennai</v>
      </c>
      <c r="L1473" t="str">
        <f>VLOOKUP(Googleadssales[[#This Row],[Ad_ID]],'[1]pre processed data'!A:S,19,0)</f>
        <v>Desktop</v>
      </c>
      <c r="M1473" t="str">
        <f>VLOOKUP(Googleadssales[[#This Row],[Ad_ID]],'[1]pre processed data'!A:T,20,0)</f>
        <v>analytics for data</v>
      </c>
    </row>
    <row r="1474" spans="1:13" x14ac:dyDescent="0.3">
      <c r="A1474" t="s">
        <v>1487</v>
      </c>
      <c r="B1474" t="s">
        <v>14</v>
      </c>
      <c r="C1474" s="4">
        <f>VLOOKUP(Googleadssales[[#This Row],[Ad_ID]],'[1]pre processed data'!A:C,3,0)</f>
        <v>174</v>
      </c>
      <c r="D1474" s="4">
        <f>VLOOKUP(Googleadssales[[#This Row],[Ad_ID]],'[1]pre processed data'!A:E,5,0)</f>
        <v>4272</v>
      </c>
      <c r="E1474" s="5" t="str">
        <f>VLOOKUP(Googleadssales[[#This Row],[Ad_ID]],[1]!Table3[[Ad_ID]:[Cost-imputed]],7,0)</f>
        <v>$240.77</v>
      </c>
      <c r="F1474" s="4">
        <f>VLOOKUP(Googleadssales[[#This Row],[Ad_ID]],'[1]pre processed data'!A:I,9,0)</f>
        <v>16</v>
      </c>
      <c r="G1474" s="4">
        <f>VLOOKUP(Googleadssales[[#This Row],[Ad_ID]],'[1]pre processed data'!A:K,11,0)</f>
        <v>7</v>
      </c>
      <c r="H1474" s="2">
        <f>Googleadssales[[#This Row],[Conversions]]/Googleadssales[[#This Row],[Clicks]]</f>
        <v>4.0229885057471264E-2</v>
      </c>
      <c r="I1474" t="str">
        <f>VLOOKUP(Googleadssales[[#This Row],[Ad_ID]],'[1]pre processed data'!A:O,15,0)</f>
        <v>$1004</v>
      </c>
      <c r="J1474" s="3">
        <f>VLOOKUP(Googleadssales[[#This Row],[Ad_ID]],'[1]pre processed data'!A:Q,17,0)</f>
        <v>45619</v>
      </c>
      <c r="K1474" t="str">
        <f>VLOOKUP(Googleadssales[[#This Row],[Ad_ID]],'[1]pre processed data'!A:R,18,0)</f>
        <v>Bangaluru</v>
      </c>
      <c r="L1474" t="str">
        <f>VLOOKUP(Googleadssales[[#This Row],[Ad_ID]],'[1]pre processed data'!A:S,19,0)</f>
        <v>Desktop</v>
      </c>
      <c r="M1474" t="str">
        <f>VLOOKUP(Googleadssales[[#This Row],[Ad_ID]],'[1]pre processed data'!A:T,20,0)</f>
        <v>learn data analytics</v>
      </c>
    </row>
    <row r="1475" spans="1:13" x14ac:dyDescent="0.3">
      <c r="A1475" t="s">
        <v>1488</v>
      </c>
      <c r="B1475" t="s">
        <v>14</v>
      </c>
      <c r="C1475" s="4">
        <f>VLOOKUP(Googleadssales[[#This Row],[Ad_ID]],'[1]pre processed data'!A:C,3,0)</f>
        <v>175</v>
      </c>
      <c r="D1475" s="4">
        <f>VLOOKUP(Googleadssales[[#This Row],[Ad_ID]],'[1]pre processed data'!A:E,5,0)</f>
        <v>4974</v>
      </c>
      <c r="E1475" s="5" t="str">
        <f>VLOOKUP(Googleadssales[[#This Row],[Ad_ID]],[1]!Table3[[Ad_ID]:[Cost-imputed]],7,0)</f>
        <v>$182.22</v>
      </c>
      <c r="F1475" s="4">
        <f>VLOOKUP(Googleadssales[[#This Row],[Ad_ID]],'[1]pre processed data'!A:I,9,0)</f>
        <v>21</v>
      </c>
      <c r="G1475" s="4">
        <f>VLOOKUP(Googleadssales[[#This Row],[Ad_ID]],'[1]pre processed data'!A:K,11,0)</f>
        <v>5</v>
      </c>
      <c r="H1475" s="2">
        <f>Googleadssales[[#This Row],[Conversions]]/Googleadssales[[#This Row],[Clicks]]</f>
        <v>2.8571428571428571E-2</v>
      </c>
      <c r="I1475" t="str">
        <f>VLOOKUP(Googleadssales[[#This Row],[Ad_ID]],'[1]pre processed data'!A:O,15,0)</f>
        <v>$1300</v>
      </c>
      <c r="J1475" s="3">
        <f>VLOOKUP(Googleadssales[[#This Row],[Ad_ID]],'[1]pre processed data'!A:Q,17,0)</f>
        <v>45619</v>
      </c>
      <c r="K1475" t="str">
        <f>VLOOKUP(Googleadssales[[#This Row],[Ad_ID]],'[1]pre processed data'!A:R,18,0)</f>
        <v>Chennai</v>
      </c>
      <c r="L1475" t="str">
        <f>VLOOKUP(Googleadssales[[#This Row],[Ad_ID]],'[1]pre processed data'!A:S,19,0)</f>
        <v>Mobile</v>
      </c>
      <c r="M1475" t="str">
        <f>VLOOKUP(Googleadssales[[#This Row],[Ad_ID]],'[1]pre processed data'!A:T,20,0)</f>
        <v>learn data analytics</v>
      </c>
    </row>
    <row r="1476" spans="1:13" x14ac:dyDescent="0.3">
      <c r="A1476" t="s">
        <v>1489</v>
      </c>
      <c r="B1476" t="s">
        <v>18</v>
      </c>
      <c r="C1476" s="4">
        <f>VLOOKUP(Googleadssales[[#This Row],[Ad_ID]],'[1]pre processed data'!A:C,3,0)</f>
        <v>138.95699356913184</v>
      </c>
      <c r="D1476" s="4">
        <f>VLOOKUP(Googleadssales[[#This Row],[Ad_ID]],'[1]pre processed data'!A:E,5,0)</f>
        <v>3215</v>
      </c>
      <c r="E1476" s="5" t="str">
        <f>VLOOKUP(Googleadssales[[#This Row],[Ad_ID]],[1]!Table3[[Ad_ID]:[Cost-imputed]],7,0)</f>
        <v>$191.22</v>
      </c>
      <c r="F1476" s="4">
        <f>VLOOKUP(Googleadssales[[#This Row],[Ad_ID]],'[1]pre processed data'!A:I,9,0)</f>
        <v>30</v>
      </c>
      <c r="G1476" s="4">
        <f>VLOOKUP(Googleadssales[[#This Row],[Ad_ID]],'[1]pre processed data'!A:K,11,0)</f>
        <v>7</v>
      </c>
      <c r="H1476" s="2">
        <f>Googleadssales[[#This Row],[Conversions]]/Googleadssales[[#This Row],[Clicks]]</f>
        <v>5.0375298286210138E-2</v>
      </c>
      <c r="I1476" t="str">
        <f>VLOOKUP(Googleadssales[[#This Row],[Ad_ID]],'[1]pre processed data'!A:O,15,0)</f>
        <v>$1588</v>
      </c>
      <c r="J1476" s="3">
        <f>VLOOKUP(Googleadssales[[#This Row],[Ad_ID]],'[1]pre processed data'!A:Q,17,0)</f>
        <v>45619</v>
      </c>
      <c r="K1476" t="str">
        <f>VLOOKUP(Googleadssales[[#This Row],[Ad_ID]],'[1]pre processed data'!A:R,18,0)</f>
        <v>Hyderabad</v>
      </c>
      <c r="L1476" t="str">
        <f>VLOOKUP(Googleadssales[[#This Row],[Ad_ID]],'[1]pre processed data'!A:S,19,0)</f>
        <v>Desktop</v>
      </c>
      <c r="M1476" t="str">
        <f>VLOOKUP(Googleadssales[[#This Row],[Ad_ID]],'[1]pre processed data'!A:T,20,0)</f>
        <v>analytics for data</v>
      </c>
    </row>
    <row r="1477" spans="1:13" x14ac:dyDescent="0.3">
      <c r="A1477" t="s">
        <v>1490</v>
      </c>
      <c r="B1477" t="s">
        <v>14</v>
      </c>
      <c r="C1477" s="4">
        <f>VLOOKUP(Googleadssales[[#This Row],[Ad_ID]],'[1]pre processed data'!A:C,3,0)</f>
        <v>138.95699356913184</v>
      </c>
      <c r="D1477" s="4">
        <f>VLOOKUP(Googleadssales[[#This Row],[Ad_ID]],'[1]pre processed data'!A:E,5,0)</f>
        <v>3723</v>
      </c>
      <c r="E1477" s="5" t="str">
        <f>VLOOKUP(Googleadssales[[#This Row],[Ad_ID]],[1]!Table3[[Ad_ID]:[Cost-imputed]],7,0)</f>
        <v>$201.32</v>
      </c>
      <c r="F1477" s="4">
        <f>VLOOKUP(Googleadssales[[#This Row],[Ad_ID]],'[1]pre processed data'!A:I,9,0)</f>
        <v>21</v>
      </c>
      <c r="G1477" s="4">
        <f>VLOOKUP(Googleadssales[[#This Row],[Ad_ID]],'[1]pre processed data'!A:K,11,0)</f>
        <v>8</v>
      </c>
      <c r="H1477" s="2">
        <f>Googleadssales[[#This Row],[Conversions]]/Googleadssales[[#This Row],[Clicks]]</f>
        <v>5.7571769469954438E-2</v>
      </c>
      <c r="I1477" t="str">
        <f>VLOOKUP(Googleadssales[[#This Row],[Ad_ID]],'[1]pre processed data'!A:O,15,0)</f>
        <v>$1500</v>
      </c>
      <c r="J1477" s="3">
        <f>VLOOKUP(Googleadssales[[#This Row],[Ad_ID]],'[1]pre processed data'!A:Q,17,0)</f>
        <v>45602</v>
      </c>
      <c r="K1477" t="str">
        <f>VLOOKUP(Googleadssales[[#This Row],[Ad_ID]],'[1]pre processed data'!A:R,18,0)</f>
        <v>Chennai</v>
      </c>
      <c r="L1477" t="str">
        <f>VLOOKUP(Googleadssales[[#This Row],[Ad_ID]],'[1]pre processed data'!A:S,19,0)</f>
        <v>Tablet</v>
      </c>
      <c r="M1477" t="str">
        <f>VLOOKUP(Googleadssales[[#This Row],[Ad_ID]],'[1]pre processed data'!A:T,20,0)</f>
        <v>data analytics course</v>
      </c>
    </row>
    <row r="1478" spans="1:13" x14ac:dyDescent="0.3">
      <c r="A1478" t="s">
        <v>1491</v>
      </c>
      <c r="B1478" t="s">
        <v>18</v>
      </c>
      <c r="C1478" s="4">
        <f>VLOOKUP(Googleadssales[[#This Row],[Ad_ID]],'[1]pre processed data'!A:C,3,0)</f>
        <v>103</v>
      </c>
      <c r="D1478" s="4">
        <f>VLOOKUP(Googleadssales[[#This Row],[Ad_ID]],'[1]pre processed data'!A:E,5,0)</f>
        <v>4670</v>
      </c>
      <c r="E1478" s="5" t="str">
        <f>VLOOKUP(Googleadssales[[#This Row],[Ad_ID]],[1]!Table3[[Ad_ID]:[Cost-imputed]],7,0)</f>
        <v>$203.4</v>
      </c>
      <c r="F1478" s="4">
        <f>VLOOKUP(Googleadssales[[#This Row],[Ad_ID]],'[1]pre processed data'!A:I,9,0)</f>
        <v>21</v>
      </c>
      <c r="G1478" s="4">
        <f>VLOOKUP(Googleadssales[[#This Row],[Ad_ID]],'[1]pre processed data'!A:K,11,0)</f>
        <v>4</v>
      </c>
      <c r="H1478" s="2">
        <f>Googleadssales[[#This Row],[Conversions]]/Googleadssales[[#This Row],[Clicks]]</f>
        <v>3.8834951456310676E-2</v>
      </c>
      <c r="I1478" t="str">
        <f>VLOOKUP(Googleadssales[[#This Row],[Ad_ID]],'[1]pre processed data'!A:O,15,0)</f>
        <v>$1562</v>
      </c>
      <c r="J1478" s="3">
        <f>VLOOKUP(Googleadssales[[#This Row],[Ad_ID]],'[1]pre processed data'!A:Q,17,0)</f>
        <v>45621</v>
      </c>
      <c r="K1478" t="str">
        <f>VLOOKUP(Googleadssales[[#This Row],[Ad_ID]],'[1]pre processed data'!A:R,18,0)</f>
        <v>Hyderabad</v>
      </c>
      <c r="L1478" t="str">
        <f>VLOOKUP(Googleadssales[[#This Row],[Ad_ID]],'[1]pre processed data'!A:S,19,0)</f>
        <v>Mobile</v>
      </c>
      <c r="M1478" t="str">
        <f>VLOOKUP(Googleadssales[[#This Row],[Ad_ID]],'[1]pre processed data'!A:T,20,0)</f>
        <v>analytics for data</v>
      </c>
    </row>
    <row r="1479" spans="1:13" x14ac:dyDescent="0.3">
      <c r="A1479" t="s">
        <v>1492</v>
      </c>
      <c r="B1479" t="s">
        <v>18</v>
      </c>
      <c r="C1479" s="4">
        <f>VLOOKUP(Googleadssales[[#This Row],[Ad_ID]],'[1]pre processed data'!A:C,3,0)</f>
        <v>187</v>
      </c>
      <c r="D1479" s="4">
        <f>VLOOKUP(Googleadssales[[#This Row],[Ad_ID]],'[1]pre processed data'!A:E,5,0)</f>
        <v>4474</v>
      </c>
      <c r="E1479" s="5" t="str">
        <f>VLOOKUP(Googleadssales[[#This Row],[Ad_ID]],[1]!Table3[[Ad_ID]:[Cost-imputed]],7,0)</f>
        <v>$182.47</v>
      </c>
      <c r="F1479" s="4">
        <f>VLOOKUP(Googleadssales[[#This Row],[Ad_ID]],'[1]pre processed data'!A:I,9,0)</f>
        <v>10</v>
      </c>
      <c r="G1479" s="4">
        <f>VLOOKUP(Googleadssales[[#This Row],[Ad_ID]],'[1]pre processed data'!A:K,11,0)</f>
        <v>6.5641735918744226</v>
      </c>
      <c r="H1479" s="2">
        <f>Googleadssales[[#This Row],[Conversions]]/Googleadssales[[#This Row],[Clicks]]</f>
        <v>3.5102532576868573E-2</v>
      </c>
      <c r="I1479" t="str">
        <f>VLOOKUP(Googleadssales[[#This Row],[Ad_ID]],'[1]pre processed data'!A:O,15,0)</f>
        <v>$1768</v>
      </c>
      <c r="J1479" s="3">
        <f>VLOOKUP(Googleadssales[[#This Row],[Ad_ID]],'[1]pre processed data'!A:Q,17,0)</f>
        <v>45609</v>
      </c>
      <c r="K1479" t="str">
        <f>VLOOKUP(Googleadssales[[#This Row],[Ad_ID]],'[1]pre processed data'!A:R,18,0)</f>
        <v>Hyderabad</v>
      </c>
      <c r="L1479" t="str">
        <f>VLOOKUP(Googleadssales[[#This Row],[Ad_ID]],'[1]pre processed data'!A:S,19,0)</f>
        <v>Tablet</v>
      </c>
      <c r="M1479" t="str">
        <f>VLOOKUP(Googleadssales[[#This Row],[Ad_ID]],'[1]pre processed data'!A:T,20,0)</f>
        <v>online data analytic</v>
      </c>
    </row>
    <row r="1480" spans="1:13" x14ac:dyDescent="0.3">
      <c r="A1480" t="s">
        <v>1493</v>
      </c>
      <c r="B1480" t="s">
        <v>18</v>
      </c>
      <c r="C1480" s="4">
        <f>VLOOKUP(Googleadssales[[#This Row],[Ad_ID]],'[1]pre processed data'!A:C,3,0)</f>
        <v>138.95699356913184</v>
      </c>
      <c r="D1480" s="4">
        <f>VLOOKUP(Googleadssales[[#This Row],[Ad_ID]],'[1]pre processed data'!A:E,5,0)</f>
        <v>3009</v>
      </c>
      <c r="E1480" s="5" t="str">
        <f>VLOOKUP(Googleadssales[[#This Row],[Ad_ID]],[1]!Table3[[Ad_ID]:[Cost-imputed]],7,0)</f>
        <v>$195.17</v>
      </c>
      <c r="F1480" s="4">
        <f>VLOOKUP(Googleadssales[[#This Row],[Ad_ID]],'[1]pre processed data'!A:I,9,0)</f>
        <v>20.136446886446887</v>
      </c>
      <c r="G1480" s="4">
        <f>VLOOKUP(Googleadssales[[#This Row],[Ad_ID]],'[1]pre processed data'!A:K,11,0)</f>
        <v>6</v>
      </c>
      <c r="H1480" s="2">
        <f>Googleadssales[[#This Row],[Conversions]]/Googleadssales[[#This Row],[Clicks]]</f>
        <v>4.317882710246583E-2</v>
      </c>
      <c r="I1480" t="str">
        <f>VLOOKUP(Googleadssales[[#This Row],[Ad_ID]],'[1]pre processed data'!A:O,15,0)</f>
        <v>$1083</v>
      </c>
      <c r="J1480" s="3">
        <f>VLOOKUP(Googleadssales[[#This Row],[Ad_ID]],'[1]pre processed data'!A:Q,17,0)</f>
        <v>45619</v>
      </c>
      <c r="K1480" t="str">
        <f>VLOOKUP(Googleadssales[[#This Row],[Ad_ID]],'[1]pre processed data'!A:R,18,0)</f>
        <v>Chennai</v>
      </c>
      <c r="L1480" t="str">
        <f>VLOOKUP(Googleadssales[[#This Row],[Ad_ID]],'[1]pre processed data'!A:S,19,0)</f>
        <v>Tablet</v>
      </c>
      <c r="M1480" t="str">
        <f>VLOOKUP(Googleadssales[[#This Row],[Ad_ID]],'[1]pre processed data'!A:T,20,0)</f>
        <v>data analytics online</v>
      </c>
    </row>
    <row r="1481" spans="1:13" x14ac:dyDescent="0.3">
      <c r="A1481" t="s">
        <v>1494</v>
      </c>
      <c r="B1481" t="s">
        <v>18</v>
      </c>
      <c r="C1481" s="4">
        <f>VLOOKUP(Googleadssales[[#This Row],[Ad_ID]],'[1]pre processed data'!A:C,3,0)</f>
        <v>109</v>
      </c>
      <c r="D1481" s="4">
        <f>VLOOKUP(Googleadssales[[#This Row],[Ad_ID]],'[1]pre processed data'!A:E,5,0)</f>
        <v>3933</v>
      </c>
      <c r="E1481" s="5" t="str">
        <f>VLOOKUP(Googleadssales[[#This Row],[Ad_ID]],[1]!Table3[[Ad_ID]:[Cost-imputed]],7,0)</f>
        <v>$189.73</v>
      </c>
      <c r="F1481" s="4">
        <f>VLOOKUP(Googleadssales[[#This Row],[Ad_ID]],'[1]pre processed data'!A:I,9,0)</f>
        <v>11</v>
      </c>
      <c r="G1481" s="4">
        <f>VLOOKUP(Googleadssales[[#This Row],[Ad_ID]],'[1]pre processed data'!A:K,11,0)</f>
        <v>4</v>
      </c>
      <c r="H1481" s="2">
        <f>Googleadssales[[#This Row],[Conversions]]/Googleadssales[[#This Row],[Clicks]]</f>
        <v>3.669724770642202E-2</v>
      </c>
      <c r="I1481" t="str">
        <f>VLOOKUP(Googleadssales[[#This Row],[Ad_ID]],'[1]pre processed data'!A:O,15,0)</f>
        <v>$1700</v>
      </c>
      <c r="J1481" s="3">
        <f>VLOOKUP(Googleadssales[[#This Row],[Ad_ID]],'[1]pre processed data'!A:Q,17,0)</f>
        <v>45603</v>
      </c>
      <c r="K1481" t="str">
        <f>VLOOKUP(Googleadssales[[#This Row],[Ad_ID]],'[1]pre processed data'!A:R,18,0)</f>
        <v>Hyderabad</v>
      </c>
      <c r="L1481" t="str">
        <f>VLOOKUP(Googleadssales[[#This Row],[Ad_ID]],'[1]pre processed data'!A:S,19,0)</f>
        <v>Desktop</v>
      </c>
      <c r="M1481" t="str">
        <f>VLOOKUP(Googleadssales[[#This Row],[Ad_ID]],'[1]pre processed data'!A:T,20,0)</f>
        <v>data analytics online</v>
      </c>
    </row>
    <row r="1482" spans="1:13" x14ac:dyDescent="0.3">
      <c r="A1482" t="s">
        <v>1495</v>
      </c>
      <c r="B1482" t="s">
        <v>14</v>
      </c>
      <c r="C1482" s="4">
        <f>VLOOKUP(Googleadssales[[#This Row],[Ad_ID]],'[1]pre processed data'!A:C,3,0)</f>
        <v>118</v>
      </c>
      <c r="D1482" s="4">
        <f>VLOOKUP(Googleadssales[[#This Row],[Ad_ID]],'[1]pre processed data'!A:E,5,0)</f>
        <v>4360</v>
      </c>
      <c r="E1482" s="5" t="str">
        <f>VLOOKUP(Googleadssales[[#This Row],[Ad_ID]],[1]!Table3[[Ad_ID]:[Cost-imputed]],7,0)</f>
        <v>$232.09</v>
      </c>
      <c r="F1482" s="4">
        <f>VLOOKUP(Googleadssales[[#This Row],[Ad_ID]],'[1]pre processed data'!A:I,9,0)</f>
        <v>10</v>
      </c>
      <c r="G1482" s="4">
        <f>VLOOKUP(Googleadssales[[#This Row],[Ad_ID]],'[1]pre processed data'!A:K,11,0)</f>
        <v>9</v>
      </c>
      <c r="H1482" s="2">
        <f>Googleadssales[[#This Row],[Conversions]]/Googleadssales[[#This Row],[Clicks]]</f>
        <v>7.6271186440677971E-2</v>
      </c>
      <c r="I1482" t="str">
        <f>VLOOKUP(Googleadssales[[#This Row],[Ad_ID]],'[1]pre processed data'!A:O,15,0)</f>
        <v>$1252</v>
      </c>
      <c r="J1482" s="3">
        <f>VLOOKUP(Googleadssales[[#This Row],[Ad_ID]],'[1]pre processed data'!A:Q,17,0)</f>
        <v>45609</v>
      </c>
      <c r="K1482" t="str">
        <f>VLOOKUP(Googleadssales[[#This Row],[Ad_ID]],'[1]pre processed data'!A:R,18,0)</f>
        <v>Hyderabad</v>
      </c>
      <c r="L1482" t="str">
        <f>VLOOKUP(Googleadssales[[#This Row],[Ad_ID]],'[1]pre processed data'!A:S,19,0)</f>
        <v>Desktop</v>
      </c>
      <c r="M1482" t="str">
        <f>VLOOKUP(Googleadssales[[#This Row],[Ad_ID]],'[1]pre processed data'!A:T,20,0)</f>
        <v>data analytics training</v>
      </c>
    </row>
    <row r="1483" spans="1:13" x14ac:dyDescent="0.3">
      <c r="A1483" t="s">
        <v>1496</v>
      </c>
      <c r="B1483" t="s">
        <v>14</v>
      </c>
      <c r="C1483" s="4">
        <f>VLOOKUP(Googleadssales[[#This Row],[Ad_ID]],'[1]pre processed data'!A:C,3,0)</f>
        <v>164</v>
      </c>
      <c r="D1483" s="4">
        <f>VLOOKUP(Googleadssales[[#This Row],[Ad_ID]],'[1]pre processed data'!A:E,5,0)</f>
        <v>5120</v>
      </c>
      <c r="E1483" s="5" t="str">
        <f>VLOOKUP(Googleadssales[[#This Row],[Ad_ID]],[1]!Table3[[Ad_ID]:[Cost-imputed]],7,0)</f>
        <v>$185.69</v>
      </c>
      <c r="F1483" s="4">
        <f>VLOOKUP(Googleadssales[[#This Row],[Ad_ID]],'[1]pre processed data'!A:I,9,0)</f>
        <v>10</v>
      </c>
      <c r="G1483" s="4">
        <f>VLOOKUP(Googleadssales[[#This Row],[Ad_ID]],'[1]pre processed data'!A:K,11,0)</f>
        <v>5</v>
      </c>
      <c r="H1483" s="2">
        <f>Googleadssales[[#This Row],[Conversions]]/Googleadssales[[#This Row],[Clicks]]</f>
        <v>3.048780487804878E-2</v>
      </c>
      <c r="I1483" t="str">
        <f>VLOOKUP(Googleadssales[[#This Row],[Ad_ID]],'[1]pre processed data'!A:O,15,0)</f>
        <v>$1597</v>
      </c>
      <c r="J1483" s="3">
        <f>VLOOKUP(Googleadssales[[#This Row],[Ad_ID]],'[1]pre processed data'!A:Q,17,0)</f>
        <v>45619</v>
      </c>
      <c r="K1483" t="str">
        <f>VLOOKUP(Googleadssales[[#This Row],[Ad_ID]],'[1]pre processed data'!A:R,18,0)</f>
        <v>Hyderabad</v>
      </c>
      <c r="L1483" t="str">
        <f>VLOOKUP(Googleadssales[[#This Row],[Ad_ID]],'[1]pre processed data'!A:S,19,0)</f>
        <v>Tablet</v>
      </c>
      <c r="M1483" t="str">
        <f>VLOOKUP(Googleadssales[[#This Row],[Ad_ID]],'[1]pre processed data'!A:T,20,0)</f>
        <v>analytics for data</v>
      </c>
    </row>
    <row r="1484" spans="1:13" x14ac:dyDescent="0.3">
      <c r="A1484" t="s">
        <v>1497</v>
      </c>
      <c r="B1484" t="s">
        <v>14</v>
      </c>
      <c r="C1484" s="4">
        <f>VLOOKUP(Googleadssales[[#This Row],[Ad_ID]],'[1]pre processed data'!A:C,3,0)</f>
        <v>166</v>
      </c>
      <c r="D1484" s="4">
        <f>VLOOKUP(Googleadssales[[#This Row],[Ad_ID]],'[1]pre processed data'!A:E,5,0)</f>
        <v>3887</v>
      </c>
      <c r="E1484" s="5" t="str">
        <f>VLOOKUP(Googleadssales[[#This Row],[Ad_ID]],[1]!Table3[[Ad_ID]:[Cost-imputed]],7,0)</f>
        <v>$192.0</v>
      </c>
      <c r="F1484" s="4">
        <f>VLOOKUP(Googleadssales[[#This Row],[Ad_ID]],'[1]pre processed data'!A:I,9,0)</f>
        <v>24</v>
      </c>
      <c r="G1484" s="4">
        <f>VLOOKUP(Googleadssales[[#This Row],[Ad_ID]],'[1]pre processed data'!A:K,11,0)</f>
        <v>9</v>
      </c>
      <c r="H1484" s="2">
        <f>Googleadssales[[#This Row],[Conversions]]/Googleadssales[[#This Row],[Clicks]]</f>
        <v>5.4216867469879519E-2</v>
      </c>
      <c r="I1484" t="str">
        <f>VLOOKUP(Googleadssales[[#This Row],[Ad_ID]],'[1]pre processed data'!A:O,15,0)</f>
        <v>$1890</v>
      </c>
      <c r="J1484" s="3">
        <f>VLOOKUP(Googleadssales[[#This Row],[Ad_ID]],'[1]pre processed data'!A:Q,17,0)</f>
        <v>45609</v>
      </c>
      <c r="K1484" t="str">
        <f>VLOOKUP(Googleadssales[[#This Row],[Ad_ID]],'[1]pre processed data'!A:R,18,0)</f>
        <v>Chennai</v>
      </c>
      <c r="L1484" t="str">
        <f>VLOOKUP(Googleadssales[[#This Row],[Ad_ID]],'[1]pre processed data'!A:S,19,0)</f>
        <v>Tablet</v>
      </c>
      <c r="M1484" t="str">
        <f>VLOOKUP(Googleadssales[[#This Row],[Ad_ID]],'[1]pre processed data'!A:T,20,0)</f>
        <v>data analytics course</v>
      </c>
    </row>
    <row r="1485" spans="1:13" x14ac:dyDescent="0.3">
      <c r="A1485" t="s">
        <v>1498</v>
      </c>
      <c r="B1485" t="s">
        <v>18</v>
      </c>
      <c r="C1485" s="4">
        <f>VLOOKUP(Googleadssales[[#This Row],[Ad_ID]],'[1]pre processed data'!A:C,3,0)</f>
        <v>88</v>
      </c>
      <c r="D1485" s="4">
        <f>VLOOKUP(Googleadssales[[#This Row],[Ad_ID]],'[1]pre processed data'!A:E,5,0)</f>
        <v>3909</v>
      </c>
      <c r="E1485" s="5" t="str">
        <f>VLOOKUP(Googleadssales[[#This Row],[Ad_ID]],[1]!Table3[[Ad_ID]:[Cost-imputed]],7,0)</f>
        <v>$189.57</v>
      </c>
      <c r="F1485" s="4">
        <f>VLOOKUP(Googleadssales[[#This Row],[Ad_ID]],'[1]pre processed data'!A:I,9,0)</f>
        <v>30</v>
      </c>
      <c r="G1485" s="4">
        <f>VLOOKUP(Googleadssales[[#This Row],[Ad_ID]],'[1]pre processed data'!A:K,11,0)</f>
        <v>10</v>
      </c>
      <c r="H1485" s="2">
        <f>Googleadssales[[#This Row],[Conversions]]/Googleadssales[[#This Row],[Clicks]]</f>
        <v>0.11363636363636363</v>
      </c>
      <c r="I1485" t="str">
        <f>VLOOKUP(Googleadssales[[#This Row],[Ad_ID]],'[1]pre processed data'!A:O,15,0)</f>
        <v>$1750</v>
      </c>
      <c r="J1485" s="3">
        <f>VLOOKUP(Googleadssales[[#This Row],[Ad_ID]],'[1]pre processed data'!A:Q,17,0)</f>
        <v>45625</v>
      </c>
      <c r="K1485" t="str">
        <f>VLOOKUP(Googleadssales[[#This Row],[Ad_ID]],'[1]pre processed data'!A:R,18,0)</f>
        <v>Chennai</v>
      </c>
      <c r="L1485" t="str">
        <f>VLOOKUP(Googleadssales[[#This Row],[Ad_ID]],'[1]pre processed data'!A:S,19,0)</f>
        <v>Desktop</v>
      </c>
      <c r="M1485" t="str">
        <f>VLOOKUP(Googleadssales[[#This Row],[Ad_ID]],'[1]pre processed data'!A:T,20,0)</f>
        <v>data analytics training</v>
      </c>
    </row>
    <row r="1486" spans="1:13" x14ac:dyDescent="0.3">
      <c r="A1486" t="s">
        <v>1499</v>
      </c>
      <c r="B1486" t="s">
        <v>14</v>
      </c>
      <c r="C1486" s="4">
        <f>VLOOKUP(Googleadssales[[#This Row],[Ad_ID]],'[1]pre processed data'!A:C,3,0)</f>
        <v>125</v>
      </c>
      <c r="D1486" s="4">
        <f>VLOOKUP(Googleadssales[[#This Row],[Ad_ID]],'[1]pre processed data'!A:E,5,0)</f>
        <v>3017</v>
      </c>
      <c r="E1486" s="5" t="str">
        <f>VLOOKUP(Googleadssales[[#This Row],[Ad_ID]],[1]!Table3[[Ad_ID]:[Cost-imputed]],7,0)</f>
        <v>$232.51</v>
      </c>
      <c r="F1486" s="4">
        <f>VLOOKUP(Googleadssales[[#This Row],[Ad_ID]],'[1]pre processed data'!A:I,9,0)</f>
        <v>14</v>
      </c>
      <c r="G1486" s="4">
        <f>VLOOKUP(Googleadssales[[#This Row],[Ad_ID]],'[1]pre processed data'!A:K,11,0)</f>
        <v>7</v>
      </c>
      <c r="H1486" s="2">
        <f>Googleadssales[[#This Row],[Conversions]]/Googleadssales[[#This Row],[Clicks]]</f>
        <v>5.6000000000000001E-2</v>
      </c>
      <c r="I1486" t="str">
        <f>VLOOKUP(Googleadssales[[#This Row],[Ad_ID]],'[1]pre processed data'!A:O,15,0)</f>
        <v>$1510</v>
      </c>
      <c r="J1486" s="3">
        <f>VLOOKUP(Googleadssales[[#This Row],[Ad_ID]],'[1]pre processed data'!A:Q,17,0)</f>
        <v>45604</v>
      </c>
      <c r="K1486" t="str">
        <f>VLOOKUP(Googleadssales[[#This Row],[Ad_ID]],'[1]pre processed data'!A:R,18,0)</f>
        <v>Chennai</v>
      </c>
      <c r="L1486" t="str">
        <f>VLOOKUP(Googleadssales[[#This Row],[Ad_ID]],'[1]pre processed data'!A:S,19,0)</f>
        <v>Tablet</v>
      </c>
      <c r="M1486" t="str">
        <f>VLOOKUP(Googleadssales[[#This Row],[Ad_ID]],'[1]pre processed data'!A:T,20,0)</f>
        <v>data analytics training</v>
      </c>
    </row>
    <row r="1487" spans="1:13" x14ac:dyDescent="0.3">
      <c r="A1487" t="s">
        <v>1500</v>
      </c>
      <c r="B1487" t="s">
        <v>14</v>
      </c>
      <c r="C1487" s="4">
        <f>VLOOKUP(Googleadssales[[#This Row],[Ad_ID]],'[1]pre processed data'!A:C,3,0)</f>
        <v>138.95699356913184</v>
      </c>
      <c r="D1487" s="4">
        <f>VLOOKUP(Googleadssales[[#This Row],[Ad_ID]],'[1]pre processed data'!A:E,5,0)</f>
        <v>5127</v>
      </c>
      <c r="E1487" s="5" t="str">
        <f>VLOOKUP(Googleadssales[[#This Row],[Ad_ID]],[1]!Table3[[Ad_ID]:[Cost-imputed]],7,0)</f>
        <v>$206.95</v>
      </c>
      <c r="F1487" s="4">
        <f>VLOOKUP(Googleadssales[[#This Row],[Ad_ID]],'[1]pre processed data'!A:I,9,0)</f>
        <v>26</v>
      </c>
      <c r="G1487" s="4">
        <f>VLOOKUP(Googleadssales[[#This Row],[Ad_ID]],'[1]pre processed data'!A:K,11,0)</f>
        <v>5</v>
      </c>
      <c r="H1487" s="2">
        <f>Googleadssales[[#This Row],[Conversions]]/Googleadssales[[#This Row],[Clicks]]</f>
        <v>3.5982355918721523E-2</v>
      </c>
      <c r="I1487" t="str">
        <f>VLOOKUP(Googleadssales[[#This Row],[Ad_ID]],'[1]pre processed data'!A:O,15,0)</f>
        <v>$1902</v>
      </c>
      <c r="J1487" s="3">
        <f>VLOOKUP(Googleadssales[[#This Row],[Ad_ID]],'[1]pre processed data'!A:Q,17,0)</f>
        <v>45613</v>
      </c>
      <c r="K1487" t="str">
        <f>VLOOKUP(Googleadssales[[#This Row],[Ad_ID]],'[1]pre processed data'!A:R,18,0)</f>
        <v>Bangaluru</v>
      </c>
      <c r="L1487" t="str">
        <f>VLOOKUP(Googleadssales[[#This Row],[Ad_ID]],'[1]pre processed data'!A:S,19,0)</f>
        <v>Desktop</v>
      </c>
      <c r="M1487" t="str">
        <f>VLOOKUP(Googleadssales[[#This Row],[Ad_ID]],'[1]pre processed data'!A:T,20,0)</f>
        <v>online data analytic</v>
      </c>
    </row>
    <row r="1488" spans="1:13" x14ac:dyDescent="0.3">
      <c r="A1488" t="s">
        <v>1501</v>
      </c>
      <c r="B1488" t="s">
        <v>14</v>
      </c>
      <c r="C1488" s="4">
        <f>VLOOKUP(Googleadssales[[#This Row],[Ad_ID]],'[1]pre processed data'!A:C,3,0)</f>
        <v>151</v>
      </c>
      <c r="D1488" s="4">
        <f>VLOOKUP(Googleadssales[[#This Row],[Ad_ID]],'[1]pre processed data'!A:E,5,0)</f>
        <v>3992</v>
      </c>
      <c r="E1488" s="5" t="str">
        <f>VLOOKUP(Googleadssales[[#This Row],[Ad_ID]],[1]!Table3[[Ad_ID]:[Cost-imputed]],7,0)</f>
        <v>$212.42</v>
      </c>
      <c r="F1488" s="4">
        <f>VLOOKUP(Googleadssales[[#This Row],[Ad_ID]],'[1]pre processed data'!A:I,9,0)</f>
        <v>10</v>
      </c>
      <c r="G1488" s="4">
        <f>VLOOKUP(Googleadssales[[#This Row],[Ad_ID]],'[1]pre processed data'!A:K,11,0)</f>
        <v>9</v>
      </c>
      <c r="H1488" s="2">
        <f>Googleadssales[[#This Row],[Conversions]]/Googleadssales[[#This Row],[Clicks]]</f>
        <v>5.9602649006622516E-2</v>
      </c>
      <c r="I1488" t="str">
        <f>VLOOKUP(Googleadssales[[#This Row],[Ad_ID]],'[1]pre processed data'!A:O,15,0)</f>
        <v>$1890</v>
      </c>
      <c r="J1488" s="3">
        <f>VLOOKUP(Googleadssales[[#This Row],[Ad_ID]],'[1]pre processed data'!A:Q,17,0)</f>
        <v>45622</v>
      </c>
      <c r="K1488" t="str">
        <f>VLOOKUP(Googleadssales[[#This Row],[Ad_ID]],'[1]pre processed data'!A:R,18,0)</f>
        <v>Bangaluru</v>
      </c>
      <c r="L1488" t="str">
        <f>VLOOKUP(Googleadssales[[#This Row],[Ad_ID]],'[1]pre processed data'!A:S,19,0)</f>
        <v>Tablet</v>
      </c>
      <c r="M1488" t="str">
        <f>VLOOKUP(Googleadssales[[#This Row],[Ad_ID]],'[1]pre processed data'!A:T,20,0)</f>
        <v>learn data analytics</v>
      </c>
    </row>
    <row r="1489" spans="1:13" x14ac:dyDescent="0.3">
      <c r="A1489" t="s">
        <v>1502</v>
      </c>
      <c r="B1489" t="s">
        <v>14</v>
      </c>
      <c r="C1489" s="4">
        <f>VLOOKUP(Googleadssales[[#This Row],[Ad_ID]],'[1]pre processed data'!A:C,3,0)</f>
        <v>182</v>
      </c>
      <c r="D1489" s="4">
        <f>VLOOKUP(Googleadssales[[#This Row],[Ad_ID]],'[1]pre processed data'!A:E,5,0)</f>
        <v>3554</v>
      </c>
      <c r="E1489" s="5" t="str">
        <f>VLOOKUP(Googleadssales[[#This Row],[Ad_ID]],[1]!Table3[[Ad_ID]:[Cost-imputed]],7,0)</f>
        <v>$181.74</v>
      </c>
      <c r="F1489" s="4">
        <f>VLOOKUP(Googleadssales[[#This Row],[Ad_ID]],'[1]pre processed data'!A:I,9,0)</f>
        <v>18</v>
      </c>
      <c r="G1489" s="4">
        <f>VLOOKUP(Googleadssales[[#This Row],[Ad_ID]],'[1]pre processed data'!A:K,11,0)</f>
        <v>4</v>
      </c>
      <c r="H1489" s="2">
        <f>Googleadssales[[#This Row],[Conversions]]/Googleadssales[[#This Row],[Clicks]]</f>
        <v>2.197802197802198E-2</v>
      </c>
      <c r="I1489" t="str">
        <f>VLOOKUP(Googleadssales[[#This Row],[Ad_ID]],'[1]pre processed data'!A:O,15,0)</f>
        <v>$1933</v>
      </c>
      <c r="J1489" s="3">
        <f>VLOOKUP(Googleadssales[[#This Row],[Ad_ID]],'[1]pre processed data'!A:Q,17,0)</f>
        <v>45598</v>
      </c>
      <c r="K1489" t="str">
        <f>VLOOKUP(Googleadssales[[#This Row],[Ad_ID]],'[1]pre processed data'!A:R,18,0)</f>
        <v>Hyderabad</v>
      </c>
      <c r="L1489" t="str">
        <f>VLOOKUP(Googleadssales[[#This Row],[Ad_ID]],'[1]pre processed data'!A:S,19,0)</f>
        <v>Tablet</v>
      </c>
      <c r="M1489" t="str">
        <f>VLOOKUP(Googleadssales[[#This Row],[Ad_ID]],'[1]pre processed data'!A:T,20,0)</f>
        <v>learn data analytics</v>
      </c>
    </row>
    <row r="1490" spans="1:13" x14ac:dyDescent="0.3">
      <c r="A1490" t="s">
        <v>1503</v>
      </c>
      <c r="B1490" t="s">
        <v>18</v>
      </c>
      <c r="C1490" s="4">
        <f>VLOOKUP(Googleadssales[[#This Row],[Ad_ID]],'[1]pre processed data'!A:C,3,0)</f>
        <v>84</v>
      </c>
      <c r="D1490" s="4">
        <f>VLOOKUP(Googleadssales[[#This Row],[Ad_ID]],'[1]pre processed data'!A:E,5,0)</f>
        <v>4051</v>
      </c>
      <c r="E1490" s="5" t="str">
        <f>VLOOKUP(Googleadssales[[#This Row],[Ad_ID]],[1]!Table3[[Ad_ID]:[Cost-imputed]],7,0)</f>
        <v>$196.83</v>
      </c>
      <c r="F1490" s="4">
        <f>VLOOKUP(Googleadssales[[#This Row],[Ad_ID]],'[1]pre processed data'!A:I,9,0)</f>
        <v>21</v>
      </c>
      <c r="G1490" s="4">
        <f>VLOOKUP(Googleadssales[[#This Row],[Ad_ID]],'[1]pre processed data'!A:K,11,0)</f>
        <v>4</v>
      </c>
      <c r="H1490" s="2">
        <f>Googleadssales[[#This Row],[Conversions]]/Googleadssales[[#This Row],[Clicks]]</f>
        <v>4.7619047619047616E-2</v>
      </c>
      <c r="I1490" t="str">
        <f>VLOOKUP(Googleadssales[[#This Row],[Ad_ID]],'[1]pre processed data'!A:O,15,0)</f>
        <v>$1094</v>
      </c>
      <c r="J1490" s="3">
        <f>VLOOKUP(Googleadssales[[#This Row],[Ad_ID]],'[1]pre processed data'!A:Q,17,0)</f>
        <v>45610</v>
      </c>
      <c r="K1490" t="str">
        <f>VLOOKUP(Googleadssales[[#This Row],[Ad_ID]],'[1]pre processed data'!A:R,18,0)</f>
        <v>Hyderabad</v>
      </c>
      <c r="L1490" t="str">
        <f>VLOOKUP(Googleadssales[[#This Row],[Ad_ID]],'[1]pre processed data'!A:S,19,0)</f>
        <v>Mobile</v>
      </c>
      <c r="M1490" t="str">
        <f>VLOOKUP(Googleadssales[[#This Row],[Ad_ID]],'[1]pre processed data'!A:T,20,0)</f>
        <v>online data analytic</v>
      </c>
    </row>
    <row r="1491" spans="1:13" x14ac:dyDescent="0.3">
      <c r="A1491" t="s">
        <v>1504</v>
      </c>
      <c r="B1491" t="s">
        <v>14</v>
      </c>
      <c r="C1491" s="4">
        <f>VLOOKUP(Googleadssales[[#This Row],[Ad_ID]],'[1]pre processed data'!A:C,3,0)</f>
        <v>127</v>
      </c>
      <c r="D1491" s="4">
        <f>VLOOKUP(Googleadssales[[#This Row],[Ad_ID]],'[1]pre processed data'!A:E,5,0)</f>
        <v>3541</v>
      </c>
      <c r="E1491" s="5" t="str">
        <f>VLOOKUP(Googleadssales[[#This Row],[Ad_ID]],[1]!Table3[[Ad_ID]:[Cost-imputed]],7,0)</f>
        <v>$239.47</v>
      </c>
      <c r="F1491" s="4">
        <f>VLOOKUP(Googleadssales[[#This Row],[Ad_ID]],'[1]pre processed data'!A:I,9,0)</f>
        <v>16</v>
      </c>
      <c r="G1491" s="4">
        <f>VLOOKUP(Googleadssales[[#This Row],[Ad_ID]],'[1]pre processed data'!A:K,11,0)</f>
        <v>10</v>
      </c>
      <c r="H1491" s="2">
        <f>Googleadssales[[#This Row],[Conversions]]/Googleadssales[[#This Row],[Clicks]]</f>
        <v>7.874015748031496E-2</v>
      </c>
      <c r="I1491" t="str">
        <f>VLOOKUP(Googleadssales[[#This Row],[Ad_ID]],'[1]pre processed data'!A:O,15,0)</f>
        <v>$1474</v>
      </c>
      <c r="J1491" s="3">
        <f>VLOOKUP(Googleadssales[[#This Row],[Ad_ID]],'[1]pre processed data'!A:Q,17,0)</f>
        <v>45621</v>
      </c>
      <c r="K1491" t="str">
        <f>VLOOKUP(Googleadssales[[#This Row],[Ad_ID]],'[1]pre processed data'!A:R,18,0)</f>
        <v>Chennai</v>
      </c>
      <c r="L1491" t="str">
        <f>VLOOKUP(Googleadssales[[#This Row],[Ad_ID]],'[1]pre processed data'!A:S,19,0)</f>
        <v>Tablet</v>
      </c>
      <c r="M1491" t="str">
        <f>VLOOKUP(Googleadssales[[#This Row],[Ad_ID]],'[1]pre processed data'!A:T,20,0)</f>
        <v>data analytics training</v>
      </c>
    </row>
    <row r="1492" spans="1:13" x14ac:dyDescent="0.3">
      <c r="A1492" t="s">
        <v>1505</v>
      </c>
      <c r="B1492" t="s">
        <v>14</v>
      </c>
      <c r="C1492" s="4">
        <f>VLOOKUP(Googleadssales[[#This Row],[Ad_ID]],'[1]pre processed data'!A:C,3,0)</f>
        <v>104</v>
      </c>
      <c r="D1492" s="4">
        <f>VLOOKUP(Googleadssales[[#This Row],[Ad_ID]],'[1]pre processed data'!A:E,5,0)</f>
        <v>5878</v>
      </c>
      <c r="E1492" s="5" t="str">
        <f>VLOOKUP(Googleadssales[[#This Row],[Ad_ID]],[1]!Table3[[Ad_ID]:[Cost-imputed]],7,0)</f>
        <v>$228.79</v>
      </c>
      <c r="F1492" s="4">
        <f>VLOOKUP(Googleadssales[[#This Row],[Ad_ID]],'[1]pre processed data'!A:I,9,0)</f>
        <v>21</v>
      </c>
      <c r="G1492" s="4">
        <f>VLOOKUP(Googleadssales[[#This Row],[Ad_ID]],'[1]pre processed data'!A:K,11,0)</f>
        <v>3</v>
      </c>
      <c r="H1492" s="2">
        <f>Googleadssales[[#This Row],[Conversions]]/Googleadssales[[#This Row],[Clicks]]</f>
        <v>2.8846153846153848E-2</v>
      </c>
      <c r="I1492" t="str">
        <f>VLOOKUP(Googleadssales[[#This Row],[Ad_ID]],'[1]pre processed data'!A:O,15,0)</f>
        <v>$1101</v>
      </c>
      <c r="J1492" s="3">
        <f>VLOOKUP(Googleadssales[[#This Row],[Ad_ID]],'[1]pre processed data'!A:Q,17,0)</f>
        <v>45601</v>
      </c>
      <c r="K1492" t="str">
        <f>VLOOKUP(Googleadssales[[#This Row],[Ad_ID]],'[1]pre processed data'!A:R,18,0)</f>
        <v>Chennai</v>
      </c>
      <c r="L1492" t="str">
        <f>VLOOKUP(Googleadssales[[#This Row],[Ad_ID]],'[1]pre processed data'!A:S,19,0)</f>
        <v>Mobile</v>
      </c>
      <c r="M1492" t="str">
        <f>VLOOKUP(Googleadssales[[#This Row],[Ad_ID]],'[1]pre processed data'!A:T,20,0)</f>
        <v>data analytics course</v>
      </c>
    </row>
    <row r="1493" spans="1:13" x14ac:dyDescent="0.3">
      <c r="A1493" t="s">
        <v>1506</v>
      </c>
      <c r="B1493" t="s">
        <v>14</v>
      </c>
      <c r="C1493" s="4">
        <f>VLOOKUP(Googleadssales[[#This Row],[Ad_ID]],'[1]pre processed data'!A:C,3,0)</f>
        <v>161</v>
      </c>
      <c r="D1493" s="4">
        <f>VLOOKUP(Googleadssales[[#This Row],[Ad_ID]],'[1]pre processed data'!A:E,5,0)</f>
        <v>4611</v>
      </c>
      <c r="E1493" s="5" t="str">
        <f>VLOOKUP(Googleadssales[[#This Row],[Ad_ID]],[1]!Table3[[Ad_ID]:[Cost-imputed]],7,0)</f>
        <v>$228.34</v>
      </c>
      <c r="F1493" s="4">
        <f>VLOOKUP(Googleadssales[[#This Row],[Ad_ID]],'[1]pre processed data'!A:I,9,0)</f>
        <v>26</v>
      </c>
      <c r="G1493" s="4">
        <f>VLOOKUP(Googleadssales[[#This Row],[Ad_ID]],'[1]pre processed data'!A:K,11,0)</f>
        <v>7</v>
      </c>
      <c r="H1493" s="2">
        <f>Googleadssales[[#This Row],[Conversions]]/Googleadssales[[#This Row],[Clicks]]</f>
        <v>4.3478260869565216E-2</v>
      </c>
      <c r="I1493" t="str">
        <f>VLOOKUP(Googleadssales[[#This Row],[Ad_ID]],'[1]pre processed data'!A:O,15,0)</f>
        <v>$1473</v>
      </c>
      <c r="J1493" s="3">
        <f>VLOOKUP(Googleadssales[[#This Row],[Ad_ID]],'[1]pre processed data'!A:Q,17,0)</f>
        <v>45621</v>
      </c>
      <c r="K1493" t="str">
        <f>VLOOKUP(Googleadssales[[#This Row],[Ad_ID]],'[1]pre processed data'!A:R,18,0)</f>
        <v>Bangaluru</v>
      </c>
      <c r="L1493" t="str">
        <f>VLOOKUP(Googleadssales[[#This Row],[Ad_ID]],'[1]pre processed data'!A:S,19,0)</f>
        <v>Tablet</v>
      </c>
      <c r="M1493" t="str">
        <f>VLOOKUP(Googleadssales[[#This Row],[Ad_ID]],'[1]pre processed data'!A:T,20,0)</f>
        <v>data analytics online</v>
      </c>
    </row>
    <row r="1494" spans="1:13" x14ac:dyDescent="0.3">
      <c r="A1494" t="s">
        <v>1507</v>
      </c>
      <c r="B1494" t="s">
        <v>14</v>
      </c>
      <c r="C1494" s="4">
        <f>VLOOKUP(Googleadssales[[#This Row],[Ad_ID]],'[1]pre processed data'!A:C,3,0)</f>
        <v>141</v>
      </c>
      <c r="D1494" s="4">
        <f>VLOOKUP(Googleadssales[[#This Row],[Ad_ID]],'[1]pre processed data'!A:E,5,0)</f>
        <v>4764</v>
      </c>
      <c r="E1494" s="5" t="str">
        <f>VLOOKUP(Googleadssales[[#This Row],[Ad_ID]],[1]!Table3[[Ad_ID]:[Cost-imputed]],7,0)</f>
        <v>$187.72</v>
      </c>
      <c r="F1494" s="4">
        <f>VLOOKUP(Googleadssales[[#This Row],[Ad_ID]],'[1]pre processed data'!A:I,9,0)</f>
        <v>28</v>
      </c>
      <c r="G1494" s="4">
        <f>VLOOKUP(Googleadssales[[#This Row],[Ad_ID]],'[1]pre processed data'!A:K,11,0)</f>
        <v>4</v>
      </c>
      <c r="H1494" s="2">
        <f>Googleadssales[[#This Row],[Conversions]]/Googleadssales[[#This Row],[Clicks]]</f>
        <v>2.8368794326241134E-2</v>
      </c>
      <c r="I1494" t="str">
        <f>VLOOKUP(Googleadssales[[#This Row],[Ad_ID]],'[1]pre processed data'!A:O,15,0)</f>
        <v>$1428</v>
      </c>
      <c r="J1494" s="3">
        <f>VLOOKUP(Googleadssales[[#This Row],[Ad_ID]],'[1]pre processed data'!A:Q,17,0)</f>
        <v>45612</v>
      </c>
      <c r="K1494" t="str">
        <f>VLOOKUP(Googleadssales[[#This Row],[Ad_ID]],'[1]pre processed data'!A:R,18,0)</f>
        <v>Bangaluru</v>
      </c>
      <c r="L1494" t="str">
        <f>VLOOKUP(Googleadssales[[#This Row],[Ad_ID]],'[1]pre processed data'!A:S,19,0)</f>
        <v>Mobile</v>
      </c>
      <c r="M1494" t="str">
        <f>VLOOKUP(Googleadssales[[#This Row],[Ad_ID]],'[1]pre processed data'!A:T,20,0)</f>
        <v>analytics for data</v>
      </c>
    </row>
    <row r="1495" spans="1:13" x14ac:dyDescent="0.3">
      <c r="A1495" t="s">
        <v>1508</v>
      </c>
      <c r="B1495" t="s">
        <v>18</v>
      </c>
      <c r="C1495" s="4">
        <f>VLOOKUP(Googleadssales[[#This Row],[Ad_ID]],'[1]pre processed data'!A:C,3,0)</f>
        <v>186</v>
      </c>
      <c r="D1495" s="4">
        <f>VLOOKUP(Googleadssales[[#This Row],[Ad_ID]],'[1]pre processed data'!A:E,5,0)</f>
        <v>4603</v>
      </c>
      <c r="E1495" s="5" t="str">
        <f>VLOOKUP(Googleadssales[[#This Row],[Ad_ID]],[1]!Table3[[Ad_ID]:[Cost-imputed]],7,0)</f>
        <v>$191.84</v>
      </c>
      <c r="F1495" s="4">
        <f>VLOOKUP(Googleadssales[[#This Row],[Ad_ID]],'[1]pre processed data'!A:I,9,0)</f>
        <v>26</v>
      </c>
      <c r="G1495" s="4">
        <f>VLOOKUP(Googleadssales[[#This Row],[Ad_ID]],'[1]pre processed data'!A:K,11,0)</f>
        <v>9</v>
      </c>
      <c r="H1495" s="2">
        <f>Googleadssales[[#This Row],[Conversions]]/Googleadssales[[#This Row],[Clicks]]</f>
        <v>4.8387096774193547E-2</v>
      </c>
      <c r="I1495" t="str">
        <f>VLOOKUP(Googleadssales[[#This Row],[Ad_ID]],'[1]pre processed data'!A:O,15,0)</f>
        <v>$1918</v>
      </c>
      <c r="J1495" s="3">
        <f>VLOOKUP(Googleadssales[[#This Row],[Ad_ID]],'[1]pre processed data'!A:Q,17,0)</f>
        <v>45603</v>
      </c>
      <c r="K1495" t="str">
        <f>VLOOKUP(Googleadssales[[#This Row],[Ad_ID]],'[1]pre processed data'!A:R,18,0)</f>
        <v>Hyderabad</v>
      </c>
      <c r="L1495" t="str">
        <f>VLOOKUP(Googleadssales[[#This Row],[Ad_ID]],'[1]pre processed data'!A:S,19,0)</f>
        <v>Desktop</v>
      </c>
      <c r="M1495" t="str">
        <f>VLOOKUP(Googleadssales[[#This Row],[Ad_ID]],'[1]pre processed data'!A:T,20,0)</f>
        <v>learn data analytics</v>
      </c>
    </row>
    <row r="1496" spans="1:13" x14ac:dyDescent="0.3">
      <c r="A1496" t="s">
        <v>1509</v>
      </c>
      <c r="B1496" t="s">
        <v>14</v>
      </c>
      <c r="C1496" s="4">
        <f>VLOOKUP(Googleadssales[[#This Row],[Ad_ID]],'[1]pre processed data'!A:C,3,0)</f>
        <v>138.95699356913184</v>
      </c>
      <c r="D1496" s="4">
        <f>VLOOKUP(Googleadssales[[#This Row],[Ad_ID]],'[1]pre processed data'!A:E,5,0)</f>
        <v>5003</v>
      </c>
      <c r="E1496" s="5" t="str">
        <f>VLOOKUP(Googleadssales[[#This Row],[Ad_ID]],[1]!Table3[[Ad_ID]:[Cost-imputed]],7,0)</f>
        <v>$195.4</v>
      </c>
      <c r="F1496" s="4">
        <f>VLOOKUP(Googleadssales[[#This Row],[Ad_ID]],'[1]pre processed data'!A:I,9,0)</f>
        <v>15</v>
      </c>
      <c r="G1496" s="4">
        <f>VLOOKUP(Googleadssales[[#This Row],[Ad_ID]],'[1]pre processed data'!A:K,11,0)</f>
        <v>7</v>
      </c>
      <c r="H1496" s="2">
        <f>Googleadssales[[#This Row],[Conversions]]/Googleadssales[[#This Row],[Clicks]]</f>
        <v>5.0375298286210138E-2</v>
      </c>
      <c r="I1496" t="str">
        <f>VLOOKUP(Googleadssales[[#This Row],[Ad_ID]],'[1]pre processed data'!A:O,15,0)</f>
        <v>$1273</v>
      </c>
      <c r="J1496" s="3">
        <f>VLOOKUP(Googleadssales[[#This Row],[Ad_ID]],'[1]pre processed data'!A:Q,17,0)</f>
        <v>45614</v>
      </c>
      <c r="K1496" t="str">
        <f>VLOOKUP(Googleadssales[[#This Row],[Ad_ID]],'[1]pre processed data'!A:R,18,0)</f>
        <v>Chennai</v>
      </c>
      <c r="L1496" t="str">
        <f>VLOOKUP(Googleadssales[[#This Row],[Ad_ID]],'[1]pre processed data'!A:S,19,0)</f>
        <v>Desktop</v>
      </c>
      <c r="M1496" t="str">
        <f>VLOOKUP(Googleadssales[[#This Row],[Ad_ID]],'[1]pre processed data'!A:T,20,0)</f>
        <v>data analytics training</v>
      </c>
    </row>
    <row r="1497" spans="1:13" x14ac:dyDescent="0.3">
      <c r="A1497" t="s">
        <v>1510</v>
      </c>
      <c r="B1497" t="s">
        <v>14</v>
      </c>
      <c r="C1497" s="4">
        <f>VLOOKUP(Googleadssales[[#This Row],[Ad_ID]],'[1]pre processed data'!A:C,3,0)</f>
        <v>124</v>
      </c>
      <c r="D1497" s="4">
        <f>VLOOKUP(Googleadssales[[#This Row],[Ad_ID]],'[1]pre processed data'!A:E,5,0)</f>
        <v>5212</v>
      </c>
      <c r="E1497" s="5" t="str">
        <f>VLOOKUP(Googleadssales[[#This Row],[Ad_ID]],[1]!Table3[[Ad_ID]:[Cost-imputed]],7,0)</f>
        <v>$190.83</v>
      </c>
      <c r="F1497" s="4">
        <f>VLOOKUP(Googleadssales[[#This Row],[Ad_ID]],'[1]pre processed data'!A:I,9,0)</f>
        <v>13</v>
      </c>
      <c r="G1497" s="4">
        <f>VLOOKUP(Googleadssales[[#This Row],[Ad_ID]],'[1]pre processed data'!A:K,11,0)</f>
        <v>6</v>
      </c>
      <c r="H1497" s="2">
        <f>Googleadssales[[#This Row],[Conversions]]/Googleadssales[[#This Row],[Clicks]]</f>
        <v>4.8387096774193547E-2</v>
      </c>
      <c r="I1497" t="str">
        <f>VLOOKUP(Googleadssales[[#This Row],[Ad_ID]],'[1]pre processed data'!A:O,15,0)</f>
        <v>$1399</v>
      </c>
      <c r="J1497" s="3">
        <f>VLOOKUP(Googleadssales[[#This Row],[Ad_ID]],'[1]pre processed data'!A:Q,17,0)</f>
        <v>45603</v>
      </c>
      <c r="K1497" t="str">
        <f>VLOOKUP(Googleadssales[[#This Row],[Ad_ID]],'[1]pre processed data'!A:R,18,0)</f>
        <v>Bangaluru</v>
      </c>
      <c r="L1497" t="str">
        <f>VLOOKUP(Googleadssales[[#This Row],[Ad_ID]],'[1]pre processed data'!A:S,19,0)</f>
        <v>Desktop</v>
      </c>
      <c r="M1497" t="str">
        <f>VLOOKUP(Googleadssales[[#This Row],[Ad_ID]],'[1]pre processed data'!A:T,20,0)</f>
        <v>data analytics course</v>
      </c>
    </row>
    <row r="1498" spans="1:13" x14ac:dyDescent="0.3">
      <c r="A1498" t="s">
        <v>1511</v>
      </c>
      <c r="B1498" t="s">
        <v>14</v>
      </c>
      <c r="C1498" s="4">
        <f>VLOOKUP(Googleadssales[[#This Row],[Ad_ID]],'[1]pre processed data'!A:C,3,0)</f>
        <v>97</v>
      </c>
      <c r="D1498" s="4">
        <f>VLOOKUP(Googleadssales[[#This Row],[Ad_ID]],'[1]pre processed data'!A:E,5,0)</f>
        <v>5285</v>
      </c>
      <c r="E1498" s="5" t="str">
        <f>VLOOKUP(Googleadssales[[#This Row],[Ad_ID]],[1]!Table3[[Ad_ID]:[Cost-imputed]],7,0)</f>
        <v>$249.65</v>
      </c>
      <c r="F1498" s="4">
        <f>VLOOKUP(Googleadssales[[#This Row],[Ad_ID]],'[1]pre processed data'!A:I,9,0)</f>
        <v>12</v>
      </c>
      <c r="G1498" s="4">
        <f>VLOOKUP(Googleadssales[[#This Row],[Ad_ID]],'[1]pre processed data'!A:K,11,0)</f>
        <v>7</v>
      </c>
      <c r="H1498" s="2">
        <f>Googleadssales[[#This Row],[Conversions]]/Googleadssales[[#This Row],[Clicks]]</f>
        <v>7.2164948453608241E-2</v>
      </c>
      <c r="I1498" t="str">
        <f>VLOOKUP(Googleadssales[[#This Row],[Ad_ID]],'[1]pre processed data'!A:O,15,0)</f>
        <v>$1411</v>
      </c>
      <c r="J1498" s="3">
        <f>VLOOKUP(Googleadssales[[#This Row],[Ad_ID]],'[1]pre processed data'!A:Q,17,0)</f>
        <v>45623</v>
      </c>
      <c r="K1498" t="str">
        <f>VLOOKUP(Googleadssales[[#This Row],[Ad_ID]],'[1]pre processed data'!A:R,18,0)</f>
        <v>Bangaluru</v>
      </c>
      <c r="L1498" t="str">
        <f>VLOOKUP(Googleadssales[[#This Row],[Ad_ID]],'[1]pre processed data'!A:S,19,0)</f>
        <v>Desktop</v>
      </c>
      <c r="M1498" t="str">
        <f>VLOOKUP(Googleadssales[[#This Row],[Ad_ID]],'[1]pre processed data'!A:T,20,0)</f>
        <v>data analytics training</v>
      </c>
    </row>
    <row r="1499" spans="1:13" x14ac:dyDescent="0.3">
      <c r="A1499" t="s">
        <v>1512</v>
      </c>
      <c r="B1499" t="s">
        <v>14</v>
      </c>
      <c r="C1499" s="4">
        <f>VLOOKUP(Googleadssales[[#This Row],[Ad_ID]],'[1]pre processed data'!A:C,3,0)</f>
        <v>111</v>
      </c>
      <c r="D1499" s="4">
        <f>VLOOKUP(Googleadssales[[#This Row],[Ad_ID]],'[1]pre processed data'!A:E,5,0)</f>
        <v>3177</v>
      </c>
      <c r="E1499" s="5" t="str">
        <f>VLOOKUP(Googleadssales[[#This Row],[Ad_ID]],[1]!Table3[[Ad_ID]:[Cost-imputed]],7,0)</f>
        <v>$224.51</v>
      </c>
      <c r="F1499" s="4">
        <f>VLOOKUP(Googleadssales[[#This Row],[Ad_ID]],'[1]pre processed data'!A:I,9,0)</f>
        <v>18</v>
      </c>
      <c r="G1499" s="4">
        <f>VLOOKUP(Googleadssales[[#This Row],[Ad_ID]],'[1]pre processed data'!A:K,11,0)</f>
        <v>8</v>
      </c>
      <c r="H1499" s="2">
        <f>Googleadssales[[#This Row],[Conversions]]/Googleadssales[[#This Row],[Clicks]]</f>
        <v>7.2072072072072071E-2</v>
      </c>
      <c r="I1499" t="str">
        <f>VLOOKUP(Googleadssales[[#This Row],[Ad_ID]],'[1]pre processed data'!A:O,15,0)</f>
        <v>$1946</v>
      </c>
      <c r="J1499" s="3">
        <f>VLOOKUP(Googleadssales[[#This Row],[Ad_ID]],'[1]pre processed data'!A:Q,17,0)</f>
        <v>45621</v>
      </c>
      <c r="K1499" t="str">
        <f>VLOOKUP(Googleadssales[[#This Row],[Ad_ID]],'[1]pre processed data'!A:R,18,0)</f>
        <v>Hyderabad</v>
      </c>
      <c r="L1499" t="str">
        <f>VLOOKUP(Googleadssales[[#This Row],[Ad_ID]],'[1]pre processed data'!A:S,19,0)</f>
        <v>Desktop</v>
      </c>
      <c r="M1499" t="str">
        <f>VLOOKUP(Googleadssales[[#This Row],[Ad_ID]],'[1]pre processed data'!A:T,20,0)</f>
        <v>learn data analytics</v>
      </c>
    </row>
    <row r="1500" spans="1:13" x14ac:dyDescent="0.3">
      <c r="A1500" t="s">
        <v>1513</v>
      </c>
      <c r="B1500" t="s">
        <v>14</v>
      </c>
      <c r="C1500" s="4">
        <f>VLOOKUP(Googleadssales[[#This Row],[Ad_ID]],'[1]pre processed data'!A:C,3,0)</f>
        <v>93</v>
      </c>
      <c r="D1500" s="4">
        <f>VLOOKUP(Googleadssales[[#This Row],[Ad_ID]],'[1]pre processed data'!A:E,5,0)</f>
        <v>5571</v>
      </c>
      <c r="E1500" s="5" t="str">
        <f>VLOOKUP(Googleadssales[[#This Row],[Ad_ID]],[1]!Table3[[Ad_ID]:[Cost-imputed]],7,0)</f>
        <v>$185.71</v>
      </c>
      <c r="F1500" s="4">
        <f>VLOOKUP(Googleadssales[[#This Row],[Ad_ID]],'[1]pre processed data'!A:I,9,0)</f>
        <v>12</v>
      </c>
      <c r="G1500" s="4">
        <f>VLOOKUP(Googleadssales[[#This Row],[Ad_ID]],'[1]pre processed data'!A:K,11,0)</f>
        <v>7</v>
      </c>
      <c r="H1500" s="2">
        <f>Googleadssales[[#This Row],[Conversions]]/Googleadssales[[#This Row],[Clicks]]</f>
        <v>7.5268817204301078E-2</v>
      </c>
      <c r="I1500" t="str">
        <f>VLOOKUP(Googleadssales[[#This Row],[Ad_ID]],'[1]pre processed data'!A:O,15,0)</f>
        <v>$1630</v>
      </c>
      <c r="J1500" s="3">
        <f>VLOOKUP(Googleadssales[[#This Row],[Ad_ID]],'[1]pre processed data'!A:Q,17,0)</f>
        <v>45617</v>
      </c>
      <c r="K1500" t="str">
        <f>VLOOKUP(Googleadssales[[#This Row],[Ad_ID]],'[1]pre processed data'!A:R,18,0)</f>
        <v>Hyderabad</v>
      </c>
      <c r="L1500" t="str">
        <f>VLOOKUP(Googleadssales[[#This Row],[Ad_ID]],'[1]pre processed data'!A:S,19,0)</f>
        <v>Tablet</v>
      </c>
      <c r="M1500" t="str">
        <f>VLOOKUP(Googleadssales[[#This Row],[Ad_ID]],'[1]pre processed data'!A:T,20,0)</f>
        <v>online data analytic</v>
      </c>
    </row>
    <row r="1501" spans="1:13" x14ac:dyDescent="0.3">
      <c r="A1501" t="s">
        <v>1514</v>
      </c>
      <c r="B1501" t="s">
        <v>14</v>
      </c>
      <c r="C1501" s="4">
        <f>VLOOKUP(Googleadssales[[#This Row],[Ad_ID]],'[1]pre processed data'!A:C,3,0)</f>
        <v>92</v>
      </c>
      <c r="D1501" s="4">
        <f>VLOOKUP(Googleadssales[[#This Row],[Ad_ID]],'[1]pre processed data'!A:E,5,0)</f>
        <v>3237</v>
      </c>
      <c r="E1501" s="5" t="str">
        <f>VLOOKUP(Googleadssales[[#This Row],[Ad_ID]],[1]!Table3[[Ad_ID]:[Cost-imputed]],7,0)</f>
        <v>$245.48</v>
      </c>
      <c r="F1501" s="4">
        <f>VLOOKUP(Googleadssales[[#This Row],[Ad_ID]],'[1]pre processed data'!A:I,9,0)</f>
        <v>15</v>
      </c>
      <c r="G1501" s="4">
        <f>VLOOKUP(Googleadssales[[#This Row],[Ad_ID]],'[1]pre processed data'!A:K,11,0)</f>
        <v>6</v>
      </c>
      <c r="H1501" s="2">
        <f>Googleadssales[[#This Row],[Conversions]]/Googleadssales[[#This Row],[Clicks]]</f>
        <v>6.5217391304347824E-2</v>
      </c>
      <c r="I1501" t="str">
        <f>VLOOKUP(Googleadssales[[#This Row],[Ad_ID]],'[1]pre processed data'!A:O,15,0)</f>
        <v>$1500</v>
      </c>
      <c r="J1501" s="3">
        <f>VLOOKUP(Googleadssales[[#This Row],[Ad_ID]],'[1]pre processed data'!A:Q,17,0)</f>
        <v>45615</v>
      </c>
      <c r="K1501" t="str">
        <f>VLOOKUP(Googleadssales[[#This Row],[Ad_ID]],'[1]pre processed data'!A:R,18,0)</f>
        <v>Chennai</v>
      </c>
      <c r="L1501" t="str">
        <f>VLOOKUP(Googleadssales[[#This Row],[Ad_ID]],'[1]pre processed data'!A:S,19,0)</f>
        <v>Desktop</v>
      </c>
      <c r="M1501" t="str">
        <f>VLOOKUP(Googleadssales[[#This Row],[Ad_ID]],'[1]pre processed data'!A:T,20,0)</f>
        <v>data analytics online</v>
      </c>
    </row>
    <row r="1502" spans="1:13" x14ac:dyDescent="0.3">
      <c r="A1502" t="s">
        <v>1515</v>
      </c>
      <c r="B1502" t="s">
        <v>14</v>
      </c>
      <c r="C1502" s="4">
        <f>VLOOKUP(Googleadssales[[#This Row],[Ad_ID]],'[1]pre processed data'!A:C,3,0)</f>
        <v>138</v>
      </c>
      <c r="D1502" s="4">
        <f>VLOOKUP(Googleadssales[[#This Row],[Ad_ID]],'[1]pre processed data'!A:E,5,0)</f>
        <v>5314</v>
      </c>
      <c r="E1502" s="5" t="str">
        <f>VLOOKUP(Googleadssales[[#This Row],[Ad_ID]],[1]!Table3[[Ad_ID]:[Cost-imputed]],7,0)</f>
        <v>$198.39</v>
      </c>
      <c r="F1502" s="4">
        <f>VLOOKUP(Googleadssales[[#This Row],[Ad_ID]],'[1]pre processed data'!A:I,9,0)</f>
        <v>17</v>
      </c>
      <c r="G1502" s="4">
        <f>VLOOKUP(Googleadssales[[#This Row],[Ad_ID]],'[1]pre processed data'!A:K,11,0)</f>
        <v>10</v>
      </c>
      <c r="H1502" s="2">
        <f>Googleadssales[[#This Row],[Conversions]]/Googleadssales[[#This Row],[Clicks]]</f>
        <v>7.2463768115942032E-2</v>
      </c>
      <c r="I1502" t="str">
        <f>VLOOKUP(Googleadssales[[#This Row],[Ad_ID]],'[1]pre processed data'!A:O,15,0)</f>
        <v>$1250</v>
      </c>
      <c r="J1502" s="3">
        <f>VLOOKUP(Googleadssales[[#This Row],[Ad_ID]],'[1]pre processed data'!A:Q,17,0)</f>
        <v>45616</v>
      </c>
      <c r="K1502" t="str">
        <f>VLOOKUP(Googleadssales[[#This Row],[Ad_ID]],'[1]pre processed data'!A:R,18,0)</f>
        <v>Hyderabad</v>
      </c>
      <c r="L1502" t="str">
        <f>VLOOKUP(Googleadssales[[#This Row],[Ad_ID]],'[1]pre processed data'!A:S,19,0)</f>
        <v>Desktop</v>
      </c>
      <c r="M1502" t="str">
        <f>VLOOKUP(Googleadssales[[#This Row],[Ad_ID]],'[1]pre processed data'!A:T,20,0)</f>
        <v>online data analytic</v>
      </c>
    </row>
    <row r="1503" spans="1:13" x14ac:dyDescent="0.3">
      <c r="A1503" t="s">
        <v>1516</v>
      </c>
      <c r="B1503" t="s">
        <v>14</v>
      </c>
      <c r="C1503" s="4">
        <f>VLOOKUP(Googleadssales[[#This Row],[Ad_ID]],'[1]pre processed data'!A:C,3,0)</f>
        <v>129</v>
      </c>
      <c r="D1503" s="4">
        <f>VLOOKUP(Googleadssales[[#This Row],[Ad_ID]],'[1]pre processed data'!A:E,5,0)</f>
        <v>4452</v>
      </c>
      <c r="E1503" s="5" t="str">
        <f>VLOOKUP(Googleadssales[[#This Row],[Ad_ID]],[1]!Table3[[Ad_ID]:[Cost-imputed]],7,0)</f>
        <v>$196.06</v>
      </c>
      <c r="F1503" s="4">
        <f>VLOOKUP(Googleadssales[[#This Row],[Ad_ID]],'[1]pre processed data'!A:I,9,0)</f>
        <v>10</v>
      </c>
      <c r="G1503" s="4">
        <f>VLOOKUP(Googleadssales[[#This Row],[Ad_ID]],'[1]pre processed data'!A:K,11,0)</f>
        <v>9</v>
      </c>
      <c r="H1503" s="2">
        <f>Googleadssales[[#This Row],[Conversions]]/Googleadssales[[#This Row],[Clicks]]</f>
        <v>6.9767441860465115E-2</v>
      </c>
      <c r="I1503" t="str">
        <f>VLOOKUP(Googleadssales[[#This Row],[Ad_ID]],'[1]pre processed data'!A:O,15,0)</f>
        <v>$1069</v>
      </c>
      <c r="J1503" s="3">
        <f>VLOOKUP(Googleadssales[[#This Row],[Ad_ID]],'[1]pre processed data'!A:Q,17,0)</f>
        <v>45609</v>
      </c>
      <c r="K1503" t="str">
        <f>VLOOKUP(Googleadssales[[#This Row],[Ad_ID]],'[1]pre processed data'!A:R,18,0)</f>
        <v>Chennai</v>
      </c>
      <c r="L1503" t="str">
        <f>VLOOKUP(Googleadssales[[#This Row],[Ad_ID]],'[1]pre processed data'!A:S,19,0)</f>
        <v>Tablet</v>
      </c>
      <c r="M1503" t="str">
        <f>VLOOKUP(Googleadssales[[#This Row],[Ad_ID]],'[1]pre processed data'!A:T,20,0)</f>
        <v>learn data analytics</v>
      </c>
    </row>
    <row r="1504" spans="1:13" x14ac:dyDescent="0.3">
      <c r="A1504" t="s">
        <v>1517</v>
      </c>
      <c r="B1504" t="s">
        <v>18</v>
      </c>
      <c r="C1504" s="4">
        <f>VLOOKUP(Googleadssales[[#This Row],[Ad_ID]],'[1]pre processed data'!A:C,3,0)</f>
        <v>183</v>
      </c>
      <c r="D1504" s="4">
        <f>VLOOKUP(Googleadssales[[#This Row],[Ad_ID]],'[1]pre processed data'!A:E,5,0)</f>
        <v>3920</v>
      </c>
      <c r="E1504" s="5" t="str">
        <f>VLOOKUP(Googleadssales[[#This Row],[Ad_ID]],[1]!Table3[[Ad_ID]:[Cost-imputed]],7,0)</f>
        <v>$235.79</v>
      </c>
      <c r="F1504" s="4">
        <f>VLOOKUP(Googleadssales[[#This Row],[Ad_ID]],'[1]pre processed data'!A:I,9,0)</f>
        <v>20</v>
      </c>
      <c r="G1504" s="4">
        <f>VLOOKUP(Googleadssales[[#This Row],[Ad_ID]],'[1]pre processed data'!A:K,11,0)</f>
        <v>7</v>
      </c>
      <c r="H1504" s="2">
        <f>Googleadssales[[#This Row],[Conversions]]/Googleadssales[[#This Row],[Clicks]]</f>
        <v>3.825136612021858E-2</v>
      </c>
      <c r="I1504" t="str">
        <f>VLOOKUP(Googleadssales[[#This Row],[Ad_ID]],'[1]pre processed data'!A:O,15,0)</f>
        <v>$1238</v>
      </c>
      <c r="J1504" s="3">
        <f>VLOOKUP(Googleadssales[[#This Row],[Ad_ID]],'[1]pre processed data'!A:Q,17,0)</f>
        <v>45613</v>
      </c>
      <c r="K1504" t="str">
        <f>VLOOKUP(Googleadssales[[#This Row],[Ad_ID]],'[1]pre processed data'!A:R,18,0)</f>
        <v>Chennai</v>
      </c>
      <c r="L1504" t="str">
        <f>VLOOKUP(Googleadssales[[#This Row],[Ad_ID]],'[1]pre processed data'!A:S,19,0)</f>
        <v>Mobile</v>
      </c>
      <c r="M1504" t="str">
        <f>VLOOKUP(Googleadssales[[#This Row],[Ad_ID]],'[1]pre processed data'!A:T,20,0)</f>
        <v>data analytics training</v>
      </c>
    </row>
    <row r="1505" spans="1:13" x14ac:dyDescent="0.3">
      <c r="A1505" t="s">
        <v>1518</v>
      </c>
      <c r="B1505" t="s">
        <v>14</v>
      </c>
      <c r="C1505" s="4">
        <f>VLOOKUP(Googleadssales[[#This Row],[Ad_ID]],'[1]pre processed data'!A:C,3,0)</f>
        <v>154</v>
      </c>
      <c r="D1505" s="4">
        <f>VLOOKUP(Googleadssales[[#This Row],[Ad_ID]],'[1]pre processed data'!A:E,5,0)</f>
        <v>4603</v>
      </c>
      <c r="E1505" s="5" t="str">
        <f>VLOOKUP(Googleadssales[[#This Row],[Ad_ID]],[1]!Table3[[Ad_ID]:[Cost-imputed]],7,0)</f>
        <v>$214.0</v>
      </c>
      <c r="F1505" s="4">
        <f>VLOOKUP(Googleadssales[[#This Row],[Ad_ID]],'[1]pre processed data'!A:I,9,0)</f>
        <v>20</v>
      </c>
      <c r="G1505" s="4">
        <f>VLOOKUP(Googleadssales[[#This Row],[Ad_ID]],'[1]pre processed data'!A:K,11,0)</f>
        <v>3</v>
      </c>
      <c r="H1505" s="2">
        <f>Googleadssales[[#This Row],[Conversions]]/Googleadssales[[#This Row],[Clicks]]</f>
        <v>1.948051948051948E-2</v>
      </c>
      <c r="I1505" t="str">
        <f>VLOOKUP(Googleadssales[[#This Row],[Ad_ID]],'[1]pre processed data'!A:O,15,0)</f>
        <v>$1709</v>
      </c>
      <c r="J1505" s="3">
        <f>VLOOKUP(Googleadssales[[#This Row],[Ad_ID]],'[1]pre processed data'!A:Q,17,0)</f>
        <v>45614</v>
      </c>
      <c r="K1505" t="str">
        <f>VLOOKUP(Googleadssales[[#This Row],[Ad_ID]],'[1]pre processed data'!A:R,18,0)</f>
        <v>Hyderabad</v>
      </c>
      <c r="L1505" t="str">
        <f>VLOOKUP(Googleadssales[[#This Row],[Ad_ID]],'[1]pre processed data'!A:S,19,0)</f>
        <v>Tablet</v>
      </c>
      <c r="M1505" t="str">
        <f>VLOOKUP(Googleadssales[[#This Row],[Ad_ID]],'[1]pre processed data'!A:T,20,0)</f>
        <v>data analytics course</v>
      </c>
    </row>
    <row r="1506" spans="1:13" x14ac:dyDescent="0.3">
      <c r="A1506" t="s">
        <v>1519</v>
      </c>
      <c r="B1506" t="s">
        <v>18</v>
      </c>
      <c r="C1506" s="4">
        <f>VLOOKUP(Googleadssales[[#This Row],[Ad_ID]],'[1]pre processed data'!A:C,3,0)</f>
        <v>95</v>
      </c>
      <c r="D1506" s="4">
        <f>VLOOKUP(Googleadssales[[#This Row],[Ad_ID]],'[1]pre processed data'!A:E,5,0)</f>
        <v>4938</v>
      </c>
      <c r="E1506" s="5" t="str">
        <f>VLOOKUP(Googleadssales[[#This Row],[Ad_ID]],[1]!Table3[[Ad_ID]:[Cost-imputed]],7,0)</f>
        <v>$204.5</v>
      </c>
      <c r="F1506" s="4">
        <f>VLOOKUP(Googleadssales[[#This Row],[Ad_ID]],'[1]pre processed data'!A:I,9,0)</f>
        <v>12</v>
      </c>
      <c r="G1506" s="4">
        <f>VLOOKUP(Googleadssales[[#This Row],[Ad_ID]],'[1]pre processed data'!A:K,11,0)</f>
        <v>6</v>
      </c>
      <c r="H1506" s="2">
        <f>Googleadssales[[#This Row],[Conversions]]/Googleadssales[[#This Row],[Clicks]]</f>
        <v>6.3157894736842107E-2</v>
      </c>
      <c r="I1506" t="str">
        <f>VLOOKUP(Googleadssales[[#This Row],[Ad_ID]],'[1]pre processed data'!A:O,15,0)</f>
        <v>$1494</v>
      </c>
      <c r="J1506" s="3">
        <f>VLOOKUP(Googleadssales[[#This Row],[Ad_ID]],'[1]pre processed data'!A:Q,17,0)</f>
        <v>45614</v>
      </c>
      <c r="K1506" t="str">
        <f>VLOOKUP(Googleadssales[[#This Row],[Ad_ID]],'[1]pre processed data'!A:R,18,0)</f>
        <v>Bangaluru</v>
      </c>
      <c r="L1506" t="str">
        <f>VLOOKUP(Googleadssales[[#This Row],[Ad_ID]],'[1]pre processed data'!A:S,19,0)</f>
        <v>Tablet</v>
      </c>
      <c r="M1506" t="str">
        <f>VLOOKUP(Googleadssales[[#This Row],[Ad_ID]],'[1]pre processed data'!A:T,20,0)</f>
        <v>data analytics training</v>
      </c>
    </row>
    <row r="1507" spans="1:13" x14ac:dyDescent="0.3">
      <c r="A1507" t="s">
        <v>1520</v>
      </c>
      <c r="B1507" t="s">
        <v>14</v>
      </c>
      <c r="C1507" s="4">
        <f>VLOOKUP(Googleadssales[[#This Row],[Ad_ID]],'[1]pre processed data'!A:C,3,0)</f>
        <v>173</v>
      </c>
      <c r="D1507" s="4">
        <f>VLOOKUP(Googleadssales[[#This Row],[Ad_ID]],'[1]pre processed data'!A:E,5,0)</f>
        <v>5291</v>
      </c>
      <c r="E1507" s="5" t="str">
        <f>VLOOKUP(Googleadssales[[#This Row],[Ad_ID]],[1]!Table3[[Ad_ID]:[Cost-imputed]],7,0)</f>
        <v>$200.00</v>
      </c>
      <c r="F1507" s="4">
        <f>VLOOKUP(Googleadssales[[#This Row],[Ad_ID]],'[1]pre processed data'!A:I,9,0)</f>
        <v>23</v>
      </c>
      <c r="G1507" s="4">
        <f>VLOOKUP(Googleadssales[[#This Row],[Ad_ID]],'[1]pre processed data'!A:K,11,0)</f>
        <v>8</v>
      </c>
      <c r="H1507" s="2">
        <f>Googleadssales[[#This Row],[Conversions]]/Googleadssales[[#This Row],[Clicks]]</f>
        <v>4.6242774566473986E-2</v>
      </c>
      <c r="I1507" t="str">
        <f>VLOOKUP(Googleadssales[[#This Row],[Ad_ID]],'[1]pre processed data'!A:O,15,0)</f>
        <v>$1557</v>
      </c>
      <c r="J1507" s="3">
        <f>VLOOKUP(Googleadssales[[#This Row],[Ad_ID]],'[1]pre processed data'!A:Q,17,0)</f>
        <v>45609</v>
      </c>
      <c r="K1507" t="str">
        <f>VLOOKUP(Googleadssales[[#This Row],[Ad_ID]],'[1]pre processed data'!A:R,18,0)</f>
        <v>Chennai</v>
      </c>
      <c r="L1507" t="str">
        <f>VLOOKUP(Googleadssales[[#This Row],[Ad_ID]],'[1]pre processed data'!A:S,19,0)</f>
        <v>Mobile</v>
      </c>
      <c r="M1507" t="str">
        <f>VLOOKUP(Googleadssales[[#This Row],[Ad_ID]],'[1]pre processed data'!A:T,20,0)</f>
        <v>data analytics online</v>
      </c>
    </row>
    <row r="1508" spans="1:13" x14ac:dyDescent="0.3">
      <c r="A1508" t="s">
        <v>1521</v>
      </c>
      <c r="B1508" t="s">
        <v>14</v>
      </c>
      <c r="C1508" s="4">
        <f>VLOOKUP(Googleadssales[[#This Row],[Ad_ID]],'[1]pre processed data'!A:C,3,0)</f>
        <v>112</v>
      </c>
      <c r="D1508" s="4">
        <f>VLOOKUP(Googleadssales[[#This Row],[Ad_ID]],'[1]pre processed data'!A:E,5,0)</f>
        <v>4072</v>
      </c>
      <c r="E1508" s="5" t="str">
        <f>VLOOKUP(Googleadssales[[#This Row],[Ad_ID]],[1]!Table3[[Ad_ID]:[Cost-imputed]],7,0)</f>
        <v>$211.56</v>
      </c>
      <c r="F1508" s="4">
        <f>VLOOKUP(Googleadssales[[#This Row],[Ad_ID]],'[1]pre processed data'!A:I,9,0)</f>
        <v>17</v>
      </c>
      <c r="G1508" s="4">
        <f>VLOOKUP(Googleadssales[[#This Row],[Ad_ID]],'[1]pre processed data'!A:K,11,0)</f>
        <v>10</v>
      </c>
      <c r="H1508" s="2">
        <f>Googleadssales[[#This Row],[Conversions]]/Googleadssales[[#This Row],[Clicks]]</f>
        <v>8.9285714285714288E-2</v>
      </c>
      <c r="I1508" t="str">
        <f>VLOOKUP(Googleadssales[[#This Row],[Ad_ID]],'[1]pre processed data'!A:O,15,0)</f>
        <v>$1229</v>
      </c>
      <c r="J1508" s="3">
        <f>VLOOKUP(Googleadssales[[#This Row],[Ad_ID]],'[1]pre processed data'!A:Q,17,0)</f>
        <v>45597</v>
      </c>
      <c r="K1508" t="str">
        <f>VLOOKUP(Googleadssales[[#This Row],[Ad_ID]],'[1]pre processed data'!A:R,18,0)</f>
        <v>Hyderabad</v>
      </c>
      <c r="L1508" t="str">
        <f>VLOOKUP(Googleadssales[[#This Row],[Ad_ID]],'[1]pre processed data'!A:S,19,0)</f>
        <v>Desktop</v>
      </c>
      <c r="M1508" t="str">
        <f>VLOOKUP(Googleadssales[[#This Row],[Ad_ID]],'[1]pre processed data'!A:T,20,0)</f>
        <v>analytics for data</v>
      </c>
    </row>
    <row r="1509" spans="1:13" x14ac:dyDescent="0.3">
      <c r="A1509" t="s">
        <v>1522</v>
      </c>
      <c r="B1509" t="s">
        <v>14</v>
      </c>
      <c r="C1509" s="4">
        <f>VLOOKUP(Googleadssales[[#This Row],[Ad_ID]],'[1]pre processed data'!A:C,3,0)</f>
        <v>170</v>
      </c>
      <c r="D1509" s="4">
        <f>VLOOKUP(Googleadssales[[#This Row],[Ad_ID]],'[1]pre processed data'!A:E,5,0)</f>
        <v>5953</v>
      </c>
      <c r="E1509" s="5" t="str">
        <f>VLOOKUP(Googleadssales[[#This Row],[Ad_ID]],[1]!Table3[[Ad_ID]:[Cost-imputed]],7,0)</f>
        <v>$186.11</v>
      </c>
      <c r="F1509" s="4">
        <f>VLOOKUP(Googleadssales[[#This Row],[Ad_ID]],'[1]pre processed data'!A:I,9,0)</f>
        <v>25</v>
      </c>
      <c r="G1509" s="4">
        <f>VLOOKUP(Googleadssales[[#This Row],[Ad_ID]],'[1]pre processed data'!A:K,11,0)</f>
        <v>8</v>
      </c>
      <c r="H1509" s="2">
        <f>Googleadssales[[#This Row],[Conversions]]/Googleadssales[[#This Row],[Clicks]]</f>
        <v>4.7058823529411764E-2</v>
      </c>
      <c r="I1509" t="str">
        <f>VLOOKUP(Googleadssales[[#This Row],[Ad_ID]],'[1]pre processed data'!A:O,15,0)</f>
        <v>$1080</v>
      </c>
      <c r="J1509" s="3">
        <f>VLOOKUP(Googleadssales[[#This Row],[Ad_ID]],'[1]pre processed data'!A:Q,17,0)</f>
        <v>45622</v>
      </c>
      <c r="K1509" t="str">
        <f>VLOOKUP(Googleadssales[[#This Row],[Ad_ID]],'[1]pre processed data'!A:R,18,0)</f>
        <v>Bangaluru</v>
      </c>
      <c r="L1509" t="str">
        <f>VLOOKUP(Googleadssales[[#This Row],[Ad_ID]],'[1]pre processed data'!A:S,19,0)</f>
        <v>Mobile</v>
      </c>
      <c r="M1509" t="str">
        <f>VLOOKUP(Googleadssales[[#This Row],[Ad_ID]],'[1]pre processed data'!A:T,20,0)</f>
        <v>data analytics online</v>
      </c>
    </row>
    <row r="1510" spans="1:13" x14ac:dyDescent="0.3">
      <c r="A1510" t="s">
        <v>1523</v>
      </c>
      <c r="B1510" t="s">
        <v>14</v>
      </c>
      <c r="C1510" s="4">
        <f>VLOOKUP(Googleadssales[[#This Row],[Ad_ID]],'[1]pre processed data'!A:C,3,0)</f>
        <v>96</v>
      </c>
      <c r="D1510" s="4">
        <f>VLOOKUP(Googleadssales[[#This Row],[Ad_ID]],'[1]pre processed data'!A:E,5,0)</f>
        <v>4523.2808326787117</v>
      </c>
      <c r="E1510" s="5" t="str">
        <f>VLOOKUP(Googleadssales[[#This Row],[Ad_ID]],[1]!Table3[[Ad_ID]:[Cost-imputed]],7,0)</f>
        <v>$232.87</v>
      </c>
      <c r="F1510" s="4">
        <f>VLOOKUP(Googleadssales[[#This Row],[Ad_ID]],'[1]pre processed data'!A:I,9,0)</f>
        <v>20.196613358419569</v>
      </c>
      <c r="G1510" s="4">
        <f>VLOOKUP(Googleadssales[[#This Row],[Ad_ID]],'[1]pre processed data'!A:K,11,0)</f>
        <v>10</v>
      </c>
      <c r="H1510" s="2">
        <f>Googleadssales[[#This Row],[Conversions]]/Googleadssales[[#This Row],[Clicks]]</f>
        <v>0.10416666666666667</v>
      </c>
      <c r="I1510" t="str">
        <f>VLOOKUP(Googleadssales[[#This Row],[Ad_ID]],'[1]pre processed data'!A:O,15,0)</f>
        <v>$1162</v>
      </c>
      <c r="J1510" s="3">
        <f>VLOOKUP(Googleadssales[[#This Row],[Ad_ID]],'[1]pre processed data'!A:Q,17,0)</f>
        <v>45610</v>
      </c>
      <c r="K1510" t="str">
        <f>VLOOKUP(Googleadssales[[#This Row],[Ad_ID]],'[1]pre processed data'!A:R,18,0)</f>
        <v>Hyderabad</v>
      </c>
      <c r="L1510" t="str">
        <f>VLOOKUP(Googleadssales[[#This Row],[Ad_ID]],'[1]pre processed data'!A:S,19,0)</f>
        <v>Mobile</v>
      </c>
      <c r="M1510" t="str">
        <f>VLOOKUP(Googleadssales[[#This Row],[Ad_ID]],'[1]pre processed data'!A:T,20,0)</f>
        <v>learn data analytics</v>
      </c>
    </row>
    <row r="1511" spans="1:13" x14ac:dyDescent="0.3">
      <c r="A1511" t="s">
        <v>1524</v>
      </c>
      <c r="B1511" t="s">
        <v>18</v>
      </c>
      <c r="C1511" s="4">
        <f>VLOOKUP(Googleadssales[[#This Row],[Ad_ID]],'[1]pre processed data'!A:C,3,0)</f>
        <v>113</v>
      </c>
      <c r="D1511" s="4">
        <f>VLOOKUP(Googleadssales[[#This Row],[Ad_ID]],'[1]pre processed data'!A:E,5,0)</f>
        <v>3104</v>
      </c>
      <c r="E1511" s="5" t="str">
        <f>VLOOKUP(Googleadssales[[#This Row],[Ad_ID]],[1]!Table3[[Ad_ID]:[Cost-imputed]],7,0)</f>
        <v>$230.92</v>
      </c>
      <c r="F1511" s="4">
        <f>VLOOKUP(Googleadssales[[#This Row],[Ad_ID]],'[1]pre processed data'!A:I,9,0)</f>
        <v>28</v>
      </c>
      <c r="G1511" s="4">
        <f>VLOOKUP(Googleadssales[[#This Row],[Ad_ID]],'[1]pre processed data'!A:K,11,0)</f>
        <v>9</v>
      </c>
      <c r="H1511" s="2">
        <f>Googleadssales[[#This Row],[Conversions]]/Googleadssales[[#This Row],[Clicks]]</f>
        <v>7.9646017699115043E-2</v>
      </c>
      <c r="I1511" t="str">
        <f>VLOOKUP(Googleadssales[[#This Row],[Ad_ID]],'[1]pre processed data'!A:O,15,0)</f>
        <v>$1422</v>
      </c>
      <c r="J1511" s="3">
        <f>VLOOKUP(Googleadssales[[#This Row],[Ad_ID]],'[1]pre processed data'!A:Q,17,0)</f>
        <v>45623</v>
      </c>
      <c r="K1511" t="str">
        <f>VLOOKUP(Googleadssales[[#This Row],[Ad_ID]],'[1]pre processed data'!A:R,18,0)</f>
        <v>Hyderabad</v>
      </c>
      <c r="L1511" t="str">
        <f>VLOOKUP(Googleadssales[[#This Row],[Ad_ID]],'[1]pre processed data'!A:S,19,0)</f>
        <v>Tablet</v>
      </c>
      <c r="M1511" t="str">
        <f>VLOOKUP(Googleadssales[[#This Row],[Ad_ID]],'[1]pre processed data'!A:T,20,0)</f>
        <v>data analytics course</v>
      </c>
    </row>
    <row r="1512" spans="1:13" x14ac:dyDescent="0.3">
      <c r="A1512" t="s">
        <v>1525</v>
      </c>
      <c r="B1512" t="s">
        <v>14</v>
      </c>
      <c r="C1512" s="4">
        <f>VLOOKUP(Googleadssales[[#This Row],[Ad_ID]],'[1]pre processed data'!A:C,3,0)</f>
        <v>145</v>
      </c>
      <c r="D1512" s="4">
        <f>VLOOKUP(Googleadssales[[#This Row],[Ad_ID]],'[1]pre processed data'!A:E,5,0)</f>
        <v>4882</v>
      </c>
      <c r="E1512" s="5" t="str">
        <f>VLOOKUP(Googleadssales[[#This Row],[Ad_ID]],[1]!Table3[[Ad_ID]:[Cost-imputed]],7,0)</f>
        <v>$217.25</v>
      </c>
      <c r="F1512" s="4">
        <f>VLOOKUP(Googleadssales[[#This Row],[Ad_ID]],'[1]pre processed data'!A:I,9,0)</f>
        <v>22</v>
      </c>
      <c r="G1512" s="4">
        <f>VLOOKUP(Googleadssales[[#This Row],[Ad_ID]],'[1]pre processed data'!A:K,11,0)</f>
        <v>3</v>
      </c>
      <c r="H1512" s="2">
        <f>Googleadssales[[#This Row],[Conversions]]/Googleadssales[[#This Row],[Clicks]]</f>
        <v>2.0689655172413793E-2</v>
      </c>
      <c r="I1512" t="str">
        <f>VLOOKUP(Googleadssales[[#This Row],[Ad_ID]],'[1]pre processed data'!A:O,15,0)</f>
        <v>$1814</v>
      </c>
      <c r="J1512" s="3">
        <f>VLOOKUP(Googleadssales[[#This Row],[Ad_ID]],'[1]pre processed data'!A:Q,17,0)</f>
        <v>45615</v>
      </c>
      <c r="K1512" t="str">
        <f>VLOOKUP(Googleadssales[[#This Row],[Ad_ID]],'[1]pre processed data'!A:R,18,0)</f>
        <v>Hyderabad</v>
      </c>
      <c r="L1512" t="str">
        <f>VLOOKUP(Googleadssales[[#This Row],[Ad_ID]],'[1]pre processed data'!A:S,19,0)</f>
        <v>Mobile</v>
      </c>
      <c r="M1512" t="str">
        <f>VLOOKUP(Googleadssales[[#This Row],[Ad_ID]],'[1]pre processed data'!A:T,20,0)</f>
        <v>analytics for data</v>
      </c>
    </row>
    <row r="1513" spans="1:13" x14ac:dyDescent="0.3">
      <c r="A1513" t="s">
        <v>1526</v>
      </c>
      <c r="B1513" t="s">
        <v>14</v>
      </c>
      <c r="C1513" s="4">
        <f>VLOOKUP(Googleadssales[[#This Row],[Ad_ID]],'[1]pre processed data'!A:C,3,0)</f>
        <v>83</v>
      </c>
      <c r="D1513" s="4">
        <f>VLOOKUP(Googleadssales[[#This Row],[Ad_ID]],'[1]pre processed data'!A:E,5,0)</f>
        <v>3212</v>
      </c>
      <c r="E1513" s="5" t="str">
        <f>VLOOKUP(Googleadssales[[#This Row],[Ad_ID]],[1]!Table3[[Ad_ID]:[Cost-imputed]],7,0)</f>
        <v>$243.86</v>
      </c>
      <c r="F1513" s="4">
        <f>VLOOKUP(Googleadssales[[#This Row],[Ad_ID]],'[1]pre processed data'!A:I,9,0)</f>
        <v>25</v>
      </c>
      <c r="G1513" s="4">
        <f>VLOOKUP(Googleadssales[[#This Row],[Ad_ID]],'[1]pre processed data'!A:K,11,0)</f>
        <v>4</v>
      </c>
      <c r="H1513" s="2">
        <f>Googleadssales[[#This Row],[Conversions]]/Googleadssales[[#This Row],[Clicks]]</f>
        <v>4.8192771084337352E-2</v>
      </c>
      <c r="I1513" t="str">
        <f>VLOOKUP(Googleadssales[[#This Row],[Ad_ID]],'[1]pre processed data'!A:O,15,0)</f>
        <v>$1612</v>
      </c>
      <c r="J1513" s="3">
        <f>VLOOKUP(Googleadssales[[#This Row],[Ad_ID]],'[1]pre processed data'!A:Q,17,0)</f>
        <v>45615</v>
      </c>
      <c r="K1513" t="str">
        <f>VLOOKUP(Googleadssales[[#This Row],[Ad_ID]],'[1]pre processed data'!A:R,18,0)</f>
        <v>Bangaluru</v>
      </c>
      <c r="L1513" t="str">
        <f>VLOOKUP(Googleadssales[[#This Row],[Ad_ID]],'[1]pre processed data'!A:S,19,0)</f>
        <v>Mobile</v>
      </c>
      <c r="M1513" t="str">
        <f>VLOOKUP(Googleadssales[[#This Row],[Ad_ID]],'[1]pre processed data'!A:T,20,0)</f>
        <v>data analytics course</v>
      </c>
    </row>
    <row r="1514" spans="1:13" x14ac:dyDescent="0.3">
      <c r="A1514" t="s">
        <v>1527</v>
      </c>
      <c r="B1514" t="s">
        <v>14</v>
      </c>
      <c r="C1514" s="4">
        <f>VLOOKUP(Googleadssales[[#This Row],[Ad_ID]],'[1]pre processed data'!A:C,3,0)</f>
        <v>90</v>
      </c>
      <c r="D1514" s="4">
        <f>VLOOKUP(Googleadssales[[#This Row],[Ad_ID]],'[1]pre processed data'!A:E,5,0)</f>
        <v>4973</v>
      </c>
      <c r="E1514" s="5" t="str">
        <f>VLOOKUP(Googleadssales[[#This Row],[Ad_ID]],[1]!Table3[[Ad_ID]:[Cost-imputed]],7,0)</f>
        <v>$181.04</v>
      </c>
      <c r="F1514" s="4">
        <f>VLOOKUP(Googleadssales[[#This Row],[Ad_ID]],'[1]pre processed data'!A:I,9,0)</f>
        <v>23</v>
      </c>
      <c r="G1514" s="4">
        <f>VLOOKUP(Googleadssales[[#This Row],[Ad_ID]],'[1]pre processed data'!A:K,11,0)</f>
        <v>5</v>
      </c>
      <c r="H1514" s="2">
        <f>Googleadssales[[#This Row],[Conversions]]/Googleadssales[[#This Row],[Clicks]]</f>
        <v>5.5555555555555552E-2</v>
      </c>
      <c r="I1514" t="str">
        <f>VLOOKUP(Googleadssales[[#This Row],[Ad_ID]],'[1]pre processed data'!A:O,15,0)</f>
        <v>$1039</v>
      </c>
      <c r="J1514" s="3">
        <f>VLOOKUP(Googleadssales[[#This Row],[Ad_ID]],'[1]pre processed data'!A:Q,17,0)</f>
        <v>45599</v>
      </c>
      <c r="K1514" t="str">
        <f>VLOOKUP(Googleadssales[[#This Row],[Ad_ID]],'[1]pre processed data'!A:R,18,0)</f>
        <v>Hyderabad</v>
      </c>
      <c r="L1514" t="str">
        <f>VLOOKUP(Googleadssales[[#This Row],[Ad_ID]],'[1]pre processed data'!A:S,19,0)</f>
        <v>Desktop</v>
      </c>
      <c r="M1514" t="str">
        <f>VLOOKUP(Googleadssales[[#This Row],[Ad_ID]],'[1]pre processed data'!A:T,20,0)</f>
        <v>online data analytic</v>
      </c>
    </row>
    <row r="1515" spans="1:13" x14ac:dyDescent="0.3">
      <c r="A1515" t="s">
        <v>1528</v>
      </c>
      <c r="B1515" t="s">
        <v>14</v>
      </c>
      <c r="C1515" s="4">
        <f>VLOOKUP(Googleadssales[[#This Row],[Ad_ID]],'[1]pre processed data'!A:C,3,0)</f>
        <v>140</v>
      </c>
      <c r="D1515" s="4">
        <f>VLOOKUP(Googleadssales[[#This Row],[Ad_ID]],'[1]pre processed data'!A:E,5,0)</f>
        <v>5227</v>
      </c>
      <c r="E1515" s="5" t="str">
        <f>VLOOKUP(Googleadssales[[#This Row],[Ad_ID]],[1]!Table3[[Ad_ID]:[Cost-imputed]],7,0)</f>
        <v>$222.57</v>
      </c>
      <c r="F1515" s="4">
        <f>VLOOKUP(Googleadssales[[#This Row],[Ad_ID]],'[1]pre processed data'!A:I,9,0)</f>
        <v>27</v>
      </c>
      <c r="G1515" s="4">
        <f>VLOOKUP(Googleadssales[[#This Row],[Ad_ID]],'[1]pre processed data'!A:K,11,0)</f>
        <v>3</v>
      </c>
      <c r="H1515" s="2">
        <f>Googleadssales[[#This Row],[Conversions]]/Googleadssales[[#This Row],[Clicks]]</f>
        <v>2.1428571428571429E-2</v>
      </c>
      <c r="I1515" t="str">
        <f>VLOOKUP(Googleadssales[[#This Row],[Ad_ID]],'[1]pre processed data'!A:O,15,0)</f>
        <v>$1527</v>
      </c>
      <c r="J1515" s="3">
        <f>VLOOKUP(Googleadssales[[#This Row],[Ad_ID]],'[1]pre processed data'!A:Q,17,0)</f>
        <v>45614</v>
      </c>
      <c r="K1515" t="str">
        <f>VLOOKUP(Googleadssales[[#This Row],[Ad_ID]],'[1]pre processed data'!A:R,18,0)</f>
        <v>Hyderabad</v>
      </c>
      <c r="L1515" t="str">
        <f>VLOOKUP(Googleadssales[[#This Row],[Ad_ID]],'[1]pre processed data'!A:S,19,0)</f>
        <v>Desktop</v>
      </c>
      <c r="M1515" t="str">
        <f>VLOOKUP(Googleadssales[[#This Row],[Ad_ID]],'[1]pre processed data'!A:T,20,0)</f>
        <v>learn data analytics</v>
      </c>
    </row>
    <row r="1516" spans="1:13" x14ac:dyDescent="0.3">
      <c r="A1516" t="s">
        <v>1529</v>
      </c>
      <c r="B1516" t="s">
        <v>18</v>
      </c>
      <c r="C1516" s="4">
        <f>VLOOKUP(Googleadssales[[#This Row],[Ad_ID]],'[1]pre processed data'!A:C,3,0)</f>
        <v>111</v>
      </c>
      <c r="D1516" s="4">
        <f>VLOOKUP(Googleadssales[[#This Row],[Ad_ID]],'[1]pre processed data'!A:E,5,0)</f>
        <v>5434</v>
      </c>
      <c r="E1516" s="5" t="str">
        <f>VLOOKUP(Googleadssales[[#This Row],[Ad_ID]],[1]!Table3[[Ad_ID]:[Cost-imputed]],7,0)</f>
        <v>$181.05</v>
      </c>
      <c r="F1516" s="4">
        <f>VLOOKUP(Googleadssales[[#This Row],[Ad_ID]],'[1]pre processed data'!A:I,9,0)</f>
        <v>10</v>
      </c>
      <c r="G1516" s="4">
        <f>VLOOKUP(Googleadssales[[#This Row],[Ad_ID]],'[1]pre processed data'!A:K,11,0)</f>
        <v>5</v>
      </c>
      <c r="H1516" s="2">
        <f>Googleadssales[[#This Row],[Conversions]]/Googleadssales[[#This Row],[Clicks]]</f>
        <v>4.5045045045045043E-2</v>
      </c>
      <c r="I1516" t="str">
        <f>VLOOKUP(Googleadssales[[#This Row],[Ad_ID]],'[1]pre processed data'!A:O,15,0)</f>
        <v>$1627</v>
      </c>
      <c r="J1516" s="3">
        <f>VLOOKUP(Googleadssales[[#This Row],[Ad_ID]],'[1]pre processed data'!A:Q,17,0)</f>
        <v>45619</v>
      </c>
      <c r="K1516" t="str">
        <f>VLOOKUP(Googleadssales[[#This Row],[Ad_ID]],'[1]pre processed data'!A:R,18,0)</f>
        <v>Chennai</v>
      </c>
      <c r="L1516" t="str">
        <f>VLOOKUP(Googleadssales[[#This Row],[Ad_ID]],'[1]pre processed data'!A:S,19,0)</f>
        <v>Mobile</v>
      </c>
      <c r="M1516" t="str">
        <f>VLOOKUP(Googleadssales[[#This Row],[Ad_ID]],'[1]pre processed data'!A:T,20,0)</f>
        <v>data analytics training</v>
      </c>
    </row>
    <row r="1517" spans="1:13" x14ac:dyDescent="0.3">
      <c r="A1517" t="s">
        <v>1530</v>
      </c>
      <c r="B1517" t="s">
        <v>14</v>
      </c>
      <c r="C1517" s="4">
        <f>VLOOKUP(Googleadssales[[#This Row],[Ad_ID]],'[1]pre processed data'!A:C,3,0)</f>
        <v>105</v>
      </c>
      <c r="D1517" s="4">
        <f>VLOOKUP(Googleadssales[[#This Row],[Ad_ID]],'[1]pre processed data'!A:E,5,0)</f>
        <v>3300</v>
      </c>
      <c r="E1517" s="5" t="str">
        <f>VLOOKUP(Googleadssales[[#This Row],[Ad_ID]],[1]!Table3[[Ad_ID]:[Cost-imputed]],7,0)</f>
        <v>$180.25</v>
      </c>
      <c r="F1517" s="4">
        <f>VLOOKUP(Googleadssales[[#This Row],[Ad_ID]],'[1]pre processed data'!A:I,9,0)</f>
        <v>22</v>
      </c>
      <c r="G1517" s="4">
        <f>VLOOKUP(Googleadssales[[#This Row],[Ad_ID]],'[1]pre processed data'!A:K,11,0)</f>
        <v>10</v>
      </c>
      <c r="H1517" s="2">
        <f>Googleadssales[[#This Row],[Conversions]]/Googleadssales[[#This Row],[Clicks]]</f>
        <v>9.5238095238095233E-2</v>
      </c>
      <c r="I1517" t="str">
        <f>VLOOKUP(Googleadssales[[#This Row],[Ad_ID]],'[1]pre processed data'!A:O,15,0)</f>
        <v>$1640</v>
      </c>
      <c r="J1517" s="3">
        <f>VLOOKUP(Googleadssales[[#This Row],[Ad_ID]],'[1]pre processed data'!A:Q,17,0)</f>
        <v>45617</v>
      </c>
      <c r="K1517" t="str">
        <f>VLOOKUP(Googleadssales[[#This Row],[Ad_ID]],'[1]pre processed data'!A:R,18,0)</f>
        <v>Bangaluru</v>
      </c>
      <c r="L1517" t="str">
        <f>VLOOKUP(Googleadssales[[#This Row],[Ad_ID]],'[1]pre processed data'!A:S,19,0)</f>
        <v>Mobile</v>
      </c>
      <c r="M1517" t="str">
        <f>VLOOKUP(Googleadssales[[#This Row],[Ad_ID]],'[1]pre processed data'!A:T,20,0)</f>
        <v>online data analytic</v>
      </c>
    </row>
    <row r="1518" spans="1:13" x14ac:dyDescent="0.3">
      <c r="A1518" t="s">
        <v>1531</v>
      </c>
      <c r="B1518" t="s">
        <v>14</v>
      </c>
      <c r="C1518" s="4">
        <f>VLOOKUP(Googleadssales[[#This Row],[Ad_ID]],'[1]pre processed data'!A:C,3,0)</f>
        <v>181</v>
      </c>
      <c r="D1518" s="4">
        <f>VLOOKUP(Googleadssales[[#This Row],[Ad_ID]],'[1]pre processed data'!A:E,5,0)</f>
        <v>4857</v>
      </c>
      <c r="E1518" s="5" t="str">
        <f>VLOOKUP(Googleadssales[[#This Row],[Ad_ID]],[1]!Table3[[Ad_ID]:[Cost-imputed]],7,0)</f>
        <v>$215.59</v>
      </c>
      <c r="F1518" s="4">
        <f>VLOOKUP(Googleadssales[[#This Row],[Ad_ID]],'[1]pre processed data'!A:I,9,0)</f>
        <v>13</v>
      </c>
      <c r="G1518" s="4">
        <f>VLOOKUP(Googleadssales[[#This Row],[Ad_ID]],'[1]pre processed data'!A:K,11,0)</f>
        <v>8</v>
      </c>
      <c r="H1518" s="2">
        <f>Googleadssales[[#This Row],[Conversions]]/Googleadssales[[#This Row],[Clicks]]</f>
        <v>4.4198895027624308E-2</v>
      </c>
      <c r="I1518" t="str">
        <f>VLOOKUP(Googleadssales[[#This Row],[Ad_ID]],'[1]pre processed data'!A:O,15,0)</f>
        <v>$1883</v>
      </c>
      <c r="J1518" s="3">
        <f>VLOOKUP(Googleadssales[[#This Row],[Ad_ID]],'[1]pre processed data'!A:Q,17,0)</f>
        <v>45619</v>
      </c>
      <c r="K1518" t="str">
        <f>VLOOKUP(Googleadssales[[#This Row],[Ad_ID]],'[1]pre processed data'!A:R,18,0)</f>
        <v>Bangaluru</v>
      </c>
      <c r="L1518" t="str">
        <f>VLOOKUP(Googleadssales[[#This Row],[Ad_ID]],'[1]pre processed data'!A:S,19,0)</f>
        <v>Desktop</v>
      </c>
      <c r="M1518" t="str">
        <f>VLOOKUP(Googleadssales[[#This Row],[Ad_ID]],'[1]pre processed data'!A:T,20,0)</f>
        <v>learn data analytics</v>
      </c>
    </row>
    <row r="1519" spans="1:13" x14ac:dyDescent="0.3">
      <c r="A1519" t="s">
        <v>1532</v>
      </c>
      <c r="B1519" t="s">
        <v>14</v>
      </c>
      <c r="C1519" s="4">
        <f>VLOOKUP(Googleadssales[[#This Row],[Ad_ID]],'[1]pre processed data'!A:C,3,0)</f>
        <v>189</v>
      </c>
      <c r="D1519" s="4">
        <f>VLOOKUP(Googleadssales[[#This Row],[Ad_ID]],'[1]pre processed data'!A:E,5,0)</f>
        <v>4019</v>
      </c>
      <c r="E1519" s="5" t="str">
        <f>VLOOKUP(Googleadssales[[#This Row],[Ad_ID]],[1]!Table3[[Ad_ID]:[Cost-imputed]],7,0)</f>
        <v>$248.09</v>
      </c>
      <c r="F1519" s="4">
        <f>VLOOKUP(Googleadssales[[#This Row],[Ad_ID]],'[1]pre processed data'!A:I,9,0)</f>
        <v>16</v>
      </c>
      <c r="G1519" s="4">
        <f>VLOOKUP(Googleadssales[[#This Row],[Ad_ID]],'[1]pre processed data'!A:K,11,0)</f>
        <v>6</v>
      </c>
      <c r="H1519" s="2">
        <f>Googleadssales[[#This Row],[Conversions]]/Googleadssales[[#This Row],[Clicks]]</f>
        <v>3.1746031746031744E-2</v>
      </c>
      <c r="I1519" t="str">
        <f>VLOOKUP(Googleadssales[[#This Row],[Ad_ID]],'[1]pre processed data'!A:O,15,0)</f>
        <v>$1378</v>
      </c>
      <c r="J1519" s="3">
        <f>VLOOKUP(Googleadssales[[#This Row],[Ad_ID]],'[1]pre processed data'!A:Q,17,0)</f>
        <v>45626</v>
      </c>
      <c r="K1519" t="str">
        <f>VLOOKUP(Googleadssales[[#This Row],[Ad_ID]],'[1]pre processed data'!A:R,18,0)</f>
        <v>Hyderabad</v>
      </c>
      <c r="L1519" t="str">
        <f>VLOOKUP(Googleadssales[[#This Row],[Ad_ID]],'[1]pre processed data'!A:S,19,0)</f>
        <v>Tablet</v>
      </c>
      <c r="M1519" t="str">
        <f>VLOOKUP(Googleadssales[[#This Row],[Ad_ID]],'[1]pre processed data'!A:T,20,0)</f>
        <v>online data analytic</v>
      </c>
    </row>
    <row r="1520" spans="1:13" x14ac:dyDescent="0.3">
      <c r="A1520" t="s">
        <v>1533</v>
      </c>
      <c r="B1520" t="s">
        <v>18</v>
      </c>
      <c r="C1520" s="4">
        <f>VLOOKUP(Googleadssales[[#This Row],[Ad_ID]],'[1]pre processed data'!A:C,3,0)</f>
        <v>138</v>
      </c>
      <c r="D1520" s="4">
        <f>VLOOKUP(Googleadssales[[#This Row],[Ad_ID]],'[1]pre processed data'!A:E,5,0)</f>
        <v>5495</v>
      </c>
      <c r="E1520" s="5" t="str">
        <f>VLOOKUP(Googleadssales[[#This Row],[Ad_ID]],[1]!Table3[[Ad_ID]:[Cost-imputed]],7,0)</f>
        <v>$220.69</v>
      </c>
      <c r="F1520" s="4">
        <f>VLOOKUP(Googleadssales[[#This Row],[Ad_ID]],'[1]pre processed data'!A:I,9,0)</f>
        <v>19</v>
      </c>
      <c r="G1520" s="4">
        <f>VLOOKUP(Googleadssales[[#This Row],[Ad_ID]],'[1]pre processed data'!A:K,11,0)</f>
        <v>5</v>
      </c>
      <c r="H1520" s="2">
        <f>Googleadssales[[#This Row],[Conversions]]/Googleadssales[[#This Row],[Clicks]]</f>
        <v>3.6231884057971016E-2</v>
      </c>
      <c r="I1520" t="str">
        <f>VLOOKUP(Googleadssales[[#This Row],[Ad_ID]],'[1]pre processed data'!A:O,15,0)</f>
        <v>$1624</v>
      </c>
      <c r="J1520" s="3">
        <f>VLOOKUP(Googleadssales[[#This Row],[Ad_ID]],'[1]pre processed data'!A:Q,17,0)</f>
        <v>45600</v>
      </c>
      <c r="K1520" t="str">
        <f>VLOOKUP(Googleadssales[[#This Row],[Ad_ID]],'[1]pre processed data'!A:R,18,0)</f>
        <v>Hyderabad</v>
      </c>
      <c r="L1520" t="str">
        <f>VLOOKUP(Googleadssales[[#This Row],[Ad_ID]],'[1]pre processed data'!A:S,19,0)</f>
        <v>Tablet</v>
      </c>
      <c r="M1520" t="str">
        <f>VLOOKUP(Googleadssales[[#This Row],[Ad_ID]],'[1]pre processed data'!A:T,20,0)</f>
        <v>online data analytic</v>
      </c>
    </row>
    <row r="1521" spans="1:13" x14ac:dyDescent="0.3">
      <c r="A1521" t="s">
        <v>1534</v>
      </c>
      <c r="B1521" t="s">
        <v>18</v>
      </c>
      <c r="C1521" s="4">
        <f>VLOOKUP(Googleadssales[[#This Row],[Ad_ID]],'[1]pre processed data'!A:C,3,0)</f>
        <v>178</v>
      </c>
      <c r="D1521" s="4">
        <f>VLOOKUP(Googleadssales[[#This Row],[Ad_ID]],'[1]pre processed data'!A:E,5,0)</f>
        <v>5218</v>
      </c>
      <c r="E1521" s="5" t="str">
        <f>VLOOKUP(Googleadssales[[#This Row],[Ad_ID]],[1]!Table3[[Ad_ID]:[Cost-imputed]],7,0)</f>
        <v>$208.92</v>
      </c>
      <c r="F1521" s="4">
        <f>VLOOKUP(Googleadssales[[#This Row],[Ad_ID]],'[1]pre processed data'!A:I,9,0)</f>
        <v>20</v>
      </c>
      <c r="G1521" s="4">
        <f>VLOOKUP(Googleadssales[[#This Row],[Ad_ID]],'[1]pre processed data'!A:K,11,0)</f>
        <v>7</v>
      </c>
      <c r="H1521" s="2">
        <f>Googleadssales[[#This Row],[Conversions]]/Googleadssales[[#This Row],[Clicks]]</f>
        <v>3.9325842696629212E-2</v>
      </c>
      <c r="I1521" t="str">
        <f>VLOOKUP(Googleadssales[[#This Row],[Ad_ID]],'[1]pre processed data'!A:O,15,0)</f>
        <v>$1714</v>
      </c>
      <c r="J1521" s="3">
        <f>VLOOKUP(Googleadssales[[#This Row],[Ad_ID]],'[1]pre processed data'!A:Q,17,0)</f>
        <v>45621</v>
      </c>
      <c r="K1521" t="str">
        <f>VLOOKUP(Googleadssales[[#This Row],[Ad_ID]],'[1]pre processed data'!A:R,18,0)</f>
        <v>Chennai</v>
      </c>
      <c r="L1521" t="str">
        <f>VLOOKUP(Googleadssales[[#This Row],[Ad_ID]],'[1]pre processed data'!A:S,19,0)</f>
        <v>Mobile</v>
      </c>
      <c r="M1521" t="str">
        <f>VLOOKUP(Googleadssales[[#This Row],[Ad_ID]],'[1]pre processed data'!A:T,20,0)</f>
        <v>analytics for data</v>
      </c>
    </row>
    <row r="1522" spans="1:13" x14ac:dyDescent="0.3">
      <c r="A1522" t="s">
        <v>1535</v>
      </c>
      <c r="B1522" t="s">
        <v>14</v>
      </c>
      <c r="C1522" s="4">
        <f>VLOOKUP(Googleadssales[[#This Row],[Ad_ID]],'[1]pre processed data'!A:C,3,0)</f>
        <v>155</v>
      </c>
      <c r="D1522" s="4">
        <f>VLOOKUP(Googleadssales[[#This Row],[Ad_ID]],'[1]pre processed data'!A:E,5,0)</f>
        <v>5996</v>
      </c>
      <c r="E1522" s="5" t="str">
        <f>VLOOKUP(Googleadssales[[#This Row],[Ad_ID]],[1]!Table3[[Ad_ID]:[Cost-imputed]],7,0)</f>
        <v>$247.54</v>
      </c>
      <c r="F1522" s="4">
        <f>VLOOKUP(Googleadssales[[#This Row],[Ad_ID]],'[1]pre processed data'!A:I,9,0)</f>
        <v>15</v>
      </c>
      <c r="G1522" s="4">
        <f>VLOOKUP(Googleadssales[[#This Row],[Ad_ID]],'[1]pre processed data'!A:K,11,0)</f>
        <v>5</v>
      </c>
      <c r="H1522" s="2">
        <f>Googleadssales[[#This Row],[Conversions]]/Googleadssales[[#This Row],[Clicks]]</f>
        <v>3.2258064516129031E-2</v>
      </c>
      <c r="I1522" t="str">
        <f>VLOOKUP(Googleadssales[[#This Row],[Ad_ID]],'[1]pre processed data'!A:O,15,0)</f>
        <v>$1883</v>
      </c>
      <c r="J1522" s="3">
        <f>VLOOKUP(Googleadssales[[#This Row],[Ad_ID]],'[1]pre processed data'!A:Q,17,0)</f>
        <v>45623</v>
      </c>
      <c r="K1522" t="str">
        <f>VLOOKUP(Googleadssales[[#This Row],[Ad_ID]],'[1]pre processed data'!A:R,18,0)</f>
        <v>Hyderabad</v>
      </c>
      <c r="L1522" t="str">
        <f>VLOOKUP(Googleadssales[[#This Row],[Ad_ID]],'[1]pre processed data'!A:S,19,0)</f>
        <v>Mobile</v>
      </c>
      <c r="M1522" t="str">
        <f>VLOOKUP(Googleadssales[[#This Row],[Ad_ID]],'[1]pre processed data'!A:T,20,0)</f>
        <v>analytics for data</v>
      </c>
    </row>
    <row r="1523" spans="1:13" x14ac:dyDescent="0.3">
      <c r="A1523" t="s">
        <v>1536</v>
      </c>
      <c r="B1523" t="s">
        <v>14</v>
      </c>
      <c r="C1523" s="4">
        <f>VLOOKUP(Googleadssales[[#This Row],[Ad_ID]],'[1]pre processed data'!A:C,3,0)</f>
        <v>168</v>
      </c>
      <c r="D1523" s="4">
        <f>VLOOKUP(Googleadssales[[#This Row],[Ad_ID]],'[1]pre processed data'!A:E,5,0)</f>
        <v>4932</v>
      </c>
      <c r="E1523" s="5" t="str">
        <f>VLOOKUP(Googleadssales[[#This Row],[Ad_ID]],[1]!Table3[[Ad_ID]:[Cost-imputed]],7,0)</f>
        <v>$198.95</v>
      </c>
      <c r="F1523" s="4">
        <f>VLOOKUP(Googleadssales[[#This Row],[Ad_ID]],'[1]pre processed data'!A:I,9,0)</f>
        <v>16</v>
      </c>
      <c r="G1523" s="4">
        <f>VLOOKUP(Googleadssales[[#This Row],[Ad_ID]],'[1]pre processed data'!A:K,11,0)</f>
        <v>7</v>
      </c>
      <c r="H1523" s="2">
        <f>Googleadssales[[#This Row],[Conversions]]/Googleadssales[[#This Row],[Clicks]]</f>
        <v>4.1666666666666664E-2</v>
      </c>
      <c r="I1523" t="str">
        <f>VLOOKUP(Googleadssales[[#This Row],[Ad_ID]],'[1]pre processed data'!A:O,15,0)</f>
        <v>$1301</v>
      </c>
      <c r="J1523" s="3">
        <f>VLOOKUP(Googleadssales[[#This Row],[Ad_ID]],'[1]pre processed data'!A:Q,17,0)</f>
        <v>45615</v>
      </c>
      <c r="K1523" t="str">
        <f>VLOOKUP(Googleadssales[[#This Row],[Ad_ID]],'[1]pre processed data'!A:R,18,0)</f>
        <v>Bangaluru</v>
      </c>
      <c r="L1523" t="str">
        <f>VLOOKUP(Googleadssales[[#This Row],[Ad_ID]],'[1]pre processed data'!A:S,19,0)</f>
        <v>Desktop</v>
      </c>
      <c r="M1523" t="str">
        <f>VLOOKUP(Googleadssales[[#This Row],[Ad_ID]],'[1]pre processed data'!A:T,20,0)</f>
        <v>data analytics training</v>
      </c>
    </row>
    <row r="1524" spans="1:13" x14ac:dyDescent="0.3">
      <c r="A1524" t="s">
        <v>1537</v>
      </c>
      <c r="B1524" t="s">
        <v>18</v>
      </c>
      <c r="C1524" s="4">
        <f>VLOOKUP(Googleadssales[[#This Row],[Ad_ID]],'[1]pre processed data'!A:C,3,0)</f>
        <v>152</v>
      </c>
      <c r="D1524" s="4">
        <f>VLOOKUP(Googleadssales[[#This Row],[Ad_ID]],'[1]pre processed data'!A:E,5,0)</f>
        <v>4498</v>
      </c>
      <c r="E1524" s="5" t="str">
        <f>VLOOKUP(Googleadssales[[#This Row],[Ad_ID]],[1]!Table3[[Ad_ID]:[Cost-imputed]],7,0)</f>
        <v>$233.81</v>
      </c>
      <c r="F1524" s="4">
        <f>VLOOKUP(Googleadssales[[#This Row],[Ad_ID]],'[1]pre processed data'!A:I,9,0)</f>
        <v>30</v>
      </c>
      <c r="G1524" s="4">
        <f>VLOOKUP(Googleadssales[[#This Row],[Ad_ID]],'[1]pre processed data'!A:K,11,0)</f>
        <v>6</v>
      </c>
      <c r="H1524" s="2">
        <f>Googleadssales[[#This Row],[Conversions]]/Googleadssales[[#This Row],[Clicks]]</f>
        <v>3.9473684210526314E-2</v>
      </c>
      <c r="I1524" t="str">
        <f>VLOOKUP(Googleadssales[[#This Row],[Ad_ID]],'[1]pre processed data'!A:O,15,0)</f>
        <v>$1090</v>
      </c>
      <c r="J1524" s="3">
        <f>VLOOKUP(Googleadssales[[#This Row],[Ad_ID]],'[1]pre processed data'!A:Q,17,0)</f>
        <v>45621</v>
      </c>
      <c r="K1524" t="str">
        <f>VLOOKUP(Googleadssales[[#This Row],[Ad_ID]],'[1]pre processed data'!A:R,18,0)</f>
        <v>Hyderabad</v>
      </c>
      <c r="L1524" t="str">
        <f>VLOOKUP(Googleadssales[[#This Row],[Ad_ID]],'[1]pre processed data'!A:S,19,0)</f>
        <v>Desktop</v>
      </c>
      <c r="M1524" t="str">
        <f>VLOOKUP(Googleadssales[[#This Row],[Ad_ID]],'[1]pre processed data'!A:T,20,0)</f>
        <v>data analytics online</v>
      </c>
    </row>
    <row r="1525" spans="1:13" x14ac:dyDescent="0.3">
      <c r="A1525" t="s">
        <v>1538</v>
      </c>
      <c r="B1525" t="s">
        <v>14</v>
      </c>
      <c r="C1525" s="4">
        <f>VLOOKUP(Googleadssales[[#This Row],[Ad_ID]],'[1]pre processed data'!A:C,3,0)</f>
        <v>111</v>
      </c>
      <c r="D1525" s="4">
        <f>VLOOKUP(Googleadssales[[#This Row],[Ad_ID]],'[1]pre processed data'!A:E,5,0)</f>
        <v>4164</v>
      </c>
      <c r="E1525" s="5" t="str">
        <f>VLOOKUP(Googleadssales[[#This Row],[Ad_ID]],[1]!Table3[[Ad_ID]:[Cost-imputed]],7,0)</f>
        <v>$191.04</v>
      </c>
      <c r="F1525" s="4">
        <f>VLOOKUP(Googleadssales[[#This Row],[Ad_ID]],'[1]pre processed data'!A:I,9,0)</f>
        <v>18</v>
      </c>
      <c r="G1525" s="4">
        <f>VLOOKUP(Googleadssales[[#This Row],[Ad_ID]],'[1]pre processed data'!A:K,11,0)</f>
        <v>9</v>
      </c>
      <c r="H1525" s="2">
        <f>Googleadssales[[#This Row],[Conversions]]/Googleadssales[[#This Row],[Clicks]]</f>
        <v>8.1081081081081086E-2</v>
      </c>
      <c r="I1525" t="str">
        <f>VLOOKUP(Googleadssales[[#This Row],[Ad_ID]],'[1]pre processed data'!A:O,15,0)</f>
        <v>$1687</v>
      </c>
      <c r="J1525" s="3">
        <f>VLOOKUP(Googleadssales[[#This Row],[Ad_ID]],'[1]pre processed data'!A:Q,17,0)</f>
        <v>45617</v>
      </c>
      <c r="K1525" t="str">
        <f>VLOOKUP(Googleadssales[[#This Row],[Ad_ID]],'[1]pre processed data'!A:R,18,0)</f>
        <v>Bangaluru</v>
      </c>
      <c r="L1525" t="str">
        <f>VLOOKUP(Googleadssales[[#This Row],[Ad_ID]],'[1]pre processed data'!A:S,19,0)</f>
        <v>Tablet</v>
      </c>
      <c r="M1525" t="str">
        <f>VLOOKUP(Googleadssales[[#This Row],[Ad_ID]],'[1]pre processed data'!A:T,20,0)</f>
        <v>data analytics training</v>
      </c>
    </row>
    <row r="1526" spans="1:13" x14ac:dyDescent="0.3">
      <c r="A1526" t="s">
        <v>1539</v>
      </c>
      <c r="B1526" t="s">
        <v>14</v>
      </c>
      <c r="C1526" s="4">
        <f>VLOOKUP(Googleadssales[[#This Row],[Ad_ID]],'[1]pre processed data'!A:C,3,0)</f>
        <v>141</v>
      </c>
      <c r="D1526" s="4">
        <f>VLOOKUP(Googleadssales[[#This Row],[Ad_ID]],'[1]pre processed data'!A:E,5,0)</f>
        <v>4329</v>
      </c>
      <c r="E1526" s="5" t="str">
        <f>VLOOKUP(Googleadssales[[#This Row],[Ad_ID]],[1]!Table3[[Ad_ID]:[Cost-imputed]],7,0)</f>
        <v>$230.44</v>
      </c>
      <c r="F1526" s="4">
        <f>VLOOKUP(Googleadssales[[#This Row],[Ad_ID]],'[1]pre processed data'!A:I,9,0)</f>
        <v>14</v>
      </c>
      <c r="G1526" s="4">
        <f>VLOOKUP(Googleadssales[[#This Row],[Ad_ID]],'[1]pre processed data'!A:K,11,0)</f>
        <v>6</v>
      </c>
      <c r="H1526" s="2">
        <f>Googleadssales[[#This Row],[Conversions]]/Googleadssales[[#This Row],[Clicks]]</f>
        <v>4.2553191489361701E-2</v>
      </c>
      <c r="I1526" t="str">
        <f>VLOOKUP(Googleadssales[[#This Row],[Ad_ID]],'[1]pre processed data'!A:O,15,0)</f>
        <v>$1610</v>
      </c>
      <c r="J1526" s="3">
        <f>VLOOKUP(Googleadssales[[#This Row],[Ad_ID]],'[1]pre processed data'!A:Q,17,0)</f>
        <v>45603</v>
      </c>
      <c r="K1526" t="str">
        <f>VLOOKUP(Googleadssales[[#This Row],[Ad_ID]],'[1]pre processed data'!A:R,18,0)</f>
        <v>Hyderabad</v>
      </c>
      <c r="L1526" t="str">
        <f>VLOOKUP(Googleadssales[[#This Row],[Ad_ID]],'[1]pre processed data'!A:S,19,0)</f>
        <v>Mobile</v>
      </c>
      <c r="M1526" t="str">
        <f>VLOOKUP(Googleadssales[[#This Row],[Ad_ID]],'[1]pre processed data'!A:T,20,0)</f>
        <v>learn data analytics</v>
      </c>
    </row>
    <row r="1527" spans="1:13" x14ac:dyDescent="0.3">
      <c r="A1527" t="s">
        <v>1540</v>
      </c>
      <c r="B1527" t="s">
        <v>14</v>
      </c>
      <c r="C1527" s="4">
        <f>VLOOKUP(Googleadssales[[#This Row],[Ad_ID]],'[1]pre processed data'!A:C,3,0)</f>
        <v>97</v>
      </c>
      <c r="D1527" s="4">
        <f>VLOOKUP(Googleadssales[[#This Row],[Ad_ID]],'[1]pre processed data'!A:E,5,0)</f>
        <v>5764</v>
      </c>
      <c r="E1527" s="5" t="str">
        <f>VLOOKUP(Googleadssales[[#This Row],[Ad_ID]],[1]!Table3[[Ad_ID]:[Cost-imputed]],7,0)</f>
        <v>$246.15</v>
      </c>
      <c r="F1527" s="4">
        <f>VLOOKUP(Googleadssales[[#This Row],[Ad_ID]],'[1]pre processed data'!A:I,9,0)</f>
        <v>30</v>
      </c>
      <c r="G1527" s="4">
        <f>VLOOKUP(Googleadssales[[#This Row],[Ad_ID]],'[1]pre processed data'!A:K,11,0)</f>
        <v>7</v>
      </c>
      <c r="H1527" s="2">
        <f>Googleadssales[[#This Row],[Conversions]]/Googleadssales[[#This Row],[Clicks]]</f>
        <v>7.2164948453608241E-2</v>
      </c>
      <c r="I1527" t="str">
        <f>VLOOKUP(Googleadssales[[#This Row],[Ad_ID]],'[1]pre processed data'!A:O,15,0)</f>
        <v>$1345</v>
      </c>
      <c r="J1527" s="3">
        <f>VLOOKUP(Googleadssales[[#This Row],[Ad_ID]],'[1]pre processed data'!A:Q,17,0)</f>
        <v>45614</v>
      </c>
      <c r="K1527" t="str">
        <f>VLOOKUP(Googleadssales[[#This Row],[Ad_ID]],'[1]pre processed data'!A:R,18,0)</f>
        <v>Chennai</v>
      </c>
      <c r="L1527" t="str">
        <f>VLOOKUP(Googleadssales[[#This Row],[Ad_ID]],'[1]pre processed data'!A:S,19,0)</f>
        <v>Mobile</v>
      </c>
      <c r="M1527" t="str">
        <f>VLOOKUP(Googleadssales[[#This Row],[Ad_ID]],'[1]pre processed data'!A:T,20,0)</f>
        <v>analytics for data</v>
      </c>
    </row>
    <row r="1528" spans="1:13" x14ac:dyDescent="0.3">
      <c r="A1528" t="s">
        <v>1541</v>
      </c>
      <c r="B1528" t="s">
        <v>18</v>
      </c>
      <c r="C1528" s="4">
        <f>VLOOKUP(Googleadssales[[#This Row],[Ad_ID]],'[1]pre processed data'!A:C,3,0)</f>
        <v>82</v>
      </c>
      <c r="D1528" s="4">
        <f>VLOOKUP(Googleadssales[[#This Row],[Ad_ID]],'[1]pre processed data'!A:E,5,0)</f>
        <v>5430</v>
      </c>
      <c r="E1528" s="5" t="str">
        <f>VLOOKUP(Googleadssales[[#This Row],[Ad_ID]],[1]!Table3[[Ad_ID]:[Cost-imputed]],7,0)</f>
        <v>$205.46</v>
      </c>
      <c r="F1528" s="4">
        <f>VLOOKUP(Googleadssales[[#This Row],[Ad_ID]],'[1]pre processed data'!A:I,9,0)</f>
        <v>18</v>
      </c>
      <c r="G1528" s="4">
        <f>VLOOKUP(Googleadssales[[#This Row],[Ad_ID]],'[1]pre processed data'!A:K,11,0)</f>
        <v>5</v>
      </c>
      <c r="H1528" s="2">
        <f>Googleadssales[[#This Row],[Conversions]]/Googleadssales[[#This Row],[Clicks]]</f>
        <v>6.097560975609756E-2</v>
      </c>
      <c r="I1528" t="str">
        <f>VLOOKUP(Googleadssales[[#This Row],[Ad_ID]],'[1]pre processed data'!A:O,15,0)</f>
        <v>$1435</v>
      </c>
      <c r="J1528" s="3">
        <f>VLOOKUP(Googleadssales[[#This Row],[Ad_ID]],'[1]pre processed data'!A:Q,17,0)</f>
        <v>45626</v>
      </c>
      <c r="K1528" t="str">
        <f>VLOOKUP(Googleadssales[[#This Row],[Ad_ID]],'[1]pre processed data'!A:R,18,0)</f>
        <v>Bangaluru</v>
      </c>
      <c r="L1528" t="str">
        <f>VLOOKUP(Googleadssales[[#This Row],[Ad_ID]],'[1]pre processed data'!A:S,19,0)</f>
        <v>Mobile</v>
      </c>
      <c r="M1528" t="str">
        <f>VLOOKUP(Googleadssales[[#This Row],[Ad_ID]],'[1]pre processed data'!A:T,20,0)</f>
        <v>online data analytic</v>
      </c>
    </row>
    <row r="1529" spans="1:13" x14ac:dyDescent="0.3">
      <c r="A1529" t="s">
        <v>1542</v>
      </c>
      <c r="B1529" t="s">
        <v>14</v>
      </c>
      <c r="C1529" s="4">
        <f>VLOOKUP(Googleadssales[[#This Row],[Ad_ID]],'[1]pre processed data'!A:C,3,0)</f>
        <v>164</v>
      </c>
      <c r="D1529" s="4">
        <f>VLOOKUP(Googleadssales[[#This Row],[Ad_ID]],'[1]pre processed data'!A:E,5,0)</f>
        <v>5179</v>
      </c>
      <c r="E1529" s="5" t="str">
        <f>VLOOKUP(Googleadssales[[#This Row],[Ad_ID]],[1]!Table3[[Ad_ID]:[Cost-imputed]],7,0)</f>
        <v>$206.72</v>
      </c>
      <c r="F1529" s="4">
        <f>VLOOKUP(Googleadssales[[#This Row],[Ad_ID]],'[1]pre processed data'!A:I,9,0)</f>
        <v>18</v>
      </c>
      <c r="G1529" s="4">
        <f>VLOOKUP(Googleadssales[[#This Row],[Ad_ID]],'[1]pre processed data'!A:K,11,0)</f>
        <v>9</v>
      </c>
      <c r="H1529" s="2">
        <f>Googleadssales[[#This Row],[Conversions]]/Googleadssales[[#This Row],[Clicks]]</f>
        <v>5.4878048780487805E-2</v>
      </c>
      <c r="I1529" t="str">
        <f>VLOOKUP(Googleadssales[[#This Row],[Ad_ID]],'[1]pre processed data'!A:O,15,0)</f>
        <v>$1213</v>
      </c>
      <c r="J1529" s="3">
        <f>VLOOKUP(Googleadssales[[#This Row],[Ad_ID]],'[1]pre processed data'!A:Q,17,0)</f>
        <v>45623</v>
      </c>
      <c r="K1529" t="str">
        <f>VLOOKUP(Googleadssales[[#This Row],[Ad_ID]],'[1]pre processed data'!A:R,18,0)</f>
        <v>Hyderabad</v>
      </c>
      <c r="L1529" t="str">
        <f>VLOOKUP(Googleadssales[[#This Row],[Ad_ID]],'[1]pre processed data'!A:S,19,0)</f>
        <v>Tablet</v>
      </c>
      <c r="M1529" t="str">
        <f>VLOOKUP(Googleadssales[[#This Row],[Ad_ID]],'[1]pre processed data'!A:T,20,0)</f>
        <v>data analytics course</v>
      </c>
    </row>
    <row r="1530" spans="1:13" x14ac:dyDescent="0.3">
      <c r="A1530" t="s">
        <v>1543</v>
      </c>
      <c r="B1530" t="s">
        <v>18</v>
      </c>
      <c r="C1530" s="4">
        <f>VLOOKUP(Googleadssales[[#This Row],[Ad_ID]],'[1]pre processed data'!A:C,3,0)</f>
        <v>109</v>
      </c>
      <c r="D1530" s="4">
        <f>VLOOKUP(Googleadssales[[#This Row],[Ad_ID]],'[1]pre processed data'!A:E,5,0)</f>
        <v>5707</v>
      </c>
      <c r="E1530" s="5" t="str">
        <f>VLOOKUP(Googleadssales[[#This Row],[Ad_ID]],[1]!Table3[[Ad_ID]:[Cost-imputed]],7,0)</f>
        <v>$246.86</v>
      </c>
      <c r="F1530" s="4">
        <f>VLOOKUP(Googleadssales[[#This Row],[Ad_ID]],'[1]pre processed data'!A:I,9,0)</f>
        <v>22</v>
      </c>
      <c r="G1530" s="4">
        <f>VLOOKUP(Googleadssales[[#This Row],[Ad_ID]],'[1]pre processed data'!A:K,11,0)</f>
        <v>4</v>
      </c>
      <c r="H1530" s="2">
        <f>Googleadssales[[#This Row],[Conversions]]/Googleadssales[[#This Row],[Clicks]]</f>
        <v>3.669724770642202E-2</v>
      </c>
      <c r="I1530" t="str">
        <f>VLOOKUP(Googleadssales[[#This Row],[Ad_ID]],'[1]pre processed data'!A:O,15,0)</f>
        <v>$1980</v>
      </c>
      <c r="J1530" s="3">
        <f>VLOOKUP(Googleadssales[[#This Row],[Ad_ID]],'[1]pre processed data'!A:Q,17,0)</f>
        <v>45615</v>
      </c>
      <c r="K1530" t="str">
        <f>VLOOKUP(Googleadssales[[#This Row],[Ad_ID]],'[1]pre processed data'!A:R,18,0)</f>
        <v>Chennai</v>
      </c>
      <c r="L1530" t="str">
        <f>VLOOKUP(Googleadssales[[#This Row],[Ad_ID]],'[1]pre processed data'!A:S,19,0)</f>
        <v>Tablet</v>
      </c>
      <c r="M1530" t="str">
        <f>VLOOKUP(Googleadssales[[#This Row],[Ad_ID]],'[1]pre processed data'!A:T,20,0)</f>
        <v>data analytics online</v>
      </c>
    </row>
    <row r="1531" spans="1:13" x14ac:dyDescent="0.3">
      <c r="A1531" t="s">
        <v>1544</v>
      </c>
      <c r="B1531" t="s">
        <v>14</v>
      </c>
      <c r="C1531" s="4">
        <f>VLOOKUP(Googleadssales[[#This Row],[Ad_ID]],'[1]pre processed data'!A:C,3,0)</f>
        <v>126</v>
      </c>
      <c r="D1531" s="4">
        <f>VLOOKUP(Googleadssales[[#This Row],[Ad_ID]],'[1]pre processed data'!A:E,5,0)</f>
        <v>3263</v>
      </c>
      <c r="E1531" s="5" t="str">
        <f>VLOOKUP(Googleadssales[[#This Row],[Ad_ID]],[1]!Table3[[Ad_ID]:[Cost-imputed]],7,0)</f>
        <v>$237.54</v>
      </c>
      <c r="F1531" s="4">
        <f>VLOOKUP(Googleadssales[[#This Row],[Ad_ID]],'[1]pre processed data'!A:I,9,0)</f>
        <v>20.19463087248322</v>
      </c>
      <c r="G1531" s="4">
        <f>VLOOKUP(Googleadssales[[#This Row],[Ad_ID]],'[1]pre processed data'!A:K,11,0)</f>
        <v>9</v>
      </c>
      <c r="H1531" s="2">
        <f>Googleadssales[[#This Row],[Conversions]]/Googleadssales[[#This Row],[Clicks]]</f>
        <v>7.1428571428571425E-2</v>
      </c>
      <c r="I1531" t="str">
        <f>VLOOKUP(Googleadssales[[#This Row],[Ad_ID]],'[1]pre processed data'!A:O,15,0)</f>
        <v>$1364</v>
      </c>
      <c r="J1531" s="3">
        <f>VLOOKUP(Googleadssales[[#This Row],[Ad_ID]],'[1]pre processed data'!A:Q,17,0)</f>
        <v>45613</v>
      </c>
      <c r="K1531" t="str">
        <f>VLOOKUP(Googleadssales[[#This Row],[Ad_ID]],'[1]pre processed data'!A:R,18,0)</f>
        <v>Hyderabad</v>
      </c>
      <c r="L1531" t="str">
        <f>VLOOKUP(Googleadssales[[#This Row],[Ad_ID]],'[1]pre processed data'!A:S,19,0)</f>
        <v>Mobile</v>
      </c>
      <c r="M1531" t="str">
        <f>VLOOKUP(Googleadssales[[#This Row],[Ad_ID]],'[1]pre processed data'!A:T,20,0)</f>
        <v>data analytics online</v>
      </c>
    </row>
    <row r="1532" spans="1:13" x14ac:dyDescent="0.3">
      <c r="A1532" t="s">
        <v>1545</v>
      </c>
      <c r="B1532" t="s">
        <v>18</v>
      </c>
      <c r="C1532" s="4">
        <f>VLOOKUP(Googleadssales[[#This Row],[Ad_ID]],'[1]pre processed data'!A:C,3,0)</f>
        <v>175</v>
      </c>
      <c r="D1532" s="4">
        <f>VLOOKUP(Googleadssales[[#This Row],[Ad_ID]],'[1]pre processed data'!A:E,5,0)</f>
        <v>5718</v>
      </c>
      <c r="E1532" s="5" t="str">
        <f>VLOOKUP(Googleadssales[[#This Row],[Ad_ID]],[1]!Table3[[Ad_ID]:[Cost-imputed]],7,0)</f>
        <v>$225.4</v>
      </c>
      <c r="F1532" s="4">
        <f>VLOOKUP(Googleadssales[[#This Row],[Ad_ID]],'[1]pre processed data'!A:I,9,0)</f>
        <v>19</v>
      </c>
      <c r="G1532" s="4">
        <f>VLOOKUP(Googleadssales[[#This Row],[Ad_ID]],'[1]pre processed data'!A:K,11,0)</f>
        <v>6</v>
      </c>
      <c r="H1532" s="2">
        <f>Googleadssales[[#This Row],[Conversions]]/Googleadssales[[#This Row],[Clicks]]</f>
        <v>3.4285714285714287E-2</v>
      </c>
      <c r="I1532" t="str">
        <f>VLOOKUP(Googleadssales[[#This Row],[Ad_ID]],'[1]pre processed data'!A:O,15,0)</f>
        <v>$1001</v>
      </c>
      <c r="J1532" s="3">
        <f>VLOOKUP(Googleadssales[[#This Row],[Ad_ID]],'[1]pre processed data'!A:Q,17,0)</f>
        <v>45608</v>
      </c>
      <c r="K1532" t="str">
        <f>VLOOKUP(Googleadssales[[#This Row],[Ad_ID]],'[1]pre processed data'!A:R,18,0)</f>
        <v>Hyderabad</v>
      </c>
      <c r="L1532" t="str">
        <f>VLOOKUP(Googleadssales[[#This Row],[Ad_ID]],'[1]pre processed data'!A:S,19,0)</f>
        <v>Tablet</v>
      </c>
      <c r="M1532" t="str">
        <f>VLOOKUP(Googleadssales[[#This Row],[Ad_ID]],'[1]pre processed data'!A:T,20,0)</f>
        <v>analytics for data</v>
      </c>
    </row>
    <row r="1533" spans="1:13" x14ac:dyDescent="0.3">
      <c r="A1533" t="s">
        <v>1546</v>
      </c>
      <c r="B1533" t="s">
        <v>14</v>
      </c>
      <c r="C1533" s="4">
        <f>VLOOKUP(Googleadssales[[#This Row],[Ad_ID]],'[1]pre processed data'!A:C,3,0)</f>
        <v>96</v>
      </c>
      <c r="D1533" s="4">
        <f>VLOOKUP(Googleadssales[[#This Row],[Ad_ID]],'[1]pre processed data'!A:E,5,0)</f>
        <v>5075</v>
      </c>
      <c r="E1533" s="5" t="str">
        <f>VLOOKUP(Googleadssales[[#This Row],[Ad_ID]],[1]!Table3[[Ad_ID]:[Cost-imputed]],7,0)</f>
        <v>$221.28</v>
      </c>
      <c r="F1533" s="4">
        <f>VLOOKUP(Googleadssales[[#This Row],[Ad_ID]],'[1]pre processed data'!A:I,9,0)</f>
        <v>25</v>
      </c>
      <c r="G1533" s="4">
        <f>VLOOKUP(Googleadssales[[#This Row],[Ad_ID]],'[1]pre processed data'!A:K,11,0)</f>
        <v>3</v>
      </c>
      <c r="H1533" s="2">
        <f>Googleadssales[[#This Row],[Conversions]]/Googleadssales[[#This Row],[Clicks]]</f>
        <v>3.125E-2</v>
      </c>
      <c r="I1533" t="str">
        <f>VLOOKUP(Googleadssales[[#This Row],[Ad_ID]],'[1]pre processed data'!A:O,15,0)</f>
        <v>$1937</v>
      </c>
      <c r="J1533" s="3">
        <f>VLOOKUP(Googleadssales[[#This Row],[Ad_ID]],'[1]pre processed data'!A:Q,17,0)</f>
        <v>45619</v>
      </c>
      <c r="K1533" t="str">
        <f>VLOOKUP(Googleadssales[[#This Row],[Ad_ID]],'[1]pre processed data'!A:R,18,0)</f>
        <v>Hyderabad</v>
      </c>
      <c r="L1533" t="str">
        <f>VLOOKUP(Googleadssales[[#This Row],[Ad_ID]],'[1]pre processed data'!A:S,19,0)</f>
        <v>Desktop</v>
      </c>
      <c r="M1533" t="str">
        <f>VLOOKUP(Googleadssales[[#This Row],[Ad_ID]],'[1]pre processed data'!A:T,20,0)</f>
        <v>learn data analytics</v>
      </c>
    </row>
    <row r="1534" spans="1:13" x14ac:dyDescent="0.3">
      <c r="A1534" t="s">
        <v>1547</v>
      </c>
      <c r="B1534" t="s">
        <v>14</v>
      </c>
      <c r="C1534" s="4">
        <f>VLOOKUP(Googleadssales[[#This Row],[Ad_ID]],'[1]pre processed data'!A:C,3,0)</f>
        <v>113</v>
      </c>
      <c r="D1534" s="4">
        <f>VLOOKUP(Googleadssales[[#This Row],[Ad_ID]],'[1]pre processed data'!A:E,5,0)</f>
        <v>4473</v>
      </c>
      <c r="E1534" s="5" t="str">
        <f>VLOOKUP(Googleadssales[[#This Row],[Ad_ID]],[1]!Table3[[Ad_ID]:[Cost-imputed]],7,0)</f>
        <v>$202.3</v>
      </c>
      <c r="F1534" s="4">
        <f>VLOOKUP(Googleadssales[[#This Row],[Ad_ID]],'[1]pre processed data'!A:I,9,0)</f>
        <v>17</v>
      </c>
      <c r="G1534" s="4">
        <f>VLOOKUP(Googleadssales[[#This Row],[Ad_ID]],'[1]pre processed data'!A:K,11,0)</f>
        <v>5</v>
      </c>
      <c r="H1534" s="2">
        <f>Googleadssales[[#This Row],[Conversions]]/Googleadssales[[#This Row],[Clicks]]</f>
        <v>4.4247787610619468E-2</v>
      </c>
      <c r="I1534" t="str">
        <f>VLOOKUP(Googleadssales[[#This Row],[Ad_ID]],'[1]pre processed data'!A:O,15,0)</f>
        <v>$1049</v>
      </c>
      <c r="J1534" s="3">
        <f>VLOOKUP(Googleadssales[[#This Row],[Ad_ID]],'[1]pre processed data'!A:Q,17,0)</f>
        <v>45604</v>
      </c>
      <c r="K1534" t="str">
        <f>VLOOKUP(Googleadssales[[#This Row],[Ad_ID]],'[1]pre processed data'!A:R,18,0)</f>
        <v>Bangaluru</v>
      </c>
      <c r="L1534" t="str">
        <f>VLOOKUP(Googleadssales[[#This Row],[Ad_ID]],'[1]pre processed data'!A:S,19,0)</f>
        <v>Tablet</v>
      </c>
      <c r="M1534" t="str">
        <f>VLOOKUP(Googleadssales[[#This Row],[Ad_ID]],'[1]pre processed data'!A:T,20,0)</f>
        <v>online data analytic</v>
      </c>
    </row>
    <row r="1535" spans="1:13" x14ac:dyDescent="0.3">
      <c r="A1535" t="s">
        <v>1548</v>
      </c>
      <c r="B1535" t="s">
        <v>14</v>
      </c>
      <c r="C1535" s="4">
        <f>VLOOKUP(Googleadssales[[#This Row],[Ad_ID]],'[1]pre processed data'!A:C,3,0)</f>
        <v>96</v>
      </c>
      <c r="D1535" s="4">
        <f>VLOOKUP(Googleadssales[[#This Row],[Ad_ID]],'[1]pre processed data'!A:E,5,0)</f>
        <v>3979</v>
      </c>
      <c r="E1535" s="5" t="str">
        <f>VLOOKUP(Googleadssales[[#This Row],[Ad_ID]],[1]!Table3[[Ad_ID]:[Cost-imputed]],7,0)</f>
        <v>$232.44</v>
      </c>
      <c r="F1535" s="4">
        <f>VLOOKUP(Googleadssales[[#This Row],[Ad_ID]],'[1]pre processed data'!A:I,9,0)</f>
        <v>27</v>
      </c>
      <c r="G1535" s="4">
        <f>VLOOKUP(Googleadssales[[#This Row],[Ad_ID]],'[1]pre processed data'!A:K,11,0)</f>
        <v>7</v>
      </c>
      <c r="H1535" s="2">
        <f>Googleadssales[[#This Row],[Conversions]]/Googleadssales[[#This Row],[Clicks]]</f>
        <v>7.2916666666666671E-2</v>
      </c>
      <c r="I1535" t="str">
        <f>VLOOKUP(Googleadssales[[#This Row],[Ad_ID]],'[1]pre processed data'!A:O,15,0)</f>
        <v>$1140</v>
      </c>
      <c r="J1535" s="3">
        <f>VLOOKUP(Googleadssales[[#This Row],[Ad_ID]],'[1]pre processed data'!A:Q,17,0)</f>
        <v>45626</v>
      </c>
      <c r="K1535" t="str">
        <f>VLOOKUP(Googleadssales[[#This Row],[Ad_ID]],'[1]pre processed data'!A:R,18,0)</f>
        <v>Hyderabad</v>
      </c>
      <c r="L1535" t="str">
        <f>VLOOKUP(Googleadssales[[#This Row],[Ad_ID]],'[1]pre processed data'!A:S,19,0)</f>
        <v>Mobile</v>
      </c>
      <c r="M1535" t="str">
        <f>VLOOKUP(Googleadssales[[#This Row],[Ad_ID]],'[1]pre processed data'!A:T,20,0)</f>
        <v>learn data analytics</v>
      </c>
    </row>
    <row r="1536" spans="1:13" x14ac:dyDescent="0.3">
      <c r="A1536" t="s">
        <v>1549</v>
      </c>
      <c r="B1536" t="s">
        <v>18</v>
      </c>
      <c r="C1536" s="4">
        <f>VLOOKUP(Googleadssales[[#This Row],[Ad_ID]],'[1]pre processed data'!A:C,3,0)</f>
        <v>162</v>
      </c>
      <c r="D1536" s="4">
        <f>VLOOKUP(Googleadssales[[#This Row],[Ad_ID]],'[1]pre processed data'!A:E,5,0)</f>
        <v>5688</v>
      </c>
      <c r="E1536" s="5" t="str">
        <f>VLOOKUP(Googleadssales[[#This Row],[Ad_ID]],[1]!Table3[[Ad_ID]:[Cost-imputed]],7,0)</f>
        <v>$190.31</v>
      </c>
      <c r="F1536" s="4">
        <f>VLOOKUP(Googleadssales[[#This Row],[Ad_ID]],'[1]pre processed data'!A:I,9,0)</f>
        <v>17</v>
      </c>
      <c r="G1536" s="4">
        <f>VLOOKUP(Googleadssales[[#This Row],[Ad_ID]],'[1]pre processed data'!A:K,11,0)</f>
        <v>5</v>
      </c>
      <c r="H1536" s="2">
        <f>Googleadssales[[#This Row],[Conversions]]/Googleadssales[[#This Row],[Clicks]]</f>
        <v>3.0864197530864196E-2</v>
      </c>
      <c r="I1536" t="str">
        <f>VLOOKUP(Googleadssales[[#This Row],[Ad_ID]],'[1]pre processed data'!A:O,15,0)</f>
        <v>$1556</v>
      </c>
      <c r="J1536" s="3">
        <f>VLOOKUP(Googleadssales[[#This Row],[Ad_ID]],'[1]pre processed data'!A:Q,17,0)</f>
        <v>45621</v>
      </c>
      <c r="K1536" t="str">
        <f>VLOOKUP(Googleadssales[[#This Row],[Ad_ID]],'[1]pre processed data'!A:R,18,0)</f>
        <v>Chennai</v>
      </c>
      <c r="L1536" t="str">
        <f>VLOOKUP(Googleadssales[[#This Row],[Ad_ID]],'[1]pre processed data'!A:S,19,0)</f>
        <v>Tablet</v>
      </c>
      <c r="M1536" t="str">
        <f>VLOOKUP(Googleadssales[[#This Row],[Ad_ID]],'[1]pre processed data'!A:T,20,0)</f>
        <v>data analytics course</v>
      </c>
    </row>
    <row r="1537" spans="1:13" x14ac:dyDescent="0.3">
      <c r="A1537" t="s">
        <v>1550</v>
      </c>
      <c r="B1537" t="s">
        <v>14</v>
      </c>
      <c r="C1537" s="4">
        <f>VLOOKUP(Googleadssales[[#This Row],[Ad_ID]],'[1]pre processed data'!A:C,3,0)</f>
        <v>125</v>
      </c>
      <c r="D1537" s="4">
        <f>VLOOKUP(Googleadssales[[#This Row],[Ad_ID]],'[1]pre processed data'!A:E,5,0)</f>
        <v>3546</v>
      </c>
      <c r="E1537" s="5" t="str">
        <f>VLOOKUP(Googleadssales[[#This Row],[Ad_ID]],[1]!Table3[[Ad_ID]:[Cost-imputed]],7,0)</f>
        <v>$234.02</v>
      </c>
      <c r="F1537" s="4">
        <f>VLOOKUP(Googleadssales[[#This Row],[Ad_ID]],'[1]pre processed data'!A:I,9,0)</f>
        <v>23</v>
      </c>
      <c r="G1537" s="4">
        <f>VLOOKUP(Googleadssales[[#This Row],[Ad_ID]],'[1]pre processed data'!A:K,11,0)</f>
        <v>10</v>
      </c>
      <c r="H1537" s="2">
        <f>Googleadssales[[#This Row],[Conversions]]/Googleadssales[[#This Row],[Clicks]]</f>
        <v>0.08</v>
      </c>
      <c r="I1537" t="str">
        <f>VLOOKUP(Googleadssales[[#This Row],[Ad_ID]],'[1]pre processed data'!A:O,15,0)</f>
        <v>$1072</v>
      </c>
      <c r="J1537" s="3">
        <f>VLOOKUP(Googleadssales[[#This Row],[Ad_ID]],'[1]pre processed data'!A:Q,17,0)</f>
        <v>45623</v>
      </c>
      <c r="K1537" t="str">
        <f>VLOOKUP(Googleadssales[[#This Row],[Ad_ID]],'[1]pre processed data'!A:R,18,0)</f>
        <v>Hyderabad</v>
      </c>
      <c r="L1537" t="str">
        <f>VLOOKUP(Googleadssales[[#This Row],[Ad_ID]],'[1]pre processed data'!A:S,19,0)</f>
        <v>Desktop</v>
      </c>
      <c r="M1537" t="str">
        <f>VLOOKUP(Googleadssales[[#This Row],[Ad_ID]],'[1]pre processed data'!A:T,20,0)</f>
        <v>analytics for data</v>
      </c>
    </row>
    <row r="1538" spans="1:13" x14ac:dyDescent="0.3">
      <c r="A1538" t="s">
        <v>1551</v>
      </c>
      <c r="B1538" t="s">
        <v>14</v>
      </c>
      <c r="C1538" s="4">
        <f>VLOOKUP(Googleadssales[[#This Row],[Ad_ID]],'[1]pre processed data'!A:C,3,0)</f>
        <v>89</v>
      </c>
      <c r="D1538" s="4">
        <f>VLOOKUP(Googleadssales[[#This Row],[Ad_ID]],'[1]pre processed data'!A:E,5,0)</f>
        <v>4188</v>
      </c>
      <c r="E1538" s="5" t="str">
        <f>VLOOKUP(Googleadssales[[#This Row],[Ad_ID]],[1]!Table3[[Ad_ID]:[Cost-imputed]],7,0)</f>
        <v>$206.71</v>
      </c>
      <c r="F1538" s="4">
        <f>VLOOKUP(Googleadssales[[#This Row],[Ad_ID]],'[1]pre processed data'!A:I,9,0)</f>
        <v>16</v>
      </c>
      <c r="G1538" s="4">
        <f>VLOOKUP(Googleadssales[[#This Row],[Ad_ID]],'[1]pre processed data'!A:K,11,0)</f>
        <v>4</v>
      </c>
      <c r="H1538" s="2">
        <f>Googleadssales[[#This Row],[Conversions]]/Googleadssales[[#This Row],[Clicks]]</f>
        <v>4.49438202247191E-2</v>
      </c>
      <c r="I1538" t="str">
        <f>VLOOKUP(Googleadssales[[#This Row],[Ad_ID]],'[1]pre processed data'!A:O,15,0)</f>
        <v>$1382</v>
      </c>
      <c r="J1538" s="3">
        <f>VLOOKUP(Googleadssales[[#This Row],[Ad_ID]],'[1]pre processed data'!A:Q,17,0)</f>
        <v>45597</v>
      </c>
      <c r="K1538" t="str">
        <f>VLOOKUP(Googleadssales[[#This Row],[Ad_ID]],'[1]pre processed data'!A:R,18,0)</f>
        <v>Chennai</v>
      </c>
      <c r="L1538" t="str">
        <f>VLOOKUP(Googleadssales[[#This Row],[Ad_ID]],'[1]pre processed data'!A:S,19,0)</f>
        <v>Tablet</v>
      </c>
      <c r="M1538" t="str">
        <f>VLOOKUP(Googleadssales[[#This Row],[Ad_ID]],'[1]pre processed data'!A:T,20,0)</f>
        <v>online data analytic</v>
      </c>
    </row>
    <row r="1539" spans="1:13" x14ac:dyDescent="0.3">
      <c r="A1539" t="s">
        <v>1552</v>
      </c>
      <c r="B1539" t="s">
        <v>14</v>
      </c>
      <c r="C1539" s="4">
        <f>VLOOKUP(Googleadssales[[#This Row],[Ad_ID]],'[1]pre processed data'!A:C,3,0)</f>
        <v>99</v>
      </c>
      <c r="D1539" s="4">
        <f>VLOOKUP(Googleadssales[[#This Row],[Ad_ID]],'[1]pre processed data'!A:E,5,0)</f>
        <v>4134</v>
      </c>
      <c r="E1539" s="5" t="str">
        <f>VLOOKUP(Googleadssales[[#This Row],[Ad_ID]],[1]!Table3[[Ad_ID]:[Cost-imputed]],7,0)</f>
        <v>$234.04</v>
      </c>
      <c r="F1539" s="4">
        <f>VLOOKUP(Googleadssales[[#This Row],[Ad_ID]],'[1]pre processed data'!A:I,9,0)</f>
        <v>18</v>
      </c>
      <c r="G1539" s="4">
        <f>VLOOKUP(Googleadssales[[#This Row],[Ad_ID]],'[1]pre processed data'!A:K,11,0)</f>
        <v>3</v>
      </c>
      <c r="H1539" s="2">
        <f>Googleadssales[[#This Row],[Conversions]]/Googleadssales[[#This Row],[Clicks]]</f>
        <v>3.0303030303030304E-2</v>
      </c>
      <c r="I1539" t="str">
        <f>VLOOKUP(Googleadssales[[#This Row],[Ad_ID]],'[1]pre processed data'!A:O,15,0)</f>
        <v>$1683</v>
      </c>
      <c r="J1539" s="3">
        <f>VLOOKUP(Googleadssales[[#This Row],[Ad_ID]],'[1]pre processed data'!A:Q,17,0)</f>
        <v>45626</v>
      </c>
      <c r="K1539" t="str">
        <f>VLOOKUP(Googleadssales[[#This Row],[Ad_ID]],'[1]pre processed data'!A:R,18,0)</f>
        <v>Hyderabad</v>
      </c>
      <c r="L1539" t="str">
        <f>VLOOKUP(Googleadssales[[#This Row],[Ad_ID]],'[1]pre processed data'!A:S,19,0)</f>
        <v>Desktop</v>
      </c>
      <c r="M1539" t="str">
        <f>VLOOKUP(Googleadssales[[#This Row],[Ad_ID]],'[1]pre processed data'!A:T,20,0)</f>
        <v>learn data analytics</v>
      </c>
    </row>
    <row r="1540" spans="1:13" x14ac:dyDescent="0.3">
      <c r="A1540" t="s">
        <v>1553</v>
      </c>
      <c r="B1540" t="s">
        <v>18</v>
      </c>
      <c r="C1540" s="4">
        <f>VLOOKUP(Googleadssales[[#This Row],[Ad_ID]],'[1]pre processed data'!A:C,3,0)</f>
        <v>91</v>
      </c>
      <c r="D1540" s="4">
        <f>VLOOKUP(Googleadssales[[#This Row],[Ad_ID]],'[1]pre processed data'!A:E,5,0)</f>
        <v>4710</v>
      </c>
      <c r="E1540" s="5" t="str">
        <f>VLOOKUP(Googleadssales[[#This Row],[Ad_ID]],[1]!Table3[[Ad_ID]:[Cost-imputed]],7,0)</f>
        <v>$199.18</v>
      </c>
      <c r="F1540" s="4">
        <f>VLOOKUP(Googleadssales[[#This Row],[Ad_ID]],'[1]pre processed data'!A:I,9,0)</f>
        <v>21</v>
      </c>
      <c r="G1540" s="4">
        <f>VLOOKUP(Googleadssales[[#This Row],[Ad_ID]],'[1]pre processed data'!A:K,11,0)</f>
        <v>9</v>
      </c>
      <c r="H1540" s="2">
        <f>Googleadssales[[#This Row],[Conversions]]/Googleadssales[[#This Row],[Clicks]]</f>
        <v>9.8901098901098897E-2</v>
      </c>
      <c r="I1540" t="str">
        <f>VLOOKUP(Googleadssales[[#This Row],[Ad_ID]],'[1]pre processed data'!A:O,15,0)</f>
        <v>$1431</v>
      </c>
      <c r="J1540" s="3">
        <f>VLOOKUP(Googleadssales[[#This Row],[Ad_ID]],'[1]pre processed data'!A:Q,17,0)</f>
        <v>45606</v>
      </c>
      <c r="K1540" t="str">
        <f>VLOOKUP(Googleadssales[[#This Row],[Ad_ID]],'[1]pre processed data'!A:R,18,0)</f>
        <v>Bangaluru</v>
      </c>
      <c r="L1540" t="str">
        <f>VLOOKUP(Googleadssales[[#This Row],[Ad_ID]],'[1]pre processed data'!A:S,19,0)</f>
        <v>Tablet</v>
      </c>
      <c r="M1540" t="str">
        <f>VLOOKUP(Googleadssales[[#This Row],[Ad_ID]],'[1]pre processed data'!A:T,20,0)</f>
        <v>data analytics course</v>
      </c>
    </row>
    <row r="1541" spans="1:13" x14ac:dyDescent="0.3">
      <c r="A1541" t="s">
        <v>1554</v>
      </c>
      <c r="B1541" t="s">
        <v>14</v>
      </c>
      <c r="C1541" s="4">
        <f>VLOOKUP(Googleadssales[[#This Row],[Ad_ID]],'[1]pre processed data'!A:C,3,0)</f>
        <v>141</v>
      </c>
      <c r="D1541" s="4">
        <f>VLOOKUP(Googleadssales[[#This Row],[Ad_ID]],'[1]pre processed data'!A:E,5,0)</f>
        <v>4654</v>
      </c>
      <c r="E1541" s="5" t="str">
        <f>VLOOKUP(Googleadssales[[#This Row],[Ad_ID]],[1]!Table3[[Ad_ID]:[Cost-imputed]],7,0)</f>
        <v>$192.19</v>
      </c>
      <c r="F1541" s="4">
        <f>VLOOKUP(Googleadssales[[#This Row],[Ad_ID]],'[1]pre processed data'!A:I,9,0)</f>
        <v>21</v>
      </c>
      <c r="G1541" s="4">
        <f>VLOOKUP(Googleadssales[[#This Row],[Ad_ID]],'[1]pre processed data'!A:K,11,0)</f>
        <v>6</v>
      </c>
      <c r="H1541" s="2">
        <f>Googleadssales[[#This Row],[Conversions]]/Googleadssales[[#This Row],[Clicks]]</f>
        <v>4.2553191489361701E-2</v>
      </c>
      <c r="I1541" t="str">
        <f>VLOOKUP(Googleadssales[[#This Row],[Ad_ID]],'[1]pre processed data'!A:O,15,0)</f>
        <v>$1932</v>
      </c>
      <c r="J1541" s="3">
        <f>VLOOKUP(Googleadssales[[#This Row],[Ad_ID]],'[1]pre processed data'!A:Q,17,0)</f>
        <v>45621</v>
      </c>
      <c r="K1541" t="str">
        <f>VLOOKUP(Googleadssales[[#This Row],[Ad_ID]],'[1]pre processed data'!A:R,18,0)</f>
        <v>Bangaluru</v>
      </c>
      <c r="L1541" t="str">
        <f>VLOOKUP(Googleadssales[[#This Row],[Ad_ID]],'[1]pre processed data'!A:S,19,0)</f>
        <v>Mobile</v>
      </c>
      <c r="M1541" t="str">
        <f>VLOOKUP(Googleadssales[[#This Row],[Ad_ID]],'[1]pre processed data'!A:T,20,0)</f>
        <v>analytics for data</v>
      </c>
    </row>
    <row r="1542" spans="1:13" x14ac:dyDescent="0.3">
      <c r="A1542" t="s">
        <v>1555</v>
      </c>
      <c r="B1542" t="s">
        <v>14</v>
      </c>
      <c r="C1542" s="4">
        <f>VLOOKUP(Googleadssales[[#This Row],[Ad_ID]],'[1]pre processed data'!A:C,3,0)</f>
        <v>110</v>
      </c>
      <c r="D1542" s="4">
        <f>VLOOKUP(Googleadssales[[#This Row],[Ad_ID]],'[1]pre processed data'!A:E,5,0)</f>
        <v>5509</v>
      </c>
      <c r="E1542" s="5" t="str">
        <f>VLOOKUP(Googleadssales[[#This Row],[Ad_ID]],[1]!Table3[[Ad_ID]:[Cost-imputed]],7,0)</f>
        <v>$245.38</v>
      </c>
      <c r="F1542" s="4">
        <f>VLOOKUP(Googleadssales[[#This Row],[Ad_ID]],'[1]pre processed data'!A:I,9,0)</f>
        <v>13</v>
      </c>
      <c r="G1542" s="4">
        <f>VLOOKUP(Googleadssales[[#This Row],[Ad_ID]],'[1]pre processed data'!A:K,11,0)</f>
        <v>8</v>
      </c>
      <c r="H1542" s="2">
        <f>Googleadssales[[#This Row],[Conversions]]/Googleadssales[[#This Row],[Clicks]]</f>
        <v>7.2727272727272724E-2</v>
      </c>
      <c r="I1542" t="str">
        <f>VLOOKUP(Googleadssales[[#This Row],[Ad_ID]],'[1]pre processed data'!A:O,15,0)</f>
        <v>$1539</v>
      </c>
      <c r="J1542" s="3">
        <f>VLOOKUP(Googleadssales[[#This Row],[Ad_ID]],'[1]pre processed data'!A:Q,17,0)</f>
        <v>45606</v>
      </c>
      <c r="K1542" t="str">
        <f>VLOOKUP(Googleadssales[[#This Row],[Ad_ID]],'[1]pre processed data'!A:R,18,0)</f>
        <v>Bangaluru</v>
      </c>
      <c r="L1542" t="str">
        <f>VLOOKUP(Googleadssales[[#This Row],[Ad_ID]],'[1]pre processed data'!A:S,19,0)</f>
        <v>Mobile</v>
      </c>
      <c r="M1542" t="str">
        <f>VLOOKUP(Googleadssales[[#This Row],[Ad_ID]],'[1]pre processed data'!A:T,20,0)</f>
        <v>learn data analytics</v>
      </c>
    </row>
    <row r="1543" spans="1:13" x14ac:dyDescent="0.3">
      <c r="A1543" t="s">
        <v>1556</v>
      </c>
      <c r="B1543" t="s">
        <v>18</v>
      </c>
      <c r="C1543" s="4">
        <f>VLOOKUP(Googleadssales[[#This Row],[Ad_ID]],'[1]pre processed data'!A:C,3,0)</f>
        <v>96</v>
      </c>
      <c r="D1543" s="4">
        <f>VLOOKUP(Googleadssales[[#This Row],[Ad_ID]],'[1]pre processed data'!A:E,5,0)</f>
        <v>3091</v>
      </c>
      <c r="E1543" s="5" t="str">
        <f>VLOOKUP(Googleadssales[[#This Row],[Ad_ID]],[1]!Table3[[Ad_ID]:[Cost-imputed]],7,0)</f>
        <v>$187.57</v>
      </c>
      <c r="F1543" s="4">
        <f>VLOOKUP(Googleadssales[[#This Row],[Ad_ID]],'[1]pre processed data'!A:I,9,0)</f>
        <v>11</v>
      </c>
      <c r="G1543" s="4">
        <f>VLOOKUP(Googleadssales[[#This Row],[Ad_ID]],'[1]pre processed data'!A:K,11,0)</f>
        <v>6.5627450980392155</v>
      </c>
      <c r="H1543" s="2">
        <f>Googleadssales[[#This Row],[Conversions]]/Googleadssales[[#This Row],[Clicks]]</f>
        <v>6.8361928104575156E-2</v>
      </c>
      <c r="I1543" t="str">
        <f>VLOOKUP(Googleadssales[[#This Row],[Ad_ID]],'[1]pre processed data'!A:O,15,0)</f>
        <v>$1737</v>
      </c>
      <c r="J1543" s="3">
        <f>VLOOKUP(Googleadssales[[#This Row],[Ad_ID]],'[1]pre processed data'!A:Q,17,0)</f>
        <v>45606</v>
      </c>
      <c r="K1543" t="str">
        <f>VLOOKUP(Googleadssales[[#This Row],[Ad_ID]],'[1]pre processed data'!A:R,18,0)</f>
        <v>Bangaluru</v>
      </c>
      <c r="L1543" t="str">
        <f>VLOOKUP(Googleadssales[[#This Row],[Ad_ID]],'[1]pre processed data'!A:S,19,0)</f>
        <v>Tablet</v>
      </c>
      <c r="M1543" t="str">
        <f>VLOOKUP(Googleadssales[[#This Row],[Ad_ID]],'[1]pre processed data'!A:T,20,0)</f>
        <v>data analytics course</v>
      </c>
    </row>
    <row r="1544" spans="1:13" x14ac:dyDescent="0.3">
      <c r="A1544" t="s">
        <v>1557</v>
      </c>
      <c r="B1544" t="s">
        <v>18</v>
      </c>
      <c r="C1544" s="4">
        <f>VLOOKUP(Googleadssales[[#This Row],[Ad_ID]],'[1]pre processed data'!A:C,3,0)</f>
        <v>85</v>
      </c>
      <c r="D1544" s="4">
        <f>VLOOKUP(Googleadssales[[#This Row],[Ad_ID]],'[1]pre processed data'!A:E,5,0)</f>
        <v>4653</v>
      </c>
      <c r="E1544" s="5" t="str">
        <f>VLOOKUP(Googleadssales[[#This Row],[Ad_ID]],[1]!Table3[[Ad_ID]:[Cost-imputed]],7,0)</f>
        <v>$196.73</v>
      </c>
      <c r="F1544" s="4">
        <f>VLOOKUP(Googleadssales[[#This Row],[Ad_ID]],'[1]pre processed data'!A:I,9,0)</f>
        <v>23</v>
      </c>
      <c r="G1544" s="4">
        <f>VLOOKUP(Googleadssales[[#This Row],[Ad_ID]],'[1]pre processed data'!A:K,11,0)</f>
        <v>6</v>
      </c>
      <c r="H1544" s="2">
        <f>Googleadssales[[#This Row],[Conversions]]/Googleadssales[[#This Row],[Clicks]]</f>
        <v>7.0588235294117646E-2</v>
      </c>
      <c r="I1544" t="str">
        <f>VLOOKUP(Googleadssales[[#This Row],[Ad_ID]],'[1]pre processed data'!A:O,15,0)</f>
        <v>$1032</v>
      </c>
      <c r="J1544" s="3">
        <f>VLOOKUP(Googleadssales[[#This Row],[Ad_ID]],'[1]pre processed data'!A:Q,17,0)</f>
        <v>45609</v>
      </c>
      <c r="K1544" t="str">
        <f>VLOOKUP(Googleadssales[[#This Row],[Ad_ID]],'[1]pre processed data'!A:R,18,0)</f>
        <v>Hyderabad</v>
      </c>
      <c r="L1544" t="str">
        <f>VLOOKUP(Googleadssales[[#This Row],[Ad_ID]],'[1]pre processed data'!A:S,19,0)</f>
        <v>Mobile</v>
      </c>
      <c r="M1544" t="str">
        <f>VLOOKUP(Googleadssales[[#This Row],[Ad_ID]],'[1]pre processed data'!A:T,20,0)</f>
        <v>data analytics course</v>
      </c>
    </row>
    <row r="1545" spans="1:13" x14ac:dyDescent="0.3">
      <c r="A1545" t="s">
        <v>1558</v>
      </c>
      <c r="B1545" t="s">
        <v>14</v>
      </c>
      <c r="C1545" s="4">
        <f>VLOOKUP(Googleadssales[[#This Row],[Ad_ID]],'[1]pre processed data'!A:C,3,0)</f>
        <v>151</v>
      </c>
      <c r="D1545" s="4">
        <f>VLOOKUP(Googleadssales[[#This Row],[Ad_ID]],'[1]pre processed data'!A:E,5,0)</f>
        <v>5389</v>
      </c>
      <c r="E1545" s="5" t="str">
        <f>VLOOKUP(Googleadssales[[#This Row],[Ad_ID]],[1]!Table3[[Ad_ID]:[Cost-imputed]],7,0)</f>
        <v>$227.07</v>
      </c>
      <c r="F1545" s="4">
        <f>VLOOKUP(Googleadssales[[#This Row],[Ad_ID]],'[1]pre processed data'!A:I,9,0)</f>
        <v>18</v>
      </c>
      <c r="G1545" s="4">
        <f>VLOOKUP(Googleadssales[[#This Row],[Ad_ID]],'[1]pre processed data'!A:K,11,0)</f>
        <v>10</v>
      </c>
      <c r="H1545" s="2">
        <f>Googleadssales[[#This Row],[Conversions]]/Googleadssales[[#This Row],[Clicks]]</f>
        <v>6.6225165562913912E-2</v>
      </c>
      <c r="I1545" t="str">
        <f>VLOOKUP(Googleadssales[[#This Row],[Ad_ID]],'[1]pre processed data'!A:O,15,0)</f>
        <v>$1318</v>
      </c>
      <c r="J1545" s="3">
        <f>VLOOKUP(Googleadssales[[#This Row],[Ad_ID]],'[1]pre processed data'!A:Q,17,0)</f>
        <v>45616</v>
      </c>
      <c r="K1545" t="str">
        <f>VLOOKUP(Googleadssales[[#This Row],[Ad_ID]],'[1]pre processed data'!A:R,18,0)</f>
        <v>Bangaluru</v>
      </c>
      <c r="L1545" t="str">
        <f>VLOOKUP(Googleadssales[[#This Row],[Ad_ID]],'[1]pre processed data'!A:S,19,0)</f>
        <v>Desktop</v>
      </c>
      <c r="M1545" t="str">
        <f>VLOOKUP(Googleadssales[[#This Row],[Ad_ID]],'[1]pre processed data'!A:T,20,0)</f>
        <v>data analytics training</v>
      </c>
    </row>
    <row r="1546" spans="1:13" x14ac:dyDescent="0.3">
      <c r="A1546" t="s">
        <v>1559</v>
      </c>
      <c r="B1546" t="s">
        <v>14</v>
      </c>
      <c r="C1546" s="4">
        <f>VLOOKUP(Googleadssales[[#This Row],[Ad_ID]],'[1]pre processed data'!A:C,3,0)</f>
        <v>139</v>
      </c>
      <c r="D1546" s="4">
        <f>VLOOKUP(Googleadssales[[#This Row],[Ad_ID]],'[1]pre processed data'!A:E,5,0)</f>
        <v>5290</v>
      </c>
      <c r="E1546" s="5" t="str">
        <f>VLOOKUP(Googleadssales[[#This Row],[Ad_ID]],[1]!Table3[[Ad_ID]:[Cost-imputed]],7,0)</f>
        <v>$208.43</v>
      </c>
      <c r="F1546" s="4">
        <f>VLOOKUP(Googleadssales[[#This Row],[Ad_ID]],'[1]pre processed data'!A:I,9,0)</f>
        <v>28</v>
      </c>
      <c r="G1546" s="4">
        <f>VLOOKUP(Googleadssales[[#This Row],[Ad_ID]],'[1]pre processed data'!A:K,11,0)</f>
        <v>4</v>
      </c>
      <c r="H1546" s="2">
        <f>Googleadssales[[#This Row],[Conversions]]/Googleadssales[[#This Row],[Clicks]]</f>
        <v>2.8776978417266189E-2</v>
      </c>
      <c r="I1546" t="str">
        <f>VLOOKUP(Googleadssales[[#This Row],[Ad_ID]],'[1]pre processed data'!A:O,15,0)</f>
        <v>$1022</v>
      </c>
      <c r="J1546" s="3">
        <f>VLOOKUP(Googleadssales[[#This Row],[Ad_ID]],'[1]pre processed data'!A:Q,17,0)</f>
        <v>45616</v>
      </c>
      <c r="K1546" t="str">
        <f>VLOOKUP(Googleadssales[[#This Row],[Ad_ID]],'[1]pre processed data'!A:R,18,0)</f>
        <v>Bangaluru</v>
      </c>
      <c r="L1546" t="str">
        <f>VLOOKUP(Googleadssales[[#This Row],[Ad_ID]],'[1]pre processed data'!A:S,19,0)</f>
        <v>Tablet</v>
      </c>
      <c r="M1546" t="str">
        <f>VLOOKUP(Googleadssales[[#This Row],[Ad_ID]],'[1]pre processed data'!A:T,20,0)</f>
        <v>data analytics online</v>
      </c>
    </row>
    <row r="1547" spans="1:13" x14ac:dyDescent="0.3">
      <c r="A1547" t="s">
        <v>1560</v>
      </c>
      <c r="B1547" t="s">
        <v>14</v>
      </c>
      <c r="C1547" s="4">
        <f>VLOOKUP(Googleadssales[[#This Row],[Ad_ID]],'[1]pre processed data'!A:C,3,0)</f>
        <v>120</v>
      </c>
      <c r="D1547" s="4">
        <f>VLOOKUP(Googleadssales[[#This Row],[Ad_ID]],'[1]pre processed data'!A:E,5,0)</f>
        <v>3060</v>
      </c>
      <c r="E1547" s="5" t="str">
        <f>VLOOKUP(Googleadssales[[#This Row],[Ad_ID]],[1]!Table3[[Ad_ID]:[Cost-imputed]],7,0)</f>
        <v>$197.96</v>
      </c>
      <c r="F1547" s="4">
        <f>VLOOKUP(Googleadssales[[#This Row],[Ad_ID]],'[1]pre processed data'!A:I,9,0)</f>
        <v>20.200389105058367</v>
      </c>
      <c r="G1547" s="4">
        <f>VLOOKUP(Googleadssales[[#This Row],[Ad_ID]],'[1]pre processed data'!A:K,11,0)</f>
        <v>8</v>
      </c>
      <c r="H1547" s="2">
        <f>Googleadssales[[#This Row],[Conversions]]/Googleadssales[[#This Row],[Clicks]]</f>
        <v>6.6666666666666666E-2</v>
      </c>
      <c r="I1547" t="str">
        <f>VLOOKUP(Googleadssales[[#This Row],[Ad_ID]],'[1]pre processed data'!A:O,15,0)</f>
        <v>$1679</v>
      </c>
      <c r="J1547" s="3">
        <f>VLOOKUP(Googleadssales[[#This Row],[Ad_ID]],'[1]pre processed data'!A:Q,17,0)</f>
        <v>45619</v>
      </c>
      <c r="K1547" t="str">
        <f>VLOOKUP(Googleadssales[[#This Row],[Ad_ID]],'[1]pre processed data'!A:R,18,0)</f>
        <v>Hyderabad</v>
      </c>
      <c r="L1547" t="str">
        <f>VLOOKUP(Googleadssales[[#This Row],[Ad_ID]],'[1]pre processed data'!A:S,19,0)</f>
        <v>Tablet</v>
      </c>
      <c r="M1547" t="str">
        <f>VLOOKUP(Googleadssales[[#This Row],[Ad_ID]],'[1]pre processed data'!A:T,20,0)</f>
        <v>analytics for data</v>
      </c>
    </row>
    <row r="1548" spans="1:13" x14ac:dyDescent="0.3">
      <c r="A1548" t="s">
        <v>1561</v>
      </c>
      <c r="B1548" t="s">
        <v>18</v>
      </c>
      <c r="C1548" s="4">
        <f>VLOOKUP(Googleadssales[[#This Row],[Ad_ID]],'[1]pre processed data'!A:C,3,0)</f>
        <v>109</v>
      </c>
      <c r="D1548" s="4">
        <f>VLOOKUP(Googleadssales[[#This Row],[Ad_ID]],'[1]pre processed data'!A:E,5,0)</f>
        <v>4444</v>
      </c>
      <c r="E1548" s="5" t="str">
        <f>VLOOKUP(Googleadssales[[#This Row],[Ad_ID]],[1]!Table3[[Ad_ID]:[Cost-imputed]],7,0)</f>
        <v>$219.46</v>
      </c>
      <c r="F1548" s="4">
        <f>VLOOKUP(Googleadssales[[#This Row],[Ad_ID]],'[1]pre processed data'!A:I,9,0)</f>
        <v>12</v>
      </c>
      <c r="G1548" s="4">
        <f>VLOOKUP(Googleadssales[[#This Row],[Ad_ID]],'[1]pre processed data'!A:K,11,0)</f>
        <v>9</v>
      </c>
      <c r="H1548" s="2">
        <f>Googleadssales[[#This Row],[Conversions]]/Googleadssales[[#This Row],[Clicks]]</f>
        <v>8.2568807339449546E-2</v>
      </c>
      <c r="I1548" t="str">
        <f>VLOOKUP(Googleadssales[[#This Row],[Ad_ID]],'[1]pre processed data'!A:O,15,0)</f>
        <v>$1159</v>
      </c>
      <c r="J1548" s="3">
        <f>VLOOKUP(Googleadssales[[#This Row],[Ad_ID]],'[1]pre processed data'!A:Q,17,0)</f>
        <v>45624</v>
      </c>
      <c r="K1548" t="str">
        <f>VLOOKUP(Googleadssales[[#This Row],[Ad_ID]],'[1]pre processed data'!A:R,18,0)</f>
        <v>Chennai</v>
      </c>
      <c r="L1548" t="str">
        <f>VLOOKUP(Googleadssales[[#This Row],[Ad_ID]],'[1]pre processed data'!A:S,19,0)</f>
        <v>Mobile</v>
      </c>
      <c r="M1548" t="str">
        <f>VLOOKUP(Googleadssales[[#This Row],[Ad_ID]],'[1]pre processed data'!A:T,20,0)</f>
        <v>data analytics training</v>
      </c>
    </row>
    <row r="1549" spans="1:13" x14ac:dyDescent="0.3">
      <c r="A1549" t="s">
        <v>1562</v>
      </c>
      <c r="B1549" t="s">
        <v>14</v>
      </c>
      <c r="C1549" s="4">
        <f>VLOOKUP(Googleadssales[[#This Row],[Ad_ID]],'[1]pre processed data'!A:C,3,0)</f>
        <v>145</v>
      </c>
      <c r="D1549" s="4">
        <f>VLOOKUP(Googleadssales[[#This Row],[Ad_ID]],'[1]pre processed data'!A:E,5,0)</f>
        <v>3509</v>
      </c>
      <c r="E1549" s="5" t="str">
        <f>VLOOKUP(Googleadssales[[#This Row],[Ad_ID]],[1]!Table3[[Ad_ID]:[Cost-imputed]],7,0)</f>
        <v>$181.11</v>
      </c>
      <c r="F1549" s="4">
        <f>VLOOKUP(Googleadssales[[#This Row],[Ad_ID]],'[1]pre processed data'!A:I,9,0)</f>
        <v>19</v>
      </c>
      <c r="G1549" s="4">
        <f>VLOOKUP(Googleadssales[[#This Row],[Ad_ID]],'[1]pre processed data'!A:K,11,0)</f>
        <v>10</v>
      </c>
      <c r="H1549" s="2">
        <f>Googleadssales[[#This Row],[Conversions]]/Googleadssales[[#This Row],[Clicks]]</f>
        <v>6.8965517241379309E-2</v>
      </c>
      <c r="I1549" t="str">
        <f>VLOOKUP(Googleadssales[[#This Row],[Ad_ID]],'[1]pre processed data'!A:O,15,0)</f>
        <v>$1627</v>
      </c>
      <c r="J1549" s="3">
        <f>VLOOKUP(Googleadssales[[#This Row],[Ad_ID]],'[1]pre processed data'!A:Q,17,0)</f>
        <v>45618</v>
      </c>
      <c r="K1549" t="str">
        <f>VLOOKUP(Googleadssales[[#This Row],[Ad_ID]],'[1]pre processed data'!A:R,18,0)</f>
        <v>Hyderabad</v>
      </c>
      <c r="L1549" t="str">
        <f>VLOOKUP(Googleadssales[[#This Row],[Ad_ID]],'[1]pre processed data'!A:S,19,0)</f>
        <v>Mobile</v>
      </c>
      <c r="M1549" t="str">
        <f>VLOOKUP(Googleadssales[[#This Row],[Ad_ID]],'[1]pre processed data'!A:T,20,0)</f>
        <v>online data analytic</v>
      </c>
    </row>
    <row r="1550" spans="1:13" x14ac:dyDescent="0.3">
      <c r="A1550" t="s">
        <v>1563</v>
      </c>
      <c r="B1550" t="s">
        <v>14</v>
      </c>
      <c r="C1550" s="4">
        <f>VLOOKUP(Googleadssales[[#This Row],[Ad_ID]],'[1]pre processed data'!A:C,3,0)</f>
        <v>151</v>
      </c>
      <c r="D1550" s="4">
        <f>VLOOKUP(Googleadssales[[#This Row],[Ad_ID]],'[1]pre processed data'!A:E,5,0)</f>
        <v>4675</v>
      </c>
      <c r="E1550" s="5" t="str">
        <f>VLOOKUP(Googleadssales[[#This Row],[Ad_ID]],[1]!Table3[[Ad_ID]:[Cost-imputed]],7,0)</f>
        <v>$183.02</v>
      </c>
      <c r="F1550" s="4">
        <f>VLOOKUP(Googleadssales[[#This Row],[Ad_ID]],'[1]pre processed data'!A:I,9,0)</f>
        <v>14</v>
      </c>
      <c r="G1550" s="4">
        <f>VLOOKUP(Googleadssales[[#This Row],[Ad_ID]],'[1]pre processed data'!A:K,11,0)</f>
        <v>7</v>
      </c>
      <c r="H1550" s="2">
        <f>Googleadssales[[#This Row],[Conversions]]/Googleadssales[[#This Row],[Clicks]]</f>
        <v>4.6357615894039736E-2</v>
      </c>
      <c r="I1550" t="str">
        <f>VLOOKUP(Googleadssales[[#This Row],[Ad_ID]],'[1]pre processed data'!A:O,15,0)</f>
        <v>$1000</v>
      </c>
      <c r="J1550" s="3">
        <f>VLOOKUP(Googleadssales[[#This Row],[Ad_ID]],'[1]pre processed data'!A:Q,17,0)</f>
        <v>45606</v>
      </c>
      <c r="K1550" t="str">
        <f>VLOOKUP(Googleadssales[[#This Row],[Ad_ID]],'[1]pre processed data'!A:R,18,0)</f>
        <v>Hyderabad</v>
      </c>
      <c r="L1550" t="str">
        <f>VLOOKUP(Googleadssales[[#This Row],[Ad_ID]],'[1]pre processed data'!A:S,19,0)</f>
        <v>Mobile</v>
      </c>
      <c r="M1550" t="str">
        <f>VLOOKUP(Googleadssales[[#This Row],[Ad_ID]],'[1]pre processed data'!A:T,20,0)</f>
        <v>analytics for data</v>
      </c>
    </row>
    <row r="1551" spans="1:13" x14ac:dyDescent="0.3">
      <c r="A1551" t="s">
        <v>1564</v>
      </c>
      <c r="B1551" t="s">
        <v>14</v>
      </c>
      <c r="C1551" s="4">
        <f>VLOOKUP(Googleadssales[[#This Row],[Ad_ID]],'[1]pre processed data'!A:C,3,0)</f>
        <v>108</v>
      </c>
      <c r="D1551" s="4">
        <f>VLOOKUP(Googleadssales[[#This Row],[Ad_ID]],'[1]pre processed data'!A:E,5,0)</f>
        <v>5869</v>
      </c>
      <c r="E1551" s="5" t="str">
        <f>VLOOKUP(Googleadssales[[#This Row],[Ad_ID]],[1]!Table3[[Ad_ID]:[Cost-imputed]],7,0)</f>
        <v>$226.93</v>
      </c>
      <c r="F1551" s="4">
        <f>VLOOKUP(Googleadssales[[#This Row],[Ad_ID]],'[1]pre processed data'!A:I,9,0)</f>
        <v>16</v>
      </c>
      <c r="G1551" s="4">
        <f>VLOOKUP(Googleadssales[[#This Row],[Ad_ID]],'[1]pre processed data'!A:K,11,0)</f>
        <v>7</v>
      </c>
      <c r="H1551" s="2">
        <f>Googleadssales[[#This Row],[Conversions]]/Googleadssales[[#This Row],[Clicks]]</f>
        <v>6.4814814814814811E-2</v>
      </c>
      <c r="I1551" t="str">
        <f>VLOOKUP(Googleadssales[[#This Row],[Ad_ID]],'[1]pre processed data'!A:O,15,0)</f>
        <v>$1633</v>
      </c>
      <c r="J1551" s="3">
        <f>VLOOKUP(Googleadssales[[#This Row],[Ad_ID]],'[1]pre processed data'!A:Q,17,0)</f>
        <v>45599</v>
      </c>
      <c r="K1551" t="str">
        <f>VLOOKUP(Googleadssales[[#This Row],[Ad_ID]],'[1]pre processed data'!A:R,18,0)</f>
        <v>Chennai</v>
      </c>
      <c r="L1551" t="str">
        <f>VLOOKUP(Googleadssales[[#This Row],[Ad_ID]],'[1]pre processed data'!A:S,19,0)</f>
        <v>Desktop</v>
      </c>
      <c r="M1551" t="str">
        <f>VLOOKUP(Googleadssales[[#This Row],[Ad_ID]],'[1]pre processed data'!A:T,20,0)</f>
        <v>analytics for data</v>
      </c>
    </row>
    <row r="1552" spans="1:13" x14ac:dyDescent="0.3">
      <c r="A1552" t="s">
        <v>1565</v>
      </c>
      <c r="B1552" t="s">
        <v>18</v>
      </c>
      <c r="C1552" s="4">
        <f>VLOOKUP(Googleadssales[[#This Row],[Ad_ID]],'[1]pre processed data'!A:C,3,0)</f>
        <v>166</v>
      </c>
      <c r="D1552" s="4">
        <f>VLOOKUP(Googleadssales[[#This Row],[Ad_ID]],'[1]pre processed data'!A:E,5,0)</f>
        <v>3992</v>
      </c>
      <c r="E1552" s="5" t="str">
        <f>VLOOKUP(Googleadssales[[#This Row],[Ad_ID]],[1]!Table3[[Ad_ID]:[Cost-imputed]],7,0)</f>
        <v>$205.9</v>
      </c>
      <c r="F1552" s="4">
        <f>VLOOKUP(Googleadssales[[#This Row],[Ad_ID]],'[1]pre processed data'!A:I,9,0)</f>
        <v>15</v>
      </c>
      <c r="G1552" s="4">
        <f>VLOOKUP(Googleadssales[[#This Row],[Ad_ID]],'[1]pre processed data'!A:K,11,0)</f>
        <v>8</v>
      </c>
      <c r="H1552" s="2">
        <f>Googleadssales[[#This Row],[Conversions]]/Googleadssales[[#This Row],[Clicks]]</f>
        <v>4.8192771084337352E-2</v>
      </c>
      <c r="I1552" t="str">
        <f>VLOOKUP(Googleadssales[[#This Row],[Ad_ID]],'[1]pre processed data'!A:O,15,0)</f>
        <v>$1899</v>
      </c>
      <c r="J1552" s="3">
        <f>VLOOKUP(Googleadssales[[#This Row],[Ad_ID]],'[1]pre processed data'!A:Q,17,0)</f>
        <v>45601</v>
      </c>
      <c r="K1552" t="str">
        <f>VLOOKUP(Googleadssales[[#This Row],[Ad_ID]],'[1]pre processed data'!A:R,18,0)</f>
        <v>Chennai</v>
      </c>
      <c r="L1552" t="str">
        <f>VLOOKUP(Googleadssales[[#This Row],[Ad_ID]],'[1]pre processed data'!A:S,19,0)</f>
        <v>Desktop</v>
      </c>
      <c r="M1552" t="str">
        <f>VLOOKUP(Googleadssales[[#This Row],[Ad_ID]],'[1]pre processed data'!A:T,20,0)</f>
        <v>analytics for data</v>
      </c>
    </row>
    <row r="1553" spans="1:13" x14ac:dyDescent="0.3">
      <c r="A1553" t="s">
        <v>1566</v>
      </c>
      <c r="B1553" t="s">
        <v>14</v>
      </c>
      <c r="C1553" s="4">
        <f>VLOOKUP(Googleadssales[[#This Row],[Ad_ID]],'[1]pre processed data'!A:C,3,0)</f>
        <v>134</v>
      </c>
      <c r="D1553" s="4">
        <f>VLOOKUP(Googleadssales[[#This Row],[Ad_ID]],'[1]pre processed data'!A:E,5,0)</f>
        <v>4172</v>
      </c>
      <c r="E1553" s="5" t="str">
        <f>VLOOKUP(Googleadssales[[#This Row],[Ad_ID]],[1]!Table3[[Ad_ID]:[Cost-imputed]],7,0)</f>
        <v>$191.8</v>
      </c>
      <c r="F1553" s="4">
        <f>VLOOKUP(Googleadssales[[#This Row],[Ad_ID]],'[1]pre processed data'!A:I,9,0)</f>
        <v>26</v>
      </c>
      <c r="G1553" s="4">
        <f>VLOOKUP(Googleadssales[[#This Row],[Ad_ID]],'[1]pre processed data'!A:K,11,0)</f>
        <v>5</v>
      </c>
      <c r="H1553" s="2">
        <f>Googleadssales[[#This Row],[Conversions]]/Googleadssales[[#This Row],[Clicks]]</f>
        <v>3.7313432835820892E-2</v>
      </c>
      <c r="I1553" t="str">
        <f>VLOOKUP(Googleadssales[[#This Row],[Ad_ID]],'[1]pre processed data'!A:O,15,0)</f>
        <v>$1170</v>
      </c>
      <c r="J1553" s="3">
        <f>VLOOKUP(Googleadssales[[#This Row],[Ad_ID]],'[1]pre processed data'!A:Q,17,0)</f>
        <v>45614</v>
      </c>
      <c r="K1553" t="str">
        <f>VLOOKUP(Googleadssales[[#This Row],[Ad_ID]],'[1]pre processed data'!A:R,18,0)</f>
        <v>Hyderabad</v>
      </c>
      <c r="L1553" t="str">
        <f>VLOOKUP(Googleadssales[[#This Row],[Ad_ID]],'[1]pre processed data'!A:S,19,0)</f>
        <v>Tablet</v>
      </c>
      <c r="M1553" t="str">
        <f>VLOOKUP(Googleadssales[[#This Row],[Ad_ID]],'[1]pre processed data'!A:T,20,0)</f>
        <v>online data analytic</v>
      </c>
    </row>
    <row r="1554" spans="1:13" x14ac:dyDescent="0.3">
      <c r="A1554" t="s">
        <v>1567</v>
      </c>
      <c r="B1554" t="s">
        <v>14</v>
      </c>
      <c r="C1554" s="4">
        <f>VLOOKUP(Googleadssales[[#This Row],[Ad_ID]],'[1]pre processed data'!A:C,3,0)</f>
        <v>104</v>
      </c>
      <c r="D1554" s="4">
        <f>VLOOKUP(Googleadssales[[#This Row],[Ad_ID]],'[1]pre processed data'!A:E,5,0)</f>
        <v>5926</v>
      </c>
      <c r="E1554" s="5" t="str">
        <f>VLOOKUP(Googleadssales[[#This Row],[Ad_ID]],[1]!Table3[[Ad_ID]:[Cost-imputed]],7,0)</f>
        <v>$224.63</v>
      </c>
      <c r="F1554" s="4">
        <f>VLOOKUP(Googleadssales[[#This Row],[Ad_ID]],'[1]pre processed data'!A:I,9,0)</f>
        <v>17</v>
      </c>
      <c r="G1554" s="4">
        <f>VLOOKUP(Googleadssales[[#This Row],[Ad_ID]],'[1]pre processed data'!A:K,11,0)</f>
        <v>8</v>
      </c>
      <c r="H1554" s="2">
        <f>Googleadssales[[#This Row],[Conversions]]/Googleadssales[[#This Row],[Clicks]]</f>
        <v>7.6923076923076927E-2</v>
      </c>
      <c r="I1554" t="str">
        <f>VLOOKUP(Googleadssales[[#This Row],[Ad_ID]],'[1]pre processed data'!A:O,15,0)</f>
        <v>$1239</v>
      </c>
      <c r="J1554" s="3">
        <f>VLOOKUP(Googleadssales[[#This Row],[Ad_ID]],'[1]pre processed data'!A:Q,17,0)</f>
        <v>45620</v>
      </c>
      <c r="K1554" t="str">
        <f>VLOOKUP(Googleadssales[[#This Row],[Ad_ID]],'[1]pre processed data'!A:R,18,0)</f>
        <v>Hyderabad</v>
      </c>
      <c r="L1554" t="str">
        <f>VLOOKUP(Googleadssales[[#This Row],[Ad_ID]],'[1]pre processed data'!A:S,19,0)</f>
        <v>Mobile</v>
      </c>
      <c r="M1554" t="str">
        <f>VLOOKUP(Googleadssales[[#This Row],[Ad_ID]],'[1]pre processed data'!A:T,20,0)</f>
        <v>learn data analytics</v>
      </c>
    </row>
    <row r="1555" spans="1:13" x14ac:dyDescent="0.3">
      <c r="A1555" t="s">
        <v>1568</v>
      </c>
      <c r="B1555" t="s">
        <v>18</v>
      </c>
      <c r="C1555" s="4">
        <f>VLOOKUP(Googleadssales[[#This Row],[Ad_ID]],'[1]pre processed data'!A:C,3,0)</f>
        <v>138.95699356913184</v>
      </c>
      <c r="D1555" s="4">
        <f>VLOOKUP(Googleadssales[[#This Row],[Ad_ID]],'[1]pre processed data'!A:E,5,0)</f>
        <v>5785</v>
      </c>
      <c r="E1555" s="5" t="str">
        <f>VLOOKUP(Googleadssales[[#This Row],[Ad_ID]],[1]!Table3[[Ad_ID]:[Cost-imputed]],7,0)</f>
        <v>$195.39</v>
      </c>
      <c r="F1555" s="4">
        <f>VLOOKUP(Googleadssales[[#This Row],[Ad_ID]],'[1]pre processed data'!A:I,9,0)</f>
        <v>15</v>
      </c>
      <c r="G1555" s="4">
        <f>VLOOKUP(Googleadssales[[#This Row],[Ad_ID]],'[1]pre processed data'!A:K,11,0)</f>
        <v>10</v>
      </c>
      <c r="H1555" s="2">
        <f>Googleadssales[[#This Row],[Conversions]]/Googleadssales[[#This Row],[Clicks]]</f>
        <v>7.1964711837443046E-2</v>
      </c>
      <c r="I1555" t="str">
        <f>VLOOKUP(Googleadssales[[#This Row],[Ad_ID]],'[1]pre processed data'!A:O,15,0)</f>
        <v>$1296</v>
      </c>
      <c r="J1555" s="3">
        <f>VLOOKUP(Googleadssales[[#This Row],[Ad_ID]],'[1]pre processed data'!A:Q,17,0)</f>
        <v>45621</v>
      </c>
      <c r="K1555" t="str">
        <f>VLOOKUP(Googleadssales[[#This Row],[Ad_ID]],'[1]pre processed data'!A:R,18,0)</f>
        <v>Hyderabad</v>
      </c>
      <c r="L1555" t="str">
        <f>VLOOKUP(Googleadssales[[#This Row],[Ad_ID]],'[1]pre processed data'!A:S,19,0)</f>
        <v>Tablet</v>
      </c>
      <c r="M1555" t="str">
        <f>VLOOKUP(Googleadssales[[#This Row],[Ad_ID]],'[1]pre processed data'!A:T,20,0)</f>
        <v>analytics for data</v>
      </c>
    </row>
    <row r="1556" spans="1:13" x14ac:dyDescent="0.3">
      <c r="A1556" t="s">
        <v>1569</v>
      </c>
      <c r="B1556" t="s">
        <v>14</v>
      </c>
      <c r="C1556" s="4">
        <f>VLOOKUP(Googleadssales[[#This Row],[Ad_ID]],'[1]pre processed data'!A:C,3,0)</f>
        <v>160</v>
      </c>
      <c r="D1556" s="4">
        <f>VLOOKUP(Googleadssales[[#This Row],[Ad_ID]],'[1]pre processed data'!A:E,5,0)</f>
        <v>5664</v>
      </c>
      <c r="E1556" s="5" t="str">
        <f>VLOOKUP(Googleadssales[[#This Row],[Ad_ID]],[1]!Table3[[Ad_ID]:[Cost-imputed]],7,0)</f>
        <v>$210.58</v>
      </c>
      <c r="F1556" s="4">
        <f>VLOOKUP(Googleadssales[[#This Row],[Ad_ID]],'[1]pre processed data'!A:I,9,0)</f>
        <v>16</v>
      </c>
      <c r="G1556" s="4">
        <f>VLOOKUP(Googleadssales[[#This Row],[Ad_ID]],'[1]pre processed data'!A:K,11,0)</f>
        <v>9</v>
      </c>
      <c r="H1556" s="2">
        <f>Googleadssales[[#This Row],[Conversions]]/Googleadssales[[#This Row],[Clicks]]</f>
        <v>5.6250000000000001E-2</v>
      </c>
      <c r="I1556" t="str">
        <f>VLOOKUP(Googleadssales[[#This Row],[Ad_ID]],'[1]pre processed data'!A:O,15,0)</f>
        <v>$1836</v>
      </c>
      <c r="J1556" s="3">
        <f>VLOOKUP(Googleadssales[[#This Row],[Ad_ID]],'[1]pre processed data'!A:Q,17,0)</f>
        <v>45603</v>
      </c>
      <c r="K1556" t="str">
        <f>VLOOKUP(Googleadssales[[#This Row],[Ad_ID]],'[1]pre processed data'!A:R,18,0)</f>
        <v>Bangaluru</v>
      </c>
      <c r="L1556" t="str">
        <f>VLOOKUP(Googleadssales[[#This Row],[Ad_ID]],'[1]pre processed data'!A:S,19,0)</f>
        <v>Mobile</v>
      </c>
      <c r="M1556" t="str">
        <f>VLOOKUP(Googleadssales[[#This Row],[Ad_ID]],'[1]pre processed data'!A:T,20,0)</f>
        <v>data analytics training</v>
      </c>
    </row>
    <row r="1557" spans="1:13" x14ac:dyDescent="0.3">
      <c r="A1557" t="s">
        <v>1570</v>
      </c>
      <c r="B1557" t="s">
        <v>14</v>
      </c>
      <c r="C1557" s="4">
        <f>VLOOKUP(Googleadssales[[#This Row],[Ad_ID]],'[1]pre processed data'!A:C,3,0)</f>
        <v>147</v>
      </c>
      <c r="D1557" s="4">
        <f>VLOOKUP(Googleadssales[[#This Row],[Ad_ID]],'[1]pre processed data'!A:E,5,0)</f>
        <v>5930</v>
      </c>
      <c r="E1557" s="5" t="str">
        <f>VLOOKUP(Googleadssales[[#This Row],[Ad_ID]],[1]!Table3[[Ad_ID]:[Cost-imputed]],7,0)</f>
        <v>$248.18</v>
      </c>
      <c r="F1557" s="4">
        <f>VLOOKUP(Googleadssales[[#This Row],[Ad_ID]],'[1]pre processed data'!A:I,9,0)</f>
        <v>22</v>
      </c>
      <c r="G1557" s="4">
        <f>VLOOKUP(Googleadssales[[#This Row],[Ad_ID]],'[1]pre processed data'!A:K,11,0)</f>
        <v>10</v>
      </c>
      <c r="H1557" s="2">
        <f>Googleadssales[[#This Row],[Conversions]]/Googleadssales[[#This Row],[Clicks]]</f>
        <v>6.8027210884353748E-2</v>
      </c>
      <c r="I1557" t="str">
        <f>VLOOKUP(Googleadssales[[#This Row],[Ad_ID]],'[1]pre processed data'!A:O,15,0)</f>
        <v>$1743</v>
      </c>
      <c r="J1557" s="3">
        <f>VLOOKUP(Googleadssales[[#This Row],[Ad_ID]],'[1]pre processed data'!A:Q,17,0)</f>
        <v>45611</v>
      </c>
      <c r="K1557" t="str">
        <f>VLOOKUP(Googleadssales[[#This Row],[Ad_ID]],'[1]pre processed data'!A:R,18,0)</f>
        <v>Hyderabad</v>
      </c>
      <c r="L1557" t="str">
        <f>VLOOKUP(Googleadssales[[#This Row],[Ad_ID]],'[1]pre processed data'!A:S,19,0)</f>
        <v>Desktop</v>
      </c>
      <c r="M1557" t="str">
        <f>VLOOKUP(Googleadssales[[#This Row],[Ad_ID]],'[1]pre processed data'!A:T,20,0)</f>
        <v>analytics for data</v>
      </c>
    </row>
    <row r="1558" spans="1:13" x14ac:dyDescent="0.3">
      <c r="A1558" t="s">
        <v>1571</v>
      </c>
      <c r="B1558" t="s">
        <v>14</v>
      </c>
      <c r="C1558" s="4">
        <f>VLOOKUP(Googleadssales[[#This Row],[Ad_ID]],'[1]pre processed data'!A:C,3,0)</f>
        <v>196</v>
      </c>
      <c r="D1558" s="4">
        <f>VLOOKUP(Googleadssales[[#This Row],[Ad_ID]],'[1]pre processed data'!A:E,5,0)</f>
        <v>3656</v>
      </c>
      <c r="E1558" s="5" t="str">
        <f>VLOOKUP(Googleadssales[[#This Row],[Ad_ID]],[1]!Table3[[Ad_ID]:[Cost-imputed]],7,0)</f>
        <v>$240.44</v>
      </c>
      <c r="F1558" s="4">
        <f>VLOOKUP(Googleadssales[[#This Row],[Ad_ID]],'[1]pre processed data'!A:I,9,0)</f>
        <v>15</v>
      </c>
      <c r="G1558" s="4">
        <f>VLOOKUP(Googleadssales[[#This Row],[Ad_ID]],'[1]pre processed data'!A:K,11,0)</f>
        <v>6</v>
      </c>
      <c r="H1558" s="2">
        <f>Googleadssales[[#This Row],[Conversions]]/Googleadssales[[#This Row],[Clicks]]</f>
        <v>3.0612244897959183E-2</v>
      </c>
      <c r="I1558" t="str">
        <f>VLOOKUP(Googleadssales[[#This Row],[Ad_ID]],'[1]pre processed data'!A:O,15,0)</f>
        <v>$1894</v>
      </c>
      <c r="J1558" s="3">
        <f>VLOOKUP(Googleadssales[[#This Row],[Ad_ID]],'[1]pre processed data'!A:Q,17,0)</f>
        <v>45599</v>
      </c>
      <c r="K1558" t="str">
        <f>VLOOKUP(Googleadssales[[#This Row],[Ad_ID]],'[1]pre processed data'!A:R,18,0)</f>
        <v>Hyderabad</v>
      </c>
      <c r="L1558" t="str">
        <f>VLOOKUP(Googleadssales[[#This Row],[Ad_ID]],'[1]pre processed data'!A:S,19,0)</f>
        <v>Tablet</v>
      </c>
      <c r="M1558" t="str">
        <f>VLOOKUP(Googleadssales[[#This Row],[Ad_ID]],'[1]pre processed data'!A:T,20,0)</f>
        <v>analytics for data</v>
      </c>
    </row>
    <row r="1559" spans="1:13" x14ac:dyDescent="0.3">
      <c r="A1559" t="s">
        <v>1572</v>
      </c>
      <c r="B1559" t="s">
        <v>14</v>
      </c>
      <c r="C1559" s="4">
        <f>VLOOKUP(Googleadssales[[#This Row],[Ad_ID]],'[1]pre processed data'!A:C,3,0)</f>
        <v>159</v>
      </c>
      <c r="D1559" s="4">
        <f>VLOOKUP(Googleadssales[[#This Row],[Ad_ID]],'[1]pre processed data'!A:E,5,0)</f>
        <v>5078</v>
      </c>
      <c r="E1559" s="5" t="str">
        <f>VLOOKUP(Googleadssales[[#This Row],[Ad_ID]],[1]!Table3[[Ad_ID]:[Cost-imputed]],7,0)</f>
        <v>$182.57</v>
      </c>
      <c r="F1559" s="4">
        <f>VLOOKUP(Googleadssales[[#This Row],[Ad_ID]],'[1]pre processed data'!A:I,9,0)</f>
        <v>30</v>
      </c>
      <c r="G1559" s="4">
        <f>VLOOKUP(Googleadssales[[#This Row],[Ad_ID]],'[1]pre processed data'!A:K,11,0)</f>
        <v>8</v>
      </c>
      <c r="H1559" s="2">
        <f>Googleadssales[[#This Row],[Conversions]]/Googleadssales[[#This Row],[Clicks]]</f>
        <v>5.0314465408805034E-2</v>
      </c>
      <c r="I1559" t="str">
        <f>VLOOKUP(Googleadssales[[#This Row],[Ad_ID]],'[1]pre processed data'!A:O,15,0)</f>
        <v>$1541</v>
      </c>
      <c r="J1559" s="3">
        <f>VLOOKUP(Googleadssales[[#This Row],[Ad_ID]],'[1]pre processed data'!A:Q,17,0)</f>
        <v>45605</v>
      </c>
      <c r="K1559" t="str">
        <f>VLOOKUP(Googleadssales[[#This Row],[Ad_ID]],'[1]pre processed data'!A:R,18,0)</f>
        <v>Hyderabad</v>
      </c>
      <c r="L1559" t="str">
        <f>VLOOKUP(Googleadssales[[#This Row],[Ad_ID]],'[1]pre processed data'!A:S,19,0)</f>
        <v>Mobile</v>
      </c>
      <c r="M1559" t="str">
        <f>VLOOKUP(Googleadssales[[#This Row],[Ad_ID]],'[1]pre processed data'!A:T,20,0)</f>
        <v>data analytics course</v>
      </c>
    </row>
    <row r="1560" spans="1:13" x14ac:dyDescent="0.3">
      <c r="A1560" t="s">
        <v>1573</v>
      </c>
      <c r="B1560" t="s">
        <v>18</v>
      </c>
      <c r="C1560" s="4">
        <f>VLOOKUP(Googleadssales[[#This Row],[Ad_ID]],'[1]pre processed data'!A:C,3,0)</f>
        <v>104</v>
      </c>
      <c r="D1560" s="4">
        <f>VLOOKUP(Googleadssales[[#This Row],[Ad_ID]],'[1]pre processed data'!A:E,5,0)</f>
        <v>5257</v>
      </c>
      <c r="E1560" s="5" t="str">
        <f>VLOOKUP(Googleadssales[[#This Row],[Ad_ID]],[1]!Table3[[Ad_ID]:[Cost-imputed]],7,0)</f>
        <v>$220.44</v>
      </c>
      <c r="F1560" s="4">
        <f>VLOOKUP(Googleadssales[[#This Row],[Ad_ID]],'[1]pre processed data'!A:I,9,0)</f>
        <v>17</v>
      </c>
      <c r="G1560" s="4">
        <f>VLOOKUP(Googleadssales[[#This Row],[Ad_ID]],'[1]pre processed data'!A:K,11,0)</f>
        <v>7</v>
      </c>
      <c r="H1560" s="2">
        <f>Googleadssales[[#This Row],[Conversions]]/Googleadssales[[#This Row],[Clicks]]</f>
        <v>6.7307692307692304E-2</v>
      </c>
      <c r="I1560" t="str">
        <f>VLOOKUP(Googleadssales[[#This Row],[Ad_ID]],'[1]pre processed data'!A:O,15,0)</f>
        <v>$1462</v>
      </c>
      <c r="J1560" s="3">
        <f>VLOOKUP(Googleadssales[[#This Row],[Ad_ID]],'[1]pre processed data'!A:Q,17,0)</f>
        <v>45623</v>
      </c>
      <c r="K1560" t="str">
        <f>VLOOKUP(Googleadssales[[#This Row],[Ad_ID]],'[1]pre processed data'!A:R,18,0)</f>
        <v>Hyderabad</v>
      </c>
      <c r="L1560" t="str">
        <f>VLOOKUP(Googleadssales[[#This Row],[Ad_ID]],'[1]pre processed data'!A:S,19,0)</f>
        <v>Mobile</v>
      </c>
      <c r="M1560" t="str">
        <f>VLOOKUP(Googleadssales[[#This Row],[Ad_ID]],'[1]pre processed data'!A:T,20,0)</f>
        <v>data analytics online</v>
      </c>
    </row>
    <row r="1561" spans="1:13" x14ac:dyDescent="0.3">
      <c r="A1561" t="s">
        <v>1574</v>
      </c>
      <c r="B1561" t="s">
        <v>14</v>
      </c>
      <c r="C1561" s="4">
        <f>VLOOKUP(Googleadssales[[#This Row],[Ad_ID]],'[1]pre processed data'!A:C,3,0)</f>
        <v>135</v>
      </c>
      <c r="D1561" s="4">
        <f>VLOOKUP(Googleadssales[[#This Row],[Ad_ID]],'[1]pre processed data'!A:E,5,0)</f>
        <v>5582</v>
      </c>
      <c r="E1561" s="5" t="str">
        <f>VLOOKUP(Googleadssales[[#This Row],[Ad_ID]],[1]!Table3[[Ad_ID]:[Cost-imputed]],7,0)</f>
        <v>$209.14</v>
      </c>
      <c r="F1561" s="4">
        <f>VLOOKUP(Googleadssales[[#This Row],[Ad_ID]],'[1]pre processed data'!A:I,9,0)</f>
        <v>28</v>
      </c>
      <c r="G1561" s="4">
        <f>VLOOKUP(Googleadssales[[#This Row],[Ad_ID]],'[1]pre processed data'!A:K,11,0)</f>
        <v>5</v>
      </c>
      <c r="H1561" s="2">
        <f>Googleadssales[[#This Row],[Conversions]]/Googleadssales[[#This Row],[Clicks]]</f>
        <v>3.7037037037037035E-2</v>
      </c>
      <c r="I1561" t="str">
        <f>VLOOKUP(Googleadssales[[#This Row],[Ad_ID]],'[1]pre processed data'!A:O,15,0)</f>
        <v>$1912</v>
      </c>
      <c r="J1561" s="3">
        <f>VLOOKUP(Googleadssales[[#This Row],[Ad_ID]],'[1]pre processed data'!A:Q,17,0)</f>
        <v>45621</v>
      </c>
      <c r="K1561" t="str">
        <f>VLOOKUP(Googleadssales[[#This Row],[Ad_ID]],'[1]pre processed data'!A:R,18,0)</f>
        <v>Hyderabad</v>
      </c>
      <c r="L1561" t="str">
        <f>VLOOKUP(Googleadssales[[#This Row],[Ad_ID]],'[1]pre processed data'!A:S,19,0)</f>
        <v>Tablet</v>
      </c>
      <c r="M1561" t="str">
        <f>VLOOKUP(Googleadssales[[#This Row],[Ad_ID]],'[1]pre processed data'!A:T,20,0)</f>
        <v>online data analytic</v>
      </c>
    </row>
    <row r="1562" spans="1:13" x14ac:dyDescent="0.3">
      <c r="A1562" t="s">
        <v>1575</v>
      </c>
      <c r="B1562" t="s">
        <v>14</v>
      </c>
      <c r="C1562" s="4">
        <f>VLOOKUP(Googleadssales[[#This Row],[Ad_ID]],'[1]pre processed data'!A:C,3,0)</f>
        <v>92</v>
      </c>
      <c r="D1562" s="4">
        <f>VLOOKUP(Googleadssales[[#This Row],[Ad_ID]],'[1]pre processed data'!A:E,5,0)</f>
        <v>3097</v>
      </c>
      <c r="E1562" s="5" t="str">
        <f>VLOOKUP(Googleadssales[[#This Row],[Ad_ID]],[1]!Table3[[Ad_ID]:[Cost-imputed]],7,0)</f>
        <v>$232.27</v>
      </c>
      <c r="F1562" s="4">
        <f>VLOOKUP(Googleadssales[[#This Row],[Ad_ID]],'[1]pre processed data'!A:I,9,0)</f>
        <v>21</v>
      </c>
      <c r="G1562" s="4">
        <f>VLOOKUP(Googleadssales[[#This Row],[Ad_ID]],'[1]pre processed data'!A:K,11,0)</f>
        <v>6.5439121756487024</v>
      </c>
      <c r="H1562" s="2">
        <f>Googleadssales[[#This Row],[Conversions]]/Googleadssales[[#This Row],[Clicks]]</f>
        <v>7.1129480170094586E-2</v>
      </c>
      <c r="I1562" t="str">
        <f>VLOOKUP(Googleadssales[[#This Row],[Ad_ID]],'[1]pre processed data'!A:O,15,0)</f>
        <v>$1905</v>
      </c>
      <c r="J1562" s="3">
        <f>VLOOKUP(Googleadssales[[#This Row],[Ad_ID]],'[1]pre processed data'!A:Q,17,0)</f>
        <v>45610</v>
      </c>
      <c r="K1562" t="str">
        <f>VLOOKUP(Googleadssales[[#This Row],[Ad_ID]],'[1]pre processed data'!A:R,18,0)</f>
        <v>Hyderabad</v>
      </c>
      <c r="L1562" t="str">
        <f>VLOOKUP(Googleadssales[[#This Row],[Ad_ID]],'[1]pre processed data'!A:S,19,0)</f>
        <v>Desktop</v>
      </c>
      <c r="M1562" t="str">
        <f>VLOOKUP(Googleadssales[[#This Row],[Ad_ID]],'[1]pre processed data'!A:T,20,0)</f>
        <v>analytics for data</v>
      </c>
    </row>
    <row r="1563" spans="1:13" x14ac:dyDescent="0.3">
      <c r="A1563" t="s">
        <v>1576</v>
      </c>
      <c r="B1563" t="s">
        <v>14</v>
      </c>
      <c r="C1563" s="4">
        <f>VLOOKUP(Googleadssales[[#This Row],[Ad_ID]],'[1]pre processed data'!A:C,3,0)</f>
        <v>136</v>
      </c>
      <c r="D1563" s="4">
        <f>VLOOKUP(Googleadssales[[#This Row],[Ad_ID]],'[1]pre processed data'!A:E,5,0)</f>
        <v>3657</v>
      </c>
      <c r="E1563" s="5" t="str">
        <f>VLOOKUP(Googleadssales[[#This Row],[Ad_ID]],[1]!Table3[[Ad_ID]:[Cost-imputed]],7,0)</f>
        <v>$236.19</v>
      </c>
      <c r="F1563" s="4">
        <f>VLOOKUP(Googleadssales[[#This Row],[Ad_ID]],'[1]pre processed data'!A:I,9,0)</f>
        <v>12</v>
      </c>
      <c r="G1563" s="4">
        <f>VLOOKUP(Googleadssales[[#This Row],[Ad_ID]],'[1]pre processed data'!A:K,11,0)</f>
        <v>5</v>
      </c>
      <c r="H1563" s="2">
        <f>Googleadssales[[#This Row],[Conversions]]/Googleadssales[[#This Row],[Clicks]]</f>
        <v>3.6764705882352942E-2</v>
      </c>
      <c r="I1563" t="str">
        <f>VLOOKUP(Googleadssales[[#This Row],[Ad_ID]],'[1]pre processed data'!A:O,15,0)</f>
        <v>$1425</v>
      </c>
      <c r="J1563" s="3">
        <f>VLOOKUP(Googleadssales[[#This Row],[Ad_ID]],'[1]pre processed data'!A:Q,17,0)</f>
        <v>45602</v>
      </c>
      <c r="K1563" t="str">
        <f>VLOOKUP(Googleadssales[[#This Row],[Ad_ID]],'[1]pre processed data'!A:R,18,0)</f>
        <v>Chennai</v>
      </c>
      <c r="L1563" t="str">
        <f>VLOOKUP(Googleadssales[[#This Row],[Ad_ID]],'[1]pre processed data'!A:S,19,0)</f>
        <v>Mobile</v>
      </c>
      <c r="M1563" t="str">
        <f>VLOOKUP(Googleadssales[[#This Row],[Ad_ID]],'[1]pre processed data'!A:T,20,0)</f>
        <v>online data analytic</v>
      </c>
    </row>
    <row r="1564" spans="1:13" x14ac:dyDescent="0.3">
      <c r="A1564" t="s">
        <v>1577</v>
      </c>
      <c r="B1564" t="s">
        <v>14</v>
      </c>
      <c r="C1564" s="4">
        <f>VLOOKUP(Googleadssales[[#This Row],[Ad_ID]],'[1]pre processed data'!A:C,3,0)</f>
        <v>135</v>
      </c>
      <c r="D1564" s="4">
        <f>VLOOKUP(Googleadssales[[#This Row],[Ad_ID]],'[1]pre processed data'!A:E,5,0)</f>
        <v>3198</v>
      </c>
      <c r="E1564" s="5" t="str">
        <f>VLOOKUP(Googleadssales[[#This Row],[Ad_ID]],[1]!Table3[[Ad_ID]:[Cost-imputed]],7,0)</f>
        <v>$227.48</v>
      </c>
      <c r="F1564" s="4">
        <f>VLOOKUP(Googleadssales[[#This Row],[Ad_ID]],'[1]pre processed data'!A:I,9,0)</f>
        <v>20.228260869565219</v>
      </c>
      <c r="G1564" s="4">
        <f>VLOOKUP(Googleadssales[[#This Row],[Ad_ID]],'[1]pre processed data'!A:K,11,0)</f>
        <v>6</v>
      </c>
      <c r="H1564" s="2">
        <f>Googleadssales[[#This Row],[Conversions]]/Googleadssales[[#This Row],[Clicks]]</f>
        <v>4.4444444444444446E-2</v>
      </c>
      <c r="I1564" t="str">
        <f>VLOOKUP(Googleadssales[[#This Row],[Ad_ID]],'[1]pre processed data'!A:O,15,0)</f>
        <v>$1882</v>
      </c>
      <c r="J1564" s="3">
        <f>VLOOKUP(Googleadssales[[#This Row],[Ad_ID]],'[1]pre processed data'!A:Q,17,0)</f>
        <v>45605</v>
      </c>
      <c r="K1564" t="str">
        <f>VLOOKUP(Googleadssales[[#This Row],[Ad_ID]],'[1]pre processed data'!A:R,18,0)</f>
        <v>Bangaluru</v>
      </c>
      <c r="L1564" t="str">
        <f>VLOOKUP(Googleadssales[[#This Row],[Ad_ID]],'[1]pre processed data'!A:S,19,0)</f>
        <v>Desktop</v>
      </c>
      <c r="M1564" t="str">
        <f>VLOOKUP(Googleadssales[[#This Row],[Ad_ID]],'[1]pre processed data'!A:T,20,0)</f>
        <v>online data analytic</v>
      </c>
    </row>
    <row r="1565" spans="1:13" x14ac:dyDescent="0.3">
      <c r="A1565" t="s">
        <v>1578</v>
      </c>
      <c r="B1565" t="s">
        <v>18</v>
      </c>
      <c r="C1565" s="4">
        <f>VLOOKUP(Googleadssales[[#This Row],[Ad_ID]],'[1]pre processed data'!A:C,3,0)</f>
        <v>91</v>
      </c>
      <c r="D1565" s="4">
        <f>VLOOKUP(Googleadssales[[#This Row],[Ad_ID]],'[1]pre processed data'!A:E,5,0)</f>
        <v>5017</v>
      </c>
      <c r="E1565" s="5" t="str">
        <f>VLOOKUP(Googleadssales[[#This Row],[Ad_ID]],[1]!Table3[[Ad_ID]:[Cost-imputed]],7,0)</f>
        <v>$239.34</v>
      </c>
      <c r="F1565" s="4">
        <f>VLOOKUP(Googleadssales[[#This Row],[Ad_ID]],'[1]pre processed data'!A:I,9,0)</f>
        <v>15</v>
      </c>
      <c r="G1565" s="4">
        <f>VLOOKUP(Googleadssales[[#This Row],[Ad_ID]],'[1]pre processed data'!A:K,11,0)</f>
        <v>5</v>
      </c>
      <c r="H1565" s="2">
        <f>Googleadssales[[#This Row],[Conversions]]/Googleadssales[[#This Row],[Clicks]]</f>
        <v>5.4945054945054944E-2</v>
      </c>
      <c r="I1565" t="str">
        <f>VLOOKUP(Googleadssales[[#This Row],[Ad_ID]],'[1]pre processed data'!A:O,15,0)</f>
        <v>$1500</v>
      </c>
      <c r="J1565" s="3">
        <f>VLOOKUP(Googleadssales[[#This Row],[Ad_ID]],'[1]pre processed data'!A:Q,17,0)</f>
        <v>45598</v>
      </c>
      <c r="K1565" t="str">
        <f>VLOOKUP(Googleadssales[[#This Row],[Ad_ID]],'[1]pre processed data'!A:R,18,0)</f>
        <v>Hyderabad</v>
      </c>
      <c r="L1565" t="str">
        <f>VLOOKUP(Googleadssales[[#This Row],[Ad_ID]],'[1]pre processed data'!A:S,19,0)</f>
        <v>Tablet</v>
      </c>
      <c r="M1565" t="str">
        <f>VLOOKUP(Googleadssales[[#This Row],[Ad_ID]],'[1]pre processed data'!A:T,20,0)</f>
        <v>analytics for data</v>
      </c>
    </row>
    <row r="1566" spans="1:13" x14ac:dyDescent="0.3">
      <c r="A1566" t="s">
        <v>1579</v>
      </c>
      <c r="B1566" t="s">
        <v>14</v>
      </c>
      <c r="C1566" s="4">
        <f>VLOOKUP(Googleadssales[[#This Row],[Ad_ID]],'[1]pre processed data'!A:C,3,0)</f>
        <v>181</v>
      </c>
      <c r="D1566" s="4">
        <f>VLOOKUP(Googleadssales[[#This Row],[Ad_ID]],'[1]pre processed data'!A:E,5,0)</f>
        <v>5343</v>
      </c>
      <c r="E1566" s="5" t="str">
        <f>VLOOKUP(Googleadssales[[#This Row],[Ad_ID]],[1]!Table3[[Ad_ID]:[Cost-imputed]],7,0)</f>
        <v>$244.02</v>
      </c>
      <c r="F1566" s="4">
        <f>VLOOKUP(Googleadssales[[#This Row],[Ad_ID]],'[1]pre processed data'!A:I,9,0)</f>
        <v>30</v>
      </c>
      <c r="G1566" s="4">
        <f>VLOOKUP(Googleadssales[[#This Row],[Ad_ID]],'[1]pre processed data'!A:K,11,0)</f>
        <v>9</v>
      </c>
      <c r="H1566" s="2">
        <f>Googleadssales[[#This Row],[Conversions]]/Googleadssales[[#This Row],[Clicks]]</f>
        <v>4.9723756906077346E-2</v>
      </c>
      <c r="I1566" t="str">
        <f>VLOOKUP(Googleadssales[[#This Row],[Ad_ID]],'[1]pre processed data'!A:O,15,0)</f>
        <v>$1639</v>
      </c>
      <c r="J1566" s="3">
        <f>VLOOKUP(Googleadssales[[#This Row],[Ad_ID]],'[1]pre processed data'!A:Q,17,0)</f>
        <v>45622</v>
      </c>
      <c r="K1566" t="str">
        <f>VLOOKUP(Googleadssales[[#This Row],[Ad_ID]],'[1]pre processed data'!A:R,18,0)</f>
        <v>Hyderabad</v>
      </c>
      <c r="L1566" t="str">
        <f>VLOOKUP(Googleadssales[[#This Row],[Ad_ID]],'[1]pre processed data'!A:S,19,0)</f>
        <v>Mobile</v>
      </c>
      <c r="M1566" t="str">
        <f>VLOOKUP(Googleadssales[[#This Row],[Ad_ID]],'[1]pre processed data'!A:T,20,0)</f>
        <v>learn data analytics</v>
      </c>
    </row>
    <row r="1567" spans="1:13" x14ac:dyDescent="0.3">
      <c r="A1567" t="s">
        <v>1580</v>
      </c>
      <c r="B1567" t="s">
        <v>18</v>
      </c>
      <c r="C1567" s="4">
        <f>VLOOKUP(Googleadssales[[#This Row],[Ad_ID]],'[1]pre processed data'!A:C,3,0)</f>
        <v>138.95699356913184</v>
      </c>
      <c r="D1567" s="4">
        <f>VLOOKUP(Googleadssales[[#This Row],[Ad_ID]],'[1]pre processed data'!A:E,5,0)</f>
        <v>4896</v>
      </c>
      <c r="E1567" s="5" t="str">
        <f>VLOOKUP(Googleadssales[[#This Row],[Ad_ID]],[1]!Table3[[Ad_ID]:[Cost-imputed]],7,0)</f>
        <v>$207.51</v>
      </c>
      <c r="F1567" s="4">
        <f>VLOOKUP(Googleadssales[[#This Row],[Ad_ID]],'[1]pre processed data'!A:I,9,0)</f>
        <v>17</v>
      </c>
      <c r="G1567" s="4">
        <f>VLOOKUP(Googleadssales[[#This Row],[Ad_ID]],'[1]pre processed data'!A:K,11,0)</f>
        <v>6.5450901803607211</v>
      </c>
      <c r="H1567" s="2">
        <f>Googleadssales[[#This Row],[Conversions]]/Googleadssales[[#This Row],[Clicks]]</f>
        <v>4.7101552877973747E-2</v>
      </c>
      <c r="I1567" t="str">
        <f>VLOOKUP(Googleadssales[[#This Row],[Ad_ID]],'[1]pre processed data'!A:O,15,0)</f>
        <v>$1500</v>
      </c>
      <c r="J1567" s="3">
        <f>VLOOKUP(Googleadssales[[#This Row],[Ad_ID]],'[1]pre processed data'!A:Q,17,0)</f>
        <v>45607</v>
      </c>
      <c r="K1567" t="str">
        <f>VLOOKUP(Googleadssales[[#This Row],[Ad_ID]],'[1]pre processed data'!A:R,18,0)</f>
        <v>Hyderabad</v>
      </c>
      <c r="L1567" t="str">
        <f>VLOOKUP(Googleadssales[[#This Row],[Ad_ID]],'[1]pre processed data'!A:S,19,0)</f>
        <v>Mobile</v>
      </c>
      <c r="M1567" t="str">
        <f>VLOOKUP(Googleadssales[[#This Row],[Ad_ID]],'[1]pre processed data'!A:T,20,0)</f>
        <v>data analytics online</v>
      </c>
    </row>
    <row r="1568" spans="1:13" x14ac:dyDescent="0.3">
      <c r="A1568" t="s">
        <v>1581</v>
      </c>
      <c r="B1568" t="s">
        <v>18</v>
      </c>
      <c r="C1568" s="4">
        <f>VLOOKUP(Googleadssales[[#This Row],[Ad_ID]],'[1]pre processed data'!A:C,3,0)</f>
        <v>80</v>
      </c>
      <c r="D1568" s="4">
        <f>VLOOKUP(Googleadssales[[#This Row],[Ad_ID]],'[1]pre processed data'!A:E,5,0)</f>
        <v>5756</v>
      </c>
      <c r="E1568" s="5" t="str">
        <f>VLOOKUP(Googleadssales[[#This Row],[Ad_ID]],[1]!Table3[[Ad_ID]:[Cost-imputed]],7,0)</f>
        <v>$205.38</v>
      </c>
      <c r="F1568" s="4">
        <f>VLOOKUP(Googleadssales[[#This Row],[Ad_ID]],'[1]pre processed data'!A:I,9,0)</f>
        <v>16</v>
      </c>
      <c r="G1568" s="4">
        <f>VLOOKUP(Googleadssales[[#This Row],[Ad_ID]],'[1]pre processed data'!A:K,11,0)</f>
        <v>4</v>
      </c>
      <c r="H1568" s="2">
        <f>Googleadssales[[#This Row],[Conversions]]/Googleadssales[[#This Row],[Clicks]]</f>
        <v>0.05</v>
      </c>
      <c r="I1568" t="str">
        <f>VLOOKUP(Googleadssales[[#This Row],[Ad_ID]],'[1]pre processed data'!A:O,15,0)</f>
        <v>$1778</v>
      </c>
      <c r="J1568" s="3">
        <f>VLOOKUP(Googleadssales[[#This Row],[Ad_ID]],'[1]pre processed data'!A:Q,17,0)</f>
        <v>45616</v>
      </c>
      <c r="K1568" t="str">
        <f>VLOOKUP(Googleadssales[[#This Row],[Ad_ID]],'[1]pre processed data'!A:R,18,0)</f>
        <v>Chennai</v>
      </c>
      <c r="L1568" t="str">
        <f>VLOOKUP(Googleadssales[[#This Row],[Ad_ID]],'[1]pre processed data'!A:S,19,0)</f>
        <v>Desktop</v>
      </c>
      <c r="M1568" t="str">
        <f>VLOOKUP(Googleadssales[[#This Row],[Ad_ID]],'[1]pre processed data'!A:T,20,0)</f>
        <v>online data analytic</v>
      </c>
    </row>
    <row r="1569" spans="1:13" x14ac:dyDescent="0.3">
      <c r="A1569" t="s">
        <v>1582</v>
      </c>
      <c r="B1569" t="s">
        <v>14</v>
      </c>
      <c r="C1569" s="4">
        <f>VLOOKUP(Googleadssales[[#This Row],[Ad_ID]],'[1]pre processed data'!A:C,3,0)</f>
        <v>155</v>
      </c>
      <c r="D1569" s="4">
        <f>VLOOKUP(Googleadssales[[#This Row],[Ad_ID]],'[1]pre processed data'!A:E,5,0)</f>
        <v>5696</v>
      </c>
      <c r="E1569" s="5" t="str">
        <f>VLOOKUP(Googleadssales[[#This Row],[Ad_ID]],[1]!Table3[[Ad_ID]:[Cost-imputed]],7,0)</f>
        <v>$236.44</v>
      </c>
      <c r="F1569" s="4">
        <f>VLOOKUP(Googleadssales[[#This Row],[Ad_ID]],'[1]pre processed data'!A:I,9,0)</f>
        <v>13</v>
      </c>
      <c r="G1569" s="4">
        <f>VLOOKUP(Googleadssales[[#This Row],[Ad_ID]],'[1]pre processed data'!A:K,11,0)</f>
        <v>3</v>
      </c>
      <c r="H1569" s="2">
        <f>Googleadssales[[#This Row],[Conversions]]/Googleadssales[[#This Row],[Clicks]]</f>
        <v>1.935483870967742E-2</v>
      </c>
      <c r="I1569" t="str">
        <f>VLOOKUP(Googleadssales[[#This Row],[Ad_ID]],'[1]pre processed data'!A:O,15,0)</f>
        <v>$1207</v>
      </c>
      <c r="J1569" s="3">
        <f>VLOOKUP(Googleadssales[[#This Row],[Ad_ID]],'[1]pre processed data'!A:Q,17,0)</f>
        <v>45619</v>
      </c>
      <c r="K1569" t="str">
        <f>VLOOKUP(Googleadssales[[#This Row],[Ad_ID]],'[1]pre processed data'!A:R,18,0)</f>
        <v>Bangaluru</v>
      </c>
      <c r="L1569" t="str">
        <f>VLOOKUP(Googleadssales[[#This Row],[Ad_ID]],'[1]pre processed data'!A:S,19,0)</f>
        <v>Mobile</v>
      </c>
      <c r="M1569" t="str">
        <f>VLOOKUP(Googleadssales[[#This Row],[Ad_ID]],'[1]pre processed data'!A:T,20,0)</f>
        <v>data analytics online</v>
      </c>
    </row>
    <row r="1570" spans="1:13" x14ac:dyDescent="0.3">
      <c r="A1570" t="s">
        <v>1583</v>
      </c>
      <c r="B1570" t="s">
        <v>14</v>
      </c>
      <c r="C1570" s="4">
        <f>VLOOKUP(Googleadssales[[#This Row],[Ad_ID]],'[1]pre processed data'!A:C,3,0)</f>
        <v>114</v>
      </c>
      <c r="D1570" s="4">
        <f>VLOOKUP(Googleadssales[[#This Row],[Ad_ID]],'[1]pre processed data'!A:E,5,0)</f>
        <v>5683</v>
      </c>
      <c r="E1570" s="5" t="str">
        <f>VLOOKUP(Googleadssales[[#This Row],[Ad_ID]],[1]!Table3[[Ad_ID]:[Cost-imputed]],7,0)</f>
        <v>$214.42</v>
      </c>
      <c r="F1570" s="4">
        <f>VLOOKUP(Googleadssales[[#This Row],[Ad_ID]],'[1]pre processed data'!A:I,9,0)</f>
        <v>20</v>
      </c>
      <c r="G1570" s="4">
        <f>VLOOKUP(Googleadssales[[#This Row],[Ad_ID]],'[1]pre processed data'!A:K,11,0)</f>
        <v>8</v>
      </c>
      <c r="H1570" s="2">
        <f>Googleadssales[[#This Row],[Conversions]]/Googleadssales[[#This Row],[Clicks]]</f>
        <v>7.0175438596491224E-2</v>
      </c>
      <c r="I1570" t="str">
        <f>VLOOKUP(Googleadssales[[#This Row],[Ad_ID]],'[1]pre processed data'!A:O,15,0)</f>
        <v>$1474</v>
      </c>
      <c r="J1570" s="3">
        <f>VLOOKUP(Googleadssales[[#This Row],[Ad_ID]],'[1]pre processed data'!A:Q,17,0)</f>
        <v>45604</v>
      </c>
      <c r="K1570" t="str">
        <f>VLOOKUP(Googleadssales[[#This Row],[Ad_ID]],'[1]pre processed data'!A:R,18,0)</f>
        <v>Hyderabad</v>
      </c>
      <c r="L1570" t="str">
        <f>VLOOKUP(Googleadssales[[#This Row],[Ad_ID]],'[1]pre processed data'!A:S,19,0)</f>
        <v>Mobile</v>
      </c>
      <c r="M1570" t="str">
        <f>VLOOKUP(Googleadssales[[#This Row],[Ad_ID]],'[1]pre processed data'!A:T,20,0)</f>
        <v>learn data analytics</v>
      </c>
    </row>
    <row r="1571" spans="1:13" x14ac:dyDescent="0.3">
      <c r="A1571" t="s">
        <v>1584</v>
      </c>
      <c r="B1571" t="s">
        <v>14</v>
      </c>
      <c r="C1571" s="4">
        <f>VLOOKUP(Googleadssales[[#This Row],[Ad_ID]],'[1]pre processed data'!A:C,3,0)</f>
        <v>98</v>
      </c>
      <c r="D1571" s="4">
        <f>VLOOKUP(Googleadssales[[#This Row],[Ad_ID]],'[1]pre processed data'!A:E,5,0)</f>
        <v>4669</v>
      </c>
      <c r="E1571" s="5" t="str">
        <f>VLOOKUP(Googleadssales[[#This Row],[Ad_ID]],[1]!Table3[[Ad_ID]:[Cost-imputed]],7,0)</f>
        <v>$205.72</v>
      </c>
      <c r="F1571" s="4">
        <f>VLOOKUP(Googleadssales[[#This Row],[Ad_ID]],'[1]pre processed data'!A:I,9,0)</f>
        <v>16</v>
      </c>
      <c r="G1571" s="4">
        <f>VLOOKUP(Googleadssales[[#This Row],[Ad_ID]],'[1]pre processed data'!A:K,11,0)</f>
        <v>6</v>
      </c>
      <c r="H1571" s="2">
        <f>Googleadssales[[#This Row],[Conversions]]/Googleadssales[[#This Row],[Clicks]]</f>
        <v>6.1224489795918366E-2</v>
      </c>
      <c r="I1571" t="str">
        <f>VLOOKUP(Googleadssales[[#This Row],[Ad_ID]],'[1]pre processed data'!A:O,15,0)</f>
        <v>$1767</v>
      </c>
      <c r="J1571" s="3">
        <f>VLOOKUP(Googleadssales[[#This Row],[Ad_ID]],'[1]pre processed data'!A:Q,17,0)</f>
        <v>45626</v>
      </c>
      <c r="K1571" t="str">
        <f>VLOOKUP(Googleadssales[[#This Row],[Ad_ID]],'[1]pre processed data'!A:R,18,0)</f>
        <v>Hyderabad</v>
      </c>
      <c r="L1571" t="str">
        <f>VLOOKUP(Googleadssales[[#This Row],[Ad_ID]],'[1]pre processed data'!A:S,19,0)</f>
        <v>Desktop</v>
      </c>
      <c r="M1571" t="str">
        <f>VLOOKUP(Googleadssales[[#This Row],[Ad_ID]],'[1]pre processed data'!A:T,20,0)</f>
        <v>analytics for data</v>
      </c>
    </row>
    <row r="1572" spans="1:13" x14ac:dyDescent="0.3">
      <c r="A1572" t="s">
        <v>1585</v>
      </c>
      <c r="B1572" t="s">
        <v>14</v>
      </c>
      <c r="C1572" s="4">
        <f>VLOOKUP(Googleadssales[[#This Row],[Ad_ID]],'[1]pre processed data'!A:C,3,0)</f>
        <v>125</v>
      </c>
      <c r="D1572" s="4">
        <f>VLOOKUP(Googleadssales[[#This Row],[Ad_ID]],'[1]pre processed data'!A:E,5,0)</f>
        <v>3807</v>
      </c>
      <c r="E1572" s="5" t="str">
        <f>VLOOKUP(Googleadssales[[#This Row],[Ad_ID]],[1]!Table3[[Ad_ID]:[Cost-imputed]],7,0)</f>
        <v>$234.92</v>
      </c>
      <c r="F1572" s="4">
        <f>VLOOKUP(Googleadssales[[#This Row],[Ad_ID]],'[1]pre processed data'!A:I,9,0)</f>
        <v>11</v>
      </c>
      <c r="G1572" s="4">
        <f>VLOOKUP(Googleadssales[[#This Row],[Ad_ID]],'[1]pre processed data'!A:K,11,0)</f>
        <v>6</v>
      </c>
      <c r="H1572" s="2">
        <f>Googleadssales[[#This Row],[Conversions]]/Googleadssales[[#This Row],[Clicks]]</f>
        <v>4.8000000000000001E-2</v>
      </c>
      <c r="I1572" t="str">
        <f>VLOOKUP(Googleadssales[[#This Row],[Ad_ID]],'[1]pre processed data'!A:O,15,0)</f>
        <v>$1500</v>
      </c>
      <c r="J1572" s="3">
        <f>VLOOKUP(Googleadssales[[#This Row],[Ad_ID]],'[1]pre processed data'!A:Q,17,0)</f>
        <v>45625</v>
      </c>
      <c r="K1572" t="str">
        <f>VLOOKUP(Googleadssales[[#This Row],[Ad_ID]],'[1]pre processed data'!A:R,18,0)</f>
        <v>Chennai</v>
      </c>
      <c r="L1572" t="str">
        <f>VLOOKUP(Googleadssales[[#This Row],[Ad_ID]],'[1]pre processed data'!A:S,19,0)</f>
        <v>Mobile</v>
      </c>
      <c r="M1572" t="str">
        <f>VLOOKUP(Googleadssales[[#This Row],[Ad_ID]],'[1]pre processed data'!A:T,20,0)</f>
        <v>online data analytic</v>
      </c>
    </row>
    <row r="1573" spans="1:13" x14ac:dyDescent="0.3">
      <c r="A1573" t="s">
        <v>1586</v>
      </c>
      <c r="B1573" t="s">
        <v>14</v>
      </c>
      <c r="C1573" s="4">
        <f>VLOOKUP(Googleadssales[[#This Row],[Ad_ID]],'[1]pre processed data'!A:C,3,0)</f>
        <v>160</v>
      </c>
      <c r="D1573" s="4">
        <f>VLOOKUP(Googleadssales[[#This Row],[Ad_ID]],'[1]pre processed data'!A:E,5,0)</f>
        <v>3163</v>
      </c>
      <c r="E1573" s="5" t="str">
        <f>VLOOKUP(Googleadssales[[#This Row],[Ad_ID]],[1]!Table3[[Ad_ID]:[Cost-imputed]],7,0)</f>
        <v>$238.95</v>
      </c>
      <c r="F1573" s="4">
        <f>VLOOKUP(Googleadssales[[#This Row],[Ad_ID]],'[1]pre processed data'!A:I,9,0)</f>
        <v>20</v>
      </c>
      <c r="G1573" s="4">
        <f>VLOOKUP(Googleadssales[[#This Row],[Ad_ID]],'[1]pre processed data'!A:K,11,0)</f>
        <v>8</v>
      </c>
      <c r="H1573" s="2">
        <f>Googleadssales[[#This Row],[Conversions]]/Googleadssales[[#This Row],[Clicks]]</f>
        <v>0.05</v>
      </c>
      <c r="I1573" t="str">
        <f>VLOOKUP(Googleadssales[[#This Row],[Ad_ID]],'[1]pre processed data'!A:O,15,0)</f>
        <v>$1569</v>
      </c>
      <c r="J1573" s="3">
        <f>VLOOKUP(Googleadssales[[#This Row],[Ad_ID]],'[1]pre processed data'!A:Q,17,0)</f>
        <v>45622</v>
      </c>
      <c r="K1573" t="str">
        <f>VLOOKUP(Googleadssales[[#This Row],[Ad_ID]],'[1]pre processed data'!A:R,18,0)</f>
        <v>Chennai</v>
      </c>
      <c r="L1573" t="str">
        <f>VLOOKUP(Googleadssales[[#This Row],[Ad_ID]],'[1]pre processed data'!A:S,19,0)</f>
        <v>Desktop</v>
      </c>
      <c r="M1573" t="str">
        <f>VLOOKUP(Googleadssales[[#This Row],[Ad_ID]],'[1]pre processed data'!A:T,20,0)</f>
        <v>online data analytic</v>
      </c>
    </row>
    <row r="1574" spans="1:13" x14ac:dyDescent="0.3">
      <c r="A1574" t="s">
        <v>1587</v>
      </c>
      <c r="B1574" t="s">
        <v>14</v>
      </c>
      <c r="C1574" s="4">
        <f>VLOOKUP(Googleadssales[[#This Row],[Ad_ID]],'[1]pre processed data'!A:C,3,0)</f>
        <v>175</v>
      </c>
      <c r="D1574" s="4">
        <f>VLOOKUP(Googleadssales[[#This Row],[Ad_ID]],'[1]pre processed data'!A:E,5,0)</f>
        <v>3732</v>
      </c>
      <c r="E1574" s="5" t="str">
        <f>VLOOKUP(Googleadssales[[#This Row],[Ad_ID]],[1]!Table3[[Ad_ID]:[Cost-imputed]],7,0)</f>
        <v>$231.25</v>
      </c>
      <c r="F1574" s="4">
        <f>VLOOKUP(Googleadssales[[#This Row],[Ad_ID]],'[1]pre processed data'!A:I,9,0)</f>
        <v>16</v>
      </c>
      <c r="G1574" s="4">
        <f>VLOOKUP(Googleadssales[[#This Row],[Ad_ID]],'[1]pre processed data'!A:K,11,0)</f>
        <v>10</v>
      </c>
      <c r="H1574" s="2">
        <f>Googleadssales[[#This Row],[Conversions]]/Googleadssales[[#This Row],[Clicks]]</f>
        <v>5.7142857142857141E-2</v>
      </c>
      <c r="I1574" t="str">
        <f>VLOOKUP(Googleadssales[[#This Row],[Ad_ID]],'[1]pre processed data'!A:O,15,0)</f>
        <v>$1014</v>
      </c>
      <c r="J1574" s="3">
        <f>VLOOKUP(Googleadssales[[#This Row],[Ad_ID]],'[1]pre processed data'!A:Q,17,0)</f>
        <v>45611</v>
      </c>
      <c r="K1574" t="str">
        <f>VLOOKUP(Googleadssales[[#This Row],[Ad_ID]],'[1]pre processed data'!A:R,18,0)</f>
        <v>Bangaluru</v>
      </c>
      <c r="L1574" t="str">
        <f>VLOOKUP(Googleadssales[[#This Row],[Ad_ID]],'[1]pre processed data'!A:S,19,0)</f>
        <v>Mobile</v>
      </c>
      <c r="M1574" t="str">
        <f>VLOOKUP(Googleadssales[[#This Row],[Ad_ID]],'[1]pre processed data'!A:T,20,0)</f>
        <v>learn data analytics</v>
      </c>
    </row>
    <row r="1575" spans="1:13" x14ac:dyDescent="0.3">
      <c r="A1575" t="s">
        <v>1588</v>
      </c>
      <c r="B1575" t="s">
        <v>18</v>
      </c>
      <c r="C1575" s="4">
        <f>VLOOKUP(Googleadssales[[#This Row],[Ad_ID]],'[1]pre processed data'!A:C,3,0)</f>
        <v>123</v>
      </c>
      <c r="D1575" s="4">
        <f>VLOOKUP(Googleadssales[[#This Row],[Ad_ID]],'[1]pre processed data'!A:E,5,0)</f>
        <v>3860</v>
      </c>
      <c r="E1575" s="5" t="str">
        <f>VLOOKUP(Googleadssales[[#This Row],[Ad_ID]],[1]!Table3[[Ad_ID]:[Cost-imputed]],7,0)</f>
        <v>$224.63</v>
      </c>
      <c r="F1575" s="4">
        <f>VLOOKUP(Googleadssales[[#This Row],[Ad_ID]],'[1]pre processed data'!A:I,9,0)</f>
        <v>24</v>
      </c>
      <c r="G1575" s="4">
        <f>VLOOKUP(Googleadssales[[#This Row],[Ad_ID]],'[1]pre processed data'!A:K,11,0)</f>
        <v>8</v>
      </c>
      <c r="H1575" s="2">
        <f>Googleadssales[[#This Row],[Conversions]]/Googleadssales[[#This Row],[Clicks]]</f>
        <v>6.5040650406504072E-2</v>
      </c>
      <c r="I1575" t="str">
        <f>VLOOKUP(Googleadssales[[#This Row],[Ad_ID]],'[1]pre processed data'!A:O,15,0)</f>
        <v>$1800</v>
      </c>
      <c r="J1575" s="3">
        <f>VLOOKUP(Googleadssales[[#This Row],[Ad_ID]],'[1]pre processed data'!A:Q,17,0)</f>
        <v>45611</v>
      </c>
      <c r="K1575" t="str">
        <f>VLOOKUP(Googleadssales[[#This Row],[Ad_ID]],'[1]pre processed data'!A:R,18,0)</f>
        <v>Bangaluru</v>
      </c>
      <c r="L1575" t="str">
        <f>VLOOKUP(Googleadssales[[#This Row],[Ad_ID]],'[1]pre processed data'!A:S,19,0)</f>
        <v>Desktop</v>
      </c>
      <c r="M1575" t="str">
        <f>VLOOKUP(Googleadssales[[#This Row],[Ad_ID]],'[1]pre processed data'!A:T,20,0)</f>
        <v>analytics for data</v>
      </c>
    </row>
    <row r="1576" spans="1:13" x14ac:dyDescent="0.3">
      <c r="A1576" t="s">
        <v>1589</v>
      </c>
      <c r="B1576" t="s">
        <v>14</v>
      </c>
      <c r="C1576" s="4">
        <f>VLOOKUP(Googleadssales[[#This Row],[Ad_ID]],'[1]pre processed data'!A:C,3,0)</f>
        <v>106</v>
      </c>
      <c r="D1576" s="4">
        <f>VLOOKUP(Googleadssales[[#This Row],[Ad_ID]],'[1]pre processed data'!A:E,5,0)</f>
        <v>3196</v>
      </c>
      <c r="E1576" s="5" t="str">
        <f>VLOOKUP(Googleadssales[[#This Row],[Ad_ID]],[1]!Table3[[Ad_ID]:[Cost-imputed]],7,0)</f>
        <v>$212.12</v>
      </c>
      <c r="F1576" s="4">
        <f>VLOOKUP(Googleadssales[[#This Row],[Ad_ID]],'[1]pre processed data'!A:I,9,0)</f>
        <v>15</v>
      </c>
      <c r="G1576" s="4">
        <f>VLOOKUP(Googleadssales[[#This Row],[Ad_ID]],'[1]pre processed data'!A:K,11,0)</f>
        <v>6</v>
      </c>
      <c r="H1576" s="2">
        <f>Googleadssales[[#This Row],[Conversions]]/Googleadssales[[#This Row],[Clicks]]</f>
        <v>5.6603773584905662E-2</v>
      </c>
      <c r="I1576" t="str">
        <f>VLOOKUP(Googleadssales[[#This Row],[Ad_ID]],'[1]pre processed data'!A:O,15,0)</f>
        <v>$1314</v>
      </c>
      <c r="J1576" s="3">
        <f>VLOOKUP(Googleadssales[[#This Row],[Ad_ID]],'[1]pre processed data'!A:Q,17,0)</f>
        <v>45619</v>
      </c>
      <c r="K1576" t="str">
        <f>VLOOKUP(Googleadssales[[#This Row],[Ad_ID]],'[1]pre processed data'!A:R,18,0)</f>
        <v>Hyderabad</v>
      </c>
      <c r="L1576" t="str">
        <f>VLOOKUP(Googleadssales[[#This Row],[Ad_ID]],'[1]pre processed data'!A:S,19,0)</f>
        <v>Tablet</v>
      </c>
      <c r="M1576" t="str">
        <f>VLOOKUP(Googleadssales[[#This Row],[Ad_ID]],'[1]pre processed data'!A:T,20,0)</f>
        <v>analytics for data</v>
      </c>
    </row>
    <row r="1577" spans="1:13" x14ac:dyDescent="0.3">
      <c r="A1577" t="s">
        <v>1590</v>
      </c>
      <c r="B1577" t="s">
        <v>14</v>
      </c>
      <c r="C1577" s="4">
        <f>VLOOKUP(Googleadssales[[#This Row],[Ad_ID]],'[1]pre processed data'!A:C,3,0)</f>
        <v>138.95699356913184</v>
      </c>
      <c r="D1577" s="4">
        <f>VLOOKUP(Googleadssales[[#This Row],[Ad_ID]],'[1]pre processed data'!A:E,5,0)</f>
        <v>3322</v>
      </c>
      <c r="E1577" s="5" t="str">
        <f>VLOOKUP(Googleadssales[[#This Row],[Ad_ID]],[1]!Table3[[Ad_ID]:[Cost-imputed]],7,0)</f>
        <v>$205.85</v>
      </c>
      <c r="F1577" s="4">
        <f>VLOOKUP(Googleadssales[[#This Row],[Ad_ID]],'[1]pre processed data'!A:I,9,0)</f>
        <v>24</v>
      </c>
      <c r="G1577" s="4">
        <f>VLOOKUP(Googleadssales[[#This Row],[Ad_ID]],'[1]pre processed data'!A:K,11,0)</f>
        <v>4</v>
      </c>
      <c r="H1577" s="2">
        <f>Googleadssales[[#This Row],[Conversions]]/Googleadssales[[#This Row],[Clicks]]</f>
        <v>2.8785884734977219E-2</v>
      </c>
      <c r="I1577" t="str">
        <f>VLOOKUP(Googleadssales[[#This Row],[Ad_ID]],'[1]pre processed data'!A:O,15,0)</f>
        <v>$1031</v>
      </c>
      <c r="J1577" s="3">
        <f>VLOOKUP(Googleadssales[[#This Row],[Ad_ID]],'[1]pre processed data'!A:Q,17,0)</f>
        <v>45605</v>
      </c>
      <c r="K1577" t="str">
        <f>VLOOKUP(Googleadssales[[#This Row],[Ad_ID]],'[1]pre processed data'!A:R,18,0)</f>
        <v>Hyderabad</v>
      </c>
      <c r="L1577" t="str">
        <f>VLOOKUP(Googleadssales[[#This Row],[Ad_ID]],'[1]pre processed data'!A:S,19,0)</f>
        <v>Tablet</v>
      </c>
      <c r="M1577" t="str">
        <f>VLOOKUP(Googleadssales[[#This Row],[Ad_ID]],'[1]pre processed data'!A:T,20,0)</f>
        <v>data analytics training</v>
      </c>
    </row>
    <row r="1578" spans="1:13" x14ac:dyDescent="0.3">
      <c r="A1578" t="s">
        <v>1591</v>
      </c>
      <c r="B1578" t="s">
        <v>14</v>
      </c>
      <c r="C1578" s="4">
        <f>VLOOKUP(Googleadssales[[#This Row],[Ad_ID]],'[1]pre processed data'!A:C,3,0)</f>
        <v>185</v>
      </c>
      <c r="D1578" s="4">
        <f>VLOOKUP(Googleadssales[[#This Row],[Ad_ID]],'[1]pre processed data'!A:E,5,0)</f>
        <v>5121</v>
      </c>
      <c r="E1578" s="5" t="str">
        <f>VLOOKUP(Googleadssales[[#This Row],[Ad_ID]],[1]!Table3[[Ad_ID]:[Cost-imputed]],7,0)</f>
        <v>$215.46</v>
      </c>
      <c r="F1578" s="4">
        <f>VLOOKUP(Googleadssales[[#This Row],[Ad_ID]],'[1]pre processed data'!A:I,9,0)</f>
        <v>12</v>
      </c>
      <c r="G1578" s="4">
        <f>VLOOKUP(Googleadssales[[#This Row],[Ad_ID]],'[1]pre processed data'!A:K,11,0)</f>
        <v>9</v>
      </c>
      <c r="H1578" s="2">
        <f>Googleadssales[[#This Row],[Conversions]]/Googleadssales[[#This Row],[Clicks]]</f>
        <v>4.8648648648648651E-2</v>
      </c>
      <c r="I1578" t="str">
        <f>VLOOKUP(Googleadssales[[#This Row],[Ad_ID]],'[1]pre processed data'!A:O,15,0)</f>
        <v>$1724</v>
      </c>
      <c r="J1578" s="3">
        <f>VLOOKUP(Googleadssales[[#This Row],[Ad_ID]],'[1]pre processed data'!A:Q,17,0)</f>
        <v>45598</v>
      </c>
      <c r="K1578" t="str">
        <f>VLOOKUP(Googleadssales[[#This Row],[Ad_ID]],'[1]pre processed data'!A:R,18,0)</f>
        <v>Hyderabad</v>
      </c>
      <c r="L1578" t="str">
        <f>VLOOKUP(Googleadssales[[#This Row],[Ad_ID]],'[1]pre processed data'!A:S,19,0)</f>
        <v>Mobile</v>
      </c>
      <c r="M1578" t="str">
        <f>VLOOKUP(Googleadssales[[#This Row],[Ad_ID]],'[1]pre processed data'!A:T,20,0)</f>
        <v>data analytics course</v>
      </c>
    </row>
    <row r="1579" spans="1:13" x14ac:dyDescent="0.3">
      <c r="A1579" t="s">
        <v>1592</v>
      </c>
      <c r="B1579" t="s">
        <v>14</v>
      </c>
      <c r="C1579" s="4">
        <f>VLOOKUP(Googleadssales[[#This Row],[Ad_ID]],'[1]pre processed data'!A:C,3,0)</f>
        <v>139</v>
      </c>
      <c r="D1579" s="4">
        <f>VLOOKUP(Googleadssales[[#This Row],[Ad_ID]],'[1]pre processed data'!A:E,5,0)</f>
        <v>5610</v>
      </c>
      <c r="E1579" s="5" t="str">
        <f>VLOOKUP(Googleadssales[[#This Row],[Ad_ID]],[1]!Table3[[Ad_ID]:[Cost-imputed]],7,0)</f>
        <v>$239.44</v>
      </c>
      <c r="F1579" s="4">
        <f>VLOOKUP(Googleadssales[[#This Row],[Ad_ID]],'[1]pre processed data'!A:I,9,0)</f>
        <v>17</v>
      </c>
      <c r="G1579" s="4">
        <f>VLOOKUP(Googleadssales[[#This Row],[Ad_ID]],'[1]pre processed data'!A:K,11,0)</f>
        <v>6</v>
      </c>
      <c r="H1579" s="2">
        <f>Googleadssales[[#This Row],[Conversions]]/Googleadssales[[#This Row],[Clicks]]</f>
        <v>4.3165467625899283E-2</v>
      </c>
      <c r="I1579" t="str">
        <f>VLOOKUP(Googleadssales[[#This Row],[Ad_ID]],'[1]pre processed data'!A:O,15,0)</f>
        <v>$1548</v>
      </c>
      <c r="J1579" s="3">
        <f>VLOOKUP(Googleadssales[[#This Row],[Ad_ID]],'[1]pre processed data'!A:Q,17,0)</f>
        <v>45610</v>
      </c>
      <c r="K1579" t="str">
        <f>VLOOKUP(Googleadssales[[#This Row],[Ad_ID]],'[1]pre processed data'!A:R,18,0)</f>
        <v>Bangaluru</v>
      </c>
      <c r="L1579" t="str">
        <f>VLOOKUP(Googleadssales[[#This Row],[Ad_ID]],'[1]pre processed data'!A:S,19,0)</f>
        <v>Tablet</v>
      </c>
      <c r="M1579" t="str">
        <f>VLOOKUP(Googleadssales[[#This Row],[Ad_ID]],'[1]pre processed data'!A:T,20,0)</f>
        <v>online data analytic</v>
      </c>
    </row>
    <row r="1580" spans="1:13" x14ac:dyDescent="0.3">
      <c r="A1580" t="s">
        <v>1593</v>
      </c>
      <c r="B1580" t="s">
        <v>14</v>
      </c>
      <c r="C1580" s="4">
        <f>VLOOKUP(Googleadssales[[#This Row],[Ad_ID]],'[1]pre processed data'!A:C,3,0)</f>
        <v>174</v>
      </c>
      <c r="D1580" s="4">
        <f>VLOOKUP(Googleadssales[[#This Row],[Ad_ID]],'[1]pre processed data'!A:E,5,0)</f>
        <v>3890</v>
      </c>
      <c r="E1580" s="5" t="str">
        <f>VLOOKUP(Googleadssales[[#This Row],[Ad_ID]],[1]!Table3[[Ad_ID]:[Cost-imputed]],7,0)</f>
        <v>$186.04</v>
      </c>
      <c r="F1580" s="4">
        <f>VLOOKUP(Googleadssales[[#This Row],[Ad_ID]],'[1]pre processed data'!A:I,9,0)</f>
        <v>28</v>
      </c>
      <c r="G1580" s="4">
        <f>VLOOKUP(Googleadssales[[#This Row],[Ad_ID]],'[1]pre processed data'!A:K,11,0)</f>
        <v>7</v>
      </c>
      <c r="H1580" s="2">
        <f>Googleadssales[[#This Row],[Conversions]]/Googleadssales[[#This Row],[Clicks]]</f>
        <v>4.0229885057471264E-2</v>
      </c>
      <c r="I1580" t="str">
        <f>VLOOKUP(Googleadssales[[#This Row],[Ad_ID]],'[1]pre processed data'!A:O,15,0)</f>
        <v>$1793</v>
      </c>
      <c r="J1580" s="3">
        <f>VLOOKUP(Googleadssales[[#This Row],[Ad_ID]],'[1]pre processed data'!A:Q,17,0)</f>
        <v>45617</v>
      </c>
      <c r="K1580" t="str">
        <f>VLOOKUP(Googleadssales[[#This Row],[Ad_ID]],'[1]pre processed data'!A:R,18,0)</f>
        <v>Bangaluru</v>
      </c>
      <c r="L1580" t="str">
        <f>VLOOKUP(Googleadssales[[#This Row],[Ad_ID]],'[1]pre processed data'!A:S,19,0)</f>
        <v>Tablet</v>
      </c>
      <c r="M1580" t="str">
        <f>VLOOKUP(Googleadssales[[#This Row],[Ad_ID]],'[1]pre processed data'!A:T,20,0)</f>
        <v>online data analytic</v>
      </c>
    </row>
    <row r="1581" spans="1:13" x14ac:dyDescent="0.3">
      <c r="A1581" t="s">
        <v>1594</v>
      </c>
      <c r="B1581" t="s">
        <v>14</v>
      </c>
      <c r="C1581" s="4">
        <f>VLOOKUP(Googleadssales[[#This Row],[Ad_ID]],'[1]pre processed data'!A:C,3,0)</f>
        <v>157</v>
      </c>
      <c r="D1581" s="4">
        <f>VLOOKUP(Googleadssales[[#This Row],[Ad_ID]],'[1]pre processed data'!A:E,5,0)</f>
        <v>4671</v>
      </c>
      <c r="E1581" s="5" t="str">
        <f>VLOOKUP(Googleadssales[[#This Row],[Ad_ID]],[1]!Table3[[Ad_ID]:[Cost-imputed]],7,0)</f>
        <v>$248.17</v>
      </c>
      <c r="F1581" s="4">
        <f>VLOOKUP(Googleadssales[[#This Row],[Ad_ID]],'[1]pre processed data'!A:I,9,0)</f>
        <v>14</v>
      </c>
      <c r="G1581" s="4">
        <f>VLOOKUP(Googleadssales[[#This Row],[Ad_ID]],'[1]pre processed data'!A:K,11,0)</f>
        <v>7</v>
      </c>
      <c r="H1581" s="2">
        <f>Googleadssales[[#This Row],[Conversions]]/Googleadssales[[#This Row],[Clicks]]</f>
        <v>4.4585987261146494E-2</v>
      </c>
      <c r="I1581" t="str">
        <f>VLOOKUP(Googleadssales[[#This Row],[Ad_ID]],'[1]pre processed data'!A:O,15,0)</f>
        <v>$1247</v>
      </c>
      <c r="J1581" s="3">
        <f>VLOOKUP(Googleadssales[[#This Row],[Ad_ID]],'[1]pre processed data'!A:Q,17,0)</f>
        <v>45599</v>
      </c>
      <c r="K1581" t="str">
        <f>VLOOKUP(Googleadssales[[#This Row],[Ad_ID]],'[1]pre processed data'!A:R,18,0)</f>
        <v>Hyderabad</v>
      </c>
      <c r="L1581" t="str">
        <f>VLOOKUP(Googleadssales[[#This Row],[Ad_ID]],'[1]pre processed data'!A:S,19,0)</f>
        <v>Mobile</v>
      </c>
      <c r="M1581" t="str">
        <f>VLOOKUP(Googleadssales[[#This Row],[Ad_ID]],'[1]pre processed data'!A:T,20,0)</f>
        <v>data analytics training</v>
      </c>
    </row>
    <row r="1582" spans="1:13" x14ac:dyDescent="0.3">
      <c r="A1582" t="s">
        <v>1595</v>
      </c>
      <c r="B1582" t="s">
        <v>14</v>
      </c>
      <c r="C1582" s="4">
        <f>VLOOKUP(Googleadssales[[#This Row],[Ad_ID]],'[1]pre processed data'!A:C,3,0)</f>
        <v>160</v>
      </c>
      <c r="D1582" s="4">
        <f>VLOOKUP(Googleadssales[[#This Row],[Ad_ID]],'[1]pre processed data'!A:E,5,0)</f>
        <v>5438</v>
      </c>
      <c r="E1582" s="5" t="str">
        <f>VLOOKUP(Googleadssales[[#This Row],[Ad_ID]],[1]!Table3[[Ad_ID]:[Cost-imputed]],7,0)</f>
        <v>$197.5</v>
      </c>
      <c r="F1582" s="4">
        <f>VLOOKUP(Googleadssales[[#This Row],[Ad_ID]],'[1]pre processed data'!A:I,9,0)</f>
        <v>16</v>
      </c>
      <c r="G1582" s="4">
        <f>VLOOKUP(Googleadssales[[#This Row],[Ad_ID]],'[1]pre processed data'!A:K,11,0)</f>
        <v>6</v>
      </c>
      <c r="H1582" s="2">
        <f>Googleadssales[[#This Row],[Conversions]]/Googleadssales[[#This Row],[Clicks]]</f>
        <v>3.7499999999999999E-2</v>
      </c>
      <c r="I1582" t="str">
        <f>VLOOKUP(Googleadssales[[#This Row],[Ad_ID]],'[1]pre processed data'!A:O,15,0)</f>
        <v>$1752</v>
      </c>
      <c r="J1582" s="3">
        <f>VLOOKUP(Googleadssales[[#This Row],[Ad_ID]],'[1]pre processed data'!A:Q,17,0)</f>
        <v>45599</v>
      </c>
      <c r="K1582" t="str">
        <f>VLOOKUP(Googleadssales[[#This Row],[Ad_ID]],'[1]pre processed data'!A:R,18,0)</f>
        <v>Hyderabad</v>
      </c>
      <c r="L1582" t="str">
        <f>VLOOKUP(Googleadssales[[#This Row],[Ad_ID]],'[1]pre processed data'!A:S,19,0)</f>
        <v>Tablet</v>
      </c>
      <c r="M1582" t="str">
        <f>VLOOKUP(Googleadssales[[#This Row],[Ad_ID]],'[1]pre processed data'!A:T,20,0)</f>
        <v>data analytics course</v>
      </c>
    </row>
    <row r="1583" spans="1:13" x14ac:dyDescent="0.3">
      <c r="A1583" t="s">
        <v>1596</v>
      </c>
      <c r="B1583" t="s">
        <v>14</v>
      </c>
      <c r="C1583" s="4">
        <f>VLOOKUP(Googleadssales[[#This Row],[Ad_ID]],'[1]pre processed data'!A:C,3,0)</f>
        <v>198</v>
      </c>
      <c r="D1583" s="4">
        <f>VLOOKUP(Googleadssales[[#This Row],[Ad_ID]],'[1]pre processed data'!A:E,5,0)</f>
        <v>4726</v>
      </c>
      <c r="E1583" s="5" t="str">
        <f>VLOOKUP(Googleadssales[[#This Row],[Ad_ID]],[1]!Table3[[Ad_ID]:[Cost-imputed]],7,0)</f>
        <v>$185.13</v>
      </c>
      <c r="F1583" s="4">
        <f>VLOOKUP(Googleadssales[[#This Row],[Ad_ID]],'[1]pre processed data'!A:I,9,0)</f>
        <v>14</v>
      </c>
      <c r="G1583" s="4">
        <f>VLOOKUP(Googleadssales[[#This Row],[Ad_ID]],'[1]pre processed data'!A:K,11,0)</f>
        <v>6.5452695829094605</v>
      </c>
      <c r="H1583" s="2">
        <f>Googleadssales[[#This Row],[Conversions]]/Googleadssales[[#This Row],[Clicks]]</f>
        <v>3.3056917085401316E-2</v>
      </c>
      <c r="I1583" t="str">
        <f>VLOOKUP(Googleadssales[[#This Row],[Ad_ID]],'[1]pre processed data'!A:O,15,0)</f>
        <v>$1580</v>
      </c>
      <c r="J1583" s="3">
        <f>VLOOKUP(Googleadssales[[#This Row],[Ad_ID]],'[1]pre processed data'!A:Q,17,0)</f>
        <v>45613</v>
      </c>
      <c r="K1583" t="str">
        <f>VLOOKUP(Googleadssales[[#This Row],[Ad_ID]],'[1]pre processed data'!A:R,18,0)</f>
        <v>Hyderabad</v>
      </c>
      <c r="L1583" t="str">
        <f>VLOOKUP(Googleadssales[[#This Row],[Ad_ID]],'[1]pre processed data'!A:S,19,0)</f>
        <v>Tablet</v>
      </c>
      <c r="M1583" t="str">
        <f>VLOOKUP(Googleadssales[[#This Row],[Ad_ID]],'[1]pre processed data'!A:T,20,0)</f>
        <v>learn data analytics</v>
      </c>
    </row>
    <row r="1584" spans="1:13" x14ac:dyDescent="0.3">
      <c r="A1584" t="s">
        <v>1597</v>
      </c>
      <c r="B1584" t="s">
        <v>14</v>
      </c>
      <c r="C1584" s="4">
        <f>VLOOKUP(Googleadssales[[#This Row],[Ad_ID]],'[1]pre processed data'!A:C,3,0)</f>
        <v>144</v>
      </c>
      <c r="D1584" s="4">
        <f>VLOOKUP(Googleadssales[[#This Row],[Ad_ID]],'[1]pre processed data'!A:E,5,0)</f>
        <v>5301</v>
      </c>
      <c r="E1584" s="5" t="str">
        <f>VLOOKUP(Googleadssales[[#This Row],[Ad_ID]],[1]!Table3[[Ad_ID]:[Cost-imputed]],7,0)</f>
        <v>$195.83</v>
      </c>
      <c r="F1584" s="4">
        <f>VLOOKUP(Googleadssales[[#This Row],[Ad_ID]],'[1]pre processed data'!A:I,9,0)</f>
        <v>12</v>
      </c>
      <c r="G1584" s="4">
        <f>VLOOKUP(Googleadssales[[#This Row],[Ad_ID]],'[1]pre processed data'!A:K,11,0)</f>
        <v>3</v>
      </c>
      <c r="H1584" s="2">
        <f>Googleadssales[[#This Row],[Conversions]]/Googleadssales[[#This Row],[Clicks]]</f>
        <v>2.0833333333333332E-2</v>
      </c>
      <c r="I1584" t="str">
        <f>VLOOKUP(Googleadssales[[#This Row],[Ad_ID]],'[1]pre processed data'!A:O,15,0)</f>
        <v>$1654</v>
      </c>
      <c r="J1584" s="3">
        <f>VLOOKUP(Googleadssales[[#This Row],[Ad_ID]],'[1]pre processed data'!A:Q,17,0)</f>
        <v>45623</v>
      </c>
      <c r="K1584" t="str">
        <f>VLOOKUP(Googleadssales[[#This Row],[Ad_ID]],'[1]pre processed data'!A:R,18,0)</f>
        <v>Hyderabad</v>
      </c>
      <c r="L1584" t="str">
        <f>VLOOKUP(Googleadssales[[#This Row],[Ad_ID]],'[1]pre processed data'!A:S,19,0)</f>
        <v>Tablet</v>
      </c>
      <c r="M1584" t="str">
        <f>VLOOKUP(Googleadssales[[#This Row],[Ad_ID]],'[1]pre processed data'!A:T,20,0)</f>
        <v>data analytics online</v>
      </c>
    </row>
    <row r="1585" spans="1:13" x14ac:dyDescent="0.3">
      <c r="A1585" t="s">
        <v>1598</v>
      </c>
      <c r="B1585" t="s">
        <v>14</v>
      </c>
      <c r="C1585" s="4">
        <f>VLOOKUP(Googleadssales[[#This Row],[Ad_ID]],'[1]pre processed data'!A:C,3,0)</f>
        <v>187</v>
      </c>
      <c r="D1585" s="4">
        <f>VLOOKUP(Googleadssales[[#This Row],[Ad_ID]],'[1]pre processed data'!A:E,5,0)</f>
        <v>3722</v>
      </c>
      <c r="E1585" s="5" t="str">
        <f>VLOOKUP(Googleadssales[[#This Row],[Ad_ID]],[1]!Table3[[Ad_ID]:[Cost-imputed]],7,0)</f>
        <v>$182.43</v>
      </c>
      <c r="F1585" s="4">
        <f>VLOOKUP(Googleadssales[[#This Row],[Ad_ID]],'[1]pre processed data'!A:I,9,0)</f>
        <v>27</v>
      </c>
      <c r="G1585" s="4">
        <f>VLOOKUP(Googleadssales[[#This Row],[Ad_ID]],'[1]pre processed data'!A:K,11,0)</f>
        <v>7</v>
      </c>
      <c r="H1585" s="2">
        <f>Googleadssales[[#This Row],[Conversions]]/Googleadssales[[#This Row],[Clicks]]</f>
        <v>3.7433155080213901E-2</v>
      </c>
      <c r="I1585" t="str">
        <f>VLOOKUP(Googleadssales[[#This Row],[Ad_ID]],'[1]pre processed data'!A:O,15,0)</f>
        <v>$1613</v>
      </c>
      <c r="J1585" s="3">
        <f>VLOOKUP(Googleadssales[[#This Row],[Ad_ID]],'[1]pre processed data'!A:Q,17,0)</f>
        <v>45616</v>
      </c>
      <c r="K1585" t="str">
        <f>VLOOKUP(Googleadssales[[#This Row],[Ad_ID]],'[1]pre processed data'!A:R,18,0)</f>
        <v>Hyderabad</v>
      </c>
      <c r="L1585" t="str">
        <f>VLOOKUP(Googleadssales[[#This Row],[Ad_ID]],'[1]pre processed data'!A:S,19,0)</f>
        <v>Mobile</v>
      </c>
      <c r="M1585" t="str">
        <f>VLOOKUP(Googleadssales[[#This Row],[Ad_ID]],'[1]pre processed data'!A:T,20,0)</f>
        <v>data analytics training</v>
      </c>
    </row>
    <row r="1586" spans="1:13" x14ac:dyDescent="0.3">
      <c r="A1586" t="s">
        <v>1599</v>
      </c>
      <c r="B1586" t="s">
        <v>14</v>
      </c>
      <c r="C1586" s="4">
        <f>VLOOKUP(Googleadssales[[#This Row],[Ad_ID]],'[1]pre processed data'!A:C,3,0)</f>
        <v>139</v>
      </c>
      <c r="D1586" s="4">
        <f>VLOOKUP(Googleadssales[[#This Row],[Ad_ID]],'[1]pre processed data'!A:E,5,0)</f>
        <v>3944</v>
      </c>
      <c r="E1586" s="5" t="str">
        <f>VLOOKUP(Googleadssales[[#This Row],[Ad_ID]],[1]!Table3[[Ad_ID]:[Cost-imputed]],7,0)</f>
        <v>$200.00</v>
      </c>
      <c r="F1586" s="4">
        <f>VLOOKUP(Googleadssales[[#This Row],[Ad_ID]],'[1]pre processed data'!A:I,9,0)</f>
        <v>29</v>
      </c>
      <c r="G1586" s="4">
        <f>VLOOKUP(Googleadssales[[#This Row],[Ad_ID]],'[1]pre processed data'!A:K,11,0)</f>
        <v>3</v>
      </c>
      <c r="H1586" s="2">
        <f>Googleadssales[[#This Row],[Conversions]]/Googleadssales[[#This Row],[Clicks]]</f>
        <v>2.1582733812949641E-2</v>
      </c>
      <c r="I1586" t="str">
        <f>VLOOKUP(Googleadssales[[#This Row],[Ad_ID]],'[1]pre processed data'!A:O,15,0)</f>
        <v>$1863</v>
      </c>
      <c r="J1586" s="3">
        <f>VLOOKUP(Googleadssales[[#This Row],[Ad_ID]],'[1]pre processed data'!A:Q,17,0)</f>
        <v>45600</v>
      </c>
      <c r="K1586" t="str">
        <f>VLOOKUP(Googleadssales[[#This Row],[Ad_ID]],'[1]pre processed data'!A:R,18,0)</f>
        <v>Hyderabad</v>
      </c>
      <c r="L1586" t="str">
        <f>VLOOKUP(Googleadssales[[#This Row],[Ad_ID]],'[1]pre processed data'!A:S,19,0)</f>
        <v>Tablet</v>
      </c>
      <c r="M1586" t="str">
        <f>VLOOKUP(Googleadssales[[#This Row],[Ad_ID]],'[1]pre processed data'!A:T,20,0)</f>
        <v>analytics for data</v>
      </c>
    </row>
    <row r="1587" spans="1:13" x14ac:dyDescent="0.3">
      <c r="A1587" t="s">
        <v>1600</v>
      </c>
      <c r="B1587" t="s">
        <v>14</v>
      </c>
      <c r="C1587" s="4">
        <f>VLOOKUP(Googleadssales[[#This Row],[Ad_ID]],'[1]pre processed data'!A:C,3,0)</f>
        <v>194</v>
      </c>
      <c r="D1587" s="4">
        <f>VLOOKUP(Googleadssales[[#This Row],[Ad_ID]],'[1]pre processed data'!A:E,5,0)</f>
        <v>5123</v>
      </c>
      <c r="E1587" s="5" t="str">
        <f>VLOOKUP(Googleadssales[[#This Row],[Ad_ID]],[1]!Table3[[Ad_ID]:[Cost-imputed]],7,0)</f>
        <v>$180.01</v>
      </c>
      <c r="F1587" s="4">
        <f>VLOOKUP(Googleadssales[[#This Row],[Ad_ID]],'[1]pre processed data'!A:I,9,0)</f>
        <v>27</v>
      </c>
      <c r="G1587" s="4">
        <f>VLOOKUP(Googleadssales[[#This Row],[Ad_ID]],'[1]pre processed data'!A:K,11,0)</f>
        <v>5</v>
      </c>
      <c r="H1587" s="2">
        <f>Googleadssales[[#This Row],[Conversions]]/Googleadssales[[#This Row],[Clicks]]</f>
        <v>2.5773195876288658E-2</v>
      </c>
      <c r="I1587" t="str">
        <f>VLOOKUP(Googleadssales[[#This Row],[Ad_ID]],'[1]pre processed data'!A:O,15,0)</f>
        <v>$1978</v>
      </c>
      <c r="J1587" s="3">
        <f>VLOOKUP(Googleadssales[[#This Row],[Ad_ID]],'[1]pre processed data'!A:Q,17,0)</f>
        <v>45601</v>
      </c>
      <c r="K1587" t="str">
        <f>VLOOKUP(Googleadssales[[#This Row],[Ad_ID]],'[1]pre processed data'!A:R,18,0)</f>
        <v>Bangaluru</v>
      </c>
      <c r="L1587" t="str">
        <f>VLOOKUP(Googleadssales[[#This Row],[Ad_ID]],'[1]pre processed data'!A:S,19,0)</f>
        <v>Mobile</v>
      </c>
      <c r="M1587" t="str">
        <f>VLOOKUP(Googleadssales[[#This Row],[Ad_ID]],'[1]pre processed data'!A:T,20,0)</f>
        <v>learn data analytics</v>
      </c>
    </row>
    <row r="1588" spans="1:13" x14ac:dyDescent="0.3">
      <c r="A1588" t="s">
        <v>1601</v>
      </c>
      <c r="B1588" t="s">
        <v>14</v>
      </c>
      <c r="C1588" s="4">
        <f>VLOOKUP(Googleadssales[[#This Row],[Ad_ID]],'[1]pre processed data'!A:C,3,0)</f>
        <v>157</v>
      </c>
      <c r="D1588" s="4">
        <f>VLOOKUP(Googleadssales[[#This Row],[Ad_ID]],'[1]pre processed data'!A:E,5,0)</f>
        <v>4127</v>
      </c>
      <c r="E1588" s="5" t="str">
        <f>VLOOKUP(Googleadssales[[#This Row],[Ad_ID]],[1]!Table3[[Ad_ID]:[Cost-imputed]],7,0)</f>
        <v>$200.44</v>
      </c>
      <c r="F1588" s="4">
        <f>VLOOKUP(Googleadssales[[#This Row],[Ad_ID]],'[1]pre processed data'!A:I,9,0)</f>
        <v>30</v>
      </c>
      <c r="G1588" s="4">
        <f>VLOOKUP(Googleadssales[[#This Row],[Ad_ID]],'[1]pre processed data'!A:K,11,0)</f>
        <v>8</v>
      </c>
      <c r="H1588" s="2">
        <f>Googleadssales[[#This Row],[Conversions]]/Googleadssales[[#This Row],[Clicks]]</f>
        <v>5.0955414012738856E-2</v>
      </c>
      <c r="I1588" t="str">
        <f>VLOOKUP(Googleadssales[[#This Row],[Ad_ID]],'[1]pre processed data'!A:O,15,0)</f>
        <v>$1044</v>
      </c>
      <c r="J1588" s="3">
        <f>VLOOKUP(Googleadssales[[#This Row],[Ad_ID]],'[1]pre processed data'!A:Q,17,0)</f>
        <v>45611</v>
      </c>
      <c r="K1588" t="str">
        <f>VLOOKUP(Googleadssales[[#This Row],[Ad_ID]],'[1]pre processed data'!A:R,18,0)</f>
        <v>Bangaluru</v>
      </c>
      <c r="L1588" t="str">
        <f>VLOOKUP(Googleadssales[[#This Row],[Ad_ID]],'[1]pre processed data'!A:S,19,0)</f>
        <v>Desktop</v>
      </c>
      <c r="M1588" t="str">
        <f>VLOOKUP(Googleadssales[[#This Row],[Ad_ID]],'[1]pre processed data'!A:T,20,0)</f>
        <v>data analytics training</v>
      </c>
    </row>
    <row r="1589" spans="1:13" x14ac:dyDescent="0.3">
      <c r="A1589" t="s">
        <v>1602</v>
      </c>
      <c r="B1589" t="s">
        <v>18</v>
      </c>
      <c r="C1589" s="4">
        <f>VLOOKUP(Googleadssales[[#This Row],[Ad_ID]],'[1]pre processed data'!A:C,3,0)</f>
        <v>112</v>
      </c>
      <c r="D1589" s="4">
        <f>VLOOKUP(Googleadssales[[#This Row],[Ad_ID]],'[1]pre processed data'!A:E,5,0)</f>
        <v>4944</v>
      </c>
      <c r="E1589" s="5" t="str">
        <f>VLOOKUP(Googleadssales[[#This Row],[Ad_ID]],[1]!Table3[[Ad_ID]:[Cost-imputed]],7,0)</f>
        <v>$233.83</v>
      </c>
      <c r="F1589" s="4">
        <f>VLOOKUP(Googleadssales[[#This Row],[Ad_ID]],'[1]pre processed data'!A:I,9,0)</f>
        <v>19</v>
      </c>
      <c r="G1589" s="4">
        <f>VLOOKUP(Googleadssales[[#This Row],[Ad_ID]],'[1]pre processed data'!A:K,11,0)</f>
        <v>4</v>
      </c>
      <c r="H1589" s="2">
        <f>Googleadssales[[#This Row],[Conversions]]/Googleadssales[[#This Row],[Clicks]]</f>
        <v>3.5714285714285712E-2</v>
      </c>
      <c r="I1589" t="str">
        <f>VLOOKUP(Googleadssales[[#This Row],[Ad_ID]],'[1]pre processed data'!A:O,15,0)</f>
        <v>$1296</v>
      </c>
      <c r="J1589" s="3">
        <f>VLOOKUP(Googleadssales[[#This Row],[Ad_ID]],'[1]pre processed data'!A:Q,17,0)</f>
        <v>45623</v>
      </c>
      <c r="K1589" t="str">
        <f>VLOOKUP(Googleadssales[[#This Row],[Ad_ID]],'[1]pre processed data'!A:R,18,0)</f>
        <v>Chennai</v>
      </c>
      <c r="L1589" t="str">
        <f>VLOOKUP(Googleadssales[[#This Row],[Ad_ID]],'[1]pre processed data'!A:S,19,0)</f>
        <v>Tablet</v>
      </c>
      <c r="M1589" t="str">
        <f>VLOOKUP(Googleadssales[[#This Row],[Ad_ID]],'[1]pre processed data'!A:T,20,0)</f>
        <v>data analytics training</v>
      </c>
    </row>
    <row r="1590" spans="1:13" x14ac:dyDescent="0.3">
      <c r="A1590" t="s">
        <v>1603</v>
      </c>
      <c r="B1590" t="s">
        <v>14</v>
      </c>
      <c r="C1590" s="4">
        <f>VLOOKUP(Googleadssales[[#This Row],[Ad_ID]],'[1]pre processed data'!A:C,3,0)</f>
        <v>82</v>
      </c>
      <c r="D1590" s="4">
        <f>VLOOKUP(Googleadssales[[#This Row],[Ad_ID]],'[1]pre processed data'!A:E,5,0)</f>
        <v>4534</v>
      </c>
      <c r="E1590" s="5" t="str">
        <f>VLOOKUP(Googleadssales[[#This Row],[Ad_ID]],[1]!Table3[[Ad_ID]:[Cost-imputed]],7,0)</f>
        <v>$203.89</v>
      </c>
      <c r="F1590" s="4">
        <f>VLOOKUP(Googleadssales[[#This Row],[Ad_ID]],'[1]pre processed data'!A:I,9,0)</f>
        <v>10</v>
      </c>
      <c r="G1590" s="4">
        <f>VLOOKUP(Googleadssales[[#This Row],[Ad_ID]],'[1]pre processed data'!A:K,11,0)</f>
        <v>6</v>
      </c>
      <c r="H1590" s="2">
        <f>Googleadssales[[#This Row],[Conversions]]/Googleadssales[[#This Row],[Clicks]]</f>
        <v>7.3170731707317069E-2</v>
      </c>
      <c r="I1590" t="str">
        <f>VLOOKUP(Googleadssales[[#This Row],[Ad_ID]],'[1]pre processed data'!A:O,15,0)</f>
        <v>$1589</v>
      </c>
      <c r="J1590" s="3">
        <f>VLOOKUP(Googleadssales[[#This Row],[Ad_ID]],'[1]pre processed data'!A:Q,17,0)</f>
        <v>45622</v>
      </c>
      <c r="K1590" t="str">
        <f>VLOOKUP(Googleadssales[[#This Row],[Ad_ID]],'[1]pre processed data'!A:R,18,0)</f>
        <v>Chennai</v>
      </c>
      <c r="L1590" t="str">
        <f>VLOOKUP(Googleadssales[[#This Row],[Ad_ID]],'[1]pre processed data'!A:S,19,0)</f>
        <v>Tablet</v>
      </c>
      <c r="M1590" t="str">
        <f>VLOOKUP(Googleadssales[[#This Row],[Ad_ID]],'[1]pre processed data'!A:T,20,0)</f>
        <v>online data analytic</v>
      </c>
    </row>
    <row r="1591" spans="1:13" x14ac:dyDescent="0.3">
      <c r="A1591" t="s">
        <v>1604</v>
      </c>
      <c r="B1591" t="s">
        <v>14</v>
      </c>
      <c r="C1591" s="4">
        <f>VLOOKUP(Googleadssales[[#This Row],[Ad_ID]],'[1]pre processed data'!A:C,3,0)</f>
        <v>152</v>
      </c>
      <c r="D1591" s="4">
        <f>VLOOKUP(Googleadssales[[#This Row],[Ad_ID]],'[1]pre processed data'!A:E,5,0)</f>
        <v>5894</v>
      </c>
      <c r="E1591" s="5" t="str">
        <f>VLOOKUP(Googleadssales[[#This Row],[Ad_ID]],[1]!Table3[[Ad_ID]:[Cost-imputed]],7,0)</f>
        <v>$219.23</v>
      </c>
      <c r="F1591" s="4">
        <f>VLOOKUP(Googleadssales[[#This Row],[Ad_ID]],'[1]pre processed data'!A:I,9,0)</f>
        <v>14</v>
      </c>
      <c r="G1591" s="4">
        <f>VLOOKUP(Googleadssales[[#This Row],[Ad_ID]],'[1]pre processed data'!A:K,11,0)</f>
        <v>5</v>
      </c>
      <c r="H1591" s="2">
        <f>Googleadssales[[#This Row],[Conversions]]/Googleadssales[[#This Row],[Clicks]]</f>
        <v>3.2894736842105261E-2</v>
      </c>
      <c r="I1591" t="str">
        <f>VLOOKUP(Googleadssales[[#This Row],[Ad_ID]],'[1]pre processed data'!A:O,15,0)</f>
        <v>$1641</v>
      </c>
      <c r="J1591" s="3">
        <f>VLOOKUP(Googleadssales[[#This Row],[Ad_ID]],'[1]pre processed data'!A:Q,17,0)</f>
        <v>45609</v>
      </c>
      <c r="K1591" t="str">
        <f>VLOOKUP(Googleadssales[[#This Row],[Ad_ID]],'[1]pre processed data'!A:R,18,0)</f>
        <v>Hyderabad</v>
      </c>
      <c r="L1591" t="str">
        <f>VLOOKUP(Googleadssales[[#This Row],[Ad_ID]],'[1]pre processed data'!A:S,19,0)</f>
        <v>Mobile</v>
      </c>
      <c r="M1591" t="str">
        <f>VLOOKUP(Googleadssales[[#This Row],[Ad_ID]],'[1]pre processed data'!A:T,20,0)</f>
        <v>data analytics training</v>
      </c>
    </row>
    <row r="1592" spans="1:13" x14ac:dyDescent="0.3">
      <c r="A1592" t="s">
        <v>1605</v>
      </c>
      <c r="B1592" t="s">
        <v>14</v>
      </c>
      <c r="C1592" s="4">
        <f>VLOOKUP(Googleadssales[[#This Row],[Ad_ID]],'[1]pre processed data'!A:C,3,0)</f>
        <v>81</v>
      </c>
      <c r="D1592" s="4">
        <f>VLOOKUP(Googleadssales[[#This Row],[Ad_ID]],'[1]pre processed data'!A:E,5,0)</f>
        <v>5545</v>
      </c>
      <c r="E1592" s="5" t="str">
        <f>VLOOKUP(Googleadssales[[#This Row],[Ad_ID]],[1]!Table3[[Ad_ID]:[Cost-imputed]],7,0)</f>
        <v>$212.89</v>
      </c>
      <c r="F1592" s="4">
        <f>VLOOKUP(Googleadssales[[#This Row],[Ad_ID]],'[1]pre processed data'!A:I,9,0)</f>
        <v>11</v>
      </c>
      <c r="G1592" s="4">
        <f>VLOOKUP(Googleadssales[[#This Row],[Ad_ID]],'[1]pre processed data'!A:K,11,0)</f>
        <v>5</v>
      </c>
      <c r="H1592" s="2">
        <f>Googleadssales[[#This Row],[Conversions]]/Googleadssales[[#This Row],[Clicks]]</f>
        <v>6.1728395061728392E-2</v>
      </c>
      <c r="I1592" t="str">
        <f>VLOOKUP(Googleadssales[[#This Row],[Ad_ID]],'[1]pre processed data'!A:O,15,0)</f>
        <v>$1818</v>
      </c>
      <c r="J1592" s="3">
        <f>VLOOKUP(Googleadssales[[#This Row],[Ad_ID]],'[1]pre processed data'!A:Q,17,0)</f>
        <v>45611</v>
      </c>
      <c r="K1592" t="str">
        <f>VLOOKUP(Googleadssales[[#This Row],[Ad_ID]],'[1]pre processed data'!A:R,18,0)</f>
        <v>Hyderabad</v>
      </c>
      <c r="L1592" t="str">
        <f>VLOOKUP(Googleadssales[[#This Row],[Ad_ID]],'[1]pre processed data'!A:S,19,0)</f>
        <v>Mobile</v>
      </c>
      <c r="M1592" t="str">
        <f>VLOOKUP(Googleadssales[[#This Row],[Ad_ID]],'[1]pre processed data'!A:T,20,0)</f>
        <v>data analytics online</v>
      </c>
    </row>
    <row r="1593" spans="1:13" x14ac:dyDescent="0.3">
      <c r="A1593" t="s">
        <v>1606</v>
      </c>
      <c r="B1593" t="s">
        <v>14</v>
      </c>
      <c r="C1593" s="4">
        <f>VLOOKUP(Googleadssales[[#This Row],[Ad_ID]],'[1]pre processed data'!A:C,3,0)</f>
        <v>84</v>
      </c>
      <c r="D1593" s="4">
        <f>VLOOKUP(Googleadssales[[#This Row],[Ad_ID]],'[1]pre processed data'!A:E,5,0)</f>
        <v>5573</v>
      </c>
      <c r="E1593" s="5" t="str">
        <f>VLOOKUP(Googleadssales[[#This Row],[Ad_ID]],[1]!Table3[[Ad_ID]:[Cost-imputed]],7,0)</f>
        <v>$200.00</v>
      </c>
      <c r="F1593" s="4">
        <f>VLOOKUP(Googleadssales[[#This Row],[Ad_ID]],'[1]pre processed data'!A:I,9,0)</f>
        <v>23</v>
      </c>
      <c r="G1593" s="4">
        <f>VLOOKUP(Googleadssales[[#This Row],[Ad_ID]],'[1]pre processed data'!A:K,11,0)</f>
        <v>6</v>
      </c>
      <c r="H1593" s="2">
        <f>Googleadssales[[#This Row],[Conversions]]/Googleadssales[[#This Row],[Clicks]]</f>
        <v>7.1428571428571425E-2</v>
      </c>
      <c r="I1593" t="str">
        <f>VLOOKUP(Googleadssales[[#This Row],[Ad_ID]],'[1]pre processed data'!A:O,15,0)</f>
        <v>$1656</v>
      </c>
      <c r="J1593" s="3">
        <f>VLOOKUP(Googleadssales[[#This Row],[Ad_ID]],'[1]pre processed data'!A:Q,17,0)</f>
        <v>45608</v>
      </c>
      <c r="K1593" t="str">
        <f>VLOOKUP(Googleadssales[[#This Row],[Ad_ID]],'[1]pre processed data'!A:R,18,0)</f>
        <v>Chennai</v>
      </c>
      <c r="L1593" t="str">
        <f>VLOOKUP(Googleadssales[[#This Row],[Ad_ID]],'[1]pre processed data'!A:S,19,0)</f>
        <v>Desktop</v>
      </c>
      <c r="M1593" t="str">
        <f>VLOOKUP(Googleadssales[[#This Row],[Ad_ID]],'[1]pre processed data'!A:T,20,0)</f>
        <v>online data analytic</v>
      </c>
    </row>
    <row r="1594" spans="1:13" x14ac:dyDescent="0.3">
      <c r="A1594" t="s">
        <v>1607</v>
      </c>
      <c r="B1594" t="s">
        <v>14</v>
      </c>
      <c r="C1594" s="4">
        <f>VLOOKUP(Googleadssales[[#This Row],[Ad_ID]],'[1]pre processed data'!A:C,3,0)</f>
        <v>117</v>
      </c>
      <c r="D1594" s="4">
        <f>VLOOKUP(Googleadssales[[#This Row],[Ad_ID]],'[1]pre processed data'!A:E,5,0)</f>
        <v>3039</v>
      </c>
      <c r="E1594" s="5" t="str">
        <f>VLOOKUP(Googleadssales[[#This Row],[Ad_ID]],[1]!Table3[[Ad_ID]:[Cost-imputed]],7,0)</f>
        <v>$223.72</v>
      </c>
      <c r="F1594" s="4">
        <f>VLOOKUP(Googleadssales[[#This Row],[Ad_ID]],'[1]pre processed data'!A:I,9,0)</f>
        <v>27</v>
      </c>
      <c r="G1594" s="4">
        <f>VLOOKUP(Googleadssales[[#This Row],[Ad_ID]],'[1]pre processed data'!A:K,11,0)</f>
        <v>8</v>
      </c>
      <c r="H1594" s="2">
        <f>Googleadssales[[#This Row],[Conversions]]/Googleadssales[[#This Row],[Clicks]]</f>
        <v>6.8376068376068383E-2</v>
      </c>
      <c r="I1594" t="str">
        <f>VLOOKUP(Googleadssales[[#This Row],[Ad_ID]],'[1]pre processed data'!A:O,15,0)</f>
        <v>$1340</v>
      </c>
      <c r="J1594" s="3">
        <f>VLOOKUP(Googleadssales[[#This Row],[Ad_ID]],'[1]pre processed data'!A:Q,17,0)</f>
        <v>45610</v>
      </c>
      <c r="K1594" t="str">
        <f>VLOOKUP(Googleadssales[[#This Row],[Ad_ID]],'[1]pre processed data'!A:R,18,0)</f>
        <v>Bangaluru</v>
      </c>
      <c r="L1594" t="str">
        <f>VLOOKUP(Googleadssales[[#This Row],[Ad_ID]],'[1]pre processed data'!A:S,19,0)</f>
        <v>Mobile</v>
      </c>
      <c r="M1594" t="str">
        <f>VLOOKUP(Googleadssales[[#This Row],[Ad_ID]],'[1]pre processed data'!A:T,20,0)</f>
        <v>data analytics training</v>
      </c>
    </row>
    <row r="1595" spans="1:13" x14ac:dyDescent="0.3">
      <c r="A1595" t="s">
        <v>1608</v>
      </c>
      <c r="B1595" t="s">
        <v>14</v>
      </c>
      <c r="C1595" s="4">
        <f>VLOOKUP(Googleadssales[[#This Row],[Ad_ID]],'[1]pre processed data'!A:C,3,0)</f>
        <v>82</v>
      </c>
      <c r="D1595" s="4">
        <f>VLOOKUP(Googleadssales[[#This Row],[Ad_ID]],'[1]pre processed data'!A:E,5,0)</f>
        <v>3556</v>
      </c>
      <c r="E1595" s="5" t="str">
        <f>VLOOKUP(Googleadssales[[#This Row],[Ad_ID]],[1]!Table3[[Ad_ID]:[Cost-imputed]],7,0)</f>
        <v>$200.00</v>
      </c>
      <c r="F1595" s="4">
        <f>VLOOKUP(Googleadssales[[#This Row],[Ad_ID]],'[1]pre processed data'!A:I,9,0)</f>
        <v>16</v>
      </c>
      <c r="G1595" s="4">
        <f>VLOOKUP(Googleadssales[[#This Row],[Ad_ID]],'[1]pre processed data'!A:K,11,0)</f>
        <v>5</v>
      </c>
      <c r="H1595" s="2">
        <f>Googleadssales[[#This Row],[Conversions]]/Googleadssales[[#This Row],[Clicks]]</f>
        <v>6.097560975609756E-2</v>
      </c>
      <c r="I1595" t="str">
        <f>VLOOKUP(Googleadssales[[#This Row],[Ad_ID]],'[1]pre processed data'!A:O,15,0)</f>
        <v>$1331</v>
      </c>
      <c r="J1595" s="3">
        <f>VLOOKUP(Googleadssales[[#This Row],[Ad_ID]],'[1]pre processed data'!A:Q,17,0)</f>
        <v>45613</v>
      </c>
      <c r="K1595" t="str">
        <f>VLOOKUP(Googleadssales[[#This Row],[Ad_ID]],'[1]pre processed data'!A:R,18,0)</f>
        <v>Hyderabad</v>
      </c>
      <c r="L1595" t="str">
        <f>VLOOKUP(Googleadssales[[#This Row],[Ad_ID]],'[1]pre processed data'!A:S,19,0)</f>
        <v>Mobile</v>
      </c>
      <c r="M1595" t="str">
        <f>VLOOKUP(Googleadssales[[#This Row],[Ad_ID]],'[1]pre processed data'!A:T,20,0)</f>
        <v>data analytics online</v>
      </c>
    </row>
    <row r="1596" spans="1:13" x14ac:dyDescent="0.3">
      <c r="A1596" t="s">
        <v>1609</v>
      </c>
      <c r="B1596" t="s">
        <v>18</v>
      </c>
      <c r="C1596" s="4">
        <f>VLOOKUP(Googleadssales[[#This Row],[Ad_ID]],'[1]pre processed data'!A:C,3,0)</f>
        <v>192</v>
      </c>
      <c r="D1596" s="4">
        <f>VLOOKUP(Googleadssales[[#This Row],[Ad_ID]],'[1]pre processed data'!A:E,5,0)</f>
        <v>4920</v>
      </c>
      <c r="E1596" s="5" t="str">
        <f>VLOOKUP(Googleadssales[[#This Row],[Ad_ID]],[1]!Table3[[Ad_ID]:[Cost-imputed]],7,0)</f>
        <v>$192.15</v>
      </c>
      <c r="F1596" s="4">
        <f>VLOOKUP(Googleadssales[[#This Row],[Ad_ID]],'[1]pre processed data'!A:I,9,0)</f>
        <v>18</v>
      </c>
      <c r="G1596" s="4">
        <f>VLOOKUP(Googleadssales[[#This Row],[Ad_ID]],'[1]pre processed data'!A:K,11,0)</f>
        <v>10</v>
      </c>
      <c r="H1596" s="2">
        <f>Googleadssales[[#This Row],[Conversions]]/Googleadssales[[#This Row],[Clicks]]</f>
        <v>5.2083333333333336E-2</v>
      </c>
      <c r="I1596" t="str">
        <f>VLOOKUP(Googleadssales[[#This Row],[Ad_ID]],'[1]pre processed data'!A:O,15,0)</f>
        <v>$1665</v>
      </c>
      <c r="J1596" s="3">
        <f>VLOOKUP(Googleadssales[[#This Row],[Ad_ID]],'[1]pre processed data'!A:Q,17,0)</f>
        <v>45605</v>
      </c>
      <c r="K1596" t="str">
        <f>VLOOKUP(Googleadssales[[#This Row],[Ad_ID]],'[1]pre processed data'!A:R,18,0)</f>
        <v>Bangaluru</v>
      </c>
      <c r="L1596" t="str">
        <f>VLOOKUP(Googleadssales[[#This Row],[Ad_ID]],'[1]pre processed data'!A:S,19,0)</f>
        <v>Mobile</v>
      </c>
      <c r="M1596" t="str">
        <f>VLOOKUP(Googleadssales[[#This Row],[Ad_ID]],'[1]pre processed data'!A:T,20,0)</f>
        <v>data analytics online</v>
      </c>
    </row>
    <row r="1597" spans="1:13" x14ac:dyDescent="0.3">
      <c r="A1597" t="s">
        <v>1610</v>
      </c>
      <c r="B1597" t="s">
        <v>14</v>
      </c>
      <c r="C1597" s="4">
        <f>VLOOKUP(Googleadssales[[#This Row],[Ad_ID]],'[1]pre processed data'!A:C,3,0)</f>
        <v>131</v>
      </c>
      <c r="D1597" s="4">
        <f>VLOOKUP(Googleadssales[[#This Row],[Ad_ID]],'[1]pre processed data'!A:E,5,0)</f>
        <v>3187</v>
      </c>
      <c r="E1597" s="5" t="str">
        <f>VLOOKUP(Googleadssales[[#This Row],[Ad_ID]],[1]!Table3[[Ad_ID]:[Cost-imputed]],7,0)</f>
        <v>$234.53</v>
      </c>
      <c r="F1597" s="4">
        <f>VLOOKUP(Googleadssales[[#This Row],[Ad_ID]],'[1]pre processed data'!A:I,9,0)</f>
        <v>24</v>
      </c>
      <c r="G1597" s="4">
        <f>VLOOKUP(Googleadssales[[#This Row],[Ad_ID]],'[1]pre processed data'!A:K,11,0)</f>
        <v>10</v>
      </c>
      <c r="H1597" s="2">
        <f>Googleadssales[[#This Row],[Conversions]]/Googleadssales[[#This Row],[Clicks]]</f>
        <v>7.6335877862595422E-2</v>
      </c>
      <c r="I1597" t="str">
        <f>VLOOKUP(Googleadssales[[#This Row],[Ad_ID]],'[1]pre processed data'!A:O,15,0)</f>
        <v>$1656</v>
      </c>
      <c r="J1597" s="3">
        <f>VLOOKUP(Googleadssales[[#This Row],[Ad_ID]],'[1]pre processed data'!A:Q,17,0)</f>
        <v>45603</v>
      </c>
      <c r="K1597" t="str">
        <f>VLOOKUP(Googleadssales[[#This Row],[Ad_ID]],'[1]pre processed data'!A:R,18,0)</f>
        <v>Bangaluru</v>
      </c>
      <c r="L1597" t="str">
        <f>VLOOKUP(Googleadssales[[#This Row],[Ad_ID]],'[1]pre processed data'!A:S,19,0)</f>
        <v>Mobile</v>
      </c>
      <c r="M1597" t="str">
        <f>VLOOKUP(Googleadssales[[#This Row],[Ad_ID]],'[1]pre processed data'!A:T,20,0)</f>
        <v>data analytics course</v>
      </c>
    </row>
    <row r="1598" spans="1:13" x14ac:dyDescent="0.3">
      <c r="A1598" t="s">
        <v>1611</v>
      </c>
      <c r="B1598" t="s">
        <v>14</v>
      </c>
      <c r="C1598" s="4">
        <f>VLOOKUP(Googleadssales[[#This Row],[Ad_ID]],'[1]pre processed data'!A:C,3,0)</f>
        <v>177</v>
      </c>
      <c r="D1598" s="4">
        <f>VLOOKUP(Googleadssales[[#This Row],[Ad_ID]],'[1]pre processed data'!A:E,5,0)</f>
        <v>3238</v>
      </c>
      <c r="E1598" s="5" t="str">
        <f>VLOOKUP(Googleadssales[[#This Row],[Ad_ID]],[1]!Table3[[Ad_ID]:[Cost-imputed]],7,0)</f>
        <v>$189.61</v>
      </c>
      <c r="F1598" s="4">
        <f>VLOOKUP(Googleadssales[[#This Row],[Ad_ID]],'[1]pre processed data'!A:I,9,0)</f>
        <v>29</v>
      </c>
      <c r="G1598" s="4">
        <f>VLOOKUP(Googleadssales[[#This Row],[Ad_ID]],'[1]pre processed data'!A:K,11,0)</f>
        <v>7</v>
      </c>
      <c r="H1598" s="2">
        <f>Googleadssales[[#This Row],[Conversions]]/Googleadssales[[#This Row],[Clicks]]</f>
        <v>3.954802259887006E-2</v>
      </c>
      <c r="I1598" t="str">
        <f>VLOOKUP(Googleadssales[[#This Row],[Ad_ID]],'[1]pre processed data'!A:O,15,0)</f>
        <v>$1925</v>
      </c>
      <c r="J1598" s="3">
        <f>VLOOKUP(Googleadssales[[#This Row],[Ad_ID]],'[1]pre processed data'!A:Q,17,0)</f>
        <v>45623</v>
      </c>
      <c r="K1598" t="str">
        <f>VLOOKUP(Googleadssales[[#This Row],[Ad_ID]],'[1]pre processed data'!A:R,18,0)</f>
        <v>Hyderabad</v>
      </c>
      <c r="L1598" t="str">
        <f>VLOOKUP(Googleadssales[[#This Row],[Ad_ID]],'[1]pre processed data'!A:S,19,0)</f>
        <v>Tablet</v>
      </c>
      <c r="M1598" t="str">
        <f>VLOOKUP(Googleadssales[[#This Row],[Ad_ID]],'[1]pre processed data'!A:T,20,0)</f>
        <v>data analytics online</v>
      </c>
    </row>
    <row r="1599" spans="1:13" x14ac:dyDescent="0.3">
      <c r="A1599" t="s">
        <v>1612</v>
      </c>
      <c r="B1599" t="s">
        <v>14</v>
      </c>
      <c r="C1599" s="4">
        <f>VLOOKUP(Googleadssales[[#This Row],[Ad_ID]],'[1]pre processed data'!A:C,3,0)</f>
        <v>138.95699356913184</v>
      </c>
      <c r="D1599" s="4">
        <f>VLOOKUP(Googleadssales[[#This Row],[Ad_ID]],'[1]pre processed data'!A:E,5,0)</f>
        <v>4523.2808326787117</v>
      </c>
      <c r="E1599" s="5" t="str">
        <f>VLOOKUP(Googleadssales[[#This Row],[Ad_ID]],[1]!Table3[[Ad_ID]:[Cost-imputed]],7,0)</f>
        <v>$182.66</v>
      </c>
      <c r="F1599" s="4">
        <f>VLOOKUP(Googleadssales[[#This Row],[Ad_ID]],'[1]pre processed data'!A:I,9,0)</f>
        <v>22</v>
      </c>
      <c r="G1599" s="4">
        <f>VLOOKUP(Googleadssales[[#This Row],[Ad_ID]],'[1]pre processed data'!A:K,11,0)</f>
        <v>10</v>
      </c>
      <c r="H1599" s="2">
        <f>Googleadssales[[#This Row],[Conversions]]/Googleadssales[[#This Row],[Clicks]]</f>
        <v>7.1964711837443046E-2</v>
      </c>
      <c r="I1599" t="str">
        <f>VLOOKUP(Googleadssales[[#This Row],[Ad_ID]],'[1]pre processed data'!A:O,15,0)</f>
        <v>$1482</v>
      </c>
      <c r="J1599" s="3">
        <f>VLOOKUP(Googleadssales[[#This Row],[Ad_ID]],'[1]pre processed data'!A:Q,17,0)</f>
        <v>45620</v>
      </c>
      <c r="K1599" t="str">
        <f>VLOOKUP(Googleadssales[[#This Row],[Ad_ID]],'[1]pre processed data'!A:R,18,0)</f>
        <v>Hyderabad</v>
      </c>
      <c r="L1599" t="str">
        <f>VLOOKUP(Googleadssales[[#This Row],[Ad_ID]],'[1]pre processed data'!A:S,19,0)</f>
        <v>Desktop</v>
      </c>
      <c r="M1599" t="str">
        <f>VLOOKUP(Googleadssales[[#This Row],[Ad_ID]],'[1]pre processed data'!A:T,20,0)</f>
        <v>learn data analytics</v>
      </c>
    </row>
    <row r="1600" spans="1:13" x14ac:dyDescent="0.3">
      <c r="A1600" t="s">
        <v>1613</v>
      </c>
      <c r="B1600" t="s">
        <v>14</v>
      </c>
      <c r="C1600" s="4">
        <f>VLOOKUP(Googleadssales[[#This Row],[Ad_ID]],'[1]pre processed data'!A:C,3,0)</f>
        <v>147</v>
      </c>
      <c r="D1600" s="4">
        <f>VLOOKUP(Googleadssales[[#This Row],[Ad_ID]],'[1]pre processed data'!A:E,5,0)</f>
        <v>4507</v>
      </c>
      <c r="E1600" s="5" t="str">
        <f>VLOOKUP(Googleadssales[[#This Row],[Ad_ID]],[1]!Table3[[Ad_ID]:[Cost-imputed]],7,0)</f>
        <v>$190.42</v>
      </c>
      <c r="F1600" s="4">
        <f>VLOOKUP(Googleadssales[[#This Row],[Ad_ID]],'[1]pre processed data'!A:I,9,0)</f>
        <v>27</v>
      </c>
      <c r="G1600" s="4">
        <f>VLOOKUP(Googleadssales[[#This Row],[Ad_ID]],'[1]pre processed data'!A:K,11,0)</f>
        <v>8</v>
      </c>
      <c r="H1600" s="2">
        <f>Googleadssales[[#This Row],[Conversions]]/Googleadssales[[#This Row],[Clicks]]</f>
        <v>5.4421768707482991E-2</v>
      </c>
      <c r="I1600" t="str">
        <f>VLOOKUP(Googleadssales[[#This Row],[Ad_ID]],'[1]pre processed data'!A:O,15,0)</f>
        <v>$1073</v>
      </c>
      <c r="J1600" s="3">
        <f>VLOOKUP(Googleadssales[[#This Row],[Ad_ID]],'[1]pre processed data'!A:Q,17,0)</f>
        <v>45601</v>
      </c>
      <c r="K1600" t="str">
        <f>VLOOKUP(Googleadssales[[#This Row],[Ad_ID]],'[1]pre processed data'!A:R,18,0)</f>
        <v>Bangaluru</v>
      </c>
      <c r="L1600" t="str">
        <f>VLOOKUP(Googleadssales[[#This Row],[Ad_ID]],'[1]pre processed data'!A:S,19,0)</f>
        <v>Desktop</v>
      </c>
      <c r="M1600" t="str">
        <f>VLOOKUP(Googleadssales[[#This Row],[Ad_ID]],'[1]pre processed data'!A:T,20,0)</f>
        <v>learn data analytics</v>
      </c>
    </row>
    <row r="1601" spans="1:13" x14ac:dyDescent="0.3">
      <c r="A1601" t="s">
        <v>1614</v>
      </c>
      <c r="B1601" t="s">
        <v>14</v>
      </c>
      <c r="C1601" s="4">
        <f>VLOOKUP(Googleadssales[[#This Row],[Ad_ID]],'[1]pre processed data'!A:C,3,0)</f>
        <v>143</v>
      </c>
      <c r="D1601" s="4">
        <f>VLOOKUP(Googleadssales[[#This Row],[Ad_ID]],'[1]pre processed data'!A:E,5,0)</f>
        <v>3606</v>
      </c>
      <c r="E1601" s="5" t="str">
        <f>VLOOKUP(Googleadssales[[#This Row],[Ad_ID]],[1]!Table3[[Ad_ID]:[Cost-imputed]],7,0)</f>
        <v>$200.29</v>
      </c>
      <c r="F1601" s="4">
        <f>VLOOKUP(Googleadssales[[#This Row],[Ad_ID]],'[1]pre processed data'!A:I,9,0)</f>
        <v>20.254098360655739</v>
      </c>
      <c r="G1601" s="4">
        <f>VLOOKUP(Googleadssales[[#This Row],[Ad_ID]],'[1]pre processed data'!A:K,11,0)</f>
        <v>3</v>
      </c>
      <c r="H1601" s="2">
        <f>Googleadssales[[#This Row],[Conversions]]/Googleadssales[[#This Row],[Clicks]]</f>
        <v>2.097902097902098E-2</v>
      </c>
      <c r="I1601" t="str">
        <f>VLOOKUP(Googleadssales[[#This Row],[Ad_ID]],'[1]pre processed data'!A:O,15,0)</f>
        <v>$1550</v>
      </c>
      <c r="J1601" s="3">
        <f>VLOOKUP(Googleadssales[[#This Row],[Ad_ID]],'[1]pre processed data'!A:Q,17,0)</f>
        <v>45616</v>
      </c>
      <c r="K1601" t="str">
        <f>VLOOKUP(Googleadssales[[#This Row],[Ad_ID]],'[1]pre processed data'!A:R,18,0)</f>
        <v>Hyderabad</v>
      </c>
      <c r="L1601" t="str">
        <f>VLOOKUP(Googleadssales[[#This Row],[Ad_ID]],'[1]pre processed data'!A:S,19,0)</f>
        <v>Mobile</v>
      </c>
      <c r="M1601" t="str">
        <f>VLOOKUP(Googleadssales[[#This Row],[Ad_ID]],'[1]pre processed data'!A:T,20,0)</f>
        <v>learn data analytics</v>
      </c>
    </row>
    <row r="1602" spans="1:13" x14ac:dyDescent="0.3">
      <c r="A1602" t="s">
        <v>1615</v>
      </c>
      <c r="B1602" t="s">
        <v>18</v>
      </c>
      <c r="C1602" s="4">
        <f>VLOOKUP(Googleadssales[[#This Row],[Ad_ID]],'[1]pre processed data'!A:C,3,0)</f>
        <v>138.95699356913184</v>
      </c>
      <c r="D1602" s="4">
        <f>VLOOKUP(Googleadssales[[#This Row],[Ad_ID]],'[1]pre processed data'!A:E,5,0)</f>
        <v>3355</v>
      </c>
      <c r="E1602" s="5" t="str">
        <f>VLOOKUP(Googleadssales[[#This Row],[Ad_ID]],[1]!Table3[[Ad_ID]:[Cost-imputed]],7,0)</f>
        <v>$186.9</v>
      </c>
      <c r="F1602" s="4">
        <f>VLOOKUP(Googleadssales[[#This Row],[Ad_ID]],'[1]pre processed data'!A:I,9,0)</f>
        <v>20</v>
      </c>
      <c r="G1602" s="4">
        <f>VLOOKUP(Googleadssales[[#This Row],[Ad_ID]],'[1]pre processed data'!A:K,11,0)</f>
        <v>4</v>
      </c>
      <c r="H1602" s="2">
        <f>Googleadssales[[#This Row],[Conversions]]/Googleadssales[[#This Row],[Clicks]]</f>
        <v>2.8785884734977219E-2</v>
      </c>
      <c r="I1602" t="str">
        <f>VLOOKUP(Googleadssales[[#This Row],[Ad_ID]],'[1]pre processed data'!A:O,15,0)</f>
        <v>$1524</v>
      </c>
      <c r="J1602" s="3">
        <f>VLOOKUP(Googleadssales[[#This Row],[Ad_ID]],'[1]pre processed data'!A:Q,17,0)</f>
        <v>45606</v>
      </c>
      <c r="K1602" t="str">
        <f>VLOOKUP(Googleadssales[[#This Row],[Ad_ID]],'[1]pre processed data'!A:R,18,0)</f>
        <v>Hyderabad</v>
      </c>
      <c r="L1602" t="str">
        <f>VLOOKUP(Googleadssales[[#This Row],[Ad_ID]],'[1]pre processed data'!A:S,19,0)</f>
        <v>Mobile</v>
      </c>
      <c r="M1602" t="str">
        <f>VLOOKUP(Googleadssales[[#This Row],[Ad_ID]],'[1]pre processed data'!A:T,20,0)</f>
        <v>online data analytic</v>
      </c>
    </row>
    <row r="1603" spans="1:13" x14ac:dyDescent="0.3">
      <c r="A1603" t="s">
        <v>1616</v>
      </c>
      <c r="B1603" t="s">
        <v>14</v>
      </c>
      <c r="C1603" s="4">
        <f>VLOOKUP(Googleadssales[[#This Row],[Ad_ID]],'[1]pre processed data'!A:C,3,0)</f>
        <v>160</v>
      </c>
      <c r="D1603" s="4">
        <f>VLOOKUP(Googleadssales[[#This Row],[Ad_ID]],'[1]pre processed data'!A:E,5,0)</f>
        <v>3711</v>
      </c>
      <c r="E1603" s="5" t="str">
        <f>VLOOKUP(Googleadssales[[#This Row],[Ad_ID]],[1]!Table3[[Ad_ID]:[Cost-imputed]],7,0)</f>
        <v>$214.41</v>
      </c>
      <c r="F1603" s="4">
        <f>VLOOKUP(Googleadssales[[#This Row],[Ad_ID]],'[1]pre processed data'!A:I,9,0)</f>
        <v>10</v>
      </c>
      <c r="G1603" s="4">
        <f>VLOOKUP(Googleadssales[[#This Row],[Ad_ID]],'[1]pre processed data'!A:K,11,0)</f>
        <v>6</v>
      </c>
      <c r="H1603" s="2">
        <f>Googleadssales[[#This Row],[Conversions]]/Googleadssales[[#This Row],[Clicks]]</f>
        <v>3.7499999999999999E-2</v>
      </c>
      <c r="I1603" t="str">
        <f>VLOOKUP(Googleadssales[[#This Row],[Ad_ID]],'[1]pre processed data'!A:O,15,0)</f>
        <v>$1550</v>
      </c>
      <c r="J1603" s="3">
        <f>VLOOKUP(Googleadssales[[#This Row],[Ad_ID]],'[1]pre processed data'!A:Q,17,0)</f>
        <v>45603</v>
      </c>
      <c r="K1603" t="str">
        <f>VLOOKUP(Googleadssales[[#This Row],[Ad_ID]],'[1]pre processed data'!A:R,18,0)</f>
        <v>Chennai</v>
      </c>
      <c r="L1603" t="str">
        <f>VLOOKUP(Googleadssales[[#This Row],[Ad_ID]],'[1]pre processed data'!A:S,19,0)</f>
        <v>Mobile</v>
      </c>
      <c r="M1603" t="str">
        <f>VLOOKUP(Googleadssales[[#This Row],[Ad_ID]],'[1]pre processed data'!A:T,20,0)</f>
        <v>analytics for data</v>
      </c>
    </row>
    <row r="1604" spans="1:13" x14ac:dyDescent="0.3">
      <c r="A1604" t="s">
        <v>1617</v>
      </c>
      <c r="B1604" t="s">
        <v>18</v>
      </c>
      <c r="C1604" s="4">
        <f>VLOOKUP(Googleadssales[[#This Row],[Ad_ID]],'[1]pre processed data'!A:C,3,0)</f>
        <v>172</v>
      </c>
      <c r="D1604" s="4">
        <f>VLOOKUP(Googleadssales[[#This Row],[Ad_ID]],'[1]pre processed data'!A:E,5,0)</f>
        <v>4841</v>
      </c>
      <c r="E1604" s="5" t="str">
        <f>VLOOKUP(Googleadssales[[#This Row],[Ad_ID]],[1]!Table3[[Ad_ID]:[Cost-imputed]],7,0)</f>
        <v>$234.94</v>
      </c>
      <c r="F1604" s="4">
        <f>VLOOKUP(Googleadssales[[#This Row],[Ad_ID]],'[1]pre processed data'!A:I,9,0)</f>
        <v>28</v>
      </c>
      <c r="G1604" s="4">
        <f>VLOOKUP(Googleadssales[[#This Row],[Ad_ID]],'[1]pre processed data'!A:K,11,0)</f>
        <v>8</v>
      </c>
      <c r="H1604" s="2">
        <f>Googleadssales[[#This Row],[Conversions]]/Googleadssales[[#This Row],[Clicks]]</f>
        <v>4.6511627906976744E-2</v>
      </c>
      <c r="I1604" t="str">
        <f>VLOOKUP(Googleadssales[[#This Row],[Ad_ID]],'[1]pre processed data'!A:O,15,0)</f>
        <v>$1258</v>
      </c>
      <c r="J1604" s="3">
        <f>VLOOKUP(Googleadssales[[#This Row],[Ad_ID]],'[1]pre processed data'!A:Q,17,0)</f>
        <v>45608</v>
      </c>
      <c r="K1604" t="str">
        <f>VLOOKUP(Googleadssales[[#This Row],[Ad_ID]],'[1]pre processed data'!A:R,18,0)</f>
        <v>Hyderabad</v>
      </c>
      <c r="L1604" t="str">
        <f>VLOOKUP(Googleadssales[[#This Row],[Ad_ID]],'[1]pre processed data'!A:S,19,0)</f>
        <v>Desktop</v>
      </c>
      <c r="M1604" t="str">
        <f>VLOOKUP(Googleadssales[[#This Row],[Ad_ID]],'[1]pre processed data'!A:T,20,0)</f>
        <v>analytics for data</v>
      </c>
    </row>
    <row r="1605" spans="1:13" x14ac:dyDescent="0.3">
      <c r="A1605" t="s">
        <v>1618</v>
      </c>
      <c r="B1605" t="s">
        <v>14</v>
      </c>
      <c r="C1605" s="4">
        <f>VLOOKUP(Googleadssales[[#This Row],[Ad_ID]],'[1]pre processed data'!A:C,3,0)</f>
        <v>95</v>
      </c>
      <c r="D1605" s="4">
        <f>VLOOKUP(Googleadssales[[#This Row],[Ad_ID]],'[1]pre processed data'!A:E,5,0)</f>
        <v>5411</v>
      </c>
      <c r="E1605" s="5" t="str">
        <f>VLOOKUP(Googleadssales[[#This Row],[Ad_ID]],[1]!Table3[[Ad_ID]:[Cost-imputed]],7,0)</f>
        <v>$182.58</v>
      </c>
      <c r="F1605" s="4">
        <f>VLOOKUP(Googleadssales[[#This Row],[Ad_ID]],'[1]pre processed data'!A:I,9,0)</f>
        <v>13</v>
      </c>
      <c r="G1605" s="4">
        <f>VLOOKUP(Googleadssales[[#This Row],[Ad_ID]],'[1]pre processed data'!A:K,11,0)</f>
        <v>4</v>
      </c>
      <c r="H1605" s="2">
        <f>Googleadssales[[#This Row],[Conversions]]/Googleadssales[[#This Row],[Clicks]]</f>
        <v>4.2105263157894736E-2</v>
      </c>
      <c r="I1605" t="str">
        <f>VLOOKUP(Googleadssales[[#This Row],[Ad_ID]],'[1]pre processed data'!A:O,15,0)</f>
        <v>$1111</v>
      </c>
      <c r="J1605" s="3">
        <f>VLOOKUP(Googleadssales[[#This Row],[Ad_ID]],'[1]pre processed data'!A:Q,17,0)</f>
        <v>45626</v>
      </c>
      <c r="K1605" t="str">
        <f>VLOOKUP(Googleadssales[[#This Row],[Ad_ID]],'[1]pre processed data'!A:R,18,0)</f>
        <v>Chennai</v>
      </c>
      <c r="L1605" t="str">
        <f>VLOOKUP(Googleadssales[[#This Row],[Ad_ID]],'[1]pre processed data'!A:S,19,0)</f>
        <v>Tablet</v>
      </c>
      <c r="M1605" t="str">
        <f>VLOOKUP(Googleadssales[[#This Row],[Ad_ID]],'[1]pre processed data'!A:T,20,0)</f>
        <v>data analytics training</v>
      </c>
    </row>
    <row r="1606" spans="1:13" x14ac:dyDescent="0.3">
      <c r="A1606" t="s">
        <v>1619</v>
      </c>
      <c r="B1606" t="s">
        <v>18</v>
      </c>
      <c r="C1606" s="4">
        <f>VLOOKUP(Googleadssales[[#This Row],[Ad_ID]],'[1]pre processed data'!A:C,3,0)</f>
        <v>111</v>
      </c>
      <c r="D1606" s="4">
        <f>VLOOKUP(Googleadssales[[#This Row],[Ad_ID]],'[1]pre processed data'!A:E,5,0)</f>
        <v>3520</v>
      </c>
      <c r="E1606" s="5" t="str">
        <f>VLOOKUP(Googleadssales[[#This Row],[Ad_ID]],[1]!Table3[[Ad_ID]:[Cost-imputed]],7,0)</f>
        <v>$237.4</v>
      </c>
      <c r="F1606" s="4">
        <f>VLOOKUP(Googleadssales[[#This Row],[Ad_ID]],'[1]pre processed data'!A:I,9,0)</f>
        <v>13</v>
      </c>
      <c r="G1606" s="4">
        <f>VLOOKUP(Googleadssales[[#This Row],[Ad_ID]],'[1]pre processed data'!A:K,11,0)</f>
        <v>3</v>
      </c>
      <c r="H1606" s="2">
        <f>Googleadssales[[#This Row],[Conversions]]/Googleadssales[[#This Row],[Clicks]]</f>
        <v>2.7027027027027029E-2</v>
      </c>
      <c r="I1606" t="str">
        <f>VLOOKUP(Googleadssales[[#This Row],[Ad_ID]],'[1]pre processed data'!A:O,15,0)</f>
        <v>$1395</v>
      </c>
      <c r="J1606" s="3">
        <f>VLOOKUP(Googleadssales[[#This Row],[Ad_ID]],'[1]pre processed data'!A:Q,17,0)</f>
        <v>45615</v>
      </c>
      <c r="K1606" t="str">
        <f>VLOOKUP(Googleadssales[[#This Row],[Ad_ID]],'[1]pre processed data'!A:R,18,0)</f>
        <v>Hyderabad</v>
      </c>
      <c r="L1606" t="str">
        <f>VLOOKUP(Googleadssales[[#This Row],[Ad_ID]],'[1]pre processed data'!A:S,19,0)</f>
        <v>Mobile</v>
      </c>
      <c r="M1606" t="str">
        <f>VLOOKUP(Googleadssales[[#This Row],[Ad_ID]],'[1]pre processed data'!A:T,20,0)</f>
        <v>online data analytic</v>
      </c>
    </row>
    <row r="1607" spans="1:13" x14ac:dyDescent="0.3">
      <c r="A1607" t="s">
        <v>1620</v>
      </c>
      <c r="B1607" t="s">
        <v>14</v>
      </c>
      <c r="C1607" s="4">
        <f>VLOOKUP(Googleadssales[[#This Row],[Ad_ID]],'[1]pre processed data'!A:C,3,0)</f>
        <v>171</v>
      </c>
      <c r="D1607" s="4">
        <f>VLOOKUP(Googleadssales[[#This Row],[Ad_ID]],'[1]pre processed data'!A:E,5,0)</f>
        <v>3460</v>
      </c>
      <c r="E1607" s="5" t="str">
        <f>VLOOKUP(Googleadssales[[#This Row],[Ad_ID]],[1]!Table3[[Ad_ID]:[Cost-imputed]],7,0)</f>
        <v>$184.14</v>
      </c>
      <c r="F1607" s="4">
        <f>VLOOKUP(Googleadssales[[#This Row],[Ad_ID]],'[1]pre processed data'!A:I,9,0)</f>
        <v>27</v>
      </c>
      <c r="G1607" s="4">
        <f>VLOOKUP(Googleadssales[[#This Row],[Ad_ID]],'[1]pre processed data'!A:K,11,0)</f>
        <v>9</v>
      </c>
      <c r="H1607" s="2">
        <f>Googleadssales[[#This Row],[Conversions]]/Googleadssales[[#This Row],[Clicks]]</f>
        <v>5.2631578947368418E-2</v>
      </c>
      <c r="I1607" t="str">
        <f>VLOOKUP(Googleadssales[[#This Row],[Ad_ID]],'[1]pre processed data'!A:O,15,0)</f>
        <v>$1565</v>
      </c>
      <c r="J1607" s="3">
        <f>VLOOKUP(Googleadssales[[#This Row],[Ad_ID]],'[1]pre processed data'!A:Q,17,0)</f>
        <v>45612</v>
      </c>
      <c r="K1607" t="str">
        <f>VLOOKUP(Googleadssales[[#This Row],[Ad_ID]],'[1]pre processed data'!A:R,18,0)</f>
        <v>Bangaluru</v>
      </c>
      <c r="L1607" t="str">
        <f>VLOOKUP(Googleadssales[[#This Row],[Ad_ID]],'[1]pre processed data'!A:S,19,0)</f>
        <v>Tablet</v>
      </c>
      <c r="M1607" t="str">
        <f>VLOOKUP(Googleadssales[[#This Row],[Ad_ID]],'[1]pre processed data'!A:T,20,0)</f>
        <v>data analytics online</v>
      </c>
    </row>
    <row r="1608" spans="1:13" x14ac:dyDescent="0.3">
      <c r="A1608" t="s">
        <v>1621</v>
      </c>
      <c r="B1608" t="s">
        <v>14</v>
      </c>
      <c r="C1608" s="4">
        <f>VLOOKUP(Googleadssales[[#This Row],[Ad_ID]],'[1]pre processed data'!A:C,3,0)</f>
        <v>145</v>
      </c>
      <c r="D1608" s="4">
        <f>VLOOKUP(Googleadssales[[#This Row],[Ad_ID]],'[1]pre processed data'!A:E,5,0)</f>
        <v>5875</v>
      </c>
      <c r="E1608" s="5" t="str">
        <f>VLOOKUP(Googleadssales[[#This Row],[Ad_ID]],[1]!Table3[[Ad_ID]:[Cost-imputed]],7,0)</f>
        <v>$221.0</v>
      </c>
      <c r="F1608" s="4">
        <f>VLOOKUP(Googleadssales[[#This Row],[Ad_ID]],'[1]pre processed data'!A:I,9,0)</f>
        <v>14</v>
      </c>
      <c r="G1608" s="4">
        <f>VLOOKUP(Googleadssales[[#This Row],[Ad_ID]],'[1]pre processed data'!A:K,11,0)</f>
        <v>7</v>
      </c>
      <c r="H1608" s="2">
        <f>Googleadssales[[#This Row],[Conversions]]/Googleadssales[[#This Row],[Clicks]]</f>
        <v>4.8275862068965517E-2</v>
      </c>
      <c r="I1608" t="str">
        <f>VLOOKUP(Googleadssales[[#This Row],[Ad_ID]],'[1]pre processed data'!A:O,15,0)</f>
        <v>$1230</v>
      </c>
      <c r="J1608" s="3">
        <f>VLOOKUP(Googleadssales[[#This Row],[Ad_ID]],'[1]pre processed data'!A:Q,17,0)</f>
        <v>45620</v>
      </c>
      <c r="K1608" t="str">
        <f>VLOOKUP(Googleadssales[[#This Row],[Ad_ID]],'[1]pre processed data'!A:R,18,0)</f>
        <v>Hyderabad</v>
      </c>
      <c r="L1608" t="str">
        <f>VLOOKUP(Googleadssales[[#This Row],[Ad_ID]],'[1]pre processed data'!A:S,19,0)</f>
        <v>Desktop</v>
      </c>
      <c r="M1608" t="str">
        <f>VLOOKUP(Googleadssales[[#This Row],[Ad_ID]],'[1]pre processed data'!A:T,20,0)</f>
        <v>learn data analytics</v>
      </c>
    </row>
    <row r="1609" spans="1:13" x14ac:dyDescent="0.3">
      <c r="A1609" t="s">
        <v>1622</v>
      </c>
      <c r="B1609" t="s">
        <v>14</v>
      </c>
      <c r="C1609" s="4">
        <f>VLOOKUP(Googleadssales[[#This Row],[Ad_ID]],'[1]pre processed data'!A:C,3,0)</f>
        <v>118</v>
      </c>
      <c r="D1609" s="4">
        <f>VLOOKUP(Googleadssales[[#This Row],[Ad_ID]],'[1]pre processed data'!A:E,5,0)</f>
        <v>3404</v>
      </c>
      <c r="E1609" s="5" t="str">
        <f>VLOOKUP(Googleadssales[[#This Row],[Ad_ID]],[1]!Table3[[Ad_ID]:[Cost-imputed]],7,0)</f>
        <v>$183.15</v>
      </c>
      <c r="F1609" s="4">
        <f>VLOOKUP(Googleadssales[[#This Row],[Ad_ID]],'[1]pre processed data'!A:I,9,0)</f>
        <v>27</v>
      </c>
      <c r="G1609" s="4">
        <f>VLOOKUP(Googleadssales[[#This Row],[Ad_ID]],'[1]pre processed data'!A:K,11,0)</f>
        <v>7</v>
      </c>
      <c r="H1609" s="2">
        <f>Googleadssales[[#This Row],[Conversions]]/Googleadssales[[#This Row],[Clicks]]</f>
        <v>5.9322033898305086E-2</v>
      </c>
      <c r="I1609" t="str">
        <f>VLOOKUP(Googleadssales[[#This Row],[Ad_ID]],'[1]pre processed data'!A:O,15,0)</f>
        <v>$1489</v>
      </c>
      <c r="J1609" s="3">
        <f>VLOOKUP(Googleadssales[[#This Row],[Ad_ID]],'[1]pre processed data'!A:Q,17,0)</f>
        <v>45617</v>
      </c>
      <c r="K1609" t="str">
        <f>VLOOKUP(Googleadssales[[#This Row],[Ad_ID]],'[1]pre processed data'!A:R,18,0)</f>
        <v>Chennai</v>
      </c>
      <c r="L1609" t="str">
        <f>VLOOKUP(Googleadssales[[#This Row],[Ad_ID]],'[1]pre processed data'!A:S,19,0)</f>
        <v>Tablet</v>
      </c>
      <c r="M1609" t="str">
        <f>VLOOKUP(Googleadssales[[#This Row],[Ad_ID]],'[1]pre processed data'!A:T,20,0)</f>
        <v>learn data analytics</v>
      </c>
    </row>
    <row r="1610" spans="1:13" x14ac:dyDescent="0.3">
      <c r="A1610" t="s">
        <v>1623</v>
      </c>
      <c r="B1610" t="s">
        <v>14</v>
      </c>
      <c r="C1610" s="4">
        <f>VLOOKUP(Googleadssales[[#This Row],[Ad_ID]],'[1]pre processed data'!A:C,3,0)</f>
        <v>171</v>
      </c>
      <c r="D1610" s="4">
        <f>VLOOKUP(Googleadssales[[#This Row],[Ad_ID]],'[1]pre processed data'!A:E,5,0)</f>
        <v>3567</v>
      </c>
      <c r="E1610" s="5" t="str">
        <f>VLOOKUP(Googleadssales[[#This Row],[Ad_ID]],[1]!Table3[[Ad_ID]:[Cost-imputed]],7,0)</f>
        <v>$233.32</v>
      </c>
      <c r="F1610" s="4">
        <f>VLOOKUP(Googleadssales[[#This Row],[Ad_ID]],'[1]pre processed data'!A:I,9,0)</f>
        <v>27</v>
      </c>
      <c r="G1610" s="4">
        <f>VLOOKUP(Googleadssales[[#This Row],[Ad_ID]],'[1]pre processed data'!A:K,11,0)</f>
        <v>4</v>
      </c>
      <c r="H1610" s="2">
        <f>Googleadssales[[#This Row],[Conversions]]/Googleadssales[[#This Row],[Clicks]]</f>
        <v>2.3391812865497075E-2</v>
      </c>
      <c r="I1610" t="str">
        <f>VLOOKUP(Googleadssales[[#This Row],[Ad_ID]],'[1]pre processed data'!A:O,15,0)</f>
        <v>$1271</v>
      </c>
      <c r="J1610" s="3">
        <f>VLOOKUP(Googleadssales[[#This Row],[Ad_ID]],'[1]pre processed data'!A:Q,17,0)</f>
        <v>45601</v>
      </c>
      <c r="K1610" t="str">
        <f>VLOOKUP(Googleadssales[[#This Row],[Ad_ID]],'[1]pre processed data'!A:R,18,0)</f>
        <v>Bangaluru</v>
      </c>
      <c r="L1610" t="str">
        <f>VLOOKUP(Googleadssales[[#This Row],[Ad_ID]],'[1]pre processed data'!A:S,19,0)</f>
        <v>Desktop</v>
      </c>
      <c r="M1610" t="str">
        <f>VLOOKUP(Googleadssales[[#This Row],[Ad_ID]],'[1]pre processed data'!A:T,20,0)</f>
        <v>analytics for data</v>
      </c>
    </row>
    <row r="1611" spans="1:13" x14ac:dyDescent="0.3">
      <c r="A1611" t="s">
        <v>1624</v>
      </c>
      <c r="B1611" t="s">
        <v>18</v>
      </c>
      <c r="C1611" s="4">
        <f>VLOOKUP(Googleadssales[[#This Row],[Ad_ID]],'[1]pre processed data'!A:C,3,0)</f>
        <v>108</v>
      </c>
      <c r="D1611" s="4">
        <f>VLOOKUP(Googleadssales[[#This Row],[Ad_ID]],'[1]pre processed data'!A:E,5,0)</f>
        <v>3628</v>
      </c>
      <c r="E1611" s="5" t="str">
        <f>VLOOKUP(Googleadssales[[#This Row],[Ad_ID]],[1]!Table3[[Ad_ID]:[Cost-imputed]],7,0)</f>
        <v>$185.68</v>
      </c>
      <c r="F1611" s="4">
        <f>VLOOKUP(Googleadssales[[#This Row],[Ad_ID]],'[1]pre processed data'!A:I,9,0)</f>
        <v>24</v>
      </c>
      <c r="G1611" s="4">
        <f>VLOOKUP(Googleadssales[[#This Row],[Ad_ID]],'[1]pre processed data'!A:K,11,0)</f>
        <v>8</v>
      </c>
      <c r="H1611" s="2">
        <f>Googleadssales[[#This Row],[Conversions]]/Googleadssales[[#This Row],[Clicks]]</f>
        <v>7.407407407407407E-2</v>
      </c>
      <c r="I1611" t="str">
        <f>VLOOKUP(Googleadssales[[#This Row],[Ad_ID]],'[1]pre processed data'!A:O,15,0)</f>
        <v>$1682</v>
      </c>
      <c r="J1611" s="3">
        <f>VLOOKUP(Googleadssales[[#This Row],[Ad_ID]],'[1]pre processed data'!A:Q,17,0)</f>
        <v>45615</v>
      </c>
      <c r="K1611" t="str">
        <f>VLOOKUP(Googleadssales[[#This Row],[Ad_ID]],'[1]pre processed data'!A:R,18,0)</f>
        <v>Bangaluru</v>
      </c>
      <c r="L1611" t="str">
        <f>VLOOKUP(Googleadssales[[#This Row],[Ad_ID]],'[1]pre processed data'!A:S,19,0)</f>
        <v>Tablet</v>
      </c>
      <c r="M1611" t="str">
        <f>VLOOKUP(Googleadssales[[#This Row],[Ad_ID]],'[1]pre processed data'!A:T,20,0)</f>
        <v>learn data analytics</v>
      </c>
    </row>
    <row r="1612" spans="1:13" x14ac:dyDescent="0.3">
      <c r="A1612" t="s">
        <v>1625</v>
      </c>
      <c r="B1612" t="s">
        <v>18</v>
      </c>
      <c r="C1612" s="4">
        <f>VLOOKUP(Googleadssales[[#This Row],[Ad_ID]],'[1]pre processed data'!A:C,3,0)</f>
        <v>100</v>
      </c>
      <c r="D1612" s="4">
        <f>VLOOKUP(Googleadssales[[#This Row],[Ad_ID]],'[1]pre processed data'!A:E,5,0)</f>
        <v>4994</v>
      </c>
      <c r="E1612" s="5" t="str">
        <f>VLOOKUP(Googleadssales[[#This Row],[Ad_ID]],[1]!Table3[[Ad_ID]:[Cost-imputed]],7,0)</f>
        <v>$206.32</v>
      </c>
      <c r="F1612" s="4">
        <f>VLOOKUP(Googleadssales[[#This Row],[Ad_ID]],'[1]pre processed data'!A:I,9,0)</f>
        <v>21</v>
      </c>
      <c r="G1612" s="4">
        <f>VLOOKUP(Googleadssales[[#This Row],[Ad_ID]],'[1]pre processed data'!A:K,11,0)</f>
        <v>7</v>
      </c>
      <c r="H1612" s="2">
        <f>Googleadssales[[#This Row],[Conversions]]/Googleadssales[[#This Row],[Clicks]]</f>
        <v>7.0000000000000007E-2</v>
      </c>
      <c r="I1612" t="str">
        <f>VLOOKUP(Googleadssales[[#This Row],[Ad_ID]],'[1]pre processed data'!A:O,15,0)</f>
        <v>$1673</v>
      </c>
      <c r="J1612" s="3">
        <f>VLOOKUP(Googleadssales[[#This Row],[Ad_ID]],'[1]pre processed data'!A:Q,17,0)</f>
        <v>45616</v>
      </c>
      <c r="K1612" t="str">
        <f>VLOOKUP(Googleadssales[[#This Row],[Ad_ID]],'[1]pre processed data'!A:R,18,0)</f>
        <v>Bangaluru</v>
      </c>
      <c r="L1612" t="str">
        <f>VLOOKUP(Googleadssales[[#This Row],[Ad_ID]],'[1]pre processed data'!A:S,19,0)</f>
        <v>Tablet</v>
      </c>
      <c r="M1612" t="str">
        <f>VLOOKUP(Googleadssales[[#This Row],[Ad_ID]],'[1]pre processed data'!A:T,20,0)</f>
        <v>learn data analytics</v>
      </c>
    </row>
    <row r="1613" spans="1:13" x14ac:dyDescent="0.3">
      <c r="A1613" t="s">
        <v>1626</v>
      </c>
      <c r="B1613" t="s">
        <v>14</v>
      </c>
      <c r="C1613" s="4">
        <f>VLOOKUP(Googleadssales[[#This Row],[Ad_ID]],'[1]pre processed data'!A:C,3,0)</f>
        <v>138</v>
      </c>
      <c r="D1613" s="4">
        <f>VLOOKUP(Googleadssales[[#This Row],[Ad_ID]],'[1]pre processed data'!A:E,5,0)</f>
        <v>5758</v>
      </c>
      <c r="E1613" s="5" t="str">
        <f>VLOOKUP(Googleadssales[[#This Row],[Ad_ID]],[1]!Table3[[Ad_ID]:[Cost-imputed]],7,0)</f>
        <v>$193.53</v>
      </c>
      <c r="F1613" s="4">
        <f>VLOOKUP(Googleadssales[[#This Row],[Ad_ID]],'[1]pre processed data'!A:I,9,0)</f>
        <v>14</v>
      </c>
      <c r="G1613" s="4">
        <f>VLOOKUP(Googleadssales[[#This Row],[Ad_ID]],'[1]pre processed data'!A:K,11,0)</f>
        <v>4</v>
      </c>
      <c r="H1613" s="2">
        <f>Googleadssales[[#This Row],[Conversions]]/Googleadssales[[#This Row],[Clicks]]</f>
        <v>2.8985507246376812E-2</v>
      </c>
      <c r="I1613" t="str">
        <f>VLOOKUP(Googleadssales[[#This Row],[Ad_ID]],'[1]pre processed data'!A:O,15,0)</f>
        <v>$1902</v>
      </c>
      <c r="J1613" s="3">
        <f>VLOOKUP(Googleadssales[[#This Row],[Ad_ID]],'[1]pre processed data'!A:Q,17,0)</f>
        <v>45611</v>
      </c>
      <c r="K1613" t="str">
        <f>VLOOKUP(Googleadssales[[#This Row],[Ad_ID]],'[1]pre processed data'!A:R,18,0)</f>
        <v>Hyderabad</v>
      </c>
      <c r="L1613" t="str">
        <f>VLOOKUP(Googleadssales[[#This Row],[Ad_ID]],'[1]pre processed data'!A:S,19,0)</f>
        <v>Tablet</v>
      </c>
      <c r="M1613" t="str">
        <f>VLOOKUP(Googleadssales[[#This Row],[Ad_ID]],'[1]pre processed data'!A:T,20,0)</f>
        <v>analytics for data</v>
      </c>
    </row>
    <row r="1614" spans="1:13" x14ac:dyDescent="0.3">
      <c r="A1614" t="s">
        <v>1627</v>
      </c>
      <c r="B1614" t="s">
        <v>14</v>
      </c>
      <c r="C1614" s="4">
        <f>VLOOKUP(Googleadssales[[#This Row],[Ad_ID]],'[1]pre processed data'!A:C,3,0)</f>
        <v>88</v>
      </c>
      <c r="D1614" s="4">
        <f>VLOOKUP(Googleadssales[[#This Row],[Ad_ID]],'[1]pre processed data'!A:E,5,0)</f>
        <v>3382</v>
      </c>
      <c r="E1614" s="5" t="str">
        <f>VLOOKUP(Googleadssales[[#This Row],[Ad_ID]],[1]!Table3[[Ad_ID]:[Cost-imputed]],7,0)</f>
        <v>$198.62</v>
      </c>
      <c r="F1614" s="4">
        <f>VLOOKUP(Googleadssales[[#This Row],[Ad_ID]],'[1]pre processed data'!A:I,9,0)</f>
        <v>25</v>
      </c>
      <c r="G1614" s="4">
        <f>VLOOKUP(Googleadssales[[#This Row],[Ad_ID]],'[1]pre processed data'!A:K,11,0)</f>
        <v>9</v>
      </c>
      <c r="H1614" s="2">
        <f>Googleadssales[[#This Row],[Conversions]]/Googleadssales[[#This Row],[Clicks]]</f>
        <v>0.10227272727272728</v>
      </c>
      <c r="I1614" t="str">
        <f>VLOOKUP(Googleadssales[[#This Row],[Ad_ID]],'[1]pre processed data'!A:O,15,0)</f>
        <v>$1599</v>
      </c>
      <c r="J1614" s="3">
        <f>VLOOKUP(Googleadssales[[#This Row],[Ad_ID]],'[1]pre processed data'!A:Q,17,0)</f>
        <v>45606</v>
      </c>
      <c r="K1614" t="str">
        <f>VLOOKUP(Googleadssales[[#This Row],[Ad_ID]],'[1]pre processed data'!A:R,18,0)</f>
        <v>Hyderabad</v>
      </c>
      <c r="L1614" t="str">
        <f>VLOOKUP(Googleadssales[[#This Row],[Ad_ID]],'[1]pre processed data'!A:S,19,0)</f>
        <v>Desktop</v>
      </c>
      <c r="M1614" t="str">
        <f>VLOOKUP(Googleadssales[[#This Row],[Ad_ID]],'[1]pre processed data'!A:T,20,0)</f>
        <v>data analytics training</v>
      </c>
    </row>
    <row r="1615" spans="1:13" x14ac:dyDescent="0.3">
      <c r="A1615" t="s">
        <v>1628</v>
      </c>
      <c r="B1615" t="s">
        <v>14</v>
      </c>
      <c r="C1615" s="4">
        <f>VLOOKUP(Googleadssales[[#This Row],[Ad_ID]],'[1]pre processed data'!A:C,3,0)</f>
        <v>125</v>
      </c>
      <c r="D1615" s="4">
        <f>VLOOKUP(Googleadssales[[#This Row],[Ad_ID]],'[1]pre processed data'!A:E,5,0)</f>
        <v>3652</v>
      </c>
      <c r="E1615" s="5" t="str">
        <f>VLOOKUP(Googleadssales[[#This Row],[Ad_ID]],[1]!Table3[[Ad_ID]:[Cost-imputed]],7,0)</f>
        <v>$186.61</v>
      </c>
      <c r="F1615" s="4">
        <f>VLOOKUP(Googleadssales[[#This Row],[Ad_ID]],'[1]pre processed data'!A:I,9,0)</f>
        <v>29</v>
      </c>
      <c r="G1615" s="4">
        <f>VLOOKUP(Googleadssales[[#This Row],[Ad_ID]],'[1]pre processed data'!A:K,11,0)</f>
        <v>10</v>
      </c>
      <c r="H1615" s="2">
        <f>Googleadssales[[#This Row],[Conversions]]/Googleadssales[[#This Row],[Clicks]]</f>
        <v>0.08</v>
      </c>
      <c r="I1615" t="str">
        <f>VLOOKUP(Googleadssales[[#This Row],[Ad_ID]],'[1]pre processed data'!A:O,15,0)</f>
        <v>$1017</v>
      </c>
      <c r="J1615" s="3">
        <f>VLOOKUP(Googleadssales[[#This Row],[Ad_ID]],'[1]pre processed data'!A:Q,17,0)</f>
        <v>45625</v>
      </c>
      <c r="K1615" t="str">
        <f>VLOOKUP(Googleadssales[[#This Row],[Ad_ID]],'[1]pre processed data'!A:R,18,0)</f>
        <v>Chennai</v>
      </c>
      <c r="L1615" t="str">
        <f>VLOOKUP(Googleadssales[[#This Row],[Ad_ID]],'[1]pre processed data'!A:S,19,0)</f>
        <v>Mobile</v>
      </c>
      <c r="M1615" t="str">
        <f>VLOOKUP(Googleadssales[[#This Row],[Ad_ID]],'[1]pre processed data'!A:T,20,0)</f>
        <v>learn data analytics</v>
      </c>
    </row>
    <row r="1616" spans="1:13" x14ac:dyDescent="0.3">
      <c r="A1616" t="s">
        <v>1629</v>
      </c>
      <c r="B1616" t="s">
        <v>14</v>
      </c>
      <c r="C1616" s="4">
        <f>VLOOKUP(Googleadssales[[#This Row],[Ad_ID]],'[1]pre processed data'!A:C,3,0)</f>
        <v>169</v>
      </c>
      <c r="D1616" s="4">
        <f>VLOOKUP(Googleadssales[[#This Row],[Ad_ID]],'[1]pre processed data'!A:E,5,0)</f>
        <v>4120</v>
      </c>
      <c r="E1616" s="5" t="str">
        <f>VLOOKUP(Googleadssales[[#This Row],[Ad_ID]],[1]!Table3[[Ad_ID]:[Cost-imputed]],7,0)</f>
        <v>$215.75</v>
      </c>
      <c r="F1616" s="4">
        <f>VLOOKUP(Googleadssales[[#This Row],[Ad_ID]],'[1]pre processed data'!A:I,9,0)</f>
        <v>27</v>
      </c>
      <c r="G1616" s="4">
        <f>VLOOKUP(Googleadssales[[#This Row],[Ad_ID]],'[1]pre processed data'!A:K,11,0)</f>
        <v>5</v>
      </c>
      <c r="H1616" s="2">
        <f>Googleadssales[[#This Row],[Conversions]]/Googleadssales[[#This Row],[Clicks]]</f>
        <v>2.9585798816568046E-2</v>
      </c>
      <c r="I1616" t="str">
        <f>VLOOKUP(Googleadssales[[#This Row],[Ad_ID]],'[1]pre processed data'!A:O,15,0)</f>
        <v>$1362</v>
      </c>
      <c r="J1616" s="3">
        <f>VLOOKUP(Googleadssales[[#This Row],[Ad_ID]],'[1]pre processed data'!A:Q,17,0)</f>
        <v>45615</v>
      </c>
      <c r="K1616" t="str">
        <f>VLOOKUP(Googleadssales[[#This Row],[Ad_ID]],'[1]pre processed data'!A:R,18,0)</f>
        <v>Bangaluru</v>
      </c>
      <c r="L1616" t="str">
        <f>VLOOKUP(Googleadssales[[#This Row],[Ad_ID]],'[1]pre processed data'!A:S,19,0)</f>
        <v>Mobile</v>
      </c>
      <c r="M1616" t="str">
        <f>VLOOKUP(Googleadssales[[#This Row],[Ad_ID]],'[1]pre processed data'!A:T,20,0)</f>
        <v>analytics for data</v>
      </c>
    </row>
    <row r="1617" spans="1:13" x14ac:dyDescent="0.3">
      <c r="A1617" t="s">
        <v>1630</v>
      </c>
      <c r="B1617" t="s">
        <v>14</v>
      </c>
      <c r="C1617" s="4">
        <f>VLOOKUP(Googleadssales[[#This Row],[Ad_ID]],'[1]pre processed data'!A:C,3,0)</f>
        <v>169</v>
      </c>
      <c r="D1617" s="4">
        <f>VLOOKUP(Googleadssales[[#This Row],[Ad_ID]],'[1]pre processed data'!A:E,5,0)</f>
        <v>3142</v>
      </c>
      <c r="E1617" s="5" t="str">
        <f>VLOOKUP(Googleadssales[[#This Row],[Ad_ID]],[1]!Table3[[Ad_ID]:[Cost-imputed]],7,0)</f>
        <v>$236.79</v>
      </c>
      <c r="F1617" s="4">
        <f>VLOOKUP(Googleadssales[[#This Row],[Ad_ID]],'[1]pre processed data'!A:I,9,0)</f>
        <v>18</v>
      </c>
      <c r="G1617" s="4">
        <f>VLOOKUP(Googleadssales[[#This Row],[Ad_ID]],'[1]pre processed data'!A:K,11,0)</f>
        <v>7</v>
      </c>
      <c r="H1617" s="2">
        <f>Googleadssales[[#This Row],[Conversions]]/Googleadssales[[#This Row],[Clicks]]</f>
        <v>4.142011834319527E-2</v>
      </c>
      <c r="I1617" t="str">
        <f>VLOOKUP(Googleadssales[[#This Row],[Ad_ID]],'[1]pre processed data'!A:O,15,0)</f>
        <v>$1500</v>
      </c>
      <c r="J1617" s="3">
        <f>VLOOKUP(Googleadssales[[#This Row],[Ad_ID]],'[1]pre processed data'!A:Q,17,0)</f>
        <v>45602</v>
      </c>
      <c r="K1617" t="str">
        <f>VLOOKUP(Googleadssales[[#This Row],[Ad_ID]],'[1]pre processed data'!A:R,18,0)</f>
        <v>Hyderabad</v>
      </c>
      <c r="L1617" t="str">
        <f>VLOOKUP(Googleadssales[[#This Row],[Ad_ID]],'[1]pre processed data'!A:S,19,0)</f>
        <v>Mobile</v>
      </c>
      <c r="M1617" t="str">
        <f>VLOOKUP(Googleadssales[[#This Row],[Ad_ID]],'[1]pre processed data'!A:T,20,0)</f>
        <v>data analytics online</v>
      </c>
    </row>
    <row r="1618" spans="1:13" x14ac:dyDescent="0.3">
      <c r="A1618" t="s">
        <v>1631</v>
      </c>
      <c r="B1618" t="s">
        <v>14</v>
      </c>
      <c r="C1618" s="4">
        <f>VLOOKUP(Googleadssales[[#This Row],[Ad_ID]],'[1]pre processed data'!A:C,3,0)</f>
        <v>149</v>
      </c>
      <c r="D1618" s="4">
        <f>VLOOKUP(Googleadssales[[#This Row],[Ad_ID]],'[1]pre processed data'!A:E,5,0)</f>
        <v>5726</v>
      </c>
      <c r="E1618" s="5" t="str">
        <f>VLOOKUP(Googleadssales[[#This Row],[Ad_ID]],[1]!Table3[[Ad_ID]:[Cost-imputed]],7,0)</f>
        <v>$235.72</v>
      </c>
      <c r="F1618" s="4">
        <f>VLOOKUP(Googleadssales[[#This Row],[Ad_ID]],'[1]pre processed data'!A:I,9,0)</f>
        <v>17</v>
      </c>
      <c r="G1618" s="4">
        <f>VLOOKUP(Googleadssales[[#This Row],[Ad_ID]],'[1]pre processed data'!A:K,11,0)</f>
        <v>7</v>
      </c>
      <c r="H1618" s="2">
        <f>Googleadssales[[#This Row],[Conversions]]/Googleadssales[[#This Row],[Clicks]]</f>
        <v>4.6979865771812082E-2</v>
      </c>
      <c r="I1618" t="str">
        <f>VLOOKUP(Googleadssales[[#This Row],[Ad_ID]],'[1]pre processed data'!A:O,15,0)</f>
        <v>$1902</v>
      </c>
      <c r="J1618" s="3">
        <f>VLOOKUP(Googleadssales[[#This Row],[Ad_ID]],'[1]pre processed data'!A:Q,17,0)</f>
        <v>45607</v>
      </c>
      <c r="K1618" t="str">
        <f>VLOOKUP(Googleadssales[[#This Row],[Ad_ID]],'[1]pre processed data'!A:R,18,0)</f>
        <v>Bangaluru</v>
      </c>
      <c r="L1618" t="str">
        <f>VLOOKUP(Googleadssales[[#This Row],[Ad_ID]],'[1]pre processed data'!A:S,19,0)</f>
        <v>Mobile</v>
      </c>
      <c r="M1618" t="str">
        <f>VLOOKUP(Googleadssales[[#This Row],[Ad_ID]],'[1]pre processed data'!A:T,20,0)</f>
        <v>data analytics online</v>
      </c>
    </row>
    <row r="1619" spans="1:13" x14ac:dyDescent="0.3">
      <c r="A1619" t="s">
        <v>1632</v>
      </c>
      <c r="B1619" t="s">
        <v>14</v>
      </c>
      <c r="C1619" s="4">
        <f>VLOOKUP(Googleadssales[[#This Row],[Ad_ID]],'[1]pre processed data'!A:C,3,0)</f>
        <v>99</v>
      </c>
      <c r="D1619" s="4">
        <f>VLOOKUP(Googleadssales[[#This Row],[Ad_ID]],'[1]pre processed data'!A:E,5,0)</f>
        <v>5938</v>
      </c>
      <c r="E1619" s="5" t="str">
        <f>VLOOKUP(Googleadssales[[#This Row],[Ad_ID]],[1]!Table3[[Ad_ID]:[Cost-imputed]],7,0)</f>
        <v>$183.49</v>
      </c>
      <c r="F1619" s="4">
        <f>VLOOKUP(Googleadssales[[#This Row],[Ad_ID]],'[1]pre processed data'!A:I,9,0)</f>
        <v>30</v>
      </c>
      <c r="G1619" s="4">
        <f>VLOOKUP(Googleadssales[[#This Row],[Ad_ID]],'[1]pre processed data'!A:K,11,0)</f>
        <v>3</v>
      </c>
      <c r="H1619" s="2">
        <f>Googleadssales[[#This Row],[Conversions]]/Googleadssales[[#This Row],[Clicks]]</f>
        <v>3.0303030303030304E-2</v>
      </c>
      <c r="I1619" t="str">
        <f>VLOOKUP(Googleadssales[[#This Row],[Ad_ID]],'[1]pre processed data'!A:O,15,0)</f>
        <v>$1487</v>
      </c>
      <c r="J1619" s="3">
        <f>VLOOKUP(Googleadssales[[#This Row],[Ad_ID]],'[1]pre processed data'!A:Q,17,0)</f>
        <v>45614</v>
      </c>
      <c r="K1619" t="str">
        <f>VLOOKUP(Googleadssales[[#This Row],[Ad_ID]],'[1]pre processed data'!A:R,18,0)</f>
        <v>Hyderabad</v>
      </c>
      <c r="L1619" t="str">
        <f>VLOOKUP(Googleadssales[[#This Row],[Ad_ID]],'[1]pre processed data'!A:S,19,0)</f>
        <v>Mobile</v>
      </c>
      <c r="M1619" t="str">
        <f>VLOOKUP(Googleadssales[[#This Row],[Ad_ID]],'[1]pre processed data'!A:T,20,0)</f>
        <v>data analytics online</v>
      </c>
    </row>
    <row r="1620" spans="1:13" x14ac:dyDescent="0.3">
      <c r="A1620" t="s">
        <v>1633</v>
      </c>
      <c r="B1620" t="s">
        <v>14</v>
      </c>
      <c r="C1620" s="4">
        <f>VLOOKUP(Googleadssales[[#This Row],[Ad_ID]],'[1]pre processed data'!A:C,3,0)</f>
        <v>177</v>
      </c>
      <c r="D1620" s="4">
        <f>VLOOKUP(Googleadssales[[#This Row],[Ad_ID]],'[1]pre processed data'!A:E,5,0)</f>
        <v>3567</v>
      </c>
      <c r="E1620" s="5" t="str">
        <f>VLOOKUP(Googleadssales[[#This Row],[Ad_ID]],[1]!Table3[[Ad_ID]:[Cost-imputed]],7,0)</f>
        <v>$214.71</v>
      </c>
      <c r="F1620" s="4">
        <f>VLOOKUP(Googleadssales[[#This Row],[Ad_ID]],'[1]pre processed data'!A:I,9,0)</f>
        <v>28</v>
      </c>
      <c r="G1620" s="4">
        <f>VLOOKUP(Googleadssales[[#This Row],[Ad_ID]],'[1]pre processed data'!A:K,11,0)</f>
        <v>5</v>
      </c>
      <c r="H1620" s="2">
        <f>Googleadssales[[#This Row],[Conversions]]/Googleadssales[[#This Row],[Clicks]]</f>
        <v>2.8248587570621469E-2</v>
      </c>
      <c r="I1620" t="str">
        <f>VLOOKUP(Googleadssales[[#This Row],[Ad_ID]],'[1]pre processed data'!A:O,15,0)</f>
        <v>$1001</v>
      </c>
      <c r="J1620" s="3">
        <f>VLOOKUP(Googleadssales[[#This Row],[Ad_ID]],'[1]pre processed data'!A:Q,17,0)</f>
        <v>45607</v>
      </c>
      <c r="K1620" t="str">
        <f>VLOOKUP(Googleadssales[[#This Row],[Ad_ID]],'[1]pre processed data'!A:R,18,0)</f>
        <v>Chennai</v>
      </c>
      <c r="L1620" t="str">
        <f>VLOOKUP(Googleadssales[[#This Row],[Ad_ID]],'[1]pre processed data'!A:S,19,0)</f>
        <v>Tablet</v>
      </c>
      <c r="M1620" t="str">
        <f>VLOOKUP(Googleadssales[[#This Row],[Ad_ID]],'[1]pre processed data'!A:T,20,0)</f>
        <v>analytics for data</v>
      </c>
    </row>
    <row r="1621" spans="1:13" x14ac:dyDescent="0.3">
      <c r="A1621" t="s">
        <v>1634</v>
      </c>
      <c r="B1621" t="s">
        <v>18</v>
      </c>
      <c r="C1621" s="4">
        <f>VLOOKUP(Googleadssales[[#This Row],[Ad_ID]],'[1]pre processed data'!A:C,3,0)</f>
        <v>189</v>
      </c>
      <c r="D1621" s="4">
        <f>VLOOKUP(Googleadssales[[#This Row],[Ad_ID]],'[1]pre processed data'!A:E,5,0)</f>
        <v>3215</v>
      </c>
      <c r="E1621" s="5" t="str">
        <f>VLOOKUP(Googleadssales[[#This Row],[Ad_ID]],[1]!Table3[[Ad_ID]:[Cost-imputed]],7,0)</f>
        <v>$224.53</v>
      </c>
      <c r="F1621" s="4">
        <f>VLOOKUP(Googleadssales[[#This Row],[Ad_ID]],'[1]pre processed data'!A:I,9,0)</f>
        <v>23</v>
      </c>
      <c r="G1621" s="4">
        <f>VLOOKUP(Googleadssales[[#This Row],[Ad_ID]],'[1]pre processed data'!A:K,11,0)</f>
        <v>6.558139534883721</v>
      </c>
      <c r="H1621" s="2">
        <f>Googleadssales[[#This Row],[Conversions]]/Googleadssales[[#This Row],[Clicks]]</f>
        <v>3.4699150978220746E-2</v>
      </c>
      <c r="I1621" t="str">
        <f>VLOOKUP(Googleadssales[[#This Row],[Ad_ID]],'[1]pre processed data'!A:O,15,0)</f>
        <v>$1309</v>
      </c>
      <c r="J1621" s="3">
        <f>VLOOKUP(Googleadssales[[#This Row],[Ad_ID]],'[1]pre processed data'!A:Q,17,0)</f>
        <v>45611</v>
      </c>
      <c r="K1621" t="str">
        <f>VLOOKUP(Googleadssales[[#This Row],[Ad_ID]],'[1]pre processed data'!A:R,18,0)</f>
        <v>Bangaluru</v>
      </c>
      <c r="L1621" t="str">
        <f>VLOOKUP(Googleadssales[[#This Row],[Ad_ID]],'[1]pre processed data'!A:S,19,0)</f>
        <v>Desktop</v>
      </c>
      <c r="M1621" t="str">
        <f>VLOOKUP(Googleadssales[[#This Row],[Ad_ID]],'[1]pre processed data'!A:T,20,0)</f>
        <v>online data analytic</v>
      </c>
    </row>
    <row r="1622" spans="1:13" x14ac:dyDescent="0.3">
      <c r="A1622" t="s">
        <v>1635</v>
      </c>
      <c r="B1622" t="s">
        <v>18</v>
      </c>
      <c r="C1622" s="4">
        <f>VLOOKUP(Googleadssales[[#This Row],[Ad_ID]],'[1]pre processed data'!A:C,3,0)</f>
        <v>94</v>
      </c>
      <c r="D1622" s="4">
        <f>VLOOKUP(Googleadssales[[#This Row],[Ad_ID]],'[1]pre processed data'!A:E,5,0)</f>
        <v>5094</v>
      </c>
      <c r="E1622" s="5" t="str">
        <f>VLOOKUP(Googleadssales[[#This Row],[Ad_ID]],[1]!Table3[[Ad_ID]:[Cost-imputed]],7,0)</f>
        <v>$200.00</v>
      </c>
      <c r="F1622" s="4">
        <f>VLOOKUP(Googleadssales[[#This Row],[Ad_ID]],'[1]pre processed data'!A:I,9,0)</f>
        <v>24</v>
      </c>
      <c r="G1622" s="4">
        <f>VLOOKUP(Googleadssales[[#This Row],[Ad_ID]],'[1]pre processed data'!A:K,11,0)</f>
        <v>3</v>
      </c>
      <c r="H1622" s="2">
        <f>Googleadssales[[#This Row],[Conversions]]/Googleadssales[[#This Row],[Clicks]]</f>
        <v>3.1914893617021274E-2</v>
      </c>
      <c r="I1622" t="str">
        <f>VLOOKUP(Googleadssales[[#This Row],[Ad_ID]],'[1]pre processed data'!A:O,15,0)</f>
        <v>$1974</v>
      </c>
      <c r="J1622" s="3">
        <f>VLOOKUP(Googleadssales[[#This Row],[Ad_ID]],'[1]pre processed data'!A:Q,17,0)</f>
        <v>45605</v>
      </c>
      <c r="K1622" t="str">
        <f>VLOOKUP(Googleadssales[[#This Row],[Ad_ID]],'[1]pre processed data'!A:R,18,0)</f>
        <v>Hyderabad</v>
      </c>
      <c r="L1622" t="str">
        <f>VLOOKUP(Googleadssales[[#This Row],[Ad_ID]],'[1]pre processed data'!A:S,19,0)</f>
        <v>Desktop</v>
      </c>
      <c r="M1622" t="str">
        <f>VLOOKUP(Googleadssales[[#This Row],[Ad_ID]],'[1]pre processed data'!A:T,20,0)</f>
        <v>online data analytic</v>
      </c>
    </row>
    <row r="1623" spans="1:13" x14ac:dyDescent="0.3">
      <c r="A1623" t="s">
        <v>1636</v>
      </c>
      <c r="B1623" t="s">
        <v>14</v>
      </c>
      <c r="C1623" s="4">
        <f>VLOOKUP(Googleadssales[[#This Row],[Ad_ID]],'[1]pre processed data'!A:C,3,0)</f>
        <v>191</v>
      </c>
      <c r="D1623" s="4">
        <f>VLOOKUP(Googleadssales[[#This Row],[Ad_ID]],'[1]pre processed data'!A:E,5,0)</f>
        <v>3337</v>
      </c>
      <c r="E1623" s="5" t="str">
        <f>VLOOKUP(Googleadssales[[#This Row],[Ad_ID]],[1]!Table3[[Ad_ID]:[Cost-imputed]],7,0)</f>
        <v>$231.0</v>
      </c>
      <c r="F1623" s="4">
        <f>VLOOKUP(Googleadssales[[#This Row],[Ad_ID]],'[1]pre processed data'!A:I,9,0)</f>
        <v>29</v>
      </c>
      <c r="G1623" s="4">
        <f>VLOOKUP(Googleadssales[[#This Row],[Ad_ID]],'[1]pre processed data'!A:K,11,0)</f>
        <v>6</v>
      </c>
      <c r="H1623" s="2">
        <f>Googleadssales[[#This Row],[Conversions]]/Googleadssales[[#This Row],[Clicks]]</f>
        <v>3.1413612565445025E-2</v>
      </c>
      <c r="I1623" t="str">
        <f>VLOOKUP(Googleadssales[[#This Row],[Ad_ID]],'[1]pre processed data'!A:O,15,0)</f>
        <v>$1424</v>
      </c>
      <c r="J1623" s="3">
        <f>VLOOKUP(Googleadssales[[#This Row],[Ad_ID]],'[1]pre processed data'!A:Q,17,0)</f>
        <v>45614</v>
      </c>
      <c r="K1623" t="str">
        <f>VLOOKUP(Googleadssales[[#This Row],[Ad_ID]],'[1]pre processed data'!A:R,18,0)</f>
        <v>Chennai</v>
      </c>
      <c r="L1623" t="str">
        <f>VLOOKUP(Googleadssales[[#This Row],[Ad_ID]],'[1]pre processed data'!A:S,19,0)</f>
        <v>Tablet</v>
      </c>
      <c r="M1623" t="str">
        <f>VLOOKUP(Googleadssales[[#This Row],[Ad_ID]],'[1]pre processed data'!A:T,20,0)</f>
        <v>data analytics course</v>
      </c>
    </row>
    <row r="1624" spans="1:13" x14ac:dyDescent="0.3">
      <c r="A1624" t="s">
        <v>1637</v>
      </c>
      <c r="B1624" t="s">
        <v>14</v>
      </c>
      <c r="C1624" s="4">
        <f>VLOOKUP(Googleadssales[[#This Row],[Ad_ID]],'[1]pre processed data'!A:C,3,0)</f>
        <v>83</v>
      </c>
      <c r="D1624" s="4">
        <f>VLOOKUP(Googleadssales[[#This Row],[Ad_ID]],'[1]pre processed data'!A:E,5,0)</f>
        <v>4359</v>
      </c>
      <c r="E1624" s="5" t="str">
        <f>VLOOKUP(Googleadssales[[#This Row],[Ad_ID]],[1]!Table3[[Ad_ID]:[Cost-imputed]],7,0)</f>
        <v>$227.14</v>
      </c>
      <c r="F1624" s="4">
        <f>VLOOKUP(Googleadssales[[#This Row],[Ad_ID]],'[1]pre processed data'!A:I,9,0)</f>
        <v>20.209643605870021</v>
      </c>
      <c r="G1624" s="4">
        <f>VLOOKUP(Googleadssales[[#This Row],[Ad_ID]],'[1]pre processed data'!A:K,11,0)</f>
        <v>10</v>
      </c>
      <c r="H1624" s="2">
        <f>Googleadssales[[#This Row],[Conversions]]/Googleadssales[[#This Row],[Clicks]]</f>
        <v>0.12048192771084337</v>
      </c>
      <c r="I1624" t="str">
        <f>VLOOKUP(Googleadssales[[#This Row],[Ad_ID]],'[1]pre processed data'!A:O,15,0)</f>
        <v>$1500</v>
      </c>
      <c r="J1624" s="3">
        <f>VLOOKUP(Googleadssales[[#This Row],[Ad_ID]],'[1]pre processed data'!A:Q,17,0)</f>
        <v>45598</v>
      </c>
      <c r="K1624" t="str">
        <f>VLOOKUP(Googleadssales[[#This Row],[Ad_ID]],'[1]pre processed data'!A:R,18,0)</f>
        <v>Hyderabad</v>
      </c>
      <c r="L1624" t="str">
        <f>VLOOKUP(Googleadssales[[#This Row],[Ad_ID]],'[1]pre processed data'!A:S,19,0)</f>
        <v>Desktop</v>
      </c>
      <c r="M1624" t="str">
        <f>VLOOKUP(Googleadssales[[#This Row],[Ad_ID]],'[1]pre processed data'!A:T,20,0)</f>
        <v>data analytics online</v>
      </c>
    </row>
    <row r="1625" spans="1:13" x14ac:dyDescent="0.3">
      <c r="A1625" t="s">
        <v>1638</v>
      </c>
      <c r="B1625" t="s">
        <v>14</v>
      </c>
      <c r="C1625" s="4">
        <f>VLOOKUP(Googleadssales[[#This Row],[Ad_ID]],'[1]pre processed data'!A:C,3,0)</f>
        <v>148</v>
      </c>
      <c r="D1625" s="4">
        <f>VLOOKUP(Googleadssales[[#This Row],[Ad_ID]],'[1]pre processed data'!A:E,5,0)</f>
        <v>4813</v>
      </c>
      <c r="E1625" s="5" t="str">
        <f>VLOOKUP(Googleadssales[[#This Row],[Ad_ID]],[1]!Table3[[Ad_ID]:[Cost-imputed]],7,0)</f>
        <v>$212.78</v>
      </c>
      <c r="F1625" s="4">
        <f>VLOOKUP(Googleadssales[[#This Row],[Ad_ID]],'[1]pre processed data'!A:I,9,0)</f>
        <v>12</v>
      </c>
      <c r="G1625" s="4">
        <f>VLOOKUP(Googleadssales[[#This Row],[Ad_ID]],'[1]pre processed data'!A:K,11,0)</f>
        <v>6.5588547189819728</v>
      </c>
      <c r="H1625" s="2">
        <f>Googleadssales[[#This Row],[Conversions]]/Googleadssales[[#This Row],[Clicks]]</f>
        <v>4.4316585939067385E-2</v>
      </c>
      <c r="I1625" t="str">
        <f>VLOOKUP(Googleadssales[[#This Row],[Ad_ID]],'[1]pre processed data'!A:O,15,0)</f>
        <v>$1833</v>
      </c>
      <c r="J1625" s="3">
        <f>VLOOKUP(Googleadssales[[#This Row],[Ad_ID]],'[1]pre processed data'!A:Q,17,0)</f>
        <v>45619</v>
      </c>
      <c r="K1625" t="str">
        <f>VLOOKUP(Googleadssales[[#This Row],[Ad_ID]],'[1]pre processed data'!A:R,18,0)</f>
        <v>Hyderabad</v>
      </c>
      <c r="L1625" t="str">
        <f>VLOOKUP(Googleadssales[[#This Row],[Ad_ID]],'[1]pre processed data'!A:S,19,0)</f>
        <v>Mobile</v>
      </c>
      <c r="M1625" t="str">
        <f>VLOOKUP(Googleadssales[[#This Row],[Ad_ID]],'[1]pre processed data'!A:T,20,0)</f>
        <v>online data analytic</v>
      </c>
    </row>
    <row r="1626" spans="1:13" x14ac:dyDescent="0.3">
      <c r="A1626" t="s">
        <v>1639</v>
      </c>
      <c r="B1626" t="s">
        <v>14</v>
      </c>
      <c r="C1626" s="4">
        <f>VLOOKUP(Googleadssales[[#This Row],[Ad_ID]],'[1]pre processed data'!A:C,3,0)</f>
        <v>125</v>
      </c>
      <c r="D1626" s="4">
        <f>VLOOKUP(Googleadssales[[#This Row],[Ad_ID]],'[1]pre processed data'!A:E,5,0)</f>
        <v>4300</v>
      </c>
      <c r="E1626" s="5" t="str">
        <f>VLOOKUP(Googleadssales[[#This Row],[Ad_ID]],[1]!Table3[[Ad_ID]:[Cost-imputed]],7,0)</f>
        <v>$221.37</v>
      </c>
      <c r="F1626" s="4">
        <f>VLOOKUP(Googleadssales[[#This Row],[Ad_ID]],'[1]pre processed data'!A:I,9,0)</f>
        <v>16</v>
      </c>
      <c r="G1626" s="4">
        <f>VLOOKUP(Googleadssales[[#This Row],[Ad_ID]],'[1]pre processed data'!A:K,11,0)</f>
        <v>10</v>
      </c>
      <c r="H1626" s="2">
        <f>Googleadssales[[#This Row],[Conversions]]/Googleadssales[[#This Row],[Clicks]]</f>
        <v>0.08</v>
      </c>
      <c r="I1626" t="str">
        <f>VLOOKUP(Googleadssales[[#This Row],[Ad_ID]],'[1]pre processed data'!A:O,15,0)</f>
        <v>$1066</v>
      </c>
      <c r="J1626" s="3">
        <f>VLOOKUP(Googleadssales[[#This Row],[Ad_ID]],'[1]pre processed data'!A:Q,17,0)</f>
        <v>45623</v>
      </c>
      <c r="K1626" t="str">
        <f>VLOOKUP(Googleadssales[[#This Row],[Ad_ID]],'[1]pre processed data'!A:R,18,0)</f>
        <v>Hyderabad</v>
      </c>
      <c r="L1626" t="str">
        <f>VLOOKUP(Googleadssales[[#This Row],[Ad_ID]],'[1]pre processed data'!A:S,19,0)</f>
        <v>Tablet</v>
      </c>
      <c r="M1626" t="str">
        <f>VLOOKUP(Googleadssales[[#This Row],[Ad_ID]],'[1]pre processed data'!A:T,20,0)</f>
        <v>data analytics course</v>
      </c>
    </row>
    <row r="1627" spans="1:13" x14ac:dyDescent="0.3">
      <c r="A1627" t="s">
        <v>1640</v>
      </c>
      <c r="B1627" t="s">
        <v>14</v>
      </c>
      <c r="C1627" s="4">
        <f>VLOOKUP(Googleadssales[[#This Row],[Ad_ID]],'[1]pre processed data'!A:C,3,0)</f>
        <v>105</v>
      </c>
      <c r="D1627" s="4">
        <f>VLOOKUP(Googleadssales[[#This Row],[Ad_ID]],'[1]pre processed data'!A:E,5,0)</f>
        <v>4094</v>
      </c>
      <c r="E1627" s="5" t="str">
        <f>VLOOKUP(Googleadssales[[#This Row],[Ad_ID]],[1]!Table3[[Ad_ID]:[Cost-imputed]],7,0)</f>
        <v>$183.47</v>
      </c>
      <c r="F1627" s="4">
        <f>VLOOKUP(Googleadssales[[#This Row],[Ad_ID]],'[1]pre processed data'!A:I,9,0)</f>
        <v>11</v>
      </c>
      <c r="G1627" s="4">
        <f>VLOOKUP(Googleadssales[[#This Row],[Ad_ID]],'[1]pre processed data'!A:K,11,0)</f>
        <v>6</v>
      </c>
      <c r="H1627" s="2">
        <f>Googleadssales[[#This Row],[Conversions]]/Googleadssales[[#This Row],[Clicks]]</f>
        <v>5.7142857142857141E-2</v>
      </c>
      <c r="I1627" t="str">
        <f>VLOOKUP(Googleadssales[[#This Row],[Ad_ID]],'[1]pre processed data'!A:O,15,0)</f>
        <v>$1817</v>
      </c>
      <c r="J1627" s="3">
        <f>VLOOKUP(Googleadssales[[#This Row],[Ad_ID]],'[1]pre processed data'!A:Q,17,0)</f>
        <v>45621</v>
      </c>
      <c r="K1627" t="str">
        <f>VLOOKUP(Googleadssales[[#This Row],[Ad_ID]],'[1]pre processed data'!A:R,18,0)</f>
        <v>Hyderabad</v>
      </c>
      <c r="L1627" t="str">
        <f>VLOOKUP(Googleadssales[[#This Row],[Ad_ID]],'[1]pre processed data'!A:S,19,0)</f>
        <v>Mobile</v>
      </c>
      <c r="M1627" t="str">
        <f>VLOOKUP(Googleadssales[[#This Row],[Ad_ID]],'[1]pre processed data'!A:T,20,0)</f>
        <v>online data analytic</v>
      </c>
    </row>
    <row r="1628" spans="1:13" x14ac:dyDescent="0.3">
      <c r="A1628" t="s">
        <v>1641</v>
      </c>
      <c r="B1628" t="s">
        <v>14</v>
      </c>
      <c r="C1628" s="4">
        <f>VLOOKUP(Googleadssales[[#This Row],[Ad_ID]],'[1]pre processed data'!A:C,3,0)</f>
        <v>84</v>
      </c>
      <c r="D1628" s="4">
        <f>VLOOKUP(Googleadssales[[#This Row],[Ad_ID]],'[1]pre processed data'!A:E,5,0)</f>
        <v>4263</v>
      </c>
      <c r="E1628" s="5" t="str">
        <f>VLOOKUP(Googleadssales[[#This Row],[Ad_ID]],[1]!Table3[[Ad_ID]:[Cost-imputed]],7,0)</f>
        <v>$234.62</v>
      </c>
      <c r="F1628" s="4">
        <f>VLOOKUP(Googleadssales[[#This Row],[Ad_ID]],'[1]pre processed data'!A:I,9,0)</f>
        <v>29</v>
      </c>
      <c r="G1628" s="4">
        <f>VLOOKUP(Googleadssales[[#This Row],[Ad_ID]],'[1]pre processed data'!A:K,11,0)</f>
        <v>9</v>
      </c>
      <c r="H1628" s="2">
        <f>Googleadssales[[#This Row],[Conversions]]/Googleadssales[[#This Row],[Clicks]]</f>
        <v>0.10714285714285714</v>
      </c>
      <c r="I1628" t="str">
        <f>VLOOKUP(Googleadssales[[#This Row],[Ad_ID]],'[1]pre processed data'!A:O,15,0)</f>
        <v>$1599</v>
      </c>
      <c r="J1628" s="3">
        <f>VLOOKUP(Googleadssales[[#This Row],[Ad_ID]],'[1]pre processed data'!A:Q,17,0)</f>
        <v>45614</v>
      </c>
      <c r="K1628" t="str">
        <f>VLOOKUP(Googleadssales[[#This Row],[Ad_ID]],'[1]pre processed data'!A:R,18,0)</f>
        <v>Bangaluru</v>
      </c>
      <c r="L1628" t="str">
        <f>VLOOKUP(Googleadssales[[#This Row],[Ad_ID]],'[1]pre processed data'!A:S,19,0)</f>
        <v>Mobile</v>
      </c>
      <c r="M1628" t="str">
        <f>VLOOKUP(Googleadssales[[#This Row],[Ad_ID]],'[1]pre processed data'!A:T,20,0)</f>
        <v>learn data analytics</v>
      </c>
    </row>
    <row r="1629" spans="1:13" x14ac:dyDescent="0.3">
      <c r="A1629" t="s">
        <v>1642</v>
      </c>
      <c r="B1629" t="s">
        <v>18</v>
      </c>
      <c r="C1629" s="4">
        <f>VLOOKUP(Googleadssales[[#This Row],[Ad_ID]],'[1]pre processed data'!A:C,3,0)</f>
        <v>114</v>
      </c>
      <c r="D1629" s="4">
        <f>VLOOKUP(Googleadssales[[#This Row],[Ad_ID]],'[1]pre processed data'!A:E,5,0)</f>
        <v>3472</v>
      </c>
      <c r="E1629" s="5" t="str">
        <f>VLOOKUP(Googleadssales[[#This Row],[Ad_ID]],[1]!Table3[[Ad_ID]:[Cost-imputed]],7,0)</f>
        <v>$242.89</v>
      </c>
      <c r="F1629" s="4">
        <f>VLOOKUP(Googleadssales[[#This Row],[Ad_ID]],'[1]pre processed data'!A:I,9,0)</f>
        <v>16</v>
      </c>
      <c r="G1629" s="4">
        <f>VLOOKUP(Googleadssales[[#This Row],[Ad_ID]],'[1]pre processed data'!A:K,11,0)</f>
        <v>10</v>
      </c>
      <c r="H1629" s="2">
        <f>Googleadssales[[#This Row],[Conversions]]/Googleadssales[[#This Row],[Clicks]]</f>
        <v>8.771929824561403E-2</v>
      </c>
      <c r="I1629" t="str">
        <f>VLOOKUP(Googleadssales[[#This Row],[Ad_ID]],'[1]pre processed data'!A:O,15,0)</f>
        <v>$1642</v>
      </c>
      <c r="J1629" s="3">
        <f>VLOOKUP(Googleadssales[[#This Row],[Ad_ID]],'[1]pre processed data'!A:Q,17,0)</f>
        <v>45624</v>
      </c>
      <c r="K1629" t="str">
        <f>VLOOKUP(Googleadssales[[#This Row],[Ad_ID]],'[1]pre processed data'!A:R,18,0)</f>
        <v>Bangaluru</v>
      </c>
      <c r="L1629" t="str">
        <f>VLOOKUP(Googleadssales[[#This Row],[Ad_ID]],'[1]pre processed data'!A:S,19,0)</f>
        <v>Tablet</v>
      </c>
      <c r="M1629" t="str">
        <f>VLOOKUP(Googleadssales[[#This Row],[Ad_ID]],'[1]pre processed data'!A:T,20,0)</f>
        <v>analytics for data</v>
      </c>
    </row>
    <row r="1630" spans="1:13" x14ac:dyDescent="0.3">
      <c r="A1630" t="s">
        <v>1643</v>
      </c>
      <c r="B1630" t="s">
        <v>18</v>
      </c>
      <c r="C1630" s="4">
        <f>VLOOKUP(Googleadssales[[#This Row],[Ad_ID]],'[1]pre processed data'!A:C,3,0)</f>
        <v>129</v>
      </c>
      <c r="D1630" s="4">
        <f>VLOOKUP(Googleadssales[[#This Row],[Ad_ID]],'[1]pre processed data'!A:E,5,0)</f>
        <v>4411</v>
      </c>
      <c r="E1630" s="5" t="str">
        <f>VLOOKUP(Googleadssales[[#This Row],[Ad_ID]],[1]!Table3[[Ad_ID]:[Cost-imputed]],7,0)</f>
        <v>$180.17</v>
      </c>
      <c r="F1630" s="4">
        <f>VLOOKUP(Googleadssales[[#This Row],[Ad_ID]],'[1]pre processed data'!A:I,9,0)</f>
        <v>28</v>
      </c>
      <c r="G1630" s="4">
        <f>VLOOKUP(Googleadssales[[#This Row],[Ad_ID]],'[1]pre processed data'!A:K,11,0)</f>
        <v>5</v>
      </c>
      <c r="H1630" s="2">
        <f>Googleadssales[[#This Row],[Conversions]]/Googleadssales[[#This Row],[Clicks]]</f>
        <v>3.875968992248062E-2</v>
      </c>
      <c r="I1630" t="str">
        <f>VLOOKUP(Googleadssales[[#This Row],[Ad_ID]],'[1]pre processed data'!A:O,15,0)</f>
        <v>$1173</v>
      </c>
      <c r="J1630" s="3">
        <f>VLOOKUP(Googleadssales[[#This Row],[Ad_ID]],'[1]pre processed data'!A:Q,17,0)</f>
        <v>45606</v>
      </c>
      <c r="K1630" t="str">
        <f>VLOOKUP(Googleadssales[[#This Row],[Ad_ID]],'[1]pre processed data'!A:R,18,0)</f>
        <v>Hyderabad</v>
      </c>
      <c r="L1630" t="str">
        <f>VLOOKUP(Googleadssales[[#This Row],[Ad_ID]],'[1]pre processed data'!A:S,19,0)</f>
        <v>Desktop</v>
      </c>
      <c r="M1630" t="str">
        <f>VLOOKUP(Googleadssales[[#This Row],[Ad_ID]],'[1]pre processed data'!A:T,20,0)</f>
        <v>data analytics online</v>
      </c>
    </row>
    <row r="1631" spans="1:13" x14ac:dyDescent="0.3">
      <c r="A1631" t="s">
        <v>1644</v>
      </c>
      <c r="B1631" t="s">
        <v>14</v>
      </c>
      <c r="C1631" s="4">
        <f>VLOOKUP(Googleadssales[[#This Row],[Ad_ID]],'[1]pre processed data'!A:C,3,0)</f>
        <v>128</v>
      </c>
      <c r="D1631" s="4">
        <f>VLOOKUP(Googleadssales[[#This Row],[Ad_ID]],'[1]pre processed data'!A:E,5,0)</f>
        <v>4787</v>
      </c>
      <c r="E1631" s="5" t="str">
        <f>VLOOKUP(Googleadssales[[#This Row],[Ad_ID]],[1]!Table3[[Ad_ID]:[Cost-imputed]],7,0)</f>
        <v>$204.29</v>
      </c>
      <c r="F1631" s="4">
        <f>VLOOKUP(Googleadssales[[#This Row],[Ad_ID]],'[1]pre processed data'!A:I,9,0)</f>
        <v>20.219409282700422</v>
      </c>
      <c r="G1631" s="4">
        <f>VLOOKUP(Googleadssales[[#This Row],[Ad_ID]],'[1]pre processed data'!A:K,11,0)</f>
        <v>6.5511727078891262</v>
      </c>
      <c r="H1631" s="2">
        <f>Googleadssales[[#This Row],[Conversions]]/Googleadssales[[#This Row],[Clicks]]</f>
        <v>5.1181036780383798E-2</v>
      </c>
      <c r="I1631" t="str">
        <f>VLOOKUP(Googleadssales[[#This Row],[Ad_ID]],'[1]pre processed data'!A:O,15,0)</f>
        <v>$1880</v>
      </c>
      <c r="J1631" s="3">
        <f>VLOOKUP(Googleadssales[[#This Row],[Ad_ID]],'[1]pre processed data'!A:Q,17,0)</f>
        <v>45625</v>
      </c>
      <c r="K1631" t="str">
        <f>VLOOKUP(Googleadssales[[#This Row],[Ad_ID]],'[1]pre processed data'!A:R,18,0)</f>
        <v>Bangaluru</v>
      </c>
      <c r="L1631" t="str">
        <f>VLOOKUP(Googleadssales[[#This Row],[Ad_ID]],'[1]pre processed data'!A:S,19,0)</f>
        <v>Desktop</v>
      </c>
      <c r="M1631" t="str">
        <f>VLOOKUP(Googleadssales[[#This Row],[Ad_ID]],'[1]pre processed data'!A:T,20,0)</f>
        <v>data analytics training</v>
      </c>
    </row>
    <row r="1632" spans="1:13" x14ac:dyDescent="0.3">
      <c r="A1632" t="s">
        <v>1645</v>
      </c>
      <c r="B1632" t="s">
        <v>14</v>
      </c>
      <c r="C1632" s="4">
        <f>VLOOKUP(Googleadssales[[#This Row],[Ad_ID]],'[1]pre processed data'!A:C,3,0)</f>
        <v>120</v>
      </c>
      <c r="D1632" s="4">
        <f>VLOOKUP(Googleadssales[[#This Row],[Ad_ID]],'[1]pre processed data'!A:E,5,0)</f>
        <v>5915</v>
      </c>
      <c r="E1632" s="5" t="str">
        <f>VLOOKUP(Googleadssales[[#This Row],[Ad_ID]],[1]!Table3[[Ad_ID]:[Cost-imputed]],7,0)</f>
        <v>$241.95</v>
      </c>
      <c r="F1632" s="4">
        <f>VLOOKUP(Googleadssales[[#This Row],[Ad_ID]],'[1]pre processed data'!A:I,9,0)</f>
        <v>26</v>
      </c>
      <c r="G1632" s="4">
        <f>VLOOKUP(Googleadssales[[#This Row],[Ad_ID]],'[1]pre processed data'!A:K,11,0)</f>
        <v>3</v>
      </c>
      <c r="H1632" s="2">
        <f>Googleadssales[[#This Row],[Conversions]]/Googleadssales[[#This Row],[Clicks]]</f>
        <v>2.5000000000000001E-2</v>
      </c>
      <c r="I1632" t="str">
        <f>VLOOKUP(Googleadssales[[#This Row],[Ad_ID]],'[1]pre processed data'!A:O,15,0)</f>
        <v>$1253</v>
      </c>
      <c r="J1632" s="3">
        <f>VLOOKUP(Googleadssales[[#This Row],[Ad_ID]],'[1]pre processed data'!A:Q,17,0)</f>
        <v>45621</v>
      </c>
      <c r="K1632" t="str">
        <f>VLOOKUP(Googleadssales[[#This Row],[Ad_ID]],'[1]pre processed data'!A:R,18,0)</f>
        <v>Hyderabad</v>
      </c>
      <c r="L1632" t="str">
        <f>VLOOKUP(Googleadssales[[#This Row],[Ad_ID]],'[1]pre processed data'!A:S,19,0)</f>
        <v>Desktop</v>
      </c>
      <c r="M1632" t="str">
        <f>VLOOKUP(Googleadssales[[#This Row],[Ad_ID]],'[1]pre processed data'!A:T,20,0)</f>
        <v>analytics for data</v>
      </c>
    </row>
    <row r="1633" spans="1:13" x14ac:dyDescent="0.3">
      <c r="A1633" t="s">
        <v>1646</v>
      </c>
      <c r="B1633" t="s">
        <v>18</v>
      </c>
      <c r="C1633" s="4">
        <f>VLOOKUP(Googleadssales[[#This Row],[Ad_ID]],'[1]pre processed data'!A:C,3,0)</f>
        <v>99</v>
      </c>
      <c r="D1633" s="4">
        <f>VLOOKUP(Googleadssales[[#This Row],[Ad_ID]],'[1]pre processed data'!A:E,5,0)</f>
        <v>4111</v>
      </c>
      <c r="E1633" s="5" t="str">
        <f>VLOOKUP(Googleadssales[[#This Row],[Ad_ID]],[1]!Table3[[Ad_ID]:[Cost-imputed]],7,0)</f>
        <v>$192.09</v>
      </c>
      <c r="F1633" s="4">
        <f>VLOOKUP(Googleadssales[[#This Row],[Ad_ID]],'[1]pre processed data'!A:I,9,0)</f>
        <v>14</v>
      </c>
      <c r="G1633" s="4">
        <f>VLOOKUP(Googleadssales[[#This Row],[Ad_ID]],'[1]pre processed data'!A:K,11,0)</f>
        <v>5</v>
      </c>
      <c r="H1633" s="2">
        <f>Googleadssales[[#This Row],[Conversions]]/Googleadssales[[#This Row],[Clicks]]</f>
        <v>5.0505050505050504E-2</v>
      </c>
      <c r="I1633" t="str">
        <f>VLOOKUP(Googleadssales[[#This Row],[Ad_ID]],'[1]pre processed data'!A:O,15,0)</f>
        <v>$1497</v>
      </c>
      <c r="J1633" s="3">
        <f>VLOOKUP(Googleadssales[[#This Row],[Ad_ID]],'[1]pre processed data'!A:Q,17,0)</f>
        <v>45615</v>
      </c>
      <c r="K1633" t="str">
        <f>VLOOKUP(Googleadssales[[#This Row],[Ad_ID]],'[1]pre processed data'!A:R,18,0)</f>
        <v>Hyderabad</v>
      </c>
      <c r="L1633" t="str">
        <f>VLOOKUP(Googleadssales[[#This Row],[Ad_ID]],'[1]pre processed data'!A:S,19,0)</f>
        <v>Mobile</v>
      </c>
      <c r="M1633" t="str">
        <f>VLOOKUP(Googleadssales[[#This Row],[Ad_ID]],'[1]pre processed data'!A:T,20,0)</f>
        <v>analytics for data</v>
      </c>
    </row>
    <row r="1634" spans="1:13" x14ac:dyDescent="0.3">
      <c r="A1634" t="s">
        <v>1647</v>
      </c>
      <c r="B1634" t="s">
        <v>14</v>
      </c>
      <c r="C1634" s="4">
        <f>VLOOKUP(Googleadssales[[#This Row],[Ad_ID]],'[1]pre processed data'!A:C,3,0)</f>
        <v>180</v>
      </c>
      <c r="D1634" s="4">
        <f>VLOOKUP(Googleadssales[[#This Row],[Ad_ID]],'[1]pre processed data'!A:E,5,0)</f>
        <v>3305</v>
      </c>
      <c r="E1634" s="5" t="str">
        <f>VLOOKUP(Googleadssales[[#This Row],[Ad_ID]],[1]!Table3[[Ad_ID]:[Cost-imputed]],7,0)</f>
        <v>$187.59</v>
      </c>
      <c r="F1634" s="4">
        <f>VLOOKUP(Googleadssales[[#This Row],[Ad_ID]],'[1]pre processed data'!A:I,9,0)</f>
        <v>14</v>
      </c>
      <c r="G1634" s="4">
        <f>VLOOKUP(Googleadssales[[#This Row],[Ad_ID]],'[1]pre processed data'!A:K,11,0)</f>
        <v>10</v>
      </c>
      <c r="H1634" s="2">
        <f>Googleadssales[[#This Row],[Conversions]]/Googleadssales[[#This Row],[Clicks]]</f>
        <v>5.5555555555555552E-2</v>
      </c>
      <c r="I1634" t="str">
        <f>VLOOKUP(Googleadssales[[#This Row],[Ad_ID]],'[1]pre processed data'!A:O,15,0)</f>
        <v>$1500</v>
      </c>
      <c r="J1634" s="3">
        <f>VLOOKUP(Googleadssales[[#This Row],[Ad_ID]],'[1]pre processed data'!A:Q,17,0)</f>
        <v>45615</v>
      </c>
      <c r="K1634" t="str">
        <f>VLOOKUP(Googleadssales[[#This Row],[Ad_ID]],'[1]pre processed data'!A:R,18,0)</f>
        <v>Hyderabad</v>
      </c>
      <c r="L1634" t="str">
        <f>VLOOKUP(Googleadssales[[#This Row],[Ad_ID]],'[1]pre processed data'!A:S,19,0)</f>
        <v>Desktop</v>
      </c>
      <c r="M1634" t="str">
        <f>VLOOKUP(Googleadssales[[#This Row],[Ad_ID]],'[1]pre processed data'!A:T,20,0)</f>
        <v>data analytics online</v>
      </c>
    </row>
    <row r="1635" spans="1:13" x14ac:dyDescent="0.3">
      <c r="A1635" t="s">
        <v>1648</v>
      </c>
      <c r="B1635" t="s">
        <v>18</v>
      </c>
      <c r="C1635" s="4">
        <f>VLOOKUP(Googleadssales[[#This Row],[Ad_ID]],'[1]pre processed data'!A:C,3,0)</f>
        <v>154</v>
      </c>
      <c r="D1635" s="4">
        <f>VLOOKUP(Googleadssales[[#This Row],[Ad_ID]],'[1]pre processed data'!A:E,5,0)</f>
        <v>3510</v>
      </c>
      <c r="E1635" s="5" t="str">
        <f>VLOOKUP(Googleadssales[[#This Row],[Ad_ID]],[1]!Table3[[Ad_ID]:[Cost-imputed]],7,0)</f>
        <v>$211.16</v>
      </c>
      <c r="F1635" s="4">
        <f>VLOOKUP(Googleadssales[[#This Row],[Ad_ID]],'[1]pre processed data'!A:I,9,0)</f>
        <v>26</v>
      </c>
      <c r="G1635" s="4">
        <f>VLOOKUP(Googleadssales[[#This Row],[Ad_ID]],'[1]pre processed data'!A:K,11,0)</f>
        <v>10</v>
      </c>
      <c r="H1635" s="2">
        <f>Googleadssales[[#This Row],[Conversions]]/Googleadssales[[#This Row],[Clicks]]</f>
        <v>6.4935064935064929E-2</v>
      </c>
      <c r="I1635" t="str">
        <f>VLOOKUP(Googleadssales[[#This Row],[Ad_ID]],'[1]pre processed data'!A:O,15,0)</f>
        <v>$1167</v>
      </c>
      <c r="J1635" s="3">
        <f>VLOOKUP(Googleadssales[[#This Row],[Ad_ID]],'[1]pre processed data'!A:Q,17,0)</f>
        <v>45610</v>
      </c>
      <c r="K1635" t="str">
        <f>VLOOKUP(Googleadssales[[#This Row],[Ad_ID]],'[1]pre processed data'!A:R,18,0)</f>
        <v>Hyderabad</v>
      </c>
      <c r="L1635" t="str">
        <f>VLOOKUP(Googleadssales[[#This Row],[Ad_ID]],'[1]pre processed data'!A:S,19,0)</f>
        <v>Tablet</v>
      </c>
      <c r="M1635" t="str">
        <f>VLOOKUP(Googleadssales[[#This Row],[Ad_ID]],'[1]pre processed data'!A:T,20,0)</f>
        <v>online data analytic</v>
      </c>
    </row>
    <row r="1636" spans="1:13" x14ac:dyDescent="0.3">
      <c r="A1636" t="s">
        <v>1649</v>
      </c>
      <c r="B1636" t="s">
        <v>14</v>
      </c>
      <c r="C1636" s="4">
        <f>VLOOKUP(Googleadssales[[#This Row],[Ad_ID]],'[1]pre processed data'!A:C,3,0)</f>
        <v>89</v>
      </c>
      <c r="D1636" s="4">
        <f>VLOOKUP(Googleadssales[[#This Row],[Ad_ID]],'[1]pre processed data'!A:E,5,0)</f>
        <v>3265</v>
      </c>
      <c r="E1636" s="5" t="str">
        <f>VLOOKUP(Googleadssales[[#This Row],[Ad_ID]],[1]!Table3[[Ad_ID]:[Cost-imputed]],7,0)</f>
        <v>$234.51</v>
      </c>
      <c r="F1636" s="4">
        <f>VLOOKUP(Googleadssales[[#This Row],[Ad_ID]],'[1]pre processed data'!A:I,9,0)</f>
        <v>29</v>
      </c>
      <c r="G1636" s="4">
        <f>VLOOKUP(Googleadssales[[#This Row],[Ad_ID]],'[1]pre processed data'!A:K,11,0)</f>
        <v>8</v>
      </c>
      <c r="H1636" s="2">
        <f>Googleadssales[[#This Row],[Conversions]]/Googleadssales[[#This Row],[Clicks]]</f>
        <v>8.98876404494382E-2</v>
      </c>
      <c r="I1636" t="str">
        <f>VLOOKUP(Googleadssales[[#This Row],[Ad_ID]],'[1]pre processed data'!A:O,15,0)</f>
        <v>$1500</v>
      </c>
      <c r="J1636" s="3">
        <f>VLOOKUP(Googleadssales[[#This Row],[Ad_ID]],'[1]pre processed data'!A:Q,17,0)</f>
        <v>45624</v>
      </c>
      <c r="K1636" t="str">
        <f>VLOOKUP(Googleadssales[[#This Row],[Ad_ID]],'[1]pre processed data'!A:R,18,0)</f>
        <v>Hyderabad</v>
      </c>
      <c r="L1636" t="str">
        <f>VLOOKUP(Googleadssales[[#This Row],[Ad_ID]],'[1]pre processed data'!A:S,19,0)</f>
        <v>Tablet</v>
      </c>
      <c r="M1636" t="str">
        <f>VLOOKUP(Googleadssales[[#This Row],[Ad_ID]],'[1]pre processed data'!A:T,20,0)</f>
        <v>data analytics course</v>
      </c>
    </row>
    <row r="1637" spans="1:13" x14ac:dyDescent="0.3">
      <c r="A1637" t="s">
        <v>1650</v>
      </c>
      <c r="B1637" t="s">
        <v>14</v>
      </c>
      <c r="C1637" s="4">
        <f>VLOOKUP(Googleadssales[[#This Row],[Ad_ID]],'[1]pre processed data'!A:C,3,0)</f>
        <v>136</v>
      </c>
      <c r="D1637" s="4">
        <f>VLOOKUP(Googleadssales[[#This Row],[Ad_ID]],'[1]pre processed data'!A:E,5,0)</f>
        <v>5977</v>
      </c>
      <c r="E1637" s="5" t="str">
        <f>VLOOKUP(Googleadssales[[#This Row],[Ad_ID]],[1]!Table3[[Ad_ID]:[Cost-imputed]],7,0)</f>
        <v>$249.89</v>
      </c>
      <c r="F1637" s="4">
        <f>VLOOKUP(Googleadssales[[#This Row],[Ad_ID]],'[1]pre processed data'!A:I,9,0)</f>
        <v>15</v>
      </c>
      <c r="G1637" s="4">
        <f>VLOOKUP(Googleadssales[[#This Row],[Ad_ID]],'[1]pre processed data'!A:K,11,0)</f>
        <v>9</v>
      </c>
      <c r="H1637" s="2">
        <f>Googleadssales[[#This Row],[Conversions]]/Googleadssales[[#This Row],[Clicks]]</f>
        <v>6.6176470588235295E-2</v>
      </c>
      <c r="I1637" t="str">
        <f>VLOOKUP(Googleadssales[[#This Row],[Ad_ID]],'[1]pre processed data'!A:O,15,0)</f>
        <v>$1477</v>
      </c>
      <c r="J1637" s="3">
        <f>VLOOKUP(Googleadssales[[#This Row],[Ad_ID]],'[1]pre processed data'!A:Q,17,0)</f>
        <v>45624</v>
      </c>
      <c r="K1637" t="str">
        <f>VLOOKUP(Googleadssales[[#This Row],[Ad_ID]],'[1]pre processed data'!A:R,18,0)</f>
        <v>Hyderabad</v>
      </c>
      <c r="L1637" t="str">
        <f>VLOOKUP(Googleadssales[[#This Row],[Ad_ID]],'[1]pre processed data'!A:S,19,0)</f>
        <v>Tablet</v>
      </c>
      <c r="M1637" t="str">
        <f>VLOOKUP(Googleadssales[[#This Row],[Ad_ID]],'[1]pre processed data'!A:T,20,0)</f>
        <v>analytics for data</v>
      </c>
    </row>
    <row r="1638" spans="1:13" x14ac:dyDescent="0.3">
      <c r="A1638" t="s">
        <v>1651</v>
      </c>
      <c r="B1638" t="s">
        <v>14</v>
      </c>
      <c r="C1638" s="4">
        <f>VLOOKUP(Googleadssales[[#This Row],[Ad_ID]],'[1]pre processed data'!A:C,3,0)</f>
        <v>177</v>
      </c>
      <c r="D1638" s="4">
        <f>VLOOKUP(Googleadssales[[#This Row],[Ad_ID]],'[1]pre processed data'!A:E,5,0)</f>
        <v>5409</v>
      </c>
      <c r="E1638" s="5" t="str">
        <f>VLOOKUP(Googleadssales[[#This Row],[Ad_ID]],[1]!Table3[[Ad_ID]:[Cost-imputed]],7,0)</f>
        <v>$181.75</v>
      </c>
      <c r="F1638" s="4">
        <f>VLOOKUP(Googleadssales[[#This Row],[Ad_ID]],'[1]pre processed data'!A:I,9,0)</f>
        <v>19</v>
      </c>
      <c r="G1638" s="4">
        <f>VLOOKUP(Googleadssales[[#This Row],[Ad_ID]],'[1]pre processed data'!A:K,11,0)</f>
        <v>4</v>
      </c>
      <c r="H1638" s="2">
        <f>Googleadssales[[#This Row],[Conversions]]/Googleadssales[[#This Row],[Clicks]]</f>
        <v>2.2598870056497175E-2</v>
      </c>
      <c r="I1638" t="str">
        <f>VLOOKUP(Googleadssales[[#This Row],[Ad_ID]],'[1]pre processed data'!A:O,15,0)</f>
        <v>$1793</v>
      </c>
      <c r="J1638" s="3">
        <f>VLOOKUP(Googleadssales[[#This Row],[Ad_ID]],'[1]pre processed data'!A:Q,17,0)</f>
        <v>45599</v>
      </c>
      <c r="K1638" t="str">
        <f>VLOOKUP(Googleadssales[[#This Row],[Ad_ID]],'[1]pre processed data'!A:R,18,0)</f>
        <v>Hyderabad</v>
      </c>
      <c r="L1638" t="str">
        <f>VLOOKUP(Googleadssales[[#This Row],[Ad_ID]],'[1]pre processed data'!A:S,19,0)</f>
        <v>Tablet</v>
      </c>
      <c r="M1638" t="str">
        <f>VLOOKUP(Googleadssales[[#This Row],[Ad_ID]],'[1]pre processed data'!A:T,20,0)</f>
        <v>data analytics course</v>
      </c>
    </row>
    <row r="1639" spans="1:13" x14ac:dyDescent="0.3">
      <c r="A1639" t="s">
        <v>1652</v>
      </c>
      <c r="B1639" t="s">
        <v>18</v>
      </c>
      <c r="C1639" s="4">
        <f>VLOOKUP(Googleadssales[[#This Row],[Ad_ID]],'[1]pre processed data'!A:C,3,0)</f>
        <v>145</v>
      </c>
      <c r="D1639" s="4">
        <f>VLOOKUP(Googleadssales[[#This Row],[Ad_ID]],'[1]pre processed data'!A:E,5,0)</f>
        <v>5523</v>
      </c>
      <c r="E1639" s="5" t="str">
        <f>VLOOKUP(Googleadssales[[#This Row],[Ad_ID]],[1]!Table3[[Ad_ID]:[Cost-imputed]],7,0)</f>
        <v>$200.00</v>
      </c>
      <c r="F1639" s="4">
        <f>VLOOKUP(Googleadssales[[#This Row],[Ad_ID]],'[1]pre processed data'!A:I,9,0)</f>
        <v>10</v>
      </c>
      <c r="G1639" s="4">
        <f>VLOOKUP(Googleadssales[[#This Row],[Ad_ID]],'[1]pre processed data'!A:K,11,0)</f>
        <v>6.5477980665950595</v>
      </c>
      <c r="H1639" s="2">
        <f>Googleadssales[[#This Row],[Conversions]]/Googleadssales[[#This Row],[Clicks]]</f>
        <v>4.5157228045483166E-2</v>
      </c>
      <c r="I1639" t="str">
        <f>VLOOKUP(Googleadssales[[#This Row],[Ad_ID]],'[1]pre processed data'!A:O,15,0)</f>
        <v>$1668</v>
      </c>
      <c r="J1639" s="3">
        <f>VLOOKUP(Googleadssales[[#This Row],[Ad_ID]],'[1]pre processed data'!A:Q,17,0)</f>
        <v>45615</v>
      </c>
      <c r="K1639" t="str">
        <f>VLOOKUP(Googleadssales[[#This Row],[Ad_ID]],'[1]pre processed data'!A:R,18,0)</f>
        <v>Chennai</v>
      </c>
      <c r="L1639" t="str">
        <f>VLOOKUP(Googleadssales[[#This Row],[Ad_ID]],'[1]pre processed data'!A:S,19,0)</f>
        <v>Mobile</v>
      </c>
      <c r="M1639" t="str">
        <f>VLOOKUP(Googleadssales[[#This Row],[Ad_ID]],'[1]pre processed data'!A:T,20,0)</f>
        <v>data analytics training</v>
      </c>
    </row>
    <row r="1640" spans="1:13" x14ac:dyDescent="0.3">
      <c r="A1640" t="s">
        <v>1653</v>
      </c>
      <c r="B1640" t="s">
        <v>14</v>
      </c>
      <c r="C1640" s="4">
        <f>VLOOKUP(Googleadssales[[#This Row],[Ad_ID]],'[1]pre processed data'!A:C,3,0)</f>
        <v>152</v>
      </c>
      <c r="D1640" s="4">
        <f>VLOOKUP(Googleadssales[[#This Row],[Ad_ID]],'[1]pre processed data'!A:E,5,0)</f>
        <v>5421</v>
      </c>
      <c r="E1640" s="5" t="str">
        <f>VLOOKUP(Googleadssales[[#This Row],[Ad_ID]],[1]!Table3[[Ad_ID]:[Cost-imputed]],7,0)</f>
        <v>$248.08</v>
      </c>
      <c r="F1640" s="4">
        <f>VLOOKUP(Googleadssales[[#This Row],[Ad_ID]],'[1]pre processed data'!A:I,9,0)</f>
        <v>16</v>
      </c>
      <c r="G1640" s="4">
        <f>VLOOKUP(Googleadssales[[#This Row],[Ad_ID]],'[1]pre processed data'!A:K,11,0)</f>
        <v>6</v>
      </c>
      <c r="H1640" s="2">
        <f>Googleadssales[[#This Row],[Conversions]]/Googleadssales[[#This Row],[Clicks]]</f>
        <v>3.9473684210526314E-2</v>
      </c>
      <c r="I1640" t="str">
        <f>VLOOKUP(Googleadssales[[#This Row],[Ad_ID]],'[1]pre processed data'!A:O,15,0)</f>
        <v>$1752</v>
      </c>
      <c r="J1640" s="3">
        <f>VLOOKUP(Googleadssales[[#This Row],[Ad_ID]],'[1]pre processed data'!A:Q,17,0)</f>
        <v>45623</v>
      </c>
      <c r="K1640" t="str">
        <f>VLOOKUP(Googleadssales[[#This Row],[Ad_ID]],'[1]pre processed data'!A:R,18,0)</f>
        <v>Hyderabad</v>
      </c>
      <c r="L1640" t="str">
        <f>VLOOKUP(Googleadssales[[#This Row],[Ad_ID]],'[1]pre processed data'!A:S,19,0)</f>
        <v>Mobile</v>
      </c>
      <c r="M1640" t="str">
        <f>VLOOKUP(Googleadssales[[#This Row],[Ad_ID]],'[1]pre processed data'!A:T,20,0)</f>
        <v>analytics for data</v>
      </c>
    </row>
    <row r="1641" spans="1:13" x14ac:dyDescent="0.3">
      <c r="A1641" t="s">
        <v>1654</v>
      </c>
      <c r="B1641" t="s">
        <v>14</v>
      </c>
      <c r="C1641" s="4">
        <f>VLOOKUP(Googleadssales[[#This Row],[Ad_ID]],'[1]pre processed data'!A:C,3,0)</f>
        <v>187</v>
      </c>
      <c r="D1641" s="4">
        <f>VLOOKUP(Googleadssales[[#This Row],[Ad_ID]],'[1]pre processed data'!A:E,5,0)</f>
        <v>5181</v>
      </c>
      <c r="E1641" s="5" t="str">
        <f>VLOOKUP(Googleadssales[[#This Row],[Ad_ID]],[1]!Table3[[Ad_ID]:[Cost-imputed]],7,0)</f>
        <v>$227.15</v>
      </c>
      <c r="F1641" s="4">
        <f>VLOOKUP(Googleadssales[[#This Row],[Ad_ID]],'[1]pre processed data'!A:I,9,0)</f>
        <v>18</v>
      </c>
      <c r="G1641" s="4">
        <f>VLOOKUP(Googleadssales[[#This Row],[Ad_ID]],'[1]pre processed data'!A:K,11,0)</f>
        <v>10</v>
      </c>
      <c r="H1641" s="2">
        <f>Googleadssales[[#This Row],[Conversions]]/Googleadssales[[#This Row],[Clicks]]</f>
        <v>5.3475935828877004E-2</v>
      </c>
      <c r="I1641" t="str">
        <f>VLOOKUP(Googleadssales[[#This Row],[Ad_ID]],'[1]pre processed data'!A:O,15,0)</f>
        <v>$1516</v>
      </c>
      <c r="J1641" s="3">
        <f>VLOOKUP(Googleadssales[[#This Row],[Ad_ID]],'[1]pre processed data'!A:Q,17,0)</f>
        <v>45621</v>
      </c>
      <c r="K1641" t="str">
        <f>VLOOKUP(Googleadssales[[#This Row],[Ad_ID]],'[1]pre processed data'!A:R,18,0)</f>
        <v>Chennai</v>
      </c>
      <c r="L1641" t="str">
        <f>VLOOKUP(Googleadssales[[#This Row],[Ad_ID]],'[1]pre processed data'!A:S,19,0)</f>
        <v>Tablet</v>
      </c>
      <c r="M1641" t="str">
        <f>VLOOKUP(Googleadssales[[#This Row],[Ad_ID]],'[1]pre processed data'!A:T,20,0)</f>
        <v>data analytics training</v>
      </c>
    </row>
    <row r="1642" spans="1:13" x14ac:dyDescent="0.3">
      <c r="A1642" t="s">
        <v>1655</v>
      </c>
      <c r="B1642" t="s">
        <v>14</v>
      </c>
      <c r="C1642" s="4">
        <f>VLOOKUP(Googleadssales[[#This Row],[Ad_ID]],'[1]pre processed data'!A:C,3,0)</f>
        <v>91</v>
      </c>
      <c r="D1642" s="4">
        <f>VLOOKUP(Googleadssales[[#This Row],[Ad_ID]],'[1]pre processed data'!A:E,5,0)</f>
        <v>5484</v>
      </c>
      <c r="E1642" s="5" t="str">
        <f>VLOOKUP(Googleadssales[[#This Row],[Ad_ID]],[1]!Table3[[Ad_ID]:[Cost-imputed]],7,0)</f>
        <v>$198.25</v>
      </c>
      <c r="F1642" s="4">
        <f>VLOOKUP(Googleadssales[[#This Row],[Ad_ID]],'[1]pre processed data'!A:I,9,0)</f>
        <v>16</v>
      </c>
      <c r="G1642" s="4">
        <f>VLOOKUP(Googleadssales[[#This Row],[Ad_ID]],'[1]pre processed data'!A:K,11,0)</f>
        <v>6</v>
      </c>
      <c r="H1642" s="2">
        <f>Googleadssales[[#This Row],[Conversions]]/Googleadssales[[#This Row],[Clicks]]</f>
        <v>6.5934065934065936E-2</v>
      </c>
      <c r="I1642" t="str">
        <f>VLOOKUP(Googleadssales[[#This Row],[Ad_ID]],'[1]pre processed data'!A:O,15,0)</f>
        <v>$1981</v>
      </c>
      <c r="J1642" s="3">
        <f>VLOOKUP(Googleadssales[[#This Row],[Ad_ID]],'[1]pre processed data'!A:Q,17,0)</f>
        <v>45616</v>
      </c>
      <c r="K1642" t="str">
        <f>VLOOKUP(Googleadssales[[#This Row],[Ad_ID]],'[1]pre processed data'!A:R,18,0)</f>
        <v>Chennai</v>
      </c>
      <c r="L1642" t="str">
        <f>VLOOKUP(Googleadssales[[#This Row],[Ad_ID]],'[1]pre processed data'!A:S,19,0)</f>
        <v>Mobile</v>
      </c>
      <c r="M1642" t="str">
        <f>VLOOKUP(Googleadssales[[#This Row],[Ad_ID]],'[1]pre processed data'!A:T,20,0)</f>
        <v>data analytics training</v>
      </c>
    </row>
    <row r="1643" spans="1:13" x14ac:dyDescent="0.3">
      <c r="A1643" t="s">
        <v>1656</v>
      </c>
      <c r="B1643" t="s">
        <v>14</v>
      </c>
      <c r="C1643" s="4">
        <f>VLOOKUP(Googleadssales[[#This Row],[Ad_ID]],'[1]pre processed data'!A:C,3,0)</f>
        <v>180</v>
      </c>
      <c r="D1643" s="4">
        <f>VLOOKUP(Googleadssales[[#This Row],[Ad_ID]],'[1]pre processed data'!A:E,5,0)</f>
        <v>5545</v>
      </c>
      <c r="E1643" s="5" t="str">
        <f>VLOOKUP(Googleadssales[[#This Row],[Ad_ID]],[1]!Table3[[Ad_ID]:[Cost-imputed]],7,0)</f>
        <v>$238.85</v>
      </c>
      <c r="F1643" s="4">
        <f>VLOOKUP(Googleadssales[[#This Row],[Ad_ID]],'[1]pre processed data'!A:I,9,0)</f>
        <v>30</v>
      </c>
      <c r="G1643" s="4">
        <f>VLOOKUP(Googleadssales[[#This Row],[Ad_ID]],'[1]pre processed data'!A:K,11,0)</f>
        <v>10</v>
      </c>
      <c r="H1643" s="2">
        <f>Googleadssales[[#This Row],[Conversions]]/Googleadssales[[#This Row],[Clicks]]</f>
        <v>5.5555555555555552E-2</v>
      </c>
      <c r="I1643" t="str">
        <f>VLOOKUP(Googleadssales[[#This Row],[Ad_ID]],'[1]pre processed data'!A:O,15,0)</f>
        <v>$1971</v>
      </c>
      <c r="J1643" s="3">
        <f>VLOOKUP(Googleadssales[[#This Row],[Ad_ID]],'[1]pre processed data'!A:Q,17,0)</f>
        <v>45620</v>
      </c>
      <c r="K1643" t="str">
        <f>VLOOKUP(Googleadssales[[#This Row],[Ad_ID]],'[1]pre processed data'!A:R,18,0)</f>
        <v>Hyderabad</v>
      </c>
      <c r="L1643" t="str">
        <f>VLOOKUP(Googleadssales[[#This Row],[Ad_ID]],'[1]pre processed data'!A:S,19,0)</f>
        <v>Desktop</v>
      </c>
      <c r="M1643" t="str">
        <f>VLOOKUP(Googleadssales[[#This Row],[Ad_ID]],'[1]pre processed data'!A:T,20,0)</f>
        <v>data analytics course</v>
      </c>
    </row>
    <row r="1644" spans="1:13" x14ac:dyDescent="0.3">
      <c r="A1644" t="s">
        <v>1657</v>
      </c>
      <c r="B1644" t="s">
        <v>14</v>
      </c>
      <c r="C1644" s="4">
        <f>VLOOKUP(Googleadssales[[#This Row],[Ad_ID]],'[1]pre processed data'!A:C,3,0)</f>
        <v>122</v>
      </c>
      <c r="D1644" s="4">
        <f>VLOOKUP(Googleadssales[[#This Row],[Ad_ID]],'[1]pre processed data'!A:E,5,0)</f>
        <v>4295</v>
      </c>
      <c r="E1644" s="5" t="str">
        <f>VLOOKUP(Googleadssales[[#This Row],[Ad_ID]],[1]!Table3[[Ad_ID]:[Cost-imputed]],7,0)</f>
        <v>$200.00</v>
      </c>
      <c r="F1644" s="4">
        <f>VLOOKUP(Googleadssales[[#This Row],[Ad_ID]],'[1]pre processed data'!A:I,9,0)</f>
        <v>24</v>
      </c>
      <c r="G1644" s="4">
        <f>VLOOKUP(Googleadssales[[#This Row],[Ad_ID]],'[1]pre processed data'!A:K,11,0)</f>
        <v>6</v>
      </c>
      <c r="H1644" s="2">
        <f>Googleadssales[[#This Row],[Conversions]]/Googleadssales[[#This Row],[Clicks]]</f>
        <v>4.9180327868852458E-2</v>
      </c>
      <c r="I1644" t="str">
        <f>VLOOKUP(Googleadssales[[#This Row],[Ad_ID]],'[1]pre processed data'!A:O,15,0)</f>
        <v>$1349</v>
      </c>
      <c r="J1644" s="3">
        <f>VLOOKUP(Googleadssales[[#This Row],[Ad_ID]],'[1]pre processed data'!A:Q,17,0)</f>
        <v>45606</v>
      </c>
      <c r="K1644" t="str">
        <f>VLOOKUP(Googleadssales[[#This Row],[Ad_ID]],'[1]pre processed data'!A:R,18,0)</f>
        <v>Bangaluru</v>
      </c>
      <c r="L1644" t="str">
        <f>VLOOKUP(Googleadssales[[#This Row],[Ad_ID]],'[1]pre processed data'!A:S,19,0)</f>
        <v>Desktop</v>
      </c>
      <c r="M1644" t="str">
        <f>VLOOKUP(Googleadssales[[#This Row],[Ad_ID]],'[1]pre processed data'!A:T,20,0)</f>
        <v>data analytics course</v>
      </c>
    </row>
    <row r="1645" spans="1:13" x14ac:dyDescent="0.3">
      <c r="A1645" t="s">
        <v>1658</v>
      </c>
      <c r="B1645" t="s">
        <v>14</v>
      </c>
      <c r="C1645" s="4">
        <f>VLOOKUP(Googleadssales[[#This Row],[Ad_ID]],'[1]pre processed data'!A:C,3,0)</f>
        <v>138.95699356913184</v>
      </c>
      <c r="D1645" s="4">
        <f>VLOOKUP(Googleadssales[[#This Row],[Ad_ID]],'[1]pre processed data'!A:E,5,0)</f>
        <v>4314</v>
      </c>
      <c r="E1645" s="5" t="str">
        <f>VLOOKUP(Googleadssales[[#This Row],[Ad_ID]],[1]!Table3[[Ad_ID]:[Cost-imputed]],7,0)</f>
        <v>$194.56</v>
      </c>
      <c r="F1645" s="4">
        <f>VLOOKUP(Googleadssales[[#This Row],[Ad_ID]],'[1]pre processed data'!A:I,9,0)</f>
        <v>21</v>
      </c>
      <c r="G1645" s="4">
        <f>VLOOKUP(Googleadssales[[#This Row],[Ad_ID]],'[1]pre processed data'!A:K,11,0)</f>
        <v>9</v>
      </c>
      <c r="H1645" s="2">
        <f>Googleadssales[[#This Row],[Conversions]]/Googleadssales[[#This Row],[Clicks]]</f>
        <v>6.4768240653698753E-2</v>
      </c>
      <c r="I1645" t="str">
        <f>VLOOKUP(Googleadssales[[#This Row],[Ad_ID]],'[1]pre processed data'!A:O,15,0)</f>
        <v>$1211</v>
      </c>
      <c r="J1645" s="3">
        <f>VLOOKUP(Googleadssales[[#This Row],[Ad_ID]],'[1]pre processed data'!A:Q,17,0)</f>
        <v>45605</v>
      </c>
      <c r="K1645" t="str">
        <f>VLOOKUP(Googleadssales[[#This Row],[Ad_ID]],'[1]pre processed data'!A:R,18,0)</f>
        <v>Hyderabad</v>
      </c>
      <c r="L1645" t="str">
        <f>VLOOKUP(Googleadssales[[#This Row],[Ad_ID]],'[1]pre processed data'!A:S,19,0)</f>
        <v>Tablet</v>
      </c>
      <c r="M1645" t="str">
        <f>VLOOKUP(Googleadssales[[#This Row],[Ad_ID]],'[1]pre processed data'!A:T,20,0)</f>
        <v>data analytics training</v>
      </c>
    </row>
    <row r="1646" spans="1:13" x14ac:dyDescent="0.3">
      <c r="A1646" t="s">
        <v>1659</v>
      </c>
      <c r="B1646" t="s">
        <v>18</v>
      </c>
      <c r="C1646" s="4">
        <f>VLOOKUP(Googleadssales[[#This Row],[Ad_ID]],'[1]pre processed data'!A:C,3,0)</f>
        <v>157</v>
      </c>
      <c r="D1646" s="4">
        <f>VLOOKUP(Googleadssales[[#This Row],[Ad_ID]],'[1]pre processed data'!A:E,5,0)</f>
        <v>4111</v>
      </c>
      <c r="E1646" s="5" t="str">
        <f>VLOOKUP(Googleadssales[[#This Row],[Ad_ID]],[1]!Table3[[Ad_ID]:[Cost-imputed]],7,0)</f>
        <v>$208.46</v>
      </c>
      <c r="F1646" s="4">
        <f>VLOOKUP(Googleadssales[[#This Row],[Ad_ID]],'[1]pre processed data'!A:I,9,0)</f>
        <v>27</v>
      </c>
      <c r="G1646" s="4">
        <f>VLOOKUP(Googleadssales[[#This Row],[Ad_ID]],'[1]pre processed data'!A:K,11,0)</f>
        <v>8</v>
      </c>
      <c r="H1646" s="2">
        <f>Googleadssales[[#This Row],[Conversions]]/Googleadssales[[#This Row],[Clicks]]</f>
        <v>5.0955414012738856E-2</v>
      </c>
      <c r="I1646" t="str">
        <f>VLOOKUP(Googleadssales[[#This Row],[Ad_ID]],'[1]pre processed data'!A:O,15,0)</f>
        <v>$1187</v>
      </c>
      <c r="J1646" s="3">
        <f>VLOOKUP(Googleadssales[[#This Row],[Ad_ID]],'[1]pre processed data'!A:Q,17,0)</f>
        <v>45601</v>
      </c>
      <c r="K1646" t="str">
        <f>VLOOKUP(Googleadssales[[#This Row],[Ad_ID]],'[1]pre processed data'!A:R,18,0)</f>
        <v>Hyderabad</v>
      </c>
      <c r="L1646" t="str">
        <f>VLOOKUP(Googleadssales[[#This Row],[Ad_ID]],'[1]pre processed data'!A:S,19,0)</f>
        <v>Tablet</v>
      </c>
      <c r="M1646" t="str">
        <f>VLOOKUP(Googleadssales[[#This Row],[Ad_ID]],'[1]pre processed data'!A:T,20,0)</f>
        <v>data analytics training</v>
      </c>
    </row>
    <row r="1647" spans="1:13" x14ac:dyDescent="0.3">
      <c r="A1647" t="s">
        <v>1660</v>
      </c>
      <c r="B1647" t="s">
        <v>14</v>
      </c>
      <c r="C1647" s="4">
        <f>VLOOKUP(Googleadssales[[#This Row],[Ad_ID]],'[1]pre processed data'!A:C,3,0)</f>
        <v>178</v>
      </c>
      <c r="D1647" s="4">
        <f>VLOOKUP(Googleadssales[[#This Row],[Ad_ID]],'[1]pre processed data'!A:E,5,0)</f>
        <v>5640</v>
      </c>
      <c r="E1647" s="5" t="str">
        <f>VLOOKUP(Googleadssales[[#This Row],[Ad_ID]],[1]!Table3[[Ad_ID]:[Cost-imputed]],7,0)</f>
        <v>$195.8</v>
      </c>
      <c r="F1647" s="4">
        <f>VLOOKUP(Googleadssales[[#This Row],[Ad_ID]],'[1]pre processed data'!A:I,9,0)</f>
        <v>25</v>
      </c>
      <c r="G1647" s="4">
        <f>VLOOKUP(Googleadssales[[#This Row],[Ad_ID]],'[1]pre processed data'!A:K,11,0)</f>
        <v>4</v>
      </c>
      <c r="H1647" s="2">
        <f>Googleadssales[[#This Row],[Conversions]]/Googleadssales[[#This Row],[Clicks]]</f>
        <v>2.247191011235955E-2</v>
      </c>
      <c r="I1647" t="str">
        <f>VLOOKUP(Googleadssales[[#This Row],[Ad_ID]],'[1]pre processed data'!A:O,15,0)</f>
        <v>$1807</v>
      </c>
      <c r="J1647" s="3">
        <f>VLOOKUP(Googleadssales[[#This Row],[Ad_ID]],'[1]pre processed data'!A:Q,17,0)</f>
        <v>45618</v>
      </c>
      <c r="K1647" t="str">
        <f>VLOOKUP(Googleadssales[[#This Row],[Ad_ID]],'[1]pre processed data'!A:R,18,0)</f>
        <v>Hyderabad</v>
      </c>
      <c r="L1647" t="str">
        <f>VLOOKUP(Googleadssales[[#This Row],[Ad_ID]],'[1]pre processed data'!A:S,19,0)</f>
        <v>Mobile</v>
      </c>
      <c r="M1647" t="str">
        <f>VLOOKUP(Googleadssales[[#This Row],[Ad_ID]],'[1]pre processed data'!A:T,20,0)</f>
        <v>data analytics online</v>
      </c>
    </row>
    <row r="1648" spans="1:13" x14ac:dyDescent="0.3">
      <c r="A1648" t="s">
        <v>1661</v>
      </c>
      <c r="B1648" t="s">
        <v>14</v>
      </c>
      <c r="C1648" s="4">
        <f>VLOOKUP(Googleadssales[[#This Row],[Ad_ID]],'[1]pre processed data'!A:C,3,0)</f>
        <v>94</v>
      </c>
      <c r="D1648" s="4">
        <f>VLOOKUP(Googleadssales[[#This Row],[Ad_ID]],'[1]pre processed data'!A:E,5,0)</f>
        <v>3805</v>
      </c>
      <c r="E1648" s="5" t="str">
        <f>VLOOKUP(Googleadssales[[#This Row],[Ad_ID]],[1]!Table3[[Ad_ID]:[Cost-imputed]],7,0)</f>
        <v>$198.19</v>
      </c>
      <c r="F1648" s="4">
        <f>VLOOKUP(Googleadssales[[#This Row],[Ad_ID]],'[1]pre processed data'!A:I,9,0)</f>
        <v>12</v>
      </c>
      <c r="G1648" s="4">
        <f>VLOOKUP(Googleadssales[[#This Row],[Ad_ID]],'[1]pre processed data'!A:K,11,0)</f>
        <v>8</v>
      </c>
      <c r="H1648" s="2">
        <f>Googleadssales[[#This Row],[Conversions]]/Googleadssales[[#This Row],[Clicks]]</f>
        <v>8.5106382978723402E-2</v>
      </c>
      <c r="I1648" t="str">
        <f>VLOOKUP(Googleadssales[[#This Row],[Ad_ID]],'[1]pre processed data'!A:O,15,0)</f>
        <v>$1523</v>
      </c>
      <c r="J1648" s="3">
        <f>VLOOKUP(Googleadssales[[#This Row],[Ad_ID]],'[1]pre processed data'!A:Q,17,0)</f>
        <v>45606</v>
      </c>
      <c r="K1648" t="str">
        <f>VLOOKUP(Googleadssales[[#This Row],[Ad_ID]],'[1]pre processed data'!A:R,18,0)</f>
        <v>Bangaluru</v>
      </c>
      <c r="L1648" t="str">
        <f>VLOOKUP(Googleadssales[[#This Row],[Ad_ID]],'[1]pre processed data'!A:S,19,0)</f>
        <v>Tablet</v>
      </c>
      <c r="M1648" t="str">
        <f>VLOOKUP(Googleadssales[[#This Row],[Ad_ID]],'[1]pre processed data'!A:T,20,0)</f>
        <v>data analytics course</v>
      </c>
    </row>
    <row r="1649" spans="1:13" x14ac:dyDescent="0.3">
      <c r="A1649" t="s">
        <v>1662</v>
      </c>
      <c r="B1649" t="s">
        <v>14</v>
      </c>
      <c r="C1649" s="4">
        <f>VLOOKUP(Googleadssales[[#This Row],[Ad_ID]],'[1]pre processed data'!A:C,3,0)</f>
        <v>130</v>
      </c>
      <c r="D1649" s="4">
        <f>VLOOKUP(Googleadssales[[#This Row],[Ad_ID]],'[1]pre processed data'!A:E,5,0)</f>
        <v>4561</v>
      </c>
      <c r="E1649" s="5" t="str">
        <f>VLOOKUP(Googleadssales[[#This Row],[Ad_ID]],[1]!Table3[[Ad_ID]:[Cost-imputed]],7,0)</f>
        <v>$196.04</v>
      </c>
      <c r="F1649" s="4">
        <f>VLOOKUP(Googleadssales[[#This Row],[Ad_ID]],'[1]pre processed data'!A:I,9,0)</f>
        <v>25</v>
      </c>
      <c r="G1649" s="4">
        <f>VLOOKUP(Googleadssales[[#This Row],[Ad_ID]],'[1]pre processed data'!A:K,11,0)</f>
        <v>9</v>
      </c>
      <c r="H1649" s="2">
        <f>Googleadssales[[#This Row],[Conversions]]/Googleadssales[[#This Row],[Clicks]]</f>
        <v>6.9230769230769235E-2</v>
      </c>
      <c r="I1649" t="str">
        <f>VLOOKUP(Googleadssales[[#This Row],[Ad_ID]],'[1]pre processed data'!A:O,15,0)</f>
        <v>$1388</v>
      </c>
      <c r="J1649" s="3">
        <f>VLOOKUP(Googleadssales[[#This Row],[Ad_ID]],'[1]pre processed data'!A:Q,17,0)</f>
        <v>45614</v>
      </c>
      <c r="K1649" t="str">
        <f>VLOOKUP(Googleadssales[[#This Row],[Ad_ID]],'[1]pre processed data'!A:R,18,0)</f>
        <v>Hyderabad</v>
      </c>
      <c r="L1649" t="str">
        <f>VLOOKUP(Googleadssales[[#This Row],[Ad_ID]],'[1]pre processed data'!A:S,19,0)</f>
        <v>Desktop</v>
      </c>
      <c r="M1649" t="str">
        <f>VLOOKUP(Googleadssales[[#This Row],[Ad_ID]],'[1]pre processed data'!A:T,20,0)</f>
        <v>analytics for data</v>
      </c>
    </row>
    <row r="1650" spans="1:13" x14ac:dyDescent="0.3">
      <c r="A1650" t="s">
        <v>1663</v>
      </c>
      <c r="B1650" t="s">
        <v>14</v>
      </c>
      <c r="C1650" s="4">
        <f>VLOOKUP(Googleadssales[[#This Row],[Ad_ID]],'[1]pre processed data'!A:C,3,0)</f>
        <v>169</v>
      </c>
      <c r="D1650" s="4">
        <f>VLOOKUP(Googleadssales[[#This Row],[Ad_ID]],'[1]pre processed data'!A:E,5,0)</f>
        <v>5865</v>
      </c>
      <c r="E1650" s="5" t="str">
        <f>VLOOKUP(Googleadssales[[#This Row],[Ad_ID]],[1]!Table3[[Ad_ID]:[Cost-imputed]],7,0)</f>
        <v>$200.36</v>
      </c>
      <c r="F1650" s="4">
        <f>VLOOKUP(Googleadssales[[#This Row],[Ad_ID]],'[1]pre processed data'!A:I,9,0)</f>
        <v>19</v>
      </c>
      <c r="G1650" s="4">
        <f>VLOOKUP(Googleadssales[[#This Row],[Ad_ID]],'[1]pre processed data'!A:K,11,0)</f>
        <v>5</v>
      </c>
      <c r="H1650" s="2">
        <f>Googleadssales[[#This Row],[Conversions]]/Googleadssales[[#This Row],[Clicks]]</f>
        <v>2.9585798816568046E-2</v>
      </c>
      <c r="I1650" t="str">
        <f>VLOOKUP(Googleadssales[[#This Row],[Ad_ID]],'[1]pre processed data'!A:O,15,0)</f>
        <v>$1482</v>
      </c>
      <c r="J1650" s="3">
        <f>VLOOKUP(Googleadssales[[#This Row],[Ad_ID]],'[1]pre processed data'!A:Q,17,0)</f>
        <v>45626</v>
      </c>
      <c r="K1650" t="str">
        <f>VLOOKUP(Googleadssales[[#This Row],[Ad_ID]],'[1]pre processed data'!A:R,18,0)</f>
        <v>Hyderabad</v>
      </c>
      <c r="L1650" t="str">
        <f>VLOOKUP(Googleadssales[[#This Row],[Ad_ID]],'[1]pre processed data'!A:S,19,0)</f>
        <v>Mobile</v>
      </c>
      <c r="M1650" t="str">
        <f>VLOOKUP(Googleadssales[[#This Row],[Ad_ID]],'[1]pre processed data'!A:T,20,0)</f>
        <v>online data analytic</v>
      </c>
    </row>
    <row r="1651" spans="1:13" x14ac:dyDescent="0.3">
      <c r="A1651" t="s">
        <v>1664</v>
      </c>
      <c r="B1651" t="s">
        <v>14</v>
      </c>
      <c r="C1651" s="4">
        <f>VLOOKUP(Googleadssales[[#This Row],[Ad_ID]],'[1]pre processed data'!A:C,3,0)</f>
        <v>176</v>
      </c>
      <c r="D1651" s="4">
        <f>VLOOKUP(Googleadssales[[#This Row],[Ad_ID]],'[1]pre processed data'!A:E,5,0)</f>
        <v>5275</v>
      </c>
      <c r="E1651" s="5" t="str">
        <f>VLOOKUP(Googleadssales[[#This Row],[Ad_ID]],[1]!Table3[[Ad_ID]:[Cost-imputed]],7,0)</f>
        <v>$241.12</v>
      </c>
      <c r="F1651" s="4">
        <f>VLOOKUP(Googleadssales[[#This Row],[Ad_ID]],'[1]pre processed data'!A:I,9,0)</f>
        <v>14</v>
      </c>
      <c r="G1651" s="4">
        <f>VLOOKUP(Googleadssales[[#This Row],[Ad_ID]],'[1]pre processed data'!A:K,11,0)</f>
        <v>8</v>
      </c>
      <c r="H1651" s="2">
        <f>Googleadssales[[#This Row],[Conversions]]/Googleadssales[[#This Row],[Clicks]]</f>
        <v>4.5454545454545456E-2</v>
      </c>
      <c r="I1651" t="str">
        <f>VLOOKUP(Googleadssales[[#This Row],[Ad_ID]],'[1]pre processed data'!A:O,15,0)</f>
        <v>$1995</v>
      </c>
      <c r="J1651" s="3">
        <f>VLOOKUP(Googleadssales[[#This Row],[Ad_ID]],'[1]pre processed data'!A:Q,17,0)</f>
        <v>45611</v>
      </c>
      <c r="K1651" t="str">
        <f>VLOOKUP(Googleadssales[[#This Row],[Ad_ID]],'[1]pre processed data'!A:R,18,0)</f>
        <v>Chennai</v>
      </c>
      <c r="L1651" t="str">
        <f>VLOOKUP(Googleadssales[[#This Row],[Ad_ID]],'[1]pre processed data'!A:S,19,0)</f>
        <v>Mobile</v>
      </c>
      <c r="M1651" t="str">
        <f>VLOOKUP(Googleadssales[[#This Row],[Ad_ID]],'[1]pre processed data'!A:T,20,0)</f>
        <v>data analytics online</v>
      </c>
    </row>
    <row r="1652" spans="1:13" x14ac:dyDescent="0.3">
      <c r="A1652" t="s">
        <v>1665</v>
      </c>
      <c r="B1652" t="s">
        <v>18</v>
      </c>
      <c r="C1652" s="4">
        <f>VLOOKUP(Googleadssales[[#This Row],[Ad_ID]],'[1]pre processed data'!A:C,3,0)</f>
        <v>143</v>
      </c>
      <c r="D1652" s="4">
        <f>VLOOKUP(Googleadssales[[#This Row],[Ad_ID]],'[1]pre processed data'!A:E,5,0)</f>
        <v>4964</v>
      </c>
      <c r="E1652" s="5" t="str">
        <f>VLOOKUP(Googleadssales[[#This Row],[Ad_ID]],[1]!Table3[[Ad_ID]:[Cost-imputed]],7,0)</f>
        <v>$207.66</v>
      </c>
      <c r="F1652" s="4">
        <f>VLOOKUP(Googleadssales[[#This Row],[Ad_ID]],'[1]pre processed data'!A:I,9,0)</f>
        <v>21</v>
      </c>
      <c r="G1652" s="4">
        <f>VLOOKUP(Googleadssales[[#This Row],[Ad_ID]],'[1]pre processed data'!A:K,11,0)</f>
        <v>10</v>
      </c>
      <c r="H1652" s="2">
        <f>Googleadssales[[#This Row],[Conversions]]/Googleadssales[[#This Row],[Clicks]]</f>
        <v>6.9930069930069935E-2</v>
      </c>
      <c r="I1652" t="str">
        <f>VLOOKUP(Googleadssales[[#This Row],[Ad_ID]],'[1]pre processed data'!A:O,15,0)</f>
        <v>$1619</v>
      </c>
      <c r="J1652" s="3">
        <f>VLOOKUP(Googleadssales[[#This Row],[Ad_ID]],'[1]pre processed data'!A:Q,17,0)</f>
        <v>45609</v>
      </c>
      <c r="K1652" t="str">
        <f>VLOOKUP(Googleadssales[[#This Row],[Ad_ID]],'[1]pre processed data'!A:R,18,0)</f>
        <v>Chennai</v>
      </c>
      <c r="L1652" t="str">
        <f>VLOOKUP(Googleadssales[[#This Row],[Ad_ID]],'[1]pre processed data'!A:S,19,0)</f>
        <v>Tablet</v>
      </c>
      <c r="M1652" t="str">
        <f>VLOOKUP(Googleadssales[[#This Row],[Ad_ID]],'[1]pre processed data'!A:T,20,0)</f>
        <v>analytics for data</v>
      </c>
    </row>
    <row r="1653" spans="1:13" x14ac:dyDescent="0.3">
      <c r="A1653" t="s">
        <v>1666</v>
      </c>
      <c r="B1653" t="s">
        <v>14</v>
      </c>
      <c r="C1653" s="4">
        <f>VLOOKUP(Googleadssales[[#This Row],[Ad_ID]],'[1]pre processed data'!A:C,3,0)</f>
        <v>153</v>
      </c>
      <c r="D1653" s="4">
        <f>VLOOKUP(Googleadssales[[#This Row],[Ad_ID]],'[1]pre processed data'!A:E,5,0)</f>
        <v>5292</v>
      </c>
      <c r="E1653" s="5" t="str">
        <f>VLOOKUP(Googleadssales[[#This Row],[Ad_ID]],[1]!Table3[[Ad_ID]:[Cost-imputed]],7,0)</f>
        <v>$225.98</v>
      </c>
      <c r="F1653" s="4">
        <f>VLOOKUP(Googleadssales[[#This Row],[Ad_ID]],'[1]pre processed data'!A:I,9,0)</f>
        <v>21</v>
      </c>
      <c r="G1653" s="4">
        <f>VLOOKUP(Googleadssales[[#This Row],[Ad_ID]],'[1]pre processed data'!A:K,11,0)</f>
        <v>9</v>
      </c>
      <c r="H1653" s="2">
        <f>Googleadssales[[#This Row],[Conversions]]/Googleadssales[[#This Row],[Clicks]]</f>
        <v>5.8823529411764705E-2</v>
      </c>
      <c r="I1653" t="str">
        <f>VLOOKUP(Googleadssales[[#This Row],[Ad_ID]],'[1]pre processed data'!A:O,15,0)</f>
        <v>$1223</v>
      </c>
      <c r="J1653" s="3">
        <f>VLOOKUP(Googleadssales[[#This Row],[Ad_ID]],'[1]pre processed data'!A:Q,17,0)</f>
        <v>45606</v>
      </c>
      <c r="K1653" t="str">
        <f>VLOOKUP(Googleadssales[[#This Row],[Ad_ID]],'[1]pre processed data'!A:R,18,0)</f>
        <v>Bangaluru</v>
      </c>
      <c r="L1653" t="str">
        <f>VLOOKUP(Googleadssales[[#This Row],[Ad_ID]],'[1]pre processed data'!A:S,19,0)</f>
        <v>Mobile</v>
      </c>
      <c r="M1653" t="str">
        <f>VLOOKUP(Googleadssales[[#This Row],[Ad_ID]],'[1]pre processed data'!A:T,20,0)</f>
        <v>data analytics course</v>
      </c>
    </row>
    <row r="1654" spans="1:13" x14ac:dyDescent="0.3">
      <c r="A1654" t="s">
        <v>1667</v>
      </c>
      <c r="B1654" t="s">
        <v>14</v>
      </c>
      <c r="C1654" s="4">
        <f>VLOOKUP(Googleadssales[[#This Row],[Ad_ID]],'[1]pre processed data'!A:C,3,0)</f>
        <v>96</v>
      </c>
      <c r="D1654" s="4">
        <f>VLOOKUP(Googleadssales[[#This Row],[Ad_ID]],'[1]pre processed data'!A:E,5,0)</f>
        <v>5568</v>
      </c>
      <c r="E1654" s="5" t="str">
        <f>VLOOKUP(Googleadssales[[#This Row],[Ad_ID]],[1]!Table3[[Ad_ID]:[Cost-imputed]],7,0)</f>
        <v>$210.99</v>
      </c>
      <c r="F1654" s="4">
        <f>VLOOKUP(Googleadssales[[#This Row],[Ad_ID]],'[1]pre processed data'!A:I,9,0)</f>
        <v>19</v>
      </c>
      <c r="G1654" s="4">
        <f>VLOOKUP(Googleadssales[[#This Row],[Ad_ID]],'[1]pre processed data'!A:K,11,0)</f>
        <v>10</v>
      </c>
      <c r="H1654" s="2">
        <f>Googleadssales[[#This Row],[Conversions]]/Googleadssales[[#This Row],[Clicks]]</f>
        <v>0.10416666666666667</v>
      </c>
      <c r="I1654" t="str">
        <f>VLOOKUP(Googleadssales[[#This Row],[Ad_ID]],'[1]pre processed data'!A:O,15,0)</f>
        <v>$1317</v>
      </c>
      <c r="J1654" s="3">
        <f>VLOOKUP(Googleadssales[[#This Row],[Ad_ID]],'[1]pre processed data'!A:Q,17,0)</f>
        <v>45617</v>
      </c>
      <c r="K1654" t="str">
        <f>VLOOKUP(Googleadssales[[#This Row],[Ad_ID]],'[1]pre processed data'!A:R,18,0)</f>
        <v>Chennai</v>
      </c>
      <c r="L1654" t="str">
        <f>VLOOKUP(Googleadssales[[#This Row],[Ad_ID]],'[1]pre processed data'!A:S,19,0)</f>
        <v>Desktop</v>
      </c>
      <c r="M1654" t="str">
        <f>VLOOKUP(Googleadssales[[#This Row],[Ad_ID]],'[1]pre processed data'!A:T,20,0)</f>
        <v>learn data analytics</v>
      </c>
    </row>
    <row r="1655" spans="1:13" x14ac:dyDescent="0.3">
      <c r="A1655" t="s">
        <v>1668</v>
      </c>
      <c r="B1655" t="s">
        <v>14</v>
      </c>
      <c r="C1655" s="4">
        <f>VLOOKUP(Googleadssales[[#This Row],[Ad_ID]],'[1]pre processed data'!A:C,3,0)</f>
        <v>96</v>
      </c>
      <c r="D1655" s="4">
        <f>VLOOKUP(Googleadssales[[#This Row],[Ad_ID]],'[1]pre processed data'!A:E,5,0)</f>
        <v>4849</v>
      </c>
      <c r="E1655" s="5" t="str">
        <f>VLOOKUP(Googleadssales[[#This Row],[Ad_ID]],[1]!Table3[[Ad_ID]:[Cost-imputed]],7,0)</f>
        <v>$198.41</v>
      </c>
      <c r="F1655" s="4">
        <f>VLOOKUP(Googleadssales[[#This Row],[Ad_ID]],'[1]pre processed data'!A:I,9,0)</f>
        <v>13</v>
      </c>
      <c r="G1655" s="4">
        <f>VLOOKUP(Googleadssales[[#This Row],[Ad_ID]],'[1]pre processed data'!A:K,11,0)</f>
        <v>5</v>
      </c>
      <c r="H1655" s="2">
        <f>Googleadssales[[#This Row],[Conversions]]/Googleadssales[[#This Row],[Clicks]]</f>
        <v>5.2083333333333336E-2</v>
      </c>
      <c r="I1655" t="str">
        <f>VLOOKUP(Googleadssales[[#This Row],[Ad_ID]],'[1]pre processed data'!A:O,15,0)</f>
        <v>$1198</v>
      </c>
      <c r="J1655" s="3">
        <f>VLOOKUP(Googleadssales[[#This Row],[Ad_ID]],'[1]pre processed data'!A:Q,17,0)</f>
        <v>45623</v>
      </c>
      <c r="K1655" t="str">
        <f>VLOOKUP(Googleadssales[[#This Row],[Ad_ID]],'[1]pre processed data'!A:R,18,0)</f>
        <v>Bangaluru</v>
      </c>
      <c r="L1655" t="str">
        <f>VLOOKUP(Googleadssales[[#This Row],[Ad_ID]],'[1]pre processed data'!A:S,19,0)</f>
        <v>Mobile</v>
      </c>
      <c r="M1655" t="str">
        <f>VLOOKUP(Googleadssales[[#This Row],[Ad_ID]],'[1]pre processed data'!A:T,20,0)</f>
        <v>online data analytic</v>
      </c>
    </row>
    <row r="1656" spans="1:13" x14ac:dyDescent="0.3">
      <c r="A1656" t="s">
        <v>1669</v>
      </c>
      <c r="B1656" t="s">
        <v>14</v>
      </c>
      <c r="C1656" s="4">
        <f>VLOOKUP(Googleadssales[[#This Row],[Ad_ID]],'[1]pre processed data'!A:C,3,0)</f>
        <v>172</v>
      </c>
      <c r="D1656" s="4">
        <f>VLOOKUP(Googleadssales[[#This Row],[Ad_ID]],'[1]pre processed data'!A:E,5,0)</f>
        <v>4128</v>
      </c>
      <c r="E1656" s="5" t="str">
        <f>VLOOKUP(Googleadssales[[#This Row],[Ad_ID]],[1]!Table3[[Ad_ID]:[Cost-imputed]],7,0)</f>
        <v>$200.00</v>
      </c>
      <c r="F1656" s="4">
        <f>VLOOKUP(Googleadssales[[#This Row],[Ad_ID]],'[1]pre processed data'!A:I,9,0)</f>
        <v>12</v>
      </c>
      <c r="G1656" s="4">
        <f>VLOOKUP(Googleadssales[[#This Row],[Ad_ID]],'[1]pre processed data'!A:K,11,0)</f>
        <v>7</v>
      </c>
      <c r="H1656" s="2">
        <f>Googleadssales[[#This Row],[Conversions]]/Googleadssales[[#This Row],[Clicks]]</f>
        <v>4.0697674418604654E-2</v>
      </c>
      <c r="I1656" t="str">
        <f>VLOOKUP(Googleadssales[[#This Row],[Ad_ID]],'[1]pre processed data'!A:O,15,0)</f>
        <v>$1070</v>
      </c>
      <c r="J1656" s="3">
        <f>VLOOKUP(Googleadssales[[#This Row],[Ad_ID]],'[1]pre processed data'!A:Q,17,0)</f>
        <v>45613</v>
      </c>
      <c r="K1656" t="str">
        <f>VLOOKUP(Googleadssales[[#This Row],[Ad_ID]],'[1]pre processed data'!A:R,18,0)</f>
        <v>Chennai</v>
      </c>
      <c r="L1656" t="str">
        <f>VLOOKUP(Googleadssales[[#This Row],[Ad_ID]],'[1]pre processed data'!A:S,19,0)</f>
        <v>Tablet</v>
      </c>
      <c r="M1656" t="str">
        <f>VLOOKUP(Googleadssales[[#This Row],[Ad_ID]],'[1]pre processed data'!A:T,20,0)</f>
        <v>learn data analytics</v>
      </c>
    </row>
    <row r="1657" spans="1:13" x14ac:dyDescent="0.3">
      <c r="A1657" t="s">
        <v>1670</v>
      </c>
      <c r="B1657" t="s">
        <v>14</v>
      </c>
      <c r="C1657" s="4">
        <f>VLOOKUP(Googleadssales[[#This Row],[Ad_ID]],'[1]pre processed data'!A:C,3,0)</f>
        <v>197</v>
      </c>
      <c r="D1657" s="4">
        <f>VLOOKUP(Googleadssales[[#This Row],[Ad_ID]],'[1]pre processed data'!A:E,5,0)</f>
        <v>4645</v>
      </c>
      <c r="E1657" s="5" t="str">
        <f>VLOOKUP(Googleadssales[[#This Row],[Ad_ID]],[1]!Table3[[Ad_ID]:[Cost-imputed]],7,0)</f>
        <v>$219.15</v>
      </c>
      <c r="F1657" s="4">
        <f>VLOOKUP(Googleadssales[[#This Row],[Ad_ID]],'[1]pre processed data'!A:I,9,0)</f>
        <v>24</v>
      </c>
      <c r="G1657" s="4">
        <f>VLOOKUP(Googleadssales[[#This Row],[Ad_ID]],'[1]pre processed data'!A:K,11,0)</f>
        <v>5</v>
      </c>
      <c r="H1657" s="2">
        <f>Googleadssales[[#This Row],[Conversions]]/Googleadssales[[#This Row],[Clicks]]</f>
        <v>2.5380710659898477E-2</v>
      </c>
      <c r="I1657" t="str">
        <f>VLOOKUP(Googleadssales[[#This Row],[Ad_ID]],'[1]pre processed data'!A:O,15,0)</f>
        <v>$1911</v>
      </c>
      <c r="J1657" s="3">
        <f>VLOOKUP(Googleadssales[[#This Row],[Ad_ID]],'[1]pre processed data'!A:Q,17,0)</f>
        <v>45626</v>
      </c>
      <c r="K1657" t="str">
        <f>VLOOKUP(Googleadssales[[#This Row],[Ad_ID]],'[1]pre processed data'!A:R,18,0)</f>
        <v>Bangaluru</v>
      </c>
      <c r="L1657" t="str">
        <f>VLOOKUP(Googleadssales[[#This Row],[Ad_ID]],'[1]pre processed data'!A:S,19,0)</f>
        <v>Mobile</v>
      </c>
      <c r="M1657" t="str">
        <f>VLOOKUP(Googleadssales[[#This Row],[Ad_ID]],'[1]pre processed data'!A:T,20,0)</f>
        <v>online data analytic</v>
      </c>
    </row>
    <row r="1658" spans="1:13" x14ac:dyDescent="0.3">
      <c r="A1658" t="s">
        <v>1671</v>
      </c>
      <c r="B1658" t="s">
        <v>14</v>
      </c>
      <c r="C1658" s="4">
        <f>VLOOKUP(Googleadssales[[#This Row],[Ad_ID]],'[1]pre processed data'!A:C,3,0)</f>
        <v>191</v>
      </c>
      <c r="D1658" s="4">
        <f>VLOOKUP(Googleadssales[[#This Row],[Ad_ID]],'[1]pre processed data'!A:E,5,0)</f>
        <v>5706</v>
      </c>
      <c r="E1658" s="5" t="str">
        <f>VLOOKUP(Googleadssales[[#This Row],[Ad_ID]],[1]!Table3[[Ad_ID]:[Cost-imputed]],7,0)</f>
        <v>$249.69</v>
      </c>
      <c r="F1658" s="4">
        <f>VLOOKUP(Googleadssales[[#This Row],[Ad_ID]],'[1]pre processed data'!A:I,9,0)</f>
        <v>25</v>
      </c>
      <c r="G1658" s="4">
        <f>VLOOKUP(Googleadssales[[#This Row],[Ad_ID]],'[1]pre processed data'!A:K,11,0)</f>
        <v>6</v>
      </c>
      <c r="H1658" s="2">
        <f>Googleadssales[[#This Row],[Conversions]]/Googleadssales[[#This Row],[Clicks]]</f>
        <v>3.1413612565445025E-2</v>
      </c>
      <c r="I1658" t="str">
        <f>VLOOKUP(Googleadssales[[#This Row],[Ad_ID]],'[1]pre processed data'!A:O,15,0)</f>
        <v>$1821</v>
      </c>
      <c r="J1658" s="3">
        <f>VLOOKUP(Googleadssales[[#This Row],[Ad_ID]],'[1]pre processed data'!A:Q,17,0)</f>
        <v>45612</v>
      </c>
      <c r="K1658" t="str">
        <f>VLOOKUP(Googleadssales[[#This Row],[Ad_ID]],'[1]pre processed data'!A:R,18,0)</f>
        <v>Chennai</v>
      </c>
      <c r="L1658" t="str">
        <f>VLOOKUP(Googleadssales[[#This Row],[Ad_ID]],'[1]pre processed data'!A:S,19,0)</f>
        <v>Desktop</v>
      </c>
      <c r="M1658" t="str">
        <f>VLOOKUP(Googleadssales[[#This Row],[Ad_ID]],'[1]pre processed data'!A:T,20,0)</f>
        <v>data analytics online</v>
      </c>
    </row>
    <row r="1659" spans="1:13" x14ac:dyDescent="0.3">
      <c r="A1659" t="s">
        <v>1672</v>
      </c>
      <c r="B1659" t="s">
        <v>14</v>
      </c>
      <c r="C1659" s="4">
        <f>VLOOKUP(Googleadssales[[#This Row],[Ad_ID]],'[1]pre processed data'!A:C,3,0)</f>
        <v>167</v>
      </c>
      <c r="D1659" s="4">
        <f>VLOOKUP(Googleadssales[[#This Row],[Ad_ID]],'[1]pre processed data'!A:E,5,0)</f>
        <v>3438</v>
      </c>
      <c r="E1659" s="5" t="str">
        <f>VLOOKUP(Googleadssales[[#This Row],[Ad_ID]],[1]!Table3[[Ad_ID]:[Cost-imputed]],7,0)</f>
        <v>$235.2</v>
      </c>
      <c r="F1659" s="4">
        <f>VLOOKUP(Googleadssales[[#This Row],[Ad_ID]],'[1]pre processed data'!A:I,9,0)</f>
        <v>10</v>
      </c>
      <c r="G1659" s="4">
        <f>VLOOKUP(Googleadssales[[#This Row],[Ad_ID]],'[1]pre processed data'!A:K,11,0)</f>
        <v>7</v>
      </c>
      <c r="H1659" s="2">
        <f>Googleadssales[[#This Row],[Conversions]]/Googleadssales[[#This Row],[Clicks]]</f>
        <v>4.1916167664670656E-2</v>
      </c>
      <c r="I1659" t="str">
        <f>VLOOKUP(Googleadssales[[#This Row],[Ad_ID]],'[1]pre processed data'!A:O,15,0)</f>
        <v>$1229</v>
      </c>
      <c r="J1659" s="3">
        <f>VLOOKUP(Googleadssales[[#This Row],[Ad_ID]],'[1]pre processed data'!A:Q,17,0)</f>
        <v>45613</v>
      </c>
      <c r="K1659" t="str">
        <f>VLOOKUP(Googleadssales[[#This Row],[Ad_ID]],'[1]pre processed data'!A:R,18,0)</f>
        <v>Chennai</v>
      </c>
      <c r="L1659" t="str">
        <f>VLOOKUP(Googleadssales[[#This Row],[Ad_ID]],'[1]pre processed data'!A:S,19,0)</f>
        <v>Desktop</v>
      </c>
      <c r="M1659" t="str">
        <f>VLOOKUP(Googleadssales[[#This Row],[Ad_ID]],'[1]pre processed data'!A:T,20,0)</f>
        <v>data analytics online</v>
      </c>
    </row>
    <row r="1660" spans="1:13" x14ac:dyDescent="0.3">
      <c r="A1660" t="s">
        <v>1673</v>
      </c>
      <c r="B1660" t="s">
        <v>14</v>
      </c>
      <c r="C1660" s="4">
        <f>VLOOKUP(Googleadssales[[#This Row],[Ad_ID]],'[1]pre processed data'!A:C,3,0)</f>
        <v>191</v>
      </c>
      <c r="D1660" s="4">
        <f>VLOOKUP(Googleadssales[[#This Row],[Ad_ID]],'[1]pre processed data'!A:E,5,0)</f>
        <v>3610</v>
      </c>
      <c r="E1660" s="5" t="str">
        <f>VLOOKUP(Googleadssales[[#This Row],[Ad_ID]],[1]!Table3[[Ad_ID]:[Cost-imputed]],7,0)</f>
        <v>$217.44</v>
      </c>
      <c r="F1660" s="4">
        <f>VLOOKUP(Googleadssales[[#This Row],[Ad_ID]],'[1]pre processed data'!A:I,9,0)</f>
        <v>27</v>
      </c>
      <c r="G1660" s="4">
        <f>VLOOKUP(Googleadssales[[#This Row],[Ad_ID]],'[1]pre processed data'!A:K,11,0)</f>
        <v>6</v>
      </c>
      <c r="H1660" s="2">
        <f>Googleadssales[[#This Row],[Conversions]]/Googleadssales[[#This Row],[Clicks]]</f>
        <v>3.1413612565445025E-2</v>
      </c>
      <c r="I1660" t="str">
        <f>VLOOKUP(Googleadssales[[#This Row],[Ad_ID]],'[1]pre processed data'!A:O,15,0)</f>
        <v>$1890</v>
      </c>
      <c r="J1660" s="3">
        <f>VLOOKUP(Googleadssales[[#This Row],[Ad_ID]],'[1]pre processed data'!A:Q,17,0)</f>
        <v>45619</v>
      </c>
      <c r="K1660" t="str">
        <f>VLOOKUP(Googleadssales[[#This Row],[Ad_ID]],'[1]pre processed data'!A:R,18,0)</f>
        <v>Chennai</v>
      </c>
      <c r="L1660" t="str">
        <f>VLOOKUP(Googleadssales[[#This Row],[Ad_ID]],'[1]pre processed data'!A:S,19,0)</f>
        <v>Tablet</v>
      </c>
      <c r="M1660" t="str">
        <f>VLOOKUP(Googleadssales[[#This Row],[Ad_ID]],'[1]pre processed data'!A:T,20,0)</f>
        <v>analytics for data</v>
      </c>
    </row>
    <row r="1661" spans="1:13" x14ac:dyDescent="0.3">
      <c r="A1661" t="s">
        <v>1674</v>
      </c>
      <c r="B1661" t="s">
        <v>14</v>
      </c>
      <c r="C1661" s="4">
        <f>VLOOKUP(Googleadssales[[#This Row],[Ad_ID]],'[1]pre processed data'!A:C,3,0)</f>
        <v>90</v>
      </c>
      <c r="D1661" s="4">
        <f>VLOOKUP(Googleadssales[[#This Row],[Ad_ID]],'[1]pre processed data'!A:E,5,0)</f>
        <v>3828</v>
      </c>
      <c r="E1661" s="5" t="str">
        <f>VLOOKUP(Googleadssales[[#This Row],[Ad_ID]],[1]!Table3[[Ad_ID]:[Cost-imputed]],7,0)</f>
        <v>$238.12</v>
      </c>
      <c r="F1661" s="4">
        <f>VLOOKUP(Googleadssales[[#This Row],[Ad_ID]],'[1]pre processed data'!A:I,9,0)</f>
        <v>21</v>
      </c>
      <c r="G1661" s="4">
        <f>VLOOKUP(Googleadssales[[#This Row],[Ad_ID]],'[1]pre processed data'!A:K,11,0)</f>
        <v>6</v>
      </c>
      <c r="H1661" s="2">
        <f>Googleadssales[[#This Row],[Conversions]]/Googleadssales[[#This Row],[Clicks]]</f>
        <v>6.6666666666666666E-2</v>
      </c>
      <c r="I1661" t="str">
        <f>VLOOKUP(Googleadssales[[#This Row],[Ad_ID]],'[1]pre processed data'!A:O,15,0)</f>
        <v>$1505</v>
      </c>
      <c r="J1661" s="3">
        <f>VLOOKUP(Googleadssales[[#This Row],[Ad_ID]],'[1]pre processed data'!A:Q,17,0)</f>
        <v>45617</v>
      </c>
      <c r="K1661" t="str">
        <f>VLOOKUP(Googleadssales[[#This Row],[Ad_ID]],'[1]pre processed data'!A:R,18,0)</f>
        <v>Bangaluru</v>
      </c>
      <c r="L1661" t="str">
        <f>VLOOKUP(Googleadssales[[#This Row],[Ad_ID]],'[1]pre processed data'!A:S,19,0)</f>
        <v>Desktop</v>
      </c>
      <c r="M1661" t="str">
        <f>VLOOKUP(Googleadssales[[#This Row],[Ad_ID]],'[1]pre processed data'!A:T,20,0)</f>
        <v>data analytics online</v>
      </c>
    </row>
    <row r="1662" spans="1:13" x14ac:dyDescent="0.3">
      <c r="A1662" t="s">
        <v>1675</v>
      </c>
      <c r="B1662" t="s">
        <v>18</v>
      </c>
      <c r="C1662" s="4">
        <f>VLOOKUP(Googleadssales[[#This Row],[Ad_ID]],'[1]pre processed data'!A:C,3,0)</f>
        <v>115</v>
      </c>
      <c r="D1662" s="4">
        <f>VLOOKUP(Googleadssales[[#This Row],[Ad_ID]],'[1]pre processed data'!A:E,5,0)</f>
        <v>5431</v>
      </c>
      <c r="E1662" s="5" t="str">
        <f>VLOOKUP(Googleadssales[[#This Row],[Ad_ID]],[1]!Table3[[Ad_ID]:[Cost-imputed]],7,0)</f>
        <v>$180.5</v>
      </c>
      <c r="F1662" s="4">
        <f>VLOOKUP(Googleadssales[[#This Row],[Ad_ID]],'[1]pre processed data'!A:I,9,0)</f>
        <v>20.234204793028322</v>
      </c>
      <c r="G1662" s="4">
        <f>VLOOKUP(Googleadssales[[#This Row],[Ad_ID]],'[1]pre processed data'!A:K,11,0)</f>
        <v>7</v>
      </c>
      <c r="H1662" s="2">
        <f>Googleadssales[[#This Row],[Conversions]]/Googleadssales[[#This Row],[Clicks]]</f>
        <v>6.0869565217391307E-2</v>
      </c>
      <c r="I1662" t="str">
        <f>VLOOKUP(Googleadssales[[#This Row],[Ad_ID]],'[1]pre processed data'!A:O,15,0)</f>
        <v>$1995</v>
      </c>
      <c r="J1662" s="3">
        <f>VLOOKUP(Googleadssales[[#This Row],[Ad_ID]],'[1]pre processed data'!A:Q,17,0)</f>
        <v>45611</v>
      </c>
      <c r="K1662" t="str">
        <f>VLOOKUP(Googleadssales[[#This Row],[Ad_ID]],'[1]pre processed data'!A:R,18,0)</f>
        <v>Chennai</v>
      </c>
      <c r="L1662" t="str">
        <f>VLOOKUP(Googleadssales[[#This Row],[Ad_ID]],'[1]pre processed data'!A:S,19,0)</f>
        <v>Desktop</v>
      </c>
      <c r="M1662" t="str">
        <f>VLOOKUP(Googleadssales[[#This Row],[Ad_ID]],'[1]pre processed data'!A:T,20,0)</f>
        <v>data analytics course</v>
      </c>
    </row>
    <row r="1663" spans="1:13" x14ac:dyDescent="0.3">
      <c r="A1663" t="s">
        <v>1676</v>
      </c>
      <c r="B1663" t="s">
        <v>14</v>
      </c>
      <c r="C1663" s="4">
        <f>VLOOKUP(Googleadssales[[#This Row],[Ad_ID]],'[1]pre processed data'!A:C,3,0)</f>
        <v>188</v>
      </c>
      <c r="D1663" s="4">
        <f>VLOOKUP(Googleadssales[[#This Row],[Ad_ID]],'[1]pre processed data'!A:E,5,0)</f>
        <v>4300</v>
      </c>
      <c r="E1663" s="5" t="str">
        <f>VLOOKUP(Googleadssales[[#This Row],[Ad_ID]],[1]!Table3[[Ad_ID]:[Cost-imputed]],7,0)</f>
        <v>$226.13</v>
      </c>
      <c r="F1663" s="4">
        <f>VLOOKUP(Googleadssales[[#This Row],[Ad_ID]],'[1]pre processed data'!A:I,9,0)</f>
        <v>28</v>
      </c>
      <c r="G1663" s="4">
        <f>VLOOKUP(Googleadssales[[#This Row],[Ad_ID]],'[1]pre processed data'!A:K,11,0)</f>
        <v>7</v>
      </c>
      <c r="H1663" s="2">
        <f>Googleadssales[[#This Row],[Conversions]]/Googleadssales[[#This Row],[Clicks]]</f>
        <v>3.7234042553191488E-2</v>
      </c>
      <c r="I1663" t="str">
        <f>VLOOKUP(Googleadssales[[#This Row],[Ad_ID]],'[1]pre processed data'!A:O,15,0)</f>
        <v>$1185</v>
      </c>
      <c r="J1663" s="3">
        <f>VLOOKUP(Googleadssales[[#This Row],[Ad_ID]],'[1]pre processed data'!A:Q,17,0)</f>
        <v>45610</v>
      </c>
      <c r="K1663" t="str">
        <f>VLOOKUP(Googleadssales[[#This Row],[Ad_ID]],'[1]pre processed data'!A:R,18,0)</f>
        <v>Hyderabad</v>
      </c>
      <c r="L1663" t="str">
        <f>VLOOKUP(Googleadssales[[#This Row],[Ad_ID]],'[1]pre processed data'!A:S,19,0)</f>
        <v>Mobile</v>
      </c>
      <c r="M1663" t="str">
        <f>VLOOKUP(Googleadssales[[#This Row],[Ad_ID]],'[1]pre processed data'!A:T,20,0)</f>
        <v>online data analytic</v>
      </c>
    </row>
    <row r="1664" spans="1:13" x14ac:dyDescent="0.3">
      <c r="A1664" t="s">
        <v>1677</v>
      </c>
      <c r="B1664" t="s">
        <v>18</v>
      </c>
      <c r="C1664" s="4">
        <f>VLOOKUP(Googleadssales[[#This Row],[Ad_ID]],'[1]pre processed data'!A:C,3,0)</f>
        <v>173</v>
      </c>
      <c r="D1664" s="4">
        <f>VLOOKUP(Googleadssales[[#This Row],[Ad_ID]],'[1]pre processed data'!A:E,5,0)</f>
        <v>3829</v>
      </c>
      <c r="E1664" s="5" t="str">
        <f>VLOOKUP(Googleadssales[[#This Row],[Ad_ID]],[1]!Table3[[Ad_ID]:[Cost-imputed]],7,0)</f>
        <v>$221.28</v>
      </c>
      <c r="F1664" s="4">
        <f>VLOOKUP(Googleadssales[[#This Row],[Ad_ID]],'[1]pre processed data'!A:I,9,0)</f>
        <v>29</v>
      </c>
      <c r="G1664" s="4">
        <f>VLOOKUP(Googleadssales[[#This Row],[Ad_ID]],'[1]pre processed data'!A:K,11,0)</f>
        <v>4</v>
      </c>
      <c r="H1664" s="2">
        <f>Googleadssales[[#This Row],[Conversions]]/Googleadssales[[#This Row],[Clicks]]</f>
        <v>2.3121387283236993E-2</v>
      </c>
      <c r="I1664" t="str">
        <f>VLOOKUP(Googleadssales[[#This Row],[Ad_ID]],'[1]pre processed data'!A:O,15,0)</f>
        <v>$1417</v>
      </c>
      <c r="J1664" s="3">
        <f>VLOOKUP(Googleadssales[[#This Row],[Ad_ID]],'[1]pre processed data'!A:Q,17,0)</f>
        <v>45621</v>
      </c>
      <c r="K1664" t="str">
        <f>VLOOKUP(Googleadssales[[#This Row],[Ad_ID]],'[1]pre processed data'!A:R,18,0)</f>
        <v>Bangaluru</v>
      </c>
      <c r="L1664" t="str">
        <f>VLOOKUP(Googleadssales[[#This Row],[Ad_ID]],'[1]pre processed data'!A:S,19,0)</f>
        <v>Desktop</v>
      </c>
      <c r="M1664" t="str">
        <f>VLOOKUP(Googleadssales[[#This Row],[Ad_ID]],'[1]pre processed data'!A:T,20,0)</f>
        <v>learn data analytics</v>
      </c>
    </row>
    <row r="1665" spans="1:13" x14ac:dyDescent="0.3">
      <c r="A1665" t="s">
        <v>1678</v>
      </c>
      <c r="B1665" t="s">
        <v>14</v>
      </c>
      <c r="C1665" s="4">
        <f>VLOOKUP(Googleadssales[[#This Row],[Ad_ID]],'[1]pre processed data'!A:C,3,0)</f>
        <v>107</v>
      </c>
      <c r="D1665" s="4">
        <f>VLOOKUP(Googleadssales[[#This Row],[Ad_ID]],'[1]pre processed data'!A:E,5,0)</f>
        <v>4165</v>
      </c>
      <c r="E1665" s="5" t="str">
        <f>VLOOKUP(Googleadssales[[#This Row],[Ad_ID]],[1]!Table3[[Ad_ID]:[Cost-imputed]],7,0)</f>
        <v>$192.18</v>
      </c>
      <c r="F1665" s="4">
        <f>VLOOKUP(Googleadssales[[#This Row],[Ad_ID]],'[1]pre processed data'!A:I,9,0)</f>
        <v>21</v>
      </c>
      <c r="G1665" s="4">
        <f>VLOOKUP(Googleadssales[[#This Row],[Ad_ID]],'[1]pre processed data'!A:K,11,0)</f>
        <v>10</v>
      </c>
      <c r="H1665" s="2">
        <f>Googleadssales[[#This Row],[Conversions]]/Googleadssales[[#This Row],[Clicks]]</f>
        <v>9.3457943925233641E-2</v>
      </c>
      <c r="I1665" t="str">
        <f>VLOOKUP(Googleadssales[[#This Row],[Ad_ID]],'[1]pre processed data'!A:O,15,0)</f>
        <v>$1754</v>
      </c>
      <c r="J1665" s="3">
        <f>VLOOKUP(Googleadssales[[#This Row],[Ad_ID]],'[1]pre processed data'!A:Q,17,0)</f>
        <v>45625</v>
      </c>
      <c r="K1665" t="str">
        <f>VLOOKUP(Googleadssales[[#This Row],[Ad_ID]],'[1]pre processed data'!A:R,18,0)</f>
        <v>Hyderabad</v>
      </c>
      <c r="L1665" t="str">
        <f>VLOOKUP(Googleadssales[[#This Row],[Ad_ID]],'[1]pre processed data'!A:S,19,0)</f>
        <v>Mobile</v>
      </c>
      <c r="M1665" t="str">
        <f>VLOOKUP(Googleadssales[[#This Row],[Ad_ID]],'[1]pre processed data'!A:T,20,0)</f>
        <v>learn data analytics</v>
      </c>
    </row>
    <row r="1666" spans="1:13" x14ac:dyDescent="0.3">
      <c r="A1666" t="s">
        <v>1679</v>
      </c>
      <c r="B1666" t="s">
        <v>14</v>
      </c>
      <c r="C1666" s="4">
        <f>VLOOKUP(Googleadssales[[#This Row],[Ad_ID]],'[1]pre processed data'!A:C,3,0)</f>
        <v>171</v>
      </c>
      <c r="D1666" s="4">
        <f>VLOOKUP(Googleadssales[[#This Row],[Ad_ID]],'[1]pre processed data'!A:E,5,0)</f>
        <v>5953</v>
      </c>
      <c r="E1666" s="5" t="str">
        <f>VLOOKUP(Googleadssales[[#This Row],[Ad_ID]],[1]!Table3[[Ad_ID]:[Cost-imputed]],7,0)</f>
        <v>$230.37</v>
      </c>
      <c r="F1666" s="4">
        <f>VLOOKUP(Googleadssales[[#This Row],[Ad_ID]],'[1]pre processed data'!A:I,9,0)</f>
        <v>14</v>
      </c>
      <c r="G1666" s="4">
        <f>VLOOKUP(Googleadssales[[#This Row],[Ad_ID]],'[1]pre processed data'!A:K,11,0)</f>
        <v>7</v>
      </c>
      <c r="H1666" s="2">
        <f>Googleadssales[[#This Row],[Conversions]]/Googleadssales[[#This Row],[Clicks]]</f>
        <v>4.0935672514619881E-2</v>
      </c>
      <c r="I1666" t="str">
        <f>VLOOKUP(Googleadssales[[#This Row],[Ad_ID]],'[1]pre processed data'!A:O,15,0)</f>
        <v>$1436</v>
      </c>
      <c r="J1666" s="3">
        <f>VLOOKUP(Googleadssales[[#This Row],[Ad_ID]],'[1]pre processed data'!A:Q,17,0)</f>
        <v>45613</v>
      </c>
      <c r="K1666" t="str">
        <f>VLOOKUP(Googleadssales[[#This Row],[Ad_ID]],'[1]pre processed data'!A:R,18,0)</f>
        <v>Bangaluru</v>
      </c>
      <c r="L1666" t="str">
        <f>VLOOKUP(Googleadssales[[#This Row],[Ad_ID]],'[1]pre processed data'!A:S,19,0)</f>
        <v>Tablet</v>
      </c>
      <c r="M1666" t="str">
        <f>VLOOKUP(Googleadssales[[#This Row],[Ad_ID]],'[1]pre processed data'!A:T,20,0)</f>
        <v>analytics for data</v>
      </c>
    </row>
    <row r="1667" spans="1:13" x14ac:dyDescent="0.3">
      <c r="A1667" t="s">
        <v>1680</v>
      </c>
      <c r="B1667" t="s">
        <v>18</v>
      </c>
      <c r="C1667" s="4">
        <f>VLOOKUP(Googleadssales[[#This Row],[Ad_ID]],'[1]pre processed data'!A:C,3,0)</f>
        <v>87</v>
      </c>
      <c r="D1667" s="4">
        <f>VLOOKUP(Googleadssales[[#This Row],[Ad_ID]],'[1]pre processed data'!A:E,5,0)</f>
        <v>4836</v>
      </c>
      <c r="E1667" s="5" t="str">
        <f>VLOOKUP(Googleadssales[[#This Row],[Ad_ID]],[1]!Table3[[Ad_ID]:[Cost-imputed]],7,0)</f>
        <v>$242.0</v>
      </c>
      <c r="F1667" s="4">
        <f>VLOOKUP(Googleadssales[[#This Row],[Ad_ID]],'[1]pre processed data'!A:I,9,0)</f>
        <v>12</v>
      </c>
      <c r="G1667" s="4">
        <f>VLOOKUP(Googleadssales[[#This Row],[Ad_ID]],'[1]pre processed data'!A:K,11,0)</f>
        <v>7</v>
      </c>
      <c r="H1667" s="2">
        <f>Googleadssales[[#This Row],[Conversions]]/Googleadssales[[#This Row],[Clicks]]</f>
        <v>8.0459770114942528E-2</v>
      </c>
      <c r="I1667" t="str">
        <f>VLOOKUP(Googleadssales[[#This Row],[Ad_ID]],'[1]pre processed data'!A:O,15,0)</f>
        <v>$1665</v>
      </c>
      <c r="J1667" s="3">
        <f>VLOOKUP(Googleadssales[[#This Row],[Ad_ID]],'[1]pre processed data'!A:Q,17,0)</f>
        <v>45611</v>
      </c>
      <c r="K1667" t="str">
        <f>VLOOKUP(Googleadssales[[#This Row],[Ad_ID]],'[1]pre processed data'!A:R,18,0)</f>
        <v>Hyderabad</v>
      </c>
      <c r="L1667" t="str">
        <f>VLOOKUP(Googleadssales[[#This Row],[Ad_ID]],'[1]pre processed data'!A:S,19,0)</f>
        <v>Desktop</v>
      </c>
      <c r="M1667" t="str">
        <f>VLOOKUP(Googleadssales[[#This Row],[Ad_ID]],'[1]pre processed data'!A:T,20,0)</f>
        <v>learn data analytics</v>
      </c>
    </row>
    <row r="1668" spans="1:13" x14ac:dyDescent="0.3">
      <c r="A1668" t="s">
        <v>1681</v>
      </c>
      <c r="B1668" t="s">
        <v>18</v>
      </c>
      <c r="C1668" s="4">
        <f>VLOOKUP(Googleadssales[[#This Row],[Ad_ID]],'[1]pre processed data'!A:C,3,0)</f>
        <v>199</v>
      </c>
      <c r="D1668" s="4">
        <f>VLOOKUP(Googleadssales[[#This Row],[Ad_ID]],'[1]pre processed data'!A:E,5,0)</f>
        <v>3717</v>
      </c>
      <c r="E1668" s="5" t="str">
        <f>VLOOKUP(Googleadssales[[#This Row],[Ad_ID]],[1]!Table3[[Ad_ID]:[Cost-imputed]],7,0)</f>
        <v>$226.84</v>
      </c>
      <c r="F1668" s="4">
        <f>VLOOKUP(Googleadssales[[#This Row],[Ad_ID]],'[1]pre processed data'!A:I,9,0)</f>
        <v>27</v>
      </c>
      <c r="G1668" s="4">
        <f>VLOOKUP(Googleadssales[[#This Row],[Ad_ID]],'[1]pre processed data'!A:K,11,0)</f>
        <v>3</v>
      </c>
      <c r="H1668" s="2">
        <f>Googleadssales[[#This Row],[Conversions]]/Googleadssales[[#This Row],[Clicks]]</f>
        <v>1.507537688442211E-2</v>
      </c>
      <c r="I1668" t="str">
        <f>VLOOKUP(Googleadssales[[#This Row],[Ad_ID]],'[1]pre processed data'!A:O,15,0)</f>
        <v>$1449</v>
      </c>
      <c r="J1668" s="3">
        <f>VLOOKUP(Googleadssales[[#This Row],[Ad_ID]],'[1]pre processed data'!A:Q,17,0)</f>
        <v>45621</v>
      </c>
      <c r="K1668" t="str">
        <f>VLOOKUP(Googleadssales[[#This Row],[Ad_ID]],'[1]pre processed data'!A:R,18,0)</f>
        <v>Chennai</v>
      </c>
      <c r="L1668" t="str">
        <f>VLOOKUP(Googleadssales[[#This Row],[Ad_ID]],'[1]pre processed data'!A:S,19,0)</f>
        <v>Mobile</v>
      </c>
      <c r="M1668" t="str">
        <f>VLOOKUP(Googleadssales[[#This Row],[Ad_ID]],'[1]pre processed data'!A:T,20,0)</f>
        <v>data analytics training</v>
      </c>
    </row>
    <row r="1669" spans="1:13" x14ac:dyDescent="0.3">
      <c r="A1669" t="s">
        <v>1682</v>
      </c>
      <c r="B1669" t="s">
        <v>14</v>
      </c>
      <c r="C1669" s="4">
        <f>VLOOKUP(Googleadssales[[#This Row],[Ad_ID]],'[1]pre processed data'!A:C,3,0)</f>
        <v>195</v>
      </c>
      <c r="D1669" s="4">
        <f>VLOOKUP(Googleadssales[[#This Row],[Ad_ID]],'[1]pre processed data'!A:E,5,0)</f>
        <v>5190</v>
      </c>
      <c r="E1669" s="5" t="str">
        <f>VLOOKUP(Googleadssales[[#This Row],[Ad_ID]],[1]!Table3[[Ad_ID]:[Cost-imputed]],7,0)</f>
        <v>$231.62</v>
      </c>
      <c r="F1669" s="4">
        <f>VLOOKUP(Googleadssales[[#This Row],[Ad_ID]],'[1]pre processed data'!A:I,9,0)</f>
        <v>20.223684210526315</v>
      </c>
      <c r="G1669" s="4">
        <f>VLOOKUP(Googleadssales[[#This Row],[Ad_ID]],'[1]pre processed data'!A:K,11,0)</f>
        <v>3</v>
      </c>
      <c r="H1669" s="2">
        <f>Googleadssales[[#This Row],[Conversions]]/Googleadssales[[#This Row],[Clicks]]</f>
        <v>1.5384615384615385E-2</v>
      </c>
      <c r="I1669" t="str">
        <f>VLOOKUP(Googleadssales[[#This Row],[Ad_ID]],'[1]pre processed data'!A:O,15,0)</f>
        <v>$1429</v>
      </c>
      <c r="J1669" s="3">
        <f>VLOOKUP(Googleadssales[[#This Row],[Ad_ID]],'[1]pre processed data'!A:Q,17,0)</f>
        <v>45608</v>
      </c>
      <c r="K1669" t="str">
        <f>VLOOKUP(Googleadssales[[#This Row],[Ad_ID]],'[1]pre processed data'!A:R,18,0)</f>
        <v>Hyderabad</v>
      </c>
      <c r="L1669" t="str">
        <f>VLOOKUP(Googleadssales[[#This Row],[Ad_ID]],'[1]pre processed data'!A:S,19,0)</f>
        <v>Tablet</v>
      </c>
      <c r="M1669" t="str">
        <f>VLOOKUP(Googleadssales[[#This Row],[Ad_ID]],'[1]pre processed data'!A:T,20,0)</f>
        <v>data analytics course</v>
      </c>
    </row>
    <row r="1670" spans="1:13" x14ac:dyDescent="0.3">
      <c r="A1670" t="s">
        <v>1683</v>
      </c>
      <c r="B1670" t="s">
        <v>14</v>
      </c>
      <c r="C1670" s="4">
        <f>VLOOKUP(Googleadssales[[#This Row],[Ad_ID]],'[1]pre processed data'!A:C,3,0)</f>
        <v>97</v>
      </c>
      <c r="D1670" s="4">
        <f>VLOOKUP(Googleadssales[[#This Row],[Ad_ID]],'[1]pre processed data'!A:E,5,0)</f>
        <v>3921</v>
      </c>
      <c r="E1670" s="5" t="str">
        <f>VLOOKUP(Googleadssales[[#This Row],[Ad_ID]],[1]!Table3[[Ad_ID]:[Cost-imputed]],7,0)</f>
        <v>$232.83</v>
      </c>
      <c r="F1670" s="4">
        <f>VLOOKUP(Googleadssales[[#This Row],[Ad_ID]],'[1]pre processed data'!A:I,9,0)</f>
        <v>11</v>
      </c>
      <c r="G1670" s="4">
        <f>VLOOKUP(Googleadssales[[#This Row],[Ad_ID]],'[1]pre processed data'!A:K,11,0)</f>
        <v>9</v>
      </c>
      <c r="H1670" s="2">
        <f>Googleadssales[[#This Row],[Conversions]]/Googleadssales[[#This Row],[Clicks]]</f>
        <v>9.2783505154639179E-2</v>
      </c>
      <c r="I1670" t="str">
        <f>VLOOKUP(Googleadssales[[#This Row],[Ad_ID]],'[1]pre processed data'!A:O,15,0)</f>
        <v>$1886</v>
      </c>
      <c r="J1670" s="3">
        <f>VLOOKUP(Googleadssales[[#This Row],[Ad_ID]],'[1]pre processed data'!A:Q,17,0)</f>
        <v>45612</v>
      </c>
      <c r="K1670" t="str">
        <f>VLOOKUP(Googleadssales[[#This Row],[Ad_ID]],'[1]pre processed data'!A:R,18,0)</f>
        <v>Hyderabad</v>
      </c>
      <c r="L1670" t="str">
        <f>VLOOKUP(Googleadssales[[#This Row],[Ad_ID]],'[1]pre processed data'!A:S,19,0)</f>
        <v>Tablet</v>
      </c>
      <c r="M1670" t="str">
        <f>VLOOKUP(Googleadssales[[#This Row],[Ad_ID]],'[1]pre processed data'!A:T,20,0)</f>
        <v>analytics for data</v>
      </c>
    </row>
    <row r="1671" spans="1:13" x14ac:dyDescent="0.3">
      <c r="A1671" t="s">
        <v>1684</v>
      </c>
      <c r="B1671" t="s">
        <v>18</v>
      </c>
      <c r="C1671" s="4">
        <f>VLOOKUP(Googleadssales[[#This Row],[Ad_ID]],'[1]pre processed data'!A:C,3,0)</f>
        <v>184</v>
      </c>
      <c r="D1671" s="4">
        <f>VLOOKUP(Googleadssales[[#This Row],[Ad_ID]],'[1]pre processed data'!A:E,5,0)</f>
        <v>3824</v>
      </c>
      <c r="E1671" s="5" t="str">
        <f>VLOOKUP(Googleadssales[[#This Row],[Ad_ID]],[1]!Table3[[Ad_ID]:[Cost-imputed]],7,0)</f>
        <v>$200.99</v>
      </c>
      <c r="F1671" s="4">
        <f>VLOOKUP(Googleadssales[[#This Row],[Ad_ID]],'[1]pre processed data'!A:I,9,0)</f>
        <v>26</v>
      </c>
      <c r="G1671" s="4">
        <f>VLOOKUP(Googleadssales[[#This Row],[Ad_ID]],'[1]pre processed data'!A:K,11,0)</f>
        <v>6</v>
      </c>
      <c r="H1671" s="2">
        <f>Googleadssales[[#This Row],[Conversions]]/Googleadssales[[#This Row],[Clicks]]</f>
        <v>3.2608695652173912E-2</v>
      </c>
      <c r="I1671" t="str">
        <f>VLOOKUP(Googleadssales[[#This Row],[Ad_ID]],'[1]pre processed data'!A:O,15,0)</f>
        <v>$1023</v>
      </c>
      <c r="J1671" s="3">
        <f>VLOOKUP(Googleadssales[[#This Row],[Ad_ID]],'[1]pre processed data'!A:Q,17,0)</f>
        <v>45622</v>
      </c>
      <c r="K1671" t="str">
        <f>VLOOKUP(Googleadssales[[#This Row],[Ad_ID]],'[1]pre processed data'!A:R,18,0)</f>
        <v>Bangaluru</v>
      </c>
      <c r="L1671" t="str">
        <f>VLOOKUP(Googleadssales[[#This Row],[Ad_ID]],'[1]pre processed data'!A:S,19,0)</f>
        <v>Mobile</v>
      </c>
      <c r="M1671" t="str">
        <f>VLOOKUP(Googleadssales[[#This Row],[Ad_ID]],'[1]pre processed data'!A:T,20,0)</f>
        <v>data analytics online</v>
      </c>
    </row>
    <row r="1672" spans="1:13" x14ac:dyDescent="0.3">
      <c r="A1672" t="s">
        <v>1685</v>
      </c>
      <c r="B1672" t="s">
        <v>14</v>
      </c>
      <c r="C1672" s="4">
        <f>VLOOKUP(Googleadssales[[#This Row],[Ad_ID]],'[1]pre processed data'!A:C,3,0)</f>
        <v>168</v>
      </c>
      <c r="D1672" s="4">
        <f>VLOOKUP(Googleadssales[[#This Row],[Ad_ID]],'[1]pre processed data'!A:E,5,0)</f>
        <v>5414</v>
      </c>
      <c r="E1672" s="5" t="str">
        <f>VLOOKUP(Googleadssales[[#This Row],[Ad_ID]],[1]!Table3[[Ad_ID]:[Cost-imputed]],7,0)</f>
        <v>$221.78</v>
      </c>
      <c r="F1672" s="4">
        <f>VLOOKUP(Googleadssales[[#This Row],[Ad_ID]],'[1]pre processed data'!A:I,9,0)</f>
        <v>19</v>
      </c>
      <c r="G1672" s="4">
        <f>VLOOKUP(Googleadssales[[#This Row],[Ad_ID]],'[1]pre processed data'!A:K,11,0)</f>
        <v>8</v>
      </c>
      <c r="H1672" s="2">
        <f>Googleadssales[[#This Row],[Conversions]]/Googleadssales[[#This Row],[Clicks]]</f>
        <v>4.7619047619047616E-2</v>
      </c>
      <c r="I1672" t="str">
        <f>VLOOKUP(Googleadssales[[#This Row],[Ad_ID]],'[1]pre processed data'!A:O,15,0)</f>
        <v>$1715</v>
      </c>
      <c r="J1672" s="3">
        <f>VLOOKUP(Googleadssales[[#This Row],[Ad_ID]],'[1]pre processed data'!A:Q,17,0)</f>
        <v>45625</v>
      </c>
      <c r="K1672" t="str">
        <f>VLOOKUP(Googleadssales[[#This Row],[Ad_ID]],'[1]pre processed data'!A:R,18,0)</f>
        <v>Bangaluru</v>
      </c>
      <c r="L1672" t="str">
        <f>VLOOKUP(Googleadssales[[#This Row],[Ad_ID]],'[1]pre processed data'!A:S,19,0)</f>
        <v>Mobile</v>
      </c>
      <c r="M1672" t="str">
        <f>VLOOKUP(Googleadssales[[#This Row],[Ad_ID]],'[1]pre processed data'!A:T,20,0)</f>
        <v>data analytics training</v>
      </c>
    </row>
    <row r="1673" spans="1:13" x14ac:dyDescent="0.3">
      <c r="A1673" t="s">
        <v>1686</v>
      </c>
      <c r="B1673" t="s">
        <v>18</v>
      </c>
      <c r="C1673" s="4">
        <f>VLOOKUP(Googleadssales[[#This Row],[Ad_ID]],'[1]pre processed data'!A:C,3,0)</f>
        <v>128</v>
      </c>
      <c r="D1673" s="4">
        <f>VLOOKUP(Googleadssales[[#This Row],[Ad_ID]],'[1]pre processed data'!A:E,5,0)</f>
        <v>3984</v>
      </c>
      <c r="E1673" s="5" t="str">
        <f>VLOOKUP(Googleadssales[[#This Row],[Ad_ID]],[1]!Table3[[Ad_ID]:[Cost-imputed]],7,0)</f>
        <v>$222.78</v>
      </c>
      <c r="F1673" s="4">
        <f>VLOOKUP(Googleadssales[[#This Row],[Ad_ID]],'[1]pre processed data'!A:I,9,0)</f>
        <v>26</v>
      </c>
      <c r="G1673" s="4">
        <f>VLOOKUP(Googleadssales[[#This Row],[Ad_ID]],'[1]pre processed data'!A:K,11,0)</f>
        <v>4</v>
      </c>
      <c r="H1673" s="2">
        <f>Googleadssales[[#This Row],[Conversions]]/Googleadssales[[#This Row],[Clicks]]</f>
        <v>3.125E-2</v>
      </c>
      <c r="I1673" t="str">
        <f>VLOOKUP(Googleadssales[[#This Row],[Ad_ID]],'[1]pre processed data'!A:O,15,0)</f>
        <v>$1786</v>
      </c>
      <c r="J1673" s="3">
        <f>VLOOKUP(Googleadssales[[#This Row],[Ad_ID]],'[1]pre processed data'!A:Q,17,0)</f>
        <v>45610</v>
      </c>
      <c r="K1673" t="str">
        <f>VLOOKUP(Googleadssales[[#This Row],[Ad_ID]],'[1]pre processed data'!A:R,18,0)</f>
        <v>Bangaluru</v>
      </c>
      <c r="L1673" t="str">
        <f>VLOOKUP(Googleadssales[[#This Row],[Ad_ID]],'[1]pre processed data'!A:S,19,0)</f>
        <v>Desktop</v>
      </c>
      <c r="M1673" t="str">
        <f>VLOOKUP(Googleadssales[[#This Row],[Ad_ID]],'[1]pre processed data'!A:T,20,0)</f>
        <v>data analytics online</v>
      </c>
    </row>
    <row r="1674" spans="1:13" x14ac:dyDescent="0.3">
      <c r="A1674" t="s">
        <v>1687</v>
      </c>
      <c r="B1674" t="s">
        <v>14</v>
      </c>
      <c r="C1674" s="4">
        <f>VLOOKUP(Googleadssales[[#This Row],[Ad_ID]],'[1]pre processed data'!A:C,3,0)</f>
        <v>117</v>
      </c>
      <c r="D1674" s="4">
        <f>VLOOKUP(Googleadssales[[#This Row],[Ad_ID]],'[1]pre processed data'!A:E,5,0)</f>
        <v>4716</v>
      </c>
      <c r="E1674" s="5" t="str">
        <f>VLOOKUP(Googleadssales[[#This Row],[Ad_ID]],[1]!Table3[[Ad_ID]:[Cost-imputed]],7,0)</f>
        <v>$213.86</v>
      </c>
      <c r="F1674" s="4">
        <f>VLOOKUP(Googleadssales[[#This Row],[Ad_ID]],'[1]pre processed data'!A:I,9,0)</f>
        <v>26</v>
      </c>
      <c r="G1674" s="4">
        <f>VLOOKUP(Googleadssales[[#This Row],[Ad_ID]],'[1]pre processed data'!A:K,11,0)</f>
        <v>4</v>
      </c>
      <c r="H1674" s="2">
        <f>Googleadssales[[#This Row],[Conversions]]/Googleadssales[[#This Row],[Clicks]]</f>
        <v>3.4188034188034191E-2</v>
      </c>
      <c r="I1674" t="str">
        <f>VLOOKUP(Googleadssales[[#This Row],[Ad_ID]],'[1]pre processed data'!A:O,15,0)</f>
        <v>$1500</v>
      </c>
      <c r="J1674" s="3">
        <f>VLOOKUP(Googleadssales[[#This Row],[Ad_ID]],'[1]pre processed data'!A:Q,17,0)</f>
        <v>45623</v>
      </c>
      <c r="K1674" t="str">
        <f>VLOOKUP(Googleadssales[[#This Row],[Ad_ID]],'[1]pre processed data'!A:R,18,0)</f>
        <v>Hyderabad</v>
      </c>
      <c r="L1674" t="str">
        <f>VLOOKUP(Googleadssales[[#This Row],[Ad_ID]],'[1]pre processed data'!A:S,19,0)</f>
        <v>Mobile</v>
      </c>
      <c r="M1674" t="str">
        <f>VLOOKUP(Googleadssales[[#This Row],[Ad_ID]],'[1]pre processed data'!A:T,20,0)</f>
        <v>online data analytic</v>
      </c>
    </row>
    <row r="1675" spans="1:13" x14ac:dyDescent="0.3">
      <c r="A1675" t="s">
        <v>1688</v>
      </c>
      <c r="B1675" t="s">
        <v>14</v>
      </c>
      <c r="C1675" s="4">
        <f>VLOOKUP(Googleadssales[[#This Row],[Ad_ID]],'[1]pre processed data'!A:C,3,0)</f>
        <v>142</v>
      </c>
      <c r="D1675" s="4">
        <f>VLOOKUP(Googleadssales[[#This Row],[Ad_ID]],'[1]pre processed data'!A:E,5,0)</f>
        <v>5265</v>
      </c>
      <c r="E1675" s="5" t="str">
        <f>VLOOKUP(Googleadssales[[#This Row],[Ad_ID]],[1]!Table3[[Ad_ID]:[Cost-imputed]],7,0)</f>
        <v>$183.15</v>
      </c>
      <c r="F1675" s="4">
        <f>VLOOKUP(Googleadssales[[#This Row],[Ad_ID]],'[1]pre processed data'!A:I,9,0)</f>
        <v>19</v>
      </c>
      <c r="G1675" s="4">
        <f>VLOOKUP(Googleadssales[[#This Row],[Ad_ID]],'[1]pre processed data'!A:K,11,0)</f>
        <v>9</v>
      </c>
      <c r="H1675" s="2">
        <f>Googleadssales[[#This Row],[Conversions]]/Googleadssales[[#This Row],[Clicks]]</f>
        <v>6.3380281690140844E-2</v>
      </c>
      <c r="I1675" t="str">
        <f>VLOOKUP(Googleadssales[[#This Row],[Ad_ID]],'[1]pre processed data'!A:O,15,0)</f>
        <v>$1173</v>
      </c>
      <c r="J1675" s="3">
        <f>VLOOKUP(Googleadssales[[#This Row],[Ad_ID]],'[1]pre processed data'!A:Q,17,0)</f>
        <v>45603</v>
      </c>
      <c r="K1675" t="str">
        <f>VLOOKUP(Googleadssales[[#This Row],[Ad_ID]],'[1]pre processed data'!A:R,18,0)</f>
        <v>Bangaluru</v>
      </c>
      <c r="L1675" t="str">
        <f>VLOOKUP(Googleadssales[[#This Row],[Ad_ID]],'[1]pre processed data'!A:S,19,0)</f>
        <v>Desktop</v>
      </c>
      <c r="M1675" t="str">
        <f>VLOOKUP(Googleadssales[[#This Row],[Ad_ID]],'[1]pre processed data'!A:T,20,0)</f>
        <v>online data analytic</v>
      </c>
    </row>
    <row r="1676" spans="1:13" x14ac:dyDescent="0.3">
      <c r="A1676" t="s">
        <v>1689</v>
      </c>
      <c r="B1676" t="s">
        <v>14</v>
      </c>
      <c r="C1676" s="4">
        <f>VLOOKUP(Googleadssales[[#This Row],[Ad_ID]],'[1]pre processed data'!A:C,3,0)</f>
        <v>194</v>
      </c>
      <c r="D1676" s="4">
        <f>VLOOKUP(Googleadssales[[#This Row],[Ad_ID]],'[1]pre processed data'!A:E,5,0)</f>
        <v>5273</v>
      </c>
      <c r="E1676" s="5" t="str">
        <f>VLOOKUP(Googleadssales[[#This Row],[Ad_ID]],[1]!Table3[[Ad_ID]:[Cost-imputed]],7,0)</f>
        <v>$201.59</v>
      </c>
      <c r="F1676" s="4">
        <f>VLOOKUP(Googleadssales[[#This Row],[Ad_ID]],'[1]pre processed data'!A:I,9,0)</f>
        <v>15</v>
      </c>
      <c r="G1676" s="4">
        <f>VLOOKUP(Googleadssales[[#This Row],[Ad_ID]],'[1]pre processed data'!A:K,11,0)</f>
        <v>10</v>
      </c>
      <c r="H1676" s="2">
        <f>Googleadssales[[#This Row],[Conversions]]/Googleadssales[[#This Row],[Clicks]]</f>
        <v>5.1546391752577317E-2</v>
      </c>
      <c r="I1676" t="str">
        <f>VLOOKUP(Googleadssales[[#This Row],[Ad_ID]],'[1]pre processed data'!A:O,15,0)</f>
        <v>$1018</v>
      </c>
      <c r="J1676" s="3">
        <f>VLOOKUP(Googleadssales[[#This Row],[Ad_ID]],'[1]pre processed data'!A:Q,17,0)</f>
        <v>45602</v>
      </c>
      <c r="K1676" t="str">
        <f>VLOOKUP(Googleadssales[[#This Row],[Ad_ID]],'[1]pre processed data'!A:R,18,0)</f>
        <v>Chennai</v>
      </c>
      <c r="L1676" t="str">
        <f>VLOOKUP(Googleadssales[[#This Row],[Ad_ID]],'[1]pre processed data'!A:S,19,0)</f>
        <v>Mobile</v>
      </c>
      <c r="M1676" t="str">
        <f>VLOOKUP(Googleadssales[[#This Row],[Ad_ID]],'[1]pre processed data'!A:T,20,0)</f>
        <v>data analytics online</v>
      </c>
    </row>
    <row r="1677" spans="1:13" x14ac:dyDescent="0.3">
      <c r="A1677" t="s">
        <v>1690</v>
      </c>
      <c r="B1677" t="s">
        <v>14</v>
      </c>
      <c r="C1677" s="4">
        <f>VLOOKUP(Googleadssales[[#This Row],[Ad_ID]],'[1]pre processed data'!A:C,3,0)</f>
        <v>141</v>
      </c>
      <c r="D1677" s="4">
        <f>VLOOKUP(Googleadssales[[#This Row],[Ad_ID]],'[1]pre processed data'!A:E,5,0)</f>
        <v>5656</v>
      </c>
      <c r="E1677" s="5" t="str">
        <f>VLOOKUP(Googleadssales[[#This Row],[Ad_ID]],[1]!Table3[[Ad_ID]:[Cost-imputed]],7,0)</f>
        <v>$193.58</v>
      </c>
      <c r="F1677" s="4">
        <f>VLOOKUP(Googleadssales[[#This Row],[Ad_ID]],'[1]pre processed data'!A:I,9,0)</f>
        <v>20</v>
      </c>
      <c r="G1677" s="4">
        <f>VLOOKUP(Googleadssales[[#This Row],[Ad_ID]],'[1]pre processed data'!A:K,11,0)</f>
        <v>6</v>
      </c>
      <c r="H1677" s="2">
        <f>Googleadssales[[#This Row],[Conversions]]/Googleadssales[[#This Row],[Clicks]]</f>
        <v>4.2553191489361701E-2</v>
      </c>
      <c r="I1677" t="str">
        <f>VLOOKUP(Googleadssales[[#This Row],[Ad_ID]],'[1]pre processed data'!A:O,15,0)</f>
        <v>$1953</v>
      </c>
      <c r="J1677" s="3">
        <f>VLOOKUP(Googleadssales[[#This Row],[Ad_ID]],'[1]pre processed data'!A:Q,17,0)</f>
        <v>45622</v>
      </c>
      <c r="K1677" t="str">
        <f>VLOOKUP(Googleadssales[[#This Row],[Ad_ID]],'[1]pre processed data'!A:R,18,0)</f>
        <v>Bangaluru</v>
      </c>
      <c r="L1677" t="str">
        <f>VLOOKUP(Googleadssales[[#This Row],[Ad_ID]],'[1]pre processed data'!A:S,19,0)</f>
        <v>Desktop</v>
      </c>
      <c r="M1677" t="str">
        <f>VLOOKUP(Googleadssales[[#This Row],[Ad_ID]],'[1]pre processed data'!A:T,20,0)</f>
        <v>data analytics course</v>
      </c>
    </row>
    <row r="1678" spans="1:13" x14ac:dyDescent="0.3">
      <c r="A1678" t="s">
        <v>1691</v>
      </c>
      <c r="B1678" t="s">
        <v>14</v>
      </c>
      <c r="C1678" s="4">
        <f>VLOOKUP(Googleadssales[[#This Row],[Ad_ID]],'[1]pre processed data'!A:C,3,0)</f>
        <v>137</v>
      </c>
      <c r="D1678" s="4">
        <f>VLOOKUP(Googleadssales[[#This Row],[Ad_ID]],'[1]pre processed data'!A:E,5,0)</f>
        <v>3149</v>
      </c>
      <c r="E1678" s="5" t="str">
        <f>VLOOKUP(Googleadssales[[#This Row],[Ad_ID]],[1]!Table3[[Ad_ID]:[Cost-imputed]],7,0)</f>
        <v>$195.06</v>
      </c>
      <c r="F1678" s="4">
        <f>VLOOKUP(Googleadssales[[#This Row],[Ad_ID]],'[1]pre processed data'!A:I,9,0)</f>
        <v>17</v>
      </c>
      <c r="G1678" s="4">
        <f>VLOOKUP(Googleadssales[[#This Row],[Ad_ID]],'[1]pre processed data'!A:K,11,0)</f>
        <v>6</v>
      </c>
      <c r="H1678" s="2">
        <f>Googleadssales[[#This Row],[Conversions]]/Googleadssales[[#This Row],[Clicks]]</f>
        <v>4.3795620437956206E-2</v>
      </c>
      <c r="I1678" t="str">
        <f>VLOOKUP(Googleadssales[[#This Row],[Ad_ID]],'[1]pre processed data'!A:O,15,0)</f>
        <v>$1718</v>
      </c>
      <c r="J1678" s="3">
        <f>VLOOKUP(Googleadssales[[#This Row],[Ad_ID]],'[1]pre processed data'!A:Q,17,0)</f>
        <v>45604</v>
      </c>
      <c r="K1678" t="str">
        <f>VLOOKUP(Googleadssales[[#This Row],[Ad_ID]],'[1]pre processed data'!A:R,18,0)</f>
        <v>Hyderabad</v>
      </c>
      <c r="L1678" t="str">
        <f>VLOOKUP(Googleadssales[[#This Row],[Ad_ID]],'[1]pre processed data'!A:S,19,0)</f>
        <v>Tablet</v>
      </c>
      <c r="M1678" t="str">
        <f>VLOOKUP(Googleadssales[[#This Row],[Ad_ID]],'[1]pre processed data'!A:T,20,0)</f>
        <v>analytics for data</v>
      </c>
    </row>
    <row r="1679" spans="1:13" x14ac:dyDescent="0.3">
      <c r="A1679" t="s">
        <v>1692</v>
      </c>
      <c r="B1679" t="s">
        <v>14</v>
      </c>
      <c r="C1679" s="4">
        <f>VLOOKUP(Googleadssales[[#This Row],[Ad_ID]],'[1]pre processed data'!A:C,3,0)</f>
        <v>162</v>
      </c>
      <c r="D1679" s="4">
        <f>VLOOKUP(Googleadssales[[#This Row],[Ad_ID]],'[1]pre processed data'!A:E,5,0)</f>
        <v>5799</v>
      </c>
      <c r="E1679" s="5" t="str">
        <f>VLOOKUP(Googleadssales[[#This Row],[Ad_ID]],[1]!Table3[[Ad_ID]:[Cost-imputed]],7,0)</f>
        <v>$196.39</v>
      </c>
      <c r="F1679" s="4">
        <f>VLOOKUP(Googleadssales[[#This Row],[Ad_ID]],'[1]pre processed data'!A:I,9,0)</f>
        <v>27</v>
      </c>
      <c r="G1679" s="4">
        <f>VLOOKUP(Googleadssales[[#This Row],[Ad_ID]],'[1]pre processed data'!A:K,11,0)</f>
        <v>8</v>
      </c>
      <c r="H1679" s="2">
        <f>Googleadssales[[#This Row],[Conversions]]/Googleadssales[[#This Row],[Clicks]]</f>
        <v>4.9382716049382713E-2</v>
      </c>
      <c r="I1679" t="str">
        <f>VLOOKUP(Googleadssales[[#This Row],[Ad_ID]],'[1]pre processed data'!A:O,15,0)</f>
        <v>$1500</v>
      </c>
      <c r="J1679" s="3">
        <f>VLOOKUP(Googleadssales[[#This Row],[Ad_ID]],'[1]pre processed data'!A:Q,17,0)</f>
        <v>45609</v>
      </c>
      <c r="K1679" t="str">
        <f>VLOOKUP(Googleadssales[[#This Row],[Ad_ID]],'[1]pre processed data'!A:R,18,0)</f>
        <v>Hyderabad</v>
      </c>
      <c r="L1679" t="str">
        <f>VLOOKUP(Googleadssales[[#This Row],[Ad_ID]],'[1]pre processed data'!A:S,19,0)</f>
        <v>Tablet</v>
      </c>
      <c r="M1679" t="str">
        <f>VLOOKUP(Googleadssales[[#This Row],[Ad_ID]],'[1]pre processed data'!A:T,20,0)</f>
        <v>data analytics online</v>
      </c>
    </row>
    <row r="1680" spans="1:13" x14ac:dyDescent="0.3">
      <c r="A1680" t="s">
        <v>1693</v>
      </c>
      <c r="B1680" t="s">
        <v>14</v>
      </c>
      <c r="C1680" s="4">
        <f>VLOOKUP(Googleadssales[[#This Row],[Ad_ID]],'[1]pre processed data'!A:C,3,0)</f>
        <v>151</v>
      </c>
      <c r="D1680" s="4">
        <f>VLOOKUP(Googleadssales[[#This Row],[Ad_ID]],'[1]pre processed data'!A:E,5,0)</f>
        <v>3487</v>
      </c>
      <c r="E1680" s="5" t="str">
        <f>VLOOKUP(Googleadssales[[#This Row],[Ad_ID]],[1]!Table3[[Ad_ID]:[Cost-imputed]],7,0)</f>
        <v>$187.0</v>
      </c>
      <c r="F1680" s="4">
        <f>VLOOKUP(Googleadssales[[#This Row],[Ad_ID]],'[1]pre processed data'!A:I,9,0)</f>
        <v>30</v>
      </c>
      <c r="G1680" s="4">
        <f>VLOOKUP(Googleadssales[[#This Row],[Ad_ID]],'[1]pre processed data'!A:K,11,0)</f>
        <v>6</v>
      </c>
      <c r="H1680" s="2">
        <f>Googleadssales[[#This Row],[Conversions]]/Googleadssales[[#This Row],[Clicks]]</f>
        <v>3.9735099337748346E-2</v>
      </c>
      <c r="I1680" t="str">
        <f>VLOOKUP(Googleadssales[[#This Row],[Ad_ID]],'[1]pre processed data'!A:O,15,0)</f>
        <v>$1529</v>
      </c>
      <c r="J1680" s="3">
        <f>VLOOKUP(Googleadssales[[#This Row],[Ad_ID]],'[1]pre processed data'!A:Q,17,0)</f>
        <v>45609</v>
      </c>
      <c r="K1680" t="str">
        <f>VLOOKUP(Googleadssales[[#This Row],[Ad_ID]],'[1]pre processed data'!A:R,18,0)</f>
        <v>Hyderabad</v>
      </c>
      <c r="L1680" t="str">
        <f>VLOOKUP(Googleadssales[[#This Row],[Ad_ID]],'[1]pre processed data'!A:S,19,0)</f>
        <v>Mobile</v>
      </c>
      <c r="M1680" t="str">
        <f>VLOOKUP(Googleadssales[[#This Row],[Ad_ID]],'[1]pre processed data'!A:T,20,0)</f>
        <v>online data analytic</v>
      </c>
    </row>
    <row r="1681" spans="1:13" x14ac:dyDescent="0.3">
      <c r="A1681" t="s">
        <v>1694</v>
      </c>
      <c r="B1681" t="s">
        <v>14</v>
      </c>
      <c r="C1681" s="4">
        <f>VLOOKUP(Googleadssales[[#This Row],[Ad_ID]],'[1]pre processed data'!A:C,3,0)</f>
        <v>87</v>
      </c>
      <c r="D1681" s="4">
        <f>VLOOKUP(Googleadssales[[#This Row],[Ad_ID]],'[1]pre processed data'!A:E,5,0)</f>
        <v>4140</v>
      </c>
      <c r="E1681" s="5" t="str">
        <f>VLOOKUP(Googleadssales[[#This Row],[Ad_ID]],[1]!Table3[[Ad_ID]:[Cost-imputed]],7,0)</f>
        <v>$209.82</v>
      </c>
      <c r="F1681" s="4">
        <f>VLOOKUP(Googleadssales[[#This Row],[Ad_ID]],'[1]pre processed data'!A:I,9,0)</f>
        <v>17</v>
      </c>
      <c r="G1681" s="4">
        <f>VLOOKUP(Googleadssales[[#This Row],[Ad_ID]],'[1]pre processed data'!A:K,11,0)</f>
        <v>7</v>
      </c>
      <c r="H1681" s="2">
        <f>Googleadssales[[#This Row],[Conversions]]/Googleadssales[[#This Row],[Clicks]]</f>
        <v>8.0459770114942528E-2</v>
      </c>
      <c r="I1681" t="str">
        <f>VLOOKUP(Googleadssales[[#This Row],[Ad_ID]],'[1]pre processed data'!A:O,15,0)</f>
        <v>$1151</v>
      </c>
      <c r="J1681" s="3">
        <f>VLOOKUP(Googleadssales[[#This Row],[Ad_ID]],'[1]pre processed data'!A:Q,17,0)</f>
        <v>45619</v>
      </c>
      <c r="K1681" t="str">
        <f>VLOOKUP(Googleadssales[[#This Row],[Ad_ID]],'[1]pre processed data'!A:R,18,0)</f>
        <v>Hyderabad</v>
      </c>
      <c r="L1681" t="str">
        <f>VLOOKUP(Googleadssales[[#This Row],[Ad_ID]],'[1]pre processed data'!A:S,19,0)</f>
        <v>Tablet</v>
      </c>
      <c r="M1681" t="str">
        <f>VLOOKUP(Googleadssales[[#This Row],[Ad_ID]],'[1]pre processed data'!A:T,20,0)</f>
        <v>online data analytic</v>
      </c>
    </row>
    <row r="1682" spans="1:13" x14ac:dyDescent="0.3">
      <c r="A1682" t="s">
        <v>1695</v>
      </c>
      <c r="B1682" t="s">
        <v>14</v>
      </c>
      <c r="C1682" s="4">
        <f>VLOOKUP(Googleadssales[[#This Row],[Ad_ID]],'[1]pre processed data'!A:C,3,0)</f>
        <v>183</v>
      </c>
      <c r="D1682" s="4">
        <f>VLOOKUP(Googleadssales[[#This Row],[Ad_ID]],'[1]pre processed data'!A:E,5,0)</f>
        <v>5659</v>
      </c>
      <c r="E1682" s="5" t="str">
        <f>VLOOKUP(Googleadssales[[#This Row],[Ad_ID]],[1]!Table3[[Ad_ID]:[Cost-imputed]],7,0)</f>
        <v>$191.88</v>
      </c>
      <c r="F1682" s="4">
        <f>VLOOKUP(Googleadssales[[#This Row],[Ad_ID]],'[1]pre processed data'!A:I,9,0)</f>
        <v>12</v>
      </c>
      <c r="G1682" s="4">
        <f>VLOOKUP(Googleadssales[[#This Row],[Ad_ID]],'[1]pre processed data'!A:K,11,0)</f>
        <v>7</v>
      </c>
      <c r="H1682" s="2">
        <f>Googleadssales[[#This Row],[Conversions]]/Googleadssales[[#This Row],[Clicks]]</f>
        <v>3.825136612021858E-2</v>
      </c>
      <c r="I1682" t="str">
        <f>VLOOKUP(Googleadssales[[#This Row],[Ad_ID]],'[1]pre processed data'!A:O,15,0)</f>
        <v>$1830</v>
      </c>
      <c r="J1682" s="3">
        <f>VLOOKUP(Googleadssales[[#This Row],[Ad_ID]],'[1]pre processed data'!A:Q,17,0)</f>
        <v>45606</v>
      </c>
      <c r="K1682" t="str">
        <f>VLOOKUP(Googleadssales[[#This Row],[Ad_ID]],'[1]pre processed data'!A:R,18,0)</f>
        <v>Bangaluru</v>
      </c>
      <c r="L1682" t="str">
        <f>VLOOKUP(Googleadssales[[#This Row],[Ad_ID]],'[1]pre processed data'!A:S,19,0)</f>
        <v>Mobile</v>
      </c>
      <c r="M1682" t="str">
        <f>VLOOKUP(Googleadssales[[#This Row],[Ad_ID]],'[1]pre processed data'!A:T,20,0)</f>
        <v>analytics for data</v>
      </c>
    </row>
    <row r="1683" spans="1:13" x14ac:dyDescent="0.3">
      <c r="A1683" t="s">
        <v>1696</v>
      </c>
      <c r="B1683" t="s">
        <v>14</v>
      </c>
      <c r="C1683" s="4">
        <f>VLOOKUP(Googleadssales[[#This Row],[Ad_ID]],'[1]pre processed data'!A:C,3,0)</f>
        <v>120</v>
      </c>
      <c r="D1683" s="4">
        <f>VLOOKUP(Googleadssales[[#This Row],[Ad_ID]],'[1]pre processed data'!A:E,5,0)</f>
        <v>3629</v>
      </c>
      <c r="E1683" s="5" t="str">
        <f>VLOOKUP(Googleadssales[[#This Row],[Ad_ID]],[1]!Table3[[Ad_ID]:[Cost-imputed]],7,0)</f>
        <v>$197.43</v>
      </c>
      <c r="F1683" s="4">
        <f>VLOOKUP(Googleadssales[[#This Row],[Ad_ID]],'[1]pre processed data'!A:I,9,0)</f>
        <v>12</v>
      </c>
      <c r="G1683" s="4">
        <f>VLOOKUP(Googleadssales[[#This Row],[Ad_ID]],'[1]pre processed data'!A:K,11,0)</f>
        <v>6.5292792792792795</v>
      </c>
      <c r="H1683" s="2">
        <f>Googleadssales[[#This Row],[Conversions]]/Googleadssales[[#This Row],[Clicks]]</f>
        <v>5.4410660660660665E-2</v>
      </c>
      <c r="I1683" t="str">
        <f>VLOOKUP(Googleadssales[[#This Row],[Ad_ID]],'[1]pre processed data'!A:O,15,0)</f>
        <v>$1522</v>
      </c>
      <c r="J1683" s="3">
        <f>VLOOKUP(Googleadssales[[#This Row],[Ad_ID]],'[1]pre processed data'!A:Q,17,0)</f>
        <v>45619</v>
      </c>
      <c r="K1683" t="str">
        <f>VLOOKUP(Googleadssales[[#This Row],[Ad_ID]],'[1]pre processed data'!A:R,18,0)</f>
        <v>Hyderabad</v>
      </c>
      <c r="L1683" t="str">
        <f>VLOOKUP(Googleadssales[[#This Row],[Ad_ID]],'[1]pre processed data'!A:S,19,0)</f>
        <v>Desktop</v>
      </c>
      <c r="M1683" t="str">
        <f>VLOOKUP(Googleadssales[[#This Row],[Ad_ID]],'[1]pre processed data'!A:T,20,0)</f>
        <v>data analytics training</v>
      </c>
    </row>
    <row r="1684" spans="1:13" x14ac:dyDescent="0.3">
      <c r="A1684" t="s">
        <v>1697</v>
      </c>
      <c r="B1684" t="s">
        <v>18</v>
      </c>
      <c r="C1684" s="4">
        <f>VLOOKUP(Googleadssales[[#This Row],[Ad_ID]],'[1]pre processed data'!A:C,3,0)</f>
        <v>187</v>
      </c>
      <c r="D1684" s="4">
        <f>VLOOKUP(Googleadssales[[#This Row],[Ad_ID]],'[1]pre processed data'!A:E,5,0)</f>
        <v>5531</v>
      </c>
      <c r="E1684" s="5" t="str">
        <f>VLOOKUP(Googleadssales[[#This Row],[Ad_ID]],[1]!Table3[[Ad_ID]:[Cost-imputed]],7,0)</f>
        <v>$219.88</v>
      </c>
      <c r="F1684" s="4">
        <f>VLOOKUP(Googleadssales[[#This Row],[Ad_ID]],'[1]pre processed data'!A:I,9,0)</f>
        <v>10</v>
      </c>
      <c r="G1684" s="4">
        <f>VLOOKUP(Googleadssales[[#This Row],[Ad_ID]],'[1]pre processed data'!A:K,11,0)</f>
        <v>5</v>
      </c>
      <c r="H1684" s="2">
        <f>Googleadssales[[#This Row],[Conversions]]/Googleadssales[[#This Row],[Clicks]]</f>
        <v>2.6737967914438502E-2</v>
      </c>
      <c r="I1684" t="str">
        <f>VLOOKUP(Googleadssales[[#This Row],[Ad_ID]],'[1]pre processed data'!A:O,15,0)</f>
        <v>$1807</v>
      </c>
      <c r="J1684" s="3">
        <f>VLOOKUP(Googleadssales[[#This Row],[Ad_ID]],'[1]pre processed data'!A:Q,17,0)</f>
        <v>45609</v>
      </c>
      <c r="K1684" t="str">
        <f>VLOOKUP(Googleadssales[[#This Row],[Ad_ID]],'[1]pre processed data'!A:R,18,0)</f>
        <v>Hyderabad</v>
      </c>
      <c r="L1684" t="str">
        <f>VLOOKUP(Googleadssales[[#This Row],[Ad_ID]],'[1]pre processed data'!A:S,19,0)</f>
        <v>Tablet</v>
      </c>
      <c r="M1684" t="str">
        <f>VLOOKUP(Googleadssales[[#This Row],[Ad_ID]],'[1]pre processed data'!A:T,20,0)</f>
        <v>analytics for data</v>
      </c>
    </row>
    <row r="1685" spans="1:13" x14ac:dyDescent="0.3">
      <c r="A1685" t="s">
        <v>1698</v>
      </c>
      <c r="B1685" t="s">
        <v>14</v>
      </c>
      <c r="C1685" s="4">
        <f>VLOOKUP(Googleadssales[[#This Row],[Ad_ID]],'[1]pre processed data'!A:C,3,0)</f>
        <v>121</v>
      </c>
      <c r="D1685" s="4">
        <f>VLOOKUP(Googleadssales[[#This Row],[Ad_ID]],'[1]pre processed data'!A:E,5,0)</f>
        <v>5275</v>
      </c>
      <c r="E1685" s="5" t="str">
        <f>VLOOKUP(Googleadssales[[#This Row],[Ad_ID]],[1]!Table3[[Ad_ID]:[Cost-imputed]],7,0)</f>
        <v>$234.88</v>
      </c>
      <c r="F1685" s="4">
        <f>VLOOKUP(Googleadssales[[#This Row],[Ad_ID]],'[1]pre processed data'!A:I,9,0)</f>
        <v>23</v>
      </c>
      <c r="G1685" s="4">
        <f>VLOOKUP(Googleadssales[[#This Row],[Ad_ID]],'[1]pre processed data'!A:K,11,0)</f>
        <v>4</v>
      </c>
      <c r="H1685" s="2">
        <f>Googleadssales[[#This Row],[Conversions]]/Googleadssales[[#This Row],[Clicks]]</f>
        <v>3.3057851239669422E-2</v>
      </c>
      <c r="I1685" t="str">
        <f>VLOOKUP(Googleadssales[[#This Row],[Ad_ID]],'[1]pre processed data'!A:O,15,0)</f>
        <v>$1766</v>
      </c>
      <c r="J1685" s="3">
        <f>VLOOKUP(Googleadssales[[#This Row],[Ad_ID]],'[1]pre processed data'!A:Q,17,0)</f>
        <v>45601</v>
      </c>
      <c r="K1685" t="str">
        <f>VLOOKUP(Googleadssales[[#This Row],[Ad_ID]],'[1]pre processed data'!A:R,18,0)</f>
        <v>Hyderabad</v>
      </c>
      <c r="L1685" t="str">
        <f>VLOOKUP(Googleadssales[[#This Row],[Ad_ID]],'[1]pre processed data'!A:S,19,0)</f>
        <v>Desktop</v>
      </c>
      <c r="M1685" t="str">
        <f>VLOOKUP(Googleadssales[[#This Row],[Ad_ID]],'[1]pre processed data'!A:T,20,0)</f>
        <v>data analytics online</v>
      </c>
    </row>
    <row r="1686" spans="1:13" x14ac:dyDescent="0.3">
      <c r="A1686" t="s">
        <v>1699</v>
      </c>
      <c r="B1686" t="s">
        <v>14</v>
      </c>
      <c r="C1686" s="4">
        <f>VLOOKUP(Googleadssales[[#This Row],[Ad_ID]],'[1]pre processed data'!A:C,3,0)</f>
        <v>173</v>
      </c>
      <c r="D1686" s="4">
        <f>VLOOKUP(Googleadssales[[#This Row],[Ad_ID]],'[1]pre processed data'!A:E,5,0)</f>
        <v>3190</v>
      </c>
      <c r="E1686" s="5" t="str">
        <f>VLOOKUP(Googleadssales[[#This Row],[Ad_ID]],[1]!Table3[[Ad_ID]:[Cost-imputed]],7,0)</f>
        <v>$226.32</v>
      </c>
      <c r="F1686" s="4">
        <f>VLOOKUP(Googleadssales[[#This Row],[Ad_ID]],'[1]pre processed data'!A:I,9,0)</f>
        <v>13</v>
      </c>
      <c r="G1686" s="4">
        <f>VLOOKUP(Googleadssales[[#This Row],[Ad_ID]],'[1]pre processed data'!A:K,11,0)</f>
        <v>6.533860045146727</v>
      </c>
      <c r="H1686" s="2">
        <f>Googleadssales[[#This Row],[Conversions]]/Googleadssales[[#This Row],[Clicks]]</f>
        <v>3.7767977139576456E-2</v>
      </c>
      <c r="I1686" t="str">
        <f>VLOOKUP(Googleadssales[[#This Row],[Ad_ID]],'[1]pre processed data'!A:O,15,0)</f>
        <v>$1884</v>
      </c>
      <c r="J1686" s="3">
        <f>VLOOKUP(Googleadssales[[#This Row],[Ad_ID]],'[1]pre processed data'!A:Q,17,0)</f>
        <v>45623</v>
      </c>
      <c r="K1686" t="str">
        <f>VLOOKUP(Googleadssales[[#This Row],[Ad_ID]],'[1]pre processed data'!A:R,18,0)</f>
        <v>Hyderabad</v>
      </c>
      <c r="L1686" t="str">
        <f>VLOOKUP(Googleadssales[[#This Row],[Ad_ID]],'[1]pre processed data'!A:S,19,0)</f>
        <v>Mobile</v>
      </c>
      <c r="M1686" t="str">
        <f>VLOOKUP(Googleadssales[[#This Row],[Ad_ID]],'[1]pre processed data'!A:T,20,0)</f>
        <v>online data analytic</v>
      </c>
    </row>
    <row r="1687" spans="1:13" x14ac:dyDescent="0.3">
      <c r="A1687" t="s">
        <v>1700</v>
      </c>
      <c r="B1687" t="s">
        <v>14</v>
      </c>
      <c r="C1687" s="4">
        <f>VLOOKUP(Googleadssales[[#This Row],[Ad_ID]],'[1]pre processed data'!A:C,3,0)</f>
        <v>165</v>
      </c>
      <c r="D1687" s="4">
        <f>VLOOKUP(Googleadssales[[#This Row],[Ad_ID]],'[1]pre processed data'!A:E,5,0)</f>
        <v>5406</v>
      </c>
      <c r="E1687" s="5" t="str">
        <f>VLOOKUP(Googleadssales[[#This Row],[Ad_ID]],[1]!Table3[[Ad_ID]:[Cost-imputed]],7,0)</f>
        <v>$237.32</v>
      </c>
      <c r="F1687" s="4">
        <f>VLOOKUP(Googleadssales[[#This Row],[Ad_ID]],'[1]pre processed data'!A:I,9,0)</f>
        <v>23</v>
      </c>
      <c r="G1687" s="4">
        <f>VLOOKUP(Googleadssales[[#This Row],[Ad_ID]],'[1]pre processed data'!A:K,11,0)</f>
        <v>10</v>
      </c>
      <c r="H1687" s="2">
        <f>Googleadssales[[#This Row],[Conversions]]/Googleadssales[[#This Row],[Clicks]]</f>
        <v>6.0606060606060608E-2</v>
      </c>
      <c r="I1687" t="str">
        <f>VLOOKUP(Googleadssales[[#This Row],[Ad_ID]],'[1]pre processed data'!A:O,15,0)</f>
        <v>$1002</v>
      </c>
      <c r="J1687" s="3">
        <f>VLOOKUP(Googleadssales[[#This Row],[Ad_ID]],'[1]pre processed data'!A:Q,17,0)</f>
        <v>45621</v>
      </c>
      <c r="K1687" t="str">
        <f>VLOOKUP(Googleadssales[[#This Row],[Ad_ID]],'[1]pre processed data'!A:R,18,0)</f>
        <v>Chennai</v>
      </c>
      <c r="L1687" t="str">
        <f>VLOOKUP(Googleadssales[[#This Row],[Ad_ID]],'[1]pre processed data'!A:S,19,0)</f>
        <v>Tablet</v>
      </c>
      <c r="M1687" t="str">
        <f>VLOOKUP(Googleadssales[[#This Row],[Ad_ID]],'[1]pre processed data'!A:T,20,0)</f>
        <v>data analytics course</v>
      </c>
    </row>
    <row r="1688" spans="1:13" x14ac:dyDescent="0.3">
      <c r="A1688" t="s">
        <v>1701</v>
      </c>
      <c r="B1688" t="s">
        <v>18</v>
      </c>
      <c r="C1688" s="4">
        <f>VLOOKUP(Googleadssales[[#This Row],[Ad_ID]],'[1]pre processed data'!A:C,3,0)</f>
        <v>192</v>
      </c>
      <c r="D1688" s="4">
        <f>VLOOKUP(Googleadssales[[#This Row],[Ad_ID]],'[1]pre processed data'!A:E,5,0)</f>
        <v>3755</v>
      </c>
      <c r="E1688" s="5" t="str">
        <f>VLOOKUP(Googleadssales[[#This Row],[Ad_ID]],[1]!Table3[[Ad_ID]:[Cost-imputed]],7,0)</f>
        <v>$218.14</v>
      </c>
      <c r="F1688" s="4">
        <f>VLOOKUP(Googleadssales[[#This Row],[Ad_ID]],'[1]pre processed data'!A:I,9,0)</f>
        <v>28</v>
      </c>
      <c r="G1688" s="4">
        <f>VLOOKUP(Googleadssales[[#This Row],[Ad_ID]],'[1]pre processed data'!A:K,11,0)</f>
        <v>3</v>
      </c>
      <c r="H1688" s="2">
        <f>Googleadssales[[#This Row],[Conversions]]/Googleadssales[[#This Row],[Clicks]]</f>
        <v>1.5625E-2</v>
      </c>
      <c r="I1688" t="str">
        <f>VLOOKUP(Googleadssales[[#This Row],[Ad_ID]],'[1]pre processed data'!A:O,15,0)</f>
        <v>$1121</v>
      </c>
      <c r="J1688" s="3">
        <f>VLOOKUP(Googleadssales[[#This Row],[Ad_ID]],'[1]pre processed data'!A:Q,17,0)</f>
        <v>45626</v>
      </c>
      <c r="K1688" t="str">
        <f>VLOOKUP(Googleadssales[[#This Row],[Ad_ID]],'[1]pre processed data'!A:R,18,0)</f>
        <v>Bangaluru</v>
      </c>
      <c r="L1688" t="str">
        <f>VLOOKUP(Googleadssales[[#This Row],[Ad_ID]],'[1]pre processed data'!A:S,19,0)</f>
        <v>Mobile</v>
      </c>
      <c r="M1688" t="str">
        <f>VLOOKUP(Googleadssales[[#This Row],[Ad_ID]],'[1]pre processed data'!A:T,20,0)</f>
        <v>online data analytic</v>
      </c>
    </row>
    <row r="1689" spans="1:13" x14ac:dyDescent="0.3">
      <c r="A1689" t="s">
        <v>1702</v>
      </c>
      <c r="B1689" t="s">
        <v>14</v>
      </c>
      <c r="C1689" s="4">
        <f>VLOOKUP(Googleadssales[[#This Row],[Ad_ID]],'[1]pre processed data'!A:C,3,0)</f>
        <v>193</v>
      </c>
      <c r="D1689" s="4">
        <f>VLOOKUP(Googleadssales[[#This Row],[Ad_ID]],'[1]pre processed data'!A:E,5,0)</f>
        <v>4497</v>
      </c>
      <c r="E1689" s="5" t="str">
        <f>VLOOKUP(Googleadssales[[#This Row],[Ad_ID]],[1]!Table3[[Ad_ID]:[Cost-imputed]],7,0)</f>
        <v>$248.41</v>
      </c>
      <c r="F1689" s="4">
        <f>VLOOKUP(Googleadssales[[#This Row],[Ad_ID]],'[1]pre processed data'!A:I,9,0)</f>
        <v>24</v>
      </c>
      <c r="G1689" s="4">
        <f>VLOOKUP(Googleadssales[[#This Row],[Ad_ID]],'[1]pre processed data'!A:K,11,0)</f>
        <v>9</v>
      </c>
      <c r="H1689" s="2">
        <f>Googleadssales[[#This Row],[Conversions]]/Googleadssales[[#This Row],[Clicks]]</f>
        <v>4.6632124352331605E-2</v>
      </c>
      <c r="I1689" t="str">
        <f>VLOOKUP(Googleadssales[[#This Row],[Ad_ID]],'[1]pre processed data'!A:O,15,0)</f>
        <v>$1025</v>
      </c>
      <c r="J1689" s="3">
        <f>VLOOKUP(Googleadssales[[#This Row],[Ad_ID]],'[1]pre processed data'!A:Q,17,0)</f>
        <v>45602</v>
      </c>
      <c r="K1689" t="str">
        <f>VLOOKUP(Googleadssales[[#This Row],[Ad_ID]],'[1]pre processed data'!A:R,18,0)</f>
        <v>Chennai</v>
      </c>
      <c r="L1689" t="str">
        <f>VLOOKUP(Googleadssales[[#This Row],[Ad_ID]],'[1]pre processed data'!A:S,19,0)</f>
        <v>Desktop</v>
      </c>
      <c r="M1689" t="str">
        <f>VLOOKUP(Googleadssales[[#This Row],[Ad_ID]],'[1]pre processed data'!A:T,20,0)</f>
        <v>learn data analytics</v>
      </c>
    </row>
    <row r="1690" spans="1:13" x14ac:dyDescent="0.3">
      <c r="A1690" t="s">
        <v>1703</v>
      </c>
      <c r="B1690" t="s">
        <v>14</v>
      </c>
      <c r="C1690" s="4">
        <f>VLOOKUP(Googleadssales[[#This Row],[Ad_ID]],'[1]pre processed data'!A:C,3,0)</f>
        <v>138</v>
      </c>
      <c r="D1690" s="4">
        <f>VLOOKUP(Googleadssales[[#This Row],[Ad_ID]],'[1]pre processed data'!A:E,5,0)</f>
        <v>5904</v>
      </c>
      <c r="E1690" s="5" t="str">
        <f>VLOOKUP(Googleadssales[[#This Row],[Ad_ID]],[1]!Table3[[Ad_ID]:[Cost-imputed]],7,0)</f>
        <v>$197.08</v>
      </c>
      <c r="F1690" s="4">
        <f>VLOOKUP(Googleadssales[[#This Row],[Ad_ID]],'[1]pre processed data'!A:I,9,0)</f>
        <v>26</v>
      </c>
      <c r="G1690" s="4">
        <f>VLOOKUP(Googleadssales[[#This Row],[Ad_ID]],'[1]pre processed data'!A:K,11,0)</f>
        <v>8</v>
      </c>
      <c r="H1690" s="2">
        <f>Googleadssales[[#This Row],[Conversions]]/Googleadssales[[#This Row],[Clicks]]</f>
        <v>5.7971014492753624E-2</v>
      </c>
      <c r="I1690" t="str">
        <f>VLOOKUP(Googleadssales[[#This Row],[Ad_ID]],'[1]pre processed data'!A:O,15,0)</f>
        <v>$1698</v>
      </c>
      <c r="J1690" s="3">
        <f>VLOOKUP(Googleadssales[[#This Row],[Ad_ID]],'[1]pre processed data'!A:Q,17,0)</f>
        <v>45615</v>
      </c>
      <c r="K1690" t="str">
        <f>VLOOKUP(Googleadssales[[#This Row],[Ad_ID]],'[1]pre processed data'!A:R,18,0)</f>
        <v>Hyderabad</v>
      </c>
      <c r="L1690" t="str">
        <f>VLOOKUP(Googleadssales[[#This Row],[Ad_ID]],'[1]pre processed data'!A:S,19,0)</f>
        <v>Desktop</v>
      </c>
      <c r="M1690" t="str">
        <f>VLOOKUP(Googleadssales[[#This Row],[Ad_ID]],'[1]pre processed data'!A:T,20,0)</f>
        <v>learn data analytics</v>
      </c>
    </row>
    <row r="1691" spans="1:13" x14ac:dyDescent="0.3">
      <c r="A1691" t="s">
        <v>1704</v>
      </c>
      <c r="B1691" t="s">
        <v>14</v>
      </c>
      <c r="C1691" s="4">
        <f>VLOOKUP(Googleadssales[[#This Row],[Ad_ID]],'[1]pre processed data'!A:C,3,0)</f>
        <v>104</v>
      </c>
      <c r="D1691" s="4">
        <f>VLOOKUP(Googleadssales[[#This Row],[Ad_ID]],'[1]pre processed data'!A:E,5,0)</f>
        <v>4212</v>
      </c>
      <c r="E1691" s="5" t="str">
        <f>VLOOKUP(Googleadssales[[#This Row],[Ad_ID]],[1]!Table3[[Ad_ID]:[Cost-imputed]],7,0)</f>
        <v>$200.00</v>
      </c>
      <c r="F1691" s="4">
        <f>VLOOKUP(Googleadssales[[#This Row],[Ad_ID]],'[1]pre processed data'!A:I,9,0)</f>
        <v>15</v>
      </c>
      <c r="G1691" s="4">
        <f>VLOOKUP(Googleadssales[[#This Row],[Ad_ID]],'[1]pre processed data'!A:K,11,0)</f>
        <v>6</v>
      </c>
      <c r="H1691" s="2">
        <f>Googleadssales[[#This Row],[Conversions]]/Googleadssales[[#This Row],[Clicks]]</f>
        <v>5.7692307692307696E-2</v>
      </c>
      <c r="I1691" t="str">
        <f>VLOOKUP(Googleadssales[[#This Row],[Ad_ID]],'[1]pre processed data'!A:O,15,0)</f>
        <v>$1108</v>
      </c>
      <c r="J1691" s="3">
        <f>VLOOKUP(Googleadssales[[#This Row],[Ad_ID]],'[1]pre processed data'!A:Q,17,0)</f>
        <v>45626</v>
      </c>
      <c r="K1691" t="str">
        <f>VLOOKUP(Googleadssales[[#This Row],[Ad_ID]],'[1]pre processed data'!A:R,18,0)</f>
        <v>Hyderabad</v>
      </c>
      <c r="L1691" t="str">
        <f>VLOOKUP(Googleadssales[[#This Row],[Ad_ID]],'[1]pre processed data'!A:S,19,0)</f>
        <v>Desktop</v>
      </c>
      <c r="M1691" t="str">
        <f>VLOOKUP(Googleadssales[[#This Row],[Ad_ID]],'[1]pre processed data'!A:T,20,0)</f>
        <v>data analytics training</v>
      </c>
    </row>
    <row r="1692" spans="1:13" x14ac:dyDescent="0.3">
      <c r="A1692" t="s">
        <v>1705</v>
      </c>
      <c r="B1692" t="s">
        <v>14</v>
      </c>
      <c r="C1692" s="4">
        <f>VLOOKUP(Googleadssales[[#This Row],[Ad_ID]],'[1]pre processed data'!A:C,3,0)</f>
        <v>162</v>
      </c>
      <c r="D1692" s="4">
        <f>VLOOKUP(Googleadssales[[#This Row],[Ad_ID]],'[1]pre processed data'!A:E,5,0)</f>
        <v>5979</v>
      </c>
      <c r="E1692" s="5" t="str">
        <f>VLOOKUP(Googleadssales[[#This Row],[Ad_ID]],[1]!Table3[[Ad_ID]:[Cost-imputed]],7,0)</f>
        <v>$190.69</v>
      </c>
      <c r="F1692" s="4">
        <f>VLOOKUP(Googleadssales[[#This Row],[Ad_ID]],'[1]pre processed data'!A:I,9,0)</f>
        <v>30</v>
      </c>
      <c r="G1692" s="4">
        <f>VLOOKUP(Googleadssales[[#This Row],[Ad_ID]],'[1]pre processed data'!A:K,11,0)</f>
        <v>6</v>
      </c>
      <c r="H1692" s="2">
        <f>Googleadssales[[#This Row],[Conversions]]/Googleadssales[[#This Row],[Clicks]]</f>
        <v>3.7037037037037035E-2</v>
      </c>
      <c r="I1692" t="str">
        <f>VLOOKUP(Googleadssales[[#This Row],[Ad_ID]],'[1]pre processed data'!A:O,15,0)</f>
        <v>$1976</v>
      </c>
      <c r="J1692" s="3">
        <f>VLOOKUP(Googleadssales[[#This Row],[Ad_ID]],'[1]pre processed data'!A:Q,17,0)</f>
        <v>45619</v>
      </c>
      <c r="K1692" t="str">
        <f>VLOOKUP(Googleadssales[[#This Row],[Ad_ID]],'[1]pre processed data'!A:R,18,0)</f>
        <v>Hyderabad</v>
      </c>
      <c r="L1692" t="str">
        <f>VLOOKUP(Googleadssales[[#This Row],[Ad_ID]],'[1]pre processed data'!A:S,19,0)</f>
        <v>Tablet</v>
      </c>
      <c r="M1692" t="str">
        <f>VLOOKUP(Googleadssales[[#This Row],[Ad_ID]],'[1]pre processed data'!A:T,20,0)</f>
        <v>learn data analytics</v>
      </c>
    </row>
    <row r="1693" spans="1:13" x14ac:dyDescent="0.3">
      <c r="A1693" t="s">
        <v>1706</v>
      </c>
      <c r="B1693" t="s">
        <v>14</v>
      </c>
      <c r="C1693" s="4">
        <f>VLOOKUP(Googleadssales[[#This Row],[Ad_ID]],'[1]pre processed data'!A:C,3,0)</f>
        <v>115</v>
      </c>
      <c r="D1693" s="4">
        <f>VLOOKUP(Googleadssales[[#This Row],[Ad_ID]],'[1]pre processed data'!A:E,5,0)</f>
        <v>4950</v>
      </c>
      <c r="E1693" s="5" t="str">
        <f>VLOOKUP(Googleadssales[[#This Row],[Ad_ID]],[1]!Table3[[Ad_ID]:[Cost-imputed]],7,0)</f>
        <v>$241.85</v>
      </c>
      <c r="F1693" s="4">
        <f>VLOOKUP(Googleadssales[[#This Row],[Ad_ID]],'[1]pre processed data'!A:I,9,0)</f>
        <v>19</v>
      </c>
      <c r="G1693" s="4">
        <f>VLOOKUP(Googleadssales[[#This Row],[Ad_ID]],'[1]pre processed data'!A:K,11,0)</f>
        <v>9</v>
      </c>
      <c r="H1693" s="2">
        <f>Googleadssales[[#This Row],[Conversions]]/Googleadssales[[#This Row],[Clicks]]</f>
        <v>7.8260869565217397E-2</v>
      </c>
      <c r="I1693" t="str">
        <f>VLOOKUP(Googleadssales[[#This Row],[Ad_ID]],'[1]pre processed data'!A:O,15,0)</f>
        <v>$1343</v>
      </c>
      <c r="J1693" s="3">
        <f>VLOOKUP(Googleadssales[[#This Row],[Ad_ID]],'[1]pre processed data'!A:Q,17,0)</f>
        <v>45612</v>
      </c>
      <c r="K1693" t="str">
        <f>VLOOKUP(Googleadssales[[#This Row],[Ad_ID]],'[1]pre processed data'!A:R,18,0)</f>
        <v>Hyderabad</v>
      </c>
      <c r="L1693" t="str">
        <f>VLOOKUP(Googleadssales[[#This Row],[Ad_ID]],'[1]pre processed data'!A:S,19,0)</f>
        <v>Tablet</v>
      </c>
      <c r="M1693" t="str">
        <f>VLOOKUP(Googleadssales[[#This Row],[Ad_ID]],'[1]pre processed data'!A:T,20,0)</f>
        <v>online data analytic</v>
      </c>
    </row>
    <row r="1694" spans="1:13" x14ac:dyDescent="0.3">
      <c r="A1694" t="s">
        <v>1707</v>
      </c>
      <c r="B1694" t="s">
        <v>14</v>
      </c>
      <c r="C1694" s="4">
        <f>VLOOKUP(Googleadssales[[#This Row],[Ad_ID]],'[1]pre processed data'!A:C,3,0)</f>
        <v>104</v>
      </c>
      <c r="D1694" s="4">
        <f>VLOOKUP(Googleadssales[[#This Row],[Ad_ID]],'[1]pre processed data'!A:E,5,0)</f>
        <v>3405</v>
      </c>
      <c r="E1694" s="5" t="str">
        <f>VLOOKUP(Googleadssales[[#This Row],[Ad_ID]],[1]!Table3[[Ad_ID]:[Cost-imputed]],7,0)</f>
        <v>$227.36</v>
      </c>
      <c r="F1694" s="4">
        <f>VLOOKUP(Googleadssales[[#This Row],[Ad_ID]],'[1]pre processed data'!A:I,9,0)</f>
        <v>28</v>
      </c>
      <c r="G1694" s="4">
        <f>VLOOKUP(Googleadssales[[#This Row],[Ad_ID]],'[1]pre processed data'!A:K,11,0)</f>
        <v>8</v>
      </c>
      <c r="H1694" s="2">
        <f>Googleadssales[[#This Row],[Conversions]]/Googleadssales[[#This Row],[Clicks]]</f>
        <v>7.6923076923076927E-2</v>
      </c>
      <c r="I1694" t="str">
        <f>VLOOKUP(Googleadssales[[#This Row],[Ad_ID]],'[1]pre processed data'!A:O,15,0)</f>
        <v>$1970</v>
      </c>
      <c r="J1694" s="3">
        <f>VLOOKUP(Googleadssales[[#This Row],[Ad_ID]],'[1]pre processed data'!A:Q,17,0)</f>
        <v>45623</v>
      </c>
      <c r="K1694" t="str">
        <f>VLOOKUP(Googleadssales[[#This Row],[Ad_ID]],'[1]pre processed data'!A:R,18,0)</f>
        <v>Chennai</v>
      </c>
      <c r="L1694" t="str">
        <f>VLOOKUP(Googleadssales[[#This Row],[Ad_ID]],'[1]pre processed data'!A:S,19,0)</f>
        <v>Mobile</v>
      </c>
      <c r="M1694" t="str">
        <f>VLOOKUP(Googleadssales[[#This Row],[Ad_ID]],'[1]pre processed data'!A:T,20,0)</f>
        <v>data analytics course</v>
      </c>
    </row>
    <row r="1695" spans="1:13" x14ac:dyDescent="0.3">
      <c r="A1695" t="s">
        <v>1708</v>
      </c>
      <c r="B1695" t="s">
        <v>14</v>
      </c>
      <c r="C1695" s="4">
        <f>VLOOKUP(Googleadssales[[#This Row],[Ad_ID]],'[1]pre processed data'!A:C,3,0)</f>
        <v>168</v>
      </c>
      <c r="D1695" s="4">
        <f>VLOOKUP(Googleadssales[[#This Row],[Ad_ID]],'[1]pre processed data'!A:E,5,0)</f>
        <v>4523.2808326787117</v>
      </c>
      <c r="E1695" s="5" t="str">
        <f>VLOOKUP(Googleadssales[[#This Row],[Ad_ID]],[1]!Table3[[Ad_ID]:[Cost-imputed]],7,0)</f>
        <v>$196.79</v>
      </c>
      <c r="F1695" s="4">
        <f>VLOOKUP(Googleadssales[[#This Row],[Ad_ID]],'[1]pre processed data'!A:I,9,0)</f>
        <v>22</v>
      </c>
      <c r="G1695" s="4">
        <f>VLOOKUP(Googleadssales[[#This Row],[Ad_ID]],'[1]pre processed data'!A:K,11,0)</f>
        <v>8</v>
      </c>
      <c r="H1695" s="2">
        <f>Googleadssales[[#This Row],[Conversions]]/Googleadssales[[#This Row],[Clicks]]</f>
        <v>4.7619047619047616E-2</v>
      </c>
      <c r="I1695" t="str">
        <f>VLOOKUP(Googleadssales[[#This Row],[Ad_ID]],'[1]pre processed data'!A:O,15,0)</f>
        <v>$1666</v>
      </c>
      <c r="J1695" s="3">
        <f>VLOOKUP(Googleadssales[[#This Row],[Ad_ID]],'[1]pre processed data'!A:Q,17,0)</f>
        <v>45619</v>
      </c>
      <c r="K1695" t="str">
        <f>VLOOKUP(Googleadssales[[#This Row],[Ad_ID]],'[1]pre processed data'!A:R,18,0)</f>
        <v>Bangaluru</v>
      </c>
      <c r="L1695" t="str">
        <f>VLOOKUP(Googleadssales[[#This Row],[Ad_ID]],'[1]pre processed data'!A:S,19,0)</f>
        <v>Tablet</v>
      </c>
      <c r="M1695" t="str">
        <f>VLOOKUP(Googleadssales[[#This Row],[Ad_ID]],'[1]pre processed data'!A:T,20,0)</f>
        <v>learn data analytics</v>
      </c>
    </row>
    <row r="1696" spans="1:13" x14ac:dyDescent="0.3">
      <c r="A1696" t="s">
        <v>1709</v>
      </c>
      <c r="B1696" t="s">
        <v>14</v>
      </c>
      <c r="C1696" s="4">
        <f>VLOOKUP(Googleadssales[[#This Row],[Ad_ID]],'[1]pre processed data'!A:C,3,0)</f>
        <v>146</v>
      </c>
      <c r="D1696" s="4">
        <f>VLOOKUP(Googleadssales[[#This Row],[Ad_ID]],'[1]pre processed data'!A:E,5,0)</f>
        <v>4624</v>
      </c>
      <c r="E1696" s="5" t="str">
        <f>VLOOKUP(Googleadssales[[#This Row],[Ad_ID]],[1]!Table3[[Ad_ID]:[Cost-imputed]],7,0)</f>
        <v>$212.67</v>
      </c>
      <c r="F1696" s="4">
        <f>VLOOKUP(Googleadssales[[#This Row],[Ad_ID]],'[1]pre processed data'!A:I,9,0)</f>
        <v>19</v>
      </c>
      <c r="G1696" s="4">
        <f>VLOOKUP(Googleadssales[[#This Row],[Ad_ID]],'[1]pre processed data'!A:K,11,0)</f>
        <v>9</v>
      </c>
      <c r="H1696" s="2">
        <f>Googleadssales[[#This Row],[Conversions]]/Googleadssales[[#This Row],[Clicks]]</f>
        <v>6.1643835616438353E-2</v>
      </c>
      <c r="I1696" t="str">
        <f>VLOOKUP(Googleadssales[[#This Row],[Ad_ID]],'[1]pre processed data'!A:O,15,0)</f>
        <v>$1513</v>
      </c>
      <c r="J1696" s="3">
        <f>VLOOKUP(Googleadssales[[#This Row],[Ad_ID]],'[1]pre processed data'!A:Q,17,0)</f>
        <v>45605</v>
      </c>
      <c r="K1696" t="str">
        <f>VLOOKUP(Googleadssales[[#This Row],[Ad_ID]],'[1]pre processed data'!A:R,18,0)</f>
        <v>Bangaluru</v>
      </c>
      <c r="L1696" t="str">
        <f>VLOOKUP(Googleadssales[[#This Row],[Ad_ID]],'[1]pre processed data'!A:S,19,0)</f>
        <v>Mobile</v>
      </c>
      <c r="M1696" t="str">
        <f>VLOOKUP(Googleadssales[[#This Row],[Ad_ID]],'[1]pre processed data'!A:T,20,0)</f>
        <v>data analytics course</v>
      </c>
    </row>
    <row r="1697" spans="1:13" x14ac:dyDescent="0.3">
      <c r="A1697" t="s">
        <v>1710</v>
      </c>
      <c r="B1697" t="s">
        <v>14</v>
      </c>
      <c r="C1697" s="4">
        <f>VLOOKUP(Googleadssales[[#This Row],[Ad_ID]],'[1]pre processed data'!A:C,3,0)</f>
        <v>82</v>
      </c>
      <c r="D1697" s="4">
        <f>VLOOKUP(Googleadssales[[#This Row],[Ad_ID]],'[1]pre processed data'!A:E,5,0)</f>
        <v>5241</v>
      </c>
      <c r="E1697" s="5" t="str">
        <f>VLOOKUP(Googleadssales[[#This Row],[Ad_ID]],[1]!Table3[[Ad_ID]:[Cost-imputed]],7,0)</f>
        <v>$191.23</v>
      </c>
      <c r="F1697" s="4">
        <f>VLOOKUP(Googleadssales[[#This Row],[Ad_ID]],'[1]pre processed data'!A:I,9,0)</f>
        <v>28</v>
      </c>
      <c r="G1697" s="4">
        <f>VLOOKUP(Googleadssales[[#This Row],[Ad_ID]],'[1]pre processed data'!A:K,11,0)</f>
        <v>9</v>
      </c>
      <c r="H1697" s="2">
        <f>Googleadssales[[#This Row],[Conversions]]/Googleadssales[[#This Row],[Clicks]]</f>
        <v>0.10975609756097561</v>
      </c>
      <c r="I1697" t="str">
        <f>VLOOKUP(Googleadssales[[#This Row],[Ad_ID]],'[1]pre processed data'!A:O,15,0)</f>
        <v>$1369</v>
      </c>
      <c r="J1697" s="3">
        <f>VLOOKUP(Googleadssales[[#This Row],[Ad_ID]],'[1]pre processed data'!A:Q,17,0)</f>
        <v>45599</v>
      </c>
      <c r="K1697" t="str">
        <f>VLOOKUP(Googleadssales[[#This Row],[Ad_ID]],'[1]pre processed data'!A:R,18,0)</f>
        <v>Chennai</v>
      </c>
      <c r="L1697" t="str">
        <f>VLOOKUP(Googleadssales[[#This Row],[Ad_ID]],'[1]pre processed data'!A:S,19,0)</f>
        <v>Desktop</v>
      </c>
      <c r="M1697" t="str">
        <f>VLOOKUP(Googleadssales[[#This Row],[Ad_ID]],'[1]pre processed data'!A:T,20,0)</f>
        <v>data analytics course</v>
      </c>
    </row>
    <row r="1698" spans="1:13" x14ac:dyDescent="0.3">
      <c r="A1698" t="s">
        <v>1711</v>
      </c>
      <c r="B1698" t="s">
        <v>14</v>
      </c>
      <c r="C1698" s="4">
        <f>VLOOKUP(Googleadssales[[#This Row],[Ad_ID]],'[1]pre processed data'!A:C,3,0)</f>
        <v>138.95699356913184</v>
      </c>
      <c r="D1698" s="4">
        <f>VLOOKUP(Googleadssales[[#This Row],[Ad_ID]],'[1]pre processed data'!A:E,5,0)</f>
        <v>5947</v>
      </c>
      <c r="E1698" s="5" t="str">
        <f>VLOOKUP(Googleadssales[[#This Row],[Ad_ID]],[1]!Table3[[Ad_ID]:[Cost-imputed]],7,0)</f>
        <v>$206.33</v>
      </c>
      <c r="F1698" s="4">
        <f>VLOOKUP(Googleadssales[[#This Row],[Ad_ID]],'[1]pre processed data'!A:I,9,0)</f>
        <v>14</v>
      </c>
      <c r="G1698" s="4">
        <f>VLOOKUP(Googleadssales[[#This Row],[Ad_ID]],'[1]pre processed data'!A:K,11,0)</f>
        <v>9</v>
      </c>
      <c r="H1698" s="2">
        <f>Googleadssales[[#This Row],[Conversions]]/Googleadssales[[#This Row],[Clicks]]</f>
        <v>6.4768240653698753E-2</v>
      </c>
      <c r="I1698" t="str">
        <f>VLOOKUP(Googleadssales[[#This Row],[Ad_ID]],'[1]pre processed data'!A:O,15,0)</f>
        <v>$1188</v>
      </c>
      <c r="J1698" s="3">
        <f>VLOOKUP(Googleadssales[[#This Row],[Ad_ID]],'[1]pre processed data'!A:Q,17,0)</f>
        <v>45620</v>
      </c>
      <c r="K1698" t="str">
        <f>VLOOKUP(Googleadssales[[#This Row],[Ad_ID]],'[1]pre processed data'!A:R,18,0)</f>
        <v>Chennai</v>
      </c>
      <c r="L1698" t="str">
        <f>VLOOKUP(Googleadssales[[#This Row],[Ad_ID]],'[1]pre processed data'!A:S,19,0)</f>
        <v>Tablet</v>
      </c>
      <c r="M1698" t="str">
        <f>VLOOKUP(Googleadssales[[#This Row],[Ad_ID]],'[1]pre processed data'!A:T,20,0)</f>
        <v>analytics for data</v>
      </c>
    </row>
    <row r="1699" spans="1:13" x14ac:dyDescent="0.3">
      <c r="A1699" t="s">
        <v>1712</v>
      </c>
      <c r="B1699" t="s">
        <v>14</v>
      </c>
      <c r="C1699" s="4">
        <f>VLOOKUP(Googleadssales[[#This Row],[Ad_ID]],'[1]pre processed data'!A:C,3,0)</f>
        <v>142</v>
      </c>
      <c r="D1699" s="4">
        <f>VLOOKUP(Googleadssales[[#This Row],[Ad_ID]],'[1]pre processed data'!A:E,5,0)</f>
        <v>3246</v>
      </c>
      <c r="E1699" s="5" t="str">
        <f>VLOOKUP(Googleadssales[[#This Row],[Ad_ID]],[1]!Table3[[Ad_ID]:[Cost-imputed]],7,0)</f>
        <v>$249.27</v>
      </c>
      <c r="F1699" s="4">
        <f>VLOOKUP(Googleadssales[[#This Row],[Ad_ID]],'[1]pre processed data'!A:I,9,0)</f>
        <v>11</v>
      </c>
      <c r="G1699" s="4">
        <f>VLOOKUP(Googleadssales[[#This Row],[Ad_ID]],'[1]pre processed data'!A:K,11,0)</f>
        <v>8</v>
      </c>
      <c r="H1699" s="2">
        <f>Googleadssales[[#This Row],[Conversions]]/Googleadssales[[#This Row],[Clicks]]</f>
        <v>5.6338028169014086E-2</v>
      </c>
      <c r="I1699" t="str">
        <f>VLOOKUP(Googleadssales[[#This Row],[Ad_ID]],'[1]pre processed data'!A:O,15,0)</f>
        <v>$1667</v>
      </c>
      <c r="J1699" s="3">
        <f>VLOOKUP(Googleadssales[[#This Row],[Ad_ID]],'[1]pre processed data'!A:Q,17,0)</f>
        <v>45601</v>
      </c>
      <c r="K1699" t="str">
        <f>VLOOKUP(Googleadssales[[#This Row],[Ad_ID]],'[1]pre processed data'!A:R,18,0)</f>
        <v>Chennai</v>
      </c>
      <c r="L1699" t="str">
        <f>VLOOKUP(Googleadssales[[#This Row],[Ad_ID]],'[1]pre processed data'!A:S,19,0)</f>
        <v>Mobile</v>
      </c>
      <c r="M1699" t="str">
        <f>VLOOKUP(Googleadssales[[#This Row],[Ad_ID]],'[1]pre processed data'!A:T,20,0)</f>
        <v>data analytics online</v>
      </c>
    </row>
    <row r="1700" spans="1:13" x14ac:dyDescent="0.3">
      <c r="A1700" t="s">
        <v>1713</v>
      </c>
      <c r="B1700" t="s">
        <v>14</v>
      </c>
      <c r="C1700" s="4">
        <f>VLOOKUP(Googleadssales[[#This Row],[Ad_ID]],'[1]pre processed data'!A:C,3,0)</f>
        <v>198</v>
      </c>
      <c r="D1700" s="4">
        <f>VLOOKUP(Googleadssales[[#This Row],[Ad_ID]],'[1]pre processed data'!A:E,5,0)</f>
        <v>5858</v>
      </c>
      <c r="E1700" s="5" t="str">
        <f>VLOOKUP(Googleadssales[[#This Row],[Ad_ID]],[1]!Table3[[Ad_ID]:[Cost-imputed]],7,0)</f>
        <v>$232.94</v>
      </c>
      <c r="F1700" s="4">
        <f>VLOOKUP(Googleadssales[[#This Row],[Ad_ID]],'[1]pre processed data'!A:I,9,0)</f>
        <v>17</v>
      </c>
      <c r="G1700" s="4">
        <f>VLOOKUP(Googleadssales[[#This Row],[Ad_ID]],'[1]pre processed data'!A:K,11,0)</f>
        <v>8</v>
      </c>
      <c r="H1700" s="2">
        <f>Googleadssales[[#This Row],[Conversions]]/Googleadssales[[#This Row],[Clicks]]</f>
        <v>4.0404040404040407E-2</v>
      </c>
      <c r="I1700" t="str">
        <f>VLOOKUP(Googleadssales[[#This Row],[Ad_ID]],'[1]pre processed data'!A:O,15,0)</f>
        <v>$1903</v>
      </c>
      <c r="J1700" s="3">
        <f>VLOOKUP(Googleadssales[[#This Row],[Ad_ID]],'[1]pre processed data'!A:Q,17,0)</f>
        <v>45618</v>
      </c>
      <c r="K1700" t="str">
        <f>VLOOKUP(Googleadssales[[#This Row],[Ad_ID]],'[1]pre processed data'!A:R,18,0)</f>
        <v>Hyderabad</v>
      </c>
      <c r="L1700" t="str">
        <f>VLOOKUP(Googleadssales[[#This Row],[Ad_ID]],'[1]pre processed data'!A:S,19,0)</f>
        <v>Desktop</v>
      </c>
      <c r="M1700" t="str">
        <f>VLOOKUP(Googleadssales[[#This Row],[Ad_ID]],'[1]pre processed data'!A:T,20,0)</f>
        <v>analytics for data</v>
      </c>
    </row>
    <row r="1701" spans="1:13" x14ac:dyDescent="0.3">
      <c r="A1701" t="s">
        <v>1714</v>
      </c>
      <c r="B1701" t="s">
        <v>18</v>
      </c>
      <c r="C1701" s="4">
        <f>VLOOKUP(Googleadssales[[#This Row],[Ad_ID]],'[1]pre processed data'!A:C,3,0)</f>
        <v>119</v>
      </c>
      <c r="D1701" s="4">
        <f>VLOOKUP(Googleadssales[[#This Row],[Ad_ID]],'[1]pre processed data'!A:E,5,0)</f>
        <v>5159</v>
      </c>
      <c r="E1701" s="5" t="str">
        <f>VLOOKUP(Googleadssales[[#This Row],[Ad_ID]],[1]!Table3[[Ad_ID]:[Cost-imputed]],7,0)</f>
        <v>$227.36</v>
      </c>
      <c r="F1701" s="4">
        <f>VLOOKUP(Googleadssales[[#This Row],[Ad_ID]],'[1]pre processed data'!A:I,9,0)</f>
        <v>22</v>
      </c>
      <c r="G1701" s="4">
        <f>VLOOKUP(Googleadssales[[#This Row],[Ad_ID]],'[1]pre processed data'!A:K,11,0)</f>
        <v>10</v>
      </c>
      <c r="H1701" s="2">
        <f>Googleadssales[[#This Row],[Conversions]]/Googleadssales[[#This Row],[Clicks]]</f>
        <v>8.4033613445378158E-2</v>
      </c>
      <c r="I1701" t="str">
        <f>VLOOKUP(Googleadssales[[#This Row],[Ad_ID]],'[1]pre processed data'!A:O,15,0)</f>
        <v>$1448</v>
      </c>
      <c r="J1701" s="3">
        <f>VLOOKUP(Googleadssales[[#This Row],[Ad_ID]],'[1]pre processed data'!A:Q,17,0)</f>
        <v>45612</v>
      </c>
      <c r="K1701" t="str">
        <f>VLOOKUP(Googleadssales[[#This Row],[Ad_ID]],'[1]pre processed data'!A:R,18,0)</f>
        <v>Bangaluru</v>
      </c>
      <c r="L1701" t="str">
        <f>VLOOKUP(Googleadssales[[#This Row],[Ad_ID]],'[1]pre processed data'!A:S,19,0)</f>
        <v>Mobile</v>
      </c>
      <c r="M1701" t="str">
        <f>VLOOKUP(Googleadssales[[#This Row],[Ad_ID]],'[1]pre processed data'!A:T,20,0)</f>
        <v>data analytics training</v>
      </c>
    </row>
    <row r="1702" spans="1:13" x14ac:dyDescent="0.3">
      <c r="A1702" t="s">
        <v>1715</v>
      </c>
      <c r="B1702" t="s">
        <v>14</v>
      </c>
      <c r="C1702" s="4">
        <f>VLOOKUP(Googleadssales[[#This Row],[Ad_ID]],'[1]pre processed data'!A:C,3,0)</f>
        <v>109</v>
      </c>
      <c r="D1702" s="4">
        <f>VLOOKUP(Googleadssales[[#This Row],[Ad_ID]],'[1]pre processed data'!A:E,5,0)</f>
        <v>4002</v>
      </c>
      <c r="E1702" s="5" t="str">
        <f>VLOOKUP(Googleadssales[[#This Row],[Ad_ID]],[1]!Table3[[Ad_ID]:[Cost-imputed]],7,0)</f>
        <v>$203.96</v>
      </c>
      <c r="F1702" s="4">
        <f>VLOOKUP(Googleadssales[[#This Row],[Ad_ID]],'[1]pre processed data'!A:I,9,0)</f>
        <v>14</v>
      </c>
      <c r="G1702" s="4">
        <f>VLOOKUP(Googleadssales[[#This Row],[Ad_ID]],'[1]pre processed data'!A:K,11,0)</f>
        <v>3</v>
      </c>
      <c r="H1702" s="2">
        <f>Googleadssales[[#This Row],[Conversions]]/Googleadssales[[#This Row],[Clicks]]</f>
        <v>2.7522935779816515E-2</v>
      </c>
      <c r="I1702" t="str">
        <f>VLOOKUP(Googleadssales[[#This Row],[Ad_ID]],'[1]pre processed data'!A:O,15,0)</f>
        <v>$1430</v>
      </c>
      <c r="J1702" s="3">
        <f>VLOOKUP(Googleadssales[[#This Row],[Ad_ID]],'[1]pre processed data'!A:Q,17,0)</f>
        <v>45598</v>
      </c>
      <c r="K1702" t="str">
        <f>VLOOKUP(Googleadssales[[#This Row],[Ad_ID]],'[1]pre processed data'!A:R,18,0)</f>
        <v>Chennai</v>
      </c>
      <c r="L1702" t="str">
        <f>VLOOKUP(Googleadssales[[#This Row],[Ad_ID]],'[1]pre processed data'!A:S,19,0)</f>
        <v>Mobile</v>
      </c>
      <c r="M1702" t="str">
        <f>VLOOKUP(Googleadssales[[#This Row],[Ad_ID]],'[1]pre processed data'!A:T,20,0)</f>
        <v>data analytics course</v>
      </c>
    </row>
    <row r="1703" spans="1:13" x14ac:dyDescent="0.3">
      <c r="A1703" t="s">
        <v>1716</v>
      </c>
      <c r="B1703" t="s">
        <v>14</v>
      </c>
      <c r="C1703" s="4">
        <f>VLOOKUP(Googleadssales[[#This Row],[Ad_ID]],'[1]pre processed data'!A:C,3,0)</f>
        <v>87</v>
      </c>
      <c r="D1703" s="4">
        <f>VLOOKUP(Googleadssales[[#This Row],[Ad_ID]],'[1]pre processed data'!A:E,5,0)</f>
        <v>3068</v>
      </c>
      <c r="E1703" s="5" t="str">
        <f>VLOOKUP(Googleadssales[[#This Row],[Ad_ID]],[1]!Table3[[Ad_ID]:[Cost-imputed]],7,0)</f>
        <v>$243.15</v>
      </c>
      <c r="F1703" s="4">
        <f>VLOOKUP(Googleadssales[[#This Row],[Ad_ID]],'[1]pre processed data'!A:I,9,0)</f>
        <v>11</v>
      </c>
      <c r="G1703" s="4">
        <f>VLOOKUP(Googleadssales[[#This Row],[Ad_ID]],'[1]pre processed data'!A:K,11,0)</f>
        <v>6</v>
      </c>
      <c r="H1703" s="2">
        <f>Googleadssales[[#This Row],[Conversions]]/Googleadssales[[#This Row],[Clicks]]</f>
        <v>6.8965517241379309E-2</v>
      </c>
      <c r="I1703" t="str">
        <f>VLOOKUP(Googleadssales[[#This Row],[Ad_ID]],'[1]pre processed data'!A:O,15,0)</f>
        <v>$1356</v>
      </c>
      <c r="J1703" s="3">
        <f>VLOOKUP(Googleadssales[[#This Row],[Ad_ID]],'[1]pre processed data'!A:Q,17,0)</f>
        <v>45619</v>
      </c>
      <c r="K1703" t="str">
        <f>VLOOKUP(Googleadssales[[#This Row],[Ad_ID]],'[1]pre processed data'!A:R,18,0)</f>
        <v>Hyderabad</v>
      </c>
      <c r="L1703" t="str">
        <f>VLOOKUP(Googleadssales[[#This Row],[Ad_ID]],'[1]pre processed data'!A:S,19,0)</f>
        <v>Tablet</v>
      </c>
      <c r="M1703" t="str">
        <f>VLOOKUP(Googleadssales[[#This Row],[Ad_ID]],'[1]pre processed data'!A:T,20,0)</f>
        <v>online data analytic</v>
      </c>
    </row>
    <row r="1704" spans="1:13" x14ac:dyDescent="0.3">
      <c r="A1704" t="s">
        <v>1717</v>
      </c>
      <c r="B1704" t="s">
        <v>18</v>
      </c>
      <c r="C1704" s="4">
        <f>VLOOKUP(Googleadssales[[#This Row],[Ad_ID]],'[1]pre processed data'!A:C,3,0)</f>
        <v>110</v>
      </c>
      <c r="D1704" s="4">
        <f>VLOOKUP(Googleadssales[[#This Row],[Ad_ID]],'[1]pre processed data'!A:E,5,0)</f>
        <v>4907</v>
      </c>
      <c r="E1704" s="5" t="str">
        <f>VLOOKUP(Googleadssales[[#This Row],[Ad_ID]],[1]!Table3[[Ad_ID]:[Cost-imputed]],7,0)</f>
        <v>$247.48</v>
      </c>
      <c r="F1704" s="4">
        <f>VLOOKUP(Googleadssales[[#This Row],[Ad_ID]],'[1]pre processed data'!A:I,9,0)</f>
        <v>12</v>
      </c>
      <c r="G1704" s="4">
        <f>VLOOKUP(Googleadssales[[#This Row],[Ad_ID]],'[1]pre processed data'!A:K,11,0)</f>
        <v>10</v>
      </c>
      <c r="H1704" s="2">
        <f>Googleadssales[[#This Row],[Conversions]]/Googleadssales[[#This Row],[Clicks]]</f>
        <v>9.0909090909090912E-2</v>
      </c>
      <c r="I1704" t="str">
        <f>VLOOKUP(Googleadssales[[#This Row],[Ad_ID]],'[1]pre processed data'!A:O,15,0)</f>
        <v>$1205</v>
      </c>
      <c r="J1704" s="3">
        <f>VLOOKUP(Googleadssales[[#This Row],[Ad_ID]],'[1]pre processed data'!A:Q,17,0)</f>
        <v>45622</v>
      </c>
      <c r="K1704" t="str">
        <f>VLOOKUP(Googleadssales[[#This Row],[Ad_ID]],'[1]pre processed data'!A:R,18,0)</f>
        <v>Chennai</v>
      </c>
      <c r="L1704" t="str">
        <f>VLOOKUP(Googleadssales[[#This Row],[Ad_ID]],'[1]pre processed data'!A:S,19,0)</f>
        <v>Desktop</v>
      </c>
      <c r="M1704" t="str">
        <f>VLOOKUP(Googleadssales[[#This Row],[Ad_ID]],'[1]pre processed data'!A:T,20,0)</f>
        <v>data analytics training</v>
      </c>
    </row>
    <row r="1705" spans="1:13" x14ac:dyDescent="0.3">
      <c r="A1705" t="s">
        <v>1718</v>
      </c>
      <c r="B1705" t="s">
        <v>18</v>
      </c>
      <c r="C1705" s="4">
        <f>VLOOKUP(Googleadssales[[#This Row],[Ad_ID]],'[1]pre processed data'!A:C,3,0)</f>
        <v>92</v>
      </c>
      <c r="D1705" s="4">
        <f>VLOOKUP(Googleadssales[[#This Row],[Ad_ID]],'[1]pre processed data'!A:E,5,0)</f>
        <v>5680</v>
      </c>
      <c r="E1705" s="5" t="str">
        <f>VLOOKUP(Googleadssales[[#This Row],[Ad_ID]],[1]!Table3[[Ad_ID]:[Cost-imputed]],7,0)</f>
        <v>$224.6</v>
      </c>
      <c r="F1705" s="4">
        <f>VLOOKUP(Googleadssales[[#This Row],[Ad_ID]],'[1]pre processed data'!A:I,9,0)</f>
        <v>15</v>
      </c>
      <c r="G1705" s="4">
        <f>VLOOKUP(Googleadssales[[#This Row],[Ad_ID]],'[1]pre processed data'!A:K,11,0)</f>
        <v>7</v>
      </c>
      <c r="H1705" s="2">
        <f>Googleadssales[[#This Row],[Conversions]]/Googleadssales[[#This Row],[Clicks]]</f>
        <v>7.6086956521739135E-2</v>
      </c>
      <c r="I1705" t="str">
        <f>VLOOKUP(Googleadssales[[#This Row],[Ad_ID]],'[1]pre processed data'!A:O,15,0)</f>
        <v>$1500</v>
      </c>
      <c r="J1705" s="3">
        <f>VLOOKUP(Googleadssales[[#This Row],[Ad_ID]],'[1]pre processed data'!A:Q,17,0)</f>
        <v>45622</v>
      </c>
      <c r="K1705" t="str">
        <f>VLOOKUP(Googleadssales[[#This Row],[Ad_ID]],'[1]pre processed data'!A:R,18,0)</f>
        <v>Chennai</v>
      </c>
      <c r="L1705" t="str">
        <f>VLOOKUP(Googleadssales[[#This Row],[Ad_ID]],'[1]pre processed data'!A:S,19,0)</f>
        <v>Desktop</v>
      </c>
      <c r="M1705" t="str">
        <f>VLOOKUP(Googleadssales[[#This Row],[Ad_ID]],'[1]pre processed data'!A:T,20,0)</f>
        <v>online data analytic</v>
      </c>
    </row>
    <row r="1706" spans="1:13" x14ac:dyDescent="0.3">
      <c r="A1706" t="s">
        <v>1719</v>
      </c>
      <c r="B1706" t="s">
        <v>18</v>
      </c>
      <c r="C1706" s="4">
        <f>VLOOKUP(Googleadssales[[#This Row],[Ad_ID]],'[1]pre processed data'!A:C,3,0)</f>
        <v>85</v>
      </c>
      <c r="D1706" s="4">
        <f>VLOOKUP(Googleadssales[[#This Row],[Ad_ID]],'[1]pre processed data'!A:E,5,0)</f>
        <v>3909</v>
      </c>
      <c r="E1706" s="5" t="str">
        <f>VLOOKUP(Googleadssales[[#This Row],[Ad_ID]],[1]!Table3[[Ad_ID]:[Cost-imputed]],7,0)</f>
        <v>$189.9</v>
      </c>
      <c r="F1706" s="4">
        <f>VLOOKUP(Googleadssales[[#This Row],[Ad_ID]],'[1]pre processed data'!A:I,9,0)</f>
        <v>12</v>
      </c>
      <c r="G1706" s="4">
        <f>VLOOKUP(Googleadssales[[#This Row],[Ad_ID]],'[1]pre processed data'!A:K,11,0)</f>
        <v>3</v>
      </c>
      <c r="H1706" s="2">
        <f>Googleadssales[[#This Row],[Conversions]]/Googleadssales[[#This Row],[Clicks]]</f>
        <v>3.5294117647058823E-2</v>
      </c>
      <c r="I1706" t="str">
        <f>VLOOKUP(Googleadssales[[#This Row],[Ad_ID]],'[1]pre processed data'!A:O,15,0)</f>
        <v>$1216</v>
      </c>
      <c r="J1706" s="3">
        <f>VLOOKUP(Googleadssales[[#This Row],[Ad_ID]],'[1]pre processed data'!A:Q,17,0)</f>
        <v>45610</v>
      </c>
      <c r="K1706" t="str">
        <f>VLOOKUP(Googleadssales[[#This Row],[Ad_ID]],'[1]pre processed data'!A:R,18,0)</f>
        <v>Hyderabad</v>
      </c>
      <c r="L1706" t="str">
        <f>VLOOKUP(Googleadssales[[#This Row],[Ad_ID]],'[1]pre processed data'!A:S,19,0)</f>
        <v>Tablet</v>
      </c>
      <c r="M1706" t="str">
        <f>VLOOKUP(Googleadssales[[#This Row],[Ad_ID]],'[1]pre processed data'!A:T,20,0)</f>
        <v>online data analytic</v>
      </c>
    </row>
    <row r="1707" spans="1:13" x14ac:dyDescent="0.3">
      <c r="A1707" t="s">
        <v>1720</v>
      </c>
      <c r="B1707" t="s">
        <v>14</v>
      </c>
      <c r="C1707" s="4">
        <f>VLOOKUP(Googleadssales[[#This Row],[Ad_ID]],'[1]pre processed data'!A:C,3,0)</f>
        <v>199</v>
      </c>
      <c r="D1707" s="4">
        <f>VLOOKUP(Googleadssales[[#This Row],[Ad_ID]],'[1]pre processed data'!A:E,5,0)</f>
        <v>3060</v>
      </c>
      <c r="E1707" s="5" t="str">
        <f>VLOOKUP(Googleadssales[[#This Row],[Ad_ID]],[1]!Table3[[Ad_ID]:[Cost-imputed]],7,0)</f>
        <v>$237.3</v>
      </c>
      <c r="F1707" s="4">
        <f>VLOOKUP(Googleadssales[[#This Row],[Ad_ID]],'[1]pre processed data'!A:I,9,0)</f>
        <v>19</v>
      </c>
      <c r="G1707" s="4">
        <f>VLOOKUP(Googleadssales[[#This Row],[Ad_ID]],'[1]pre processed data'!A:K,11,0)</f>
        <v>9</v>
      </c>
      <c r="H1707" s="2">
        <f>Googleadssales[[#This Row],[Conversions]]/Googleadssales[[#This Row],[Clicks]]</f>
        <v>4.5226130653266333E-2</v>
      </c>
      <c r="I1707" t="str">
        <f>VLOOKUP(Googleadssales[[#This Row],[Ad_ID]],'[1]pre processed data'!A:O,15,0)</f>
        <v>$1527</v>
      </c>
      <c r="J1707" s="3">
        <f>VLOOKUP(Googleadssales[[#This Row],[Ad_ID]],'[1]pre processed data'!A:Q,17,0)</f>
        <v>45600</v>
      </c>
      <c r="K1707" t="str">
        <f>VLOOKUP(Googleadssales[[#This Row],[Ad_ID]],'[1]pre processed data'!A:R,18,0)</f>
        <v>Hyderabad</v>
      </c>
      <c r="L1707" t="str">
        <f>VLOOKUP(Googleadssales[[#This Row],[Ad_ID]],'[1]pre processed data'!A:S,19,0)</f>
        <v>Mobile</v>
      </c>
      <c r="M1707" t="str">
        <f>VLOOKUP(Googleadssales[[#This Row],[Ad_ID]],'[1]pre processed data'!A:T,20,0)</f>
        <v>data analytics online</v>
      </c>
    </row>
    <row r="1708" spans="1:13" x14ac:dyDescent="0.3">
      <c r="A1708" t="s">
        <v>1721</v>
      </c>
      <c r="B1708" t="s">
        <v>14</v>
      </c>
      <c r="C1708" s="4">
        <f>VLOOKUP(Googleadssales[[#This Row],[Ad_ID]],'[1]pre processed data'!A:C,3,0)</f>
        <v>148</v>
      </c>
      <c r="D1708" s="4">
        <f>VLOOKUP(Googleadssales[[#This Row],[Ad_ID]],'[1]pre processed data'!A:E,5,0)</f>
        <v>4558</v>
      </c>
      <c r="E1708" s="5" t="str">
        <f>VLOOKUP(Googleadssales[[#This Row],[Ad_ID]],[1]!Table3[[Ad_ID]:[Cost-imputed]],7,0)</f>
        <v>$249.74</v>
      </c>
      <c r="F1708" s="4">
        <f>VLOOKUP(Googleadssales[[#This Row],[Ad_ID]],'[1]pre processed data'!A:I,9,0)</f>
        <v>18</v>
      </c>
      <c r="G1708" s="4">
        <f>VLOOKUP(Googleadssales[[#This Row],[Ad_ID]],'[1]pre processed data'!A:K,11,0)</f>
        <v>8</v>
      </c>
      <c r="H1708" s="2">
        <f>Googleadssales[[#This Row],[Conversions]]/Googleadssales[[#This Row],[Clicks]]</f>
        <v>5.4054054054054057E-2</v>
      </c>
      <c r="I1708" t="str">
        <f>VLOOKUP(Googleadssales[[#This Row],[Ad_ID]],'[1]pre processed data'!A:O,15,0)</f>
        <v>$1554</v>
      </c>
      <c r="J1708" s="3">
        <f>VLOOKUP(Googleadssales[[#This Row],[Ad_ID]],'[1]pre processed data'!A:Q,17,0)</f>
        <v>45597</v>
      </c>
      <c r="K1708" t="str">
        <f>VLOOKUP(Googleadssales[[#This Row],[Ad_ID]],'[1]pre processed data'!A:R,18,0)</f>
        <v>Chennai</v>
      </c>
      <c r="L1708" t="str">
        <f>VLOOKUP(Googleadssales[[#This Row],[Ad_ID]],'[1]pre processed data'!A:S,19,0)</f>
        <v>Desktop</v>
      </c>
      <c r="M1708" t="str">
        <f>VLOOKUP(Googleadssales[[#This Row],[Ad_ID]],'[1]pre processed data'!A:T,20,0)</f>
        <v>data analytics course</v>
      </c>
    </row>
    <row r="1709" spans="1:13" x14ac:dyDescent="0.3">
      <c r="A1709" t="s">
        <v>1722</v>
      </c>
      <c r="B1709" t="s">
        <v>18</v>
      </c>
      <c r="C1709" s="4">
        <f>VLOOKUP(Googleadssales[[#This Row],[Ad_ID]],'[1]pre processed data'!A:C,3,0)</f>
        <v>173</v>
      </c>
      <c r="D1709" s="4">
        <f>VLOOKUP(Googleadssales[[#This Row],[Ad_ID]],'[1]pre processed data'!A:E,5,0)</f>
        <v>5992</v>
      </c>
      <c r="E1709" s="5" t="str">
        <f>VLOOKUP(Googleadssales[[#This Row],[Ad_ID]],[1]!Table3[[Ad_ID]:[Cost-imputed]],7,0)</f>
        <v>$230.26</v>
      </c>
      <c r="F1709" s="4">
        <f>VLOOKUP(Googleadssales[[#This Row],[Ad_ID]],'[1]pre processed data'!A:I,9,0)</f>
        <v>11</v>
      </c>
      <c r="G1709" s="4">
        <f>VLOOKUP(Googleadssales[[#This Row],[Ad_ID]],'[1]pre processed data'!A:K,11,0)</f>
        <v>5</v>
      </c>
      <c r="H1709" s="2">
        <f>Googleadssales[[#This Row],[Conversions]]/Googleadssales[[#This Row],[Clicks]]</f>
        <v>2.8901734104046242E-2</v>
      </c>
      <c r="I1709" t="str">
        <f>VLOOKUP(Googleadssales[[#This Row],[Ad_ID]],'[1]pre processed data'!A:O,15,0)</f>
        <v>$1683</v>
      </c>
      <c r="J1709" s="3">
        <f>VLOOKUP(Googleadssales[[#This Row],[Ad_ID]],'[1]pre processed data'!A:Q,17,0)</f>
        <v>45604</v>
      </c>
      <c r="K1709" t="str">
        <f>VLOOKUP(Googleadssales[[#This Row],[Ad_ID]],'[1]pre processed data'!A:R,18,0)</f>
        <v>Chennai</v>
      </c>
      <c r="L1709" t="str">
        <f>VLOOKUP(Googleadssales[[#This Row],[Ad_ID]],'[1]pre processed data'!A:S,19,0)</f>
        <v>Mobile</v>
      </c>
      <c r="M1709" t="str">
        <f>VLOOKUP(Googleadssales[[#This Row],[Ad_ID]],'[1]pre processed data'!A:T,20,0)</f>
        <v>data analytics training</v>
      </c>
    </row>
    <row r="1710" spans="1:13" x14ac:dyDescent="0.3">
      <c r="A1710" t="s">
        <v>1723</v>
      </c>
      <c r="B1710" t="s">
        <v>14</v>
      </c>
      <c r="C1710" s="4">
        <f>VLOOKUP(Googleadssales[[#This Row],[Ad_ID]],'[1]pre processed data'!A:C,3,0)</f>
        <v>84</v>
      </c>
      <c r="D1710" s="4">
        <f>VLOOKUP(Googleadssales[[#This Row],[Ad_ID]],'[1]pre processed data'!A:E,5,0)</f>
        <v>5069</v>
      </c>
      <c r="E1710" s="5" t="str">
        <f>VLOOKUP(Googleadssales[[#This Row],[Ad_ID]],[1]!Table3[[Ad_ID]:[Cost-imputed]],7,0)</f>
        <v>$192.08</v>
      </c>
      <c r="F1710" s="4">
        <f>VLOOKUP(Googleadssales[[#This Row],[Ad_ID]],'[1]pre processed data'!A:I,9,0)</f>
        <v>25</v>
      </c>
      <c r="G1710" s="4">
        <f>VLOOKUP(Googleadssales[[#This Row],[Ad_ID]],'[1]pre processed data'!A:K,11,0)</f>
        <v>3</v>
      </c>
      <c r="H1710" s="2">
        <f>Googleadssales[[#This Row],[Conversions]]/Googleadssales[[#This Row],[Clicks]]</f>
        <v>3.5714285714285712E-2</v>
      </c>
      <c r="I1710" t="str">
        <f>VLOOKUP(Googleadssales[[#This Row],[Ad_ID]],'[1]pre processed data'!A:O,15,0)</f>
        <v>$1738</v>
      </c>
      <c r="J1710" s="3">
        <f>VLOOKUP(Googleadssales[[#This Row],[Ad_ID]],'[1]pre processed data'!A:Q,17,0)</f>
        <v>45607</v>
      </c>
      <c r="K1710" t="str">
        <f>VLOOKUP(Googleadssales[[#This Row],[Ad_ID]],'[1]pre processed data'!A:R,18,0)</f>
        <v>Chennai</v>
      </c>
      <c r="L1710" t="str">
        <f>VLOOKUP(Googleadssales[[#This Row],[Ad_ID]],'[1]pre processed data'!A:S,19,0)</f>
        <v>Desktop</v>
      </c>
      <c r="M1710" t="str">
        <f>VLOOKUP(Googleadssales[[#This Row],[Ad_ID]],'[1]pre processed data'!A:T,20,0)</f>
        <v>online data analytic</v>
      </c>
    </row>
    <row r="1711" spans="1:13" x14ac:dyDescent="0.3">
      <c r="A1711" t="s">
        <v>1724</v>
      </c>
      <c r="B1711" t="s">
        <v>14</v>
      </c>
      <c r="C1711" s="4">
        <f>VLOOKUP(Googleadssales[[#This Row],[Ad_ID]],'[1]pre processed data'!A:C,3,0)</f>
        <v>82</v>
      </c>
      <c r="D1711" s="4">
        <f>VLOOKUP(Googleadssales[[#This Row],[Ad_ID]],'[1]pre processed data'!A:E,5,0)</f>
        <v>4340</v>
      </c>
      <c r="E1711" s="5" t="str">
        <f>VLOOKUP(Googleadssales[[#This Row],[Ad_ID]],[1]!Table3[[Ad_ID]:[Cost-imputed]],7,0)</f>
        <v>$186.61</v>
      </c>
      <c r="F1711" s="4">
        <f>VLOOKUP(Googleadssales[[#This Row],[Ad_ID]],'[1]pre processed data'!A:I,9,0)</f>
        <v>17</v>
      </c>
      <c r="G1711" s="4">
        <f>VLOOKUP(Googleadssales[[#This Row],[Ad_ID]],'[1]pre processed data'!A:K,11,0)</f>
        <v>3</v>
      </c>
      <c r="H1711" s="2">
        <f>Googleadssales[[#This Row],[Conversions]]/Googleadssales[[#This Row],[Clicks]]</f>
        <v>3.6585365853658534E-2</v>
      </c>
      <c r="I1711" t="str">
        <f>VLOOKUP(Googleadssales[[#This Row],[Ad_ID]],'[1]pre processed data'!A:O,15,0)</f>
        <v>$1092</v>
      </c>
      <c r="J1711" s="3">
        <f>VLOOKUP(Googleadssales[[#This Row],[Ad_ID]],'[1]pre processed data'!A:Q,17,0)</f>
        <v>45603</v>
      </c>
      <c r="K1711" t="str">
        <f>VLOOKUP(Googleadssales[[#This Row],[Ad_ID]],'[1]pre processed data'!A:R,18,0)</f>
        <v>Hyderabad</v>
      </c>
      <c r="L1711" t="str">
        <f>VLOOKUP(Googleadssales[[#This Row],[Ad_ID]],'[1]pre processed data'!A:S,19,0)</f>
        <v>Desktop</v>
      </c>
      <c r="M1711" t="str">
        <f>VLOOKUP(Googleadssales[[#This Row],[Ad_ID]],'[1]pre processed data'!A:T,20,0)</f>
        <v>data analytics training</v>
      </c>
    </row>
    <row r="1712" spans="1:13" x14ac:dyDescent="0.3">
      <c r="A1712" t="s">
        <v>1725</v>
      </c>
      <c r="B1712" t="s">
        <v>14</v>
      </c>
      <c r="C1712" s="4">
        <f>VLOOKUP(Googleadssales[[#This Row],[Ad_ID]],'[1]pre processed data'!A:C,3,0)</f>
        <v>147</v>
      </c>
      <c r="D1712" s="4">
        <f>VLOOKUP(Googleadssales[[#This Row],[Ad_ID]],'[1]pre processed data'!A:E,5,0)</f>
        <v>5139</v>
      </c>
      <c r="E1712" s="5" t="str">
        <f>VLOOKUP(Googleadssales[[#This Row],[Ad_ID]],[1]!Table3[[Ad_ID]:[Cost-imputed]],7,0)</f>
        <v>$245.93</v>
      </c>
      <c r="F1712" s="4">
        <f>VLOOKUP(Googleadssales[[#This Row],[Ad_ID]],'[1]pre processed data'!A:I,9,0)</f>
        <v>29</v>
      </c>
      <c r="G1712" s="4">
        <f>VLOOKUP(Googleadssales[[#This Row],[Ad_ID]],'[1]pre processed data'!A:K,11,0)</f>
        <v>8</v>
      </c>
      <c r="H1712" s="2">
        <f>Googleadssales[[#This Row],[Conversions]]/Googleadssales[[#This Row],[Clicks]]</f>
        <v>5.4421768707482991E-2</v>
      </c>
      <c r="I1712" t="str">
        <f>VLOOKUP(Googleadssales[[#This Row],[Ad_ID]],'[1]pre processed data'!A:O,15,0)</f>
        <v>$1853</v>
      </c>
      <c r="J1712" s="3">
        <f>VLOOKUP(Googleadssales[[#This Row],[Ad_ID]],'[1]pre processed data'!A:Q,17,0)</f>
        <v>45606</v>
      </c>
      <c r="K1712" t="str">
        <f>VLOOKUP(Googleadssales[[#This Row],[Ad_ID]],'[1]pre processed data'!A:R,18,0)</f>
        <v>Bangaluru</v>
      </c>
      <c r="L1712" t="str">
        <f>VLOOKUP(Googleadssales[[#This Row],[Ad_ID]],'[1]pre processed data'!A:S,19,0)</f>
        <v>Mobile</v>
      </c>
      <c r="M1712" t="str">
        <f>VLOOKUP(Googleadssales[[#This Row],[Ad_ID]],'[1]pre processed data'!A:T,20,0)</f>
        <v>data analytics course</v>
      </c>
    </row>
    <row r="1713" spans="1:13" x14ac:dyDescent="0.3">
      <c r="A1713" t="s">
        <v>1726</v>
      </c>
      <c r="B1713" t="s">
        <v>18</v>
      </c>
      <c r="C1713" s="4">
        <f>VLOOKUP(Googleadssales[[#This Row],[Ad_ID]],'[1]pre processed data'!A:C,3,0)</f>
        <v>186</v>
      </c>
      <c r="D1713" s="4">
        <f>VLOOKUP(Googleadssales[[#This Row],[Ad_ID]],'[1]pre processed data'!A:E,5,0)</f>
        <v>4679</v>
      </c>
      <c r="E1713" s="5" t="str">
        <f>VLOOKUP(Googleadssales[[#This Row],[Ad_ID]],[1]!Table3[[Ad_ID]:[Cost-imputed]],7,0)</f>
        <v>$241.7</v>
      </c>
      <c r="F1713" s="4">
        <f>VLOOKUP(Googleadssales[[#This Row],[Ad_ID]],'[1]pre processed data'!A:I,9,0)</f>
        <v>19</v>
      </c>
      <c r="G1713" s="4">
        <f>VLOOKUP(Googleadssales[[#This Row],[Ad_ID]],'[1]pre processed data'!A:K,11,0)</f>
        <v>9</v>
      </c>
      <c r="H1713" s="2">
        <f>Googleadssales[[#This Row],[Conversions]]/Googleadssales[[#This Row],[Clicks]]</f>
        <v>4.8387096774193547E-2</v>
      </c>
      <c r="I1713" t="str">
        <f>VLOOKUP(Googleadssales[[#This Row],[Ad_ID]],'[1]pre processed data'!A:O,15,0)</f>
        <v>$1333</v>
      </c>
      <c r="J1713" s="3">
        <f>VLOOKUP(Googleadssales[[#This Row],[Ad_ID]],'[1]pre processed data'!A:Q,17,0)</f>
        <v>45603</v>
      </c>
      <c r="K1713" t="str">
        <f>VLOOKUP(Googleadssales[[#This Row],[Ad_ID]],'[1]pre processed data'!A:R,18,0)</f>
        <v>Chennai</v>
      </c>
      <c r="L1713" t="str">
        <f>VLOOKUP(Googleadssales[[#This Row],[Ad_ID]],'[1]pre processed data'!A:S,19,0)</f>
        <v>Tablet</v>
      </c>
      <c r="M1713" t="str">
        <f>VLOOKUP(Googleadssales[[#This Row],[Ad_ID]],'[1]pre processed data'!A:T,20,0)</f>
        <v>online data analytic</v>
      </c>
    </row>
    <row r="1714" spans="1:13" x14ac:dyDescent="0.3">
      <c r="A1714" t="s">
        <v>1727</v>
      </c>
      <c r="B1714" t="s">
        <v>14</v>
      </c>
      <c r="C1714" s="4">
        <f>VLOOKUP(Googleadssales[[#This Row],[Ad_ID]],'[1]pre processed data'!A:C,3,0)</f>
        <v>143</v>
      </c>
      <c r="D1714" s="4">
        <f>VLOOKUP(Googleadssales[[#This Row],[Ad_ID]],'[1]pre processed data'!A:E,5,0)</f>
        <v>4232</v>
      </c>
      <c r="E1714" s="5" t="str">
        <f>VLOOKUP(Googleadssales[[#This Row],[Ad_ID]],[1]!Table3[[Ad_ID]:[Cost-imputed]],7,0)</f>
        <v>$207.76</v>
      </c>
      <c r="F1714" s="4">
        <f>VLOOKUP(Googleadssales[[#This Row],[Ad_ID]],'[1]pre processed data'!A:I,9,0)</f>
        <v>30</v>
      </c>
      <c r="G1714" s="4">
        <f>VLOOKUP(Googleadssales[[#This Row],[Ad_ID]],'[1]pre processed data'!A:K,11,0)</f>
        <v>8</v>
      </c>
      <c r="H1714" s="2">
        <f>Googleadssales[[#This Row],[Conversions]]/Googleadssales[[#This Row],[Clicks]]</f>
        <v>5.5944055944055944E-2</v>
      </c>
      <c r="I1714" t="str">
        <f>VLOOKUP(Googleadssales[[#This Row],[Ad_ID]],'[1]pre processed data'!A:O,15,0)</f>
        <v>$1644</v>
      </c>
      <c r="J1714" s="3">
        <f>VLOOKUP(Googleadssales[[#This Row],[Ad_ID]],'[1]pre processed data'!A:Q,17,0)</f>
        <v>45614</v>
      </c>
      <c r="K1714" t="str">
        <f>VLOOKUP(Googleadssales[[#This Row],[Ad_ID]],'[1]pre processed data'!A:R,18,0)</f>
        <v>Hyderabad</v>
      </c>
      <c r="L1714" t="str">
        <f>VLOOKUP(Googleadssales[[#This Row],[Ad_ID]],'[1]pre processed data'!A:S,19,0)</f>
        <v>Tablet</v>
      </c>
      <c r="M1714" t="str">
        <f>VLOOKUP(Googleadssales[[#This Row],[Ad_ID]],'[1]pre processed data'!A:T,20,0)</f>
        <v>data analytics online</v>
      </c>
    </row>
    <row r="1715" spans="1:13" x14ac:dyDescent="0.3">
      <c r="A1715" t="s">
        <v>1728</v>
      </c>
      <c r="B1715" t="s">
        <v>18</v>
      </c>
      <c r="C1715" s="4">
        <f>VLOOKUP(Googleadssales[[#This Row],[Ad_ID]],'[1]pre processed data'!A:C,3,0)</f>
        <v>133</v>
      </c>
      <c r="D1715" s="4">
        <f>VLOOKUP(Googleadssales[[#This Row],[Ad_ID]],'[1]pre processed data'!A:E,5,0)</f>
        <v>5580</v>
      </c>
      <c r="E1715" s="5" t="str">
        <f>VLOOKUP(Googleadssales[[#This Row],[Ad_ID]],[1]!Table3[[Ad_ID]:[Cost-imputed]],7,0)</f>
        <v>$248.11</v>
      </c>
      <c r="F1715" s="4">
        <f>VLOOKUP(Googleadssales[[#This Row],[Ad_ID]],'[1]pre processed data'!A:I,9,0)</f>
        <v>17</v>
      </c>
      <c r="G1715" s="4">
        <f>VLOOKUP(Googleadssales[[#This Row],[Ad_ID]],'[1]pre processed data'!A:K,11,0)</f>
        <v>5</v>
      </c>
      <c r="H1715" s="2">
        <f>Googleadssales[[#This Row],[Conversions]]/Googleadssales[[#This Row],[Clicks]]</f>
        <v>3.7593984962406013E-2</v>
      </c>
      <c r="I1715" t="str">
        <f>VLOOKUP(Googleadssales[[#This Row],[Ad_ID]],'[1]pre processed data'!A:O,15,0)</f>
        <v>$1111</v>
      </c>
      <c r="J1715" s="3">
        <f>VLOOKUP(Googleadssales[[#This Row],[Ad_ID]],'[1]pre processed data'!A:Q,17,0)</f>
        <v>45622</v>
      </c>
      <c r="K1715" t="str">
        <f>VLOOKUP(Googleadssales[[#This Row],[Ad_ID]],'[1]pre processed data'!A:R,18,0)</f>
        <v>Chennai</v>
      </c>
      <c r="L1715" t="str">
        <f>VLOOKUP(Googleadssales[[#This Row],[Ad_ID]],'[1]pre processed data'!A:S,19,0)</f>
        <v>Tablet</v>
      </c>
      <c r="M1715" t="str">
        <f>VLOOKUP(Googleadssales[[#This Row],[Ad_ID]],'[1]pre processed data'!A:T,20,0)</f>
        <v>data analytics course</v>
      </c>
    </row>
    <row r="1716" spans="1:13" x14ac:dyDescent="0.3">
      <c r="A1716" t="s">
        <v>1729</v>
      </c>
      <c r="B1716" t="s">
        <v>14</v>
      </c>
      <c r="C1716" s="4">
        <f>VLOOKUP(Googleadssales[[#This Row],[Ad_ID]],'[1]pre processed data'!A:C,3,0)</f>
        <v>187</v>
      </c>
      <c r="D1716" s="4">
        <f>VLOOKUP(Googleadssales[[#This Row],[Ad_ID]],'[1]pre processed data'!A:E,5,0)</f>
        <v>3972</v>
      </c>
      <c r="E1716" s="5" t="str">
        <f>VLOOKUP(Googleadssales[[#This Row],[Ad_ID]],[1]!Table3[[Ad_ID]:[Cost-imputed]],7,0)</f>
        <v>$226.62</v>
      </c>
      <c r="F1716" s="4">
        <f>VLOOKUP(Googleadssales[[#This Row],[Ad_ID]],'[1]pre processed data'!A:I,9,0)</f>
        <v>24</v>
      </c>
      <c r="G1716" s="4">
        <f>VLOOKUP(Googleadssales[[#This Row],[Ad_ID]],'[1]pre processed data'!A:K,11,0)</f>
        <v>7</v>
      </c>
      <c r="H1716" s="2">
        <f>Googleadssales[[#This Row],[Conversions]]/Googleadssales[[#This Row],[Clicks]]</f>
        <v>3.7433155080213901E-2</v>
      </c>
      <c r="I1716" t="str">
        <f>VLOOKUP(Googleadssales[[#This Row],[Ad_ID]],'[1]pre processed data'!A:O,15,0)</f>
        <v>$1011</v>
      </c>
      <c r="J1716" s="3">
        <f>VLOOKUP(Googleadssales[[#This Row],[Ad_ID]],'[1]pre processed data'!A:Q,17,0)</f>
        <v>45600</v>
      </c>
      <c r="K1716" t="str">
        <f>VLOOKUP(Googleadssales[[#This Row],[Ad_ID]],'[1]pre processed data'!A:R,18,0)</f>
        <v>Chennai</v>
      </c>
      <c r="L1716" t="str">
        <f>VLOOKUP(Googleadssales[[#This Row],[Ad_ID]],'[1]pre processed data'!A:S,19,0)</f>
        <v>Desktop</v>
      </c>
      <c r="M1716" t="str">
        <f>VLOOKUP(Googleadssales[[#This Row],[Ad_ID]],'[1]pre processed data'!A:T,20,0)</f>
        <v>data analytics training</v>
      </c>
    </row>
    <row r="1717" spans="1:13" x14ac:dyDescent="0.3">
      <c r="A1717" t="s">
        <v>1730</v>
      </c>
      <c r="B1717" t="s">
        <v>14</v>
      </c>
      <c r="C1717" s="4">
        <f>VLOOKUP(Googleadssales[[#This Row],[Ad_ID]],'[1]pre processed data'!A:C,3,0)</f>
        <v>121</v>
      </c>
      <c r="D1717" s="4">
        <f>VLOOKUP(Googleadssales[[#This Row],[Ad_ID]],'[1]pre processed data'!A:E,5,0)</f>
        <v>5205</v>
      </c>
      <c r="E1717" s="5" t="str">
        <f>VLOOKUP(Googleadssales[[#This Row],[Ad_ID]],[1]!Table3[[Ad_ID]:[Cost-imputed]],7,0)</f>
        <v>$181.81</v>
      </c>
      <c r="F1717" s="4">
        <f>VLOOKUP(Googleadssales[[#This Row],[Ad_ID]],'[1]pre processed data'!A:I,9,0)</f>
        <v>24</v>
      </c>
      <c r="G1717" s="4">
        <f>VLOOKUP(Googleadssales[[#This Row],[Ad_ID]],'[1]pre processed data'!A:K,11,0)</f>
        <v>5</v>
      </c>
      <c r="H1717" s="2">
        <f>Googleadssales[[#This Row],[Conversions]]/Googleadssales[[#This Row],[Clicks]]</f>
        <v>4.1322314049586778E-2</v>
      </c>
      <c r="I1717" t="str">
        <f>VLOOKUP(Googleadssales[[#This Row],[Ad_ID]],'[1]pre processed data'!A:O,15,0)</f>
        <v>$1555</v>
      </c>
      <c r="J1717" s="3">
        <f>VLOOKUP(Googleadssales[[#This Row],[Ad_ID]],'[1]pre processed data'!A:Q,17,0)</f>
        <v>45604</v>
      </c>
      <c r="K1717" t="str">
        <f>VLOOKUP(Googleadssales[[#This Row],[Ad_ID]],'[1]pre processed data'!A:R,18,0)</f>
        <v>Hyderabad</v>
      </c>
      <c r="L1717" t="str">
        <f>VLOOKUP(Googleadssales[[#This Row],[Ad_ID]],'[1]pre processed data'!A:S,19,0)</f>
        <v>Tablet</v>
      </c>
      <c r="M1717" t="str">
        <f>VLOOKUP(Googleadssales[[#This Row],[Ad_ID]],'[1]pre processed data'!A:T,20,0)</f>
        <v>data analytics online</v>
      </c>
    </row>
    <row r="1718" spans="1:13" x14ac:dyDescent="0.3">
      <c r="A1718" t="s">
        <v>1731</v>
      </c>
      <c r="B1718" t="s">
        <v>14</v>
      </c>
      <c r="C1718" s="4">
        <f>VLOOKUP(Googleadssales[[#This Row],[Ad_ID]],'[1]pre processed data'!A:C,3,0)</f>
        <v>188</v>
      </c>
      <c r="D1718" s="4">
        <f>VLOOKUP(Googleadssales[[#This Row],[Ad_ID]],'[1]pre processed data'!A:E,5,0)</f>
        <v>4521</v>
      </c>
      <c r="E1718" s="5" t="str">
        <f>VLOOKUP(Googleadssales[[#This Row],[Ad_ID]],[1]!Table3[[Ad_ID]:[Cost-imputed]],7,0)</f>
        <v>$214.58</v>
      </c>
      <c r="F1718" s="4">
        <f>VLOOKUP(Googleadssales[[#This Row],[Ad_ID]],'[1]pre processed data'!A:I,9,0)</f>
        <v>24</v>
      </c>
      <c r="G1718" s="4">
        <f>VLOOKUP(Googleadssales[[#This Row],[Ad_ID]],'[1]pre processed data'!A:K,11,0)</f>
        <v>3</v>
      </c>
      <c r="H1718" s="2">
        <f>Googleadssales[[#This Row],[Conversions]]/Googleadssales[[#This Row],[Clicks]]</f>
        <v>1.5957446808510637E-2</v>
      </c>
      <c r="I1718" t="str">
        <f>VLOOKUP(Googleadssales[[#This Row],[Ad_ID]],'[1]pre processed data'!A:O,15,0)</f>
        <v>$1855</v>
      </c>
      <c r="J1718" s="3">
        <f>VLOOKUP(Googleadssales[[#This Row],[Ad_ID]],'[1]pre processed data'!A:Q,17,0)</f>
        <v>45615</v>
      </c>
      <c r="K1718" t="str">
        <f>VLOOKUP(Googleadssales[[#This Row],[Ad_ID]],'[1]pre processed data'!A:R,18,0)</f>
        <v>Bangaluru</v>
      </c>
      <c r="L1718" t="str">
        <f>VLOOKUP(Googleadssales[[#This Row],[Ad_ID]],'[1]pre processed data'!A:S,19,0)</f>
        <v>Tablet</v>
      </c>
      <c r="M1718" t="str">
        <f>VLOOKUP(Googleadssales[[#This Row],[Ad_ID]],'[1]pre processed data'!A:T,20,0)</f>
        <v>data analytics course</v>
      </c>
    </row>
    <row r="1719" spans="1:13" x14ac:dyDescent="0.3">
      <c r="A1719" t="s">
        <v>1732</v>
      </c>
      <c r="B1719" t="s">
        <v>14</v>
      </c>
      <c r="C1719" s="4">
        <f>VLOOKUP(Googleadssales[[#This Row],[Ad_ID]],'[1]pre processed data'!A:C,3,0)</f>
        <v>115</v>
      </c>
      <c r="D1719" s="4">
        <f>VLOOKUP(Googleadssales[[#This Row],[Ad_ID]],'[1]pre processed data'!A:E,5,0)</f>
        <v>3924</v>
      </c>
      <c r="E1719" s="5" t="str">
        <f>VLOOKUP(Googleadssales[[#This Row],[Ad_ID]],[1]!Table3[[Ad_ID]:[Cost-imputed]],7,0)</f>
        <v>$214.52</v>
      </c>
      <c r="F1719" s="4">
        <f>VLOOKUP(Googleadssales[[#This Row],[Ad_ID]],'[1]pre processed data'!A:I,9,0)</f>
        <v>16</v>
      </c>
      <c r="G1719" s="4">
        <f>VLOOKUP(Googleadssales[[#This Row],[Ad_ID]],'[1]pre processed data'!A:K,11,0)</f>
        <v>7</v>
      </c>
      <c r="H1719" s="2">
        <f>Googleadssales[[#This Row],[Conversions]]/Googleadssales[[#This Row],[Clicks]]</f>
        <v>6.0869565217391307E-2</v>
      </c>
      <c r="I1719" t="str">
        <f>VLOOKUP(Googleadssales[[#This Row],[Ad_ID]],'[1]pre processed data'!A:O,15,0)</f>
        <v>$1312</v>
      </c>
      <c r="J1719" s="3">
        <f>VLOOKUP(Googleadssales[[#This Row],[Ad_ID]],'[1]pre processed data'!A:Q,17,0)</f>
        <v>45600</v>
      </c>
      <c r="K1719" t="str">
        <f>VLOOKUP(Googleadssales[[#This Row],[Ad_ID]],'[1]pre processed data'!A:R,18,0)</f>
        <v>Chennai</v>
      </c>
      <c r="L1719" t="str">
        <f>VLOOKUP(Googleadssales[[#This Row],[Ad_ID]],'[1]pre processed data'!A:S,19,0)</f>
        <v>Desktop</v>
      </c>
      <c r="M1719" t="str">
        <f>VLOOKUP(Googleadssales[[#This Row],[Ad_ID]],'[1]pre processed data'!A:T,20,0)</f>
        <v>online data analytic</v>
      </c>
    </row>
    <row r="1720" spans="1:13" x14ac:dyDescent="0.3">
      <c r="A1720" t="s">
        <v>1733</v>
      </c>
      <c r="B1720" t="s">
        <v>14</v>
      </c>
      <c r="C1720" s="4">
        <f>VLOOKUP(Googleadssales[[#This Row],[Ad_ID]],'[1]pre processed data'!A:C,3,0)</f>
        <v>138.95699356913184</v>
      </c>
      <c r="D1720" s="4">
        <f>VLOOKUP(Googleadssales[[#This Row],[Ad_ID]],'[1]pre processed data'!A:E,5,0)</f>
        <v>3319</v>
      </c>
      <c r="E1720" s="5" t="str">
        <f>VLOOKUP(Googleadssales[[#This Row],[Ad_ID]],[1]!Table3[[Ad_ID]:[Cost-imputed]],7,0)</f>
        <v>$230.39</v>
      </c>
      <c r="F1720" s="4">
        <f>VLOOKUP(Googleadssales[[#This Row],[Ad_ID]],'[1]pre processed data'!A:I,9,0)</f>
        <v>28</v>
      </c>
      <c r="G1720" s="4">
        <f>VLOOKUP(Googleadssales[[#This Row],[Ad_ID]],'[1]pre processed data'!A:K,11,0)</f>
        <v>4</v>
      </c>
      <c r="H1720" s="2">
        <f>Googleadssales[[#This Row],[Conversions]]/Googleadssales[[#This Row],[Clicks]]</f>
        <v>2.8785884734977219E-2</v>
      </c>
      <c r="I1720" t="str">
        <f>VLOOKUP(Googleadssales[[#This Row],[Ad_ID]],'[1]pre processed data'!A:O,15,0)</f>
        <v>$1533</v>
      </c>
      <c r="J1720" s="3">
        <f>VLOOKUP(Googleadssales[[#This Row],[Ad_ID]],'[1]pre processed data'!A:Q,17,0)</f>
        <v>45615</v>
      </c>
      <c r="K1720" t="str">
        <f>VLOOKUP(Googleadssales[[#This Row],[Ad_ID]],'[1]pre processed data'!A:R,18,0)</f>
        <v>Chennai</v>
      </c>
      <c r="L1720" t="str">
        <f>VLOOKUP(Googleadssales[[#This Row],[Ad_ID]],'[1]pre processed data'!A:S,19,0)</f>
        <v>Tablet</v>
      </c>
      <c r="M1720" t="str">
        <f>VLOOKUP(Googleadssales[[#This Row],[Ad_ID]],'[1]pre processed data'!A:T,20,0)</f>
        <v>analytics for data</v>
      </c>
    </row>
    <row r="1721" spans="1:13" x14ac:dyDescent="0.3">
      <c r="A1721" t="s">
        <v>1734</v>
      </c>
      <c r="B1721" t="s">
        <v>14</v>
      </c>
      <c r="C1721" s="4">
        <f>VLOOKUP(Googleadssales[[#This Row],[Ad_ID]],'[1]pre processed data'!A:C,3,0)</f>
        <v>190</v>
      </c>
      <c r="D1721" s="4">
        <f>VLOOKUP(Googleadssales[[#This Row],[Ad_ID]],'[1]pre processed data'!A:E,5,0)</f>
        <v>5141</v>
      </c>
      <c r="E1721" s="5" t="str">
        <f>VLOOKUP(Googleadssales[[#This Row],[Ad_ID]],[1]!Table3[[Ad_ID]:[Cost-imputed]],7,0)</f>
        <v>$225.14</v>
      </c>
      <c r="F1721" s="4">
        <f>VLOOKUP(Googleadssales[[#This Row],[Ad_ID]],'[1]pre processed data'!A:I,9,0)</f>
        <v>15</v>
      </c>
      <c r="G1721" s="4">
        <f>VLOOKUP(Googleadssales[[#This Row],[Ad_ID]],'[1]pre processed data'!A:K,11,0)</f>
        <v>10</v>
      </c>
      <c r="H1721" s="2">
        <f>Googleadssales[[#This Row],[Conversions]]/Googleadssales[[#This Row],[Clicks]]</f>
        <v>5.2631578947368418E-2</v>
      </c>
      <c r="I1721" t="str">
        <f>VLOOKUP(Googleadssales[[#This Row],[Ad_ID]],'[1]pre processed data'!A:O,15,0)</f>
        <v>$1761</v>
      </c>
      <c r="J1721" s="3">
        <f>VLOOKUP(Googleadssales[[#This Row],[Ad_ID]],'[1]pre processed data'!A:Q,17,0)</f>
        <v>45617</v>
      </c>
      <c r="K1721" t="str">
        <f>VLOOKUP(Googleadssales[[#This Row],[Ad_ID]],'[1]pre processed data'!A:R,18,0)</f>
        <v>Hyderabad</v>
      </c>
      <c r="L1721" t="str">
        <f>VLOOKUP(Googleadssales[[#This Row],[Ad_ID]],'[1]pre processed data'!A:S,19,0)</f>
        <v>Desktop</v>
      </c>
      <c r="M1721" t="str">
        <f>VLOOKUP(Googleadssales[[#This Row],[Ad_ID]],'[1]pre processed data'!A:T,20,0)</f>
        <v>learn data analytics</v>
      </c>
    </row>
    <row r="1722" spans="1:13" x14ac:dyDescent="0.3">
      <c r="A1722" t="s">
        <v>1735</v>
      </c>
      <c r="B1722" t="s">
        <v>14</v>
      </c>
      <c r="C1722" s="4">
        <f>VLOOKUP(Googleadssales[[#This Row],[Ad_ID]],'[1]pre processed data'!A:C,3,0)</f>
        <v>92</v>
      </c>
      <c r="D1722" s="4">
        <f>VLOOKUP(Googleadssales[[#This Row],[Ad_ID]],'[1]pre processed data'!A:E,5,0)</f>
        <v>5952</v>
      </c>
      <c r="E1722" s="5" t="str">
        <f>VLOOKUP(Googleadssales[[#This Row],[Ad_ID]],[1]!Table3[[Ad_ID]:[Cost-imputed]],7,0)</f>
        <v>$192.35</v>
      </c>
      <c r="F1722" s="4">
        <f>VLOOKUP(Googleadssales[[#This Row],[Ad_ID]],'[1]pre processed data'!A:I,9,0)</f>
        <v>30</v>
      </c>
      <c r="G1722" s="4">
        <f>VLOOKUP(Googleadssales[[#This Row],[Ad_ID]],'[1]pre processed data'!A:K,11,0)</f>
        <v>4</v>
      </c>
      <c r="H1722" s="2">
        <f>Googleadssales[[#This Row],[Conversions]]/Googleadssales[[#This Row],[Clicks]]</f>
        <v>4.3478260869565216E-2</v>
      </c>
      <c r="I1722" t="str">
        <f>VLOOKUP(Googleadssales[[#This Row],[Ad_ID]],'[1]pre processed data'!A:O,15,0)</f>
        <v>$1335</v>
      </c>
      <c r="J1722" s="3">
        <f>VLOOKUP(Googleadssales[[#This Row],[Ad_ID]],'[1]pre processed data'!A:Q,17,0)</f>
        <v>45604</v>
      </c>
      <c r="K1722" t="str">
        <f>VLOOKUP(Googleadssales[[#This Row],[Ad_ID]],'[1]pre processed data'!A:R,18,0)</f>
        <v>Bangaluru</v>
      </c>
      <c r="L1722" t="str">
        <f>VLOOKUP(Googleadssales[[#This Row],[Ad_ID]],'[1]pre processed data'!A:S,19,0)</f>
        <v>Mobile</v>
      </c>
      <c r="M1722" t="str">
        <f>VLOOKUP(Googleadssales[[#This Row],[Ad_ID]],'[1]pre processed data'!A:T,20,0)</f>
        <v>data analytics online</v>
      </c>
    </row>
    <row r="1723" spans="1:13" x14ac:dyDescent="0.3">
      <c r="A1723" t="s">
        <v>1736</v>
      </c>
      <c r="B1723" t="s">
        <v>14</v>
      </c>
      <c r="C1723" s="4">
        <f>VLOOKUP(Googleadssales[[#This Row],[Ad_ID]],'[1]pre processed data'!A:C,3,0)</f>
        <v>107</v>
      </c>
      <c r="D1723" s="4">
        <f>VLOOKUP(Googleadssales[[#This Row],[Ad_ID]],'[1]pre processed data'!A:E,5,0)</f>
        <v>4523.2808326787117</v>
      </c>
      <c r="E1723" s="5" t="str">
        <f>VLOOKUP(Googleadssales[[#This Row],[Ad_ID]],[1]!Table3[[Ad_ID]:[Cost-imputed]],7,0)</f>
        <v>$227.88</v>
      </c>
      <c r="F1723" s="4">
        <f>VLOOKUP(Googleadssales[[#This Row],[Ad_ID]],'[1]pre processed data'!A:I,9,0)</f>
        <v>23</v>
      </c>
      <c r="G1723" s="4">
        <f>VLOOKUP(Googleadssales[[#This Row],[Ad_ID]],'[1]pre processed data'!A:K,11,0)</f>
        <v>8</v>
      </c>
      <c r="H1723" s="2">
        <f>Googleadssales[[#This Row],[Conversions]]/Googleadssales[[#This Row],[Clicks]]</f>
        <v>7.476635514018691E-2</v>
      </c>
      <c r="I1723" t="str">
        <f>VLOOKUP(Googleadssales[[#This Row],[Ad_ID]],'[1]pre processed data'!A:O,15,0)</f>
        <v>$1844</v>
      </c>
      <c r="J1723" s="3">
        <f>VLOOKUP(Googleadssales[[#This Row],[Ad_ID]],'[1]pre processed data'!A:Q,17,0)</f>
        <v>45604</v>
      </c>
      <c r="K1723" t="str">
        <f>VLOOKUP(Googleadssales[[#This Row],[Ad_ID]],'[1]pre processed data'!A:R,18,0)</f>
        <v>Hyderabad</v>
      </c>
      <c r="L1723" t="str">
        <f>VLOOKUP(Googleadssales[[#This Row],[Ad_ID]],'[1]pre processed data'!A:S,19,0)</f>
        <v>Desktop</v>
      </c>
      <c r="M1723" t="str">
        <f>VLOOKUP(Googleadssales[[#This Row],[Ad_ID]],'[1]pre processed data'!A:T,20,0)</f>
        <v>online data analytic</v>
      </c>
    </row>
    <row r="1724" spans="1:13" x14ac:dyDescent="0.3">
      <c r="A1724" t="s">
        <v>1737</v>
      </c>
      <c r="B1724" t="s">
        <v>14</v>
      </c>
      <c r="C1724" s="4">
        <f>VLOOKUP(Googleadssales[[#This Row],[Ad_ID]],'[1]pre processed data'!A:C,3,0)</f>
        <v>138.95699356913184</v>
      </c>
      <c r="D1724" s="4">
        <f>VLOOKUP(Googleadssales[[#This Row],[Ad_ID]],'[1]pre processed data'!A:E,5,0)</f>
        <v>3794</v>
      </c>
      <c r="E1724" s="5" t="str">
        <f>VLOOKUP(Googleadssales[[#This Row],[Ad_ID]],[1]!Table3[[Ad_ID]:[Cost-imputed]],7,0)</f>
        <v>$225.38</v>
      </c>
      <c r="F1724" s="4">
        <f>VLOOKUP(Googleadssales[[#This Row],[Ad_ID]],'[1]pre processed data'!A:I,9,0)</f>
        <v>13</v>
      </c>
      <c r="G1724" s="4">
        <f>VLOOKUP(Googleadssales[[#This Row],[Ad_ID]],'[1]pre processed data'!A:K,11,0)</f>
        <v>7</v>
      </c>
      <c r="H1724" s="2">
        <f>Googleadssales[[#This Row],[Conversions]]/Googleadssales[[#This Row],[Clicks]]</f>
        <v>5.0375298286210138E-2</v>
      </c>
      <c r="I1724" t="str">
        <f>VLOOKUP(Googleadssales[[#This Row],[Ad_ID]],'[1]pre processed data'!A:O,15,0)</f>
        <v>$1401</v>
      </c>
      <c r="J1724" s="3">
        <f>VLOOKUP(Googleadssales[[#This Row],[Ad_ID]],'[1]pre processed data'!A:Q,17,0)</f>
        <v>45619</v>
      </c>
      <c r="K1724" t="str">
        <f>VLOOKUP(Googleadssales[[#This Row],[Ad_ID]],'[1]pre processed data'!A:R,18,0)</f>
        <v>Hyderabad</v>
      </c>
      <c r="L1724" t="str">
        <f>VLOOKUP(Googleadssales[[#This Row],[Ad_ID]],'[1]pre processed data'!A:S,19,0)</f>
        <v>Mobile</v>
      </c>
      <c r="M1724" t="str">
        <f>VLOOKUP(Googleadssales[[#This Row],[Ad_ID]],'[1]pre processed data'!A:T,20,0)</f>
        <v>data analytics online</v>
      </c>
    </row>
    <row r="1725" spans="1:13" x14ac:dyDescent="0.3">
      <c r="A1725" t="s">
        <v>1738</v>
      </c>
      <c r="B1725" t="s">
        <v>14</v>
      </c>
      <c r="C1725" s="4">
        <f>VLOOKUP(Googleadssales[[#This Row],[Ad_ID]],'[1]pre processed data'!A:C,3,0)</f>
        <v>186</v>
      </c>
      <c r="D1725" s="4">
        <f>VLOOKUP(Googleadssales[[#This Row],[Ad_ID]],'[1]pre processed data'!A:E,5,0)</f>
        <v>4523.2808326787117</v>
      </c>
      <c r="E1725" s="5" t="str">
        <f>VLOOKUP(Googleadssales[[#This Row],[Ad_ID]],[1]!Table3[[Ad_ID]:[Cost-imputed]],7,0)</f>
        <v>$185.55</v>
      </c>
      <c r="F1725" s="4">
        <f>VLOOKUP(Googleadssales[[#This Row],[Ad_ID]],'[1]pre processed data'!A:I,9,0)</f>
        <v>11</v>
      </c>
      <c r="G1725" s="4">
        <f>VLOOKUP(Googleadssales[[#This Row],[Ad_ID]],'[1]pre processed data'!A:K,11,0)</f>
        <v>5</v>
      </c>
      <c r="H1725" s="2">
        <f>Googleadssales[[#This Row],[Conversions]]/Googleadssales[[#This Row],[Clicks]]</f>
        <v>2.6881720430107527E-2</v>
      </c>
      <c r="I1725" t="str">
        <f>VLOOKUP(Googleadssales[[#This Row],[Ad_ID]],'[1]pre processed data'!A:O,15,0)</f>
        <v>$1903</v>
      </c>
      <c r="J1725" s="3">
        <f>VLOOKUP(Googleadssales[[#This Row],[Ad_ID]],'[1]pre processed data'!A:Q,17,0)</f>
        <v>45612</v>
      </c>
      <c r="K1725" t="str">
        <f>VLOOKUP(Googleadssales[[#This Row],[Ad_ID]],'[1]pre processed data'!A:R,18,0)</f>
        <v>Hyderabad</v>
      </c>
      <c r="L1725" t="str">
        <f>VLOOKUP(Googleadssales[[#This Row],[Ad_ID]],'[1]pre processed data'!A:S,19,0)</f>
        <v>Tablet</v>
      </c>
      <c r="M1725" t="str">
        <f>VLOOKUP(Googleadssales[[#This Row],[Ad_ID]],'[1]pre processed data'!A:T,20,0)</f>
        <v>data analytics course</v>
      </c>
    </row>
    <row r="1726" spans="1:13" x14ac:dyDescent="0.3">
      <c r="A1726" t="s">
        <v>1739</v>
      </c>
      <c r="B1726" t="s">
        <v>14</v>
      </c>
      <c r="C1726" s="4">
        <f>VLOOKUP(Googleadssales[[#This Row],[Ad_ID]],'[1]pre processed data'!A:C,3,0)</f>
        <v>129</v>
      </c>
      <c r="D1726" s="4">
        <f>VLOOKUP(Googleadssales[[#This Row],[Ad_ID]],'[1]pre processed data'!A:E,5,0)</f>
        <v>3454</v>
      </c>
      <c r="E1726" s="5" t="str">
        <f>VLOOKUP(Googleadssales[[#This Row],[Ad_ID]],[1]!Table3[[Ad_ID]:[Cost-imputed]],7,0)</f>
        <v>$223.14</v>
      </c>
      <c r="F1726" s="4">
        <f>VLOOKUP(Googleadssales[[#This Row],[Ad_ID]],'[1]pre processed data'!A:I,9,0)</f>
        <v>17</v>
      </c>
      <c r="G1726" s="4">
        <f>VLOOKUP(Googleadssales[[#This Row],[Ad_ID]],'[1]pre processed data'!A:K,11,0)</f>
        <v>8</v>
      </c>
      <c r="H1726" s="2">
        <f>Googleadssales[[#This Row],[Conversions]]/Googleadssales[[#This Row],[Clicks]]</f>
        <v>6.2015503875968991E-2</v>
      </c>
      <c r="I1726" t="str">
        <f>VLOOKUP(Googleadssales[[#This Row],[Ad_ID]],'[1]pre processed data'!A:O,15,0)</f>
        <v>$1391</v>
      </c>
      <c r="J1726" s="3">
        <f>VLOOKUP(Googleadssales[[#This Row],[Ad_ID]],'[1]pre processed data'!A:Q,17,0)</f>
        <v>45597</v>
      </c>
      <c r="K1726" t="str">
        <f>VLOOKUP(Googleadssales[[#This Row],[Ad_ID]],'[1]pre processed data'!A:R,18,0)</f>
        <v>Hyderabad</v>
      </c>
      <c r="L1726" t="str">
        <f>VLOOKUP(Googleadssales[[#This Row],[Ad_ID]],'[1]pre processed data'!A:S,19,0)</f>
        <v>Tablet</v>
      </c>
      <c r="M1726" t="str">
        <f>VLOOKUP(Googleadssales[[#This Row],[Ad_ID]],'[1]pre processed data'!A:T,20,0)</f>
        <v>analytics for data</v>
      </c>
    </row>
    <row r="1727" spans="1:13" x14ac:dyDescent="0.3">
      <c r="A1727" t="s">
        <v>1740</v>
      </c>
      <c r="B1727" t="s">
        <v>18</v>
      </c>
      <c r="C1727" s="4">
        <f>VLOOKUP(Googleadssales[[#This Row],[Ad_ID]],'[1]pre processed data'!A:C,3,0)</f>
        <v>162</v>
      </c>
      <c r="D1727" s="4">
        <f>VLOOKUP(Googleadssales[[#This Row],[Ad_ID]],'[1]pre processed data'!A:E,5,0)</f>
        <v>3071</v>
      </c>
      <c r="E1727" s="5" t="str">
        <f>VLOOKUP(Googleadssales[[#This Row],[Ad_ID]],[1]!Table3[[Ad_ID]:[Cost-imputed]],7,0)</f>
        <v>$231.99</v>
      </c>
      <c r="F1727" s="4">
        <f>VLOOKUP(Googleadssales[[#This Row],[Ad_ID]],'[1]pre processed data'!A:I,9,0)</f>
        <v>29</v>
      </c>
      <c r="G1727" s="4">
        <f>VLOOKUP(Googleadssales[[#This Row],[Ad_ID]],'[1]pre processed data'!A:K,11,0)</f>
        <v>9</v>
      </c>
      <c r="H1727" s="2">
        <f>Googleadssales[[#This Row],[Conversions]]/Googleadssales[[#This Row],[Clicks]]</f>
        <v>5.5555555555555552E-2</v>
      </c>
      <c r="I1727" t="str">
        <f>VLOOKUP(Googleadssales[[#This Row],[Ad_ID]],'[1]pre processed data'!A:O,15,0)</f>
        <v>$1603</v>
      </c>
      <c r="J1727" s="3">
        <f>VLOOKUP(Googleadssales[[#This Row],[Ad_ID]],'[1]pre processed data'!A:Q,17,0)</f>
        <v>45614</v>
      </c>
      <c r="K1727" t="str">
        <f>VLOOKUP(Googleadssales[[#This Row],[Ad_ID]],'[1]pre processed data'!A:R,18,0)</f>
        <v>Hyderabad</v>
      </c>
      <c r="L1727" t="str">
        <f>VLOOKUP(Googleadssales[[#This Row],[Ad_ID]],'[1]pre processed data'!A:S,19,0)</f>
        <v>Tablet</v>
      </c>
      <c r="M1727" t="str">
        <f>VLOOKUP(Googleadssales[[#This Row],[Ad_ID]],'[1]pre processed data'!A:T,20,0)</f>
        <v>online data analytic</v>
      </c>
    </row>
    <row r="1728" spans="1:13" x14ac:dyDescent="0.3">
      <c r="A1728" t="s">
        <v>1741</v>
      </c>
      <c r="B1728" t="s">
        <v>18</v>
      </c>
      <c r="C1728" s="4">
        <f>VLOOKUP(Googleadssales[[#This Row],[Ad_ID]],'[1]pre processed data'!A:C,3,0)</f>
        <v>177</v>
      </c>
      <c r="D1728" s="4">
        <f>VLOOKUP(Googleadssales[[#This Row],[Ad_ID]],'[1]pre processed data'!A:E,5,0)</f>
        <v>5954</v>
      </c>
      <c r="E1728" s="5" t="str">
        <f>VLOOKUP(Googleadssales[[#This Row],[Ad_ID]],[1]!Table3[[Ad_ID]:[Cost-imputed]],7,0)</f>
        <v>$206.76</v>
      </c>
      <c r="F1728" s="4">
        <f>VLOOKUP(Googleadssales[[#This Row],[Ad_ID]],'[1]pre processed data'!A:I,9,0)</f>
        <v>13</v>
      </c>
      <c r="G1728" s="4">
        <f>VLOOKUP(Googleadssales[[#This Row],[Ad_ID]],'[1]pre processed data'!A:K,11,0)</f>
        <v>4</v>
      </c>
      <c r="H1728" s="2">
        <f>Googleadssales[[#This Row],[Conversions]]/Googleadssales[[#This Row],[Clicks]]</f>
        <v>2.2598870056497175E-2</v>
      </c>
      <c r="I1728" t="str">
        <f>VLOOKUP(Googleadssales[[#This Row],[Ad_ID]],'[1]pre processed data'!A:O,15,0)</f>
        <v>$1104</v>
      </c>
      <c r="J1728" s="3">
        <f>VLOOKUP(Googleadssales[[#This Row],[Ad_ID]],'[1]pre processed data'!A:Q,17,0)</f>
        <v>45610</v>
      </c>
      <c r="K1728" t="str">
        <f>VLOOKUP(Googleadssales[[#This Row],[Ad_ID]],'[1]pre processed data'!A:R,18,0)</f>
        <v>Chennai</v>
      </c>
      <c r="L1728" t="str">
        <f>VLOOKUP(Googleadssales[[#This Row],[Ad_ID]],'[1]pre processed data'!A:S,19,0)</f>
        <v>Tablet</v>
      </c>
      <c r="M1728" t="str">
        <f>VLOOKUP(Googleadssales[[#This Row],[Ad_ID]],'[1]pre processed data'!A:T,20,0)</f>
        <v>learn data analytics</v>
      </c>
    </row>
    <row r="1729" spans="1:13" x14ac:dyDescent="0.3">
      <c r="A1729" t="s">
        <v>1742</v>
      </c>
      <c r="B1729" t="s">
        <v>18</v>
      </c>
      <c r="C1729" s="4">
        <f>VLOOKUP(Googleadssales[[#This Row],[Ad_ID]],'[1]pre processed data'!A:C,3,0)</f>
        <v>93</v>
      </c>
      <c r="D1729" s="4">
        <f>VLOOKUP(Googleadssales[[#This Row],[Ad_ID]],'[1]pre processed data'!A:E,5,0)</f>
        <v>3473</v>
      </c>
      <c r="E1729" s="5" t="str">
        <f>VLOOKUP(Googleadssales[[#This Row],[Ad_ID]],[1]!Table3[[Ad_ID]:[Cost-imputed]],7,0)</f>
        <v>$207.92</v>
      </c>
      <c r="F1729" s="4">
        <f>VLOOKUP(Googleadssales[[#This Row],[Ad_ID]],'[1]pre processed data'!A:I,9,0)</f>
        <v>30</v>
      </c>
      <c r="G1729" s="4">
        <f>VLOOKUP(Googleadssales[[#This Row],[Ad_ID]],'[1]pre processed data'!A:K,11,0)</f>
        <v>9</v>
      </c>
      <c r="H1729" s="2">
        <f>Googleadssales[[#This Row],[Conversions]]/Googleadssales[[#This Row],[Clicks]]</f>
        <v>9.6774193548387094E-2</v>
      </c>
      <c r="I1729" t="str">
        <f>VLOOKUP(Googleadssales[[#This Row],[Ad_ID]],'[1]pre processed data'!A:O,15,0)</f>
        <v>$1780</v>
      </c>
      <c r="J1729" s="3">
        <f>VLOOKUP(Googleadssales[[#This Row],[Ad_ID]],'[1]pre processed data'!A:Q,17,0)</f>
        <v>45604</v>
      </c>
      <c r="K1729" t="str">
        <f>VLOOKUP(Googleadssales[[#This Row],[Ad_ID]],'[1]pre processed data'!A:R,18,0)</f>
        <v>Hyderabad</v>
      </c>
      <c r="L1729" t="str">
        <f>VLOOKUP(Googleadssales[[#This Row],[Ad_ID]],'[1]pre processed data'!A:S,19,0)</f>
        <v>Desktop</v>
      </c>
      <c r="M1729" t="str">
        <f>VLOOKUP(Googleadssales[[#This Row],[Ad_ID]],'[1]pre processed data'!A:T,20,0)</f>
        <v>data analytics course</v>
      </c>
    </row>
    <row r="1730" spans="1:13" x14ac:dyDescent="0.3">
      <c r="A1730" t="s">
        <v>1743</v>
      </c>
      <c r="B1730" t="s">
        <v>14</v>
      </c>
      <c r="C1730" s="4">
        <f>VLOOKUP(Googleadssales[[#This Row],[Ad_ID]],'[1]pre processed data'!A:C,3,0)</f>
        <v>117</v>
      </c>
      <c r="D1730" s="4">
        <f>VLOOKUP(Googleadssales[[#This Row],[Ad_ID]],'[1]pre processed data'!A:E,5,0)</f>
        <v>4341</v>
      </c>
      <c r="E1730" s="5" t="str">
        <f>VLOOKUP(Googleadssales[[#This Row],[Ad_ID]],[1]!Table3[[Ad_ID]:[Cost-imputed]],7,0)</f>
        <v>$212.29</v>
      </c>
      <c r="F1730" s="4">
        <f>VLOOKUP(Googleadssales[[#This Row],[Ad_ID]],'[1]pre processed data'!A:I,9,0)</f>
        <v>19</v>
      </c>
      <c r="G1730" s="4">
        <f>VLOOKUP(Googleadssales[[#This Row],[Ad_ID]],'[1]pre processed data'!A:K,11,0)</f>
        <v>8</v>
      </c>
      <c r="H1730" s="2">
        <f>Googleadssales[[#This Row],[Conversions]]/Googleadssales[[#This Row],[Clicks]]</f>
        <v>6.8376068376068383E-2</v>
      </c>
      <c r="I1730" t="str">
        <f>VLOOKUP(Googleadssales[[#This Row],[Ad_ID]],'[1]pre processed data'!A:O,15,0)</f>
        <v>$1399</v>
      </c>
      <c r="J1730" s="3">
        <f>VLOOKUP(Googleadssales[[#This Row],[Ad_ID]],'[1]pre processed data'!A:Q,17,0)</f>
        <v>45617</v>
      </c>
      <c r="K1730" t="str">
        <f>VLOOKUP(Googleadssales[[#This Row],[Ad_ID]],'[1]pre processed data'!A:R,18,0)</f>
        <v>Hyderabad</v>
      </c>
      <c r="L1730" t="str">
        <f>VLOOKUP(Googleadssales[[#This Row],[Ad_ID]],'[1]pre processed data'!A:S,19,0)</f>
        <v>Desktop</v>
      </c>
      <c r="M1730" t="str">
        <f>VLOOKUP(Googleadssales[[#This Row],[Ad_ID]],'[1]pre processed data'!A:T,20,0)</f>
        <v>learn data analytics</v>
      </c>
    </row>
    <row r="1731" spans="1:13" x14ac:dyDescent="0.3">
      <c r="A1731" t="s">
        <v>1744</v>
      </c>
      <c r="B1731" t="s">
        <v>18</v>
      </c>
      <c r="C1731" s="4">
        <f>VLOOKUP(Googleadssales[[#This Row],[Ad_ID]],'[1]pre processed data'!A:C,3,0)</f>
        <v>120</v>
      </c>
      <c r="D1731" s="4">
        <f>VLOOKUP(Googleadssales[[#This Row],[Ad_ID]],'[1]pre processed data'!A:E,5,0)</f>
        <v>3310</v>
      </c>
      <c r="E1731" s="5" t="str">
        <f>VLOOKUP(Googleadssales[[#This Row],[Ad_ID]],[1]!Table3[[Ad_ID]:[Cost-imputed]],7,0)</f>
        <v>$247.65</v>
      </c>
      <c r="F1731" s="4">
        <f>VLOOKUP(Googleadssales[[#This Row],[Ad_ID]],'[1]pre processed data'!A:I,9,0)</f>
        <v>15</v>
      </c>
      <c r="G1731" s="4">
        <f>VLOOKUP(Googleadssales[[#This Row],[Ad_ID]],'[1]pre processed data'!A:K,11,0)</f>
        <v>3</v>
      </c>
      <c r="H1731" s="2">
        <f>Googleadssales[[#This Row],[Conversions]]/Googleadssales[[#This Row],[Clicks]]</f>
        <v>2.5000000000000001E-2</v>
      </c>
      <c r="I1731" t="str">
        <f>VLOOKUP(Googleadssales[[#This Row],[Ad_ID]],'[1]pre processed data'!A:O,15,0)</f>
        <v>$1584</v>
      </c>
      <c r="J1731" s="3">
        <f>VLOOKUP(Googleadssales[[#This Row],[Ad_ID]],'[1]pre processed data'!A:Q,17,0)</f>
        <v>45617</v>
      </c>
      <c r="K1731" t="str">
        <f>VLOOKUP(Googleadssales[[#This Row],[Ad_ID]],'[1]pre processed data'!A:R,18,0)</f>
        <v>Hyderabad</v>
      </c>
      <c r="L1731" t="str">
        <f>VLOOKUP(Googleadssales[[#This Row],[Ad_ID]],'[1]pre processed data'!A:S,19,0)</f>
        <v>Mobile</v>
      </c>
      <c r="M1731" t="str">
        <f>VLOOKUP(Googleadssales[[#This Row],[Ad_ID]],'[1]pre processed data'!A:T,20,0)</f>
        <v>online data analytic</v>
      </c>
    </row>
    <row r="1732" spans="1:13" x14ac:dyDescent="0.3">
      <c r="A1732" t="s">
        <v>1745</v>
      </c>
      <c r="B1732" t="s">
        <v>18</v>
      </c>
      <c r="C1732" s="4">
        <f>VLOOKUP(Googleadssales[[#This Row],[Ad_ID]],'[1]pre processed data'!A:C,3,0)</f>
        <v>81</v>
      </c>
      <c r="D1732" s="4">
        <f>VLOOKUP(Googleadssales[[#This Row],[Ad_ID]],'[1]pre processed data'!A:E,5,0)</f>
        <v>3694</v>
      </c>
      <c r="E1732" s="5" t="str">
        <f>VLOOKUP(Googleadssales[[#This Row],[Ad_ID]],[1]!Table3[[Ad_ID]:[Cost-imputed]],7,0)</f>
        <v>$183.52</v>
      </c>
      <c r="F1732" s="4">
        <f>VLOOKUP(Googleadssales[[#This Row],[Ad_ID]],'[1]pre processed data'!A:I,9,0)</f>
        <v>17</v>
      </c>
      <c r="G1732" s="4">
        <f>VLOOKUP(Googleadssales[[#This Row],[Ad_ID]],'[1]pre processed data'!A:K,11,0)</f>
        <v>3</v>
      </c>
      <c r="H1732" s="2">
        <f>Googleadssales[[#This Row],[Conversions]]/Googleadssales[[#This Row],[Clicks]]</f>
        <v>3.7037037037037035E-2</v>
      </c>
      <c r="I1732" t="str">
        <f>VLOOKUP(Googleadssales[[#This Row],[Ad_ID]],'[1]pre processed data'!A:O,15,0)</f>
        <v>$1156</v>
      </c>
      <c r="J1732" s="3">
        <f>VLOOKUP(Googleadssales[[#This Row],[Ad_ID]],'[1]pre processed data'!A:Q,17,0)</f>
        <v>45618</v>
      </c>
      <c r="K1732" t="str">
        <f>VLOOKUP(Googleadssales[[#This Row],[Ad_ID]],'[1]pre processed data'!A:R,18,0)</f>
        <v>Bangaluru</v>
      </c>
      <c r="L1732" t="str">
        <f>VLOOKUP(Googleadssales[[#This Row],[Ad_ID]],'[1]pre processed data'!A:S,19,0)</f>
        <v>Mobile</v>
      </c>
      <c r="M1732" t="str">
        <f>VLOOKUP(Googleadssales[[#This Row],[Ad_ID]],'[1]pre processed data'!A:T,20,0)</f>
        <v>online data analytic</v>
      </c>
    </row>
    <row r="1733" spans="1:13" x14ac:dyDescent="0.3">
      <c r="A1733" t="s">
        <v>1746</v>
      </c>
      <c r="B1733" t="s">
        <v>18</v>
      </c>
      <c r="C1733" s="4">
        <f>VLOOKUP(Googleadssales[[#This Row],[Ad_ID]],'[1]pre processed data'!A:C,3,0)</f>
        <v>91</v>
      </c>
      <c r="D1733" s="4">
        <f>VLOOKUP(Googleadssales[[#This Row],[Ad_ID]],'[1]pre processed data'!A:E,5,0)</f>
        <v>3576</v>
      </c>
      <c r="E1733" s="5" t="str">
        <f>VLOOKUP(Googleadssales[[#This Row],[Ad_ID]],[1]!Table3[[Ad_ID]:[Cost-imputed]],7,0)</f>
        <v>$243.02</v>
      </c>
      <c r="F1733" s="4">
        <f>VLOOKUP(Googleadssales[[#This Row],[Ad_ID]],'[1]pre processed data'!A:I,9,0)</f>
        <v>28</v>
      </c>
      <c r="G1733" s="4">
        <f>VLOOKUP(Googleadssales[[#This Row],[Ad_ID]],'[1]pre processed data'!A:K,11,0)</f>
        <v>8</v>
      </c>
      <c r="H1733" s="2">
        <f>Googleadssales[[#This Row],[Conversions]]/Googleadssales[[#This Row],[Clicks]]</f>
        <v>8.7912087912087919E-2</v>
      </c>
      <c r="I1733" t="str">
        <f>VLOOKUP(Googleadssales[[#This Row],[Ad_ID]],'[1]pre processed data'!A:O,15,0)</f>
        <v>$1567</v>
      </c>
      <c r="J1733" s="3">
        <f>VLOOKUP(Googleadssales[[#This Row],[Ad_ID]],'[1]pre processed data'!A:Q,17,0)</f>
        <v>45621</v>
      </c>
      <c r="K1733" t="str">
        <f>VLOOKUP(Googleadssales[[#This Row],[Ad_ID]],'[1]pre processed data'!A:R,18,0)</f>
        <v>Chennai</v>
      </c>
      <c r="L1733" t="str">
        <f>VLOOKUP(Googleadssales[[#This Row],[Ad_ID]],'[1]pre processed data'!A:S,19,0)</f>
        <v>Mobile</v>
      </c>
      <c r="M1733" t="str">
        <f>VLOOKUP(Googleadssales[[#This Row],[Ad_ID]],'[1]pre processed data'!A:T,20,0)</f>
        <v>data analytics training</v>
      </c>
    </row>
    <row r="1734" spans="1:13" x14ac:dyDescent="0.3">
      <c r="A1734" t="s">
        <v>1747</v>
      </c>
      <c r="B1734" t="s">
        <v>14</v>
      </c>
      <c r="C1734" s="4">
        <f>VLOOKUP(Googleadssales[[#This Row],[Ad_ID]],'[1]pre processed data'!A:C,3,0)</f>
        <v>167</v>
      </c>
      <c r="D1734" s="4">
        <f>VLOOKUP(Googleadssales[[#This Row],[Ad_ID]],'[1]pre processed data'!A:E,5,0)</f>
        <v>4856</v>
      </c>
      <c r="E1734" s="5" t="str">
        <f>VLOOKUP(Googleadssales[[#This Row],[Ad_ID]],[1]!Table3[[Ad_ID]:[Cost-imputed]],7,0)</f>
        <v>$232.1</v>
      </c>
      <c r="F1734" s="4">
        <f>VLOOKUP(Googleadssales[[#This Row],[Ad_ID]],'[1]pre processed data'!A:I,9,0)</f>
        <v>18</v>
      </c>
      <c r="G1734" s="4">
        <f>VLOOKUP(Googleadssales[[#This Row],[Ad_ID]],'[1]pre processed data'!A:K,11,0)</f>
        <v>7</v>
      </c>
      <c r="H1734" s="2">
        <f>Googleadssales[[#This Row],[Conversions]]/Googleadssales[[#This Row],[Clicks]]</f>
        <v>4.1916167664670656E-2</v>
      </c>
      <c r="I1734" t="str">
        <f>VLOOKUP(Googleadssales[[#This Row],[Ad_ID]],'[1]pre processed data'!A:O,15,0)</f>
        <v>$1476</v>
      </c>
      <c r="J1734" s="3">
        <f>VLOOKUP(Googleadssales[[#This Row],[Ad_ID]],'[1]pre processed data'!A:Q,17,0)</f>
        <v>45603</v>
      </c>
      <c r="K1734" t="str">
        <f>VLOOKUP(Googleadssales[[#This Row],[Ad_ID]],'[1]pre processed data'!A:R,18,0)</f>
        <v>Hyderabad</v>
      </c>
      <c r="L1734" t="str">
        <f>VLOOKUP(Googleadssales[[#This Row],[Ad_ID]],'[1]pre processed data'!A:S,19,0)</f>
        <v>Desktop</v>
      </c>
      <c r="M1734" t="str">
        <f>VLOOKUP(Googleadssales[[#This Row],[Ad_ID]],'[1]pre processed data'!A:T,20,0)</f>
        <v>analytics for data</v>
      </c>
    </row>
    <row r="1735" spans="1:13" x14ac:dyDescent="0.3">
      <c r="A1735" t="s">
        <v>1748</v>
      </c>
      <c r="B1735" t="s">
        <v>14</v>
      </c>
      <c r="C1735" s="4">
        <f>VLOOKUP(Googleadssales[[#This Row],[Ad_ID]],'[1]pre processed data'!A:C,3,0)</f>
        <v>175</v>
      </c>
      <c r="D1735" s="4">
        <f>VLOOKUP(Googleadssales[[#This Row],[Ad_ID]],'[1]pre processed data'!A:E,5,0)</f>
        <v>5484</v>
      </c>
      <c r="E1735" s="5" t="str">
        <f>VLOOKUP(Googleadssales[[#This Row],[Ad_ID]],[1]!Table3[[Ad_ID]:[Cost-imputed]],7,0)</f>
        <v>$186.91</v>
      </c>
      <c r="F1735" s="4">
        <f>VLOOKUP(Googleadssales[[#This Row],[Ad_ID]],'[1]pre processed data'!A:I,9,0)</f>
        <v>14</v>
      </c>
      <c r="G1735" s="4">
        <f>VLOOKUP(Googleadssales[[#This Row],[Ad_ID]],'[1]pre processed data'!A:K,11,0)</f>
        <v>3</v>
      </c>
      <c r="H1735" s="2">
        <f>Googleadssales[[#This Row],[Conversions]]/Googleadssales[[#This Row],[Clicks]]</f>
        <v>1.7142857142857144E-2</v>
      </c>
      <c r="I1735" t="str">
        <f>VLOOKUP(Googleadssales[[#This Row],[Ad_ID]],'[1]pre processed data'!A:O,15,0)</f>
        <v>$1728</v>
      </c>
      <c r="J1735" s="3">
        <f>VLOOKUP(Googleadssales[[#This Row],[Ad_ID]],'[1]pre processed data'!A:Q,17,0)</f>
        <v>45614</v>
      </c>
      <c r="K1735" t="str">
        <f>VLOOKUP(Googleadssales[[#This Row],[Ad_ID]],'[1]pre processed data'!A:R,18,0)</f>
        <v>Hyderabad</v>
      </c>
      <c r="L1735" t="str">
        <f>VLOOKUP(Googleadssales[[#This Row],[Ad_ID]],'[1]pre processed data'!A:S,19,0)</f>
        <v>Desktop</v>
      </c>
      <c r="M1735" t="str">
        <f>VLOOKUP(Googleadssales[[#This Row],[Ad_ID]],'[1]pre processed data'!A:T,20,0)</f>
        <v>analytics for data</v>
      </c>
    </row>
    <row r="1736" spans="1:13" x14ac:dyDescent="0.3">
      <c r="A1736" t="s">
        <v>1749</v>
      </c>
      <c r="B1736" t="s">
        <v>18</v>
      </c>
      <c r="C1736" s="4">
        <f>VLOOKUP(Googleadssales[[#This Row],[Ad_ID]],'[1]pre processed data'!A:C,3,0)</f>
        <v>121</v>
      </c>
      <c r="D1736" s="4">
        <f>VLOOKUP(Googleadssales[[#This Row],[Ad_ID]],'[1]pre processed data'!A:E,5,0)</f>
        <v>3633</v>
      </c>
      <c r="E1736" s="5" t="str">
        <f>VLOOKUP(Googleadssales[[#This Row],[Ad_ID]],[1]!Table3[[Ad_ID]:[Cost-imputed]],7,0)</f>
        <v>$190.82</v>
      </c>
      <c r="F1736" s="4">
        <f>VLOOKUP(Googleadssales[[#This Row],[Ad_ID]],'[1]pre processed data'!A:I,9,0)</f>
        <v>16</v>
      </c>
      <c r="G1736" s="4">
        <f>VLOOKUP(Googleadssales[[#This Row],[Ad_ID]],'[1]pre processed data'!A:K,11,0)</f>
        <v>5</v>
      </c>
      <c r="H1736" s="2">
        <f>Googleadssales[[#This Row],[Conversions]]/Googleadssales[[#This Row],[Clicks]]</f>
        <v>4.1322314049586778E-2</v>
      </c>
      <c r="I1736" t="str">
        <f>VLOOKUP(Googleadssales[[#This Row],[Ad_ID]],'[1]pre processed data'!A:O,15,0)</f>
        <v>$1157</v>
      </c>
      <c r="J1736" s="3">
        <f>VLOOKUP(Googleadssales[[#This Row],[Ad_ID]],'[1]pre processed data'!A:Q,17,0)</f>
        <v>45612</v>
      </c>
      <c r="K1736" t="str">
        <f>VLOOKUP(Googleadssales[[#This Row],[Ad_ID]],'[1]pre processed data'!A:R,18,0)</f>
        <v>Hyderabad</v>
      </c>
      <c r="L1736" t="str">
        <f>VLOOKUP(Googleadssales[[#This Row],[Ad_ID]],'[1]pre processed data'!A:S,19,0)</f>
        <v>Tablet</v>
      </c>
      <c r="M1736" t="str">
        <f>VLOOKUP(Googleadssales[[#This Row],[Ad_ID]],'[1]pre processed data'!A:T,20,0)</f>
        <v>data analytics online</v>
      </c>
    </row>
    <row r="1737" spans="1:13" x14ac:dyDescent="0.3">
      <c r="A1737" t="s">
        <v>1750</v>
      </c>
      <c r="B1737" t="s">
        <v>14</v>
      </c>
      <c r="C1737" s="4">
        <f>VLOOKUP(Googleadssales[[#This Row],[Ad_ID]],'[1]pre processed data'!A:C,3,0)</f>
        <v>85</v>
      </c>
      <c r="D1737" s="4">
        <f>VLOOKUP(Googleadssales[[#This Row],[Ad_ID]],'[1]pre processed data'!A:E,5,0)</f>
        <v>4523.2808326787117</v>
      </c>
      <c r="E1737" s="5" t="str">
        <f>VLOOKUP(Googleadssales[[#This Row],[Ad_ID]],[1]!Table3[[Ad_ID]:[Cost-imputed]],7,0)</f>
        <v>$190.32</v>
      </c>
      <c r="F1737" s="4">
        <f>VLOOKUP(Googleadssales[[#This Row],[Ad_ID]],'[1]pre processed data'!A:I,9,0)</f>
        <v>13</v>
      </c>
      <c r="G1737" s="4">
        <f>VLOOKUP(Googleadssales[[#This Row],[Ad_ID]],'[1]pre processed data'!A:K,11,0)</f>
        <v>9</v>
      </c>
      <c r="H1737" s="2">
        <f>Googleadssales[[#This Row],[Conversions]]/Googleadssales[[#This Row],[Clicks]]</f>
        <v>0.10588235294117647</v>
      </c>
      <c r="I1737" t="str">
        <f>VLOOKUP(Googleadssales[[#This Row],[Ad_ID]],'[1]pre processed data'!A:O,15,0)</f>
        <v>$1301</v>
      </c>
      <c r="J1737" s="3">
        <f>VLOOKUP(Googleadssales[[#This Row],[Ad_ID]],'[1]pre processed data'!A:Q,17,0)</f>
        <v>45603</v>
      </c>
      <c r="K1737" t="str">
        <f>VLOOKUP(Googleadssales[[#This Row],[Ad_ID]],'[1]pre processed data'!A:R,18,0)</f>
        <v>Hyderabad</v>
      </c>
      <c r="L1737" t="str">
        <f>VLOOKUP(Googleadssales[[#This Row],[Ad_ID]],'[1]pre processed data'!A:S,19,0)</f>
        <v>Desktop</v>
      </c>
      <c r="M1737" t="str">
        <f>VLOOKUP(Googleadssales[[#This Row],[Ad_ID]],'[1]pre processed data'!A:T,20,0)</f>
        <v>data analytics online</v>
      </c>
    </row>
    <row r="1738" spans="1:13" x14ac:dyDescent="0.3">
      <c r="A1738" t="s">
        <v>1751</v>
      </c>
      <c r="B1738" t="s">
        <v>18</v>
      </c>
      <c r="C1738" s="4">
        <f>VLOOKUP(Googleadssales[[#This Row],[Ad_ID]],'[1]pre processed data'!A:C,3,0)</f>
        <v>176</v>
      </c>
      <c r="D1738" s="4">
        <f>VLOOKUP(Googleadssales[[#This Row],[Ad_ID]],'[1]pre processed data'!A:E,5,0)</f>
        <v>4474</v>
      </c>
      <c r="E1738" s="5" t="str">
        <f>VLOOKUP(Googleadssales[[#This Row],[Ad_ID]],[1]!Table3[[Ad_ID]:[Cost-imputed]],7,0)</f>
        <v>$215.93</v>
      </c>
      <c r="F1738" s="4">
        <f>VLOOKUP(Googleadssales[[#This Row],[Ad_ID]],'[1]pre processed data'!A:I,9,0)</f>
        <v>28</v>
      </c>
      <c r="G1738" s="4">
        <f>VLOOKUP(Googleadssales[[#This Row],[Ad_ID]],'[1]pre processed data'!A:K,11,0)</f>
        <v>9</v>
      </c>
      <c r="H1738" s="2">
        <f>Googleadssales[[#This Row],[Conversions]]/Googleadssales[[#This Row],[Clicks]]</f>
        <v>5.113636363636364E-2</v>
      </c>
      <c r="I1738" t="str">
        <f>VLOOKUP(Googleadssales[[#This Row],[Ad_ID]],'[1]pre processed data'!A:O,15,0)</f>
        <v>$1214</v>
      </c>
      <c r="J1738" s="3">
        <f>VLOOKUP(Googleadssales[[#This Row],[Ad_ID]],'[1]pre processed data'!A:Q,17,0)</f>
        <v>45626</v>
      </c>
      <c r="K1738" t="str">
        <f>VLOOKUP(Googleadssales[[#This Row],[Ad_ID]],'[1]pre processed data'!A:R,18,0)</f>
        <v>Chennai</v>
      </c>
      <c r="L1738" t="str">
        <f>VLOOKUP(Googleadssales[[#This Row],[Ad_ID]],'[1]pre processed data'!A:S,19,0)</f>
        <v>Mobile</v>
      </c>
      <c r="M1738" t="str">
        <f>VLOOKUP(Googleadssales[[#This Row],[Ad_ID]],'[1]pre processed data'!A:T,20,0)</f>
        <v>data analytics online</v>
      </c>
    </row>
    <row r="1739" spans="1:13" x14ac:dyDescent="0.3">
      <c r="A1739" t="s">
        <v>1752</v>
      </c>
      <c r="B1739" t="s">
        <v>14</v>
      </c>
      <c r="C1739" s="4">
        <f>VLOOKUP(Googleadssales[[#This Row],[Ad_ID]],'[1]pre processed data'!A:C,3,0)</f>
        <v>174</v>
      </c>
      <c r="D1739" s="4">
        <f>VLOOKUP(Googleadssales[[#This Row],[Ad_ID]],'[1]pre processed data'!A:E,5,0)</f>
        <v>5282</v>
      </c>
      <c r="E1739" s="5" t="str">
        <f>VLOOKUP(Googleadssales[[#This Row],[Ad_ID]],[1]!Table3[[Ad_ID]:[Cost-imputed]],7,0)</f>
        <v>$240.85</v>
      </c>
      <c r="F1739" s="4">
        <f>VLOOKUP(Googleadssales[[#This Row],[Ad_ID]],'[1]pre processed data'!A:I,9,0)</f>
        <v>10</v>
      </c>
      <c r="G1739" s="4">
        <f>VLOOKUP(Googleadssales[[#This Row],[Ad_ID]],'[1]pre processed data'!A:K,11,0)</f>
        <v>4</v>
      </c>
      <c r="H1739" s="2">
        <f>Googleadssales[[#This Row],[Conversions]]/Googleadssales[[#This Row],[Clicks]]</f>
        <v>2.2988505747126436E-2</v>
      </c>
      <c r="I1739" t="str">
        <f>VLOOKUP(Googleadssales[[#This Row],[Ad_ID]],'[1]pre processed data'!A:O,15,0)</f>
        <v>$1481</v>
      </c>
      <c r="J1739" s="3">
        <f>VLOOKUP(Googleadssales[[#This Row],[Ad_ID]],'[1]pre processed data'!A:Q,17,0)</f>
        <v>45622</v>
      </c>
      <c r="K1739" t="str">
        <f>VLOOKUP(Googleadssales[[#This Row],[Ad_ID]],'[1]pre processed data'!A:R,18,0)</f>
        <v>Bangaluru</v>
      </c>
      <c r="L1739" t="str">
        <f>VLOOKUP(Googleadssales[[#This Row],[Ad_ID]],'[1]pre processed data'!A:S,19,0)</f>
        <v>Tablet</v>
      </c>
      <c r="M1739" t="str">
        <f>VLOOKUP(Googleadssales[[#This Row],[Ad_ID]],'[1]pre processed data'!A:T,20,0)</f>
        <v>data analytics course</v>
      </c>
    </row>
    <row r="1740" spans="1:13" x14ac:dyDescent="0.3">
      <c r="A1740" t="s">
        <v>1753</v>
      </c>
      <c r="B1740" t="s">
        <v>18</v>
      </c>
      <c r="C1740" s="4">
        <f>VLOOKUP(Googleadssales[[#This Row],[Ad_ID]],'[1]pre processed data'!A:C,3,0)</f>
        <v>180</v>
      </c>
      <c r="D1740" s="4">
        <f>VLOOKUP(Googleadssales[[#This Row],[Ad_ID]],'[1]pre processed data'!A:E,5,0)</f>
        <v>3778</v>
      </c>
      <c r="E1740" s="5" t="str">
        <f>VLOOKUP(Googleadssales[[#This Row],[Ad_ID]],[1]!Table3[[Ad_ID]:[Cost-imputed]],7,0)</f>
        <v>$214.66</v>
      </c>
      <c r="F1740" s="4">
        <f>VLOOKUP(Googleadssales[[#This Row],[Ad_ID]],'[1]pre processed data'!A:I,9,0)</f>
        <v>28</v>
      </c>
      <c r="G1740" s="4">
        <f>VLOOKUP(Googleadssales[[#This Row],[Ad_ID]],'[1]pre processed data'!A:K,11,0)</f>
        <v>4</v>
      </c>
      <c r="H1740" s="2">
        <f>Googleadssales[[#This Row],[Conversions]]/Googleadssales[[#This Row],[Clicks]]</f>
        <v>2.2222222222222223E-2</v>
      </c>
      <c r="I1740" t="str">
        <f>VLOOKUP(Googleadssales[[#This Row],[Ad_ID]],'[1]pre processed data'!A:O,15,0)</f>
        <v>$1733</v>
      </c>
      <c r="J1740" s="3">
        <f>VLOOKUP(Googleadssales[[#This Row],[Ad_ID]],'[1]pre processed data'!A:Q,17,0)</f>
        <v>45610</v>
      </c>
      <c r="K1740" t="str">
        <f>VLOOKUP(Googleadssales[[#This Row],[Ad_ID]],'[1]pre processed data'!A:R,18,0)</f>
        <v>Hyderabad</v>
      </c>
      <c r="L1740" t="str">
        <f>VLOOKUP(Googleadssales[[#This Row],[Ad_ID]],'[1]pre processed data'!A:S,19,0)</f>
        <v>Desktop</v>
      </c>
      <c r="M1740" t="str">
        <f>VLOOKUP(Googleadssales[[#This Row],[Ad_ID]],'[1]pre processed data'!A:T,20,0)</f>
        <v>data analytics course</v>
      </c>
    </row>
    <row r="1741" spans="1:13" x14ac:dyDescent="0.3">
      <c r="A1741" t="s">
        <v>1754</v>
      </c>
      <c r="B1741" t="s">
        <v>18</v>
      </c>
      <c r="C1741" s="4">
        <f>VLOOKUP(Googleadssales[[#This Row],[Ad_ID]],'[1]pre processed data'!A:C,3,0)</f>
        <v>156</v>
      </c>
      <c r="D1741" s="4">
        <f>VLOOKUP(Googleadssales[[#This Row],[Ad_ID]],'[1]pre processed data'!A:E,5,0)</f>
        <v>3361</v>
      </c>
      <c r="E1741" s="5" t="str">
        <f>VLOOKUP(Googleadssales[[#This Row],[Ad_ID]],[1]!Table3[[Ad_ID]:[Cost-imputed]],7,0)</f>
        <v>$183.12</v>
      </c>
      <c r="F1741" s="4">
        <f>VLOOKUP(Googleadssales[[#This Row],[Ad_ID]],'[1]pre processed data'!A:I,9,0)</f>
        <v>29</v>
      </c>
      <c r="G1741" s="4">
        <f>VLOOKUP(Googleadssales[[#This Row],[Ad_ID]],'[1]pre processed data'!A:K,11,0)</f>
        <v>9</v>
      </c>
      <c r="H1741" s="2">
        <f>Googleadssales[[#This Row],[Conversions]]/Googleadssales[[#This Row],[Clicks]]</f>
        <v>5.7692307692307696E-2</v>
      </c>
      <c r="I1741" t="str">
        <f>VLOOKUP(Googleadssales[[#This Row],[Ad_ID]],'[1]pre processed data'!A:O,15,0)</f>
        <v>$1241</v>
      </c>
      <c r="J1741" s="3">
        <f>VLOOKUP(Googleadssales[[#This Row],[Ad_ID]],'[1]pre processed data'!A:Q,17,0)</f>
        <v>45606</v>
      </c>
      <c r="K1741" t="str">
        <f>VLOOKUP(Googleadssales[[#This Row],[Ad_ID]],'[1]pre processed data'!A:R,18,0)</f>
        <v>Hyderabad</v>
      </c>
      <c r="L1741" t="str">
        <f>VLOOKUP(Googleadssales[[#This Row],[Ad_ID]],'[1]pre processed data'!A:S,19,0)</f>
        <v>Desktop</v>
      </c>
      <c r="M1741" t="str">
        <f>VLOOKUP(Googleadssales[[#This Row],[Ad_ID]],'[1]pre processed data'!A:T,20,0)</f>
        <v>data analytics online</v>
      </c>
    </row>
    <row r="1742" spans="1:13" x14ac:dyDescent="0.3">
      <c r="A1742" t="s">
        <v>1755</v>
      </c>
      <c r="B1742" t="s">
        <v>14</v>
      </c>
      <c r="C1742" s="4">
        <f>VLOOKUP(Googleadssales[[#This Row],[Ad_ID]],'[1]pre processed data'!A:C,3,0)</f>
        <v>138.95699356913184</v>
      </c>
      <c r="D1742" s="4">
        <f>VLOOKUP(Googleadssales[[#This Row],[Ad_ID]],'[1]pre processed data'!A:E,5,0)</f>
        <v>5877</v>
      </c>
      <c r="E1742" s="5" t="str">
        <f>VLOOKUP(Googleadssales[[#This Row],[Ad_ID]],[1]!Table3[[Ad_ID]:[Cost-imputed]],7,0)</f>
        <v>$223.87</v>
      </c>
      <c r="F1742" s="4">
        <f>VLOOKUP(Googleadssales[[#This Row],[Ad_ID]],'[1]pre processed data'!A:I,9,0)</f>
        <v>21</v>
      </c>
      <c r="G1742" s="4">
        <f>VLOOKUP(Googleadssales[[#This Row],[Ad_ID]],'[1]pre processed data'!A:K,11,0)</f>
        <v>9</v>
      </c>
      <c r="H1742" s="2">
        <f>Googleadssales[[#This Row],[Conversions]]/Googleadssales[[#This Row],[Clicks]]</f>
        <v>6.4768240653698753E-2</v>
      </c>
      <c r="I1742" t="str">
        <f>VLOOKUP(Googleadssales[[#This Row],[Ad_ID]],'[1]pre processed data'!A:O,15,0)</f>
        <v>$1866</v>
      </c>
      <c r="J1742" s="3">
        <f>VLOOKUP(Googleadssales[[#This Row],[Ad_ID]],'[1]pre processed data'!A:Q,17,0)</f>
        <v>45624</v>
      </c>
      <c r="K1742" t="str">
        <f>VLOOKUP(Googleadssales[[#This Row],[Ad_ID]],'[1]pre processed data'!A:R,18,0)</f>
        <v>Chennai</v>
      </c>
      <c r="L1742" t="str">
        <f>VLOOKUP(Googleadssales[[#This Row],[Ad_ID]],'[1]pre processed data'!A:S,19,0)</f>
        <v>Mobile</v>
      </c>
      <c r="M1742" t="str">
        <f>VLOOKUP(Googleadssales[[#This Row],[Ad_ID]],'[1]pre processed data'!A:T,20,0)</f>
        <v>analytics for data</v>
      </c>
    </row>
    <row r="1743" spans="1:13" x14ac:dyDescent="0.3">
      <c r="A1743" t="s">
        <v>1756</v>
      </c>
      <c r="B1743" t="s">
        <v>14</v>
      </c>
      <c r="C1743" s="4">
        <f>VLOOKUP(Googleadssales[[#This Row],[Ad_ID]],'[1]pre processed data'!A:C,3,0)</f>
        <v>161</v>
      </c>
      <c r="D1743" s="4">
        <f>VLOOKUP(Googleadssales[[#This Row],[Ad_ID]],'[1]pre processed data'!A:E,5,0)</f>
        <v>5656</v>
      </c>
      <c r="E1743" s="5" t="str">
        <f>VLOOKUP(Googleadssales[[#This Row],[Ad_ID]],[1]!Table3[[Ad_ID]:[Cost-imputed]],7,0)</f>
        <v>$237.69</v>
      </c>
      <c r="F1743" s="4">
        <f>VLOOKUP(Googleadssales[[#This Row],[Ad_ID]],'[1]pre processed data'!A:I,9,0)</f>
        <v>12</v>
      </c>
      <c r="G1743" s="4">
        <f>VLOOKUP(Googleadssales[[#This Row],[Ad_ID]],'[1]pre processed data'!A:K,11,0)</f>
        <v>4</v>
      </c>
      <c r="H1743" s="2">
        <f>Googleadssales[[#This Row],[Conversions]]/Googleadssales[[#This Row],[Clicks]]</f>
        <v>2.4844720496894408E-2</v>
      </c>
      <c r="I1743" t="str">
        <f>VLOOKUP(Googleadssales[[#This Row],[Ad_ID]],'[1]pre processed data'!A:O,15,0)</f>
        <v>$1262</v>
      </c>
      <c r="J1743" s="3">
        <f>VLOOKUP(Googleadssales[[#This Row],[Ad_ID]],'[1]pre processed data'!A:Q,17,0)</f>
        <v>45625</v>
      </c>
      <c r="K1743" t="str">
        <f>VLOOKUP(Googleadssales[[#This Row],[Ad_ID]],'[1]pre processed data'!A:R,18,0)</f>
        <v>Hyderabad</v>
      </c>
      <c r="L1743" t="str">
        <f>VLOOKUP(Googleadssales[[#This Row],[Ad_ID]],'[1]pre processed data'!A:S,19,0)</f>
        <v>Mobile</v>
      </c>
      <c r="M1743" t="str">
        <f>VLOOKUP(Googleadssales[[#This Row],[Ad_ID]],'[1]pre processed data'!A:T,20,0)</f>
        <v>online data analytic</v>
      </c>
    </row>
    <row r="1744" spans="1:13" x14ac:dyDescent="0.3">
      <c r="A1744" t="s">
        <v>1757</v>
      </c>
      <c r="B1744" t="s">
        <v>14</v>
      </c>
      <c r="C1744" s="4">
        <f>VLOOKUP(Googleadssales[[#This Row],[Ad_ID]],'[1]pre processed data'!A:C,3,0)</f>
        <v>87</v>
      </c>
      <c r="D1744" s="4">
        <f>VLOOKUP(Googleadssales[[#This Row],[Ad_ID]],'[1]pre processed data'!A:E,5,0)</f>
        <v>3061</v>
      </c>
      <c r="E1744" s="5" t="str">
        <f>VLOOKUP(Googleadssales[[#This Row],[Ad_ID]],[1]!Table3[[Ad_ID]:[Cost-imputed]],7,0)</f>
        <v>$192.29</v>
      </c>
      <c r="F1744" s="4">
        <f>VLOOKUP(Googleadssales[[#This Row],[Ad_ID]],'[1]pre processed data'!A:I,9,0)</f>
        <v>15</v>
      </c>
      <c r="G1744" s="4">
        <f>VLOOKUP(Googleadssales[[#This Row],[Ad_ID]],'[1]pre processed data'!A:K,11,0)</f>
        <v>6</v>
      </c>
      <c r="H1744" s="2">
        <f>Googleadssales[[#This Row],[Conversions]]/Googleadssales[[#This Row],[Clicks]]</f>
        <v>6.8965517241379309E-2</v>
      </c>
      <c r="I1744" t="str">
        <f>VLOOKUP(Googleadssales[[#This Row],[Ad_ID]],'[1]pre processed data'!A:O,15,0)</f>
        <v>$1506</v>
      </c>
      <c r="J1744" s="3">
        <f>VLOOKUP(Googleadssales[[#This Row],[Ad_ID]],'[1]pre processed data'!A:Q,17,0)</f>
        <v>45616</v>
      </c>
      <c r="K1744" t="str">
        <f>VLOOKUP(Googleadssales[[#This Row],[Ad_ID]],'[1]pre processed data'!A:R,18,0)</f>
        <v>Hyderabad</v>
      </c>
      <c r="L1744" t="str">
        <f>VLOOKUP(Googleadssales[[#This Row],[Ad_ID]],'[1]pre processed data'!A:S,19,0)</f>
        <v>Tablet</v>
      </c>
      <c r="M1744" t="str">
        <f>VLOOKUP(Googleadssales[[#This Row],[Ad_ID]],'[1]pre processed data'!A:T,20,0)</f>
        <v>data analytics online</v>
      </c>
    </row>
    <row r="1745" spans="1:13" x14ac:dyDescent="0.3">
      <c r="A1745" t="s">
        <v>1758</v>
      </c>
      <c r="B1745" t="s">
        <v>14</v>
      </c>
      <c r="C1745" s="4">
        <f>VLOOKUP(Googleadssales[[#This Row],[Ad_ID]],'[1]pre processed data'!A:C,3,0)</f>
        <v>126</v>
      </c>
      <c r="D1745" s="4">
        <f>VLOOKUP(Googleadssales[[#This Row],[Ad_ID]],'[1]pre processed data'!A:E,5,0)</f>
        <v>4569</v>
      </c>
      <c r="E1745" s="5" t="str">
        <f>VLOOKUP(Googleadssales[[#This Row],[Ad_ID]],[1]!Table3[[Ad_ID]:[Cost-imputed]],7,0)</f>
        <v>$204.13</v>
      </c>
      <c r="F1745" s="4">
        <f>VLOOKUP(Googleadssales[[#This Row],[Ad_ID]],'[1]pre processed data'!A:I,9,0)</f>
        <v>10</v>
      </c>
      <c r="G1745" s="4">
        <f>VLOOKUP(Googleadssales[[#This Row],[Ad_ID]],'[1]pre processed data'!A:K,11,0)</f>
        <v>4</v>
      </c>
      <c r="H1745" s="2">
        <f>Googleadssales[[#This Row],[Conversions]]/Googleadssales[[#This Row],[Clicks]]</f>
        <v>3.1746031746031744E-2</v>
      </c>
      <c r="I1745" t="str">
        <f>VLOOKUP(Googleadssales[[#This Row],[Ad_ID]],'[1]pre processed data'!A:O,15,0)</f>
        <v>$1037</v>
      </c>
      <c r="J1745" s="3">
        <f>VLOOKUP(Googleadssales[[#This Row],[Ad_ID]],'[1]pre processed data'!A:Q,17,0)</f>
        <v>45599</v>
      </c>
      <c r="K1745" t="str">
        <f>VLOOKUP(Googleadssales[[#This Row],[Ad_ID]],'[1]pre processed data'!A:R,18,0)</f>
        <v>Chennai</v>
      </c>
      <c r="L1745" t="str">
        <f>VLOOKUP(Googleadssales[[#This Row],[Ad_ID]],'[1]pre processed data'!A:S,19,0)</f>
        <v>Tablet</v>
      </c>
      <c r="M1745" t="str">
        <f>VLOOKUP(Googleadssales[[#This Row],[Ad_ID]],'[1]pre processed data'!A:T,20,0)</f>
        <v>learn data analytics</v>
      </c>
    </row>
    <row r="1746" spans="1:13" x14ac:dyDescent="0.3">
      <c r="A1746" t="s">
        <v>1759</v>
      </c>
      <c r="B1746" t="s">
        <v>14</v>
      </c>
      <c r="C1746" s="4">
        <f>VLOOKUP(Googleadssales[[#This Row],[Ad_ID]],'[1]pre processed data'!A:C,3,0)</f>
        <v>151</v>
      </c>
      <c r="D1746" s="4">
        <f>VLOOKUP(Googleadssales[[#This Row],[Ad_ID]],'[1]pre processed data'!A:E,5,0)</f>
        <v>5067</v>
      </c>
      <c r="E1746" s="5" t="str">
        <f>VLOOKUP(Googleadssales[[#This Row],[Ad_ID]],[1]!Table3[[Ad_ID]:[Cost-imputed]],7,0)</f>
        <v>$199.12</v>
      </c>
      <c r="F1746" s="4">
        <f>VLOOKUP(Googleadssales[[#This Row],[Ad_ID]],'[1]pre processed data'!A:I,9,0)</f>
        <v>13</v>
      </c>
      <c r="G1746" s="4">
        <f>VLOOKUP(Googleadssales[[#This Row],[Ad_ID]],'[1]pre processed data'!A:K,11,0)</f>
        <v>5</v>
      </c>
      <c r="H1746" s="2">
        <f>Googleadssales[[#This Row],[Conversions]]/Googleadssales[[#This Row],[Clicks]]</f>
        <v>3.3112582781456956E-2</v>
      </c>
      <c r="I1746" t="str">
        <f>VLOOKUP(Googleadssales[[#This Row],[Ad_ID]],'[1]pre processed data'!A:O,15,0)</f>
        <v>$1669</v>
      </c>
      <c r="J1746" s="3">
        <f>VLOOKUP(Googleadssales[[#This Row],[Ad_ID]],'[1]pre processed data'!A:Q,17,0)</f>
        <v>45623</v>
      </c>
      <c r="K1746" t="str">
        <f>VLOOKUP(Googleadssales[[#This Row],[Ad_ID]],'[1]pre processed data'!A:R,18,0)</f>
        <v>Chennai</v>
      </c>
      <c r="L1746" t="str">
        <f>VLOOKUP(Googleadssales[[#This Row],[Ad_ID]],'[1]pre processed data'!A:S,19,0)</f>
        <v>Mobile</v>
      </c>
      <c r="M1746" t="str">
        <f>VLOOKUP(Googleadssales[[#This Row],[Ad_ID]],'[1]pre processed data'!A:T,20,0)</f>
        <v>data analytics training</v>
      </c>
    </row>
    <row r="1747" spans="1:13" x14ac:dyDescent="0.3">
      <c r="A1747" t="s">
        <v>1760</v>
      </c>
      <c r="B1747" t="s">
        <v>14</v>
      </c>
      <c r="C1747" s="4">
        <f>VLOOKUP(Googleadssales[[#This Row],[Ad_ID]],'[1]pre processed data'!A:C,3,0)</f>
        <v>85</v>
      </c>
      <c r="D1747" s="4">
        <f>VLOOKUP(Googleadssales[[#This Row],[Ad_ID]],'[1]pre processed data'!A:E,5,0)</f>
        <v>5612</v>
      </c>
      <c r="E1747" s="5" t="str">
        <f>VLOOKUP(Googleadssales[[#This Row],[Ad_ID]],[1]!Table3[[Ad_ID]:[Cost-imputed]],7,0)</f>
        <v>$245.87</v>
      </c>
      <c r="F1747" s="4">
        <f>VLOOKUP(Googleadssales[[#This Row],[Ad_ID]],'[1]pre processed data'!A:I,9,0)</f>
        <v>12</v>
      </c>
      <c r="G1747" s="4">
        <f>VLOOKUP(Googleadssales[[#This Row],[Ad_ID]],'[1]pre processed data'!A:K,11,0)</f>
        <v>7</v>
      </c>
      <c r="H1747" s="2">
        <f>Googleadssales[[#This Row],[Conversions]]/Googleadssales[[#This Row],[Clicks]]</f>
        <v>8.2352941176470587E-2</v>
      </c>
      <c r="I1747" t="str">
        <f>VLOOKUP(Googleadssales[[#This Row],[Ad_ID]],'[1]pre processed data'!A:O,15,0)</f>
        <v>$1124</v>
      </c>
      <c r="J1747" s="3">
        <f>VLOOKUP(Googleadssales[[#This Row],[Ad_ID]],'[1]pre processed data'!A:Q,17,0)</f>
        <v>45612</v>
      </c>
      <c r="K1747" t="str">
        <f>VLOOKUP(Googleadssales[[#This Row],[Ad_ID]],'[1]pre processed data'!A:R,18,0)</f>
        <v>Chennai</v>
      </c>
      <c r="L1747" t="str">
        <f>VLOOKUP(Googleadssales[[#This Row],[Ad_ID]],'[1]pre processed data'!A:S,19,0)</f>
        <v>Mobile</v>
      </c>
      <c r="M1747" t="str">
        <f>VLOOKUP(Googleadssales[[#This Row],[Ad_ID]],'[1]pre processed data'!A:T,20,0)</f>
        <v>learn data analytics</v>
      </c>
    </row>
    <row r="1748" spans="1:13" x14ac:dyDescent="0.3">
      <c r="A1748" t="s">
        <v>1761</v>
      </c>
      <c r="B1748" t="s">
        <v>14</v>
      </c>
      <c r="C1748" s="4">
        <f>VLOOKUP(Googleadssales[[#This Row],[Ad_ID]],'[1]pre processed data'!A:C,3,0)</f>
        <v>104</v>
      </c>
      <c r="D1748" s="4">
        <f>VLOOKUP(Googleadssales[[#This Row],[Ad_ID]],'[1]pre processed data'!A:E,5,0)</f>
        <v>4627</v>
      </c>
      <c r="E1748" s="5" t="str">
        <f>VLOOKUP(Googleadssales[[#This Row],[Ad_ID]],[1]!Table3[[Ad_ID]:[Cost-imputed]],7,0)</f>
        <v>$200.98</v>
      </c>
      <c r="F1748" s="4">
        <f>VLOOKUP(Googleadssales[[#This Row],[Ad_ID]],'[1]pre processed data'!A:I,9,0)</f>
        <v>28</v>
      </c>
      <c r="G1748" s="4">
        <f>VLOOKUP(Googleadssales[[#This Row],[Ad_ID]],'[1]pre processed data'!A:K,11,0)</f>
        <v>6</v>
      </c>
      <c r="H1748" s="2">
        <f>Googleadssales[[#This Row],[Conversions]]/Googleadssales[[#This Row],[Clicks]]</f>
        <v>5.7692307692307696E-2</v>
      </c>
      <c r="I1748" t="str">
        <f>VLOOKUP(Googleadssales[[#This Row],[Ad_ID]],'[1]pre processed data'!A:O,15,0)</f>
        <v>$1815</v>
      </c>
      <c r="J1748" s="3">
        <f>VLOOKUP(Googleadssales[[#This Row],[Ad_ID]],'[1]pre processed data'!A:Q,17,0)</f>
        <v>45612</v>
      </c>
      <c r="K1748" t="str">
        <f>VLOOKUP(Googleadssales[[#This Row],[Ad_ID]],'[1]pre processed data'!A:R,18,0)</f>
        <v>Hyderabad</v>
      </c>
      <c r="L1748" t="str">
        <f>VLOOKUP(Googleadssales[[#This Row],[Ad_ID]],'[1]pre processed data'!A:S,19,0)</f>
        <v>Tablet</v>
      </c>
      <c r="M1748" t="str">
        <f>VLOOKUP(Googleadssales[[#This Row],[Ad_ID]],'[1]pre processed data'!A:T,20,0)</f>
        <v>data analytics training</v>
      </c>
    </row>
    <row r="1749" spans="1:13" x14ac:dyDescent="0.3">
      <c r="A1749" t="s">
        <v>1762</v>
      </c>
      <c r="B1749" t="s">
        <v>14</v>
      </c>
      <c r="C1749" s="4">
        <f>VLOOKUP(Googleadssales[[#This Row],[Ad_ID]],'[1]pre processed data'!A:C,3,0)</f>
        <v>103</v>
      </c>
      <c r="D1749" s="4">
        <f>VLOOKUP(Googleadssales[[#This Row],[Ad_ID]],'[1]pre processed data'!A:E,5,0)</f>
        <v>4264</v>
      </c>
      <c r="E1749" s="5" t="str">
        <f>VLOOKUP(Googleadssales[[#This Row],[Ad_ID]],[1]!Table3[[Ad_ID]:[Cost-imputed]],7,0)</f>
        <v>$214.56</v>
      </c>
      <c r="F1749" s="4">
        <f>VLOOKUP(Googleadssales[[#This Row],[Ad_ID]],'[1]pre processed data'!A:I,9,0)</f>
        <v>27</v>
      </c>
      <c r="G1749" s="4">
        <f>VLOOKUP(Googleadssales[[#This Row],[Ad_ID]],'[1]pre processed data'!A:K,11,0)</f>
        <v>4</v>
      </c>
      <c r="H1749" s="2">
        <f>Googleadssales[[#This Row],[Conversions]]/Googleadssales[[#This Row],[Clicks]]</f>
        <v>3.8834951456310676E-2</v>
      </c>
      <c r="I1749" t="str">
        <f>VLOOKUP(Googleadssales[[#This Row],[Ad_ID]],'[1]pre processed data'!A:O,15,0)</f>
        <v>$1804</v>
      </c>
      <c r="J1749" s="3">
        <f>VLOOKUP(Googleadssales[[#This Row],[Ad_ID]],'[1]pre processed data'!A:Q,17,0)</f>
        <v>45607</v>
      </c>
      <c r="K1749" t="str">
        <f>VLOOKUP(Googleadssales[[#This Row],[Ad_ID]],'[1]pre processed data'!A:R,18,0)</f>
        <v>Chennai</v>
      </c>
      <c r="L1749" t="str">
        <f>VLOOKUP(Googleadssales[[#This Row],[Ad_ID]],'[1]pre processed data'!A:S,19,0)</f>
        <v>Desktop</v>
      </c>
      <c r="M1749" t="str">
        <f>VLOOKUP(Googleadssales[[#This Row],[Ad_ID]],'[1]pre processed data'!A:T,20,0)</f>
        <v>learn data analytics</v>
      </c>
    </row>
    <row r="1750" spans="1:13" x14ac:dyDescent="0.3">
      <c r="A1750" t="s">
        <v>1763</v>
      </c>
      <c r="B1750" t="s">
        <v>18</v>
      </c>
      <c r="C1750" s="4">
        <f>VLOOKUP(Googleadssales[[#This Row],[Ad_ID]],'[1]pre processed data'!A:C,3,0)</f>
        <v>162</v>
      </c>
      <c r="D1750" s="4">
        <f>VLOOKUP(Googleadssales[[#This Row],[Ad_ID]],'[1]pre processed data'!A:E,5,0)</f>
        <v>5815</v>
      </c>
      <c r="E1750" s="5" t="str">
        <f>VLOOKUP(Googleadssales[[#This Row],[Ad_ID]],[1]!Table3[[Ad_ID]:[Cost-imputed]],7,0)</f>
        <v>$198.49</v>
      </c>
      <c r="F1750" s="4">
        <f>VLOOKUP(Googleadssales[[#This Row],[Ad_ID]],'[1]pre processed data'!A:I,9,0)</f>
        <v>11</v>
      </c>
      <c r="G1750" s="4">
        <f>VLOOKUP(Googleadssales[[#This Row],[Ad_ID]],'[1]pre processed data'!A:K,11,0)</f>
        <v>7</v>
      </c>
      <c r="H1750" s="2">
        <f>Googleadssales[[#This Row],[Conversions]]/Googleadssales[[#This Row],[Clicks]]</f>
        <v>4.3209876543209874E-2</v>
      </c>
      <c r="I1750" t="str">
        <f>VLOOKUP(Googleadssales[[#This Row],[Ad_ID]],'[1]pre processed data'!A:O,15,0)</f>
        <v>$1468</v>
      </c>
      <c r="J1750" s="3">
        <f>VLOOKUP(Googleadssales[[#This Row],[Ad_ID]],'[1]pre processed data'!A:Q,17,0)</f>
        <v>45619</v>
      </c>
      <c r="K1750" t="str">
        <f>VLOOKUP(Googleadssales[[#This Row],[Ad_ID]],'[1]pre processed data'!A:R,18,0)</f>
        <v>Hyderabad</v>
      </c>
      <c r="L1750" t="str">
        <f>VLOOKUP(Googleadssales[[#This Row],[Ad_ID]],'[1]pre processed data'!A:S,19,0)</f>
        <v>Tablet</v>
      </c>
      <c r="M1750" t="str">
        <f>VLOOKUP(Googleadssales[[#This Row],[Ad_ID]],'[1]pre processed data'!A:T,20,0)</f>
        <v>data analytics course</v>
      </c>
    </row>
    <row r="1751" spans="1:13" x14ac:dyDescent="0.3">
      <c r="A1751" t="s">
        <v>1764</v>
      </c>
      <c r="B1751" t="s">
        <v>14</v>
      </c>
      <c r="C1751" s="4">
        <f>VLOOKUP(Googleadssales[[#This Row],[Ad_ID]],'[1]pre processed data'!A:C,3,0)</f>
        <v>161</v>
      </c>
      <c r="D1751" s="4">
        <f>VLOOKUP(Googleadssales[[#This Row],[Ad_ID]],'[1]pre processed data'!A:E,5,0)</f>
        <v>3597</v>
      </c>
      <c r="E1751" s="5" t="str">
        <f>VLOOKUP(Googleadssales[[#This Row],[Ad_ID]],[1]!Table3[[Ad_ID]:[Cost-imputed]],7,0)</f>
        <v>$218.35</v>
      </c>
      <c r="F1751" s="4">
        <f>VLOOKUP(Googleadssales[[#This Row],[Ad_ID]],'[1]pre processed data'!A:I,9,0)</f>
        <v>29</v>
      </c>
      <c r="G1751" s="4">
        <f>VLOOKUP(Googleadssales[[#This Row],[Ad_ID]],'[1]pre processed data'!A:K,11,0)</f>
        <v>6</v>
      </c>
      <c r="H1751" s="2">
        <f>Googleadssales[[#This Row],[Conversions]]/Googleadssales[[#This Row],[Clicks]]</f>
        <v>3.7267080745341616E-2</v>
      </c>
      <c r="I1751" t="str">
        <f>VLOOKUP(Googleadssales[[#This Row],[Ad_ID]],'[1]pre processed data'!A:O,15,0)</f>
        <v>$1840</v>
      </c>
      <c r="J1751" s="3">
        <f>VLOOKUP(Googleadssales[[#This Row],[Ad_ID]],'[1]pre processed data'!A:Q,17,0)</f>
        <v>45602</v>
      </c>
      <c r="K1751" t="str">
        <f>VLOOKUP(Googleadssales[[#This Row],[Ad_ID]],'[1]pre processed data'!A:R,18,0)</f>
        <v>Hyderabad</v>
      </c>
      <c r="L1751" t="str">
        <f>VLOOKUP(Googleadssales[[#This Row],[Ad_ID]],'[1]pre processed data'!A:S,19,0)</f>
        <v>Tablet</v>
      </c>
      <c r="M1751" t="str">
        <f>VLOOKUP(Googleadssales[[#This Row],[Ad_ID]],'[1]pre processed data'!A:T,20,0)</f>
        <v>data analytics course</v>
      </c>
    </row>
    <row r="1752" spans="1:13" x14ac:dyDescent="0.3">
      <c r="A1752" t="s">
        <v>1765</v>
      </c>
      <c r="B1752" t="s">
        <v>14</v>
      </c>
      <c r="C1752" s="4">
        <f>VLOOKUP(Googleadssales[[#This Row],[Ad_ID]],'[1]pre processed data'!A:C,3,0)</f>
        <v>83</v>
      </c>
      <c r="D1752" s="4">
        <f>VLOOKUP(Googleadssales[[#This Row],[Ad_ID]],'[1]pre processed data'!A:E,5,0)</f>
        <v>5973</v>
      </c>
      <c r="E1752" s="5" t="str">
        <f>VLOOKUP(Googleadssales[[#This Row],[Ad_ID]],[1]!Table3[[Ad_ID]:[Cost-imputed]],7,0)</f>
        <v>$224.06</v>
      </c>
      <c r="F1752" s="4">
        <f>VLOOKUP(Googleadssales[[#This Row],[Ad_ID]],'[1]pre processed data'!A:I,9,0)</f>
        <v>25</v>
      </c>
      <c r="G1752" s="4">
        <f>VLOOKUP(Googleadssales[[#This Row],[Ad_ID]],'[1]pre processed data'!A:K,11,0)</f>
        <v>9</v>
      </c>
      <c r="H1752" s="2">
        <f>Googleadssales[[#This Row],[Conversions]]/Googleadssales[[#This Row],[Clicks]]</f>
        <v>0.10843373493975904</v>
      </c>
      <c r="I1752" t="str">
        <f>VLOOKUP(Googleadssales[[#This Row],[Ad_ID]],'[1]pre processed data'!A:O,15,0)</f>
        <v>$1197</v>
      </c>
      <c r="J1752" s="3">
        <f>VLOOKUP(Googleadssales[[#This Row],[Ad_ID]],'[1]pre processed data'!A:Q,17,0)</f>
        <v>45606</v>
      </c>
      <c r="K1752" t="str">
        <f>VLOOKUP(Googleadssales[[#This Row],[Ad_ID]],'[1]pre processed data'!A:R,18,0)</f>
        <v>Hyderabad</v>
      </c>
      <c r="L1752" t="str">
        <f>VLOOKUP(Googleadssales[[#This Row],[Ad_ID]],'[1]pre processed data'!A:S,19,0)</f>
        <v>Mobile</v>
      </c>
      <c r="M1752" t="str">
        <f>VLOOKUP(Googleadssales[[#This Row],[Ad_ID]],'[1]pre processed data'!A:T,20,0)</f>
        <v>analytics for data</v>
      </c>
    </row>
    <row r="1753" spans="1:13" x14ac:dyDescent="0.3">
      <c r="A1753" t="s">
        <v>1766</v>
      </c>
      <c r="B1753" t="s">
        <v>14</v>
      </c>
      <c r="C1753" s="4">
        <f>VLOOKUP(Googleadssales[[#This Row],[Ad_ID]],'[1]pre processed data'!A:C,3,0)</f>
        <v>165</v>
      </c>
      <c r="D1753" s="4">
        <f>VLOOKUP(Googleadssales[[#This Row],[Ad_ID]],'[1]pre processed data'!A:E,5,0)</f>
        <v>3430</v>
      </c>
      <c r="E1753" s="5" t="str">
        <f>VLOOKUP(Googleadssales[[#This Row],[Ad_ID]],[1]!Table3[[Ad_ID]:[Cost-imputed]],7,0)</f>
        <v>$248.59</v>
      </c>
      <c r="F1753" s="4">
        <f>VLOOKUP(Googleadssales[[#This Row],[Ad_ID]],'[1]pre processed data'!A:I,9,0)</f>
        <v>26</v>
      </c>
      <c r="G1753" s="4">
        <f>VLOOKUP(Googleadssales[[#This Row],[Ad_ID]],'[1]pre processed data'!A:K,11,0)</f>
        <v>8</v>
      </c>
      <c r="H1753" s="2">
        <f>Googleadssales[[#This Row],[Conversions]]/Googleadssales[[#This Row],[Clicks]]</f>
        <v>4.8484848484848485E-2</v>
      </c>
      <c r="I1753" t="str">
        <f>VLOOKUP(Googleadssales[[#This Row],[Ad_ID]],'[1]pre processed data'!A:O,15,0)</f>
        <v>$1056</v>
      </c>
      <c r="J1753" s="3">
        <f>VLOOKUP(Googleadssales[[#This Row],[Ad_ID]],'[1]pre processed data'!A:Q,17,0)</f>
        <v>45602</v>
      </c>
      <c r="K1753" t="str">
        <f>VLOOKUP(Googleadssales[[#This Row],[Ad_ID]],'[1]pre processed data'!A:R,18,0)</f>
        <v>Bangaluru</v>
      </c>
      <c r="L1753" t="str">
        <f>VLOOKUP(Googleadssales[[#This Row],[Ad_ID]],'[1]pre processed data'!A:S,19,0)</f>
        <v>Desktop</v>
      </c>
      <c r="M1753" t="str">
        <f>VLOOKUP(Googleadssales[[#This Row],[Ad_ID]],'[1]pre processed data'!A:T,20,0)</f>
        <v>analytics for data</v>
      </c>
    </row>
    <row r="1754" spans="1:13" x14ac:dyDescent="0.3">
      <c r="A1754" t="s">
        <v>1767</v>
      </c>
      <c r="B1754" t="s">
        <v>14</v>
      </c>
      <c r="C1754" s="4">
        <f>VLOOKUP(Googleadssales[[#This Row],[Ad_ID]],'[1]pre processed data'!A:C,3,0)</f>
        <v>134</v>
      </c>
      <c r="D1754" s="4">
        <f>VLOOKUP(Googleadssales[[#This Row],[Ad_ID]],'[1]pre processed data'!A:E,5,0)</f>
        <v>5085</v>
      </c>
      <c r="E1754" s="5" t="str">
        <f>VLOOKUP(Googleadssales[[#This Row],[Ad_ID]],[1]!Table3[[Ad_ID]:[Cost-imputed]],7,0)</f>
        <v>$186.1</v>
      </c>
      <c r="F1754" s="4">
        <f>VLOOKUP(Googleadssales[[#This Row],[Ad_ID]],'[1]pre processed data'!A:I,9,0)</f>
        <v>18</v>
      </c>
      <c r="G1754" s="4">
        <f>VLOOKUP(Googleadssales[[#This Row],[Ad_ID]],'[1]pre processed data'!A:K,11,0)</f>
        <v>8</v>
      </c>
      <c r="H1754" s="2">
        <f>Googleadssales[[#This Row],[Conversions]]/Googleadssales[[#This Row],[Clicks]]</f>
        <v>5.9701492537313432E-2</v>
      </c>
      <c r="I1754" t="str">
        <f>VLOOKUP(Googleadssales[[#This Row],[Ad_ID]],'[1]pre processed data'!A:O,15,0)</f>
        <v>$1033</v>
      </c>
      <c r="J1754" s="3">
        <f>VLOOKUP(Googleadssales[[#This Row],[Ad_ID]],'[1]pre processed data'!A:Q,17,0)</f>
        <v>45623</v>
      </c>
      <c r="K1754" t="str">
        <f>VLOOKUP(Googleadssales[[#This Row],[Ad_ID]],'[1]pre processed data'!A:R,18,0)</f>
        <v>Chennai</v>
      </c>
      <c r="L1754" t="str">
        <f>VLOOKUP(Googleadssales[[#This Row],[Ad_ID]],'[1]pre processed data'!A:S,19,0)</f>
        <v>Mobile</v>
      </c>
      <c r="M1754" t="str">
        <f>VLOOKUP(Googleadssales[[#This Row],[Ad_ID]],'[1]pre processed data'!A:T,20,0)</f>
        <v>data analytics course</v>
      </c>
    </row>
    <row r="1755" spans="1:13" x14ac:dyDescent="0.3">
      <c r="A1755" t="s">
        <v>1768</v>
      </c>
      <c r="B1755" t="s">
        <v>18</v>
      </c>
      <c r="C1755" s="4">
        <f>VLOOKUP(Googleadssales[[#This Row],[Ad_ID]],'[1]pre processed data'!A:C,3,0)</f>
        <v>126</v>
      </c>
      <c r="D1755" s="4">
        <f>VLOOKUP(Googleadssales[[#This Row],[Ad_ID]],'[1]pre processed data'!A:E,5,0)</f>
        <v>4906</v>
      </c>
      <c r="E1755" s="5" t="str">
        <f>VLOOKUP(Googleadssales[[#This Row],[Ad_ID]],[1]!Table3[[Ad_ID]:[Cost-imputed]],7,0)</f>
        <v>$222.92</v>
      </c>
      <c r="F1755" s="4">
        <f>VLOOKUP(Googleadssales[[#This Row],[Ad_ID]],'[1]pre processed data'!A:I,9,0)</f>
        <v>16</v>
      </c>
      <c r="G1755" s="4">
        <f>VLOOKUP(Googleadssales[[#This Row],[Ad_ID]],'[1]pre processed data'!A:K,11,0)</f>
        <v>9</v>
      </c>
      <c r="H1755" s="2">
        <f>Googleadssales[[#This Row],[Conversions]]/Googleadssales[[#This Row],[Clicks]]</f>
        <v>7.1428571428571425E-2</v>
      </c>
      <c r="I1755" t="str">
        <f>VLOOKUP(Googleadssales[[#This Row],[Ad_ID]],'[1]pre processed data'!A:O,15,0)</f>
        <v>$1443</v>
      </c>
      <c r="J1755" s="3">
        <f>VLOOKUP(Googleadssales[[#This Row],[Ad_ID]],'[1]pre processed data'!A:Q,17,0)</f>
        <v>45621</v>
      </c>
      <c r="K1755" t="str">
        <f>VLOOKUP(Googleadssales[[#This Row],[Ad_ID]],'[1]pre processed data'!A:R,18,0)</f>
        <v>Chennai</v>
      </c>
      <c r="L1755" t="str">
        <f>VLOOKUP(Googleadssales[[#This Row],[Ad_ID]],'[1]pre processed data'!A:S,19,0)</f>
        <v>Mobile</v>
      </c>
      <c r="M1755" t="str">
        <f>VLOOKUP(Googleadssales[[#This Row],[Ad_ID]],'[1]pre processed data'!A:T,20,0)</f>
        <v>learn data analytics</v>
      </c>
    </row>
    <row r="1756" spans="1:13" x14ac:dyDescent="0.3">
      <c r="A1756" t="s">
        <v>1769</v>
      </c>
      <c r="B1756" t="s">
        <v>14</v>
      </c>
      <c r="C1756" s="4">
        <f>VLOOKUP(Googleadssales[[#This Row],[Ad_ID]],'[1]pre processed data'!A:C,3,0)</f>
        <v>173</v>
      </c>
      <c r="D1756" s="4">
        <f>VLOOKUP(Googleadssales[[#This Row],[Ad_ID]],'[1]pre processed data'!A:E,5,0)</f>
        <v>5082</v>
      </c>
      <c r="E1756" s="5" t="str">
        <f>VLOOKUP(Googleadssales[[#This Row],[Ad_ID]],[1]!Table3[[Ad_ID]:[Cost-imputed]],7,0)</f>
        <v>$198.75</v>
      </c>
      <c r="F1756" s="4">
        <f>VLOOKUP(Googleadssales[[#This Row],[Ad_ID]],'[1]pre processed data'!A:I,9,0)</f>
        <v>16</v>
      </c>
      <c r="G1756" s="4">
        <f>VLOOKUP(Googleadssales[[#This Row],[Ad_ID]],'[1]pre processed data'!A:K,11,0)</f>
        <v>3</v>
      </c>
      <c r="H1756" s="2">
        <f>Googleadssales[[#This Row],[Conversions]]/Googleadssales[[#This Row],[Clicks]]</f>
        <v>1.7341040462427744E-2</v>
      </c>
      <c r="I1756" t="str">
        <f>VLOOKUP(Googleadssales[[#This Row],[Ad_ID]],'[1]pre processed data'!A:O,15,0)</f>
        <v>$1128</v>
      </c>
      <c r="J1756" s="3">
        <f>VLOOKUP(Googleadssales[[#This Row],[Ad_ID]],'[1]pre processed data'!A:Q,17,0)</f>
        <v>45610</v>
      </c>
      <c r="K1756" t="str">
        <f>VLOOKUP(Googleadssales[[#This Row],[Ad_ID]],'[1]pre processed data'!A:R,18,0)</f>
        <v>Bangaluru</v>
      </c>
      <c r="L1756" t="str">
        <f>VLOOKUP(Googleadssales[[#This Row],[Ad_ID]],'[1]pre processed data'!A:S,19,0)</f>
        <v>Tablet</v>
      </c>
      <c r="M1756" t="str">
        <f>VLOOKUP(Googleadssales[[#This Row],[Ad_ID]],'[1]pre processed data'!A:T,20,0)</f>
        <v>analytics for data</v>
      </c>
    </row>
    <row r="1757" spans="1:13" x14ac:dyDescent="0.3">
      <c r="A1757" t="s">
        <v>1770</v>
      </c>
      <c r="B1757" t="s">
        <v>14</v>
      </c>
      <c r="C1757" s="4">
        <f>VLOOKUP(Googleadssales[[#This Row],[Ad_ID]],'[1]pre processed data'!A:C,3,0)</f>
        <v>174</v>
      </c>
      <c r="D1757" s="4">
        <f>VLOOKUP(Googleadssales[[#This Row],[Ad_ID]],'[1]pre processed data'!A:E,5,0)</f>
        <v>4661</v>
      </c>
      <c r="E1757" s="5" t="str">
        <f>VLOOKUP(Googleadssales[[#This Row],[Ad_ID]],[1]!Table3[[Ad_ID]:[Cost-imputed]],7,0)</f>
        <v>$200.74</v>
      </c>
      <c r="F1757" s="4">
        <f>VLOOKUP(Googleadssales[[#This Row],[Ad_ID]],'[1]pre processed data'!A:I,9,0)</f>
        <v>20.284848484848485</v>
      </c>
      <c r="G1757" s="4">
        <f>VLOOKUP(Googleadssales[[#This Row],[Ad_ID]],'[1]pre processed data'!A:K,11,0)</f>
        <v>5</v>
      </c>
      <c r="H1757" s="2">
        <f>Googleadssales[[#This Row],[Conversions]]/Googleadssales[[#This Row],[Clicks]]</f>
        <v>2.8735632183908046E-2</v>
      </c>
      <c r="I1757" t="str">
        <f>VLOOKUP(Googleadssales[[#This Row],[Ad_ID]],'[1]pre processed data'!A:O,15,0)</f>
        <v>$1596</v>
      </c>
      <c r="J1757" s="3">
        <f>VLOOKUP(Googleadssales[[#This Row],[Ad_ID]],'[1]pre processed data'!A:Q,17,0)</f>
        <v>45616</v>
      </c>
      <c r="K1757" t="str">
        <f>VLOOKUP(Googleadssales[[#This Row],[Ad_ID]],'[1]pre processed data'!A:R,18,0)</f>
        <v>Bangaluru</v>
      </c>
      <c r="L1757" t="str">
        <f>VLOOKUP(Googleadssales[[#This Row],[Ad_ID]],'[1]pre processed data'!A:S,19,0)</f>
        <v>Desktop</v>
      </c>
      <c r="M1757" t="str">
        <f>VLOOKUP(Googleadssales[[#This Row],[Ad_ID]],'[1]pre processed data'!A:T,20,0)</f>
        <v>data analytics course</v>
      </c>
    </row>
    <row r="1758" spans="1:13" x14ac:dyDescent="0.3">
      <c r="A1758" t="s">
        <v>1771</v>
      </c>
      <c r="B1758" t="s">
        <v>14</v>
      </c>
      <c r="C1758" s="4">
        <f>VLOOKUP(Googleadssales[[#This Row],[Ad_ID]],'[1]pre processed data'!A:C,3,0)</f>
        <v>149</v>
      </c>
      <c r="D1758" s="4">
        <f>VLOOKUP(Googleadssales[[#This Row],[Ad_ID]],'[1]pre processed data'!A:E,5,0)</f>
        <v>3573</v>
      </c>
      <c r="E1758" s="5" t="str">
        <f>VLOOKUP(Googleadssales[[#This Row],[Ad_ID]],[1]!Table3[[Ad_ID]:[Cost-imputed]],7,0)</f>
        <v>$247.52</v>
      </c>
      <c r="F1758" s="4">
        <f>VLOOKUP(Googleadssales[[#This Row],[Ad_ID]],'[1]pre processed data'!A:I,9,0)</f>
        <v>20</v>
      </c>
      <c r="G1758" s="4">
        <f>VLOOKUP(Googleadssales[[#This Row],[Ad_ID]],'[1]pre processed data'!A:K,11,0)</f>
        <v>4</v>
      </c>
      <c r="H1758" s="2">
        <f>Googleadssales[[#This Row],[Conversions]]/Googleadssales[[#This Row],[Clicks]]</f>
        <v>2.6845637583892617E-2</v>
      </c>
      <c r="I1758" t="str">
        <f>VLOOKUP(Googleadssales[[#This Row],[Ad_ID]],'[1]pre processed data'!A:O,15,0)</f>
        <v>$1742</v>
      </c>
      <c r="J1758" s="3">
        <f>VLOOKUP(Googleadssales[[#This Row],[Ad_ID]],'[1]pre processed data'!A:Q,17,0)</f>
        <v>45599</v>
      </c>
      <c r="K1758" t="str">
        <f>VLOOKUP(Googleadssales[[#This Row],[Ad_ID]],'[1]pre processed data'!A:R,18,0)</f>
        <v>Hyderabad</v>
      </c>
      <c r="L1758" t="str">
        <f>VLOOKUP(Googleadssales[[#This Row],[Ad_ID]],'[1]pre processed data'!A:S,19,0)</f>
        <v>Mobile</v>
      </c>
      <c r="M1758" t="str">
        <f>VLOOKUP(Googleadssales[[#This Row],[Ad_ID]],'[1]pre processed data'!A:T,20,0)</f>
        <v>analytics for data</v>
      </c>
    </row>
    <row r="1759" spans="1:13" x14ac:dyDescent="0.3">
      <c r="A1759" t="s">
        <v>1772</v>
      </c>
      <c r="B1759" t="s">
        <v>14</v>
      </c>
      <c r="C1759" s="4">
        <f>VLOOKUP(Googleadssales[[#This Row],[Ad_ID]],'[1]pre processed data'!A:C,3,0)</f>
        <v>108</v>
      </c>
      <c r="D1759" s="4">
        <f>VLOOKUP(Googleadssales[[#This Row],[Ad_ID]],'[1]pre processed data'!A:E,5,0)</f>
        <v>5663</v>
      </c>
      <c r="E1759" s="5" t="str">
        <f>VLOOKUP(Googleadssales[[#This Row],[Ad_ID]],[1]!Table3[[Ad_ID]:[Cost-imputed]],7,0)</f>
        <v>$213.85</v>
      </c>
      <c r="F1759" s="4">
        <f>VLOOKUP(Googleadssales[[#This Row],[Ad_ID]],'[1]pre processed data'!A:I,9,0)</f>
        <v>20.285194174757283</v>
      </c>
      <c r="G1759" s="4">
        <f>VLOOKUP(Googleadssales[[#This Row],[Ad_ID]],'[1]pre processed data'!A:K,11,0)</f>
        <v>9</v>
      </c>
      <c r="H1759" s="2">
        <f>Googleadssales[[#This Row],[Conversions]]/Googleadssales[[#This Row],[Clicks]]</f>
        <v>8.3333333333333329E-2</v>
      </c>
      <c r="I1759" t="str">
        <f>VLOOKUP(Googleadssales[[#This Row],[Ad_ID]],'[1]pre processed data'!A:O,15,0)</f>
        <v>$1703</v>
      </c>
      <c r="J1759" s="3">
        <f>VLOOKUP(Googleadssales[[#This Row],[Ad_ID]],'[1]pre processed data'!A:Q,17,0)</f>
        <v>45613</v>
      </c>
      <c r="K1759" t="str">
        <f>VLOOKUP(Googleadssales[[#This Row],[Ad_ID]],'[1]pre processed data'!A:R,18,0)</f>
        <v>Hyderabad</v>
      </c>
      <c r="L1759" t="str">
        <f>VLOOKUP(Googleadssales[[#This Row],[Ad_ID]],'[1]pre processed data'!A:S,19,0)</f>
        <v>Desktop</v>
      </c>
      <c r="M1759" t="str">
        <f>VLOOKUP(Googleadssales[[#This Row],[Ad_ID]],'[1]pre processed data'!A:T,20,0)</f>
        <v>data analytics online</v>
      </c>
    </row>
    <row r="1760" spans="1:13" x14ac:dyDescent="0.3">
      <c r="A1760" t="s">
        <v>1773</v>
      </c>
      <c r="B1760" t="s">
        <v>14</v>
      </c>
      <c r="C1760" s="4">
        <f>VLOOKUP(Googleadssales[[#This Row],[Ad_ID]],'[1]pre processed data'!A:C,3,0)</f>
        <v>99</v>
      </c>
      <c r="D1760" s="4">
        <f>VLOOKUP(Googleadssales[[#This Row],[Ad_ID]],'[1]pre processed data'!A:E,5,0)</f>
        <v>4466</v>
      </c>
      <c r="E1760" s="5" t="str">
        <f>VLOOKUP(Googleadssales[[#This Row],[Ad_ID]],[1]!Table3[[Ad_ID]:[Cost-imputed]],7,0)</f>
        <v>$214.08</v>
      </c>
      <c r="F1760" s="4">
        <f>VLOOKUP(Googleadssales[[#This Row],[Ad_ID]],'[1]pre processed data'!A:I,9,0)</f>
        <v>14</v>
      </c>
      <c r="G1760" s="4">
        <f>VLOOKUP(Googleadssales[[#This Row],[Ad_ID]],'[1]pre processed data'!A:K,11,0)</f>
        <v>7</v>
      </c>
      <c r="H1760" s="2">
        <f>Googleadssales[[#This Row],[Conversions]]/Googleadssales[[#This Row],[Clicks]]</f>
        <v>7.0707070707070704E-2</v>
      </c>
      <c r="I1760" t="str">
        <f>VLOOKUP(Googleadssales[[#This Row],[Ad_ID]],'[1]pre processed data'!A:O,15,0)</f>
        <v>$1515</v>
      </c>
      <c r="J1760" s="3">
        <f>VLOOKUP(Googleadssales[[#This Row],[Ad_ID]],'[1]pre processed data'!A:Q,17,0)</f>
        <v>45611</v>
      </c>
      <c r="K1760" t="str">
        <f>VLOOKUP(Googleadssales[[#This Row],[Ad_ID]],'[1]pre processed data'!A:R,18,0)</f>
        <v>Chennai</v>
      </c>
      <c r="L1760" t="str">
        <f>VLOOKUP(Googleadssales[[#This Row],[Ad_ID]],'[1]pre processed data'!A:S,19,0)</f>
        <v>Desktop</v>
      </c>
      <c r="M1760" t="str">
        <f>VLOOKUP(Googleadssales[[#This Row],[Ad_ID]],'[1]pre processed data'!A:T,20,0)</f>
        <v>analytics for data</v>
      </c>
    </row>
    <row r="1761" spans="1:13" x14ac:dyDescent="0.3">
      <c r="A1761" t="s">
        <v>1774</v>
      </c>
      <c r="B1761" t="s">
        <v>14</v>
      </c>
      <c r="C1761" s="4">
        <f>VLOOKUP(Googleadssales[[#This Row],[Ad_ID]],'[1]pre processed data'!A:C,3,0)</f>
        <v>113</v>
      </c>
      <c r="D1761" s="4">
        <f>VLOOKUP(Googleadssales[[#This Row],[Ad_ID]],'[1]pre processed data'!A:E,5,0)</f>
        <v>3120</v>
      </c>
      <c r="E1761" s="5" t="str">
        <f>VLOOKUP(Googleadssales[[#This Row],[Ad_ID]],[1]!Table3[[Ad_ID]:[Cost-imputed]],7,0)</f>
        <v>$249.66</v>
      </c>
      <c r="F1761" s="4">
        <f>VLOOKUP(Googleadssales[[#This Row],[Ad_ID]],'[1]pre processed data'!A:I,9,0)</f>
        <v>20</v>
      </c>
      <c r="G1761" s="4">
        <f>VLOOKUP(Googleadssales[[#This Row],[Ad_ID]],'[1]pre processed data'!A:K,11,0)</f>
        <v>8</v>
      </c>
      <c r="H1761" s="2">
        <f>Googleadssales[[#This Row],[Conversions]]/Googleadssales[[#This Row],[Clicks]]</f>
        <v>7.0796460176991149E-2</v>
      </c>
      <c r="I1761" t="str">
        <f>VLOOKUP(Googleadssales[[#This Row],[Ad_ID]],'[1]pre processed data'!A:O,15,0)</f>
        <v>$1895</v>
      </c>
      <c r="J1761" s="3">
        <f>VLOOKUP(Googleadssales[[#This Row],[Ad_ID]],'[1]pre processed data'!A:Q,17,0)</f>
        <v>45623</v>
      </c>
      <c r="K1761" t="str">
        <f>VLOOKUP(Googleadssales[[#This Row],[Ad_ID]],'[1]pre processed data'!A:R,18,0)</f>
        <v>Chennai</v>
      </c>
      <c r="L1761" t="str">
        <f>VLOOKUP(Googleadssales[[#This Row],[Ad_ID]],'[1]pre processed data'!A:S,19,0)</f>
        <v>Mobile</v>
      </c>
      <c r="M1761" t="str">
        <f>VLOOKUP(Googleadssales[[#This Row],[Ad_ID]],'[1]pre processed data'!A:T,20,0)</f>
        <v>data analytics training</v>
      </c>
    </row>
    <row r="1762" spans="1:13" x14ac:dyDescent="0.3">
      <c r="A1762" t="s">
        <v>1775</v>
      </c>
      <c r="B1762" t="s">
        <v>14</v>
      </c>
      <c r="C1762" s="4">
        <f>VLOOKUP(Googleadssales[[#This Row],[Ad_ID]],'[1]pre processed data'!A:C,3,0)</f>
        <v>84</v>
      </c>
      <c r="D1762" s="4">
        <f>VLOOKUP(Googleadssales[[#This Row],[Ad_ID]],'[1]pre processed data'!A:E,5,0)</f>
        <v>3911</v>
      </c>
      <c r="E1762" s="5" t="str">
        <f>VLOOKUP(Googleadssales[[#This Row],[Ad_ID]],[1]!Table3[[Ad_ID]:[Cost-imputed]],7,0)</f>
        <v>$206.06</v>
      </c>
      <c r="F1762" s="4">
        <f>VLOOKUP(Googleadssales[[#This Row],[Ad_ID]],'[1]pre processed data'!A:I,9,0)</f>
        <v>13</v>
      </c>
      <c r="G1762" s="4">
        <f>VLOOKUP(Googleadssales[[#This Row],[Ad_ID]],'[1]pre processed data'!A:K,11,0)</f>
        <v>7</v>
      </c>
      <c r="H1762" s="2">
        <f>Googleadssales[[#This Row],[Conversions]]/Googleadssales[[#This Row],[Clicks]]</f>
        <v>8.3333333333333329E-2</v>
      </c>
      <c r="I1762" t="str">
        <f>VLOOKUP(Googleadssales[[#This Row],[Ad_ID]],'[1]pre processed data'!A:O,15,0)</f>
        <v>$1155</v>
      </c>
      <c r="J1762" s="3">
        <f>VLOOKUP(Googleadssales[[#This Row],[Ad_ID]],'[1]pre processed data'!A:Q,17,0)</f>
        <v>45614</v>
      </c>
      <c r="K1762" t="str">
        <f>VLOOKUP(Googleadssales[[#This Row],[Ad_ID]],'[1]pre processed data'!A:R,18,0)</f>
        <v>Bangaluru</v>
      </c>
      <c r="L1762" t="str">
        <f>VLOOKUP(Googleadssales[[#This Row],[Ad_ID]],'[1]pre processed data'!A:S,19,0)</f>
        <v>Tablet</v>
      </c>
      <c r="M1762" t="str">
        <f>VLOOKUP(Googleadssales[[#This Row],[Ad_ID]],'[1]pre processed data'!A:T,20,0)</f>
        <v>learn data analytics</v>
      </c>
    </row>
    <row r="1763" spans="1:13" x14ac:dyDescent="0.3">
      <c r="A1763" t="s">
        <v>1776</v>
      </c>
      <c r="B1763" t="s">
        <v>14</v>
      </c>
      <c r="C1763" s="4">
        <f>VLOOKUP(Googleadssales[[#This Row],[Ad_ID]],'[1]pre processed data'!A:C,3,0)</f>
        <v>182</v>
      </c>
      <c r="D1763" s="4">
        <f>VLOOKUP(Googleadssales[[#This Row],[Ad_ID]],'[1]pre processed data'!A:E,5,0)</f>
        <v>3458</v>
      </c>
      <c r="E1763" s="5" t="str">
        <f>VLOOKUP(Googleadssales[[#This Row],[Ad_ID]],[1]!Table3[[Ad_ID]:[Cost-imputed]],7,0)</f>
        <v>$186.51</v>
      </c>
      <c r="F1763" s="4">
        <f>VLOOKUP(Googleadssales[[#This Row],[Ad_ID]],'[1]pre processed data'!A:I,9,0)</f>
        <v>28</v>
      </c>
      <c r="G1763" s="4">
        <f>VLOOKUP(Googleadssales[[#This Row],[Ad_ID]],'[1]pre processed data'!A:K,11,0)</f>
        <v>9</v>
      </c>
      <c r="H1763" s="2">
        <f>Googleadssales[[#This Row],[Conversions]]/Googleadssales[[#This Row],[Clicks]]</f>
        <v>4.9450549450549448E-2</v>
      </c>
      <c r="I1763" t="str">
        <f>VLOOKUP(Googleadssales[[#This Row],[Ad_ID]],'[1]pre processed data'!A:O,15,0)</f>
        <v>$1982</v>
      </c>
      <c r="J1763" s="3">
        <f>VLOOKUP(Googleadssales[[#This Row],[Ad_ID]],'[1]pre processed data'!A:Q,17,0)</f>
        <v>45597</v>
      </c>
      <c r="K1763" t="str">
        <f>VLOOKUP(Googleadssales[[#This Row],[Ad_ID]],'[1]pre processed data'!A:R,18,0)</f>
        <v>Chennai</v>
      </c>
      <c r="L1763" t="str">
        <f>VLOOKUP(Googleadssales[[#This Row],[Ad_ID]],'[1]pre processed data'!A:S,19,0)</f>
        <v>Desktop</v>
      </c>
      <c r="M1763" t="str">
        <f>VLOOKUP(Googleadssales[[#This Row],[Ad_ID]],'[1]pre processed data'!A:T,20,0)</f>
        <v>learn data analytics</v>
      </c>
    </row>
    <row r="1764" spans="1:13" x14ac:dyDescent="0.3">
      <c r="A1764" t="s">
        <v>1777</v>
      </c>
      <c r="B1764" t="s">
        <v>14</v>
      </c>
      <c r="C1764" s="4">
        <f>VLOOKUP(Googleadssales[[#This Row],[Ad_ID]],'[1]pre processed data'!A:C,3,0)</f>
        <v>82</v>
      </c>
      <c r="D1764" s="4">
        <f>VLOOKUP(Googleadssales[[#This Row],[Ad_ID]],'[1]pre processed data'!A:E,5,0)</f>
        <v>3261</v>
      </c>
      <c r="E1764" s="5" t="str">
        <f>VLOOKUP(Googleadssales[[#This Row],[Ad_ID]],[1]!Table3[[Ad_ID]:[Cost-imputed]],7,0)</f>
        <v>$245.34</v>
      </c>
      <c r="F1764" s="4">
        <f>VLOOKUP(Googleadssales[[#This Row],[Ad_ID]],'[1]pre processed data'!A:I,9,0)</f>
        <v>30</v>
      </c>
      <c r="G1764" s="4">
        <f>VLOOKUP(Googleadssales[[#This Row],[Ad_ID]],'[1]pre processed data'!A:K,11,0)</f>
        <v>8</v>
      </c>
      <c r="H1764" s="2">
        <f>Googleadssales[[#This Row],[Conversions]]/Googleadssales[[#This Row],[Clicks]]</f>
        <v>9.7560975609756101E-2</v>
      </c>
      <c r="I1764" t="str">
        <f>VLOOKUP(Googleadssales[[#This Row],[Ad_ID]],'[1]pre processed data'!A:O,15,0)</f>
        <v>$1922</v>
      </c>
      <c r="J1764" s="3">
        <f>VLOOKUP(Googleadssales[[#This Row],[Ad_ID]],'[1]pre processed data'!A:Q,17,0)</f>
        <v>45605</v>
      </c>
      <c r="K1764" t="str">
        <f>VLOOKUP(Googleadssales[[#This Row],[Ad_ID]],'[1]pre processed data'!A:R,18,0)</f>
        <v>Bangaluru</v>
      </c>
      <c r="L1764" t="str">
        <f>VLOOKUP(Googleadssales[[#This Row],[Ad_ID]],'[1]pre processed data'!A:S,19,0)</f>
        <v>Desktop</v>
      </c>
      <c r="M1764" t="str">
        <f>VLOOKUP(Googleadssales[[#This Row],[Ad_ID]],'[1]pre processed data'!A:T,20,0)</f>
        <v>data analytics course</v>
      </c>
    </row>
    <row r="1765" spans="1:13" x14ac:dyDescent="0.3">
      <c r="A1765" t="s">
        <v>1778</v>
      </c>
      <c r="B1765" t="s">
        <v>18</v>
      </c>
      <c r="C1765" s="4">
        <f>VLOOKUP(Googleadssales[[#This Row],[Ad_ID]],'[1]pre processed data'!A:C,3,0)</f>
        <v>103</v>
      </c>
      <c r="D1765" s="4">
        <f>VLOOKUP(Googleadssales[[#This Row],[Ad_ID]],'[1]pre processed data'!A:E,5,0)</f>
        <v>3844</v>
      </c>
      <c r="E1765" s="5" t="str">
        <f>VLOOKUP(Googleadssales[[#This Row],[Ad_ID]],[1]!Table3[[Ad_ID]:[Cost-imputed]],7,0)</f>
        <v>$232.39</v>
      </c>
      <c r="F1765" s="4">
        <f>VLOOKUP(Googleadssales[[#This Row],[Ad_ID]],'[1]pre processed data'!A:I,9,0)</f>
        <v>13</v>
      </c>
      <c r="G1765" s="4">
        <f>VLOOKUP(Googleadssales[[#This Row],[Ad_ID]],'[1]pre processed data'!A:K,11,0)</f>
        <v>7</v>
      </c>
      <c r="H1765" s="2">
        <f>Googleadssales[[#This Row],[Conversions]]/Googleadssales[[#This Row],[Clicks]]</f>
        <v>6.7961165048543687E-2</v>
      </c>
      <c r="I1765" t="str">
        <f>VLOOKUP(Googleadssales[[#This Row],[Ad_ID]],'[1]pre processed data'!A:O,15,0)</f>
        <v>$1763</v>
      </c>
      <c r="J1765" s="3">
        <f>VLOOKUP(Googleadssales[[#This Row],[Ad_ID]],'[1]pre processed data'!A:Q,17,0)</f>
        <v>45621</v>
      </c>
      <c r="K1765" t="str">
        <f>VLOOKUP(Googleadssales[[#This Row],[Ad_ID]],'[1]pre processed data'!A:R,18,0)</f>
        <v>Hyderabad</v>
      </c>
      <c r="L1765" t="str">
        <f>VLOOKUP(Googleadssales[[#This Row],[Ad_ID]],'[1]pre processed data'!A:S,19,0)</f>
        <v>Mobile</v>
      </c>
      <c r="M1765" t="str">
        <f>VLOOKUP(Googleadssales[[#This Row],[Ad_ID]],'[1]pre processed data'!A:T,20,0)</f>
        <v>learn data analytics</v>
      </c>
    </row>
    <row r="1766" spans="1:13" x14ac:dyDescent="0.3">
      <c r="A1766" t="s">
        <v>1779</v>
      </c>
      <c r="B1766" t="s">
        <v>18</v>
      </c>
      <c r="C1766" s="4">
        <f>VLOOKUP(Googleadssales[[#This Row],[Ad_ID]],'[1]pre processed data'!A:C,3,0)</f>
        <v>117</v>
      </c>
      <c r="D1766" s="4">
        <f>VLOOKUP(Googleadssales[[#This Row],[Ad_ID]],'[1]pre processed data'!A:E,5,0)</f>
        <v>4298</v>
      </c>
      <c r="E1766" s="5" t="str">
        <f>VLOOKUP(Googleadssales[[#This Row],[Ad_ID]],[1]!Table3[[Ad_ID]:[Cost-imputed]],7,0)</f>
        <v>$227.92</v>
      </c>
      <c r="F1766" s="4">
        <f>VLOOKUP(Googleadssales[[#This Row],[Ad_ID]],'[1]pre processed data'!A:I,9,0)</f>
        <v>15</v>
      </c>
      <c r="G1766" s="4">
        <f>VLOOKUP(Googleadssales[[#This Row],[Ad_ID]],'[1]pre processed data'!A:K,11,0)</f>
        <v>8</v>
      </c>
      <c r="H1766" s="2">
        <f>Googleadssales[[#This Row],[Conversions]]/Googleadssales[[#This Row],[Clicks]]</f>
        <v>6.8376068376068383E-2</v>
      </c>
      <c r="I1766" t="str">
        <f>VLOOKUP(Googleadssales[[#This Row],[Ad_ID]],'[1]pre processed data'!A:O,15,0)</f>
        <v>$1512</v>
      </c>
      <c r="J1766" s="3">
        <f>VLOOKUP(Googleadssales[[#This Row],[Ad_ID]],'[1]pre processed data'!A:Q,17,0)</f>
        <v>45617</v>
      </c>
      <c r="K1766" t="str">
        <f>VLOOKUP(Googleadssales[[#This Row],[Ad_ID]],'[1]pre processed data'!A:R,18,0)</f>
        <v>Chennai</v>
      </c>
      <c r="L1766" t="str">
        <f>VLOOKUP(Googleadssales[[#This Row],[Ad_ID]],'[1]pre processed data'!A:S,19,0)</f>
        <v>Tablet</v>
      </c>
      <c r="M1766" t="str">
        <f>VLOOKUP(Googleadssales[[#This Row],[Ad_ID]],'[1]pre processed data'!A:T,20,0)</f>
        <v>online data analytic</v>
      </c>
    </row>
    <row r="1767" spans="1:13" x14ac:dyDescent="0.3">
      <c r="A1767" t="s">
        <v>1780</v>
      </c>
      <c r="B1767" t="s">
        <v>14</v>
      </c>
      <c r="C1767" s="4">
        <f>VLOOKUP(Googleadssales[[#This Row],[Ad_ID]],'[1]pre processed data'!A:C,3,0)</f>
        <v>93</v>
      </c>
      <c r="D1767" s="4">
        <f>VLOOKUP(Googleadssales[[#This Row],[Ad_ID]],'[1]pre processed data'!A:E,5,0)</f>
        <v>4998</v>
      </c>
      <c r="E1767" s="5" t="str">
        <f>VLOOKUP(Googleadssales[[#This Row],[Ad_ID]],[1]!Table3[[Ad_ID]:[Cost-imputed]],7,0)</f>
        <v>$201.98</v>
      </c>
      <c r="F1767" s="4">
        <f>VLOOKUP(Googleadssales[[#This Row],[Ad_ID]],'[1]pre processed data'!A:I,9,0)</f>
        <v>17</v>
      </c>
      <c r="G1767" s="4">
        <f>VLOOKUP(Googleadssales[[#This Row],[Ad_ID]],'[1]pre processed data'!A:K,11,0)</f>
        <v>8</v>
      </c>
      <c r="H1767" s="2">
        <f>Googleadssales[[#This Row],[Conversions]]/Googleadssales[[#This Row],[Clicks]]</f>
        <v>8.6021505376344093E-2</v>
      </c>
      <c r="I1767" t="str">
        <f>VLOOKUP(Googleadssales[[#This Row],[Ad_ID]],'[1]pre processed data'!A:O,15,0)</f>
        <v>$1216</v>
      </c>
      <c r="J1767" s="3">
        <f>VLOOKUP(Googleadssales[[#This Row],[Ad_ID]],'[1]pre processed data'!A:Q,17,0)</f>
        <v>45608</v>
      </c>
      <c r="K1767" t="str">
        <f>VLOOKUP(Googleadssales[[#This Row],[Ad_ID]],'[1]pre processed data'!A:R,18,0)</f>
        <v>Hyderabad</v>
      </c>
      <c r="L1767" t="str">
        <f>VLOOKUP(Googleadssales[[#This Row],[Ad_ID]],'[1]pre processed data'!A:S,19,0)</f>
        <v>Desktop</v>
      </c>
      <c r="M1767" t="str">
        <f>VLOOKUP(Googleadssales[[#This Row],[Ad_ID]],'[1]pre processed data'!A:T,20,0)</f>
        <v>data analytics course</v>
      </c>
    </row>
    <row r="1768" spans="1:13" x14ac:dyDescent="0.3">
      <c r="A1768" t="s">
        <v>1781</v>
      </c>
      <c r="B1768" t="s">
        <v>14</v>
      </c>
      <c r="C1768" s="4">
        <f>VLOOKUP(Googleadssales[[#This Row],[Ad_ID]],'[1]pre processed data'!A:C,3,0)</f>
        <v>166</v>
      </c>
      <c r="D1768" s="4">
        <f>VLOOKUP(Googleadssales[[#This Row],[Ad_ID]],'[1]pre processed data'!A:E,5,0)</f>
        <v>5110</v>
      </c>
      <c r="E1768" s="5" t="str">
        <f>VLOOKUP(Googleadssales[[#This Row],[Ad_ID]],[1]!Table3[[Ad_ID]:[Cost-imputed]],7,0)</f>
        <v>$196.99</v>
      </c>
      <c r="F1768" s="4">
        <f>VLOOKUP(Googleadssales[[#This Row],[Ad_ID]],'[1]pre processed data'!A:I,9,0)</f>
        <v>26</v>
      </c>
      <c r="G1768" s="4">
        <f>VLOOKUP(Googleadssales[[#This Row],[Ad_ID]],'[1]pre processed data'!A:K,11,0)</f>
        <v>4</v>
      </c>
      <c r="H1768" s="2">
        <f>Googleadssales[[#This Row],[Conversions]]/Googleadssales[[#This Row],[Clicks]]</f>
        <v>2.4096385542168676E-2</v>
      </c>
      <c r="I1768" t="str">
        <f>VLOOKUP(Googleadssales[[#This Row],[Ad_ID]],'[1]pre processed data'!A:O,15,0)</f>
        <v>$1431</v>
      </c>
      <c r="J1768" s="3">
        <f>VLOOKUP(Googleadssales[[#This Row],[Ad_ID]],'[1]pre processed data'!A:Q,17,0)</f>
        <v>45608</v>
      </c>
      <c r="K1768" t="str">
        <f>VLOOKUP(Googleadssales[[#This Row],[Ad_ID]],'[1]pre processed data'!A:R,18,0)</f>
        <v>Hyderabad</v>
      </c>
      <c r="L1768" t="str">
        <f>VLOOKUP(Googleadssales[[#This Row],[Ad_ID]],'[1]pre processed data'!A:S,19,0)</f>
        <v>Tablet</v>
      </c>
      <c r="M1768" t="str">
        <f>VLOOKUP(Googleadssales[[#This Row],[Ad_ID]],'[1]pre processed data'!A:T,20,0)</f>
        <v>data analytics online</v>
      </c>
    </row>
    <row r="1769" spans="1:13" x14ac:dyDescent="0.3">
      <c r="A1769" t="s">
        <v>1782</v>
      </c>
      <c r="B1769" t="s">
        <v>14</v>
      </c>
      <c r="C1769" s="4">
        <f>VLOOKUP(Googleadssales[[#This Row],[Ad_ID]],'[1]pre processed data'!A:C,3,0)</f>
        <v>121</v>
      </c>
      <c r="D1769" s="4">
        <f>VLOOKUP(Googleadssales[[#This Row],[Ad_ID]],'[1]pre processed data'!A:E,5,0)</f>
        <v>5155</v>
      </c>
      <c r="E1769" s="5" t="str">
        <f>VLOOKUP(Googleadssales[[#This Row],[Ad_ID]],[1]!Table3[[Ad_ID]:[Cost-imputed]],7,0)</f>
        <v>$187.0</v>
      </c>
      <c r="F1769" s="4">
        <f>VLOOKUP(Googleadssales[[#This Row],[Ad_ID]],'[1]pre processed data'!A:I,9,0)</f>
        <v>23</v>
      </c>
      <c r="G1769" s="4">
        <f>VLOOKUP(Googleadssales[[#This Row],[Ad_ID]],'[1]pre processed data'!A:K,11,0)</f>
        <v>6</v>
      </c>
      <c r="H1769" s="2">
        <f>Googleadssales[[#This Row],[Conversions]]/Googleadssales[[#This Row],[Clicks]]</f>
        <v>4.9586776859504134E-2</v>
      </c>
      <c r="I1769" t="str">
        <f>VLOOKUP(Googleadssales[[#This Row],[Ad_ID]],'[1]pre processed data'!A:O,15,0)</f>
        <v>$1510</v>
      </c>
      <c r="J1769" s="3">
        <f>VLOOKUP(Googleadssales[[#This Row],[Ad_ID]],'[1]pre processed data'!A:Q,17,0)</f>
        <v>45601</v>
      </c>
      <c r="K1769" t="str">
        <f>VLOOKUP(Googleadssales[[#This Row],[Ad_ID]],'[1]pre processed data'!A:R,18,0)</f>
        <v>Chennai</v>
      </c>
      <c r="L1769" t="str">
        <f>VLOOKUP(Googleadssales[[#This Row],[Ad_ID]],'[1]pre processed data'!A:S,19,0)</f>
        <v>Tablet</v>
      </c>
      <c r="M1769" t="str">
        <f>VLOOKUP(Googleadssales[[#This Row],[Ad_ID]],'[1]pre processed data'!A:T,20,0)</f>
        <v>data analytics course</v>
      </c>
    </row>
    <row r="1770" spans="1:13" x14ac:dyDescent="0.3">
      <c r="A1770" t="s">
        <v>1783</v>
      </c>
      <c r="B1770" t="s">
        <v>14</v>
      </c>
      <c r="C1770" s="4">
        <f>VLOOKUP(Googleadssales[[#This Row],[Ad_ID]],'[1]pre processed data'!A:C,3,0)</f>
        <v>106</v>
      </c>
      <c r="D1770" s="4">
        <f>VLOOKUP(Googleadssales[[#This Row],[Ad_ID]],'[1]pre processed data'!A:E,5,0)</f>
        <v>5010</v>
      </c>
      <c r="E1770" s="5" t="str">
        <f>VLOOKUP(Googleadssales[[#This Row],[Ad_ID]],[1]!Table3[[Ad_ID]:[Cost-imputed]],7,0)</f>
        <v>$220.66</v>
      </c>
      <c r="F1770" s="4">
        <f>VLOOKUP(Googleadssales[[#This Row],[Ad_ID]],'[1]pre processed data'!A:I,9,0)</f>
        <v>26</v>
      </c>
      <c r="G1770" s="4">
        <f>VLOOKUP(Googleadssales[[#This Row],[Ad_ID]],'[1]pre processed data'!A:K,11,0)</f>
        <v>6</v>
      </c>
      <c r="H1770" s="2">
        <f>Googleadssales[[#This Row],[Conversions]]/Googleadssales[[#This Row],[Clicks]]</f>
        <v>5.6603773584905662E-2</v>
      </c>
      <c r="I1770" t="str">
        <f>VLOOKUP(Googleadssales[[#This Row],[Ad_ID]],'[1]pre processed data'!A:O,15,0)</f>
        <v>$1345</v>
      </c>
      <c r="J1770" s="3">
        <f>VLOOKUP(Googleadssales[[#This Row],[Ad_ID]],'[1]pre processed data'!A:Q,17,0)</f>
        <v>45612</v>
      </c>
      <c r="K1770" t="str">
        <f>VLOOKUP(Googleadssales[[#This Row],[Ad_ID]],'[1]pre processed data'!A:R,18,0)</f>
        <v>Bangaluru</v>
      </c>
      <c r="L1770" t="str">
        <f>VLOOKUP(Googleadssales[[#This Row],[Ad_ID]],'[1]pre processed data'!A:S,19,0)</f>
        <v>Desktop</v>
      </c>
      <c r="M1770" t="str">
        <f>VLOOKUP(Googleadssales[[#This Row],[Ad_ID]],'[1]pre processed data'!A:T,20,0)</f>
        <v>data analytics course</v>
      </c>
    </row>
    <row r="1771" spans="1:13" x14ac:dyDescent="0.3">
      <c r="A1771" t="s">
        <v>1784</v>
      </c>
      <c r="B1771" t="s">
        <v>18</v>
      </c>
      <c r="C1771" s="4">
        <f>VLOOKUP(Googleadssales[[#This Row],[Ad_ID]],'[1]pre processed data'!A:C,3,0)</f>
        <v>106</v>
      </c>
      <c r="D1771" s="4">
        <f>VLOOKUP(Googleadssales[[#This Row],[Ad_ID]],'[1]pre processed data'!A:E,5,0)</f>
        <v>4362</v>
      </c>
      <c r="E1771" s="5" t="str">
        <f>VLOOKUP(Googleadssales[[#This Row],[Ad_ID]],[1]!Table3[[Ad_ID]:[Cost-imputed]],7,0)</f>
        <v>$227.02</v>
      </c>
      <c r="F1771" s="4">
        <f>VLOOKUP(Googleadssales[[#This Row],[Ad_ID]],'[1]pre processed data'!A:I,9,0)</f>
        <v>12</v>
      </c>
      <c r="G1771" s="4">
        <f>VLOOKUP(Googleadssales[[#This Row],[Ad_ID]],'[1]pre processed data'!A:K,11,0)</f>
        <v>9</v>
      </c>
      <c r="H1771" s="2">
        <f>Googleadssales[[#This Row],[Conversions]]/Googleadssales[[#This Row],[Clicks]]</f>
        <v>8.4905660377358486E-2</v>
      </c>
      <c r="I1771" t="str">
        <f>VLOOKUP(Googleadssales[[#This Row],[Ad_ID]],'[1]pre processed data'!A:O,15,0)</f>
        <v>$1548</v>
      </c>
      <c r="J1771" s="3">
        <f>VLOOKUP(Googleadssales[[#This Row],[Ad_ID]],'[1]pre processed data'!A:Q,17,0)</f>
        <v>45623</v>
      </c>
      <c r="K1771" t="str">
        <f>VLOOKUP(Googleadssales[[#This Row],[Ad_ID]],'[1]pre processed data'!A:R,18,0)</f>
        <v>Hyderabad</v>
      </c>
      <c r="L1771" t="str">
        <f>VLOOKUP(Googleadssales[[#This Row],[Ad_ID]],'[1]pre processed data'!A:S,19,0)</f>
        <v>Mobile</v>
      </c>
      <c r="M1771" t="str">
        <f>VLOOKUP(Googleadssales[[#This Row],[Ad_ID]],'[1]pre processed data'!A:T,20,0)</f>
        <v>online data analytic</v>
      </c>
    </row>
    <row r="1772" spans="1:13" x14ac:dyDescent="0.3">
      <c r="A1772" t="s">
        <v>1785</v>
      </c>
      <c r="B1772" t="s">
        <v>18</v>
      </c>
      <c r="C1772" s="4">
        <f>VLOOKUP(Googleadssales[[#This Row],[Ad_ID]],'[1]pre processed data'!A:C,3,0)</f>
        <v>122</v>
      </c>
      <c r="D1772" s="4">
        <f>VLOOKUP(Googleadssales[[#This Row],[Ad_ID]],'[1]pre processed data'!A:E,5,0)</f>
        <v>3662</v>
      </c>
      <c r="E1772" s="5" t="str">
        <f>VLOOKUP(Googleadssales[[#This Row],[Ad_ID]],[1]!Table3[[Ad_ID]:[Cost-imputed]],7,0)</f>
        <v>$211.05</v>
      </c>
      <c r="F1772" s="4">
        <f>VLOOKUP(Googleadssales[[#This Row],[Ad_ID]],'[1]pre processed data'!A:I,9,0)</f>
        <v>19</v>
      </c>
      <c r="G1772" s="4">
        <f>VLOOKUP(Googleadssales[[#This Row],[Ad_ID]],'[1]pre processed data'!A:K,11,0)</f>
        <v>6</v>
      </c>
      <c r="H1772" s="2">
        <f>Googleadssales[[#This Row],[Conversions]]/Googleadssales[[#This Row],[Clicks]]</f>
        <v>4.9180327868852458E-2</v>
      </c>
      <c r="I1772" t="str">
        <f>VLOOKUP(Googleadssales[[#This Row],[Ad_ID]],'[1]pre processed data'!A:O,15,0)</f>
        <v>$1082</v>
      </c>
      <c r="J1772" s="3">
        <f>VLOOKUP(Googleadssales[[#This Row],[Ad_ID]],'[1]pre processed data'!A:Q,17,0)</f>
        <v>45617</v>
      </c>
      <c r="K1772" t="str">
        <f>VLOOKUP(Googleadssales[[#This Row],[Ad_ID]],'[1]pre processed data'!A:R,18,0)</f>
        <v>Bangaluru</v>
      </c>
      <c r="L1772" t="str">
        <f>VLOOKUP(Googleadssales[[#This Row],[Ad_ID]],'[1]pre processed data'!A:S,19,0)</f>
        <v>Desktop</v>
      </c>
      <c r="M1772" t="str">
        <f>VLOOKUP(Googleadssales[[#This Row],[Ad_ID]],'[1]pre processed data'!A:T,20,0)</f>
        <v>data analytics training</v>
      </c>
    </row>
    <row r="1773" spans="1:13" x14ac:dyDescent="0.3">
      <c r="A1773" t="s">
        <v>1786</v>
      </c>
      <c r="B1773" t="s">
        <v>14</v>
      </c>
      <c r="C1773" s="4">
        <f>VLOOKUP(Googleadssales[[#This Row],[Ad_ID]],'[1]pre processed data'!A:C,3,0)</f>
        <v>193</v>
      </c>
      <c r="D1773" s="4">
        <f>VLOOKUP(Googleadssales[[#This Row],[Ad_ID]],'[1]pre processed data'!A:E,5,0)</f>
        <v>5464</v>
      </c>
      <c r="E1773" s="5" t="str">
        <f>VLOOKUP(Googleadssales[[#This Row],[Ad_ID]],[1]!Table3[[Ad_ID]:[Cost-imputed]],7,0)</f>
        <v>$224.15</v>
      </c>
      <c r="F1773" s="4">
        <f>VLOOKUP(Googleadssales[[#This Row],[Ad_ID]],'[1]pre processed data'!A:I,9,0)</f>
        <v>12</v>
      </c>
      <c r="G1773" s="4">
        <f>VLOOKUP(Googleadssales[[#This Row],[Ad_ID]],'[1]pre processed data'!A:K,11,0)</f>
        <v>3</v>
      </c>
      <c r="H1773" s="2">
        <f>Googleadssales[[#This Row],[Conversions]]/Googleadssales[[#This Row],[Clicks]]</f>
        <v>1.5544041450777202E-2</v>
      </c>
      <c r="I1773" t="str">
        <f>VLOOKUP(Googleadssales[[#This Row],[Ad_ID]],'[1]pre processed data'!A:O,15,0)</f>
        <v>$1157</v>
      </c>
      <c r="J1773" s="3">
        <f>VLOOKUP(Googleadssales[[#This Row],[Ad_ID]],'[1]pre processed data'!A:Q,17,0)</f>
        <v>45599</v>
      </c>
      <c r="K1773" t="str">
        <f>VLOOKUP(Googleadssales[[#This Row],[Ad_ID]],'[1]pre processed data'!A:R,18,0)</f>
        <v>Hyderabad</v>
      </c>
      <c r="L1773" t="str">
        <f>VLOOKUP(Googleadssales[[#This Row],[Ad_ID]],'[1]pre processed data'!A:S,19,0)</f>
        <v>Tablet</v>
      </c>
      <c r="M1773" t="str">
        <f>VLOOKUP(Googleadssales[[#This Row],[Ad_ID]],'[1]pre processed data'!A:T,20,0)</f>
        <v>online data analytic</v>
      </c>
    </row>
    <row r="1774" spans="1:13" x14ac:dyDescent="0.3">
      <c r="A1774" t="s">
        <v>1787</v>
      </c>
      <c r="B1774" t="s">
        <v>14</v>
      </c>
      <c r="C1774" s="4">
        <f>VLOOKUP(Googleadssales[[#This Row],[Ad_ID]],'[1]pre processed data'!A:C,3,0)</f>
        <v>146</v>
      </c>
      <c r="D1774" s="4">
        <f>VLOOKUP(Googleadssales[[#This Row],[Ad_ID]],'[1]pre processed data'!A:E,5,0)</f>
        <v>3560</v>
      </c>
      <c r="E1774" s="5" t="str">
        <f>VLOOKUP(Googleadssales[[#This Row],[Ad_ID]],[1]!Table3[[Ad_ID]:[Cost-imputed]],7,0)</f>
        <v>$214.16</v>
      </c>
      <c r="F1774" s="4">
        <f>VLOOKUP(Googleadssales[[#This Row],[Ad_ID]],'[1]pre processed data'!A:I,9,0)</f>
        <v>26</v>
      </c>
      <c r="G1774" s="4">
        <f>VLOOKUP(Googleadssales[[#This Row],[Ad_ID]],'[1]pre processed data'!A:K,11,0)</f>
        <v>3</v>
      </c>
      <c r="H1774" s="2">
        <f>Googleadssales[[#This Row],[Conversions]]/Googleadssales[[#This Row],[Clicks]]</f>
        <v>2.0547945205479451E-2</v>
      </c>
      <c r="I1774" t="str">
        <f>VLOOKUP(Googleadssales[[#This Row],[Ad_ID]],'[1]pre processed data'!A:O,15,0)</f>
        <v>$1033</v>
      </c>
      <c r="J1774" s="3">
        <f>VLOOKUP(Googleadssales[[#This Row],[Ad_ID]],'[1]pre processed data'!A:Q,17,0)</f>
        <v>45598</v>
      </c>
      <c r="K1774" t="str">
        <f>VLOOKUP(Googleadssales[[#This Row],[Ad_ID]],'[1]pre processed data'!A:R,18,0)</f>
        <v>Bangaluru</v>
      </c>
      <c r="L1774" t="str">
        <f>VLOOKUP(Googleadssales[[#This Row],[Ad_ID]],'[1]pre processed data'!A:S,19,0)</f>
        <v>Desktop</v>
      </c>
      <c r="M1774" t="str">
        <f>VLOOKUP(Googleadssales[[#This Row],[Ad_ID]],'[1]pre processed data'!A:T,20,0)</f>
        <v>analytics for data</v>
      </c>
    </row>
    <row r="1775" spans="1:13" x14ac:dyDescent="0.3">
      <c r="A1775" t="s">
        <v>1788</v>
      </c>
      <c r="B1775" t="s">
        <v>18</v>
      </c>
      <c r="C1775" s="4">
        <f>VLOOKUP(Googleadssales[[#This Row],[Ad_ID]],'[1]pre processed data'!A:C,3,0)</f>
        <v>138.95699356913184</v>
      </c>
      <c r="D1775" s="4">
        <f>VLOOKUP(Googleadssales[[#This Row],[Ad_ID]],'[1]pre processed data'!A:E,5,0)</f>
        <v>5014</v>
      </c>
      <c r="E1775" s="5" t="str">
        <f>VLOOKUP(Googleadssales[[#This Row],[Ad_ID]],[1]!Table3[[Ad_ID]:[Cost-imputed]],7,0)</f>
        <v>$198.84</v>
      </c>
      <c r="F1775" s="4">
        <f>VLOOKUP(Googleadssales[[#This Row],[Ad_ID]],'[1]pre processed data'!A:I,9,0)</f>
        <v>10</v>
      </c>
      <c r="G1775" s="4">
        <f>VLOOKUP(Googleadssales[[#This Row],[Ad_ID]],'[1]pre processed data'!A:K,11,0)</f>
        <v>8</v>
      </c>
      <c r="H1775" s="2">
        <f>Googleadssales[[#This Row],[Conversions]]/Googleadssales[[#This Row],[Clicks]]</f>
        <v>5.7571769469954438E-2</v>
      </c>
      <c r="I1775" t="str">
        <f>VLOOKUP(Googleadssales[[#This Row],[Ad_ID]],'[1]pre processed data'!A:O,15,0)</f>
        <v>$1474</v>
      </c>
      <c r="J1775" s="3">
        <f>VLOOKUP(Googleadssales[[#This Row],[Ad_ID]],'[1]pre processed data'!A:Q,17,0)</f>
        <v>45610</v>
      </c>
      <c r="K1775" t="str">
        <f>VLOOKUP(Googleadssales[[#This Row],[Ad_ID]],'[1]pre processed data'!A:R,18,0)</f>
        <v>Bangaluru</v>
      </c>
      <c r="L1775" t="str">
        <f>VLOOKUP(Googleadssales[[#This Row],[Ad_ID]],'[1]pre processed data'!A:S,19,0)</f>
        <v>Tablet</v>
      </c>
      <c r="M1775" t="str">
        <f>VLOOKUP(Googleadssales[[#This Row],[Ad_ID]],'[1]pre processed data'!A:T,20,0)</f>
        <v>learn data analytics</v>
      </c>
    </row>
    <row r="1776" spans="1:13" x14ac:dyDescent="0.3">
      <c r="A1776" t="s">
        <v>1789</v>
      </c>
      <c r="B1776" t="s">
        <v>18</v>
      </c>
      <c r="C1776" s="4">
        <f>VLOOKUP(Googleadssales[[#This Row],[Ad_ID]],'[1]pre processed data'!A:C,3,0)</f>
        <v>111</v>
      </c>
      <c r="D1776" s="4">
        <f>VLOOKUP(Googleadssales[[#This Row],[Ad_ID]],'[1]pre processed data'!A:E,5,0)</f>
        <v>3278</v>
      </c>
      <c r="E1776" s="5" t="str">
        <f>VLOOKUP(Googleadssales[[#This Row],[Ad_ID]],[1]!Table3[[Ad_ID]:[Cost-imputed]],7,0)</f>
        <v>$189.58</v>
      </c>
      <c r="F1776" s="4">
        <f>VLOOKUP(Googleadssales[[#This Row],[Ad_ID]],'[1]pre processed data'!A:I,9,0)</f>
        <v>25</v>
      </c>
      <c r="G1776" s="4">
        <f>VLOOKUP(Googleadssales[[#This Row],[Ad_ID]],'[1]pre processed data'!A:K,11,0)</f>
        <v>5</v>
      </c>
      <c r="H1776" s="2">
        <f>Googleadssales[[#This Row],[Conversions]]/Googleadssales[[#This Row],[Clicks]]</f>
        <v>4.5045045045045043E-2</v>
      </c>
      <c r="I1776" t="str">
        <f>VLOOKUP(Googleadssales[[#This Row],[Ad_ID]],'[1]pre processed data'!A:O,15,0)</f>
        <v>$1882</v>
      </c>
      <c r="J1776" s="3">
        <f>VLOOKUP(Googleadssales[[#This Row],[Ad_ID]],'[1]pre processed data'!A:Q,17,0)</f>
        <v>45605</v>
      </c>
      <c r="K1776" t="str">
        <f>VLOOKUP(Googleadssales[[#This Row],[Ad_ID]],'[1]pre processed data'!A:R,18,0)</f>
        <v>Hyderabad</v>
      </c>
      <c r="L1776" t="str">
        <f>VLOOKUP(Googleadssales[[#This Row],[Ad_ID]],'[1]pre processed data'!A:S,19,0)</f>
        <v>Mobile</v>
      </c>
      <c r="M1776" t="str">
        <f>VLOOKUP(Googleadssales[[#This Row],[Ad_ID]],'[1]pre processed data'!A:T,20,0)</f>
        <v>data analytics training</v>
      </c>
    </row>
    <row r="1777" spans="1:13" x14ac:dyDescent="0.3">
      <c r="A1777" t="s">
        <v>1790</v>
      </c>
      <c r="B1777" t="s">
        <v>14</v>
      </c>
      <c r="C1777" s="4">
        <f>VLOOKUP(Googleadssales[[#This Row],[Ad_ID]],'[1]pre processed data'!A:C,3,0)</f>
        <v>138.95699356913184</v>
      </c>
      <c r="D1777" s="4">
        <f>VLOOKUP(Googleadssales[[#This Row],[Ad_ID]],'[1]pre processed data'!A:E,5,0)</f>
        <v>3149</v>
      </c>
      <c r="E1777" s="5" t="str">
        <f>VLOOKUP(Googleadssales[[#This Row],[Ad_ID]],[1]!Table3[[Ad_ID]:[Cost-imputed]],7,0)</f>
        <v>$213.67</v>
      </c>
      <c r="F1777" s="4">
        <f>VLOOKUP(Googleadssales[[#This Row],[Ad_ID]],'[1]pre processed data'!A:I,9,0)</f>
        <v>14</v>
      </c>
      <c r="G1777" s="4">
        <f>VLOOKUP(Googleadssales[[#This Row],[Ad_ID]],'[1]pre processed data'!A:K,11,0)</f>
        <v>8</v>
      </c>
      <c r="H1777" s="2">
        <f>Googleadssales[[#This Row],[Conversions]]/Googleadssales[[#This Row],[Clicks]]</f>
        <v>5.7571769469954438E-2</v>
      </c>
      <c r="I1777" t="str">
        <f>VLOOKUP(Googleadssales[[#This Row],[Ad_ID]],'[1]pre processed data'!A:O,15,0)</f>
        <v>$1491</v>
      </c>
      <c r="J1777" s="3">
        <f>VLOOKUP(Googleadssales[[#This Row],[Ad_ID]],'[1]pre processed data'!A:Q,17,0)</f>
        <v>45623</v>
      </c>
      <c r="K1777" t="str">
        <f>VLOOKUP(Googleadssales[[#This Row],[Ad_ID]],'[1]pre processed data'!A:R,18,0)</f>
        <v>Hyderabad</v>
      </c>
      <c r="L1777" t="str">
        <f>VLOOKUP(Googleadssales[[#This Row],[Ad_ID]],'[1]pre processed data'!A:S,19,0)</f>
        <v>Tablet</v>
      </c>
      <c r="M1777" t="str">
        <f>VLOOKUP(Googleadssales[[#This Row],[Ad_ID]],'[1]pre processed data'!A:T,20,0)</f>
        <v>online data analytic</v>
      </c>
    </row>
    <row r="1778" spans="1:13" x14ac:dyDescent="0.3">
      <c r="A1778" t="s">
        <v>1791</v>
      </c>
      <c r="B1778" t="s">
        <v>18</v>
      </c>
      <c r="C1778" s="4">
        <f>VLOOKUP(Googleadssales[[#This Row],[Ad_ID]],'[1]pre processed data'!A:C,3,0)</f>
        <v>195</v>
      </c>
      <c r="D1778" s="4">
        <f>VLOOKUP(Googleadssales[[#This Row],[Ad_ID]],'[1]pre processed data'!A:E,5,0)</f>
        <v>4128</v>
      </c>
      <c r="E1778" s="5" t="str">
        <f>VLOOKUP(Googleadssales[[#This Row],[Ad_ID]],[1]!Table3[[Ad_ID]:[Cost-imputed]],7,0)</f>
        <v>$246.55</v>
      </c>
      <c r="F1778" s="4">
        <f>VLOOKUP(Googleadssales[[#This Row],[Ad_ID]],'[1]pre processed data'!A:I,9,0)</f>
        <v>25</v>
      </c>
      <c r="G1778" s="4">
        <f>VLOOKUP(Googleadssales[[#This Row],[Ad_ID]],'[1]pre processed data'!A:K,11,0)</f>
        <v>5</v>
      </c>
      <c r="H1778" s="2">
        <f>Googleadssales[[#This Row],[Conversions]]/Googleadssales[[#This Row],[Clicks]]</f>
        <v>2.564102564102564E-2</v>
      </c>
      <c r="I1778" t="str">
        <f>VLOOKUP(Googleadssales[[#This Row],[Ad_ID]],'[1]pre processed data'!A:O,15,0)</f>
        <v>$1105</v>
      </c>
      <c r="J1778" s="3">
        <f>VLOOKUP(Googleadssales[[#This Row],[Ad_ID]],'[1]pre processed data'!A:Q,17,0)</f>
        <v>45605</v>
      </c>
      <c r="K1778" t="str">
        <f>VLOOKUP(Googleadssales[[#This Row],[Ad_ID]],'[1]pre processed data'!A:R,18,0)</f>
        <v>Hyderabad</v>
      </c>
      <c r="L1778" t="str">
        <f>VLOOKUP(Googleadssales[[#This Row],[Ad_ID]],'[1]pre processed data'!A:S,19,0)</f>
        <v>Mobile</v>
      </c>
      <c r="M1778" t="str">
        <f>VLOOKUP(Googleadssales[[#This Row],[Ad_ID]],'[1]pre processed data'!A:T,20,0)</f>
        <v>data analytics training</v>
      </c>
    </row>
    <row r="1779" spans="1:13" x14ac:dyDescent="0.3">
      <c r="A1779" t="s">
        <v>1792</v>
      </c>
      <c r="B1779" t="s">
        <v>18</v>
      </c>
      <c r="C1779" s="4">
        <f>VLOOKUP(Googleadssales[[#This Row],[Ad_ID]],'[1]pre processed data'!A:C,3,0)</f>
        <v>149</v>
      </c>
      <c r="D1779" s="4">
        <f>VLOOKUP(Googleadssales[[#This Row],[Ad_ID]],'[1]pre processed data'!A:E,5,0)</f>
        <v>5018</v>
      </c>
      <c r="E1779" s="5" t="str">
        <f>VLOOKUP(Googleadssales[[#This Row],[Ad_ID]],[1]!Table3[[Ad_ID]:[Cost-imputed]],7,0)</f>
        <v>$219.11</v>
      </c>
      <c r="F1779" s="4">
        <f>VLOOKUP(Googleadssales[[#This Row],[Ad_ID]],'[1]pre processed data'!A:I,9,0)</f>
        <v>16</v>
      </c>
      <c r="G1779" s="4">
        <f>VLOOKUP(Googleadssales[[#This Row],[Ad_ID]],'[1]pre processed data'!A:K,11,0)</f>
        <v>3</v>
      </c>
      <c r="H1779" s="2">
        <f>Googleadssales[[#This Row],[Conversions]]/Googleadssales[[#This Row],[Clicks]]</f>
        <v>2.0134228187919462E-2</v>
      </c>
      <c r="I1779" t="str">
        <f>VLOOKUP(Googleadssales[[#This Row],[Ad_ID]],'[1]pre processed data'!A:O,15,0)</f>
        <v>$1795</v>
      </c>
      <c r="J1779" s="3">
        <f>VLOOKUP(Googleadssales[[#This Row],[Ad_ID]],'[1]pre processed data'!A:Q,17,0)</f>
        <v>45622</v>
      </c>
      <c r="K1779" t="str">
        <f>VLOOKUP(Googleadssales[[#This Row],[Ad_ID]],'[1]pre processed data'!A:R,18,0)</f>
        <v>Chennai</v>
      </c>
      <c r="L1779" t="str">
        <f>VLOOKUP(Googleadssales[[#This Row],[Ad_ID]],'[1]pre processed data'!A:S,19,0)</f>
        <v>Desktop</v>
      </c>
      <c r="M1779" t="str">
        <f>VLOOKUP(Googleadssales[[#This Row],[Ad_ID]],'[1]pre processed data'!A:T,20,0)</f>
        <v>data analytics training</v>
      </c>
    </row>
    <row r="1780" spans="1:13" x14ac:dyDescent="0.3">
      <c r="A1780" t="s">
        <v>1793</v>
      </c>
      <c r="B1780" t="s">
        <v>14</v>
      </c>
      <c r="C1780" s="4">
        <f>VLOOKUP(Googleadssales[[#This Row],[Ad_ID]],'[1]pre processed data'!A:C,3,0)</f>
        <v>194</v>
      </c>
      <c r="D1780" s="4">
        <f>VLOOKUP(Googleadssales[[#This Row],[Ad_ID]],'[1]pre processed data'!A:E,5,0)</f>
        <v>5215</v>
      </c>
      <c r="E1780" s="5" t="str">
        <f>VLOOKUP(Googleadssales[[#This Row],[Ad_ID]],[1]!Table3[[Ad_ID]:[Cost-imputed]],7,0)</f>
        <v>$225.13</v>
      </c>
      <c r="F1780" s="4">
        <f>VLOOKUP(Googleadssales[[#This Row],[Ad_ID]],'[1]pre processed data'!A:I,9,0)</f>
        <v>12</v>
      </c>
      <c r="G1780" s="4">
        <f>VLOOKUP(Googleadssales[[#This Row],[Ad_ID]],'[1]pre processed data'!A:K,11,0)</f>
        <v>6</v>
      </c>
      <c r="H1780" s="2">
        <f>Googleadssales[[#This Row],[Conversions]]/Googleadssales[[#This Row],[Clicks]]</f>
        <v>3.0927835051546393E-2</v>
      </c>
      <c r="I1780" t="str">
        <f>VLOOKUP(Googleadssales[[#This Row],[Ad_ID]],'[1]pre processed data'!A:O,15,0)</f>
        <v>$1107</v>
      </c>
      <c r="J1780" s="3">
        <f>VLOOKUP(Googleadssales[[#This Row],[Ad_ID]],'[1]pre processed data'!A:Q,17,0)</f>
        <v>45618</v>
      </c>
      <c r="K1780" t="str">
        <f>VLOOKUP(Googleadssales[[#This Row],[Ad_ID]],'[1]pre processed data'!A:R,18,0)</f>
        <v>Hyderabad</v>
      </c>
      <c r="L1780" t="str">
        <f>VLOOKUP(Googleadssales[[#This Row],[Ad_ID]],'[1]pre processed data'!A:S,19,0)</f>
        <v>Tablet</v>
      </c>
      <c r="M1780" t="str">
        <f>VLOOKUP(Googleadssales[[#This Row],[Ad_ID]],'[1]pre processed data'!A:T,20,0)</f>
        <v>data analytics online</v>
      </c>
    </row>
    <row r="1781" spans="1:13" x14ac:dyDescent="0.3">
      <c r="A1781" t="s">
        <v>1794</v>
      </c>
      <c r="B1781" t="s">
        <v>18</v>
      </c>
      <c r="C1781" s="4">
        <f>VLOOKUP(Googleadssales[[#This Row],[Ad_ID]],'[1]pre processed data'!A:C,3,0)</f>
        <v>191</v>
      </c>
      <c r="D1781" s="4">
        <f>VLOOKUP(Googleadssales[[#This Row],[Ad_ID]],'[1]pre processed data'!A:E,5,0)</f>
        <v>3948</v>
      </c>
      <c r="E1781" s="5" t="str">
        <f>VLOOKUP(Googleadssales[[#This Row],[Ad_ID]],[1]!Table3[[Ad_ID]:[Cost-imputed]],7,0)</f>
        <v>$208.43</v>
      </c>
      <c r="F1781" s="4">
        <f>VLOOKUP(Googleadssales[[#This Row],[Ad_ID]],'[1]pre processed data'!A:I,9,0)</f>
        <v>23</v>
      </c>
      <c r="G1781" s="4">
        <f>VLOOKUP(Googleadssales[[#This Row],[Ad_ID]],'[1]pre processed data'!A:K,11,0)</f>
        <v>7</v>
      </c>
      <c r="H1781" s="2">
        <f>Googleadssales[[#This Row],[Conversions]]/Googleadssales[[#This Row],[Clicks]]</f>
        <v>3.6649214659685861E-2</v>
      </c>
      <c r="I1781" t="str">
        <f>VLOOKUP(Googleadssales[[#This Row],[Ad_ID]],'[1]pre processed data'!A:O,15,0)</f>
        <v>$1450</v>
      </c>
      <c r="J1781" s="3">
        <f>VLOOKUP(Googleadssales[[#This Row],[Ad_ID]],'[1]pre processed data'!A:Q,17,0)</f>
        <v>45620</v>
      </c>
      <c r="K1781" t="str">
        <f>VLOOKUP(Googleadssales[[#This Row],[Ad_ID]],'[1]pre processed data'!A:R,18,0)</f>
        <v>Hyderabad</v>
      </c>
      <c r="L1781" t="str">
        <f>VLOOKUP(Googleadssales[[#This Row],[Ad_ID]],'[1]pre processed data'!A:S,19,0)</f>
        <v>Tablet</v>
      </c>
      <c r="M1781" t="str">
        <f>VLOOKUP(Googleadssales[[#This Row],[Ad_ID]],'[1]pre processed data'!A:T,20,0)</f>
        <v>data analytics course</v>
      </c>
    </row>
    <row r="1782" spans="1:13" x14ac:dyDescent="0.3">
      <c r="A1782" t="s">
        <v>1795</v>
      </c>
      <c r="B1782" t="s">
        <v>18</v>
      </c>
      <c r="C1782" s="4">
        <f>VLOOKUP(Googleadssales[[#This Row],[Ad_ID]],'[1]pre processed data'!A:C,3,0)</f>
        <v>196</v>
      </c>
      <c r="D1782" s="4">
        <f>VLOOKUP(Googleadssales[[#This Row],[Ad_ID]],'[1]pre processed data'!A:E,5,0)</f>
        <v>4912</v>
      </c>
      <c r="E1782" s="5" t="str">
        <f>VLOOKUP(Googleadssales[[#This Row],[Ad_ID]],[1]!Table3[[Ad_ID]:[Cost-imputed]],7,0)</f>
        <v>$187.07</v>
      </c>
      <c r="F1782" s="4">
        <f>VLOOKUP(Googleadssales[[#This Row],[Ad_ID]],'[1]pre processed data'!A:I,9,0)</f>
        <v>26</v>
      </c>
      <c r="G1782" s="4">
        <f>VLOOKUP(Googleadssales[[#This Row],[Ad_ID]],'[1]pre processed data'!A:K,11,0)</f>
        <v>7</v>
      </c>
      <c r="H1782" s="2">
        <f>Googleadssales[[#This Row],[Conversions]]/Googleadssales[[#This Row],[Clicks]]</f>
        <v>3.5714285714285712E-2</v>
      </c>
      <c r="I1782" t="str">
        <f>VLOOKUP(Googleadssales[[#This Row],[Ad_ID]],'[1]pre processed data'!A:O,15,0)</f>
        <v>$1720</v>
      </c>
      <c r="J1782" s="3">
        <f>VLOOKUP(Googleadssales[[#This Row],[Ad_ID]],'[1]pre processed data'!A:Q,17,0)</f>
        <v>45600</v>
      </c>
      <c r="K1782" t="str">
        <f>VLOOKUP(Googleadssales[[#This Row],[Ad_ID]],'[1]pre processed data'!A:R,18,0)</f>
        <v>Hyderabad</v>
      </c>
      <c r="L1782" t="str">
        <f>VLOOKUP(Googleadssales[[#This Row],[Ad_ID]],'[1]pre processed data'!A:S,19,0)</f>
        <v>Desktop</v>
      </c>
      <c r="M1782" t="str">
        <f>VLOOKUP(Googleadssales[[#This Row],[Ad_ID]],'[1]pre processed data'!A:T,20,0)</f>
        <v>data analytics course</v>
      </c>
    </row>
    <row r="1783" spans="1:13" x14ac:dyDescent="0.3">
      <c r="A1783" t="s">
        <v>1796</v>
      </c>
      <c r="B1783" t="s">
        <v>14</v>
      </c>
      <c r="C1783" s="4">
        <f>VLOOKUP(Googleadssales[[#This Row],[Ad_ID]],'[1]pre processed data'!A:C,3,0)</f>
        <v>182</v>
      </c>
      <c r="D1783" s="4">
        <f>VLOOKUP(Googleadssales[[#This Row],[Ad_ID]],'[1]pre processed data'!A:E,5,0)</f>
        <v>5136</v>
      </c>
      <c r="E1783" s="5" t="str">
        <f>VLOOKUP(Googleadssales[[#This Row],[Ad_ID]],[1]!Table3[[Ad_ID]:[Cost-imputed]],7,0)</f>
        <v>$249.36</v>
      </c>
      <c r="F1783" s="4">
        <f>VLOOKUP(Googleadssales[[#This Row],[Ad_ID]],'[1]pre processed data'!A:I,9,0)</f>
        <v>23</v>
      </c>
      <c r="G1783" s="4">
        <f>VLOOKUP(Googleadssales[[#This Row],[Ad_ID]],'[1]pre processed data'!A:K,11,0)</f>
        <v>7</v>
      </c>
      <c r="H1783" s="2">
        <f>Googleadssales[[#This Row],[Conversions]]/Googleadssales[[#This Row],[Clicks]]</f>
        <v>3.8461538461538464E-2</v>
      </c>
      <c r="I1783" t="str">
        <f>VLOOKUP(Googleadssales[[#This Row],[Ad_ID]],'[1]pre processed data'!A:O,15,0)</f>
        <v>$1846</v>
      </c>
      <c r="J1783" s="3">
        <f>VLOOKUP(Googleadssales[[#This Row],[Ad_ID]],'[1]pre processed data'!A:Q,17,0)</f>
        <v>45599</v>
      </c>
      <c r="K1783" t="str">
        <f>VLOOKUP(Googleadssales[[#This Row],[Ad_ID]],'[1]pre processed data'!A:R,18,0)</f>
        <v>Chennai</v>
      </c>
      <c r="L1783" t="str">
        <f>VLOOKUP(Googleadssales[[#This Row],[Ad_ID]],'[1]pre processed data'!A:S,19,0)</f>
        <v>Desktop</v>
      </c>
      <c r="M1783" t="str">
        <f>VLOOKUP(Googleadssales[[#This Row],[Ad_ID]],'[1]pre processed data'!A:T,20,0)</f>
        <v>learn data analytics</v>
      </c>
    </row>
    <row r="1784" spans="1:13" x14ac:dyDescent="0.3">
      <c r="A1784" t="s">
        <v>1797</v>
      </c>
      <c r="B1784" t="s">
        <v>14</v>
      </c>
      <c r="C1784" s="4">
        <f>VLOOKUP(Googleadssales[[#This Row],[Ad_ID]],'[1]pre processed data'!A:C,3,0)</f>
        <v>156</v>
      </c>
      <c r="D1784" s="4">
        <f>VLOOKUP(Googleadssales[[#This Row],[Ad_ID]],'[1]pre processed data'!A:E,5,0)</f>
        <v>5674</v>
      </c>
      <c r="E1784" s="5" t="str">
        <f>VLOOKUP(Googleadssales[[#This Row],[Ad_ID]],[1]!Table3[[Ad_ID]:[Cost-imputed]],7,0)</f>
        <v>$193.18</v>
      </c>
      <c r="F1784" s="4">
        <f>VLOOKUP(Googleadssales[[#This Row],[Ad_ID]],'[1]pre processed data'!A:I,9,0)</f>
        <v>29</v>
      </c>
      <c r="G1784" s="4">
        <f>VLOOKUP(Googleadssales[[#This Row],[Ad_ID]],'[1]pre processed data'!A:K,11,0)</f>
        <v>10</v>
      </c>
      <c r="H1784" s="2">
        <f>Googleadssales[[#This Row],[Conversions]]/Googleadssales[[#This Row],[Clicks]]</f>
        <v>6.4102564102564097E-2</v>
      </c>
      <c r="I1784" t="str">
        <f>VLOOKUP(Googleadssales[[#This Row],[Ad_ID]],'[1]pre processed data'!A:O,15,0)</f>
        <v>$1176</v>
      </c>
      <c r="J1784" s="3">
        <f>VLOOKUP(Googleadssales[[#This Row],[Ad_ID]],'[1]pre processed data'!A:Q,17,0)</f>
        <v>45623</v>
      </c>
      <c r="K1784" t="str">
        <f>VLOOKUP(Googleadssales[[#This Row],[Ad_ID]],'[1]pre processed data'!A:R,18,0)</f>
        <v>Chennai</v>
      </c>
      <c r="L1784" t="str">
        <f>VLOOKUP(Googleadssales[[#This Row],[Ad_ID]],'[1]pre processed data'!A:S,19,0)</f>
        <v>Desktop</v>
      </c>
      <c r="M1784" t="str">
        <f>VLOOKUP(Googleadssales[[#This Row],[Ad_ID]],'[1]pre processed data'!A:T,20,0)</f>
        <v>data analytics course</v>
      </c>
    </row>
    <row r="1785" spans="1:13" x14ac:dyDescent="0.3">
      <c r="A1785" t="s">
        <v>1798</v>
      </c>
      <c r="B1785" t="s">
        <v>14</v>
      </c>
      <c r="C1785" s="4">
        <f>VLOOKUP(Googleadssales[[#This Row],[Ad_ID]],'[1]pre processed data'!A:C,3,0)</f>
        <v>187</v>
      </c>
      <c r="D1785" s="4">
        <f>VLOOKUP(Googleadssales[[#This Row],[Ad_ID]],'[1]pre processed data'!A:E,5,0)</f>
        <v>4674</v>
      </c>
      <c r="E1785" s="5" t="str">
        <f>VLOOKUP(Googleadssales[[#This Row],[Ad_ID]],[1]!Table3[[Ad_ID]:[Cost-imputed]],7,0)</f>
        <v>$201.41</v>
      </c>
      <c r="F1785" s="4">
        <f>VLOOKUP(Googleadssales[[#This Row],[Ad_ID]],'[1]pre processed data'!A:I,9,0)</f>
        <v>18</v>
      </c>
      <c r="G1785" s="4">
        <f>VLOOKUP(Googleadssales[[#This Row],[Ad_ID]],'[1]pre processed data'!A:K,11,0)</f>
        <v>9</v>
      </c>
      <c r="H1785" s="2">
        <f>Googleadssales[[#This Row],[Conversions]]/Googleadssales[[#This Row],[Clicks]]</f>
        <v>4.8128342245989303E-2</v>
      </c>
      <c r="I1785" t="str">
        <f>VLOOKUP(Googleadssales[[#This Row],[Ad_ID]],'[1]pre processed data'!A:O,15,0)</f>
        <v>$1719</v>
      </c>
      <c r="J1785" s="3">
        <f>VLOOKUP(Googleadssales[[#This Row],[Ad_ID]],'[1]pre processed data'!A:Q,17,0)</f>
        <v>45624</v>
      </c>
      <c r="K1785" t="str">
        <f>VLOOKUP(Googleadssales[[#This Row],[Ad_ID]],'[1]pre processed data'!A:R,18,0)</f>
        <v>Chennai</v>
      </c>
      <c r="L1785" t="str">
        <f>VLOOKUP(Googleadssales[[#This Row],[Ad_ID]],'[1]pre processed data'!A:S,19,0)</f>
        <v>Tablet</v>
      </c>
      <c r="M1785" t="str">
        <f>VLOOKUP(Googleadssales[[#This Row],[Ad_ID]],'[1]pre processed data'!A:T,20,0)</f>
        <v>learn data analytics</v>
      </c>
    </row>
    <row r="1786" spans="1:13" x14ac:dyDescent="0.3">
      <c r="A1786" t="s">
        <v>1799</v>
      </c>
      <c r="B1786" t="s">
        <v>18</v>
      </c>
      <c r="C1786" s="4">
        <f>VLOOKUP(Googleadssales[[#This Row],[Ad_ID]],'[1]pre processed data'!A:C,3,0)</f>
        <v>117</v>
      </c>
      <c r="D1786" s="4">
        <f>VLOOKUP(Googleadssales[[#This Row],[Ad_ID]],'[1]pre processed data'!A:E,5,0)</f>
        <v>4408</v>
      </c>
      <c r="E1786" s="5" t="str">
        <f>VLOOKUP(Googleadssales[[#This Row],[Ad_ID]],[1]!Table3[[Ad_ID]:[Cost-imputed]],7,0)</f>
        <v>$184.0</v>
      </c>
      <c r="F1786" s="4">
        <f>VLOOKUP(Googleadssales[[#This Row],[Ad_ID]],'[1]pre processed data'!A:I,9,0)</f>
        <v>30</v>
      </c>
      <c r="G1786" s="4">
        <f>VLOOKUP(Googleadssales[[#This Row],[Ad_ID]],'[1]pre processed data'!A:K,11,0)</f>
        <v>3</v>
      </c>
      <c r="H1786" s="2">
        <f>Googleadssales[[#This Row],[Conversions]]/Googleadssales[[#This Row],[Clicks]]</f>
        <v>2.564102564102564E-2</v>
      </c>
      <c r="I1786" t="str">
        <f>VLOOKUP(Googleadssales[[#This Row],[Ad_ID]],'[1]pre processed data'!A:O,15,0)</f>
        <v>$1239</v>
      </c>
      <c r="J1786" s="3">
        <f>VLOOKUP(Googleadssales[[#This Row],[Ad_ID]],'[1]pre processed data'!A:Q,17,0)</f>
        <v>45610</v>
      </c>
      <c r="K1786" t="str">
        <f>VLOOKUP(Googleadssales[[#This Row],[Ad_ID]],'[1]pre processed data'!A:R,18,0)</f>
        <v>Chennai</v>
      </c>
      <c r="L1786" t="str">
        <f>VLOOKUP(Googleadssales[[#This Row],[Ad_ID]],'[1]pre processed data'!A:S,19,0)</f>
        <v>Tablet</v>
      </c>
      <c r="M1786" t="str">
        <f>VLOOKUP(Googleadssales[[#This Row],[Ad_ID]],'[1]pre processed data'!A:T,20,0)</f>
        <v>online data analytic</v>
      </c>
    </row>
    <row r="1787" spans="1:13" x14ac:dyDescent="0.3">
      <c r="A1787" t="s">
        <v>1800</v>
      </c>
      <c r="B1787" t="s">
        <v>18</v>
      </c>
      <c r="C1787" s="4">
        <f>VLOOKUP(Googleadssales[[#This Row],[Ad_ID]],'[1]pre processed data'!A:C,3,0)</f>
        <v>135</v>
      </c>
      <c r="D1787" s="4">
        <f>VLOOKUP(Googleadssales[[#This Row],[Ad_ID]],'[1]pre processed data'!A:E,5,0)</f>
        <v>5402</v>
      </c>
      <c r="E1787" s="5" t="str">
        <f>VLOOKUP(Googleadssales[[#This Row],[Ad_ID]],[1]!Table3[[Ad_ID]:[Cost-imputed]],7,0)</f>
        <v>$238.81</v>
      </c>
      <c r="F1787" s="4">
        <f>VLOOKUP(Googleadssales[[#This Row],[Ad_ID]],'[1]pre processed data'!A:I,9,0)</f>
        <v>19</v>
      </c>
      <c r="G1787" s="4">
        <f>VLOOKUP(Googleadssales[[#This Row],[Ad_ID]],'[1]pre processed data'!A:K,11,0)</f>
        <v>8</v>
      </c>
      <c r="H1787" s="2">
        <f>Googleadssales[[#This Row],[Conversions]]/Googleadssales[[#This Row],[Clicks]]</f>
        <v>5.9259259259259262E-2</v>
      </c>
      <c r="I1787" t="str">
        <f>VLOOKUP(Googleadssales[[#This Row],[Ad_ID]],'[1]pre processed data'!A:O,15,0)</f>
        <v>$1648</v>
      </c>
      <c r="J1787" s="3">
        <f>VLOOKUP(Googleadssales[[#This Row],[Ad_ID]],'[1]pre processed data'!A:Q,17,0)</f>
        <v>45624</v>
      </c>
      <c r="K1787" t="str">
        <f>VLOOKUP(Googleadssales[[#This Row],[Ad_ID]],'[1]pre processed data'!A:R,18,0)</f>
        <v>Hyderabad</v>
      </c>
      <c r="L1787" t="str">
        <f>VLOOKUP(Googleadssales[[#This Row],[Ad_ID]],'[1]pre processed data'!A:S,19,0)</f>
        <v>Mobile</v>
      </c>
      <c r="M1787" t="str">
        <f>VLOOKUP(Googleadssales[[#This Row],[Ad_ID]],'[1]pre processed data'!A:T,20,0)</f>
        <v>learn data analytics</v>
      </c>
    </row>
    <row r="1788" spans="1:13" x14ac:dyDescent="0.3">
      <c r="A1788" t="s">
        <v>1801</v>
      </c>
      <c r="B1788" t="s">
        <v>14</v>
      </c>
      <c r="C1788" s="4">
        <f>VLOOKUP(Googleadssales[[#This Row],[Ad_ID]],'[1]pre processed data'!A:C,3,0)</f>
        <v>114</v>
      </c>
      <c r="D1788" s="4">
        <f>VLOOKUP(Googleadssales[[#This Row],[Ad_ID]],'[1]pre processed data'!A:E,5,0)</f>
        <v>4523.2808326787117</v>
      </c>
      <c r="E1788" s="5" t="str">
        <f>VLOOKUP(Googleadssales[[#This Row],[Ad_ID]],[1]!Table3[[Ad_ID]:[Cost-imputed]],7,0)</f>
        <v>$223.69</v>
      </c>
      <c r="F1788" s="4">
        <f>VLOOKUP(Googleadssales[[#This Row],[Ad_ID]],'[1]pre processed data'!A:I,9,0)</f>
        <v>20</v>
      </c>
      <c r="G1788" s="4">
        <f>VLOOKUP(Googleadssales[[#This Row],[Ad_ID]],'[1]pre processed data'!A:K,11,0)</f>
        <v>3</v>
      </c>
      <c r="H1788" s="2">
        <f>Googleadssales[[#This Row],[Conversions]]/Googleadssales[[#This Row],[Clicks]]</f>
        <v>2.6315789473684209E-2</v>
      </c>
      <c r="I1788" t="str">
        <f>VLOOKUP(Googleadssales[[#This Row],[Ad_ID]],'[1]pre processed data'!A:O,15,0)</f>
        <v>$1845</v>
      </c>
      <c r="J1788" s="3">
        <f>VLOOKUP(Googleadssales[[#This Row],[Ad_ID]],'[1]pre processed data'!A:Q,17,0)</f>
        <v>45604</v>
      </c>
      <c r="K1788" t="str">
        <f>VLOOKUP(Googleadssales[[#This Row],[Ad_ID]],'[1]pre processed data'!A:R,18,0)</f>
        <v>Hyderabad</v>
      </c>
      <c r="L1788" t="str">
        <f>VLOOKUP(Googleadssales[[#This Row],[Ad_ID]],'[1]pre processed data'!A:S,19,0)</f>
        <v>Desktop</v>
      </c>
      <c r="M1788" t="str">
        <f>VLOOKUP(Googleadssales[[#This Row],[Ad_ID]],'[1]pre processed data'!A:T,20,0)</f>
        <v>data analytics training</v>
      </c>
    </row>
    <row r="1789" spans="1:13" x14ac:dyDescent="0.3">
      <c r="A1789" t="s">
        <v>1802</v>
      </c>
      <c r="B1789" t="s">
        <v>14</v>
      </c>
      <c r="C1789" s="4">
        <f>VLOOKUP(Googleadssales[[#This Row],[Ad_ID]],'[1]pre processed data'!A:C,3,0)</f>
        <v>184</v>
      </c>
      <c r="D1789" s="4">
        <f>VLOOKUP(Googleadssales[[#This Row],[Ad_ID]],'[1]pre processed data'!A:E,5,0)</f>
        <v>5876</v>
      </c>
      <c r="E1789" s="5" t="str">
        <f>VLOOKUP(Googleadssales[[#This Row],[Ad_ID]],[1]!Table3[[Ad_ID]:[Cost-imputed]],7,0)</f>
        <v>$231.91</v>
      </c>
      <c r="F1789" s="4">
        <f>VLOOKUP(Googleadssales[[#This Row],[Ad_ID]],'[1]pre processed data'!A:I,9,0)</f>
        <v>23</v>
      </c>
      <c r="G1789" s="4">
        <f>VLOOKUP(Googleadssales[[#This Row],[Ad_ID]],'[1]pre processed data'!A:K,11,0)</f>
        <v>6.529336734693878</v>
      </c>
      <c r="H1789" s="2">
        <f>Googleadssales[[#This Row],[Conversions]]/Googleadssales[[#This Row],[Clicks]]</f>
        <v>3.5485525732031946E-2</v>
      </c>
      <c r="I1789" t="str">
        <f>VLOOKUP(Googleadssales[[#This Row],[Ad_ID]],'[1]pre processed data'!A:O,15,0)</f>
        <v>$1018</v>
      </c>
      <c r="J1789" s="3">
        <f>VLOOKUP(Googleadssales[[#This Row],[Ad_ID]],'[1]pre processed data'!A:Q,17,0)</f>
        <v>45607</v>
      </c>
      <c r="K1789" t="str">
        <f>VLOOKUP(Googleadssales[[#This Row],[Ad_ID]],'[1]pre processed data'!A:R,18,0)</f>
        <v>Bangaluru</v>
      </c>
      <c r="L1789" t="str">
        <f>VLOOKUP(Googleadssales[[#This Row],[Ad_ID]],'[1]pre processed data'!A:S,19,0)</f>
        <v>Desktop</v>
      </c>
      <c r="M1789" t="str">
        <f>VLOOKUP(Googleadssales[[#This Row],[Ad_ID]],'[1]pre processed data'!A:T,20,0)</f>
        <v>data analytics course</v>
      </c>
    </row>
    <row r="1790" spans="1:13" x14ac:dyDescent="0.3">
      <c r="A1790" t="s">
        <v>1803</v>
      </c>
      <c r="B1790" t="s">
        <v>14</v>
      </c>
      <c r="C1790" s="4">
        <f>VLOOKUP(Googleadssales[[#This Row],[Ad_ID]],'[1]pre processed data'!A:C,3,0)</f>
        <v>115</v>
      </c>
      <c r="D1790" s="4">
        <f>VLOOKUP(Googleadssales[[#This Row],[Ad_ID]],'[1]pre processed data'!A:E,5,0)</f>
        <v>5996</v>
      </c>
      <c r="E1790" s="5" t="str">
        <f>VLOOKUP(Googleadssales[[#This Row],[Ad_ID]],[1]!Table3[[Ad_ID]:[Cost-imputed]],7,0)</f>
        <v>$191.99</v>
      </c>
      <c r="F1790" s="4">
        <f>VLOOKUP(Googleadssales[[#This Row],[Ad_ID]],'[1]pre processed data'!A:I,9,0)</f>
        <v>24</v>
      </c>
      <c r="G1790" s="4">
        <f>VLOOKUP(Googleadssales[[#This Row],[Ad_ID]],'[1]pre processed data'!A:K,11,0)</f>
        <v>6.529336734693878</v>
      </c>
      <c r="H1790" s="2">
        <f>Googleadssales[[#This Row],[Conversions]]/Googleadssales[[#This Row],[Clicks]]</f>
        <v>5.6776841171251112E-2</v>
      </c>
      <c r="I1790" t="str">
        <f>VLOOKUP(Googleadssales[[#This Row],[Ad_ID]],'[1]pre processed data'!A:O,15,0)</f>
        <v>$1822</v>
      </c>
      <c r="J1790" s="3">
        <f>VLOOKUP(Googleadssales[[#This Row],[Ad_ID]],'[1]pre processed data'!A:Q,17,0)</f>
        <v>45616</v>
      </c>
      <c r="K1790" t="str">
        <f>VLOOKUP(Googleadssales[[#This Row],[Ad_ID]],'[1]pre processed data'!A:R,18,0)</f>
        <v>Hyderabad</v>
      </c>
      <c r="L1790" t="str">
        <f>VLOOKUP(Googleadssales[[#This Row],[Ad_ID]],'[1]pre processed data'!A:S,19,0)</f>
        <v>Mobile</v>
      </c>
      <c r="M1790" t="str">
        <f>VLOOKUP(Googleadssales[[#This Row],[Ad_ID]],'[1]pre processed data'!A:T,20,0)</f>
        <v>data analytics course</v>
      </c>
    </row>
    <row r="1791" spans="1:13" x14ac:dyDescent="0.3">
      <c r="A1791" t="s">
        <v>1804</v>
      </c>
      <c r="B1791" t="s">
        <v>14</v>
      </c>
      <c r="C1791" s="4">
        <f>VLOOKUP(Googleadssales[[#This Row],[Ad_ID]],'[1]pre processed data'!A:C,3,0)</f>
        <v>149</v>
      </c>
      <c r="D1791" s="4">
        <f>VLOOKUP(Googleadssales[[#This Row],[Ad_ID]],'[1]pre processed data'!A:E,5,0)</f>
        <v>3249</v>
      </c>
      <c r="E1791" s="5" t="str">
        <f>VLOOKUP(Googleadssales[[#This Row],[Ad_ID]],[1]!Table3[[Ad_ID]:[Cost-imputed]],7,0)</f>
        <v>$202.43</v>
      </c>
      <c r="F1791" s="4">
        <f>VLOOKUP(Googleadssales[[#This Row],[Ad_ID]],'[1]pre processed data'!A:I,9,0)</f>
        <v>11</v>
      </c>
      <c r="G1791" s="4">
        <f>VLOOKUP(Googleadssales[[#This Row],[Ad_ID]],'[1]pre processed data'!A:K,11,0)</f>
        <v>6</v>
      </c>
      <c r="H1791" s="2">
        <f>Googleadssales[[#This Row],[Conversions]]/Googleadssales[[#This Row],[Clicks]]</f>
        <v>4.0268456375838924E-2</v>
      </c>
      <c r="I1791" t="str">
        <f>VLOOKUP(Googleadssales[[#This Row],[Ad_ID]],'[1]pre processed data'!A:O,15,0)</f>
        <v>$1027</v>
      </c>
      <c r="J1791" s="3">
        <f>VLOOKUP(Googleadssales[[#This Row],[Ad_ID]],'[1]pre processed data'!A:Q,17,0)</f>
        <v>45600</v>
      </c>
      <c r="K1791" t="str">
        <f>VLOOKUP(Googleadssales[[#This Row],[Ad_ID]],'[1]pre processed data'!A:R,18,0)</f>
        <v>Hyderabad</v>
      </c>
      <c r="L1791" t="str">
        <f>VLOOKUP(Googleadssales[[#This Row],[Ad_ID]],'[1]pre processed data'!A:S,19,0)</f>
        <v>Desktop</v>
      </c>
      <c r="M1791" t="str">
        <f>VLOOKUP(Googleadssales[[#This Row],[Ad_ID]],'[1]pre processed data'!A:T,20,0)</f>
        <v>analytics for data</v>
      </c>
    </row>
    <row r="1792" spans="1:13" x14ac:dyDescent="0.3">
      <c r="A1792" t="s">
        <v>1805</v>
      </c>
      <c r="B1792" t="s">
        <v>14</v>
      </c>
      <c r="C1792" s="4">
        <f>VLOOKUP(Googleadssales[[#This Row],[Ad_ID]],'[1]pre processed data'!A:C,3,0)</f>
        <v>136</v>
      </c>
      <c r="D1792" s="4">
        <f>VLOOKUP(Googleadssales[[#This Row],[Ad_ID]],'[1]pre processed data'!A:E,5,0)</f>
        <v>4351</v>
      </c>
      <c r="E1792" s="5" t="str">
        <f>VLOOKUP(Googleadssales[[#This Row],[Ad_ID]],[1]!Table3[[Ad_ID]:[Cost-imputed]],7,0)</f>
        <v>$233.43</v>
      </c>
      <c r="F1792" s="4">
        <f>VLOOKUP(Googleadssales[[#This Row],[Ad_ID]],'[1]pre processed data'!A:I,9,0)</f>
        <v>18</v>
      </c>
      <c r="G1792" s="4">
        <f>VLOOKUP(Googleadssales[[#This Row],[Ad_ID]],'[1]pre processed data'!A:K,11,0)</f>
        <v>6</v>
      </c>
      <c r="H1792" s="2">
        <f>Googleadssales[[#This Row],[Conversions]]/Googleadssales[[#This Row],[Clicks]]</f>
        <v>4.4117647058823532E-2</v>
      </c>
      <c r="I1792" t="str">
        <f>VLOOKUP(Googleadssales[[#This Row],[Ad_ID]],'[1]pre processed data'!A:O,15,0)</f>
        <v>$1299</v>
      </c>
      <c r="J1792" s="3">
        <f>VLOOKUP(Googleadssales[[#This Row],[Ad_ID]],'[1]pre processed data'!A:Q,17,0)</f>
        <v>45608</v>
      </c>
      <c r="K1792" t="str">
        <f>VLOOKUP(Googleadssales[[#This Row],[Ad_ID]],'[1]pre processed data'!A:R,18,0)</f>
        <v>Bangaluru</v>
      </c>
      <c r="L1792" t="str">
        <f>VLOOKUP(Googleadssales[[#This Row],[Ad_ID]],'[1]pre processed data'!A:S,19,0)</f>
        <v>Tablet</v>
      </c>
      <c r="M1792" t="str">
        <f>VLOOKUP(Googleadssales[[#This Row],[Ad_ID]],'[1]pre processed data'!A:T,20,0)</f>
        <v>online data analytic</v>
      </c>
    </row>
    <row r="1793" spans="1:13" x14ac:dyDescent="0.3">
      <c r="A1793" t="s">
        <v>1806</v>
      </c>
      <c r="B1793" t="s">
        <v>14</v>
      </c>
      <c r="C1793" s="4">
        <f>VLOOKUP(Googleadssales[[#This Row],[Ad_ID]],'[1]pre processed data'!A:C,3,0)</f>
        <v>119</v>
      </c>
      <c r="D1793" s="4">
        <f>VLOOKUP(Googleadssales[[#This Row],[Ad_ID]],'[1]pre processed data'!A:E,5,0)</f>
        <v>5805</v>
      </c>
      <c r="E1793" s="5" t="str">
        <f>VLOOKUP(Googleadssales[[#This Row],[Ad_ID]],[1]!Table3[[Ad_ID]:[Cost-imputed]],7,0)</f>
        <v>$245.13</v>
      </c>
      <c r="F1793" s="4">
        <f>VLOOKUP(Googleadssales[[#This Row],[Ad_ID]],'[1]pre processed data'!A:I,9,0)</f>
        <v>25</v>
      </c>
      <c r="G1793" s="4">
        <f>VLOOKUP(Googleadssales[[#This Row],[Ad_ID]],'[1]pre processed data'!A:K,11,0)</f>
        <v>6</v>
      </c>
      <c r="H1793" s="2">
        <f>Googleadssales[[#This Row],[Conversions]]/Googleadssales[[#This Row],[Clicks]]</f>
        <v>5.0420168067226892E-2</v>
      </c>
      <c r="I1793" t="str">
        <f>VLOOKUP(Googleadssales[[#This Row],[Ad_ID]],'[1]pre processed data'!A:O,15,0)</f>
        <v>$1122</v>
      </c>
      <c r="J1793" s="3">
        <f>VLOOKUP(Googleadssales[[#This Row],[Ad_ID]],'[1]pre processed data'!A:Q,17,0)</f>
        <v>45609</v>
      </c>
      <c r="K1793" t="str">
        <f>VLOOKUP(Googleadssales[[#This Row],[Ad_ID]],'[1]pre processed data'!A:R,18,0)</f>
        <v>Hyderabad</v>
      </c>
      <c r="L1793" t="str">
        <f>VLOOKUP(Googleadssales[[#This Row],[Ad_ID]],'[1]pre processed data'!A:S,19,0)</f>
        <v>Tablet</v>
      </c>
      <c r="M1793" t="str">
        <f>VLOOKUP(Googleadssales[[#This Row],[Ad_ID]],'[1]pre processed data'!A:T,20,0)</f>
        <v>online data analytic</v>
      </c>
    </row>
    <row r="1794" spans="1:13" x14ac:dyDescent="0.3">
      <c r="A1794" t="s">
        <v>1807</v>
      </c>
      <c r="B1794" t="s">
        <v>14</v>
      </c>
      <c r="C1794" s="4">
        <f>VLOOKUP(Googleadssales[[#This Row],[Ad_ID]],'[1]pre processed data'!A:C,3,0)</f>
        <v>186</v>
      </c>
      <c r="D1794" s="4">
        <f>VLOOKUP(Googleadssales[[#This Row],[Ad_ID]],'[1]pre processed data'!A:E,5,0)</f>
        <v>5685</v>
      </c>
      <c r="E1794" s="5" t="str">
        <f>VLOOKUP(Googleadssales[[#This Row],[Ad_ID]],[1]!Table3[[Ad_ID]:[Cost-imputed]],7,0)</f>
        <v>$197.15</v>
      </c>
      <c r="F1794" s="4">
        <f>VLOOKUP(Googleadssales[[#This Row],[Ad_ID]],'[1]pre processed data'!A:I,9,0)</f>
        <v>18</v>
      </c>
      <c r="G1794" s="4">
        <f>VLOOKUP(Googleadssales[[#This Row],[Ad_ID]],'[1]pre processed data'!A:K,11,0)</f>
        <v>10</v>
      </c>
      <c r="H1794" s="2">
        <f>Googleadssales[[#This Row],[Conversions]]/Googleadssales[[#This Row],[Clicks]]</f>
        <v>5.3763440860215055E-2</v>
      </c>
      <c r="I1794" t="str">
        <f>VLOOKUP(Googleadssales[[#This Row],[Ad_ID]],'[1]pre processed data'!A:O,15,0)</f>
        <v>$1273</v>
      </c>
      <c r="J1794" s="3">
        <f>VLOOKUP(Googleadssales[[#This Row],[Ad_ID]],'[1]pre processed data'!A:Q,17,0)</f>
        <v>45620</v>
      </c>
      <c r="K1794" t="str">
        <f>VLOOKUP(Googleadssales[[#This Row],[Ad_ID]],'[1]pre processed data'!A:R,18,0)</f>
        <v>Hyderabad</v>
      </c>
      <c r="L1794" t="str">
        <f>VLOOKUP(Googleadssales[[#This Row],[Ad_ID]],'[1]pre processed data'!A:S,19,0)</f>
        <v>Desktop</v>
      </c>
      <c r="M1794" t="str">
        <f>VLOOKUP(Googleadssales[[#This Row],[Ad_ID]],'[1]pre processed data'!A:T,20,0)</f>
        <v>data analytics course</v>
      </c>
    </row>
    <row r="1795" spans="1:13" x14ac:dyDescent="0.3">
      <c r="A1795" t="s">
        <v>1808</v>
      </c>
      <c r="B1795" t="s">
        <v>14</v>
      </c>
      <c r="C1795" s="4">
        <f>VLOOKUP(Googleadssales[[#This Row],[Ad_ID]],'[1]pre processed data'!A:C,3,0)</f>
        <v>91</v>
      </c>
      <c r="D1795" s="4">
        <f>VLOOKUP(Googleadssales[[#This Row],[Ad_ID]],'[1]pre processed data'!A:E,5,0)</f>
        <v>3199</v>
      </c>
      <c r="E1795" s="5" t="str">
        <f>VLOOKUP(Googleadssales[[#This Row],[Ad_ID]],[1]!Table3[[Ad_ID]:[Cost-imputed]],7,0)</f>
        <v>$196.04</v>
      </c>
      <c r="F1795" s="4">
        <f>VLOOKUP(Googleadssales[[#This Row],[Ad_ID]],'[1]pre processed data'!A:I,9,0)</f>
        <v>27</v>
      </c>
      <c r="G1795" s="4">
        <f>VLOOKUP(Googleadssales[[#This Row],[Ad_ID]],'[1]pre processed data'!A:K,11,0)</f>
        <v>4</v>
      </c>
      <c r="H1795" s="2">
        <f>Googleadssales[[#This Row],[Conversions]]/Googleadssales[[#This Row],[Clicks]]</f>
        <v>4.3956043956043959E-2</v>
      </c>
      <c r="I1795" t="str">
        <f>VLOOKUP(Googleadssales[[#This Row],[Ad_ID]],'[1]pre processed data'!A:O,15,0)</f>
        <v>$1737</v>
      </c>
      <c r="J1795" s="3">
        <f>VLOOKUP(Googleadssales[[#This Row],[Ad_ID]],'[1]pre processed data'!A:Q,17,0)</f>
        <v>45621</v>
      </c>
      <c r="K1795" t="str">
        <f>VLOOKUP(Googleadssales[[#This Row],[Ad_ID]],'[1]pre processed data'!A:R,18,0)</f>
        <v>Bangaluru</v>
      </c>
      <c r="L1795" t="str">
        <f>VLOOKUP(Googleadssales[[#This Row],[Ad_ID]],'[1]pre processed data'!A:S,19,0)</f>
        <v>Tablet</v>
      </c>
      <c r="M1795" t="str">
        <f>VLOOKUP(Googleadssales[[#This Row],[Ad_ID]],'[1]pre processed data'!A:T,20,0)</f>
        <v>data analytics training</v>
      </c>
    </row>
    <row r="1796" spans="1:13" x14ac:dyDescent="0.3">
      <c r="A1796" t="s">
        <v>1809</v>
      </c>
      <c r="B1796" t="s">
        <v>14</v>
      </c>
      <c r="C1796" s="4">
        <f>VLOOKUP(Googleadssales[[#This Row],[Ad_ID]],'[1]pre processed data'!A:C,3,0)</f>
        <v>171</v>
      </c>
      <c r="D1796" s="4">
        <f>VLOOKUP(Googleadssales[[#This Row],[Ad_ID]],'[1]pre processed data'!A:E,5,0)</f>
        <v>3490</v>
      </c>
      <c r="E1796" s="5" t="str">
        <f>VLOOKUP(Googleadssales[[#This Row],[Ad_ID]],[1]!Table3[[Ad_ID]:[Cost-imputed]],7,0)</f>
        <v>$180.82</v>
      </c>
      <c r="F1796" s="4">
        <f>VLOOKUP(Googleadssales[[#This Row],[Ad_ID]],'[1]pre processed data'!A:I,9,0)</f>
        <v>11</v>
      </c>
      <c r="G1796" s="4">
        <f>VLOOKUP(Googleadssales[[#This Row],[Ad_ID]],'[1]pre processed data'!A:K,11,0)</f>
        <v>8</v>
      </c>
      <c r="H1796" s="2">
        <f>Googleadssales[[#This Row],[Conversions]]/Googleadssales[[#This Row],[Clicks]]</f>
        <v>4.6783625730994149E-2</v>
      </c>
      <c r="I1796" t="str">
        <f>VLOOKUP(Googleadssales[[#This Row],[Ad_ID]],'[1]pre processed data'!A:O,15,0)</f>
        <v>$1497</v>
      </c>
      <c r="J1796" s="3">
        <f>VLOOKUP(Googleadssales[[#This Row],[Ad_ID]],'[1]pre processed data'!A:Q,17,0)</f>
        <v>45610</v>
      </c>
      <c r="K1796" t="str">
        <f>VLOOKUP(Googleadssales[[#This Row],[Ad_ID]],'[1]pre processed data'!A:R,18,0)</f>
        <v>Hyderabad</v>
      </c>
      <c r="L1796" t="str">
        <f>VLOOKUP(Googleadssales[[#This Row],[Ad_ID]],'[1]pre processed data'!A:S,19,0)</f>
        <v>Mobile</v>
      </c>
      <c r="M1796" t="str">
        <f>VLOOKUP(Googleadssales[[#This Row],[Ad_ID]],'[1]pre processed data'!A:T,20,0)</f>
        <v>data analytics course</v>
      </c>
    </row>
    <row r="1797" spans="1:13" x14ac:dyDescent="0.3">
      <c r="A1797" t="s">
        <v>1810</v>
      </c>
      <c r="B1797" t="s">
        <v>14</v>
      </c>
      <c r="C1797" s="4">
        <f>VLOOKUP(Googleadssales[[#This Row],[Ad_ID]],'[1]pre processed data'!A:C,3,0)</f>
        <v>149</v>
      </c>
      <c r="D1797" s="4">
        <f>VLOOKUP(Googleadssales[[#This Row],[Ad_ID]],'[1]pre processed data'!A:E,5,0)</f>
        <v>3584</v>
      </c>
      <c r="E1797" s="5" t="str">
        <f>VLOOKUP(Googleadssales[[#This Row],[Ad_ID]],[1]!Table3[[Ad_ID]:[Cost-imputed]],7,0)</f>
        <v>$199.9</v>
      </c>
      <c r="F1797" s="4">
        <f>VLOOKUP(Googleadssales[[#This Row],[Ad_ID]],'[1]pre processed data'!A:I,9,0)</f>
        <v>21</v>
      </c>
      <c r="G1797" s="4">
        <f>VLOOKUP(Googleadssales[[#This Row],[Ad_ID]],'[1]pre processed data'!A:K,11,0)</f>
        <v>8</v>
      </c>
      <c r="H1797" s="2">
        <f>Googleadssales[[#This Row],[Conversions]]/Googleadssales[[#This Row],[Clicks]]</f>
        <v>5.3691275167785234E-2</v>
      </c>
      <c r="I1797" t="str">
        <f>VLOOKUP(Googleadssales[[#This Row],[Ad_ID]],'[1]pre processed data'!A:O,15,0)</f>
        <v>$1500</v>
      </c>
      <c r="J1797" s="3">
        <f>VLOOKUP(Googleadssales[[#This Row],[Ad_ID]],'[1]pre processed data'!A:Q,17,0)</f>
        <v>45614</v>
      </c>
      <c r="K1797" t="str">
        <f>VLOOKUP(Googleadssales[[#This Row],[Ad_ID]],'[1]pre processed data'!A:R,18,0)</f>
        <v>Chennai</v>
      </c>
      <c r="L1797" t="str">
        <f>VLOOKUP(Googleadssales[[#This Row],[Ad_ID]],'[1]pre processed data'!A:S,19,0)</f>
        <v>Mobile</v>
      </c>
      <c r="M1797" t="str">
        <f>VLOOKUP(Googleadssales[[#This Row],[Ad_ID]],'[1]pre processed data'!A:T,20,0)</f>
        <v>learn data analytics</v>
      </c>
    </row>
    <row r="1798" spans="1:13" x14ac:dyDescent="0.3">
      <c r="A1798" t="s">
        <v>1811</v>
      </c>
      <c r="B1798" t="s">
        <v>14</v>
      </c>
      <c r="C1798" s="4">
        <f>VLOOKUP(Googleadssales[[#This Row],[Ad_ID]],'[1]pre processed data'!A:C,3,0)</f>
        <v>121</v>
      </c>
      <c r="D1798" s="4">
        <f>VLOOKUP(Googleadssales[[#This Row],[Ad_ID]],'[1]pre processed data'!A:E,5,0)</f>
        <v>3757</v>
      </c>
      <c r="E1798" s="5" t="str">
        <f>VLOOKUP(Googleadssales[[#This Row],[Ad_ID]],[1]!Table3[[Ad_ID]:[Cost-imputed]],7,0)</f>
        <v>$241.14</v>
      </c>
      <c r="F1798" s="4">
        <f>VLOOKUP(Googleadssales[[#This Row],[Ad_ID]],'[1]pre processed data'!A:I,9,0)</f>
        <v>16</v>
      </c>
      <c r="G1798" s="4">
        <f>VLOOKUP(Googleadssales[[#This Row],[Ad_ID]],'[1]pre processed data'!A:K,11,0)</f>
        <v>3</v>
      </c>
      <c r="H1798" s="2">
        <f>Googleadssales[[#This Row],[Conversions]]/Googleadssales[[#This Row],[Clicks]]</f>
        <v>2.4793388429752067E-2</v>
      </c>
      <c r="I1798" t="str">
        <f>VLOOKUP(Googleadssales[[#This Row],[Ad_ID]],'[1]pre processed data'!A:O,15,0)</f>
        <v>$1226</v>
      </c>
      <c r="J1798" s="3">
        <f>VLOOKUP(Googleadssales[[#This Row],[Ad_ID]],'[1]pre processed data'!A:Q,17,0)</f>
        <v>45607</v>
      </c>
      <c r="K1798" t="str">
        <f>VLOOKUP(Googleadssales[[#This Row],[Ad_ID]],'[1]pre processed data'!A:R,18,0)</f>
        <v>Hyderabad</v>
      </c>
      <c r="L1798" t="str">
        <f>VLOOKUP(Googleadssales[[#This Row],[Ad_ID]],'[1]pre processed data'!A:S,19,0)</f>
        <v>Desktop</v>
      </c>
      <c r="M1798" t="str">
        <f>VLOOKUP(Googleadssales[[#This Row],[Ad_ID]],'[1]pre processed data'!A:T,20,0)</f>
        <v>data analytics online</v>
      </c>
    </row>
    <row r="1799" spans="1:13" x14ac:dyDescent="0.3">
      <c r="A1799" t="s">
        <v>1812</v>
      </c>
      <c r="B1799" t="s">
        <v>14</v>
      </c>
      <c r="C1799" s="4">
        <f>VLOOKUP(Googleadssales[[#This Row],[Ad_ID]],'[1]pre processed data'!A:C,3,0)</f>
        <v>189</v>
      </c>
      <c r="D1799" s="4">
        <f>VLOOKUP(Googleadssales[[#This Row],[Ad_ID]],'[1]pre processed data'!A:E,5,0)</f>
        <v>3029</v>
      </c>
      <c r="E1799" s="5" t="str">
        <f>VLOOKUP(Googleadssales[[#This Row],[Ad_ID]],[1]!Table3[[Ad_ID]:[Cost-imputed]],7,0)</f>
        <v>$200.00</v>
      </c>
      <c r="F1799" s="4">
        <f>VLOOKUP(Googleadssales[[#This Row],[Ad_ID]],'[1]pre processed data'!A:I,9,0)</f>
        <v>21</v>
      </c>
      <c r="G1799" s="4">
        <f>VLOOKUP(Googleadssales[[#This Row],[Ad_ID]],'[1]pre processed data'!A:K,11,0)</f>
        <v>3</v>
      </c>
      <c r="H1799" s="2">
        <f>Googleadssales[[#This Row],[Conversions]]/Googleadssales[[#This Row],[Clicks]]</f>
        <v>1.5873015873015872E-2</v>
      </c>
      <c r="I1799" t="str">
        <f>VLOOKUP(Googleadssales[[#This Row],[Ad_ID]],'[1]pre processed data'!A:O,15,0)</f>
        <v>$1016</v>
      </c>
      <c r="J1799" s="3">
        <f>VLOOKUP(Googleadssales[[#This Row],[Ad_ID]],'[1]pre processed data'!A:Q,17,0)</f>
        <v>45601</v>
      </c>
      <c r="K1799" t="str">
        <f>VLOOKUP(Googleadssales[[#This Row],[Ad_ID]],'[1]pre processed data'!A:R,18,0)</f>
        <v>Hyderabad</v>
      </c>
      <c r="L1799" t="str">
        <f>VLOOKUP(Googleadssales[[#This Row],[Ad_ID]],'[1]pre processed data'!A:S,19,0)</f>
        <v>Desktop</v>
      </c>
      <c r="M1799" t="str">
        <f>VLOOKUP(Googleadssales[[#This Row],[Ad_ID]],'[1]pre processed data'!A:T,20,0)</f>
        <v>data analytics training</v>
      </c>
    </row>
    <row r="1800" spans="1:13" x14ac:dyDescent="0.3">
      <c r="A1800" t="s">
        <v>1813</v>
      </c>
      <c r="B1800" t="s">
        <v>14</v>
      </c>
      <c r="C1800" s="4">
        <f>VLOOKUP(Googleadssales[[#This Row],[Ad_ID]],'[1]pre processed data'!A:C,3,0)</f>
        <v>183</v>
      </c>
      <c r="D1800" s="4">
        <f>VLOOKUP(Googleadssales[[#This Row],[Ad_ID]],'[1]pre processed data'!A:E,5,0)</f>
        <v>3876</v>
      </c>
      <c r="E1800" s="5" t="str">
        <f>VLOOKUP(Googleadssales[[#This Row],[Ad_ID]],[1]!Table3[[Ad_ID]:[Cost-imputed]],7,0)</f>
        <v>$237.72</v>
      </c>
      <c r="F1800" s="4">
        <f>VLOOKUP(Googleadssales[[#This Row],[Ad_ID]],'[1]pre processed data'!A:I,9,0)</f>
        <v>13</v>
      </c>
      <c r="G1800" s="4">
        <f>VLOOKUP(Googleadssales[[#This Row],[Ad_ID]],'[1]pre processed data'!A:K,11,0)</f>
        <v>10</v>
      </c>
      <c r="H1800" s="2">
        <f>Googleadssales[[#This Row],[Conversions]]/Googleadssales[[#This Row],[Clicks]]</f>
        <v>5.4644808743169397E-2</v>
      </c>
      <c r="I1800" t="str">
        <f>VLOOKUP(Googleadssales[[#This Row],[Ad_ID]],'[1]pre processed data'!A:O,15,0)</f>
        <v>$1682</v>
      </c>
      <c r="J1800" s="3">
        <f>VLOOKUP(Googleadssales[[#This Row],[Ad_ID]],'[1]pre processed data'!A:Q,17,0)</f>
        <v>45607</v>
      </c>
      <c r="K1800" t="str">
        <f>VLOOKUP(Googleadssales[[#This Row],[Ad_ID]],'[1]pre processed data'!A:R,18,0)</f>
        <v>Bangaluru</v>
      </c>
      <c r="L1800" t="str">
        <f>VLOOKUP(Googleadssales[[#This Row],[Ad_ID]],'[1]pre processed data'!A:S,19,0)</f>
        <v>Mobile</v>
      </c>
      <c r="M1800" t="str">
        <f>VLOOKUP(Googleadssales[[#This Row],[Ad_ID]],'[1]pre processed data'!A:T,20,0)</f>
        <v>data analytics online</v>
      </c>
    </row>
    <row r="1801" spans="1:13" x14ac:dyDescent="0.3">
      <c r="A1801" t="s">
        <v>1814</v>
      </c>
      <c r="B1801" t="s">
        <v>14</v>
      </c>
      <c r="C1801" s="4">
        <f>VLOOKUP(Googleadssales[[#This Row],[Ad_ID]],'[1]pre processed data'!A:C,3,0)</f>
        <v>133</v>
      </c>
      <c r="D1801" s="4">
        <f>VLOOKUP(Googleadssales[[#This Row],[Ad_ID]],'[1]pre processed data'!A:E,5,0)</f>
        <v>4622</v>
      </c>
      <c r="E1801" s="5" t="str">
        <f>VLOOKUP(Googleadssales[[#This Row],[Ad_ID]],[1]!Table3[[Ad_ID]:[Cost-imputed]],7,0)</f>
        <v>$243.63</v>
      </c>
      <c r="F1801" s="4">
        <f>VLOOKUP(Googleadssales[[#This Row],[Ad_ID]],'[1]pre processed data'!A:I,9,0)</f>
        <v>26</v>
      </c>
      <c r="G1801" s="4">
        <f>VLOOKUP(Googleadssales[[#This Row],[Ad_ID]],'[1]pre processed data'!A:K,11,0)</f>
        <v>5</v>
      </c>
      <c r="H1801" s="2">
        <f>Googleadssales[[#This Row],[Conversions]]/Googleadssales[[#This Row],[Clicks]]</f>
        <v>3.7593984962406013E-2</v>
      </c>
      <c r="I1801" t="str">
        <f>VLOOKUP(Googleadssales[[#This Row],[Ad_ID]],'[1]pre processed data'!A:O,15,0)</f>
        <v>$1742</v>
      </c>
      <c r="J1801" s="3">
        <f>VLOOKUP(Googleadssales[[#This Row],[Ad_ID]],'[1]pre processed data'!A:Q,17,0)</f>
        <v>45618</v>
      </c>
      <c r="K1801" t="str">
        <f>VLOOKUP(Googleadssales[[#This Row],[Ad_ID]],'[1]pre processed data'!A:R,18,0)</f>
        <v>Bangaluru</v>
      </c>
      <c r="L1801" t="str">
        <f>VLOOKUP(Googleadssales[[#This Row],[Ad_ID]],'[1]pre processed data'!A:S,19,0)</f>
        <v>Mobile</v>
      </c>
      <c r="M1801" t="str">
        <f>VLOOKUP(Googleadssales[[#This Row],[Ad_ID]],'[1]pre processed data'!A:T,20,0)</f>
        <v>analytics for data</v>
      </c>
    </row>
    <row r="1802" spans="1:13" x14ac:dyDescent="0.3">
      <c r="A1802" t="s">
        <v>1815</v>
      </c>
      <c r="B1802" t="s">
        <v>14</v>
      </c>
      <c r="C1802" s="4">
        <f>VLOOKUP(Googleadssales[[#This Row],[Ad_ID]],'[1]pre processed data'!A:C,3,0)</f>
        <v>127</v>
      </c>
      <c r="D1802" s="4">
        <f>VLOOKUP(Googleadssales[[#This Row],[Ad_ID]],'[1]pre processed data'!A:E,5,0)</f>
        <v>3249</v>
      </c>
      <c r="E1802" s="5" t="str">
        <f>VLOOKUP(Googleadssales[[#This Row],[Ad_ID]],[1]!Table3[[Ad_ID]:[Cost-imputed]],7,0)</f>
        <v>$244.01</v>
      </c>
      <c r="F1802" s="4">
        <f>VLOOKUP(Googleadssales[[#This Row],[Ad_ID]],'[1]pre processed data'!A:I,9,0)</f>
        <v>25</v>
      </c>
      <c r="G1802" s="4">
        <f>VLOOKUP(Googleadssales[[#This Row],[Ad_ID]],'[1]pre processed data'!A:K,11,0)</f>
        <v>5</v>
      </c>
      <c r="H1802" s="2">
        <f>Googleadssales[[#This Row],[Conversions]]/Googleadssales[[#This Row],[Clicks]]</f>
        <v>3.937007874015748E-2</v>
      </c>
      <c r="I1802" t="str">
        <f>VLOOKUP(Googleadssales[[#This Row],[Ad_ID]],'[1]pre processed data'!A:O,15,0)</f>
        <v>$1248</v>
      </c>
      <c r="J1802" s="3">
        <f>VLOOKUP(Googleadssales[[#This Row],[Ad_ID]],'[1]pre processed data'!A:Q,17,0)</f>
        <v>45601</v>
      </c>
      <c r="K1802" t="str">
        <f>VLOOKUP(Googleadssales[[#This Row],[Ad_ID]],'[1]pre processed data'!A:R,18,0)</f>
        <v>Hyderabad</v>
      </c>
      <c r="L1802" t="str">
        <f>VLOOKUP(Googleadssales[[#This Row],[Ad_ID]],'[1]pre processed data'!A:S,19,0)</f>
        <v>Mobile</v>
      </c>
      <c r="M1802" t="str">
        <f>VLOOKUP(Googleadssales[[#This Row],[Ad_ID]],'[1]pre processed data'!A:T,20,0)</f>
        <v>analytics for data</v>
      </c>
    </row>
    <row r="1803" spans="1:13" x14ac:dyDescent="0.3">
      <c r="A1803" t="s">
        <v>1816</v>
      </c>
      <c r="B1803" t="s">
        <v>14</v>
      </c>
      <c r="C1803" s="4">
        <f>VLOOKUP(Googleadssales[[#This Row],[Ad_ID]],'[1]pre processed data'!A:C,3,0)</f>
        <v>195</v>
      </c>
      <c r="D1803" s="4">
        <f>VLOOKUP(Googleadssales[[#This Row],[Ad_ID]],'[1]pre processed data'!A:E,5,0)</f>
        <v>3372</v>
      </c>
      <c r="E1803" s="5" t="str">
        <f>VLOOKUP(Googleadssales[[#This Row],[Ad_ID]],[1]!Table3[[Ad_ID]:[Cost-imputed]],7,0)</f>
        <v>$225.57</v>
      </c>
      <c r="F1803" s="4">
        <f>VLOOKUP(Googleadssales[[#This Row],[Ad_ID]],'[1]pre processed data'!A:I,9,0)</f>
        <v>10</v>
      </c>
      <c r="G1803" s="4">
        <f>VLOOKUP(Googleadssales[[#This Row],[Ad_ID]],'[1]pre processed data'!A:K,11,0)</f>
        <v>9</v>
      </c>
      <c r="H1803" s="2">
        <f>Googleadssales[[#This Row],[Conversions]]/Googleadssales[[#This Row],[Clicks]]</f>
        <v>4.6153846153846156E-2</v>
      </c>
      <c r="I1803" t="str">
        <f>VLOOKUP(Googleadssales[[#This Row],[Ad_ID]],'[1]pre processed data'!A:O,15,0)</f>
        <v>$1686</v>
      </c>
      <c r="J1803" s="3">
        <f>VLOOKUP(Googleadssales[[#This Row],[Ad_ID]],'[1]pre processed data'!A:Q,17,0)</f>
        <v>45613</v>
      </c>
      <c r="K1803" t="str">
        <f>VLOOKUP(Googleadssales[[#This Row],[Ad_ID]],'[1]pre processed data'!A:R,18,0)</f>
        <v>Bangaluru</v>
      </c>
      <c r="L1803" t="str">
        <f>VLOOKUP(Googleadssales[[#This Row],[Ad_ID]],'[1]pre processed data'!A:S,19,0)</f>
        <v>Mobile</v>
      </c>
      <c r="M1803" t="str">
        <f>VLOOKUP(Googleadssales[[#This Row],[Ad_ID]],'[1]pre processed data'!A:T,20,0)</f>
        <v>data analytics training</v>
      </c>
    </row>
    <row r="1804" spans="1:13" x14ac:dyDescent="0.3">
      <c r="A1804" t="s">
        <v>1817</v>
      </c>
      <c r="B1804" t="s">
        <v>14</v>
      </c>
      <c r="C1804" s="4">
        <f>VLOOKUP(Googleadssales[[#This Row],[Ad_ID]],'[1]pre processed data'!A:C,3,0)</f>
        <v>138</v>
      </c>
      <c r="D1804" s="4">
        <f>VLOOKUP(Googleadssales[[#This Row],[Ad_ID]],'[1]pre processed data'!A:E,5,0)</f>
        <v>5452</v>
      </c>
      <c r="E1804" s="5" t="str">
        <f>VLOOKUP(Googleadssales[[#This Row],[Ad_ID]],[1]!Table3[[Ad_ID]:[Cost-imputed]],7,0)</f>
        <v>$210.45</v>
      </c>
      <c r="F1804" s="4">
        <f>VLOOKUP(Googleadssales[[#This Row],[Ad_ID]],'[1]pre processed data'!A:I,9,0)</f>
        <v>16</v>
      </c>
      <c r="G1804" s="4">
        <f>VLOOKUP(Googleadssales[[#This Row],[Ad_ID]],'[1]pre processed data'!A:K,11,0)</f>
        <v>8</v>
      </c>
      <c r="H1804" s="2">
        <f>Googleadssales[[#This Row],[Conversions]]/Googleadssales[[#This Row],[Clicks]]</f>
        <v>5.7971014492753624E-2</v>
      </c>
      <c r="I1804" t="str">
        <f>VLOOKUP(Googleadssales[[#This Row],[Ad_ID]],'[1]pre processed data'!A:O,15,0)</f>
        <v>$1964</v>
      </c>
      <c r="J1804" s="3">
        <f>VLOOKUP(Googleadssales[[#This Row],[Ad_ID]],'[1]pre processed data'!A:Q,17,0)</f>
        <v>45598</v>
      </c>
      <c r="K1804" t="str">
        <f>VLOOKUP(Googleadssales[[#This Row],[Ad_ID]],'[1]pre processed data'!A:R,18,0)</f>
        <v>Hyderabad</v>
      </c>
      <c r="L1804" t="str">
        <f>VLOOKUP(Googleadssales[[#This Row],[Ad_ID]],'[1]pre processed data'!A:S,19,0)</f>
        <v>Desktop</v>
      </c>
      <c r="M1804" t="str">
        <f>VLOOKUP(Googleadssales[[#This Row],[Ad_ID]],'[1]pre processed data'!A:T,20,0)</f>
        <v>data analytics training</v>
      </c>
    </row>
    <row r="1805" spans="1:13" x14ac:dyDescent="0.3">
      <c r="A1805" t="s">
        <v>1818</v>
      </c>
      <c r="B1805" t="s">
        <v>14</v>
      </c>
      <c r="C1805" s="4">
        <f>VLOOKUP(Googleadssales[[#This Row],[Ad_ID]],'[1]pre processed data'!A:C,3,0)</f>
        <v>134</v>
      </c>
      <c r="D1805" s="4">
        <f>VLOOKUP(Googleadssales[[#This Row],[Ad_ID]],'[1]pre processed data'!A:E,5,0)</f>
        <v>3011</v>
      </c>
      <c r="E1805" s="5" t="str">
        <f>VLOOKUP(Googleadssales[[#This Row],[Ad_ID]],[1]!Table3[[Ad_ID]:[Cost-imputed]],7,0)</f>
        <v>$230.59</v>
      </c>
      <c r="F1805" s="4">
        <f>VLOOKUP(Googleadssales[[#This Row],[Ad_ID]],'[1]pre processed data'!A:I,9,0)</f>
        <v>21</v>
      </c>
      <c r="G1805" s="4">
        <f>VLOOKUP(Googleadssales[[#This Row],[Ad_ID]],'[1]pre processed data'!A:K,11,0)</f>
        <v>7</v>
      </c>
      <c r="H1805" s="2">
        <f>Googleadssales[[#This Row],[Conversions]]/Googleadssales[[#This Row],[Clicks]]</f>
        <v>5.2238805970149252E-2</v>
      </c>
      <c r="I1805" t="str">
        <f>VLOOKUP(Googleadssales[[#This Row],[Ad_ID]],'[1]pre processed data'!A:O,15,0)</f>
        <v>$1224</v>
      </c>
      <c r="J1805" s="3">
        <f>VLOOKUP(Googleadssales[[#This Row],[Ad_ID]],'[1]pre processed data'!A:Q,17,0)</f>
        <v>45612</v>
      </c>
      <c r="K1805" t="str">
        <f>VLOOKUP(Googleadssales[[#This Row],[Ad_ID]],'[1]pre processed data'!A:R,18,0)</f>
        <v>Hyderabad</v>
      </c>
      <c r="L1805" t="str">
        <f>VLOOKUP(Googleadssales[[#This Row],[Ad_ID]],'[1]pre processed data'!A:S,19,0)</f>
        <v>Mobile</v>
      </c>
      <c r="M1805" t="str">
        <f>VLOOKUP(Googleadssales[[#This Row],[Ad_ID]],'[1]pre processed data'!A:T,20,0)</f>
        <v>online data analytic</v>
      </c>
    </row>
    <row r="1806" spans="1:13" x14ac:dyDescent="0.3">
      <c r="A1806" t="s">
        <v>1819</v>
      </c>
      <c r="B1806" t="s">
        <v>14</v>
      </c>
      <c r="C1806" s="4">
        <f>VLOOKUP(Googleadssales[[#This Row],[Ad_ID]],'[1]pre processed data'!A:C,3,0)</f>
        <v>110</v>
      </c>
      <c r="D1806" s="4">
        <f>VLOOKUP(Googleadssales[[#This Row],[Ad_ID]],'[1]pre processed data'!A:E,5,0)</f>
        <v>3371</v>
      </c>
      <c r="E1806" s="5" t="str">
        <f>VLOOKUP(Googleadssales[[#This Row],[Ad_ID]],[1]!Table3[[Ad_ID]:[Cost-imputed]],7,0)</f>
        <v>$211.89</v>
      </c>
      <c r="F1806" s="4">
        <f>VLOOKUP(Googleadssales[[#This Row],[Ad_ID]],'[1]pre processed data'!A:I,9,0)</f>
        <v>12</v>
      </c>
      <c r="G1806" s="4">
        <f>VLOOKUP(Googleadssales[[#This Row],[Ad_ID]],'[1]pre processed data'!A:K,11,0)</f>
        <v>6</v>
      </c>
      <c r="H1806" s="2">
        <f>Googleadssales[[#This Row],[Conversions]]/Googleadssales[[#This Row],[Clicks]]</f>
        <v>5.4545454545454543E-2</v>
      </c>
      <c r="I1806" t="str">
        <f>VLOOKUP(Googleadssales[[#This Row],[Ad_ID]],'[1]pre processed data'!A:O,15,0)</f>
        <v>$1743</v>
      </c>
      <c r="J1806" s="3">
        <f>VLOOKUP(Googleadssales[[#This Row],[Ad_ID]],'[1]pre processed data'!A:Q,17,0)</f>
        <v>45605</v>
      </c>
      <c r="K1806" t="str">
        <f>VLOOKUP(Googleadssales[[#This Row],[Ad_ID]],'[1]pre processed data'!A:R,18,0)</f>
        <v>Bangaluru</v>
      </c>
      <c r="L1806" t="str">
        <f>VLOOKUP(Googleadssales[[#This Row],[Ad_ID]],'[1]pre processed data'!A:S,19,0)</f>
        <v>Tablet</v>
      </c>
      <c r="M1806" t="str">
        <f>VLOOKUP(Googleadssales[[#This Row],[Ad_ID]],'[1]pre processed data'!A:T,20,0)</f>
        <v>data analytics course</v>
      </c>
    </row>
    <row r="1807" spans="1:13" x14ac:dyDescent="0.3">
      <c r="A1807" t="s">
        <v>1820</v>
      </c>
      <c r="B1807" t="s">
        <v>14</v>
      </c>
      <c r="C1807" s="4">
        <f>VLOOKUP(Googleadssales[[#This Row],[Ad_ID]],'[1]pre processed data'!A:C,3,0)</f>
        <v>186</v>
      </c>
      <c r="D1807" s="4">
        <f>VLOOKUP(Googleadssales[[#This Row],[Ad_ID]],'[1]pre processed data'!A:E,5,0)</f>
        <v>5126</v>
      </c>
      <c r="E1807" s="5" t="str">
        <f>VLOOKUP(Googleadssales[[#This Row],[Ad_ID]],[1]!Table3[[Ad_ID]:[Cost-imputed]],7,0)</f>
        <v>$182.38</v>
      </c>
      <c r="F1807" s="4">
        <f>VLOOKUP(Googleadssales[[#This Row],[Ad_ID]],'[1]pre processed data'!A:I,9,0)</f>
        <v>25</v>
      </c>
      <c r="G1807" s="4">
        <f>VLOOKUP(Googleadssales[[#This Row],[Ad_ID]],'[1]pre processed data'!A:K,11,0)</f>
        <v>7</v>
      </c>
      <c r="H1807" s="2">
        <f>Googleadssales[[#This Row],[Conversions]]/Googleadssales[[#This Row],[Clicks]]</f>
        <v>3.7634408602150539E-2</v>
      </c>
      <c r="I1807" t="str">
        <f>VLOOKUP(Googleadssales[[#This Row],[Ad_ID]],'[1]pre processed data'!A:O,15,0)</f>
        <v>$1856</v>
      </c>
      <c r="J1807" s="3">
        <f>VLOOKUP(Googleadssales[[#This Row],[Ad_ID]],'[1]pre processed data'!A:Q,17,0)</f>
        <v>45614</v>
      </c>
      <c r="K1807" t="str">
        <f>VLOOKUP(Googleadssales[[#This Row],[Ad_ID]],'[1]pre processed data'!A:R,18,0)</f>
        <v>Chennai</v>
      </c>
      <c r="L1807" t="str">
        <f>VLOOKUP(Googleadssales[[#This Row],[Ad_ID]],'[1]pre processed data'!A:S,19,0)</f>
        <v>Tablet</v>
      </c>
      <c r="M1807" t="str">
        <f>VLOOKUP(Googleadssales[[#This Row],[Ad_ID]],'[1]pre processed data'!A:T,20,0)</f>
        <v>data analytics online</v>
      </c>
    </row>
    <row r="1808" spans="1:13" x14ac:dyDescent="0.3">
      <c r="A1808" t="s">
        <v>1821</v>
      </c>
      <c r="B1808" t="s">
        <v>14</v>
      </c>
      <c r="C1808" s="4">
        <f>VLOOKUP(Googleadssales[[#This Row],[Ad_ID]],'[1]pre processed data'!A:C,3,0)</f>
        <v>191</v>
      </c>
      <c r="D1808" s="4">
        <f>VLOOKUP(Googleadssales[[#This Row],[Ad_ID]],'[1]pre processed data'!A:E,5,0)</f>
        <v>5257</v>
      </c>
      <c r="E1808" s="5" t="str">
        <f>VLOOKUP(Googleadssales[[#This Row],[Ad_ID]],[1]!Table3[[Ad_ID]:[Cost-imputed]],7,0)</f>
        <v>$219.4</v>
      </c>
      <c r="F1808" s="4">
        <f>VLOOKUP(Googleadssales[[#This Row],[Ad_ID]],'[1]pre processed data'!A:I,9,0)</f>
        <v>29</v>
      </c>
      <c r="G1808" s="4">
        <f>VLOOKUP(Googleadssales[[#This Row],[Ad_ID]],'[1]pre processed data'!A:K,11,0)</f>
        <v>6</v>
      </c>
      <c r="H1808" s="2">
        <f>Googleadssales[[#This Row],[Conversions]]/Googleadssales[[#This Row],[Clicks]]</f>
        <v>3.1413612565445025E-2</v>
      </c>
      <c r="I1808" t="str">
        <f>VLOOKUP(Googleadssales[[#This Row],[Ad_ID]],'[1]pre processed data'!A:O,15,0)</f>
        <v>$1730</v>
      </c>
      <c r="J1808" s="3">
        <f>VLOOKUP(Googleadssales[[#This Row],[Ad_ID]],'[1]pre processed data'!A:Q,17,0)</f>
        <v>45600</v>
      </c>
      <c r="K1808" t="str">
        <f>VLOOKUP(Googleadssales[[#This Row],[Ad_ID]],'[1]pre processed data'!A:R,18,0)</f>
        <v>Chennai</v>
      </c>
      <c r="L1808" t="str">
        <f>VLOOKUP(Googleadssales[[#This Row],[Ad_ID]],'[1]pre processed data'!A:S,19,0)</f>
        <v>Mobile</v>
      </c>
      <c r="M1808" t="str">
        <f>VLOOKUP(Googleadssales[[#This Row],[Ad_ID]],'[1]pre processed data'!A:T,20,0)</f>
        <v>data analytics online</v>
      </c>
    </row>
    <row r="1809" spans="1:13" x14ac:dyDescent="0.3">
      <c r="A1809" t="s">
        <v>1822</v>
      </c>
      <c r="B1809" t="s">
        <v>14</v>
      </c>
      <c r="C1809" s="4">
        <f>VLOOKUP(Googleadssales[[#This Row],[Ad_ID]],'[1]pre processed data'!A:C,3,0)</f>
        <v>169</v>
      </c>
      <c r="D1809" s="4">
        <f>VLOOKUP(Googleadssales[[#This Row],[Ad_ID]],'[1]pre processed data'!A:E,5,0)</f>
        <v>3475</v>
      </c>
      <c r="E1809" s="5" t="str">
        <f>VLOOKUP(Googleadssales[[#This Row],[Ad_ID]],[1]!Table3[[Ad_ID]:[Cost-imputed]],7,0)</f>
        <v>$247.16</v>
      </c>
      <c r="F1809" s="4">
        <f>VLOOKUP(Googleadssales[[#This Row],[Ad_ID]],'[1]pre processed data'!A:I,9,0)</f>
        <v>12</v>
      </c>
      <c r="G1809" s="4">
        <f>VLOOKUP(Googleadssales[[#This Row],[Ad_ID]],'[1]pre processed data'!A:K,11,0)</f>
        <v>3</v>
      </c>
      <c r="H1809" s="2">
        <f>Googleadssales[[#This Row],[Conversions]]/Googleadssales[[#This Row],[Clicks]]</f>
        <v>1.7751479289940829E-2</v>
      </c>
      <c r="I1809" t="str">
        <f>VLOOKUP(Googleadssales[[#This Row],[Ad_ID]],'[1]pre processed data'!A:O,15,0)</f>
        <v>$1985</v>
      </c>
      <c r="J1809" s="3">
        <f>VLOOKUP(Googleadssales[[#This Row],[Ad_ID]],'[1]pre processed data'!A:Q,17,0)</f>
        <v>45608</v>
      </c>
      <c r="K1809" t="str">
        <f>VLOOKUP(Googleadssales[[#This Row],[Ad_ID]],'[1]pre processed data'!A:R,18,0)</f>
        <v>Hyderabad</v>
      </c>
      <c r="L1809" t="str">
        <f>VLOOKUP(Googleadssales[[#This Row],[Ad_ID]],'[1]pre processed data'!A:S,19,0)</f>
        <v>Mobile</v>
      </c>
      <c r="M1809" t="str">
        <f>VLOOKUP(Googleadssales[[#This Row],[Ad_ID]],'[1]pre processed data'!A:T,20,0)</f>
        <v>data analytics training</v>
      </c>
    </row>
    <row r="1810" spans="1:13" x14ac:dyDescent="0.3">
      <c r="A1810" t="s">
        <v>1823</v>
      </c>
      <c r="B1810" t="s">
        <v>14</v>
      </c>
      <c r="C1810" s="4">
        <f>VLOOKUP(Googleadssales[[#This Row],[Ad_ID]],'[1]pre processed data'!A:C,3,0)</f>
        <v>198</v>
      </c>
      <c r="D1810" s="4">
        <f>VLOOKUP(Googleadssales[[#This Row],[Ad_ID]],'[1]pre processed data'!A:E,5,0)</f>
        <v>5447</v>
      </c>
      <c r="E1810" s="5" t="str">
        <f>VLOOKUP(Googleadssales[[#This Row],[Ad_ID]],[1]!Table3[[Ad_ID]:[Cost-imputed]],7,0)</f>
        <v>$225.49</v>
      </c>
      <c r="F1810" s="4">
        <f>VLOOKUP(Googleadssales[[#This Row],[Ad_ID]],'[1]pre processed data'!A:I,9,0)</f>
        <v>16</v>
      </c>
      <c r="G1810" s="4">
        <f>VLOOKUP(Googleadssales[[#This Row],[Ad_ID]],'[1]pre processed data'!A:K,11,0)</f>
        <v>5</v>
      </c>
      <c r="H1810" s="2">
        <f>Googleadssales[[#This Row],[Conversions]]/Googleadssales[[#This Row],[Clicks]]</f>
        <v>2.5252525252525252E-2</v>
      </c>
      <c r="I1810" t="str">
        <f>VLOOKUP(Googleadssales[[#This Row],[Ad_ID]],'[1]pre processed data'!A:O,15,0)</f>
        <v>$1249</v>
      </c>
      <c r="J1810" s="3">
        <f>VLOOKUP(Googleadssales[[#This Row],[Ad_ID]],'[1]pre processed data'!A:Q,17,0)</f>
        <v>45625</v>
      </c>
      <c r="K1810" t="str">
        <f>VLOOKUP(Googleadssales[[#This Row],[Ad_ID]],'[1]pre processed data'!A:R,18,0)</f>
        <v>Bangaluru</v>
      </c>
      <c r="L1810" t="str">
        <f>VLOOKUP(Googleadssales[[#This Row],[Ad_ID]],'[1]pre processed data'!A:S,19,0)</f>
        <v>Mobile</v>
      </c>
      <c r="M1810" t="str">
        <f>VLOOKUP(Googleadssales[[#This Row],[Ad_ID]],'[1]pre processed data'!A:T,20,0)</f>
        <v>analytics for data</v>
      </c>
    </row>
    <row r="1811" spans="1:13" x14ac:dyDescent="0.3">
      <c r="A1811" t="s">
        <v>1824</v>
      </c>
      <c r="B1811" t="s">
        <v>14</v>
      </c>
      <c r="C1811" s="4">
        <f>VLOOKUP(Googleadssales[[#This Row],[Ad_ID]],'[1]pre processed data'!A:C,3,0)</f>
        <v>184</v>
      </c>
      <c r="D1811" s="4">
        <f>VLOOKUP(Googleadssales[[#This Row],[Ad_ID]],'[1]pre processed data'!A:E,5,0)</f>
        <v>3272</v>
      </c>
      <c r="E1811" s="5" t="str">
        <f>VLOOKUP(Googleadssales[[#This Row],[Ad_ID]],[1]!Table3[[Ad_ID]:[Cost-imputed]],7,0)</f>
        <v>$241.8</v>
      </c>
      <c r="F1811" s="4">
        <f>VLOOKUP(Googleadssales[[#This Row],[Ad_ID]],'[1]pre processed data'!A:I,9,0)</f>
        <v>27</v>
      </c>
      <c r="G1811" s="4">
        <f>VLOOKUP(Googleadssales[[#This Row],[Ad_ID]],'[1]pre processed data'!A:K,11,0)</f>
        <v>9</v>
      </c>
      <c r="H1811" s="2">
        <f>Googleadssales[[#This Row],[Conversions]]/Googleadssales[[#This Row],[Clicks]]</f>
        <v>4.8913043478260872E-2</v>
      </c>
      <c r="I1811" t="str">
        <f>VLOOKUP(Googleadssales[[#This Row],[Ad_ID]],'[1]pre processed data'!A:O,15,0)</f>
        <v>$1969</v>
      </c>
      <c r="J1811" s="3">
        <f>VLOOKUP(Googleadssales[[#This Row],[Ad_ID]],'[1]pre processed data'!A:Q,17,0)</f>
        <v>45604</v>
      </c>
      <c r="K1811" t="str">
        <f>VLOOKUP(Googleadssales[[#This Row],[Ad_ID]],'[1]pre processed data'!A:R,18,0)</f>
        <v>Hyderabad</v>
      </c>
      <c r="L1811" t="str">
        <f>VLOOKUP(Googleadssales[[#This Row],[Ad_ID]],'[1]pre processed data'!A:S,19,0)</f>
        <v>Mobile</v>
      </c>
      <c r="M1811" t="str">
        <f>VLOOKUP(Googleadssales[[#This Row],[Ad_ID]],'[1]pre processed data'!A:T,20,0)</f>
        <v>learn data analytics</v>
      </c>
    </row>
    <row r="1812" spans="1:13" x14ac:dyDescent="0.3">
      <c r="A1812" t="s">
        <v>1825</v>
      </c>
      <c r="B1812" t="s">
        <v>14</v>
      </c>
      <c r="C1812" s="4">
        <f>VLOOKUP(Googleadssales[[#This Row],[Ad_ID]],'[1]pre processed data'!A:C,3,0)</f>
        <v>87</v>
      </c>
      <c r="D1812" s="4">
        <f>VLOOKUP(Googleadssales[[#This Row],[Ad_ID]],'[1]pre processed data'!A:E,5,0)</f>
        <v>5221</v>
      </c>
      <c r="E1812" s="5" t="str">
        <f>VLOOKUP(Googleadssales[[#This Row],[Ad_ID]],[1]!Table3[[Ad_ID]:[Cost-imputed]],7,0)</f>
        <v>$217.08</v>
      </c>
      <c r="F1812" s="4">
        <f>VLOOKUP(Googleadssales[[#This Row],[Ad_ID]],'[1]pre processed data'!A:I,9,0)</f>
        <v>13</v>
      </c>
      <c r="G1812" s="4">
        <f>VLOOKUP(Googleadssales[[#This Row],[Ad_ID]],'[1]pre processed data'!A:K,11,0)</f>
        <v>9</v>
      </c>
      <c r="H1812" s="2">
        <f>Googleadssales[[#This Row],[Conversions]]/Googleadssales[[#This Row],[Clicks]]</f>
        <v>0.10344827586206896</v>
      </c>
      <c r="I1812" t="str">
        <f>VLOOKUP(Googleadssales[[#This Row],[Ad_ID]],'[1]pre processed data'!A:O,15,0)</f>
        <v>$1723</v>
      </c>
      <c r="J1812" s="3">
        <f>VLOOKUP(Googleadssales[[#This Row],[Ad_ID]],'[1]pre processed data'!A:Q,17,0)</f>
        <v>45605</v>
      </c>
      <c r="K1812" t="str">
        <f>VLOOKUP(Googleadssales[[#This Row],[Ad_ID]],'[1]pre processed data'!A:R,18,0)</f>
        <v>Bangaluru</v>
      </c>
      <c r="L1812" t="str">
        <f>VLOOKUP(Googleadssales[[#This Row],[Ad_ID]],'[1]pre processed data'!A:S,19,0)</f>
        <v>Desktop</v>
      </c>
      <c r="M1812" t="str">
        <f>VLOOKUP(Googleadssales[[#This Row],[Ad_ID]],'[1]pre processed data'!A:T,20,0)</f>
        <v>data analytics online</v>
      </c>
    </row>
    <row r="1813" spans="1:13" x14ac:dyDescent="0.3">
      <c r="A1813" t="s">
        <v>1826</v>
      </c>
      <c r="B1813" t="s">
        <v>14</v>
      </c>
      <c r="C1813" s="4">
        <f>VLOOKUP(Googleadssales[[#This Row],[Ad_ID]],'[1]pre processed data'!A:C,3,0)</f>
        <v>180</v>
      </c>
      <c r="D1813" s="4">
        <f>VLOOKUP(Googleadssales[[#This Row],[Ad_ID]],'[1]pre processed data'!A:E,5,0)</f>
        <v>3099</v>
      </c>
      <c r="E1813" s="5" t="str">
        <f>VLOOKUP(Googleadssales[[#This Row],[Ad_ID]],[1]!Table3[[Ad_ID]:[Cost-imputed]],7,0)</f>
        <v>$241.32</v>
      </c>
      <c r="F1813" s="4">
        <f>VLOOKUP(Googleadssales[[#This Row],[Ad_ID]],'[1]pre processed data'!A:I,9,0)</f>
        <v>23</v>
      </c>
      <c r="G1813" s="4">
        <f>VLOOKUP(Googleadssales[[#This Row],[Ad_ID]],'[1]pre processed data'!A:K,11,0)</f>
        <v>5</v>
      </c>
      <c r="H1813" s="2">
        <f>Googleadssales[[#This Row],[Conversions]]/Googleadssales[[#This Row],[Clicks]]</f>
        <v>2.7777777777777776E-2</v>
      </c>
      <c r="I1813" t="str">
        <f>VLOOKUP(Googleadssales[[#This Row],[Ad_ID]],'[1]pre processed data'!A:O,15,0)</f>
        <v>$1177</v>
      </c>
      <c r="J1813" s="3">
        <f>VLOOKUP(Googleadssales[[#This Row],[Ad_ID]],'[1]pre processed data'!A:Q,17,0)</f>
        <v>45624</v>
      </c>
      <c r="K1813" t="str">
        <f>VLOOKUP(Googleadssales[[#This Row],[Ad_ID]],'[1]pre processed data'!A:R,18,0)</f>
        <v>Hyderabad</v>
      </c>
      <c r="L1813" t="str">
        <f>VLOOKUP(Googleadssales[[#This Row],[Ad_ID]],'[1]pre processed data'!A:S,19,0)</f>
        <v>Mobile</v>
      </c>
      <c r="M1813" t="str">
        <f>VLOOKUP(Googleadssales[[#This Row],[Ad_ID]],'[1]pre processed data'!A:T,20,0)</f>
        <v>analytics for data</v>
      </c>
    </row>
    <row r="1814" spans="1:13" x14ac:dyDescent="0.3">
      <c r="A1814" t="s">
        <v>1827</v>
      </c>
      <c r="B1814" t="s">
        <v>14</v>
      </c>
      <c r="C1814" s="4">
        <f>VLOOKUP(Googleadssales[[#This Row],[Ad_ID]],'[1]pre processed data'!A:C,3,0)</f>
        <v>99</v>
      </c>
      <c r="D1814" s="4">
        <f>VLOOKUP(Googleadssales[[#This Row],[Ad_ID]],'[1]pre processed data'!A:E,5,0)</f>
        <v>4229</v>
      </c>
      <c r="E1814" s="5" t="str">
        <f>VLOOKUP(Googleadssales[[#This Row],[Ad_ID]],[1]!Table3[[Ad_ID]:[Cost-imputed]],7,0)</f>
        <v>$183.7</v>
      </c>
      <c r="F1814" s="4">
        <f>VLOOKUP(Googleadssales[[#This Row],[Ad_ID]],'[1]pre processed data'!A:I,9,0)</f>
        <v>24</v>
      </c>
      <c r="G1814" s="4">
        <f>VLOOKUP(Googleadssales[[#This Row],[Ad_ID]],'[1]pre processed data'!A:K,11,0)</f>
        <v>8</v>
      </c>
      <c r="H1814" s="2">
        <f>Googleadssales[[#This Row],[Conversions]]/Googleadssales[[#This Row],[Clicks]]</f>
        <v>8.0808080808080815E-2</v>
      </c>
      <c r="I1814" t="str">
        <f>VLOOKUP(Googleadssales[[#This Row],[Ad_ID]],'[1]pre processed data'!A:O,15,0)</f>
        <v>$1792</v>
      </c>
      <c r="J1814" s="3">
        <f>VLOOKUP(Googleadssales[[#This Row],[Ad_ID]],'[1]pre processed data'!A:Q,17,0)</f>
        <v>45615</v>
      </c>
      <c r="K1814" t="str">
        <f>VLOOKUP(Googleadssales[[#This Row],[Ad_ID]],'[1]pre processed data'!A:R,18,0)</f>
        <v>Hyderabad</v>
      </c>
      <c r="L1814" t="str">
        <f>VLOOKUP(Googleadssales[[#This Row],[Ad_ID]],'[1]pre processed data'!A:S,19,0)</f>
        <v>Mobile</v>
      </c>
      <c r="M1814" t="str">
        <f>VLOOKUP(Googleadssales[[#This Row],[Ad_ID]],'[1]pre processed data'!A:T,20,0)</f>
        <v>learn data analytics</v>
      </c>
    </row>
    <row r="1815" spans="1:13" x14ac:dyDescent="0.3">
      <c r="A1815" t="s">
        <v>1828</v>
      </c>
      <c r="B1815" t="s">
        <v>14</v>
      </c>
      <c r="C1815" s="4">
        <f>VLOOKUP(Googleadssales[[#This Row],[Ad_ID]],'[1]pre processed data'!A:C,3,0)</f>
        <v>148</v>
      </c>
      <c r="D1815" s="4">
        <f>VLOOKUP(Googleadssales[[#This Row],[Ad_ID]],'[1]pre processed data'!A:E,5,0)</f>
        <v>4038</v>
      </c>
      <c r="E1815" s="5" t="str">
        <f>VLOOKUP(Googleadssales[[#This Row],[Ad_ID]],[1]!Table3[[Ad_ID]:[Cost-imputed]],7,0)</f>
        <v>$248.37</v>
      </c>
      <c r="F1815" s="4">
        <f>VLOOKUP(Googleadssales[[#This Row],[Ad_ID]],'[1]pre processed data'!A:I,9,0)</f>
        <v>28</v>
      </c>
      <c r="G1815" s="4">
        <f>VLOOKUP(Googleadssales[[#This Row],[Ad_ID]],'[1]pre processed data'!A:K,11,0)</f>
        <v>3</v>
      </c>
      <c r="H1815" s="2">
        <f>Googleadssales[[#This Row],[Conversions]]/Googleadssales[[#This Row],[Clicks]]</f>
        <v>2.0270270270270271E-2</v>
      </c>
      <c r="I1815" t="str">
        <f>VLOOKUP(Googleadssales[[#This Row],[Ad_ID]],'[1]pre processed data'!A:O,15,0)</f>
        <v>$1549</v>
      </c>
      <c r="J1815" s="3">
        <f>VLOOKUP(Googleadssales[[#This Row],[Ad_ID]],'[1]pre processed data'!A:Q,17,0)</f>
        <v>45604</v>
      </c>
      <c r="K1815" t="str">
        <f>VLOOKUP(Googleadssales[[#This Row],[Ad_ID]],'[1]pre processed data'!A:R,18,0)</f>
        <v>Hyderabad</v>
      </c>
      <c r="L1815" t="str">
        <f>VLOOKUP(Googleadssales[[#This Row],[Ad_ID]],'[1]pre processed data'!A:S,19,0)</f>
        <v>Mobile</v>
      </c>
      <c r="M1815" t="str">
        <f>VLOOKUP(Googleadssales[[#This Row],[Ad_ID]],'[1]pre processed data'!A:T,20,0)</f>
        <v>online data analytic</v>
      </c>
    </row>
    <row r="1816" spans="1:13" x14ac:dyDescent="0.3">
      <c r="A1816" t="s">
        <v>1829</v>
      </c>
      <c r="B1816" t="s">
        <v>14</v>
      </c>
      <c r="C1816" s="4">
        <f>VLOOKUP(Googleadssales[[#This Row],[Ad_ID]],'[1]pre processed data'!A:C,3,0)</f>
        <v>146</v>
      </c>
      <c r="D1816" s="4">
        <f>VLOOKUP(Googleadssales[[#This Row],[Ad_ID]],'[1]pre processed data'!A:E,5,0)</f>
        <v>3960</v>
      </c>
      <c r="E1816" s="5" t="str">
        <f>VLOOKUP(Googleadssales[[#This Row],[Ad_ID]],[1]!Table3[[Ad_ID]:[Cost-imputed]],7,0)</f>
        <v>$213.7</v>
      </c>
      <c r="F1816" s="4">
        <f>VLOOKUP(Googleadssales[[#This Row],[Ad_ID]],'[1]pre processed data'!A:I,9,0)</f>
        <v>29</v>
      </c>
      <c r="G1816" s="4">
        <f>VLOOKUP(Googleadssales[[#This Row],[Ad_ID]],'[1]pre processed data'!A:K,11,0)</f>
        <v>6</v>
      </c>
      <c r="H1816" s="2">
        <f>Googleadssales[[#This Row],[Conversions]]/Googleadssales[[#This Row],[Clicks]]</f>
        <v>4.1095890410958902E-2</v>
      </c>
      <c r="I1816" t="str">
        <f>VLOOKUP(Googleadssales[[#This Row],[Ad_ID]],'[1]pre processed data'!A:O,15,0)</f>
        <v>$1178</v>
      </c>
      <c r="J1816" s="3">
        <f>VLOOKUP(Googleadssales[[#This Row],[Ad_ID]],'[1]pre processed data'!A:Q,17,0)</f>
        <v>45619</v>
      </c>
      <c r="K1816" t="str">
        <f>VLOOKUP(Googleadssales[[#This Row],[Ad_ID]],'[1]pre processed data'!A:R,18,0)</f>
        <v>Chennai</v>
      </c>
      <c r="L1816" t="str">
        <f>VLOOKUP(Googleadssales[[#This Row],[Ad_ID]],'[1]pre processed data'!A:S,19,0)</f>
        <v>Mobile</v>
      </c>
      <c r="M1816" t="str">
        <f>VLOOKUP(Googleadssales[[#This Row],[Ad_ID]],'[1]pre processed data'!A:T,20,0)</f>
        <v>data analytics course</v>
      </c>
    </row>
    <row r="1817" spans="1:13" x14ac:dyDescent="0.3">
      <c r="A1817" t="s">
        <v>1830</v>
      </c>
      <c r="B1817" t="s">
        <v>18</v>
      </c>
      <c r="C1817" s="4">
        <f>VLOOKUP(Googleadssales[[#This Row],[Ad_ID]],'[1]pre processed data'!A:C,3,0)</f>
        <v>149</v>
      </c>
      <c r="D1817" s="4">
        <f>VLOOKUP(Googleadssales[[#This Row],[Ad_ID]],'[1]pre processed data'!A:E,5,0)</f>
        <v>3865</v>
      </c>
      <c r="E1817" s="5" t="str">
        <f>VLOOKUP(Googleadssales[[#This Row],[Ad_ID]],[1]!Table3[[Ad_ID]:[Cost-imputed]],7,0)</f>
        <v>$198.54</v>
      </c>
      <c r="F1817" s="4">
        <f>VLOOKUP(Googleadssales[[#This Row],[Ad_ID]],'[1]pre processed data'!A:I,9,0)</f>
        <v>14</v>
      </c>
      <c r="G1817" s="4">
        <f>VLOOKUP(Googleadssales[[#This Row],[Ad_ID]],'[1]pre processed data'!A:K,11,0)</f>
        <v>4</v>
      </c>
      <c r="H1817" s="2">
        <f>Googleadssales[[#This Row],[Conversions]]/Googleadssales[[#This Row],[Clicks]]</f>
        <v>2.6845637583892617E-2</v>
      </c>
      <c r="I1817" t="str">
        <f>VLOOKUP(Googleadssales[[#This Row],[Ad_ID]],'[1]pre processed data'!A:O,15,0)</f>
        <v>$1500</v>
      </c>
      <c r="J1817" s="3">
        <f>VLOOKUP(Googleadssales[[#This Row],[Ad_ID]],'[1]pre processed data'!A:Q,17,0)</f>
        <v>45597</v>
      </c>
      <c r="K1817" t="str">
        <f>VLOOKUP(Googleadssales[[#This Row],[Ad_ID]],'[1]pre processed data'!A:R,18,0)</f>
        <v>Hyderabad</v>
      </c>
      <c r="L1817" t="str">
        <f>VLOOKUP(Googleadssales[[#This Row],[Ad_ID]],'[1]pre processed data'!A:S,19,0)</f>
        <v>Tablet</v>
      </c>
      <c r="M1817" t="str">
        <f>VLOOKUP(Googleadssales[[#This Row],[Ad_ID]],'[1]pre processed data'!A:T,20,0)</f>
        <v>data analytics training</v>
      </c>
    </row>
    <row r="1818" spans="1:13" x14ac:dyDescent="0.3">
      <c r="A1818" t="s">
        <v>1831</v>
      </c>
      <c r="B1818" t="s">
        <v>14</v>
      </c>
      <c r="C1818" s="4">
        <f>VLOOKUP(Googleadssales[[#This Row],[Ad_ID]],'[1]pre processed data'!A:C,3,0)</f>
        <v>88</v>
      </c>
      <c r="D1818" s="4">
        <f>VLOOKUP(Googleadssales[[#This Row],[Ad_ID]],'[1]pre processed data'!A:E,5,0)</f>
        <v>3433</v>
      </c>
      <c r="E1818" s="5" t="str">
        <f>VLOOKUP(Googleadssales[[#This Row],[Ad_ID]],[1]!Table3[[Ad_ID]:[Cost-imputed]],7,0)</f>
        <v>$241.8</v>
      </c>
      <c r="F1818" s="4">
        <f>VLOOKUP(Googleadssales[[#This Row],[Ad_ID]],'[1]pre processed data'!A:I,9,0)</f>
        <v>29</v>
      </c>
      <c r="G1818" s="4">
        <f>VLOOKUP(Googleadssales[[#This Row],[Ad_ID]],'[1]pre processed data'!A:K,11,0)</f>
        <v>6</v>
      </c>
      <c r="H1818" s="2">
        <f>Googleadssales[[#This Row],[Conversions]]/Googleadssales[[#This Row],[Clicks]]</f>
        <v>6.8181818181818177E-2</v>
      </c>
      <c r="I1818" t="str">
        <f>VLOOKUP(Googleadssales[[#This Row],[Ad_ID]],'[1]pre processed data'!A:O,15,0)</f>
        <v>$1654</v>
      </c>
      <c r="J1818" s="3">
        <f>VLOOKUP(Googleadssales[[#This Row],[Ad_ID]],'[1]pre processed data'!A:Q,17,0)</f>
        <v>45616</v>
      </c>
      <c r="K1818" t="str">
        <f>VLOOKUP(Googleadssales[[#This Row],[Ad_ID]],'[1]pre processed data'!A:R,18,0)</f>
        <v>Hyderabad</v>
      </c>
      <c r="L1818" t="str">
        <f>VLOOKUP(Googleadssales[[#This Row],[Ad_ID]],'[1]pre processed data'!A:S,19,0)</f>
        <v>Mobile</v>
      </c>
      <c r="M1818" t="str">
        <f>VLOOKUP(Googleadssales[[#This Row],[Ad_ID]],'[1]pre processed data'!A:T,20,0)</f>
        <v>learn data analytics</v>
      </c>
    </row>
    <row r="1819" spans="1:13" x14ac:dyDescent="0.3">
      <c r="A1819" t="s">
        <v>1832</v>
      </c>
      <c r="B1819" t="s">
        <v>14</v>
      </c>
      <c r="C1819" s="4">
        <f>VLOOKUP(Googleadssales[[#This Row],[Ad_ID]],'[1]pre processed data'!A:C,3,0)</f>
        <v>154</v>
      </c>
      <c r="D1819" s="4">
        <f>VLOOKUP(Googleadssales[[#This Row],[Ad_ID]],'[1]pre processed data'!A:E,5,0)</f>
        <v>3009</v>
      </c>
      <c r="E1819" s="5" t="str">
        <f>VLOOKUP(Googleadssales[[#This Row],[Ad_ID]],[1]!Table3[[Ad_ID]:[Cost-imputed]],7,0)</f>
        <v>$185.32</v>
      </c>
      <c r="F1819" s="4">
        <f>VLOOKUP(Googleadssales[[#This Row],[Ad_ID]],'[1]pre processed data'!A:I,9,0)</f>
        <v>16</v>
      </c>
      <c r="G1819" s="4">
        <f>VLOOKUP(Googleadssales[[#This Row],[Ad_ID]],'[1]pre processed data'!A:K,11,0)</f>
        <v>9</v>
      </c>
      <c r="H1819" s="2">
        <f>Googleadssales[[#This Row],[Conversions]]/Googleadssales[[#This Row],[Clicks]]</f>
        <v>5.844155844155844E-2</v>
      </c>
      <c r="I1819" t="str">
        <f>VLOOKUP(Googleadssales[[#This Row],[Ad_ID]],'[1]pre processed data'!A:O,15,0)</f>
        <v>$1433</v>
      </c>
      <c r="J1819" s="3">
        <f>VLOOKUP(Googleadssales[[#This Row],[Ad_ID]],'[1]pre processed data'!A:Q,17,0)</f>
        <v>45610</v>
      </c>
      <c r="K1819" t="str">
        <f>VLOOKUP(Googleadssales[[#This Row],[Ad_ID]],'[1]pre processed data'!A:R,18,0)</f>
        <v>Hyderabad</v>
      </c>
      <c r="L1819" t="str">
        <f>VLOOKUP(Googleadssales[[#This Row],[Ad_ID]],'[1]pre processed data'!A:S,19,0)</f>
        <v>Mobile</v>
      </c>
      <c r="M1819" t="str">
        <f>VLOOKUP(Googleadssales[[#This Row],[Ad_ID]],'[1]pre processed data'!A:T,20,0)</f>
        <v>data analytics online</v>
      </c>
    </row>
    <row r="1820" spans="1:13" x14ac:dyDescent="0.3">
      <c r="A1820" t="s">
        <v>1833</v>
      </c>
      <c r="B1820" t="s">
        <v>14</v>
      </c>
      <c r="C1820" s="4">
        <f>VLOOKUP(Googleadssales[[#This Row],[Ad_ID]],'[1]pre processed data'!A:C,3,0)</f>
        <v>137</v>
      </c>
      <c r="D1820" s="4">
        <f>VLOOKUP(Googleadssales[[#This Row],[Ad_ID]],'[1]pre processed data'!A:E,5,0)</f>
        <v>4817</v>
      </c>
      <c r="E1820" s="5" t="str">
        <f>VLOOKUP(Googleadssales[[#This Row],[Ad_ID]],[1]!Table3[[Ad_ID]:[Cost-imputed]],7,0)</f>
        <v>$200.00</v>
      </c>
      <c r="F1820" s="4">
        <f>VLOOKUP(Googleadssales[[#This Row],[Ad_ID]],'[1]pre processed data'!A:I,9,0)</f>
        <v>17</v>
      </c>
      <c r="G1820" s="4">
        <f>VLOOKUP(Googleadssales[[#This Row],[Ad_ID]],'[1]pre processed data'!A:K,11,0)</f>
        <v>6</v>
      </c>
      <c r="H1820" s="2">
        <f>Googleadssales[[#This Row],[Conversions]]/Googleadssales[[#This Row],[Clicks]]</f>
        <v>4.3795620437956206E-2</v>
      </c>
      <c r="I1820" t="str">
        <f>VLOOKUP(Googleadssales[[#This Row],[Ad_ID]],'[1]pre processed data'!A:O,15,0)</f>
        <v>$1720</v>
      </c>
      <c r="J1820" s="3">
        <f>VLOOKUP(Googleadssales[[#This Row],[Ad_ID]],'[1]pre processed data'!A:Q,17,0)</f>
        <v>45604</v>
      </c>
      <c r="K1820" t="str">
        <f>VLOOKUP(Googleadssales[[#This Row],[Ad_ID]],'[1]pre processed data'!A:R,18,0)</f>
        <v>Hyderabad</v>
      </c>
      <c r="L1820" t="str">
        <f>VLOOKUP(Googleadssales[[#This Row],[Ad_ID]],'[1]pre processed data'!A:S,19,0)</f>
        <v>Mobile</v>
      </c>
      <c r="M1820" t="str">
        <f>VLOOKUP(Googleadssales[[#This Row],[Ad_ID]],'[1]pre processed data'!A:T,20,0)</f>
        <v>data analytics course</v>
      </c>
    </row>
    <row r="1821" spans="1:13" x14ac:dyDescent="0.3">
      <c r="A1821" t="s">
        <v>1834</v>
      </c>
      <c r="B1821" t="s">
        <v>14</v>
      </c>
      <c r="C1821" s="4">
        <f>VLOOKUP(Googleadssales[[#This Row],[Ad_ID]],'[1]pre processed data'!A:C,3,0)</f>
        <v>125</v>
      </c>
      <c r="D1821" s="4">
        <f>VLOOKUP(Googleadssales[[#This Row],[Ad_ID]],'[1]pre processed data'!A:E,5,0)</f>
        <v>5217</v>
      </c>
      <c r="E1821" s="5" t="str">
        <f>VLOOKUP(Googleadssales[[#This Row],[Ad_ID]],[1]!Table3[[Ad_ID]:[Cost-imputed]],7,0)</f>
        <v>$183.16</v>
      </c>
      <c r="F1821" s="4">
        <f>VLOOKUP(Googleadssales[[#This Row],[Ad_ID]],'[1]pre processed data'!A:I,9,0)</f>
        <v>16</v>
      </c>
      <c r="G1821" s="4">
        <f>VLOOKUP(Googleadssales[[#This Row],[Ad_ID]],'[1]pre processed data'!A:K,11,0)</f>
        <v>10</v>
      </c>
      <c r="H1821" s="2">
        <f>Googleadssales[[#This Row],[Conversions]]/Googleadssales[[#This Row],[Clicks]]</f>
        <v>0.08</v>
      </c>
      <c r="I1821" t="str">
        <f>VLOOKUP(Googleadssales[[#This Row],[Ad_ID]],'[1]pre processed data'!A:O,15,0)</f>
        <v>$1245</v>
      </c>
      <c r="J1821" s="3">
        <f>VLOOKUP(Googleadssales[[#This Row],[Ad_ID]],'[1]pre processed data'!A:Q,17,0)</f>
        <v>45599</v>
      </c>
      <c r="K1821" t="str">
        <f>VLOOKUP(Googleadssales[[#This Row],[Ad_ID]],'[1]pre processed data'!A:R,18,0)</f>
        <v>Hyderabad</v>
      </c>
      <c r="L1821" t="str">
        <f>VLOOKUP(Googleadssales[[#This Row],[Ad_ID]],'[1]pre processed data'!A:S,19,0)</f>
        <v>Tablet</v>
      </c>
      <c r="M1821" t="str">
        <f>VLOOKUP(Googleadssales[[#This Row],[Ad_ID]],'[1]pre processed data'!A:T,20,0)</f>
        <v>learn data analytics</v>
      </c>
    </row>
    <row r="1822" spans="1:13" x14ac:dyDescent="0.3">
      <c r="A1822" t="s">
        <v>1835</v>
      </c>
      <c r="B1822" t="s">
        <v>14</v>
      </c>
      <c r="C1822" s="4">
        <f>VLOOKUP(Googleadssales[[#This Row],[Ad_ID]],'[1]pre processed data'!A:C,3,0)</f>
        <v>155</v>
      </c>
      <c r="D1822" s="4">
        <f>VLOOKUP(Googleadssales[[#This Row],[Ad_ID]],'[1]pre processed data'!A:E,5,0)</f>
        <v>4870</v>
      </c>
      <c r="E1822" s="5" t="str">
        <f>VLOOKUP(Googleadssales[[#This Row],[Ad_ID]],[1]!Table3[[Ad_ID]:[Cost-imputed]],7,0)</f>
        <v>$191.54</v>
      </c>
      <c r="F1822" s="4">
        <f>VLOOKUP(Googleadssales[[#This Row],[Ad_ID]],'[1]pre processed data'!A:I,9,0)</f>
        <v>23</v>
      </c>
      <c r="G1822" s="4">
        <f>VLOOKUP(Googleadssales[[#This Row],[Ad_ID]],'[1]pre processed data'!A:K,11,0)</f>
        <v>8</v>
      </c>
      <c r="H1822" s="2">
        <f>Googleadssales[[#This Row],[Conversions]]/Googleadssales[[#This Row],[Clicks]]</f>
        <v>5.1612903225806452E-2</v>
      </c>
      <c r="I1822" t="str">
        <f>VLOOKUP(Googleadssales[[#This Row],[Ad_ID]],'[1]pre processed data'!A:O,15,0)</f>
        <v>$1451</v>
      </c>
      <c r="J1822" s="3">
        <f>VLOOKUP(Googleadssales[[#This Row],[Ad_ID]],'[1]pre processed data'!A:Q,17,0)</f>
        <v>45610</v>
      </c>
      <c r="K1822" t="str">
        <f>VLOOKUP(Googleadssales[[#This Row],[Ad_ID]],'[1]pre processed data'!A:R,18,0)</f>
        <v>Bangaluru</v>
      </c>
      <c r="L1822" t="str">
        <f>VLOOKUP(Googleadssales[[#This Row],[Ad_ID]],'[1]pre processed data'!A:S,19,0)</f>
        <v>Tablet</v>
      </c>
      <c r="M1822" t="str">
        <f>VLOOKUP(Googleadssales[[#This Row],[Ad_ID]],'[1]pre processed data'!A:T,20,0)</f>
        <v>data analytics course</v>
      </c>
    </row>
    <row r="1823" spans="1:13" x14ac:dyDescent="0.3">
      <c r="A1823" t="s">
        <v>1836</v>
      </c>
      <c r="B1823" t="s">
        <v>14</v>
      </c>
      <c r="C1823" s="4">
        <f>VLOOKUP(Googleadssales[[#This Row],[Ad_ID]],'[1]pre processed data'!A:C,3,0)</f>
        <v>111</v>
      </c>
      <c r="D1823" s="4">
        <f>VLOOKUP(Googleadssales[[#This Row],[Ad_ID]],'[1]pre processed data'!A:E,5,0)</f>
        <v>5133</v>
      </c>
      <c r="E1823" s="5" t="str">
        <f>VLOOKUP(Googleadssales[[#This Row],[Ad_ID]],[1]!Table3[[Ad_ID]:[Cost-imputed]],7,0)</f>
        <v>$240.23</v>
      </c>
      <c r="F1823" s="4">
        <f>VLOOKUP(Googleadssales[[#This Row],[Ad_ID]],'[1]pre processed data'!A:I,9,0)</f>
        <v>22</v>
      </c>
      <c r="G1823" s="4">
        <f>VLOOKUP(Googleadssales[[#This Row],[Ad_ID]],'[1]pre processed data'!A:K,11,0)</f>
        <v>8</v>
      </c>
      <c r="H1823" s="2">
        <f>Googleadssales[[#This Row],[Conversions]]/Googleadssales[[#This Row],[Clicks]]</f>
        <v>7.2072072072072071E-2</v>
      </c>
      <c r="I1823" t="str">
        <f>VLOOKUP(Googleadssales[[#This Row],[Ad_ID]],'[1]pre processed data'!A:O,15,0)</f>
        <v>$1555</v>
      </c>
      <c r="J1823" s="3">
        <f>VLOOKUP(Googleadssales[[#This Row],[Ad_ID]],'[1]pre processed data'!A:Q,17,0)</f>
        <v>45618</v>
      </c>
      <c r="K1823" t="str">
        <f>VLOOKUP(Googleadssales[[#This Row],[Ad_ID]],'[1]pre processed data'!A:R,18,0)</f>
        <v>Hyderabad</v>
      </c>
      <c r="L1823" t="str">
        <f>VLOOKUP(Googleadssales[[#This Row],[Ad_ID]],'[1]pre processed data'!A:S,19,0)</f>
        <v>Desktop</v>
      </c>
      <c r="M1823" t="str">
        <f>VLOOKUP(Googleadssales[[#This Row],[Ad_ID]],'[1]pre processed data'!A:T,20,0)</f>
        <v>online data analytic</v>
      </c>
    </row>
    <row r="1824" spans="1:13" x14ac:dyDescent="0.3">
      <c r="A1824" t="s">
        <v>1837</v>
      </c>
      <c r="B1824" t="s">
        <v>14</v>
      </c>
      <c r="C1824" s="4">
        <f>VLOOKUP(Googleadssales[[#This Row],[Ad_ID]],'[1]pre processed data'!A:C,3,0)</f>
        <v>141</v>
      </c>
      <c r="D1824" s="4">
        <f>VLOOKUP(Googleadssales[[#This Row],[Ad_ID]],'[1]pre processed data'!A:E,5,0)</f>
        <v>3181</v>
      </c>
      <c r="E1824" s="5" t="str">
        <f>VLOOKUP(Googleadssales[[#This Row],[Ad_ID]],[1]!Table3[[Ad_ID]:[Cost-imputed]],7,0)</f>
        <v>$234.44</v>
      </c>
      <c r="F1824" s="4">
        <f>VLOOKUP(Googleadssales[[#This Row],[Ad_ID]],'[1]pre processed data'!A:I,9,0)</f>
        <v>16</v>
      </c>
      <c r="G1824" s="4">
        <f>VLOOKUP(Googleadssales[[#This Row],[Ad_ID]],'[1]pre processed data'!A:K,11,0)</f>
        <v>9</v>
      </c>
      <c r="H1824" s="2">
        <f>Googleadssales[[#This Row],[Conversions]]/Googleadssales[[#This Row],[Clicks]]</f>
        <v>6.3829787234042548E-2</v>
      </c>
      <c r="I1824" t="str">
        <f>VLOOKUP(Googleadssales[[#This Row],[Ad_ID]],'[1]pre processed data'!A:O,15,0)</f>
        <v>$1628</v>
      </c>
      <c r="J1824" s="3">
        <f>VLOOKUP(Googleadssales[[#This Row],[Ad_ID]],'[1]pre processed data'!A:Q,17,0)</f>
        <v>45617</v>
      </c>
      <c r="K1824" t="str">
        <f>VLOOKUP(Googleadssales[[#This Row],[Ad_ID]],'[1]pre processed data'!A:R,18,0)</f>
        <v>Chennai</v>
      </c>
      <c r="L1824" t="str">
        <f>VLOOKUP(Googleadssales[[#This Row],[Ad_ID]],'[1]pre processed data'!A:S,19,0)</f>
        <v>Desktop</v>
      </c>
      <c r="M1824" t="str">
        <f>VLOOKUP(Googleadssales[[#This Row],[Ad_ID]],'[1]pre processed data'!A:T,20,0)</f>
        <v>data analytics training</v>
      </c>
    </row>
    <row r="1825" spans="1:13" x14ac:dyDescent="0.3">
      <c r="A1825" t="s">
        <v>1838</v>
      </c>
      <c r="B1825" t="s">
        <v>14</v>
      </c>
      <c r="C1825" s="4">
        <f>VLOOKUP(Googleadssales[[#This Row],[Ad_ID]],'[1]pre processed data'!A:C,3,0)</f>
        <v>153</v>
      </c>
      <c r="D1825" s="4">
        <f>VLOOKUP(Googleadssales[[#This Row],[Ad_ID]],'[1]pre processed data'!A:E,5,0)</f>
        <v>4153</v>
      </c>
      <c r="E1825" s="5" t="str">
        <f>VLOOKUP(Googleadssales[[#This Row],[Ad_ID]],[1]!Table3[[Ad_ID]:[Cost-imputed]],7,0)</f>
        <v>$234.25</v>
      </c>
      <c r="F1825" s="4">
        <f>VLOOKUP(Googleadssales[[#This Row],[Ad_ID]],'[1]pre processed data'!A:I,9,0)</f>
        <v>18</v>
      </c>
      <c r="G1825" s="4">
        <f>VLOOKUP(Googleadssales[[#This Row],[Ad_ID]],'[1]pre processed data'!A:K,11,0)</f>
        <v>5</v>
      </c>
      <c r="H1825" s="2">
        <f>Googleadssales[[#This Row],[Conversions]]/Googleadssales[[#This Row],[Clicks]]</f>
        <v>3.2679738562091505E-2</v>
      </c>
      <c r="I1825" t="str">
        <f>VLOOKUP(Googleadssales[[#This Row],[Ad_ID]],'[1]pre processed data'!A:O,15,0)</f>
        <v>$1368</v>
      </c>
      <c r="J1825" s="3">
        <f>VLOOKUP(Googleadssales[[#This Row],[Ad_ID]],'[1]pre processed data'!A:Q,17,0)</f>
        <v>45620</v>
      </c>
      <c r="K1825" t="str">
        <f>VLOOKUP(Googleadssales[[#This Row],[Ad_ID]],'[1]pre processed data'!A:R,18,0)</f>
        <v>Hyderabad</v>
      </c>
      <c r="L1825" t="str">
        <f>VLOOKUP(Googleadssales[[#This Row],[Ad_ID]],'[1]pre processed data'!A:S,19,0)</f>
        <v>Tablet</v>
      </c>
      <c r="M1825" t="str">
        <f>VLOOKUP(Googleadssales[[#This Row],[Ad_ID]],'[1]pre processed data'!A:T,20,0)</f>
        <v>data analytics course</v>
      </c>
    </row>
    <row r="1826" spans="1:13" x14ac:dyDescent="0.3">
      <c r="A1826" t="s">
        <v>1839</v>
      </c>
      <c r="B1826" t="s">
        <v>14</v>
      </c>
      <c r="C1826" s="4">
        <f>VLOOKUP(Googleadssales[[#This Row],[Ad_ID]],'[1]pre processed data'!A:C,3,0)</f>
        <v>176</v>
      </c>
      <c r="D1826" s="4">
        <f>VLOOKUP(Googleadssales[[#This Row],[Ad_ID]],'[1]pre processed data'!A:E,5,0)</f>
        <v>4523.2808326787117</v>
      </c>
      <c r="E1826" s="5" t="str">
        <f>VLOOKUP(Googleadssales[[#This Row],[Ad_ID]],[1]!Table3[[Ad_ID]:[Cost-imputed]],7,0)</f>
        <v>$191.11</v>
      </c>
      <c r="F1826" s="4">
        <f>VLOOKUP(Googleadssales[[#This Row],[Ad_ID]],'[1]pre processed data'!A:I,9,0)</f>
        <v>11</v>
      </c>
      <c r="G1826" s="4">
        <f>VLOOKUP(Googleadssales[[#This Row],[Ad_ID]],'[1]pre processed data'!A:K,11,0)</f>
        <v>4</v>
      </c>
      <c r="H1826" s="2">
        <f>Googleadssales[[#This Row],[Conversions]]/Googleadssales[[#This Row],[Clicks]]</f>
        <v>2.2727272727272728E-2</v>
      </c>
      <c r="I1826" t="str">
        <f>VLOOKUP(Googleadssales[[#This Row],[Ad_ID]],'[1]pre processed data'!A:O,15,0)</f>
        <v>$1107</v>
      </c>
      <c r="J1826" s="3">
        <f>VLOOKUP(Googleadssales[[#This Row],[Ad_ID]],'[1]pre processed data'!A:Q,17,0)</f>
        <v>45624</v>
      </c>
      <c r="K1826" t="str">
        <f>VLOOKUP(Googleadssales[[#This Row],[Ad_ID]],'[1]pre processed data'!A:R,18,0)</f>
        <v>Bangaluru</v>
      </c>
      <c r="L1826" t="str">
        <f>VLOOKUP(Googleadssales[[#This Row],[Ad_ID]],'[1]pre processed data'!A:S,19,0)</f>
        <v>Mobile</v>
      </c>
      <c r="M1826" t="str">
        <f>VLOOKUP(Googleadssales[[#This Row],[Ad_ID]],'[1]pre processed data'!A:T,20,0)</f>
        <v>online data analytic</v>
      </c>
    </row>
    <row r="1827" spans="1:13" x14ac:dyDescent="0.3">
      <c r="A1827" t="s">
        <v>1840</v>
      </c>
      <c r="B1827" t="s">
        <v>18</v>
      </c>
      <c r="C1827" s="4">
        <f>VLOOKUP(Googleadssales[[#This Row],[Ad_ID]],'[1]pre processed data'!A:C,3,0)</f>
        <v>147</v>
      </c>
      <c r="D1827" s="4">
        <f>VLOOKUP(Googleadssales[[#This Row],[Ad_ID]],'[1]pre processed data'!A:E,5,0)</f>
        <v>4250</v>
      </c>
      <c r="E1827" s="5" t="str">
        <f>VLOOKUP(Googleadssales[[#This Row],[Ad_ID]],[1]!Table3[[Ad_ID]:[Cost-imputed]],7,0)</f>
        <v>$223.33</v>
      </c>
      <c r="F1827" s="4">
        <f>VLOOKUP(Googleadssales[[#This Row],[Ad_ID]],'[1]pre processed data'!A:I,9,0)</f>
        <v>17</v>
      </c>
      <c r="G1827" s="4">
        <f>VLOOKUP(Googleadssales[[#This Row],[Ad_ID]],'[1]pre processed data'!A:K,11,0)</f>
        <v>3</v>
      </c>
      <c r="H1827" s="2">
        <f>Googleadssales[[#This Row],[Conversions]]/Googleadssales[[#This Row],[Clicks]]</f>
        <v>2.0408163265306121E-2</v>
      </c>
      <c r="I1827" t="str">
        <f>VLOOKUP(Googleadssales[[#This Row],[Ad_ID]],'[1]pre processed data'!A:O,15,0)</f>
        <v>$1069</v>
      </c>
      <c r="J1827" s="3">
        <f>VLOOKUP(Googleadssales[[#This Row],[Ad_ID]],'[1]pre processed data'!A:Q,17,0)</f>
        <v>45623</v>
      </c>
      <c r="K1827" t="str">
        <f>VLOOKUP(Googleadssales[[#This Row],[Ad_ID]],'[1]pre processed data'!A:R,18,0)</f>
        <v>Chennai</v>
      </c>
      <c r="L1827" t="str">
        <f>VLOOKUP(Googleadssales[[#This Row],[Ad_ID]],'[1]pre processed data'!A:S,19,0)</f>
        <v>Desktop</v>
      </c>
      <c r="M1827" t="str">
        <f>VLOOKUP(Googleadssales[[#This Row],[Ad_ID]],'[1]pre processed data'!A:T,20,0)</f>
        <v>online data analytic</v>
      </c>
    </row>
    <row r="1828" spans="1:13" x14ac:dyDescent="0.3">
      <c r="A1828" t="s">
        <v>1841</v>
      </c>
      <c r="B1828" t="s">
        <v>14</v>
      </c>
      <c r="C1828" s="4">
        <f>VLOOKUP(Googleadssales[[#This Row],[Ad_ID]],'[1]pre processed data'!A:C,3,0)</f>
        <v>80</v>
      </c>
      <c r="D1828" s="4">
        <f>VLOOKUP(Googleadssales[[#This Row],[Ad_ID]],'[1]pre processed data'!A:E,5,0)</f>
        <v>4523.2808326787117</v>
      </c>
      <c r="E1828" s="5" t="str">
        <f>VLOOKUP(Googleadssales[[#This Row],[Ad_ID]],[1]!Table3[[Ad_ID]:[Cost-imputed]],7,0)</f>
        <v>$196.17</v>
      </c>
      <c r="F1828" s="4">
        <f>VLOOKUP(Googleadssales[[#This Row],[Ad_ID]],'[1]pre processed data'!A:I,9,0)</f>
        <v>15</v>
      </c>
      <c r="G1828" s="4">
        <f>VLOOKUP(Googleadssales[[#This Row],[Ad_ID]],'[1]pre processed data'!A:K,11,0)</f>
        <v>4</v>
      </c>
      <c r="H1828" s="2">
        <f>Googleadssales[[#This Row],[Conversions]]/Googleadssales[[#This Row],[Clicks]]</f>
        <v>0.05</v>
      </c>
      <c r="I1828" t="str">
        <f>VLOOKUP(Googleadssales[[#This Row],[Ad_ID]],'[1]pre processed data'!A:O,15,0)</f>
        <v>$1252</v>
      </c>
      <c r="J1828" s="3">
        <f>VLOOKUP(Googleadssales[[#This Row],[Ad_ID]],'[1]pre processed data'!A:Q,17,0)</f>
        <v>45604</v>
      </c>
      <c r="K1828" t="str">
        <f>VLOOKUP(Googleadssales[[#This Row],[Ad_ID]],'[1]pre processed data'!A:R,18,0)</f>
        <v>Chennai</v>
      </c>
      <c r="L1828" t="str">
        <f>VLOOKUP(Googleadssales[[#This Row],[Ad_ID]],'[1]pre processed data'!A:S,19,0)</f>
        <v>Desktop</v>
      </c>
      <c r="M1828" t="str">
        <f>VLOOKUP(Googleadssales[[#This Row],[Ad_ID]],'[1]pre processed data'!A:T,20,0)</f>
        <v>learn data analytics</v>
      </c>
    </row>
    <row r="1829" spans="1:13" x14ac:dyDescent="0.3">
      <c r="A1829" t="s">
        <v>1842</v>
      </c>
      <c r="B1829" t="s">
        <v>14</v>
      </c>
      <c r="C1829" s="4">
        <f>VLOOKUP(Googleadssales[[#This Row],[Ad_ID]],'[1]pre processed data'!A:C,3,0)</f>
        <v>181</v>
      </c>
      <c r="D1829" s="4">
        <f>VLOOKUP(Googleadssales[[#This Row],[Ad_ID]],'[1]pre processed data'!A:E,5,0)</f>
        <v>5783</v>
      </c>
      <c r="E1829" s="5" t="str">
        <f>VLOOKUP(Googleadssales[[#This Row],[Ad_ID]],[1]!Table3[[Ad_ID]:[Cost-imputed]],7,0)</f>
        <v>$231.16</v>
      </c>
      <c r="F1829" s="4">
        <f>VLOOKUP(Googleadssales[[#This Row],[Ad_ID]],'[1]pre processed data'!A:I,9,0)</f>
        <v>24</v>
      </c>
      <c r="G1829" s="4">
        <f>VLOOKUP(Googleadssales[[#This Row],[Ad_ID]],'[1]pre processed data'!A:K,11,0)</f>
        <v>4</v>
      </c>
      <c r="H1829" s="2">
        <f>Googleadssales[[#This Row],[Conversions]]/Googleadssales[[#This Row],[Clicks]]</f>
        <v>2.2099447513812154E-2</v>
      </c>
      <c r="I1829" t="str">
        <f>VLOOKUP(Googleadssales[[#This Row],[Ad_ID]],'[1]pre processed data'!A:O,15,0)</f>
        <v>$1963</v>
      </c>
      <c r="J1829" s="3">
        <f>VLOOKUP(Googleadssales[[#This Row],[Ad_ID]],'[1]pre processed data'!A:Q,17,0)</f>
        <v>45625</v>
      </c>
      <c r="K1829" t="str">
        <f>VLOOKUP(Googleadssales[[#This Row],[Ad_ID]],'[1]pre processed data'!A:R,18,0)</f>
        <v>Hyderabad</v>
      </c>
      <c r="L1829" t="str">
        <f>VLOOKUP(Googleadssales[[#This Row],[Ad_ID]],'[1]pre processed data'!A:S,19,0)</f>
        <v>Tablet</v>
      </c>
      <c r="M1829" t="str">
        <f>VLOOKUP(Googleadssales[[#This Row],[Ad_ID]],'[1]pre processed data'!A:T,20,0)</f>
        <v>data analytics course</v>
      </c>
    </row>
    <row r="1830" spans="1:13" x14ac:dyDescent="0.3">
      <c r="A1830" t="s">
        <v>1843</v>
      </c>
      <c r="B1830" t="s">
        <v>14</v>
      </c>
      <c r="C1830" s="4">
        <f>VLOOKUP(Googleadssales[[#This Row],[Ad_ID]],'[1]pre processed data'!A:C,3,0)</f>
        <v>175</v>
      </c>
      <c r="D1830" s="4">
        <f>VLOOKUP(Googleadssales[[#This Row],[Ad_ID]],'[1]pre processed data'!A:E,5,0)</f>
        <v>3792</v>
      </c>
      <c r="E1830" s="5" t="str">
        <f>VLOOKUP(Googleadssales[[#This Row],[Ad_ID]],[1]!Table3[[Ad_ID]:[Cost-imputed]],7,0)</f>
        <v>$227.98</v>
      </c>
      <c r="F1830" s="4">
        <f>VLOOKUP(Googleadssales[[#This Row],[Ad_ID]],'[1]pre processed data'!A:I,9,0)</f>
        <v>17</v>
      </c>
      <c r="G1830" s="4">
        <f>VLOOKUP(Googleadssales[[#This Row],[Ad_ID]],'[1]pre processed data'!A:K,11,0)</f>
        <v>8</v>
      </c>
      <c r="H1830" s="2">
        <f>Googleadssales[[#This Row],[Conversions]]/Googleadssales[[#This Row],[Clicks]]</f>
        <v>4.5714285714285714E-2</v>
      </c>
      <c r="I1830" t="str">
        <f>VLOOKUP(Googleadssales[[#This Row],[Ad_ID]],'[1]pre processed data'!A:O,15,0)</f>
        <v>$1627</v>
      </c>
      <c r="J1830" s="3">
        <f>VLOOKUP(Googleadssales[[#This Row],[Ad_ID]],'[1]pre processed data'!A:Q,17,0)</f>
        <v>45600</v>
      </c>
      <c r="K1830" t="str">
        <f>VLOOKUP(Googleadssales[[#This Row],[Ad_ID]],'[1]pre processed data'!A:R,18,0)</f>
        <v>Bangaluru</v>
      </c>
      <c r="L1830" t="str">
        <f>VLOOKUP(Googleadssales[[#This Row],[Ad_ID]],'[1]pre processed data'!A:S,19,0)</f>
        <v>Tablet</v>
      </c>
      <c r="M1830" t="str">
        <f>VLOOKUP(Googleadssales[[#This Row],[Ad_ID]],'[1]pre processed data'!A:T,20,0)</f>
        <v>learn data analytics</v>
      </c>
    </row>
    <row r="1831" spans="1:13" x14ac:dyDescent="0.3">
      <c r="A1831" t="s">
        <v>1844</v>
      </c>
      <c r="B1831" t="s">
        <v>14</v>
      </c>
      <c r="C1831" s="4">
        <f>VLOOKUP(Googleadssales[[#This Row],[Ad_ID]],'[1]pre processed data'!A:C,3,0)</f>
        <v>94</v>
      </c>
      <c r="D1831" s="4">
        <f>VLOOKUP(Googleadssales[[#This Row],[Ad_ID]],'[1]pre processed data'!A:E,5,0)</f>
        <v>5919</v>
      </c>
      <c r="E1831" s="5" t="str">
        <f>VLOOKUP(Googleadssales[[#This Row],[Ad_ID]],[1]!Table3[[Ad_ID]:[Cost-imputed]],7,0)</f>
        <v>$220.26</v>
      </c>
      <c r="F1831" s="4">
        <f>VLOOKUP(Googleadssales[[#This Row],[Ad_ID]],'[1]pre processed data'!A:I,9,0)</f>
        <v>18</v>
      </c>
      <c r="G1831" s="4">
        <f>VLOOKUP(Googleadssales[[#This Row],[Ad_ID]],'[1]pre processed data'!A:K,11,0)</f>
        <v>8</v>
      </c>
      <c r="H1831" s="2">
        <f>Googleadssales[[#This Row],[Conversions]]/Googleadssales[[#This Row],[Clicks]]</f>
        <v>8.5106382978723402E-2</v>
      </c>
      <c r="I1831" t="str">
        <f>VLOOKUP(Googleadssales[[#This Row],[Ad_ID]],'[1]pre processed data'!A:O,15,0)</f>
        <v>$1486</v>
      </c>
      <c r="J1831" s="3">
        <f>VLOOKUP(Googleadssales[[#This Row],[Ad_ID]],'[1]pre processed data'!A:Q,17,0)</f>
        <v>45614</v>
      </c>
      <c r="K1831" t="str">
        <f>VLOOKUP(Googleadssales[[#This Row],[Ad_ID]],'[1]pre processed data'!A:R,18,0)</f>
        <v>Bangaluru</v>
      </c>
      <c r="L1831" t="str">
        <f>VLOOKUP(Googleadssales[[#This Row],[Ad_ID]],'[1]pre processed data'!A:S,19,0)</f>
        <v>Desktop</v>
      </c>
      <c r="M1831" t="str">
        <f>VLOOKUP(Googleadssales[[#This Row],[Ad_ID]],'[1]pre processed data'!A:T,20,0)</f>
        <v>data analytics training</v>
      </c>
    </row>
    <row r="1832" spans="1:13" x14ac:dyDescent="0.3">
      <c r="A1832" t="s">
        <v>1845</v>
      </c>
      <c r="B1832" t="s">
        <v>14</v>
      </c>
      <c r="C1832" s="4">
        <f>VLOOKUP(Googleadssales[[#This Row],[Ad_ID]],'[1]pre processed data'!A:C,3,0)</f>
        <v>119</v>
      </c>
      <c r="D1832" s="4">
        <f>VLOOKUP(Googleadssales[[#This Row],[Ad_ID]],'[1]pre processed data'!A:E,5,0)</f>
        <v>4593</v>
      </c>
      <c r="E1832" s="5" t="str">
        <f>VLOOKUP(Googleadssales[[#This Row],[Ad_ID]],[1]!Table3[[Ad_ID]:[Cost-imputed]],7,0)</f>
        <v>$248.14</v>
      </c>
      <c r="F1832" s="4">
        <f>VLOOKUP(Googleadssales[[#This Row],[Ad_ID]],'[1]pre processed data'!A:I,9,0)</f>
        <v>23</v>
      </c>
      <c r="G1832" s="4">
        <f>VLOOKUP(Googleadssales[[#This Row],[Ad_ID]],'[1]pre processed data'!A:K,11,0)</f>
        <v>8</v>
      </c>
      <c r="H1832" s="2">
        <f>Googleadssales[[#This Row],[Conversions]]/Googleadssales[[#This Row],[Clicks]]</f>
        <v>6.7226890756302518E-2</v>
      </c>
      <c r="I1832" t="str">
        <f>VLOOKUP(Googleadssales[[#This Row],[Ad_ID]],'[1]pre processed data'!A:O,15,0)</f>
        <v>$1595</v>
      </c>
      <c r="J1832" s="3">
        <f>VLOOKUP(Googleadssales[[#This Row],[Ad_ID]],'[1]pre processed data'!A:Q,17,0)</f>
        <v>45604</v>
      </c>
      <c r="K1832" t="str">
        <f>VLOOKUP(Googleadssales[[#This Row],[Ad_ID]],'[1]pre processed data'!A:R,18,0)</f>
        <v>Hyderabad</v>
      </c>
      <c r="L1832" t="str">
        <f>VLOOKUP(Googleadssales[[#This Row],[Ad_ID]],'[1]pre processed data'!A:S,19,0)</f>
        <v>Mobile</v>
      </c>
      <c r="M1832" t="str">
        <f>VLOOKUP(Googleadssales[[#This Row],[Ad_ID]],'[1]pre processed data'!A:T,20,0)</f>
        <v>learn data analytics</v>
      </c>
    </row>
    <row r="1833" spans="1:13" x14ac:dyDescent="0.3">
      <c r="A1833" t="s">
        <v>1846</v>
      </c>
      <c r="B1833" t="s">
        <v>14</v>
      </c>
      <c r="C1833" s="4">
        <f>VLOOKUP(Googleadssales[[#This Row],[Ad_ID]],'[1]pre processed data'!A:C,3,0)</f>
        <v>146</v>
      </c>
      <c r="D1833" s="4">
        <f>VLOOKUP(Googleadssales[[#This Row],[Ad_ID]],'[1]pre processed data'!A:E,5,0)</f>
        <v>4308</v>
      </c>
      <c r="E1833" s="5" t="str">
        <f>VLOOKUP(Googleadssales[[#This Row],[Ad_ID]],[1]!Table3[[Ad_ID]:[Cost-imputed]],7,0)</f>
        <v>$181.7</v>
      </c>
      <c r="F1833" s="4">
        <f>VLOOKUP(Googleadssales[[#This Row],[Ad_ID]],'[1]pre processed data'!A:I,9,0)</f>
        <v>27</v>
      </c>
      <c r="G1833" s="4">
        <f>VLOOKUP(Googleadssales[[#This Row],[Ad_ID]],'[1]pre processed data'!A:K,11,0)</f>
        <v>9</v>
      </c>
      <c r="H1833" s="2">
        <f>Googleadssales[[#This Row],[Conversions]]/Googleadssales[[#This Row],[Clicks]]</f>
        <v>6.1643835616438353E-2</v>
      </c>
      <c r="I1833" t="str">
        <f>VLOOKUP(Googleadssales[[#This Row],[Ad_ID]],'[1]pre processed data'!A:O,15,0)</f>
        <v>$1391</v>
      </c>
      <c r="J1833" s="3">
        <f>VLOOKUP(Googleadssales[[#This Row],[Ad_ID]],'[1]pre processed data'!A:Q,17,0)</f>
        <v>45602</v>
      </c>
      <c r="K1833" t="str">
        <f>VLOOKUP(Googleadssales[[#This Row],[Ad_ID]],'[1]pre processed data'!A:R,18,0)</f>
        <v>Hyderabad</v>
      </c>
      <c r="L1833" t="str">
        <f>VLOOKUP(Googleadssales[[#This Row],[Ad_ID]],'[1]pre processed data'!A:S,19,0)</f>
        <v>Tablet</v>
      </c>
      <c r="M1833" t="str">
        <f>VLOOKUP(Googleadssales[[#This Row],[Ad_ID]],'[1]pre processed data'!A:T,20,0)</f>
        <v>analytics for data</v>
      </c>
    </row>
    <row r="1834" spans="1:13" x14ac:dyDescent="0.3">
      <c r="A1834" t="s">
        <v>1847</v>
      </c>
      <c r="B1834" t="s">
        <v>14</v>
      </c>
      <c r="C1834" s="4">
        <f>VLOOKUP(Googleadssales[[#This Row],[Ad_ID]],'[1]pre processed data'!A:C,3,0)</f>
        <v>122</v>
      </c>
      <c r="D1834" s="4">
        <f>VLOOKUP(Googleadssales[[#This Row],[Ad_ID]],'[1]pre processed data'!A:E,5,0)</f>
        <v>4676</v>
      </c>
      <c r="E1834" s="5" t="str">
        <f>VLOOKUP(Googleadssales[[#This Row],[Ad_ID]],[1]!Table3[[Ad_ID]:[Cost-imputed]],7,0)</f>
        <v>$202.56</v>
      </c>
      <c r="F1834" s="4">
        <f>VLOOKUP(Googleadssales[[#This Row],[Ad_ID]],'[1]pre processed data'!A:I,9,0)</f>
        <v>25</v>
      </c>
      <c r="G1834" s="4">
        <f>VLOOKUP(Googleadssales[[#This Row],[Ad_ID]],'[1]pre processed data'!A:K,11,0)</f>
        <v>8</v>
      </c>
      <c r="H1834" s="2">
        <f>Googleadssales[[#This Row],[Conversions]]/Googleadssales[[#This Row],[Clicks]]</f>
        <v>6.5573770491803282E-2</v>
      </c>
      <c r="I1834" t="str">
        <f>VLOOKUP(Googleadssales[[#This Row],[Ad_ID]],'[1]pre processed data'!A:O,15,0)</f>
        <v>$1368</v>
      </c>
      <c r="J1834" s="3">
        <f>VLOOKUP(Googleadssales[[#This Row],[Ad_ID]],'[1]pre processed data'!A:Q,17,0)</f>
        <v>45603</v>
      </c>
      <c r="K1834" t="str">
        <f>VLOOKUP(Googleadssales[[#This Row],[Ad_ID]],'[1]pre processed data'!A:R,18,0)</f>
        <v>Chennai</v>
      </c>
      <c r="L1834" t="str">
        <f>VLOOKUP(Googleadssales[[#This Row],[Ad_ID]],'[1]pre processed data'!A:S,19,0)</f>
        <v>Tablet</v>
      </c>
      <c r="M1834" t="str">
        <f>VLOOKUP(Googleadssales[[#This Row],[Ad_ID]],'[1]pre processed data'!A:T,20,0)</f>
        <v>data analytics course</v>
      </c>
    </row>
    <row r="1835" spans="1:13" x14ac:dyDescent="0.3">
      <c r="A1835" t="s">
        <v>1848</v>
      </c>
      <c r="B1835" t="s">
        <v>14</v>
      </c>
      <c r="C1835" s="4">
        <f>VLOOKUP(Googleadssales[[#This Row],[Ad_ID]],'[1]pre processed data'!A:C,3,0)</f>
        <v>114</v>
      </c>
      <c r="D1835" s="4">
        <f>VLOOKUP(Googleadssales[[#This Row],[Ad_ID]],'[1]pre processed data'!A:E,5,0)</f>
        <v>5832</v>
      </c>
      <c r="E1835" s="5" t="str">
        <f>VLOOKUP(Googleadssales[[#This Row],[Ad_ID]],[1]!Table3[[Ad_ID]:[Cost-imputed]],7,0)</f>
        <v>$200.00</v>
      </c>
      <c r="F1835" s="4">
        <f>VLOOKUP(Googleadssales[[#This Row],[Ad_ID]],'[1]pre processed data'!A:I,9,0)</f>
        <v>28</v>
      </c>
      <c r="G1835" s="4">
        <f>VLOOKUP(Googleadssales[[#This Row],[Ad_ID]],'[1]pre processed data'!A:K,11,0)</f>
        <v>4</v>
      </c>
      <c r="H1835" s="2">
        <f>Googleadssales[[#This Row],[Conversions]]/Googleadssales[[#This Row],[Clicks]]</f>
        <v>3.5087719298245612E-2</v>
      </c>
      <c r="I1835" t="str">
        <f>VLOOKUP(Googleadssales[[#This Row],[Ad_ID]],'[1]pre processed data'!A:O,15,0)</f>
        <v>$1566</v>
      </c>
      <c r="J1835" s="3">
        <f>VLOOKUP(Googleadssales[[#This Row],[Ad_ID]],'[1]pre processed data'!A:Q,17,0)</f>
        <v>45614</v>
      </c>
      <c r="K1835" t="str">
        <f>VLOOKUP(Googleadssales[[#This Row],[Ad_ID]],'[1]pre processed data'!A:R,18,0)</f>
        <v>Chennai</v>
      </c>
      <c r="L1835" t="str">
        <f>VLOOKUP(Googleadssales[[#This Row],[Ad_ID]],'[1]pre processed data'!A:S,19,0)</f>
        <v>Mobile</v>
      </c>
      <c r="M1835" t="str">
        <f>VLOOKUP(Googleadssales[[#This Row],[Ad_ID]],'[1]pre processed data'!A:T,20,0)</f>
        <v>data analytics course</v>
      </c>
    </row>
    <row r="1836" spans="1:13" x14ac:dyDescent="0.3">
      <c r="A1836" t="s">
        <v>1849</v>
      </c>
      <c r="B1836" t="s">
        <v>14</v>
      </c>
      <c r="C1836" s="4">
        <f>VLOOKUP(Googleadssales[[#This Row],[Ad_ID]],'[1]pre processed data'!A:C,3,0)</f>
        <v>130</v>
      </c>
      <c r="D1836" s="4">
        <f>VLOOKUP(Googleadssales[[#This Row],[Ad_ID]],'[1]pre processed data'!A:E,5,0)</f>
        <v>3637</v>
      </c>
      <c r="E1836" s="5" t="str">
        <f>VLOOKUP(Googleadssales[[#This Row],[Ad_ID]],[1]!Table3[[Ad_ID]:[Cost-imputed]],7,0)</f>
        <v>$200.00</v>
      </c>
      <c r="F1836" s="4">
        <f>VLOOKUP(Googleadssales[[#This Row],[Ad_ID]],'[1]pre processed data'!A:I,9,0)</f>
        <v>25</v>
      </c>
      <c r="G1836" s="4">
        <f>VLOOKUP(Googleadssales[[#This Row],[Ad_ID]],'[1]pre processed data'!A:K,11,0)</f>
        <v>7</v>
      </c>
      <c r="H1836" s="2">
        <f>Googleadssales[[#This Row],[Conversions]]/Googleadssales[[#This Row],[Clicks]]</f>
        <v>5.3846153846153849E-2</v>
      </c>
      <c r="I1836" t="str">
        <f>VLOOKUP(Googleadssales[[#This Row],[Ad_ID]],'[1]pre processed data'!A:O,15,0)</f>
        <v>$1361</v>
      </c>
      <c r="J1836" s="3">
        <f>VLOOKUP(Googleadssales[[#This Row],[Ad_ID]],'[1]pre processed data'!A:Q,17,0)</f>
        <v>45611</v>
      </c>
      <c r="K1836" t="str">
        <f>VLOOKUP(Googleadssales[[#This Row],[Ad_ID]],'[1]pre processed data'!A:R,18,0)</f>
        <v>Bangaluru</v>
      </c>
      <c r="L1836" t="str">
        <f>VLOOKUP(Googleadssales[[#This Row],[Ad_ID]],'[1]pre processed data'!A:S,19,0)</f>
        <v>Tablet</v>
      </c>
      <c r="M1836" t="str">
        <f>VLOOKUP(Googleadssales[[#This Row],[Ad_ID]],'[1]pre processed data'!A:T,20,0)</f>
        <v>analytics for data</v>
      </c>
    </row>
    <row r="1837" spans="1:13" x14ac:dyDescent="0.3">
      <c r="A1837" t="s">
        <v>1850</v>
      </c>
      <c r="B1837" t="s">
        <v>14</v>
      </c>
      <c r="C1837" s="4">
        <f>VLOOKUP(Googleadssales[[#This Row],[Ad_ID]],'[1]pre processed data'!A:C,3,0)</f>
        <v>154</v>
      </c>
      <c r="D1837" s="4">
        <f>VLOOKUP(Googleadssales[[#This Row],[Ad_ID]],'[1]pre processed data'!A:E,5,0)</f>
        <v>5533</v>
      </c>
      <c r="E1837" s="5" t="str">
        <f>VLOOKUP(Googleadssales[[#This Row],[Ad_ID]],[1]!Table3[[Ad_ID]:[Cost-imputed]],7,0)</f>
        <v>$207.61</v>
      </c>
      <c r="F1837" s="4">
        <f>VLOOKUP(Googleadssales[[#This Row],[Ad_ID]],'[1]pre processed data'!A:I,9,0)</f>
        <v>14</v>
      </c>
      <c r="G1837" s="4">
        <f>VLOOKUP(Googleadssales[[#This Row],[Ad_ID]],'[1]pre processed data'!A:K,11,0)</f>
        <v>8</v>
      </c>
      <c r="H1837" s="2">
        <f>Googleadssales[[#This Row],[Conversions]]/Googleadssales[[#This Row],[Clicks]]</f>
        <v>5.1948051948051951E-2</v>
      </c>
      <c r="I1837" t="str">
        <f>VLOOKUP(Googleadssales[[#This Row],[Ad_ID]],'[1]pre processed data'!A:O,15,0)</f>
        <v>$1165</v>
      </c>
      <c r="J1837" s="3">
        <f>VLOOKUP(Googleadssales[[#This Row],[Ad_ID]],'[1]pre processed data'!A:Q,17,0)</f>
        <v>45602</v>
      </c>
      <c r="K1837" t="str">
        <f>VLOOKUP(Googleadssales[[#This Row],[Ad_ID]],'[1]pre processed data'!A:R,18,0)</f>
        <v>Chennai</v>
      </c>
      <c r="L1837" t="str">
        <f>VLOOKUP(Googleadssales[[#This Row],[Ad_ID]],'[1]pre processed data'!A:S,19,0)</f>
        <v>Desktop</v>
      </c>
      <c r="M1837" t="str">
        <f>VLOOKUP(Googleadssales[[#This Row],[Ad_ID]],'[1]pre processed data'!A:T,20,0)</f>
        <v>analytics for data</v>
      </c>
    </row>
    <row r="1838" spans="1:13" x14ac:dyDescent="0.3">
      <c r="A1838" t="s">
        <v>1851</v>
      </c>
      <c r="B1838" t="s">
        <v>18</v>
      </c>
      <c r="C1838" s="4">
        <f>VLOOKUP(Googleadssales[[#This Row],[Ad_ID]],'[1]pre processed data'!A:C,3,0)</f>
        <v>132</v>
      </c>
      <c r="D1838" s="4">
        <f>VLOOKUP(Googleadssales[[#This Row],[Ad_ID]],'[1]pre processed data'!A:E,5,0)</f>
        <v>4320</v>
      </c>
      <c r="E1838" s="5" t="str">
        <f>VLOOKUP(Googleadssales[[#This Row],[Ad_ID]],[1]!Table3[[Ad_ID]:[Cost-imputed]],7,0)</f>
        <v>$229.38</v>
      </c>
      <c r="F1838" s="4">
        <f>VLOOKUP(Googleadssales[[#This Row],[Ad_ID]],'[1]pre processed data'!A:I,9,0)</f>
        <v>15</v>
      </c>
      <c r="G1838" s="4">
        <f>VLOOKUP(Googleadssales[[#This Row],[Ad_ID]],'[1]pre processed data'!A:K,11,0)</f>
        <v>5</v>
      </c>
      <c r="H1838" s="2">
        <f>Googleadssales[[#This Row],[Conversions]]/Googleadssales[[#This Row],[Clicks]]</f>
        <v>3.787878787878788E-2</v>
      </c>
      <c r="I1838" t="str">
        <f>VLOOKUP(Googleadssales[[#This Row],[Ad_ID]],'[1]pre processed data'!A:O,15,0)</f>
        <v>$1557</v>
      </c>
      <c r="J1838" s="3">
        <f>VLOOKUP(Googleadssales[[#This Row],[Ad_ID]],'[1]pre processed data'!A:Q,17,0)</f>
        <v>45610</v>
      </c>
      <c r="K1838" t="str">
        <f>VLOOKUP(Googleadssales[[#This Row],[Ad_ID]],'[1]pre processed data'!A:R,18,0)</f>
        <v>Bangaluru</v>
      </c>
      <c r="L1838" t="str">
        <f>VLOOKUP(Googleadssales[[#This Row],[Ad_ID]],'[1]pre processed data'!A:S,19,0)</f>
        <v>Desktop</v>
      </c>
      <c r="M1838" t="str">
        <f>VLOOKUP(Googleadssales[[#This Row],[Ad_ID]],'[1]pre processed data'!A:T,20,0)</f>
        <v>analytics for data</v>
      </c>
    </row>
    <row r="1839" spans="1:13" x14ac:dyDescent="0.3">
      <c r="A1839" t="s">
        <v>1852</v>
      </c>
      <c r="B1839" t="s">
        <v>18</v>
      </c>
      <c r="C1839" s="4">
        <f>VLOOKUP(Googleadssales[[#This Row],[Ad_ID]],'[1]pre processed data'!A:C,3,0)</f>
        <v>170</v>
      </c>
      <c r="D1839" s="4">
        <f>VLOOKUP(Googleadssales[[#This Row],[Ad_ID]],'[1]pre processed data'!A:E,5,0)</f>
        <v>3526</v>
      </c>
      <c r="E1839" s="5" t="str">
        <f>VLOOKUP(Googleadssales[[#This Row],[Ad_ID]],[1]!Table3[[Ad_ID]:[Cost-imputed]],7,0)</f>
        <v>$224.34</v>
      </c>
      <c r="F1839" s="4">
        <f>VLOOKUP(Googleadssales[[#This Row],[Ad_ID]],'[1]pre processed data'!A:I,9,0)</f>
        <v>29</v>
      </c>
      <c r="G1839" s="4">
        <f>VLOOKUP(Googleadssales[[#This Row],[Ad_ID]],'[1]pre processed data'!A:K,11,0)</f>
        <v>4</v>
      </c>
      <c r="H1839" s="2">
        <f>Googleadssales[[#This Row],[Conversions]]/Googleadssales[[#This Row],[Clicks]]</f>
        <v>2.3529411764705882E-2</v>
      </c>
      <c r="I1839" t="str">
        <f>VLOOKUP(Googleadssales[[#This Row],[Ad_ID]],'[1]pre processed data'!A:O,15,0)</f>
        <v>$1969</v>
      </c>
      <c r="J1839" s="3">
        <f>VLOOKUP(Googleadssales[[#This Row],[Ad_ID]],'[1]pre processed data'!A:Q,17,0)</f>
        <v>45597</v>
      </c>
      <c r="K1839" t="str">
        <f>VLOOKUP(Googleadssales[[#This Row],[Ad_ID]],'[1]pre processed data'!A:R,18,0)</f>
        <v>Chennai</v>
      </c>
      <c r="L1839" t="str">
        <f>VLOOKUP(Googleadssales[[#This Row],[Ad_ID]],'[1]pre processed data'!A:S,19,0)</f>
        <v>Desktop</v>
      </c>
      <c r="M1839" t="str">
        <f>VLOOKUP(Googleadssales[[#This Row],[Ad_ID]],'[1]pre processed data'!A:T,20,0)</f>
        <v>analytics for data</v>
      </c>
    </row>
    <row r="1840" spans="1:13" x14ac:dyDescent="0.3">
      <c r="A1840" t="s">
        <v>1853</v>
      </c>
      <c r="B1840" t="s">
        <v>18</v>
      </c>
      <c r="C1840" s="4">
        <f>VLOOKUP(Googleadssales[[#This Row],[Ad_ID]],'[1]pre processed data'!A:C,3,0)</f>
        <v>85</v>
      </c>
      <c r="D1840" s="4">
        <f>VLOOKUP(Googleadssales[[#This Row],[Ad_ID]],'[1]pre processed data'!A:E,5,0)</f>
        <v>5962</v>
      </c>
      <c r="E1840" s="5" t="str">
        <f>VLOOKUP(Googleadssales[[#This Row],[Ad_ID]],[1]!Table3[[Ad_ID]:[Cost-imputed]],7,0)</f>
        <v>$201.12</v>
      </c>
      <c r="F1840" s="4">
        <f>VLOOKUP(Googleadssales[[#This Row],[Ad_ID]],'[1]pre processed data'!A:I,9,0)</f>
        <v>20</v>
      </c>
      <c r="G1840" s="4">
        <f>VLOOKUP(Googleadssales[[#This Row],[Ad_ID]],'[1]pre processed data'!A:K,11,0)</f>
        <v>10</v>
      </c>
      <c r="H1840" s="2">
        <f>Googleadssales[[#This Row],[Conversions]]/Googleadssales[[#This Row],[Clicks]]</f>
        <v>0.11764705882352941</v>
      </c>
      <c r="I1840" t="str">
        <f>VLOOKUP(Googleadssales[[#This Row],[Ad_ID]],'[1]pre processed data'!A:O,15,0)</f>
        <v>$1728</v>
      </c>
      <c r="J1840" s="3">
        <f>VLOOKUP(Googleadssales[[#This Row],[Ad_ID]],'[1]pre processed data'!A:Q,17,0)</f>
        <v>45621</v>
      </c>
      <c r="K1840" t="str">
        <f>VLOOKUP(Googleadssales[[#This Row],[Ad_ID]],'[1]pre processed data'!A:R,18,0)</f>
        <v>Bangaluru</v>
      </c>
      <c r="L1840" t="str">
        <f>VLOOKUP(Googleadssales[[#This Row],[Ad_ID]],'[1]pre processed data'!A:S,19,0)</f>
        <v>Mobile</v>
      </c>
      <c r="M1840" t="str">
        <f>VLOOKUP(Googleadssales[[#This Row],[Ad_ID]],'[1]pre processed data'!A:T,20,0)</f>
        <v>data analytics course</v>
      </c>
    </row>
    <row r="1841" spans="1:13" x14ac:dyDescent="0.3">
      <c r="A1841" t="s">
        <v>1854</v>
      </c>
      <c r="B1841" t="s">
        <v>14</v>
      </c>
      <c r="C1841" s="4">
        <f>VLOOKUP(Googleadssales[[#This Row],[Ad_ID]],'[1]pre processed data'!A:C,3,0)</f>
        <v>85</v>
      </c>
      <c r="D1841" s="4">
        <f>VLOOKUP(Googleadssales[[#This Row],[Ad_ID]],'[1]pre processed data'!A:E,5,0)</f>
        <v>3208</v>
      </c>
      <c r="E1841" s="5" t="str">
        <f>VLOOKUP(Googleadssales[[#This Row],[Ad_ID]],[1]!Table3[[Ad_ID]:[Cost-imputed]],7,0)</f>
        <v>$220.53</v>
      </c>
      <c r="F1841" s="4">
        <f>VLOOKUP(Googleadssales[[#This Row],[Ad_ID]],'[1]pre processed data'!A:I,9,0)</f>
        <v>25</v>
      </c>
      <c r="G1841" s="4">
        <f>VLOOKUP(Googleadssales[[#This Row],[Ad_ID]],'[1]pre processed data'!A:K,11,0)</f>
        <v>5</v>
      </c>
      <c r="H1841" s="2">
        <f>Googleadssales[[#This Row],[Conversions]]/Googleadssales[[#This Row],[Clicks]]</f>
        <v>5.8823529411764705E-2</v>
      </c>
      <c r="I1841" t="str">
        <f>VLOOKUP(Googleadssales[[#This Row],[Ad_ID]],'[1]pre processed data'!A:O,15,0)</f>
        <v>$1426</v>
      </c>
      <c r="J1841" s="3">
        <f>VLOOKUP(Googleadssales[[#This Row],[Ad_ID]],'[1]pre processed data'!A:Q,17,0)</f>
        <v>45598</v>
      </c>
      <c r="K1841" t="str">
        <f>VLOOKUP(Googleadssales[[#This Row],[Ad_ID]],'[1]pre processed data'!A:R,18,0)</f>
        <v>Hyderabad</v>
      </c>
      <c r="L1841" t="str">
        <f>VLOOKUP(Googleadssales[[#This Row],[Ad_ID]],'[1]pre processed data'!A:S,19,0)</f>
        <v>Desktop</v>
      </c>
      <c r="M1841" t="str">
        <f>VLOOKUP(Googleadssales[[#This Row],[Ad_ID]],'[1]pre processed data'!A:T,20,0)</f>
        <v>analytics for data</v>
      </c>
    </row>
    <row r="1842" spans="1:13" x14ac:dyDescent="0.3">
      <c r="A1842" t="s">
        <v>1855</v>
      </c>
      <c r="B1842" t="s">
        <v>14</v>
      </c>
      <c r="C1842" s="4">
        <f>VLOOKUP(Googleadssales[[#This Row],[Ad_ID]],'[1]pre processed data'!A:C,3,0)</f>
        <v>127</v>
      </c>
      <c r="D1842" s="4">
        <f>VLOOKUP(Googleadssales[[#This Row],[Ad_ID]],'[1]pre processed data'!A:E,5,0)</f>
        <v>4477</v>
      </c>
      <c r="E1842" s="5" t="str">
        <f>VLOOKUP(Googleadssales[[#This Row],[Ad_ID]],[1]!Table3[[Ad_ID]:[Cost-imputed]],7,0)</f>
        <v>$199.34</v>
      </c>
      <c r="F1842" s="4">
        <f>VLOOKUP(Googleadssales[[#This Row],[Ad_ID]],'[1]pre processed data'!A:I,9,0)</f>
        <v>20</v>
      </c>
      <c r="G1842" s="4">
        <f>VLOOKUP(Googleadssales[[#This Row],[Ad_ID]],'[1]pre processed data'!A:K,11,0)</f>
        <v>3</v>
      </c>
      <c r="H1842" s="2">
        <f>Googleadssales[[#This Row],[Conversions]]/Googleadssales[[#This Row],[Clicks]]</f>
        <v>2.3622047244094488E-2</v>
      </c>
      <c r="I1842" t="str">
        <f>VLOOKUP(Googleadssales[[#This Row],[Ad_ID]],'[1]pre processed data'!A:O,15,0)</f>
        <v>$1239</v>
      </c>
      <c r="J1842" s="3">
        <f>VLOOKUP(Googleadssales[[#This Row],[Ad_ID]],'[1]pre processed data'!A:Q,17,0)</f>
        <v>45597</v>
      </c>
      <c r="K1842" t="str">
        <f>VLOOKUP(Googleadssales[[#This Row],[Ad_ID]],'[1]pre processed data'!A:R,18,0)</f>
        <v>Hyderabad</v>
      </c>
      <c r="L1842" t="str">
        <f>VLOOKUP(Googleadssales[[#This Row],[Ad_ID]],'[1]pre processed data'!A:S,19,0)</f>
        <v>Desktop</v>
      </c>
      <c r="M1842" t="str">
        <f>VLOOKUP(Googleadssales[[#This Row],[Ad_ID]],'[1]pre processed data'!A:T,20,0)</f>
        <v>data analytics course</v>
      </c>
    </row>
    <row r="1843" spans="1:13" x14ac:dyDescent="0.3">
      <c r="A1843" t="s">
        <v>1856</v>
      </c>
      <c r="B1843" t="s">
        <v>14</v>
      </c>
      <c r="C1843" s="4">
        <f>VLOOKUP(Googleadssales[[#This Row],[Ad_ID]],'[1]pre processed data'!A:C,3,0)</f>
        <v>148</v>
      </c>
      <c r="D1843" s="4">
        <f>VLOOKUP(Googleadssales[[#This Row],[Ad_ID]],'[1]pre processed data'!A:E,5,0)</f>
        <v>3207</v>
      </c>
      <c r="E1843" s="5" t="str">
        <f>VLOOKUP(Googleadssales[[#This Row],[Ad_ID]],[1]!Table3[[Ad_ID]:[Cost-imputed]],7,0)</f>
        <v>$207.16</v>
      </c>
      <c r="F1843" s="4">
        <f>VLOOKUP(Googleadssales[[#This Row],[Ad_ID]],'[1]pre processed data'!A:I,9,0)</f>
        <v>22</v>
      </c>
      <c r="G1843" s="4">
        <f>VLOOKUP(Googleadssales[[#This Row],[Ad_ID]],'[1]pre processed data'!A:K,11,0)</f>
        <v>9</v>
      </c>
      <c r="H1843" s="2">
        <f>Googleadssales[[#This Row],[Conversions]]/Googleadssales[[#This Row],[Clicks]]</f>
        <v>6.0810810810810814E-2</v>
      </c>
      <c r="I1843" t="str">
        <f>VLOOKUP(Googleadssales[[#This Row],[Ad_ID]],'[1]pre processed data'!A:O,15,0)</f>
        <v>$1416</v>
      </c>
      <c r="J1843" s="3">
        <f>VLOOKUP(Googleadssales[[#This Row],[Ad_ID]],'[1]pre processed data'!A:Q,17,0)</f>
        <v>45624</v>
      </c>
      <c r="K1843" t="str">
        <f>VLOOKUP(Googleadssales[[#This Row],[Ad_ID]],'[1]pre processed data'!A:R,18,0)</f>
        <v>Hyderabad</v>
      </c>
      <c r="L1843" t="str">
        <f>VLOOKUP(Googleadssales[[#This Row],[Ad_ID]],'[1]pre processed data'!A:S,19,0)</f>
        <v>Desktop</v>
      </c>
      <c r="M1843" t="str">
        <f>VLOOKUP(Googleadssales[[#This Row],[Ad_ID]],'[1]pre processed data'!A:T,20,0)</f>
        <v>online data analytic</v>
      </c>
    </row>
    <row r="1844" spans="1:13" x14ac:dyDescent="0.3">
      <c r="A1844" t="s">
        <v>1857</v>
      </c>
      <c r="B1844" t="s">
        <v>14</v>
      </c>
      <c r="C1844" s="4">
        <f>VLOOKUP(Googleadssales[[#This Row],[Ad_ID]],'[1]pre processed data'!A:C,3,0)</f>
        <v>181</v>
      </c>
      <c r="D1844" s="4">
        <f>VLOOKUP(Googleadssales[[#This Row],[Ad_ID]],'[1]pre processed data'!A:E,5,0)</f>
        <v>4269</v>
      </c>
      <c r="E1844" s="5" t="str">
        <f>VLOOKUP(Googleadssales[[#This Row],[Ad_ID]],[1]!Table3[[Ad_ID]:[Cost-imputed]],7,0)</f>
        <v>$227.56</v>
      </c>
      <c r="F1844" s="4">
        <f>VLOOKUP(Googleadssales[[#This Row],[Ad_ID]],'[1]pre processed data'!A:I,9,0)</f>
        <v>24</v>
      </c>
      <c r="G1844" s="4">
        <f>VLOOKUP(Googleadssales[[#This Row],[Ad_ID]],'[1]pre processed data'!A:K,11,0)</f>
        <v>4</v>
      </c>
      <c r="H1844" s="2">
        <f>Googleadssales[[#This Row],[Conversions]]/Googleadssales[[#This Row],[Clicks]]</f>
        <v>2.2099447513812154E-2</v>
      </c>
      <c r="I1844" t="str">
        <f>VLOOKUP(Googleadssales[[#This Row],[Ad_ID]],'[1]pre processed data'!A:O,15,0)</f>
        <v>$1251</v>
      </c>
      <c r="J1844" s="3">
        <f>VLOOKUP(Googleadssales[[#This Row],[Ad_ID]],'[1]pre processed data'!A:Q,17,0)</f>
        <v>45612</v>
      </c>
      <c r="K1844" t="str">
        <f>VLOOKUP(Googleadssales[[#This Row],[Ad_ID]],'[1]pre processed data'!A:R,18,0)</f>
        <v>Bangaluru</v>
      </c>
      <c r="L1844" t="str">
        <f>VLOOKUP(Googleadssales[[#This Row],[Ad_ID]],'[1]pre processed data'!A:S,19,0)</f>
        <v>Mobile</v>
      </c>
      <c r="M1844" t="str">
        <f>VLOOKUP(Googleadssales[[#This Row],[Ad_ID]],'[1]pre processed data'!A:T,20,0)</f>
        <v>data analytics course</v>
      </c>
    </row>
    <row r="1845" spans="1:13" x14ac:dyDescent="0.3">
      <c r="A1845" t="s">
        <v>1858</v>
      </c>
      <c r="B1845" t="s">
        <v>14</v>
      </c>
      <c r="C1845" s="4">
        <f>VLOOKUP(Googleadssales[[#This Row],[Ad_ID]],'[1]pre processed data'!A:C,3,0)</f>
        <v>102</v>
      </c>
      <c r="D1845" s="4">
        <f>VLOOKUP(Googleadssales[[#This Row],[Ad_ID]],'[1]pre processed data'!A:E,5,0)</f>
        <v>4512</v>
      </c>
      <c r="E1845" s="5" t="str">
        <f>VLOOKUP(Googleadssales[[#This Row],[Ad_ID]],[1]!Table3[[Ad_ID]:[Cost-imputed]],7,0)</f>
        <v>$183.01</v>
      </c>
      <c r="F1845" s="4">
        <f>VLOOKUP(Googleadssales[[#This Row],[Ad_ID]],'[1]pre processed data'!A:I,9,0)</f>
        <v>20.293640054127199</v>
      </c>
      <c r="G1845" s="4">
        <f>VLOOKUP(Googleadssales[[#This Row],[Ad_ID]],'[1]pre processed data'!A:K,11,0)</f>
        <v>5</v>
      </c>
      <c r="H1845" s="2">
        <f>Googleadssales[[#This Row],[Conversions]]/Googleadssales[[#This Row],[Clicks]]</f>
        <v>4.9019607843137254E-2</v>
      </c>
      <c r="I1845" t="str">
        <f>VLOOKUP(Googleadssales[[#This Row],[Ad_ID]],'[1]pre processed data'!A:O,15,0)</f>
        <v>$1544</v>
      </c>
      <c r="J1845" s="3">
        <f>VLOOKUP(Googleadssales[[#This Row],[Ad_ID]],'[1]pre processed data'!A:Q,17,0)</f>
        <v>45620</v>
      </c>
      <c r="K1845" t="str">
        <f>VLOOKUP(Googleadssales[[#This Row],[Ad_ID]],'[1]pre processed data'!A:R,18,0)</f>
        <v>Bangaluru</v>
      </c>
      <c r="L1845" t="str">
        <f>VLOOKUP(Googleadssales[[#This Row],[Ad_ID]],'[1]pre processed data'!A:S,19,0)</f>
        <v>Tablet</v>
      </c>
      <c r="M1845" t="str">
        <f>VLOOKUP(Googleadssales[[#This Row],[Ad_ID]],'[1]pre processed data'!A:T,20,0)</f>
        <v>analytics for data</v>
      </c>
    </row>
    <row r="1846" spans="1:13" x14ac:dyDescent="0.3">
      <c r="A1846" t="s">
        <v>1859</v>
      </c>
      <c r="B1846" t="s">
        <v>18</v>
      </c>
      <c r="C1846" s="4">
        <f>VLOOKUP(Googleadssales[[#This Row],[Ad_ID]],'[1]pre processed data'!A:C,3,0)</f>
        <v>136</v>
      </c>
      <c r="D1846" s="4">
        <f>VLOOKUP(Googleadssales[[#This Row],[Ad_ID]],'[1]pre processed data'!A:E,5,0)</f>
        <v>5249</v>
      </c>
      <c r="E1846" s="5" t="str">
        <f>VLOOKUP(Googleadssales[[#This Row],[Ad_ID]],[1]!Table3[[Ad_ID]:[Cost-imputed]],7,0)</f>
        <v>$199.26</v>
      </c>
      <c r="F1846" s="4">
        <f>VLOOKUP(Googleadssales[[#This Row],[Ad_ID]],'[1]pre processed data'!A:I,9,0)</f>
        <v>25</v>
      </c>
      <c r="G1846" s="4">
        <f>VLOOKUP(Googleadssales[[#This Row],[Ad_ID]],'[1]pre processed data'!A:K,11,0)</f>
        <v>9</v>
      </c>
      <c r="H1846" s="2">
        <f>Googleadssales[[#This Row],[Conversions]]/Googleadssales[[#This Row],[Clicks]]</f>
        <v>6.6176470588235295E-2</v>
      </c>
      <c r="I1846" t="str">
        <f>VLOOKUP(Googleadssales[[#This Row],[Ad_ID]],'[1]pre processed data'!A:O,15,0)</f>
        <v>$1142</v>
      </c>
      <c r="J1846" s="3">
        <f>VLOOKUP(Googleadssales[[#This Row],[Ad_ID]],'[1]pre processed data'!A:Q,17,0)</f>
        <v>45605</v>
      </c>
      <c r="K1846" t="str">
        <f>VLOOKUP(Googleadssales[[#This Row],[Ad_ID]],'[1]pre processed data'!A:R,18,0)</f>
        <v>Bangaluru</v>
      </c>
      <c r="L1846" t="str">
        <f>VLOOKUP(Googleadssales[[#This Row],[Ad_ID]],'[1]pre processed data'!A:S,19,0)</f>
        <v>Desktop</v>
      </c>
      <c r="M1846" t="str">
        <f>VLOOKUP(Googleadssales[[#This Row],[Ad_ID]],'[1]pre processed data'!A:T,20,0)</f>
        <v>analytics for data</v>
      </c>
    </row>
    <row r="1847" spans="1:13" x14ac:dyDescent="0.3">
      <c r="A1847" t="s">
        <v>1860</v>
      </c>
      <c r="B1847" t="s">
        <v>14</v>
      </c>
      <c r="C1847" s="4">
        <f>VLOOKUP(Googleadssales[[#This Row],[Ad_ID]],'[1]pre processed data'!A:C,3,0)</f>
        <v>148</v>
      </c>
      <c r="D1847" s="4">
        <f>VLOOKUP(Googleadssales[[#This Row],[Ad_ID]],'[1]pre processed data'!A:E,5,0)</f>
        <v>4881</v>
      </c>
      <c r="E1847" s="5" t="str">
        <f>VLOOKUP(Googleadssales[[#This Row],[Ad_ID]],[1]!Table3[[Ad_ID]:[Cost-imputed]],7,0)</f>
        <v>$213.23</v>
      </c>
      <c r="F1847" s="4">
        <f>VLOOKUP(Googleadssales[[#This Row],[Ad_ID]],'[1]pre processed data'!A:I,9,0)</f>
        <v>14</v>
      </c>
      <c r="G1847" s="4">
        <f>VLOOKUP(Googleadssales[[#This Row],[Ad_ID]],'[1]pre processed data'!A:K,11,0)</f>
        <v>4</v>
      </c>
      <c r="H1847" s="2">
        <f>Googleadssales[[#This Row],[Conversions]]/Googleadssales[[#This Row],[Clicks]]</f>
        <v>2.7027027027027029E-2</v>
      </c>
      <c r="I1847" t="str">
        <f>VLOOKUP(Googleadssales[[#This Row],[Ad_ID]],'[1]pre processed data'!A:O,15,0)</f>
        <v>$1474</v>
      </c>
      <c r="J1847" s="3">
        <f>VLOOKUP(Googleadssales[[#This Row],[Ad_ID]],'[1]pre processed data'!A:Q,17,0)</f>
        <v>45614</v>
      </c>
      <c r="K1847" t="str">
        <f>VLOOKUP(Googleadssales[[#This Row],[Ad_ID]],'[1]pre processed data'!A:R,18,0)</f>
        <v>Chennai</v>
      </c>
      <c r="L1847" t="str">
        <f>VLOOKUP(Googleadssales[[#This Row],[Ad_ID]],'[1]pre processed data'!A:S,19,0)</f>
        <v>Tablet</v>
      </c>
      <c r="M1847" t="str">
        <f>VLOOKUP(Googleadssales[[#This Row],[Ad_ID]],'[1]pre processed data'!A:T,20,0)</f>
        <v>data analytics training</v>
      </c>
    </row>
    <row r="1848" spans="1:13" x14ac:dyDescent="0.3">
      <c r="A1848" t="s">
        <v>1861</v>
      </c>
      <c r="B1848" t="s">
        <v>18</v>
      </c>
      <c r="C1848" s="4">
        <f>VLOOKUP(Googleadssales[[#This Row],[Ad_ID]],'[1]pre processed data'!A:C,3,0)</f>
        <v>170</v>
      </c>
      <c r="D1848" s="4">
        <f>VLOOKUP(Googleadssales[[#This Row],[Ad_ID]],'[1]pre processed data'!A:E,5,0)</f>
        <v>5385</v>
      </c>
      <c r="E1848" s="5" t="str">
        <f>VLOOKUP(Googleadssales[[#This Row],[Ad_ID]],[1]!Table3[[Ad_ID]:[Cost-imputed]],7,0)</f>
        <v>$198.13</v>
      </c>
      <c r="F1848" s="4">
        <f>VLOOKUP(Googleadssales[[#This Row],[Ad_ID]],'[1]pre processed data'!A:I,9,0)</f>
        <v>21</v>
      </c>
      <c r="G1848" s="4">
        <f>VLOOKUP(Googleadssales[[#This Row],[Ad_ID]],'[1]pre processed data'!A:K,11,0)</f>
        <v>7</v>
      </c>
      <c r="H1848" s="2">
        <f>Googleadssales[[#This Row],[Conversions]]/Googleadssales[[#This Row],[Clicks]]</f>
        <v>4.1176470588235294E-2</v>
      </c>
      <c r="I1848" t="str">
        <f>VLOOKUP(Googleadssales[[#This Row],[Ad_ID]],'[1]pre processed data'!A:O,15,0)</f>
        <v>$1174</v>
      </c>
      <c r="J1848" s="3">
        <f>VLOOKUP(Googleadssales[[#This Row],[Ad_ID]],'[1]pre processed data'!A:Q,17,0)</f>
        <v>45626</v>
      </c>
      <c r="K1848" t="str">
        <f>VLOOKUP(Googleadssales[[#This Row],[Ad_ID]],'[1]pre processed data'!A:R,18,0)</f>
        <v>Hyderabad</v>
      </c>
      <c r="L1848" t="str">
        <f>VLOOKUP(Googleadssales[[#This Row],[Ad_ID]],'[1]pre processed data'!A:S,19,0)</f>
        <v>Desktop</v>
      </c>
      <c r="M1848" t="str">
        <f>VLOOKUP(Googleadssales[[#This Row],[Ad_ID]],'[1]pre processed data'!A:T,20,0)</f>
        <v>online data analytic</v>
      </c>
    </row>
    <row r="1849" spans="1:13" x14ac:dyDescent="0.3">
      <c r="A1849" t="s">
        <v>1862</v>
      </c>
      <c r="B1849" t="s">
        <v>14</v>
      </c>
      <c r="C1849" s="4">
        <f>VLOOKUP(Googleadssales[[#This Row],[Ad_ID]],'[1]pre processed data'!A:C,3,0)</f>
        <v>152</v>
      </c>
      <c r="D1849" s="4">
        <f>VLOOKUP(Googleadssales[[#This Row],[Ad_ID]],'[1]pre processed data'!A:E,5,0)</f>
        <v>4506</v>
      </c>
      <c r="E1849" s="5" t="str">
        <f>VLOOKUP(Googleadssales[[#This Row],[Ad_ID]],[1]!Table3[[Ad_ID]:[Cost-imputed]],7,0)</f>
        <v>$200.00</v>
      </c>
      <c r="F1849" s="4">
        <f>VLOOKUP(Googleadssales[[#This Row],[Ad_ID]],'[1]pre processed data'!A:I,9,0)</f>
        <v>17</v>
      </c>
      <c r="G1849" s="4">
        <f>VLOOKUP(Googleadssales[[#This Row],[Ad_ID]],'[1]pre processed data'!A:K,11,0)</f>
        <v>7</v>
      </c>
      <c r="H1849" s="2">
        <f>Googleadssales[[#This Row],[Conversions]]/Googleadssales[[#This Row],[Clicks]]</f>
        <v>4.6052631578947366E-2</v>
      </c>
      <c r="I1849" t="str">
        <f>VLOOKUP(Googleadssales[[#This Row],[Ad_ID]],'[1]pre processed data'!A:O,15,0)</f>
        <v>$1678</v>
      </c>
      <c r="J1849" s="3">
        <f>VLOOKUP(Googleadssales[[#This Row],[Ad_ID]],'[1]pre processed data'!A:Q,17,0)</f>
        <v>45608</v>
      </c>
      <c r="K1849" t="str">
        <f>VLOOKUP(Googleadssales[[#This Row],[Ad_ID]],'[1]pre processed data'!A:R,18,0)</f>
        <v>Hyderabad</v>
      </c>
      <c r="L1849" t="str">
        <f>VLOOKUP(Googleadssales[[#This Row],[Ad_ID]],'[1]pre processed data'!A:S,19,0)</f>
        <v>Mobile</v>
      </c>
      <c r="M1849" t="str">
        <f>VLOOKUP(Googleadssales[[#This Row],[Ad_ID]],'[1]pre processed data'!A:T,20,0)</f>
        <v>learn data analytics</v>
      </c>
    </row>
    <row r="1850" spans="1:13" x14ac:dyDescent="0.3">
      <c r="A1850" t="s">
        <v>1863</v>
      </c>
      <c r="B1850" t="s">
        <v>14</v>
      </c>
      <c r="C1850" s="4">
        <f>VLOOKUP(Googleadssales[[#This Row],[Ad_ID]],'[1]pre processed data'!A:C,3,0)</f>
        <v>128</v>
      </c>
      <c r="D1850" s="4">
        <f>VLOOKUP(Googleadssales[[#This Row],[Ad_ID]],'[1]pre processed data'!A:E,5,0)</f>
        <v>4149</v>
      </c>
      <c r="E1850" s="5" t="str">
        <f>VLOOKUP(Googleadssales[[#This Row],[Ad_ID]],[1]!Table3[[Ad_ID]:[Cost-imputed]],7,0)</f>
        <v>$238.94</v>
      </c>
      <c r="F1850" s="4">
        <f>VLOOKUP(Googleadssales[[#This Row],[Ad_ID]],'[1]pre processed data'!A:I,9,0)</f>
        <v>10</v>
      </c>
      <c r="G1850" s="4">
        <f>VLOOKUP(Googleadssales[[#This Row],[Ad_ID]],'[1]pre processed data'!A:K,11,0)</f>
        <v>10</v>
      </c>
      <c r="H1850" s="2">
        <f>Googleadssales[[#This Row],[Conversions]]/Googleadssales[[#This Row],[Clicks]]</f>
        <v>7.8125E-2</v>
      </c>
      <c r="I1850" t="str">
        <f>VLOOKUP(Googleadssales[[#This Row],[Ad_ID]],'[1]pre processed data'!A:O,15,0)</f>
        <v>$1306</v>
      </c>
      <c r="J1850" s="3">
        <f>VLOOKUP(Googleadssales[[#This Row],[Ad_ID]],'[1]pre processed data'!A:Q,17,0)</f>
        <v>45609</v>
      </c>
      <c r="K1850" t="str">
        <f>VLOOKUP(Googleadssales[[#This Row],[Ad_ID]],'[1]pre processed data'!A:R,18,0)</f>
        <v>Hyderabad</v>
      </c>
      <c r="L1850" t="str">
        <f>VLOOKUP(Googleadssales[[#This Row],[Ad_ID]],'[1]pre processed data'!A:S,19,0)</f>
        <v>Mobile</v>
      </c>
      <c r="M1850" t="str">
        <f>VLOOKUP(Googleadssales[[#This Row],[Ad_ID]],'[1]pre processed data'!A:T,20,0)</f>
        <v>data analytics course</v>
      </c>
    </row>
    <row r="1851" spans="1:13" x14ac:dyDescent="0.3">
      <c r="A1851" t="s">
        <v>1864</v>
      </c>
      <c r="B1851" t="s">
        <v>18</v>
      </c>
      <c r="C1851" s="4">
        <f>VLOOKUP(Googleadssales[[#This Row],[Ad_ID]],'[1]pre processed data'!A:C,3,0)</f>
        <v>168</v>
      </c>
      <c r="D1851" s="4">
        <f>VLOOKUP(Googleadssales[[#This Row],[Ad_ID]],'[1]pre processed data'!A:E,5,0)</f>
        <v>4517</v>
      </c>
      <c r="E1851" s="5" t="str">
        <f>VLOOKUP(Googleadssales[[#This Row],[Ad_ID]],[1]!Table3[[Ad_ID]:[Cost-imputed]],7,0)</f>
        <v>$228.0</v>
      </c>
      <c r="F1851" s="4">
        <f>VLOOKUP(Googleadssales[[#This Row],[Ad_ID]],'[1]pre processed data'!A:I,9,0)</f>
        <v>27</v>
      </c>
      <c r="G1851" s="4">
        <f>VLOOKUP(Googleadssales[[#This Row],[Ad_ID]],'[1]pre processed data'!A:K,11,0)</f>
        <v>6</v>
      </c>
      <c r="H1851" s="2">
        <f>Googleadssales[[#This Row],[Conversions]]/Googleadssales[[#This Row],[Clicks]]</f>
        <v>3.5714285714285712E-2</v>
      </c>
      <c r="I1851" t="str">
        <f>VLOOKUP(Googleadssales[[#This Row],[Ad_ID]],'[1]pre processed data'!A:O,15,0)</f>
        <v>$1679</v>
      </c>
      <c r="J1851" s="3">
        <f>VLOOKUP(Googleadssales[[#This Row],[Ad_ID]],'[1]pre processed data'!A:Q,17,0)</f>
        <v>45616</v>
      </c>
      <c r="K1851" t="str">
        <f>VLOOKUP(Googleadssales[[#This Row],[Ad_ID]],'[1]pre processed data'!A:R,18,0)</f>
        <v>Bangaluru</v>
      </c>
      <c r="L1851" t="str">
        <f>VLOOKUP(Googleadssales[[#This Row],[Ad_ID]],'[1]pre processed data'!A:S,19,0)</f>
        <v>Mobile</v>
      </c>
      <c r="M1851" t="str">
        <f>VLOOKUP(Googleadssales[[#This Row],[Ad_ID]],'[1]pre processed data'!A:T,20,0)</f>
        <v>online data analytic</v>
      </c>
    </row>
    <row r="1852" spans="1:13" x14ac:dyDescent="0.3">
      <c r="A1852" t="s">
        <v>1865</v>
      </c>
      <c r="B1852" t="s">
        <v>14</v>
      </c>
      <c r="C1852" s="4">
        <f>VLOOKUP(Googleadssales[[#This Row],[Ad_ID]],'[1]pre processed data'!A:C,3,0)</f>
        <v>95</v>
      </c>
      <c r="D1852" s="4">
        <f>VLOOKUP(Googleadssales[[#This Row],[Ad_ID]],'[1]pre processed data'!A:E,5,0)</f>
        <v>4075</v>
      </c>
      <c r="E1852" s="5" t="str">
        <f>VLOOKUP(Googleadssales[[#This Row],[Ad_ID]],[1]!Table3[[Ad_ID]:[Cost-imputed]],7,0)</f>
        <v>$225.18</v>
      </c>
      <c r="F1852" s="4">
        <f>VLOOKUP(Googleadssales[[#This Row],[Ad_ID]],'[1]pre processed data'!A:I,9,0)</f>
        <v>26</v>
      </c>
      <c r="G1852" s="4">
        <f>VLOOKUP(Googleadssales[[#This Row],[Ad_ID]],'[1]pre processed data'!A:K,11,0)</f>
        <v>7</v>
      </c>
      <c r="H1852" s="2">
        <f>Googleadssales[[#This Row],[Conversions]]/Googleadssales[[#This Row],[Clicks]]</f>
        <v>7.3684210526315783E-2</v>
      </c>
      <c r="I1852" t="str">
        <f>VLOOKUP(Googleadssales[[#This Row],[Ad_ID]],'[1]pre processed data'!A:O,15,0)</f>
        <v>$1763</v>
      </c>
      <c r="J1852" s="3">
        <f>VLOOKUP(Googleadssales[[#This Row],[Ad_ID]],'[1]pre processed data'!A:Q,17,0)</f>
        <v>45615</v>
      </c>
      <c r="K1852" t="str">
        <f>VLOOKUP(Googleadssales[[#This Row],[Ad_ID]],'[1]pre processed data'!A:R,18,0)</f>
        <v>Hyderabad</v>
      </c>
      <c r="L1852" t="str">
        <f>VLOOKUP(Googleadssales[[#This Row],[Ad_ID]],'[1]pre processed data'!A:S,19,0)</f>
        <v>Tablet</v>
      </c>
      <c r="M1852" t="str">
        <f>VLOOKUP(Googleadssales[[#This Row],[Ad_ID]],'[1]pre processed data'!A:T,20,0)</f>
        <v>data analytics online</v>
      </c>
    </row>
    <row r="1853" spans="1:13" x14ac:dyDescent="0.3">
      <c r="A1853" t="s">
        <v>1866</v>
      </c>
      <c r="B1853" t="s">
        <v>14</v>
      </c>
      <c r="C1853" s="4">
        <f>VLOOKUP(Googleadssales[[#This Row],[Ad_ID]],'[1]pre processed data'!A:C,3,0)</f>
        <v>120</v>
      </c>
      <c r="D1853" s="4">
        <f>VLOOKUP(Googleadssales[[#This Row],[Ad_ID]],'[1]pre processed data'!A:E,5,0)</f>
        <v>3903</v>
      </c>
      <c r="E1853" s="5" t="str">
        <f>VLOOKUP(Googleadssales[[#This Row],[Ad_ID]],[1]!Table3[[Ad_ID]:[Cost-imputed]],7,0)</f>
        <v>$197.56</v>
      </c>
      <c r="F1853" s="4">
        <f>VLOOKUP(Googleadssales[[#This Row],[Ad_ID]],'[1]pre processed data'!A:I,9,0)</f>
        <v>20.296448087431695</v>
      </c>
      <c r="G1853" s="4">
        <f>VLOOKUP(Googleadssales[[#This Row],[Ad_ID]],'[1]pre processed data'!A:K,11,0)</f>
        <v>7</v>
      </c>
      <c r="H1853" s="2">
        <f>Googleadssales[[#This Row],[Conversions]]/Googleadssales[[#This Row],[Clicks]]</f>
        <v>5.8333333333333334E-2</v>
      </c>
      <c r="I1853" t="str">
        <f>VLOOKUP(Googleadssales[[#This Row],[Ad_ID]],'[1]pre processed data'!A:O,15,0)</f>
        <v>$1255</v>
      </c>
      <c r="J1853" s="3">
        <f>VLOOKUP(Googleadssales[[#This Row],[Ad_ID]],'[1]pre processed data'!A:Q,17,0)</f>
        <v>45614</v>
      </c>
      <c r="K1853" t="str">
        <f>VLOOKUP(Googleadssales[[#This Row],[Ad_ID]],'[1]pre processed data'!A:R,18,0)</f>
        <v>Chennai</v>
      </c>
      <c r="L1853" t="str">
        <f>VLOOKUP(Googleadssales[[#This Row],[Ad_ID]],'[1]pre processed data'!A:S,19,0)</f>
        <v>Tablet</v>
      </c>
      <c r="M1853" t="str">
        <f>VLOOKUP(Googleadssales[[#This Row],[Ad_ID]],'[1]pre processed data'!A:T,20,0)</f>
        <v>analytics for data</v>
      </c>
    </row>
    <row r="1854" spans="1:13" x14ac:dyDescent="0.3">
      <c r="A1854" t="s">
        <v>1867</v>
      </c>
      <c r="B1854" t="s">
        <v>14</v>
      </c>
      <c r="C1854" s="4">
        <f>VLOOKUP(Googleadssales[[#This Row],[Ad_ID]],'[1]pre processed data'!A:C,3,0)</f>
        <v>157</v>
      </c>
      <c r="D1854" s="4">
        <f>VLOOKUP(Googleadssales[[#This Row],[Ad_ID]],'[1]pre processed data'!A:E,5,0)</f>
        <v>4477</v>
      </c>
      <c r="E1854" s="5" t="str">
        <f>VLOOKUP(Googleadssales[[#This Row],[Ad_ID]],[1]!Table3[[Ad_ID]:[Cost-imputed]],7,0)</f>
        <v>$191.69</v>
      </c>
      <c r="F1854" s="4">
        <f>VLOOKUP(Googleadssales[[#This Row],[Ad_ID]],'[1]pre processed data'!A:I,9,0)</f>
        <v>20</v>
      </c>
      <c r="G1854" s="4">
        <f>VLOOKUP(Googleadssales[[#This Row],[Ad_ID]],'[1]pre processed data'!A:K,11,0)</f>
        <v>10</v>
      </c>
      <c r="H1854" s="2">
        <f>Googleadssales[[#This Row],[Conversions]]/Googleadssales[[#This Row],[Clicks]]</f>
        <v>6.3694267515923567E-2</v>
      </c>
      <c r="I1854" t="str">
        <f>VLOOKUP(Googleadssales[[#This Row],[Ad_ID]],'[1]pre processed data'!A:O,15,0)</f>
        <v>$1598</v>
      </c>
      <c r="J1854" s="3">
        <f>VLOOKUP(Googleadssales[[#This Row],[Ad_ID]],'[1]pre processed data'!A:Q,17,0)</f>
        <v>45600</v>
      </c>
      <c r="K1854" t="str">
        <f>VLOOKUP(Googleadssales[[#This Row],[Ad_ID]],'[1]pre processed data'!A:R,18,0)</f>
        <v>Bangaluru</v>
      </c>
      <c r="L1854" t="str">
        <f>VLOOKUP(Googleadssales[[#This Row],[Ad_ID]],'[1]pre processed data'!A:S,19,0)</f>
        <v>Mobile</v>
      </c>
      <c r="M1854" t="str">
        <f>VLOOKUP(Googleadssales[[#This Row],[Ad_ID]],'[1]pre processed data'!A:T,20,0)</f>
        <v>online data analytic</v>
      </c>
    </row>
    <row r="1855" spans="1:13" x14ac:dyDescent="0.3">
      <c r="A1855" t="s">
        <v>1868</v>
      </c>
      <c r="B1855" t="s">
        <v>14</v>
      </c>
      <c r="C1855" s="4">
        <f>VLOOKUP(Googleadssales[[#This Row],[Ad_ID]],'[1]pre processed data'!A:C,3,0)</f>
        <v>147</v>
      </c>
      <c r="D1855" s="4">
        <f>VLOOKUP(Googleadssales[[#This Row],[Ad_ID]],'[1]pre processed data'!A:E,5,0)</f>
        <v>5580</v>
      </c>
      <c r="E1855" s="5" t="str">
        <f>VLOOKUP(Googleadssales[[#This Row],[Ad_ID]],[1]!Table3[[Ad_ID]:[Cost-imputed]],7,0)</f>
        <v>$230.15</v>
      </c>
      <c r="F1855" s="4">
        <f>VLOOKUP(Googleadssales[[#This Row],[Ad_ID]],'[1]pre processed data'!A:I,9,0)</f>
        <v>15</v>
      </c>
      <c r="G1855" s="4">
        <f>VLOOKUP(Googleadssales[[#This Row],[Ad_ID]],'[1]pre processed data'!A:K,11,0)</f>
        <v>3</v>
      </c>
      <c r="H1855" s="2">
        <f>Googleadssales[[#This Row],[Conversions]]/Googleadssales[[#This Row],[Clicks]]</f>
        <v>2.0408163265306121E-2</v>
      </c>
      <c r="I1855" t="str">
        <f>VLOOKUP(Googleadssales[[#This Row],[Ad_ID]],'[1]pre processed data'!A:O,15,0)</f>
        <v>$1299</v>
      </c>
      <c r="J1855" s="3">
        <f>VLOOKUP(Googleadssales[[#This Row],[Ad_ID]],'[1]pre processed data'!A:Q,17,0)</f>
        <v>45602</v>
      </c>
      <c r="K1855" t="str">
        <f>VLOOKUP(Googleadssales[[#This Row],[Ad_ID]],'[1]pre processed data'!A:R,18,0)</f>
        <v>Bangaluru</v>
      </c>
      <c r="L1855" t="str">
        <f>VLOOKUP(Googleadssales[[#This Row],[Ad_ID]],'[1]pre processed data'!A:S,19,0)</f>
        <v>Desktop</v>
      </c>
      <c r="M1855" t="str">
        <f>VLOOKUP(Googleadssales[[#This Row],[Ad_ID]],'[1]pre processed data'!A:T,20,0)</f>
        <v>learn data analytics</v>
      </c>
    </row>
    <row r="1856" spans="1:13" x14ac:dyDescent="0.3">
      <c r="A1856" t="s">
        <v>1869</v>
      </c>
      <c r="B1856" t="s">
        <v>14</v>
      </c>
      <c r="C1856" s="4">
        <f>VLOOKUP(Googleadssales[[#This Row],[Ad_ID]],'[1]pre processed data'!A:C,3,0)</f>
        <v>161</v>
      </c>
      <c r="D1856" s="4">
        <f>VLOOKUP(Googleadssales[[#This Row],[Ad_ID]],'[1]pre processed data'!A:E,5,0)</f>
        <v>3253</v>
      </c>
      <c r="E1856" s="5" t="str">
        <f>VLOOKUP(Googleadssales[[#This Row],[Ad_ID]],[1]!Table3[[Ad_ID]:[Cost-imputed]],7,0)</f>
        <v>$181.02</v>
      </c>
      <c r="F1856" s="4">
        <f>VLOOKUP(Googleadssales[[#This Row],[Ad_ID]],'[1]pre processed data'!A:I,9,0)</f>
        <v>15</v>
      </c>
      <c r="G1856" s="4">
        <f>VLOOKUP(Googleadssales[[#This Row],[Ad_ID]],'[1]pre processed data'!A:K,11,0)</f>
        <v>10</v>
      </c>
      <c r="H1856" s="2">
        <f>Googleadssales[[#This Row],[Conversions]]/Googleadssales[[#This Row],[Clicks]]</f>
        <v>6.2111801242236024E-2</v>
      </c>
      <c r="I1856" t="str">
        <f>VLOOKUP(Googleadssales[[#This Row],[Ad_ID]],'[1]pre processed data'!A:O,15,0)</f>
        <v>$1340</v>
      </c>
      <c r="J1856" s="3">
        <f>VLOOKUP(Googleadssales[[#This Row],[Ad_ID]],'[1]pre processed data'!A:Q,17,0)</f>
        <v>45603</v>
      </c>
      <c r="K1856" t="str">
        <f>VLOOKUP(Googleadssales[[#This Row],[Ad_ID]],'[1]pre processed data'!A:R,18,0)</f>
        <v>Hyderabad</v>
      </c>
      <c r="L1856" t="str">
        <f>VLOOKUP(Googleadssales[[#This Row],[Ad_ID]],'[1]pre processed data'!A:S,19,0)</f>
        <v>Desktop</v>
      </c>
      <c r="M1856" t="str">
        <f>VLOOKUP(Googleadssales[[#This Row],[Ad_ID]],'[1]pre processed data'!A:T,20,0)</f>
        <v>data analytics training</v>
      </c>
    </row>
    <row r="1857" spans="1:13" x14ac:dyDescent="0.3">
      <c r="A1857" t="s">
        <v>1870</v>
      </c>
      <c r="B1857" t="s">
        <v>14</v>
      </c>
      <c r="C1857" s="4">
        <f>VLOOKUP(Googleadssales[[#This Row],[Ad_ID]],'[1]pre processed data'!A:C,3,0)</f>
        <v>187</v>
      </c>
      <c r="D1857" s="4">
        <f>VLOOKUP(Googleadssales[[#This Row],[Ad_ID]],'[1]pre processed data'!A:E,5,0)</f>
        <v>3869</v>
      </c>
      <c r="E1857" s="5" t="str">
        <f>VLOOKUP(Googleadssales[[#This Row],[Ad_ID]],[1]!Table3[[Ad_ID]:[Cost-imputed]],7,0)</f>
        <v>$185.15</v>
      </c>
      <c r="F1857" s="4">
        <f>VLOOKUP(Googleadssales[[#This Row],[Ad_ID]],'[1]pre processed data'!A:I,9,0)</f>
        <v>26</v>
      </c>
      <c r="G1857" s="4">
        <f>VLOOKUP(Googleadssales[[#This Row],[Ad_ID]],'[1]pre processed data'!A:K,11,0)</f>
        <v>6</v>
      </c>
      <c r="H1857" s="2">
        <f>Googleadssales[[#This Row],[Conversions]]/Googleadssales[[#This Row],[Clicks]]</f>
        <v>3.2085561497326207E-2</v>
      </c>
      <c r="I1857" t="str">
        <f>VLOOKUP(Googleadssales[[#This Row],[Ad_ID]],'[1]pre processed data'!A:O,15,0)</f>
        <v>$1881</v>
      </c>
      <c r="J1857" s="3">
        <f>VLOOKUP(Googleadssales[[#This Row],[Ad_ID]],'[1]pre processed data'!A:Q,17,0)</f>
        <v>45600</v>
      </c>
      <c r="K1857" t="str">
        <f>VLOOKUP(Googleadssales[[#This Row],[Ad_ID]],'[1]pre processed data'!A:R,18,0)</f>
        <v>Chennai</v>
      </c>
      <c r="L1857" t="str">
        <f>VLOOKUP(Googleadssales[[#This Row],[Ad_ID]],'[1]pre processed data'!A:S,19,0)</f>
        <v>Mobile</v>
      </c>
      <c r="M1857" t="str">
        <f>VLOOKUP(Googleadssales[[#This Row],[Ad_ID]],'[1]pre processed data'!A:T,20,0)</f>
        <v>data analytics training</v>
      </c>
    </row>
    <row r="1858" spans="1:13" x14ac:dyDescent="0.3">
      <c r="A1858" t="s">
        <v>1871</v>
      </c>
      <c r="B1858" t="s">
        <v>14</v>
      </c>
      <c r="C1858" s="4">
        <f>VLOOKUP(Googleadssales[[#This Row],[Ad_ID]],'[1]pre processed data'!A:C,3,0)</f>
        <v>177</v>
      </c>
      <c r="D1858" s="4">
        <f>VLOOKUP(Googleadssales[[#This Row],[Ad_ID]],'[1]pre processed data'!A:E,5,0)</f>
        <v>5043</v>
      </c>
      <c r="E1858" s="5" t="str">
        <f>VLOOKUP(Googleadssales[[#This Row],[Ad_ID]],[1]!Table3[[Ad_ID]:[Cost-imputed]],7,0)</f>
        <v>$213.52</v>
      </c>
      <c r="F1858" s="4">
        <f>VLOOKUP(Googleadssales[[#This Row],[Ad_ID]],'[1]pre processed data'!A:I,9,0)</f>
        <v>18</v>
      </c>
      <c r="G1858" s="4">
        <f>VLOOKUP(Googleadssales[[#This Row],[Ad_ID]],'[1]pre processed data'!A:K,11,0)</f>
        <v>4</v>
      </c>
      <c r="H1858" s="2">
        <f>Googleadssales[[#This Row],[Conversions]]/Googleadssales[[#This Row],[Clicks]]</f>
        <v>2.2598870056497175E-2</v>
      </c>
      <c r="I1858" t="str">
        <f>VLOOKUP(Googleadssales[[#This Row],[Ad_ID]],'[1]pre processed data'!A:O,15,0)</f>
        <v>$1117</v>
      </c>
      <c r="J1858" s="3">
        <f>VLOOKUP(Googleadssales[[#This Row],[Ad_ID]],'[1]pre processed data'!A:Q,17,0)</f>
        <v>45624</v>
      </c>
      <c r="K1858" t="str">
        <f>VLOOKUP(Googleadssales[[#This Row],[Ad_ID]],'[1]pre processed data'!A:R,18,0)</f>
        <v>Bangaluru</v>
      </c>
      <c r="L1858" t="str">
        <f>VLOOKUP(Googleadssales[[#This Row],[Ad_ID]],'[1]pre processed data'!A:S,19,0)</f>
        <v>Tablet</v>
      </c>
      <c r="M1858" t="str">
        <f>VLOOKUP(Googleadssales[[#This Row],[Ad_ID]],'[1]pre processed data'!A:T,20,0)</f>
        <v>data analytics course</v>
      </c>
    </row>
    <row r="1859" spans="1:13" x14ac:dyDescent="0.3">
      <c r="A1859" t="s">
        <v>1872</v>
      </c>
      <c r="B1859" t="s">
        <v>18</v>
      </c>
      <c r="C1859" s="4">
        <f>VLOOKUP(Googleadssales[[#This Row],[Ad_ID]],'[1]pre processed data'!A:C,3,0)</f>
        <v>165</v>
      </c>
      <c r="D1859" s="4">
        <f>VLOOKUP(Googleadssales[[#This Row],[Ad_ID]],'[1]pre processed data'!A:E,5,0)</f>
        <v>4537</v>
      </c>
      <c r="E1859" s="5" t="str">
        <f>VLOOKUP(Googleadssales[[#This Row],[Ad_ID]],[1]!Table3[[Ad_ID]:[Cost-imputed]],7,0)</f>
        <v>$191.77</v>
      </c>
      <c r="F1859" s="4">
        <f>VLOOKUP(Googleadssales[[#This Row],[Ad_ID]],'[1]pre processed data'!A:I,9,0)</f>
        <v>15</v>
      </c>
      <c r="G1859" s="4">
        <f>VLOOKUP(Googleadssales[[#This Row],[Ad_ID]],'[1]pre processed data'!A:K,11,0)</f>
        <v>4</v>
      </c>
      <c r="H1859" s="2">
        <f>Googleadssales[[#This Row],[Conversions]]/Googleadssales[[#This Row],[Clicks]]</f>
        <v>2.4242424242424242E-2</v>
      </c>
      <c r="I1859" t="str">
        <f>VLOOKUP(Googleadssales[[#This Row],[Ad_ID]],'[1]pre processed data'!A:O,15,0)</f>
        <v>$1783</v>
      </c>
      <c r="J1859" s="3">
        <f>VLOOKUP(Googleadssales[[#This Row],[Ad_ID]],'[1]pre processed data'!A:Q,17,0)</f>
        <v>45600</v>
      </c>
      <c r="K1859" t="str">
        <f>VLOOKUP(Googleadssales[[#This Row],[Ad_ID]],'[1]pre processed data'!A:R,18,0)</f>
        <v>Chennai</v>
      </c>
      <c r="L1859" t="str">
        <f>VLOOKUP(Googleadssales[[#This Row],[Ad_ID]],'[1]pre processed data'!A:S,19,0)</f>
        <v>Tablet</v>
      </c>
      <c r="M1859" t="str">
        <f>VLOOKUP(Googleadssales[[#This Row],[Ad_ID]],'[1]pre processed data'!A:T,20,0)</f>
        <v>analytics for data</v>
      </c>
    </row>
    <row r="1860" spans="1:13" x14ac:dyDescent="0.3">
      <c r="A1860" t="s">
        <v>1873</v>
      </c>
      <c r="B1860" t="s">
        <v>18</v>
      </c>
      <c r="C1860" s="4">
        <f>VLOOKUP(Googleadssales[[#This Row],[Ad_ID]],'[1]pre processed data'!A:C,3,0)</f>
        <v>146</v>
      </c>
      <c r="D1860" s="4">
        <f>VLOOKUP(Googleadssales[[#This Row],[Ad_ID]],'[1]pre processed data'!A:E,5,0)</f>
        <v>3766</v>
      </c>
      <c r="E1860" s="5" t="str">
        <f>VLOOKUP(Googleadssales[[#This Row],[Ad_ID]],[1]!Table3[[Ad_ID]:[Cost-imputed]],7,0)</f>
        <v>$200.00</v>
      </c>
      <c r="F1860" s="4">
        <f>VLOOKUP(Googleadssales[[#This Row],[Ad_ID]],'[1]pre processed data'!A:I,9,0)</f>
        <v>23</v>
      </c>
      <c r="G1860" s="4">
        <f>VLOOKUP(Googleadssales[[#This Row],[Ad_ID]],'[1]pre processed data'!A:K,11,0)</f>
        <v>6</v>
      </c>
      <c r="H1860" s="2">
        <f>Googleadssales[[#This Row],[Conversions]]/Googleadssales[[#This Row],[Clicks]]</f>
        <v>4.1095890410958902E-2</v>
      </c>
      <c r="I1860" t="str">
        <f>VLOOKUP(Googleadssales[[#This Row],[Ad_ID]],'[1]pre processed data'!A:O,15,0)</f>
        <v>$1760</v>
      </c>
      <c r="J1860" s="3">
        <f>VLOOKUP(Googleadssales[[#This Row],[Ad_ID]],'[1]pre processed data'!A:Q,17,0)</f>
        <v>45601</v>
      </c>
      <c r="K1860" t="str">
        <f>VLOOKUP(Googleadssales[[#This Row],[Ad_ID]],'[1]pre processed data'!A:R,18,0)</f>
        <v>Hyderabad</v>
      </c>
      <c r="L1860" t="str">
        <f>VLOOKUP(Googleadssales[[#This Row],[Ad_ID]],'[1]pre processed data'!A:S,19,0)</f>
        <v>Desktop</v>
      </c>
      <c r="M1860" t="str">
        <f>VLOOKUP(Googleadssales[[#This Row],[Ad_ID]],'[1]pre processed data'!A:T,20,0)</f>
        <v>analytics for data</v>
      </c>
    </row>
    <row r="1861" spans="1:13" x14ac:dyDescent="0.3">
      <c r="A1861" t="s">
        <v>1874</v>
      </c>
      <c r="B1861" t="s">
        <v>18</v>
      </c>
      <c r="C1861" s="4">
        <f>VLOOKUP(Googleadssales[[#This Row],[Ad_ID]],'[1]pre processed data'!A:C,3,0)</f>
        <v>126</v>
      </c>
      <c r="D1861" s="4">
        <f>VLOOKUP(Googleadssales[[#This Row],[Ad_ID]],'[1]pre processed data'!A:E,5,0)</f>
        <v>3702</v>
      </c>
      <c r="E1861" s="5" t="str">
        <f>VLOOKUP(Googleadssales[[#This Row],[Ad_ID]],[1]!Table3[[Ad_ID]:[Cost-imputed]],7,0)</f>
        <v>$222.41</v>
      </c>
      <c r="F1861" s="4">
        <f>VLOOKUP(Googleadssales[[#This Row],[Ad_ID]],'[1]pre processed data'!A:I,9,0)</f>
        <v>27</v>
      </c>
      <c r="G1861" s="4">
        <f>VLOOKUP(Googleadssales[[#This Row],[Ad_ID]],'[1]pre processed data'!A:K,11,0)</f>
        <v>5</v>
      </c>
      <c r="H1861" s="2">
        <f>Googleadssales[[#This Row],[Conversions]]/Googleadssales[[#This Row],[Clicks]]</f>
        <v>3.968253968253968E-2</v>
      </c>
      <c r="I1861" t="str">
        <f>VLOOKUP(Googleadssales[[#This Row],[Ad_ID]],'[1]pre processed data'!A:O,15,0)</f>
        <v>$1489</v>
      </c>
      <c r="J1861" s="3">
        <f>VLOOKUP(Googleadssales[[#This Row],[Ad_ID]],'[1]pre processed data'!A:Q,17,0)</f>
        <v>45626</v>
      </c>
      <c r="K1861" t="str">
        <f>VLOOKUP(Googleadssales[[#This Row],[Ad_ID]],'[1]pre processed data'!A:R,18,0)</f>
        <v>Hyderabad</v>
      </c>
      <c r="L1861" t="str">
        <f>VLOOKUP(Googleadssales[[#This Row],[Ad_ID]],'[1]pre processed data'!A:S,19,0)</f>
        <v>Desktop</v>
      </c>
      <c r="M1861" t="str">
        <f>VLOOKUP(Googleadssales[[#This Row],[Ad_ID]],'[1]pre processed data'!A:T,20,0)</f>
        <v>analytics for data</v>
      </c>
    </row>
    <row r="1862" spans="1:13" x14ac:dyDescent="0.3">
      <c r="A1862" t="s">
        <v>1875</v>
      </c>
      <c r="B1862" t="s">
        <v>18</v>
      </c>
      <c r="C1862" s="4">
        <f>VLOOKUP(Googleadssales[[#This Row],[Ad_ID]],'[1]pre processed data'!A:C,3,0)</f>
        <v>110</v>
      </c>
      <c r="D1862" s="4">
        <f>VLOOKUP(Googleadssales[[#This Row],[Ad_ID]],'[1]pre processed data'!A:E,5,0)</f>
        <v>4840</v>
      </c>
      <c r="E1862" s="5" t="str">
        <f>VLOOKUP(Googleadssales[[#This Row],[Ad_ID]],[1]!Table3[[Ad_ID]:[Cost-imputed]],7,0)</f>
        <v>$184.63</v>
      </c>
      <c r="F1862" s="4">
        <f>VLOOKUP(Googleadssales[[#This Row],[Ad_ID]],'[1]pre processed data'!A:I,9,0)</f>
        <v>17</v>
      </c>
      <c r="G1862" s="4">
        <f>VLOOKUP(Googleadssales[[#This Row],[Ad_ID]],'[1]pre processed data'!A:K,11,0)</f>
        <v>8</v>
      </c>
      <c r="H1862" s="2">
        <f>Googleadssales[[#This Row],[Conversions]]/Googleadssales[[#This Row],[Clicks]]</f>
        <v>7.2727272727272724E-2</v>
      </c>
      <c r="I1862" t="str">
        <f>VLOOKUP(Googleadssales[[#This Row],[Ad_ID]],'[1]pre processed data'!A:O,15,0)</f>
        <v>$1013</v>
      </c>
      <c r="J1862" s="3">
        <f>VLOOKUP(Googleadssales[[#This Row],[Ad_ID]],'[1]pre processed data'!A:Q,17,0)</f>
        <v>45618</v>
      </c>
      <c r="K1862" t="str">
        <f>VLOOKUP(Googleadssales[[#This Row],[Ad_ID]],'[1]pre processed data'!A:R,18,0)</f>
        <v>Hyderabad</v>
      </c>
      <c r="L1862" t="str">
        <f>VLOOKUP(Googleadssales[[#This Row],[Ad_ID]],'[1]pre processed data'!A:S,19,0)</f>
        <v>Mobile</v>
      </c>
      <c r="M1862" t="str">
        <f>VLOOKUP(Googleadssales[[#This Row],[Ad_ID]],'[1]pre processed data'!A:T,20,0)</f>
        <v>data analytics online</v>
      </c>
    </row>
    <row r="1863" spans="1:13" x14ac:dyDescent="0.3">
      <c r="A1863" t="s">
        <v>1876</v>
      </c>
      <c r="B1863" t="s">
        <v>14</v>
      </c>
      <c r="C1863" s="4">
        <f>VLOOKUP(Googleadssales[[#This Row],[Ad_ID]],'[1]pre processed data'!A:C,3,0)</f>
        <v>97</v>
      </c>
      <c r="D1863" s="4">
        <f>VLOOKUP(Googleadssales[[#This Row],[Ad_ID]],'[1]pre processed data'!A:E,5,0)</f>
        <v>4425</v>
      </c>
      <c r="E1863" s="5" t="str">
        <f>VLOOKUP(Googleadssales[[#This Row],[Ad_ID]],[1]!Table3[[Ad_ID]:[Cost-imputed]],7,0)</f>
        <v>$206.41</v>
      </c>
      <c r="F1863" s="4">
        <f>VLOOKUP(Googleadssales[[#This Row],[Ad_ID]],'[1]pre processed data'!A:I,9,0)</f>
        <v>10</v>
      </c>
      <c r="G1863" s="4">
        <f>VLOOKUP(Googleadssales[[#This Row],[Ad_ID]],'[1]pre processed data'!A:K,11,0)</f>
        <v>5</v>
      </c>
      <c r="H1863" s="2">
        <f>Googleadssales[[#This Row],[Conversions]]/Googleadssales[[#This Row],[Clicks]]</f>
        <v>5.1546391752577317E-2</v>
      </c>
      <c r="I1863" t="str">
        <f>VLOOKUP(Googleadssales[[#This Row],[Ad_ID]],'[1]pre processed data'!A:O,15,0)</f>
        <v>$1219</v>
      </c>
      <c r="J1863" s="3">
        <f>VLOOKUP(Googleadssales[[#This Row],[Ad_ID]],'[1]pre processed data'!A:Q,17,0)</f>
        <v>45612</v>
      </c>
      <c r="K1863" t="str">
        <f>VLOOKUP(Googleadssales[[#This Row],[Ad_ID]],'[1]pre processed data'!A:R,18,0)</f>
        <v>Hyderabad</v>
      </c>
      <c r="L1863" t="str">
        <f>VLOOKUP(Googleadssales[[#This Row],[Ad_ID]],'[1]pre processed data'!A:S,19,0)</f>
        <v>Desktop</v>
      </c>
      <c r="M1863" t="str">
        <f>VLOOKUP(Googleadssales[[#This Row],[Ad_ID]],'[1]pre processed data'!A:T,20,0)</f>
        <v>data analytics course</v>
      </c>
    </row>
    <row r="1864" spans="1:13" x14ac:dyDescent="0.3">
      <c r="A1864" t="s">
        <v>1877</v>
      </c>
      <c r="B1864" t="s">
        <v>14</v>
      </c>
      <c r="C1864" s="4">
        <f>VLOOKUP(Googleadssales[[#This Row],[Ad_ID]],'[1]pre processed data'!A:C,3,0)</f>
        <v>104</v>
      </c>
      <c r="D1864" s="4">
        <f>VLOOKUP(Googleadssales[[#This Row],[Ad_ID]],'[1]pre processed data'!A:E,5,0)</f>
        <v>4213</v>
      </c>
      <c r="E1864" s="5" t="str">
        <f>VLOOKUP(Googleadssales[[#This Row],[Ad_ID]],[1]!Table3[[Ad_ID]:[Cost-imputed]],7,0)</f>
        <v>$202.54</v>
      </c>
      <c r="F1864" s="4">
        <f>VLOOKUP(Googleadssales[[#This Row],[Ad_ID]],'[1]pre processed data'!A:I,9,0)</f>
        <v>21</v>
      </c>
      <c r="G1864" s="4">
        <f>VLOOKUP(Googleadssales[[#This Row],[Ad_ID]],'[1]pre processed data'!A:K,11,0)</f>
        <v>8</v>
      </c>
      <c r="H1864" s="2">
        <f>Googleadssales[[#This Row],[Conversions]]/Googleadssales[[#This Row],[Clicks]]</f>
        <v>7.6923076923076927E-2</v>
      </c>
      <c r="I1864" t="str">
        <f>VLOOKUP(Googleadssales[[#This Row],[Ad_ID]],'[1]pre processed data'!A:O,15,0)</f>
        <v>$1065</v>
      </c>
      <c r="J1864" s="3">
        <f>VLOOKUP(Googleadssales[[#This Row],[Ad_ID]],'[1]pre processed data'!A:Q,17,0)</f>
        <v>45622</v>
      </c>
      <c r="K1864" t="str">
        <f>VLOOKUP(Googleadssales[[#This Row],[Ad_ID]],'[1]pre processed data'!A:R,18,0)</f>
        <v>Hyderabad</v>
      </c>
      <c r="L1864" t="str">
        <f>VLOOKUP(Googleadssales[[#This Row],[Ad_ID]],'[1]pre processed data'!A:S,19,0)</f>
        <v>Tablet</v>
      </c>
      <c r="M1864" t="str">
        <f>VLOOKUP(Googleadssales[[#This Row],[Ad_ID]],'[1]pre processed data'!A:T,20,0)</f>
        <v>data analytics course</v>
      </c>
    </row>
    <row r="1865" spans="1:13" x14ac:dyDescent="0.3">
      <c r="A1865" t="s">
        <v>1878</v>
      </c>
      <c r="B1865" t="s">
        <v>14</v>
      </c>
      <c r="C1865" s="4">
        <f>VLOOKUP(Googleadssales[[#This Row],[Ad_ID]],'[1]pre processed data'!A:C,3,0)</f>
        <v>176</v>
      </c>
      <c r="D1865" s="4">
        <f>VLOOKUP(Googleadssales[[#This Row],[Ad_ID]],'[1]pre processed data'!A:E,5,0)</f>
        <v>5010</v>
      </c>
      <c r="E1865" s="5" t="str">
        <f>VLOOKUP(Googleadssales[[#This Row],[Ad_ID]],[1]!Table3[[Ad_ID]:[Cost-imputed]],7,0)</f>
        <v>$205.47</v>
      </c>
      <c r="F1865" s="4">
        <f>VLOOKUP(Googleadssales[[#This Row],[Ad_ID]],'[1]pre processed data'!A:I,9,0)</f>
        <v>18</v>
      </c>
      <c r="G1865" s="4">
        <f>VLOOKUP(Googleadssales[[#This Row],[Ad_ID]],'[1]pre processed data'!A:K,11,0)</f>
        <v>10</v>
      </c>
      <c r="H1865" s="2">
        <f>Googleadssales[[#This Row],[Conversions]]/Googleadssales[[#This Row],[Clicks]]</f>
        <v>5.6818181818181816E-2</v>
      </c>
      <c r="I1865" t="str">
        <f>VLOOKUP(Googleadssales[[#This Row],[Ad_ID]],'[1]pre processed data'!A:O,15,0)</f>
        <v>$1709</v>
      </c>
      <c r="J1865" s="3">
        <f>VLOOKUP(Googleadssales[[#This Row],[Ad_ID]],'[1]pre processed data'!A:Q,17,0)</f>
        <v>45620</v>
      </c>
      <c r="K1865" t="str">
        <f>VLOOKUP(Googleadssales[[#This Row],[Ad_ID]],'[1]pre processed data'!A:R,18,0)</f>
        <v>Bangaluru</v>
      </c>
      <c r="L1865" t="str">
        <f>VLOOKUP(Googleadssales[[#This Row],[Ad_ID]],'[1]pre processed data'!A:S,19,0)</f>
        <v>Tablet</v>
      </c>
      <c r="M1865" t="str">
        <f>VLOOKUP(Googleadssales[[#This Row],[Ad_ID]],'[1]pre processed data'!A:T,20,0)</f>
        <v>data analytics course</v>
      </c>
    </row>
    <row r="1866" spans="1:13" x14ac:dyDescent="0.3">
      <c r="A1866" t="s">
        <v>1879</v>
      </c>
      <c r="B1866" t="s">
        <v>14</v>
      </c>
      <c r="C1866" s="4">
        <f>VLOOKUP(Googleadssales[[#This Row],[Ad_ID]],'[1]pre processed data'!A:C,3,0)</f>
        <v>91</v>
      </c>
      <c r="D1866" s="4">
        <f>VLOOKUP(Googleadssales[[#This Row],[Ad_ID]],'[1]pre processed data'!A:E,5,0)</f>
        <v>4045</v>
      </c>
      <c r="E1866" s="5" t="str">
        <f>VLOOKUP(Googleadssales[[#This Row],[Ad_ID]],[1]!Table3[[Ad_ID]:[Cost-imputed]],7,0)</f>
        <v>$225.82</v>
      </c>
      <c r="F1866" s="4">
        <f>VLOOKUP(Googleadssales[[#This Row],[Ad_ID]],'[1]pre processed data'!A:I,9,0)</f>
        <v>12</v>
      </c>
      <c r="G1866" s="4">
        <f>VLOOKUP(Googleadssales[[#This Row],[Ad_ID]],'[1]pre processed data'!A:K,11,0)</f>
        <v>7</v>
      </c>
      <c r="H1866" s="2">
        <f>Googleadssales[[#This Row],[Conversions]]/Googleadssales[[#This Row],[Clicks]]</f>
        <v>7.6923076923076927E-2</v>
      </c>
      <c r="I1866" t="str">
        <f>VLOOKUP(Googleadssales[[#This Row],[Ad_ID]],'[1]pre processed data'!A:O,15,0)</f>
        <v>$1828</v>
      </c>
      <c r="J1866" s="3">
        <f>VLOOKUP(Googleadssales[[#This Row],[Ad_ID]],'[1]pre processed data'!A:Q,17,0)</f>
        <v>45609</v>
      </c>
      <c r="K1866" t="str">
        <f>VLOOKUP(Googleadssales[[#This Row],[Ad_ID]],'[1]pre processed data'!A:R,18,0)</f>
        <v>Bangaluru</v>
      </c>
      <c r="L1866" t="str">
        <f>VLOOKUP(Googleadssales[[#This Row],[Ad_ID]],'[1]pre processed data'!A:S,19,0)</f>
        <v>Tablet</v>
      </c>
      <c r="M1866" t="str">
        <f>VLOOKUP(Googleadssales[[#This Row],[Ad_ID]],'[1]pre processed data'!A:T,20,0)</f>
        <v>online data analytic</v>
      </c>
    </row>
    <row r="1867" spans="1:13" x14ac:dyDescent="0.3">
      <c r="A1867" t="s">
        <v>1880</v>
      </c>
      <c r="B1867" t="s">
        <v>14</v>
      </c>
      <c r="C1867" s="4">
        <f>VLOOKUP(Googleadssales[[#This Row],[Ad_ID]],'[1]pre processed data'!A:C,3,0)</f>
        <v>167</v>
      </c>
      <c r="D1867" s="4">
        <f>VLOOKUP(Googleadssales[[#This Row],[Ad_ID]],'[1]pre processed data'!A:E,5,0)</f>
        <v>5145</v>
      </c>
      <c r="E1867" s="5" t="str">
        <f>VLOOKUP(Googleadssales[[#This Row],[Ad_ID]],[1]!Table3[[Ad_ID]:[Cost-imputed]],7,0)</f>
        <v>$183.22</v>
      </c>
      <c r="F1867" s="4">
        <f>VLOOKUP(Googleadssales[[#This Row],[Ad_ID]],'[1]pre processed data'!A:I,9,0)</f>
        <v>19</v>
      </c>
      <c r="G1867" s="4">
        <f>VLOOKUP(Googleadssales[[#This Row],[Ad_ID]],'[1]pre processed data'!A:K,11,0)</f>
        <v>9</v>
      </c>
      <c r="H1867" s="2">
        <f>Googleadssales[[#This Row],[Conversions]]/Googleadssales[[#This Row],[Clicks]]</f>
        <v>5.3892215568862277E-2</v>
      </c>
      <c r="I1867" t="str">
        <f>VLOOKUP(Googleadssales[[#This Row],[Ad_ID]],'[1]pre processed data'!A:O,15,0)</f>
        <v>$1021</v>
      </c>
      <c r="J1867" s="3">
        <f>VLOOKUP(Googleadssales[[#This Row],[Ad_ID]],'[1]pre processed data'!A:Q,17,0)</f>
        <v>45618</v>
      </c>
      <c r="K1867" t="str">
        <f>VLOOKUP(Googleadssales[[#This Row],[Ad_ID]],'[1]pre processed data'!A:R,18,0)</f>
        <v>Hyderabad</v>
      </c>
      <c r="L1867" t="str">
        <f>VLOOKUP(Googleadssales[[#This Row],[Ad_ID]],'[1]pre processed data'!A:S,19,0)</f>
        <v>Desktop</v>
      </c>
      <c r="M1867" t="str">
        <f>VLOOKUP(Googleadssales[[#This Row],[Ad_ID]],'[1]pre processed data'!A:T,20,0)</f>
        <v>online data analytic</v>
      </c>
    </row>
    <row r="1868" spans="1:13" x14ac:dyDescent="0.3">
      <c r="A1868" t="s">
        <v>1881</v>
      </c>
      <c r="B1868" t="s">
        <v>14</v>
      </c>
      <c r="C1868" s="4">
        <f>VLOOKUP(Googleadssales[[#This Row],[Ad_ID]],'[1]pre processed data'!A:C,3,0)</f>
        <v>132</v>
      </c>
      <c r="D1868" s="4">
        <f>VLOOKUP(Googleadssales[[#This Row],[Ad_ID]],'[1]pre processed data'!A:E,5,0)</f>
        <v>3725</v>
      </c>
      <c r="E1868" s="5" t="str">
        <f>VLOOKUP(Googleadssales[[#This Row],[Ad_ID]],[1]!Table3[[Ad_ID]:[Cost-imputed]],7,0)</f>
        <v>$196.98</v>
      </c>
      <c r="F1868" s="4">
        <f>VLOOKUP(Googleadssales[[#This Row],[Ad_ID]],'[1]pre processed data'!A:I,9,0)</f>
        <v>16</v>
      </c>
      <c r="G1868" s="4">
        <f>VLOOKUP(Googleadssales[[#This Row],[Ad_ID]],'[1]pre processed data'!A:K,11,0)</f>
        <v>6</v>
      </c>
      <c r="H1868" s="2">
        <f>Googleadssales[[#This Row],[Conversions]]/Googleadssales[[#This Row],[Clicks]]</f>
        <v>4.5454545454545456E-2</v>
      </c>
      <c r="I1868" t="str">
        <f>VLOOKUP(Googleadssales[[#This Row],[Ad_ID]],'[1]pre processed data'!A:O,15,0)</f>
        <v>$1094</v>
      </c>
      <c r="J1868" s="3">
        <f>VLOOKUP(Googleadssales[[#This Row],[Ad_ID]],'[1]pre processed data'!A:Q,17,0)</f>
        <v>45597</v>
      </c>
      <c r="K1868" t="str">
        <f>VLOOKUP(Googleadssales[[#This Row],[Ad_ID]],'[1]pre processed data'!A:R,18,0)</f>
        <v>Chennai</v>
      </c>
      <c r="L1868" t="str">
        <f>VLOOKUP(Googleadssales[[#This Row],[Ad_ID]],'[1]pre processed data'!A:S,19,0)</f>
        <v>Desktop</v>
      </c>
      <c r="M1868" t="str">
        <f>VLOOKUP(Googleadssales[[#This Row],[Ad_ID]],'[1]pre processed data'!A:T,20,0)</f>
        <v>analytics for data</v>
      </c>
    </row>
    <row r="1869" spans="1:13" x14ac:dyDescent="0.3">
      <c r="A1869" t="s">
        <v>1882</v>
      </c>
      <c r="B1869" t="s">
        <v>14</v>
      </c>
      <c r="C1869" s="4">
        <f>VLOOKUP(Googleadssales[[#This Row],[Ad_ID]],'[1]pre processed data'!A:C,3,0)</f>
        <v>93</v>
      </c>
      <c r="D1869" s="4">
        <f>VLOOKUP(Googleadssales[[#This Row],[Ad_ID]],'[1]pre processed data'!A:E,5,0)</f>
        <v>4962</v>
      </c>
      <c r="E1869" s="5" t="str">
        <f>VLOOKUP(Googleadssales[[#This Row],[Ad_ID]],[1]!Table3[[Ad_ID]:[Cost-imputed]],7,0)</f>
        <v>$181.34</v>
      </c>
      <c r="F1869" s="4">
        <f>VLOOKUP(Googleadssales[[#This Row],[Ad_ID]],'[1]pre processed data'!A:I,9,0)</f>
        <v>22</v>
      </c>
      <c r="G1869" s="4">
        <f>VLOOKUP(Googleadssales[[#This Row],[Ad_ID]],'[1]pre processed data'!A:K,11,0)</f>
        <v>4</v>
      </c>
      <c r="H1869" s="2">
        <f>Googleadssales[[#This Row],[Conversions]]/Googleadssales[[#This Row],[Clicks]]</f>
        <v>4.3010752688172046E-2</v>
      </c>
      <c r="I1869" t="str">
        <f>VLOOKUP(Googleadssales[[#This Row],[Ad_ID]],'[1]pre processed data'!A:O,15,0)</f>
        <v>$1100</v>
      </c>
      <c r="J1869" s="3">
        <f>VLOOKUP(Googleadssales[[#This Row],[Ad_ID]],'[1]pre processed data'!A:Q,17,0)</f>
        <v>45626</v>
      </c>
      <c r="K1869" t="str">
        <f>VLOOKUP(Googleadssales[[#This Row],[Ad_ID]],'[1]pre processed data'!A:R,18,0)</f>
        <v>Hyderabad</v>
      </c>
      <c r="L1869" t="str">
        <f>VLOOKUP(Googleadssales[[#This Row],[Ad_ID]],'[1]pre processed data'!A:S,19,0)</f>
        <v>Desktop</v>
      </c>
      <c r="M1869" t="str">
        <f>VLOOKUP(Googleadssales[[#This Row],[Ad_ID]],'[1]pre processed data'!A:T,20,0)</f>
        <v>analytics for data</v>
      </c>
    </row>
    <row r="1870" spans="1:13" x14ac:dyDescent="0.3">
      <c r="A1870" t="s">
        <v>1883</v>
      </c>
      <c r="B1870" t="s">
        <v>18</v>
      </c>
      <c r="C1870" s="4">
        <f>VLOOKUP(Googleadssales[[#This Row],[Ad_ID]],'[1]pre processed data'!A:C,3,0)</f>
        <v>149</v>
      </c>
      <c r="D1870" s="4">
        <f>VLOOKUP(Googleadssales[[#This Row],[Ad_ID]],'[1]pre processed data'!A:E,5,0)</f>
        <v>3055</v>
      </c>
      <c r="E1870" s="5" t="str">
        <f>VLOOKUP(Googleadssales[[#This Row],[Ad_ID]],[1]!Table3[[Ad_ID]:[Cost-imputed]],7,0)</f>
        <v>$228.17</v>
      </c>
      <c r="F1870" s="4">
        <f>VLOOKUP(Googleadssales[[#This Row],[Ad_ID]],'[1]pre processed data'!A:I,9,0)</f>
        <v>18</v>
      </c>
      <c r="G1870" s="4">
        <f>VLOOKUP(Googleadssales[[#This Row],[Ad_ID]],'[1]pre processed data'!A:K,11,0)</f>
        <v>7</v>
      </c>
      <c r="H1870" s="2">
        <f>Googleadssales[[#This Row],[Conversions]]/Googleadssales[[#This Row],[Clicks]]</f>
        <v>4.6979865771812082E-2</v>
      </c>
      <c r="I1870" t="str">
        <f>VLOOKUP(Googleadssales[[#This Row],[Ad_ID]],'[1]pre processed data'!A:O,15,0)</f>
        <v>$1382</v>
      </c>
      <c r="J1870" s="3">
        <f>VLOOKUP(Googleadssales[[#This Row],[Ad_ID]],'[1]pre processed data'!A:Q,17,0)</f>
        <v>45613</v>
      </c>
      <c r="K1870" t="str">
        <f>VLOOKUP(Googleadssales[[#This Row],[Ad_ID]],'[1]pre processed data'!A:R,18,0)</f>
        <v>Chennai</v>
      </c>
      <c r="L1870" t="str">
        <f>VLOOKUP(Googleadssales[[#This Row],[Ad_ID]],'[1]pre processed data'!A:S,19,0)</f>
        <v>Desktop</v>
      </c>
      <c r="M1870" t="str">
        <f>VLOOKUP(Googleadssales[[#This Row],[Ad_ID]],'[1]pre processed data'!A:T,20,0)</f>
        <v>learn data analytics</v>
      </c>
    </row>
    <row r="1871" spans="1:13" x14ac:dyDescent="0.3">
      <c r="A1871" t="s">
        <v>1884</v>
      </c>
      <c r="B1871" t="s">
        <v>14</v>
      </c>
      <c r="C1871" s="4">
        <f>VLOOKUP(Googleadssales[[#This Row],[Ad_ID]],'[1]pre processed data'!A:C,3,0)</f>
        <v>184</v>
      </c>
      <c r="D1871" s="4">
        <f>VLOOKUP(Googleadssales[[#This Row],[Ad_ID]],'[1]pre processed data'!A:E,5,0)</f>
        <v>4425</v>
      </c>
      <c r="E1871" s="5" t="str">
        <f>VLOOKUP(Googleadssales[[#This Row],[Ad_ID]],[1]!Table3[[Ad_ID]:[Cost-imputed]],7,0)</f>
        <v>$221.83</v>
      </c>
      <c r="F1871" s="4">
        <f>VLOOKUP(Googleadssales[[#This Row],[Ad_ID]],'[1]pre processed data'!A:I,9,0)</f>
        <v>30</v>
      </c>
      <c r="G1871" s="4">
        <f>VLOOKUP(Googleadssales[[#This Row],[Ad_ID]],'[1]pre processed data'!A:K,11,0)</f>
        <v>6</v>
      </c>
      <c r="H1871" s="2">
        <f>Googleadssales[[#This Row],[Conversions]]/Googleadssales[[#This Row],[Clicks]]</f>
        <v>3.2608695652173912E-2</v>
      </c>
      <c r="I1871" t="str">
        <f>VLOOKUP(Googleadssales[[#This Row],[Ad_ID]],'[1]pre processed data'!A:O,15,0)</f>
        <v>$1956</v>
      </c>
      <c r="J1871" s="3">
        <f>VLOOKUP(Googleadssales[[#This Row],[Ad_ID]],'[1]pre processed data'!A:Q,17,0)</f>
        <v>45609</v>
      </c>
      <c r="K1871" t="str">
        <f>VLOOKUP(Googleadssales[[#This Row],[Ad_ID]],'[1]pre processed data'!A:R,18,0)</f>
        <v>Hyderabad</v>
      </c>
      <c r="L1871" t="str">
        <f>VLOOKUP(Googleadssales[[#This Row],[Ad_ID]],'[1]pre processed data'!A:S,19,0)</f>
        <v>Tablet</v>
      </c>
      <c r="M1871" t="str">
        <f>VLOOKUP(Googleadssales[[#This Row],[Ad_ID]],'[1]pre processed data'!A:T,20,0)</f>
        <v>data analytics online</v>
      </c>
    </row>
    <row r="1872" spans="1:13" x14ac:dyDescent="0.3">
      <c r="A1872" t="s">
        <v>1885</v>
      </c>
      <c r="B1872" t="s">
        <v>14</v>
      </c>
      <c r="C1872" s="4">
        <f>VLOOKUP(Googleadssales[[#This Row],[Ad_ID]],'[1]pre processed data'!A:C,3,0)</f>
        <v>192</v>
      </c>
      <c r="D1872" s="4">
        <f>VLOOKUP(Googleadssales[[#This Row],[Ad_ID]],'[1]pre processed data'!A:E,5,0)</f>
        <v>3755</v>
      </c>
      <c r="E1872" s="5" t="str">
        <f>VLOOKUP(Googleadssales[[#This Row],[Ad_ID]],[1]!Table3[[Ad_ID]:[Cost-imputed]],7,0)</f>
        <v>$200.00</v>
      </c>
      <c r="F1872" s="4">
        <f>VLOOKUP(Googleadssales[[#This Row],[Ad_ID]],'[1]pre processed data'!A:I,9,0)</f>
        <v>16</v>
      </c>
      <c r="G1872" s="4">
        <f>VLOOKUP(Googleadssales[[#This Row],[Ad_ID]],'[1]pre processed data'!A:K,11,0)</f>
        <v>4</v>
      </c>
      <c r="H1872" s="2">
        <f>Googleadssales[[#This Row],[Conversions]]/Googleadssales[[#This Row],[Clicks]]</f>
        <v>2.0833333333333332E-2</v>
      </c>
      <c r="I1872" t="str">
        <f>VLOOKUP(Googleadssales[[#This Row],[Ad_ID]],'[1]pre processed data'!A:O,15,0)</f>
        <v>$1805</v>
      </c>
      <c r="J1872" s="3">
        <f>VLOOKUP(Googleadssales[[#This Row],[Ad_ID]],'[1]pre processed data'!A:Q,17,0)</f>
        <v>45602</v>
      </c>
      <c r="K1872" t="str">
        <f>VLOOKUP(Googleadssales[[#This Row],[Ad_ID]],'[1]pre processed data'!A:R,18,0)</f>
        <v>Bangaluru</v>
      </c>
      <c r="L1872" t="str">
        <f>VLOOKUP(Googleadssales[[#This Row],[Ad_ID]],'[1]pre processed data'!A:S,19,0)</f>
        <v>Desktop</v>
      </c>
      <c r="M1872" t="str">
        <f>VLOOKUP(Googleadssales[[#This Row],[Ad_ID]],'[1]pre processed data'!A:T,20,0)</f>
        <v>learn data analytics</v>
      </c>
    </row>
    <row r="1873" spans="1:13" x14ac:dyDescent="0.3">
      <c r="A1873" t="s">
        <v>1886</v>
      </c>
      <c r="B1873" t="s">
        <v>14</v>
      </c>
      <c r="C1873" s="4">
        <f>VLOOKUP(Googleadssales[[#This Row],[Ad_ID]],'[1]pre processed data'!A:C,3,0)</f>
        <v>115</v>
      </c>
      <c r="D1873" s="4">
        <f>VLOOKUP(Googleadssales[[#This Row],[Ad_ID]],'[1]pre processed data'!A:E,5,0)</f>
        <v>4832</v>
      </c>
      <c r="E1873" s="5" t="str">
        <f>VLOOKUP(Googleadssales[[#This Row],[Ad_ID]],[1]!Table3[[Ad_ID]:[Cost-imputed]],7,0)</f>
        <v>$237.18</v>
      </c>
      <c r="F1873" s="4">
        <f>VLOOKUP(Googleadssales[[#This Row],[Ad_ID]],'[1]pre processed data'!A:I,9,0)</f>
        <v>24</v>
      </c>
      <c r="G1873" s="4">
        <f>VLOOKUP(Googleadssales[[#This Row],[Ad_ID]],'[1]pre processed data'!A:K,11,0)</f>
        <v>5</v>
      </c>
      <c r="H1873" s="2">
        <f>Googleadssales[[#This Row],[Conversions]]/Googleadssales[[#This Row],[Clicks]]</f>
        <v>4.3478260869565216E-2</v>
      </c>
      <c r="I1873" t="str">
        <f>VLOOKUP(Googleadssales[[#This Row],[Ad_ID]],'[1]pre processed data'!A:O,15,0)</f>
        <v>$1737</v>
      </c>
      <c r="J1873" s="3">
        <f>VLOOKUP(Googleadssales[[#This Row],[Ad_ID]],'[1]pre processed data'!A:Q,17,0)</f>
        <v>45619</v>
      </c>
      <c r="K1873" t="str">
        <f>VLOOKUP(Googleadssales[[#This Row],[Ad_ID]],'[1]pre processed data'!A:R,18,0)</f>
        <v>Chennai</v>
      </c>
      <c r="L1873" t="str">
        <f>VLOOKUP(Googleadssales[[#This Row],[Ad_ID]],'[1]pre processed data'!A:S,19,0)</f>
        <v>Tablet</v>
      </c>
      <c r="M1873" t="str">
        <f>VLOOKUP(Googleadssales[[#This Row],[Ad_ID]],'[1]pre processed data'!A:T,20,0)</f>
        <v>data analytics online</v>
      </c>
    </row>
    <row r="1874" spans="1:13" x14ac:dyDescent="0.3">
      <c r="A1874" t="s">
        <v>1887</v>
      </c>
      <c r="B1874" t="s">
        <v>14</v>
      </c>
      <c r="C1874" s="4">
        <f>VLOOKUP(Googleadssales[[#This Row],[Ad_ID]],'[1]pre processed data'!A:C,3,0)</f>
        <v>81</v>
      </c>
      <c r="D1874" s="4">
        <f>VLOOKUP(Googleadssales[[#This Row],[Ad_ID]],'[1]pre processed data'!A:E,5,0)</f>
        <v>3224</v>
      </c>
      <c r="E1874" s="5" t="str">
        <f>VLOOKUP(Googleadssales[[#This Row],[Ad_ID]],[1]!Table3[[Ad_ID]:[Cost-imputed]],7,0)</f>
        <v>$239.58</v>
      </c>
      <c r="F1874" s="4">
        <f>VLOOKUP(Googleadssales[[#This Row],[Ad_ID]],'[1]pre processed data'!A:I,9,0)</f>
        <v>18</v>
      </c>
      <c r="G1874" s="4">
        <f>VLOOKUP(Googleadssales[[#This Row],[Ad_ID]],'[1]pre processed data'!A:K,11,0)</f>
        <v>10</v>
      </c>
      <c r="H1874" s="2">
        <f>Googleadssales[[#This Row],[Conversions]]/Googleadssales[[#This Row],[Clicks]]</f>
        <v>0.12345679012345678</v>
      </c>
      <c r="I1874" t="str">
        <f>VLOOKUP(Googleadssales[[#This Row],[Ad_ID]],'[1]pre processed data'!A:O,15,0)</f>
        <v>$1229</v>
      </c>
      <c r="J1874" s="3">
        <f>VLOOKUP(Googleadssales[[#This Row],[Ad_ID]],'[1]pre processed data'!A:Q,17,0)</f>
        <v>45623</v>
      </c>
      <c r="K1874" t="str">
        <f>VLOOKUP(Googleadssales[[#This Row],[Ad_ID]],'[1]pre processed data'!A:R,18,0)</f>
        <v>Hyderabad</v>
      </c>
      <c r="L1874" t="str">
        <f>VLOOKUP(Googleadssales[[#This Row],[Ad_ID]],'[1]pre processed data'!A:S,19,0)</f>
        <v>Tablet</v>
      </c>
      <c r="M1874" t="str">
        <f>VLOOKUP(Googleadssales[[#This Row],[Ad_ID]],'[1]pre processed data'!A:T,20,0)</f>
        <v>online data analytic</v>
      </c>
    </row>
    <row r="1875" spans="1:13" x14ac:dyDescent="0.3">
      <c r="A1875" t="s">
        <v>1888</v>
      </c>
      <c r="B1875" t="s">
        <v>14</v>
      </c>
      <c r="C1875" s="4">
        <f>VLOOKUP(Googleadssales[[#This Row],[Ad_ID]],'[1]pre processed data'!A:C,3,0)</f>
        <v>119</v>
      </c>
      <c r="D1875" s="4">
        <f>VLOOKUP(Googleadssales[[#This Row],[Ad_ID]],'[1]pre processed data'!A:E,5,0)</f>
        <v>5809</v>
      </c>
      <c r="E1875" s="5" t="str">
        <f>VLOOKUP(Googleadssales[[#This Row],[Ad_ID]],[1]!Table3[[Ad_ID]:[Cost-imputed]],7,0)</f>
        <v>$224.5</v>
      </c>
      <c r="F1875" s="4">
        <f>VLOOKUP(Googleadssales[[#This Row],[Ad_ID]],'[1]pre processed data'!A:I,9,0)</f>
        <v>11</v>
      </c>
      <c r="G1875" s="4">
        <f>VLOOKUP(Googleadssales[[#This Row],[Ad_ID]],'[1]pre processed data'!A:K,11,0)</f>
        <v>7</v>
      </c>
      <c r="H1875" s="2">
        <f>Googleadssales[[#This Row],[Conversions]]/Googleadssales[[#This Row],[Clicks]]</f>
        <v>5.8823529411764705E-2</v>
      </c>
      <c r="I1875" t="str">
        <f>VLOOKUP(Googleadssales[[#This Row],[Ad_ID]],'[1]pre processed data'!A:O,15,0)</f>
        <v>$1736</v>
      </c>
      <c r="J1875" s="3">
        <f>VLOOKUP(Googleadssales[[#This Row],[Ad_ID]],'[1]pre processed data'!A:Q,17,0)</f>
        <v>45615</v>
      </c>
      <c r="K1875" t="str">
        <f>VLOOKUP(Googleadssales[[#This Row],[Ad_ID]],'[1]pre processed data'!A:R,18,0)</f>
        <v>Hyderabad</v>
      </c>
      <c r="L1875" t="str">
        <f>VLOOKUP(Googleadssales[[#This Row],[Ad_ID]],'[1]pre processed data'!A:S,19,0)</f>
        <v>Mobile</v>
      </c>
      <c r="M1875" t="str">
        <f>VLOOKUP(Googleadssales[[#This Row],[Ad_ID]],'[1]pre processed data'!A:T,20,0)</f>
        <v>analytics for data</v>
      </c>
    </row>
    <row r="1876" spans="1:13" x14ac:dyDescent="0.3">
      <c r="A1876" t="s">
        <v>1889</v>
      </c>
      <c r="B1876" t="s">
        <v>14</v>
      </c>
      <c r="C1876" s="4">
        <f>VLOOKUP(Googleadssales[[#This Row],[Ad_ID]],'[1]pre processed data'!A:C,3,0)</f>
        <v>169</v>
      </c>
      <c r="D1876" s="4">
        <f>VLOOKUP(Googleadssales[[#This Row],[Ad_ID]],'[1]pre processed data'!A:E,5,0)</f>
        <v>4027</v>
      </c>
      <c r="E1876" s="5" t="str">
        <f>VLOOKUP(Googleadssales[[#This Row],[Ad_ID]],[1]!Table3[[Ad_ID]:[Cost-imputed]],7,0)</f>
        <v>$193.86</v>
      </c>
      <c r="F1876" s="4">
        <f>VLOOKUP(Googleadssales[[#This Row],[Ad_ID]],'[1]pre processed data'!A:I,9,0)</f>
        <v>22</v>
      </c>
      <c r="G1876" s="4">
        <f>VLOOKUP(Googleadssales[[#This Row],[Ad_ID]],'[1]pre processed data'!A:K,11,0)</f>
        <v>4</v>
      </c>
      <c r="H1876" s="2">
        <f>Googleadssales[[#This Row],[Conversions]]/Googleadssales[[#This Row],[Clicks]]</f>
        <v>2.3668639053254437E-2</v>
      </c>
      <c r="I1876" t="str">
        <f>VLOOKUP(Googleadssales[[#This Row],[Ad_ID]],'[1]pre processed data'!A:O,15,0)</f>
        <v>$1387</v>
      </c>
      <c r="J1876" s="3">
        <f>VLOOKUP(Googleadssales[[#This Row],[Ad_ID]],'[1]pre processed data'!A:Q,17,0)</f>
        <v>45608</v>
      </c>
      <c r="K1876" t="str">
        <f>VLOOKUP(Googleadssales[[#This Row],[Ad_ID]],'[1]pre processed data'!A:R,18,0)</f>
        <v>Bangaluru</v>
      </c>
      <c r="L1876" t="str">
        <f>VLOOKUP(Googleadssales[[#This Row],[Ad_ID]],'[1]pre processed data'!A:S,19,0)</f>
        <v>Desktop</v>
      </c>
      <c r="M1876" t="str">
        <f>VLOOKUP(Googleadssales[[#This Row],[Ad_ID]],'[1]pre processed data'!A:T,20,0)</f>
        <v>data analytics online</v>
      </c>
    </row>
    <row r="1877" spans="1:13" x14ac:dyDescent="0.3">
      <c r="A1877" t="s">
        <v>1890</v>
      </c>
      <c r="B1877" t="s">
        <v>14</v>
      </c>
      <c r="C1877" s="4">
        <f>VLOOKUP(Googleadssales[[#This Row],[Ad_ID]],'[1]pre processed data'!A:C,3,0)</f>
        <v>103</v>
      </c>
      <c r="D1877" s="4">
        <f>VLOOKUP(Googleadssales[[#This Row],[Ad_ID]],'[1]pre processed data'!A:E,5,0)</f>
        <v>5900</v>
      </c>
      <c r="E1877" s="5" t="str">
        <f>VLOOKUP(Googleadssales[[#This Row],[Ad_ID]],[1]!Table3[[Ad_ID]:[Cost-imputed]],7,0)</f>
        <v>$231.39</v>
      </c>
      <c r="F1877" s="4">
        <f>VLOOKUP(Googleadssales[[#This Row],[Ad_ID]],'[1]pre processed data'!A:I,9,0)</f>
        <v>24</v>
      </c>
      <c r="G1877" s="4">
        <f>VLOOKUP(Googleadssales[[#This Row],[Ad_ID]],'[1]pre processed data'!A:K,11,0)</f>
        <v>10</v>
      </c>
      <c r="H1877" s="2">
        <f>Googleadssales[[#This Row],[Conversions]]/Googleadssales[[#This Row],[Clicks]]</f>
        <v>9.7087378640776698E-2</v>
      </c>
      <c r="I1877" t="str">
        <f>VLOOKUP(Googleadssales[[#This Row],[Ad_ID]],'[1]pre processed data'!A:O,15,0)</f>
        <v>$1963</v>
      </c>
      <c r="J1877" s="3">
        <f>VLOOKUP(Googleadssales[[#This Row],[Ad_ID]],'[1]pre processed data'!A:Q,17,0)</f>
        <v>45598</v>
      </c>
      <c r="K1877" t="str">
        <f>VLOOKUP(Googleadssales[[#This Row],[Ad_ID]],'[1]pre processed data'!A:R,18,0)</f>
        <v>Hyderabad</v>
      </c>
      <c r="L1877" t="str">
        <f>VLOOKUP(Googleadssales[[#This Row],[Ad_ID]],'[1]pre processed data'!A:S,19,0)</f>
        <v>Mobile</v>
      </c>
      <c r="M1877" t="str">
        <f>VLOOKUP(Googleadssales[[#This Row],[Ad_ID]],'[1]pre processed data'!A:T,20,0)</f>
        <v>data analytics training</v>
      </c>
    </row>
    <row r="1878" spans="1:13" x14ac:dyDescent="0.3">
      <c r="A1878" t="s">
        <v>1891</v>
      </c>
      <c r="B1878" t="s">
        <v>18</v>
      </c>
      <c r="C1878" s="4">
        <f>VLOOKUP(Googleadssales[[#This Row],[Ad_ID]],'[1]pre processed data'!A:C,3,0)</f>
        <v>90</v>
      </c>
      <c r="D1878" s="4">
        <f>VLOOKUP(Googleadssales[[#This Row],[Ad_ID]],'[1]pre processed data'!A:E,5,0)</f>
        <v>3518</v>
      </c>
      <c r="E1878" s="5" t="str">
        <f>VLOOKUP(Googleadssales[[#This Row],[Ad_ID]],[1]!Table3[[Ad_ID]:[Cost-imputed]],7,0)</f>
        <v>$216.8</v>
      </c>
      <c r="F1878" s="4">
        <f>VLOOKUP(Googleadssales[[#This Row],[Ad_ID]],'[1]pre processed data'!A:I,9,0)</f>
        <v>21</v>
      </c>
      <c r="G1878" s="4">
        <f>VLOOKUP(Googleadssales[[#This Row],[Ad_ID]],'[1]pre processed data'!A:K,11,0)</f>
        <v>4</v>
      </c>
      <c r="H1878" s="2">
        <f>Googleadssales[[#This Row],[Conversions]]/Googleadssales[[#This Row],[Clicks]]</f>
        <v>4.4444444444444446E-2</v>
      </c>
      <c r="I1878" t="str">
        <f>VLOOKUP(Googleadssales[[#This Row],[Ad_ID]],'[1]pre processed data'!A:O,15,0)</f>
        <v>$1781</v>
      </c>
      <c r="J1878" s="3">
        <f>VLOOKUP(Googleadssales[[#This Row],[Ad_ID]],'[1]pre processed data'!A:Q,17,0)</f>
        <v>45619</v>
      </c>
      <c r="K1878" t="str">
        <f>VLOOKUP(Googleadssales[[#This Row],[Ad_ID]],'[1]pre processed data'!A:R,18,0)</f>
        <v>Hyderabad</v>
      </c>
      <c r="L1878" t="str">
        <f>VLOOKUP(Googleadssales[[#This Row],[Ad_ID]],'[1]pre processed data'!A:S,19,0)</f>
        <v>Mobile</v>
      </c>
      <c r="M1878" t="str">
        <f>VLOOKUP(Googleadssales[[#This Row],[Ad_ID]],'[1]pre processed data'!A:T,20,0)</f>
        <v>learn data analytics</v>
      </c>
    </row>
    <row r="1879" spans="1:13" x14ac:dyDescent="0.3">
      <c r="A1879" t="s">
        <v>1892</v>
      </c>
      <c r="B1879" t="s">
        <v>14</v>
      </c>
      <c r="C1879" s="4">
        <f>VLOOKUP(Googleadssales[[#This Row],[Ad_ID]],'[1]pre processed data'!A:C,3,0)</f>
        <v>184</v>
      </c>
      <c r="D1879" s="4">
        <f>VLOOKUP(Googleadssales[[#This Row],[Ad_ID]],'[1]pre processed data'!A:E,5,0)</f>
        <v>4238</v>
      </c>
      <c r="E1879" s="5" t="str">
        <f>VLOOKUP(Googleadssales[[#This Row],[Ad_ID]],[1]!Table3[[Ad_ID]:[Cost-imputed]],7,0)</f>
        <v>$228.49</v>
      </c>
      <c r="F1879" s="4">
        <f>VLOOKUP(Googleadssales[[#This Row],[Ad_ID]],'[1]pre processed data'!A:I,9,0)</f>
        <v>26</v>
      </c>
      <c r="G1879" s="4">
        <f>VLOOKUP(Googleadssales[[#This Row],[Ad_ID]],'[1]pre processed data'!A:K,11,0)</f>
        <v>10</v>
      </c>
      <c r="H1879" s="2">
        <f>Googleadssales[[#This Row],[Conversions]]/Googleadssales[[#This Row],[Clicks]]</f>
        <v>5.434782608695652E-2</v>
      </c>
      <c r="I1879" t="str">
        <f>VLOOKUP(Googleadssales[[#This Row],[Ad_ID]],'[1]pre processed data'!A:O,15,0)</f>
        <v>$1003</v>
      </c>
      <c r="J1879" s="3">
        <f>VLOOKUP(Googleadssales[[#This Row],[Ad_ID]],'[1]pre processed data'!A:Q,17,0)</f>
        <v>45605</v>
      </c>
      <c r="K1879" t="str">
        <f>VLOOKUP(Googleadssales[[#This Row],[Ad_ID]],'[1]pre processed data'!A:R,18,0)</f>
        <v>Bangaluru</v>
      </c>
      <c r="L1879" t="str">
        <f>VLOOKUP(Googleadssales[[#This Row],[Ad_ID]],'[1]pre processed data'!A:S,19,0)</f>
        <v>Tablet</v>
      </c>
      <c r="M1879" t="str">
        <f>VLOOKUP(Googleadssales[[#This Row],[Ad_ID]],'[1]pre processed data'!A:T,20,0)</f>
        <v>learn data analytics</v>
      </c>
    </row>
    <row r="1880" spans="1:13" x14ac:dyDescent="0.3">
      <c r="A1880" t="s">
        <v>1893</v>
      </c>
      <c r="B1880" t="s">
        <v>18</v>
      </c>
      <c r="C1880" s="4">
        <f>VLOOKUP(Googleadssales[[#This Row],[Ad_ID]],'[1]pre processed data'!A:C,3,0)</f>
        <v>143</v>
      </c>
      <c r="D1880" s="4">
        <f>VLOOKUP(Googleadssales[[#This Row],[Ad_ID]],'[1]pre processed data'!A:E,5,0)</f>
        <v>5160</v>
      </c>
      <c r="E1880" s="5" t="str">
        <f>VLOOKUP(Googleadssales[[#This Row],[Ad_ID]],[1]!Table3[[Ad_ID]:[Cost-imputed]],7,0)</f>
        <v>$248.04</v>
      </c>
      <c r="F1880" s="4">
        <f>VLOOKUP(Googleadssales[[#This Row],[Ad_ID]],'[1]pre processed data'!A:I,9,0)</f>
        <v>21</v>
      </c>
      <c r="G1880" s="4">
        <f>VLOOKUP(Googleadssales[[#This Row],[Ad_ID]],'[1]pre processed data'!A:K,11,0)</f>
        <v>10</v>
      </c>
      <c r="H1880" s="2">
        <f>Googleadssales[[#This Row],[Conversions]]/Googleadssales[[#This Row],[Clicks]]</f>
        <v>6.9930069930069935E-2</v>
      </c>
      <c r="I1880" t="str">
        <f>VLOOKUP(Googleadssales[[#This Row],[Ad_ID]],'[1]pre processed data'!A:O,15,0)</f>
        <v>$1780</v>
      </c>
      <c r="J1880" s="3">
        <f>VLOOKUP(Googleadssales[[#This Row],[Ad_ID]],'[1]pre processed data'!A:Q,17,0)</f>
        <v>45621</v>
      </c>
      <c r="K1880" t="str">
        <f>VLOOKUP(Googleadssales[[#This Row],[Ad_ID]],'[1]pre processed data'!A:R,18,0)</f>
        <v>Bangaluru</v>
      </c>
      <c r="L1880" t="str">
        <f>VLOOKUP(Googleadssales[[#This Row],[Ad_ID]],'[1]pre processed data'!A:S,19,0)</f>
        <v>Mobile</v>
      </c>
      <c r="M1880" t="str">
        <f>VLOOKUP(Googleadssales[[#This Row],[Ad_ID]],'[1]pre processed data'!A:T,20,0)</f>
        <v>data analytics online</v>
      </c>
    </row>
    <row r="1881" spans="1:13" x14ac:dyDescent="0.3">
      <c r="A1881" t="s">
        <v>1894</v>
      </c>
      <c r="B1881" t="s">
        <v>18</v>
      </c>
      <c r="C1881" s="4">
        <f>VLOOKUP(Googleadssales[[#This Row],[Ad_ID]],'[1]pre processed data'!A:C,3,0)</f>
        <v>123</v>
      </c>
      <c r="D1881" s="4">
        <f>VLOOKUP(Googleadssales[[#This Row],[Ad_ID]],'[1]pre processed data'!A:E,5,0)</f>
        <v>4753</v>
      </c>
      <c r="E1881" s="5" t="str">
        <f>VLOOKUP(Googleadssales[[#This Row],[Ad_ID]],[1]!Table3[[Ad_ID]:[Cost-imputed]],7,0)</f>
        <v>$203.59</v>
      </c>
      <c r="F1881" s="4">
        <f>VLOOKUP(Googleadssales[[#This Row],[Ad_ID]],'[1]pre processed data'!A:I,9,0)</f>
        <v>29</v>
      </c>
      <c r="G1881" s="4">
        <f>VLOOKUP(Googleadssales[[#This Row],[Ad_ID]],'[1]pre processed data'!A:K,11,0)</f>
        <v>10</v>
      </c>
      <c r="H1881" s="2">
        <f>Googleadssales[[#This Row],[Conversions]]/Googleadssales[[#This Row],[Clicks]]</f>
        <v>8.1300813008130079E-2</v>
      </c>
      <c r="I1881" t="str">
        <f>VLOOKUP(Googleadssales[[#This Row],[Ad_ID]],'[1]pre processed data'!A:O,15,0)</f>
        <v>$1959</v>
      </c>
      <c r="J1881" s="3">
        <f>VLOOKUP(Googleadssales[[#This Row],[Ad_ID]],'[1]pre processed data'!A:Q,17,0)</f>
        <v>45611</v>
      </c>
      <c r="K1881" t="str">
        <f>VLOOKUP(Googleadssales[[#This Row],[Ad_ID]],'[1]pre processed data'!A:R,18,0)</f>
        <v>Chennai</v>
      </c>
      <c r="L1881" t="str">
        <f>VLOOKUP(Googleadssales[[#This Row],[Ad_ID]],'[1]pre processed data'!A:S,19,0)</f>
        <v>Mobile</v>
      </c>
      <c r="M1881" t="str">
        <f>VLOOKUP(Googleadssales[[#This Row],[Ad_ID]],'[1]pre processed data'!A:T,20,0)</f>
        <v>data analytics training</v>
      </c>
    </row>
    <row r="1882" spans="1:13" x14ac:dyDescent="0.3">
      <c r="A1882" t="s">
        <v>1895</v>
      </c>
      <c r="B1882" t="s">
        <v>14</v>
      </c>
      <c r="C1882" s="4">
        <f>VLOOKUP(Googleadssales[[#This Row],[Ad_ID]],'[1]pre processed data'!A:C,3,0)</f>
        <v>155</v>
      </c>
      <c r="D1882" s="4">
        <f>VLOOKUP(Googleadssales[[#This Row],[Ad_ID]],'[1]pre processed data'!A:E,5,0)</f>
        <v>4969</v>
      </c>
      <c r="E1882" s="5" t="str">
        <f>VLOOKUP(Googleadssales[[#This Row],[Ad_ID]],[1]!Table3[[Ad_ID]:[Cost-imputed]],7,0)</f>
        <v>$190.87</v>
      </c>
      <c r="F1882" s="4">
        <f>VLOOKUP(Googleadssales[[#This Row],[Ad_ID]],'[1]pre processed data'!A:I,9,0)</f>
        <v>25</v>
      </c>
      <c r="G1882" s="4">
        <f>VLOOKUP(Googleadssales[[#This Row],[Ad_ID]],'[1]pre processed data'!A:K,11,0)</f>
        <v>5</v>
      </c>
      <c r="H1882" s="2">
        <f>Googleadssales[[#This Row],[Conversions]]/Googleadssales[[#This Row],[Clicks]]</f>
        <v>3.2258064516129031E-2</v>
      </c>
      <c r="I1882" t="str">
        <f>VLOOKUP(Googleadssales[[#This Row],[Ad_ID]],'[1]pre processed data'!A:O,15,0)</f>
        <v>$1807</v>
      </c>
      <c r="J1882" s="3">
        <f>VLOOKUP(Googleadssales[[#This Row],[Ad_ID]],'[1]pre processed data'!A:Q,17,0)</f>
        <v>45624</v>
      </c>
      <c r="K1882" t="str">
        <f>VLOOKUP(Googleadssales[[#This Row],[Ad_ID]],'[1]pre processed data'!A:R,18,0)</f>
        <v>Bangaluru</v>
      </c>
      <c r="L1882" t="str">
        <f>VLOOKUP(Googleadssales[[#This Row],[Ad_ID]],'[1]pre processed data'!A:S,19,0)</f>
        <v>Tablet</v>
      </c>
      <c r="M1882" t="str">
        <f>VLOOKUP(Googleadssales[[#This Row],[Ad_ID]],'[1]pre processed data'!A:T,20,0)</f>
        <v>data analytics training</v>
      </c>
    </row>
    <row r="1883" spans="1:13" x14ac:dyDescent="0.3">
      <c r="A1883" t="s">
        <v>1896</v>
      </c>
      <c r="B1883" t="s">
        <v>14</v>
      </c>
      <c r="C1883" s="4">
        <f>VLOOKUP(Googleadssales[[#This Row],[Ad_ID]],'[1]pre processed data'!A:C,3,0)</f>
        <v>140</v>
      </c>
      <c r="D1883" s="4">
        <f>VLOOKUP(Googleadssales[[#This Row],[Ad_ID]],'[1]pre processed data'!A:E,5,0)</f>
        <v>4415</v>
      </c>
      <c r="E1883" s="5" t="str">
        <f>VLOOKUP(Googleadssales[[#This Row],[Ad_ID]],[1]!Table3[[Ad_ID]:[Cost-imputed]],7,0)</f>
        <v>$240.95</v>
      </c>
      <c r="F1883" s="4">
        <f>VLOOKUP(Googleadssales[[#This Row],[Ad_ID]],'[1]pre processed data'!A:I,9,0)</f>
        <v>13</v>
      </c>
      <c r="G1883" s="4">
        <f>VLOOKUP(Googleadssales[[#This Row],[Ad_ID]],'[1]pre processed data'!A:K,11,0)</f>
        <v>8</v>
      </c>
      <c r="H1883" s="2">
        <f>Googleadssales[[#This Row],[Conversions]]/Googleadssales[[#This Row],[Clicks]]</f>
        <v>5.7142857142857141E-2</v>
      </c>
      <c r="I1883" t="str">
        <f>VLOOKUP(Googleadssales[[#This Row],[Ad_ID]],'[1]pre processed data'!A:O,15,0)</f>
        <v>$1579</v>
      </c>
      <c r="J1883" s="3">
        <f>VLOOKUP(Googleadssales[[#This Row],[Ad_ID]],'[1]pre processed data'!A:Q,17,0)</f>
        <v>45608</v>
      </c>
      <c r="K1883" t="str">
        <f>VLOOKUP(Googleadssales[[#This Row],[Ad_ID]],'[1]pre processed data'!A:R,18,0)</f>
        <v>Hyderabad</v>
      </c>
      <c r="L1883" t="str">
        <f>VLOOKUP(Googleadssales[[#This Row],[Ad_ID]],'[1]pre processed data'!A:S,19,0)</f>
        <v>Mobile</v>
      </c>
      <c r="M1883" t="str">
        <f>VLOOKUP(Googleadssales[[#This Row],[Ad_ID]],'[1]pre processed data'!A:T,20,0)</f>
        <v>data analytics training</v>
      </c>
    </row>
    <row r="1884" spans="1:13" x14ac:dyDescent="0.3">
      <c r="A1884" t="s">
        <v>1897</v>
      </c>
      <c r="B1884" t="s">
        <v>14</v>
      </c>
      <c r="C1884" s="4">
        <f>VLOOKUP(Googleadssales[[#This Row],[Ad_ID]],'[1]pre processed data'!A:C,3,0)</f>
        <v>110</v>
      </c>
      <c r="D1884" s="4">
        <f>VLOOKUP(Googleadssales[[#This Row],[Ad_ID]],'[1]pre processed data'!A:E,5,0)</f>
        <v>3931</v>
      </c>
      <c r="E1884" s="5" t="str">
        <f>VLOOKUP(Googleadssales[[#This Row],[Ad_ID]],[1]!Table3[[Ad_ID]:[Cost-imputed]],7,0)</f>
        <v>$193.32</v>
      </c>
      <c r="F1884" s="4">
        <f>VLOOKUP(Googleadssales[[#This Row],[Ad_ID]],'[1]pre processed data'!A:I,9,0)</f>
        <v>20.320512820512821</v>
      </c>
      <c r="G1884" s="4">
        <f>VLOOKUP(Googleadssales[[#This Row],[Ad_ID]],'[1]pre processed data'!A:K,11,0)</f>
        <v>4</v>
      </c>
      <c r="H1884" s="2">
        <f>Googleadssales[[#This Row],[Conversions]]/Googleadssales[[#This Row],[Clicks]]</f>
        <v>3.6363636363636362E-2</v>
      </c>
      <c r="I1884" t="str">
        <f>VLOOKUP(Googleadssales[[#This Row],[Ad_ID]],'[1]pre processed data'!A:O,15,0)</f>
        <v>$1088</v>
      </c>
      <c r="J1884" s="3">
        <f>VLOOKUP(Googleadssales[[#This Row],[Ad_ID]],'[1]pre processed data'!A:Q,17,0)</f>
        <v>45610</v>
      </c>
      <c r="K1884" t="str">
        <f>VLOOKUP(Googleadssales[[#This Row],[Ad_ID]],'[1]pre processed data'!A:R,18,0)</f>
        <v>Chennai</v>
      </c>
      <c r="L1884" t="str">
        <f>VLOOKUP(Googleadssales[[#This Row],[Ad_ID]],'[1]pre processed data'!A:S,19,0)</f>
        <v>Mobile</v>
      </c>
      <c r="M1884" t="str">
        <f>VLOOKUP(Googleadssales[[#This Row],[Ad_ID]],'[1]pre processed data'!A:T,20,0)</f>
        <v>data analytics training</v>
      </c>
    </row>
    <row r="1885" spans="1:13" x14ac:dyDescent="0.3">
      <c r="A1885" t="s">
        <v>1898</v>
      </c>
      <c r="B1885" t="s">
        <v>18</v>
      </c>
      <c r="C1885" s="4">
        <f>VLOOKUP(Googleadssales[[#This Row],[Ad_ID]],'[1]pre processed data'!A:C,3,0)</f>
        <v>103</v>
      </c>
      <c r="D1885" s="4">
        <f>VLOOKUP(Googleadssales[[#This Row],[Ad_ID]],'[1]pre processed data'!A:E,5,0)</f>
        <v>4409</v>
      </c>
      <c r="E1885" s="5" t="str">
        <f>VLOOKUP(Googleadssales[[#This Row],[Ad_ID]],[1]!Table3[[Ad_ID]:[Cost-imputed]],7,0)</f>
        <v>$246.87</v>
      </c>
      <c r="F1885" s="4">
        <f>VLOOKUP(Googleadssales[[#This Row],[Ad_ID]],'[1]pre processed data'!A:I,9,0)</f>
        <v>18</v>
      </c>
      <c r="G1885" s="4">
        <f>VLOOKUP(Googleadssales[[#This Row],[Ad_ID]],'[1]pre processed data'!A:K,11,0)</f>
        <v>8</v>
      </c>
      <c r="H1885" s="2">
        <f>Googleadssales[[#This Row],[Conversions]]/Googleadssales[[#This Row],[Clicks]]</f>
        <v>7.7669902912621352E-2</v>
      </c>
      <c r="I1885" t="str">
        <f>VLOOKUP(Googleadssales[[#This Row],[Ad_ID]],'[1]pre processed data'!A:O,15,0)</f>
        <v>$1136</v>
      </c>
      <c r="J1885" s="3">
        <f>VLOOKUP(Googleadssales[[#This Row],[Ad_ID]],'[1]pre processed data'!A:Q,17,0)</f>
        <v>45620</v>
      </c>
      <c r="K1885" t="str">
        <f>VLOOKUP(Googleadssales[[#This Row],[Ad_ID]],'[1]pre processed data'!A:R,18,0)</f>
        <v>Chennai</v>
      </c>
      <c r="L1885" t="str">
        <f>VLOOKUP(Googleadssales[[#This Row],[Ad_ID]],'[1]pre processed data'!A:S,19,0)</f>
        <v>Desktop</v>
      </c>
      <c r="M1885" t="str">
        <f>VLOOKUP(Googleadssales[[#This Row],[Ad_ID]],'[1]pre processed data'!A:T,20,0)</f>
        <v>online data analytic</v>
      </c>
    </row>
    <row r="1886" spans="1:13" x14ac:dyDescent="0.3">
      <c r="A1886" t="s">
        <v>1899</v>
      </c>
      <c r="B1886" t="s">
        <v>18</v>
      </c>
      <c r="C1886" s="4">
        <f>VLOOKUP(Googleadssales[[#This Row],[Ad_ID]],'[1]pre processed data'!A:C,3,0)</f>
        <v>127</v>
      </c>
      <c r="D1886" s="4">
        <f>VLOOKUP(Googleadssales[[#This Row],[Ad_ID]],'[1]pre processed data'!A:E,5,0)</f>
        <v>5064</v>
      </c>
      <c r="E1886" s="5" t="str">
        <f>VLOOKUP(Googleadssales[[#This Row],[Ad_ID]],[1]!Table3[[Ad_ID]:[Cost-imputed]],7,0)</f>
        <v>$195.07</v>
      </c>
      <c r="F1886" s="4">
        <f>VLOOKUP(Googleadssales[[#This Row],[Ad_ID]],'[1]pre processed data'!A:I,9,0)</f>
        <v>22</v>
      </c>
      <c r="G1886" s="4">
        <f>VLOOKUP(Googleadssales[[#This Row],[Ad_ID]],'[1]pre processed data'!A:K,11,0)</f>
        <v>10</v>
      </c>
      <c r="H1886" s="2">
        <f>Googleadssales[[#This Row],[Conversions]]/Googleadssales[[#This Row],[Clicks]]</f>
        <v>7.874015748031496E-2</v>
      </c>
      <c r="I1886" t="str">
        <f>VLOOKUP(Googleadssales[[#This Row],[Ad_ID]],'[1]pre processed data'!A:O,15,0)</f>
        <v>$1521</v>
      </c>
      <c r="J1886" s="3">
        <f>VLOOKUP(Googleadssales[[#This Row],[Ad_ID]],'[1]pre processed data'!A:Q,17,0)</f>
        <v>45612</v>
      </c>
      <c r="K1886" t="str">
        <f>VLOOKUP(Googleadssales[[#This Row],[Ad_ID]],'[1]pre processed data'!A:R,18,0)</f>
        <v>Chennai</v>
      </c>
      <c r="L1886" t="str">
        <f>VLOOKUP(Googleadssales[[#This Row],[Ad_ID]],'[1]pre processed data'!A:S,19,0)</f>
        <v>Mobile</v>
      </c>
      <c r="M1886" t="str">
        <f>VLOOKUP(Googleadssales[[#This Row],[Ad_ID]],'[1]pre processed data'!A:T,20,0)</f>
        <v>learn data analytics</v>
      </c>
    </row>
    <row r="1887" spans="1:13" x14ac:dyDescent="0.3">
      <c r="A1887" t="s">
        <v>1900</v>
      </c>
      <c r="B1887" t="s">
        <v>14</v>
      </c>
      <c r="C1887" s="4">
        <f>VLOOKUP(Googleadssales[[#This Row],[Ad_ID]],'[1]pre processed data'!A:C,3,0)</f>
        <v>151</v>
      </c>
      <c r="D1887" s="4">
        <f>VLOOKUP(Googleadssales[[#This Row],[Ad_ID]],'[1]pre processed data'!A:E,5,0)</f>
        <v>3905</v>
      </c>
      <c r="E1887" s="5" t="str">
        <f>VLOOKUP(Googleadssales[[#This Row],[Ad_ID]],[1]!Table3[[Ad_ID]:[Cost-imputed]],7,0)</f>
        <v>$191.4</v>
      </c>
      <c r="F1887" s="4">
        <f>VLOOKUP(Googleadssales[[#This Row],[Ad_ID]],'[1]pre processed data'!A:I,9,0)</f>
        <v>20</v>
      </c>
      <c r="G1887" s="4">
        <f>VLOOKUP(Googleadssales[[#This Row],[Ad_ID]],'[1]pre processed data'!A:K,11,0)</f>
        <v>10</v>
      </c>
      <c r="H1887" s="2">
        <f>Googleadssales[[#This Row],[Conversions]]/Googleadssales[[#This Row],[Clicks]]</f>
        <v>6.6225165562913912E-2</v>
      </c>
      <c r="I1887" t="str">
        <f>VLOOKUP(Googleadssales[[#This Row],[Ad_ID]],'[1]pre processed data'!A:O,15,0)</f>
        <v>$1342</v>
      </c>
      <c r="J1887" s="3">
        <f>VLOOKUP(Googleadssales[[#This Row],[Ad_ID]],'[1]pre processed data'!A:Q,17,0)</f>
        <v>45626</v>
      </c>
      <c r="K1887" t="str">
        <f>VLOOKUP(Googleadssales[[#This Row],[Ad_ID]],'[1]pre processed data'!A:R,18,0)</f>
        <v>Chennai</v>
      </c>
      <c r="L1887" t="str">
        <f>VLOOKUP(Googleadssales[[#This Row],[Ad_ID]],'[1]pre processed data'!A:S,19,0)</f>
        <v>Desktop</v>
      </c>
      <c r="M1887" t="str">
        <f>VLOOKUP(Googleadssales[[#This Row],[Ad_ID]],'[1]pre processed data'!A:T,20,0)</f>
        <v>data analytics course</v>
      </c>
    </row>
    <row r="1888" spans="1:13" x14ac:dyDescent="0.3">
      <c r="A1888" t="s">
        <v>1901</v>
      </c>
      <c r="B1888" t="s">
        <v>14</v>
      </c>
      <c r="C1888" s="4">
        <f>VLOOKUP(Googleadssales[[#This Row],[Ad_ID]],'[1]pre processed data'!A:C,3,0)</f>
        <v>191</v>
      </c>
      <c r="D1888" s="4">
        <f>VLOOKUP(Googleadssales[[#This Row],[Ad_ID]],'[1]pre processed data'!A:E,5,0)</f>
        <v>4710</v>
      </c>
      <c r="E1888" s="5" t="str">
        <f>VLOOKUP(Googleadssales[[#This Row],[Ad_ID]],[1]!Table3[[Ad_ID]:[Cost-imputed]],7,0)</f>
        <v>$214.24</v>
      </c>
      <c r="F1888" s="4">
        <f>VLOOKUP(Googleadssales[[#This Row],[Ad_ID]],'[1]pre processed data'!A:I,9,0)</f>
        <v>15</v>
      </c>
      <c r="G1888" s="4">
        <f>VLOOKUP(Googleadssales[[#This Row],[Ad_ID]],'[1]pre processed data'!A:K,11,0)</f>
        <v>6</v>
      </c>
      <c r="H1888" s="2">
        <f>Googleadssales[[#This Row],[Conversions]]/Googleadssales[[#This Row],[Clicks]]</f>
        <v>3.1413612565445025E-2</v>
      </c>
      <c r="I1888" t="str">
        <f>VLOOKUP(Googleadssales[[#This Row],[Ad_ID]],'[1]pre processed data'!A:O,15,0)</f>
        <v>$1080</v>
      </c>
      <c r="J1888" s="3">
        <f>VLOOKUP(Googleadssales[[#This Row],[Ad_ID]],'[1]pre processed data'!A:Q,17,0)</f>
        <v>45601</v>
      </c>
      <c r="K1888" t="str">
        <f>VLOOKUP(Googleadssales[[#This Row],[Ad_ID]],'[1]pre processed data'!A:R,18,0)</f>
        <v>Hyderabad</v>
      </c>
      <c r="L1888" t="str">
        <f>VLOOKUP(Googleadssales[[#This Row],[Ad_ID]],'[1]pre processed data'!A:S,19,0)</f>
        <v>Desktop</v>
      </c>
      <c r="M1888" t="str">
        <f>VLOOKUP(Googleadssales[[#This Row],[Ad_ID]],'[1]pre processed data'!A:T,20,0)</f>
        <v>data analytics course</v>
      </c>
    </row>
    <row r="1889" spans="1:13" x14ac:dyDescent="0.3">
      <c r="A1889" t="s">
        <v>1902</v>
      </c>
      <c r="B1889" t="s">
        <v>18</v>
      </c>
      <c r="C1889" s="4">
        <f>VLOOKUP(Googleadssales[[#This Row],[Ad_ID]],'[1]pre processed data'!A:C,3,0)</f>
        <v>177</v>
      </c>
      <c r="D1889" s="4">
        <f>VLOOKUP(Googleadssales[[#This Row],[Ad_ID]],'[1]pre processed data'!A:E,5,0)</f>
        <v>3869</v>
      </c>
      <c r="E1889" s="5" t="str">
        <f>VLOOKUP(Googleadssales[[#This Row],[Ad_ID]],[1]!Table3[[Ad_ID]:[Cost-imputed]],7,0)</f>
        <v>$198.88</v>
      </c>
      <c r="F1889" s="4">
        <f>VLOOKUP(Googleadssales[[#This Row],[Ad_ID]],'[1]pre processed data'!A:I,9,0)</f>
        <v>23</v>
      </c>
      <c r="G1889" s="4">
        <f>VLOOKUP(Googleadssales[[#This Row],[Ad_ID]],'[1]pre processed data'!A:K,11,0)</f>
        <v>4</v>
      </c>
      <c r="H1889" s="2">
        <f>Googleadssales[[#This Row],[Conversions]]/Googleadssales[[#This Row],[Clicks]]</f>
        <v>2.2598870056497175E-2</v>
      </c>
      <c r="I1889" t="str">
        <f>VLOOKUP(Googleadssales[[#This Row],[Ad_ID]],'[1]pre processed data'!A:O,15,0)</f>
        <v>$1909</v>
      </c>
      <c r="J1889" s="3">
        <f>VLOOKUP(Googleadssales[[#This Row],[Ad_ID]],'[1]pre processed data'!A:Q,17,0)</f>
        <v>45600</v>
      </c>
      <c r="K1889" t="str">
        <f>VLOOKUP(Googleadssales[[#This Row],[Ad_ID]],'[1]pre processed data'!A:R,18,0)</f>
        <v>Hyderabad</v>
      </c>
      <c r="L1889" t="str">
        <f>VLOOKUP(Googleadssales[[#This Row],[Ad_ID]],'[1]pre processed data'!A:S,19,0)</f>
        <v>Desktop</v>
      </c>
      <c r="M1889" t="str">
        <f>VLOOKUP(Googleadssales[[#This Row],[Ad_ID]],'[1]pre processed data'!A:T,20,0)</f>
        <v>data analytics course</v>
      </c>
    </row>
    <row r="1890" spans="1:13" x14ac:dyDescent="0.3">
      <c r="A1890" t="s">
        <v>1903</v>
      </c>
      <c r="B1890" t="s">
        <v>18</v>
      </c>
      <c r="C1890" s="4">
        <f>VLOOKUP(Googleadssales[[#This Row],[Ad_ID]],'[1]pre processed data'!A:C,3,0)</f>
        <v>122</v>
      </c>
      <c r="D1890" s="4">
        <f>VLOOKUP(Googleadssales[[#This Row],[Ad_ID]],'[1]pre processed data'!A:E,5,0)</f>
        <v>3760</v>
      </c>
      <c r="E1890" s="5" t="str">
        <f>VLOOKUP(Googleadssales[[#This Row],[Ad_ID]],[1]!Table3[[Ad_ID]:[Cost-imputed]],7,0)</f>
        <v>$233.47</v>
      </c>
      <c r="F1890" s="4">
        <f>VLOOKUP(Googleadssales[[#This Row],[Ad_ID]],'[1]pre processed data'!A:I,9,0)</f>
        <v>22</v>
      </c>
      <c r="G1890" s="4">
        <f>VLOOKUP(Googleadssales[[#This Row],[Ad_ID]],'[1]pre processed data'!A:K,11,0)</f>
        <v>7</v>
      </c>
      <c r="H1890" s="2">
        <f>Googleadssales[[#This Row],[Conversions]]/Googleadssales[[#This Row],[Clicks]]</f>
        <v>5.737704918032787E-2</v>
      </c>
      <c r="I1890" t="str">
        <f>VLOOKUP(Googleadssales[[#This Row],[Ad_ID]],'[1]pre processed data'!A:O,15,0)</f>
        <v>$1785</v>
      </c>
      <c r="J1890" s="3">
        <f>VLOOKUP(Googleadssales[[#This Row],[Ad_ID]],'[1]pre processed data'!A:Q,17,0)</f>
        <v>45612</v>
      </c>
      <c r="K1890" t="str">
        <f>VLOOKUP(Googleadssales[[#This Row],[Ad_ID]],'[1]pre processed data'!A:R,18,0)</f>
        <v>Hyderabad</v>
      </c>
      <c r="L1890" t="str">
        <f>VLOOKUP(Googleadssales[[#This Row],[Ad_ID]],'[1]pre processed data'!A:S,19,0)</f>
        <v>Desktop</v>
      </c>
      <c r="M1890" t="str">
        <f>VLOOKUP(Googleadssales[[#This Row],[Ad_ID]],'[1]pre processed data'!A:T,20,0)</f>
        <v>analytics for data</v>
      </c>
    </row>
    <row r="1891" spans="1:13" x14ac:dyDescent="0.3">
      <c r="A1891" t="s">
        <v>1904</v>
      </c>
      <c r="B1891" t="s">
        <v>14</v>
      </c>
      <c r="C1891" s="4">
        <f>VLOOKUP(Googleadssales[[#This Row],[Ad_ID]],'[1]pre processed data'!A:C,3,0)</f>
        <v>99</v>
      </c>
      <c r="D1891" s="4">
        <f>VLOOKUP(Googleadssales[[#This Row],[Ad_ID]],'[1]pre processed data'!A:E,5,0)</f>
        <v>3979</v>
      </c>
      <c r="E1891" s="5" t="str">
        <f>VLOOKUP(Googleadssales[[#This Row],[Ad_ID]],[1]!Table3[[Ad_ID]:[Cost-imputed]],7,0)</f>
        <v>$188.54</v>
      </c>
      <c r="F1891" s="4">
        <f>VLOOKUP(Googleadssales[[#This Row],[Ad_ID]],'[1]pre processed data'!A:I,9,0)</f>
        <v>16</v>
      </c>
      <c r="G1891" s="4">
        <f>VLOOKUP(Googleadssales[[#This Row],[Ad_ID]],'[1]pre processed data'!A:K,11,0)</f>
        <v>4</v>
      </c>
      <c r="H1891" s="2">
        <f>Googleadssales[[#This Row],[Conversions]]/Googleadssales[[#This Row],[Clicks]]</f>
        <v>4.0404040404040407E-2</v>
      </c>
      <c r="I1891" t="str">
        <f>VLOOKUP(Googleadssales[[#This Row],[Ad_ID]],'[1]pre processed data'!A:O,15,0)</f>
        <v>$1244</v>
      </c>
      <c r="J1891" s="3">
        <f>VLOOKUP(Googleadssales[[#This Row],[Ad_ID]],'[1]pre processed data'!A:Q,17,0)</f>
        <v>45616</v>
      </c>
      <c r="K1891" t="str">
        <f>VLOOKUP(Googleadssales[[#This Row],[Ad_ID]],'[1]pre processed data'!A:R,18,0)</f>
        <v>Hyderabad</v>
      </c>
      <c r="L1891" t="str">
        <f>VLOOKUP(Googleadssales[[#This Row],[Ad_ID]],'[1]pre processed data'!A:S,19,0)</f>
        <v>Tablet</v>
      </c>
      <c r="M1891" t="str">
        <f>VLOOKUP(Googleadssales[[#This Row],[Ad_ID]],'[1]pre processed data'!A:T,20,0)</f>
        <v>data analytics training</v>
      </c>
    </row>
    <row r="1892" spans="1:13" x14ac:dyDescent="0.3">
      <c r="A1892" t="s">
        <v>1905</v>
      </c>
      <c r="B1892" t="s">
        <v>14</v>
      </c>
      <c r="C1892" s="4">
        <f>VLOOKUP(Googleadssales[[#This Row],[Ad_ID]],'[1]pre processed data'!A:C,3,0)</f>
        <v>138.95699356913184</v>
      </c>
      <c r="D1892" s="4">
        <f>VLOOKUP(Googleadssales[[#This Row],[Ad_ID]],'[1]pre processed data'!A:E,5,0)</f>
        <v>3027</v>
      </c>
      <c r="E1892" s="5" t="str">
        <f>VLOOKUP(Googleadssales[[#This Row],[Ad_ID]],[1]!Table3[[Ad_ID]:[Cost-imputed]],7,0)</f>
        <v>$205.67</v>
      </c>
      <c r="F1892" s="4">
        <f>VLOOKUP(Googleadssales[[#This Row],[Ad_ID]],'[1]pre processed data'!A:I,9,0)</f>
        <v>20.329496402877698</v>
      </c>
      <c r="G1892" s="4">
        <f>VLOOKUP(Googleadssales[[#This Row],[Ad_ID]],'[1]pre processed data'!A:K,11,0)</f>
        <v>7</v>
      </c>
      <c r="H1892" s="2">
        <f>Googleadssales[[#This Row],[Conversions]]/Googleadssales[[#This Row],[Clicks]]</f>
        <v>5.0375298286210138E-2</v>
      </c>
      <c r="I1892" t="str">
        <f>VLOOKUP(Googleadssales[[#This Row],[Ad_ID]],'[1]pre processed data'!A:O,15,0)</f>
        <v>$1593</v>
      </c>
      <c r="J1892" s="3">
        <f>VLOOKUP(Googleadssales[[#This Row],[Ad_ID]],'[1]pre processed data'!A:Q,17,0)</f>
        <v>45603</v>
      </c>
      <c r="K1892" t="str">
        <f>VLOOKUP(Googleadssales[[#This Row],[Ad_ID]],'[1]pre processed data'!A:R,18,0)</f>
        <v>Bangaluru</v>
      </c>
      <c r="L1892" t="str">
        <f>VLOOKUP(Googleadssales[[#This Row],[Ad_ID]],'[1]pre processed data'!A:S,19,0)</f>
        <v>Tablet</v>
      </c>
      <c r="M1892" t="str">
        <f>VLOOKUP(Googleadssales[[#This Row],[Ad_ID]],'[1]pre processed data'!A:T,20,0)</f>
        <v>learn data analytics</v>
      </c>
    </row>
    <row r="1893" spans="1:13" x14ac:dyDescent="0.3">
      <c r="A1893" t="s">
        <v>1906</v>
      </c>
      <c r="B1893" t="s">
        <v>14</v>
      </c>
      <c r="C1893" s="4">
        <f>VLOOKUP(Googleadssales[[#This Row],[Ad_ID]],'[1]pre processed data'!A:C,3,0)</f>
        <v>114</v>
      </c>
      <c r="D1893" s="4">
        <f>VLOOKUP(Googleadssales[[#This Row],[Ad_ID]],'[1]pre processed data'!A:E,5,0)</f>
        <v>4540</v>
      </c>
      <c r="E1893" s="5" t="str">
        <f>VLOOKUP(Googleadssales[[#This Row],[Ad_ID]],[1]!Table3[[Ad_ID]:[Cost-imputed]],7,0)</f>
        <v>$185.04</v>
      </c>
      <c r="F1893" s="4">
        <f>VLOOKUP(Googleadssales[[#This Row],[Ad_ID]],'[1]pre processed data'!A:I,9,0)</f>
        <v>10</v>
      </c>
      <c r="G1893" s="4">
        <f>VLOOKUP(Googleadssales[[#This Row],[Ad_ID]],'[1]pre processed data'!A:K,11,0)</f>
        <v>4</v>
      </c>
      <c r="H1893" s="2">
        <f>Googleadssales[[#This Row],[Conversions]]/Googleadssales[[#This Row],[Clicks]]</f>
        <v>3.5087719298245612E-2</v>
      </c>
      <c r="I1893" t="str">
        <f>VLOOKUP(Googleadssales[[#This Row],[Ad_ID]],'[1]pre processed data'!A:O,15,0)</f>
        <v>$1561</v>
      </c>
      <c r="J1893" s="3">
        <f>VLOOKUP(Googleadssales[[#This Row],[Ad_ID]],'[1]pre processed data'!A:Q,17,0)</f>
        <v>45624</v>
      </c>
      <c r="K1893" t="str">
        <f>VLOOKUP(Googleadssales[[#This Row],[Ad_ID]],'[1]pre processed data'!A:R,18,0)</f>
        <v>Hyderabad</v>
      </c>
      <c r="L1893" t="str">
        <f>VLOOKUP(Googleadssales[[#This Row],[Ad_ID]],'[1]pre processed data'!A:S,19,0)</f>
        <v>Mobile</v>
      </c>
      <c r="M1893" t="str">
        <f>VLOOKUP(Googleadssales[[#This Row],[Ad_ID]],'[1]pre processed data'!A:T,20,0)</f>
        <v>data analytics course</v>
      </c>
    </row>
    <row r="1894" spans="1:13" x14ac:dyDescent="0.3">
      <c r="A1894" t="s">
        <v>1907</v>
      </c>
      <c r="B1894" t="s">
        <v>14</v>
      </c>
      <c r="C1894" s="4">
        <f>VLOOKUP(Googleadssales[[#This Row],[Ad_ID]],'[1]pre processed data'!A:C,3,0)</f>
        <v>92</v>
      </c>
      <c r="D1894" s="4">
        <f>VLOOKUP(Googleadssales[[#This Row],[Ad_ID]],'[1]pre processed data'!A:E,5,0)</f>
        <v>4466</v>
      </c>
      <c r="E1894" s="5" t="str">
        <f>VLOOKUP(Googleadssales[[#This Row],[Ad_ID]],[1]!Table3[[Ad_ID]:[Cost-imputed]],7,0)</f>
        <v>$244.46</v>
      </c>
      <c r="F1894" s="4">
        <f>VLOOKUP(Googleadssales[[#This Row],[Ad_ID]],'[1]pre processed data'!A:I,9,0)</f>
        <v>18</v>
      </c>
      <c r="G1894" s="4">
        <f>VLOOKUP(Googleadssales[[#This Row],[Ad_ID]],'[1]pre processed data'!A:K,11,0)</f>
        <v>6</v>
      </c>
      <c r="H1894" s="2">
        <f>Googleadssales[[#This Row],[Conversions]]/Googleadssales[[#This Row],[Clicks]]</f>
        <v>6.5217391304347824E-2</v>
      </c>
      <c r="I1894" t="str">
        <f>VLOOKUP(Googleadssales[[#This Row],[Ad_ID]],'[1]pre processed data'!A:O,15,0)</f>
        <v>$1912</v>
      </c>
      <c r="J1894" s="3">
        <f>VLOOKUP(Googleadssales[[#This Row],[Ad_ID]],'[1]pre processed data'!A:Q,17,0)</f>
        <v>45603</v>
      </c>
      <c r="K1894" t="str">
        <f>VLOOKUP(Googleadssales[[#This Row],[Ad_ID]],'[1]pre processed data'!A:R,18,0)</f>
        <v>Hyderabad</v>
      </c>
      <c r="L1894" t="str">
        <f>VLOOKUP(Googleadssales[[#This Row],[Ad_ID]],'[1]pre processed data'!A:S,19,0)</f>
        <v>Desktop</v>
      </c>
      <c r="M1894" t="str">
        <f>VLOOKUP(Googleadssales[[#This Row],[Ad_ID]],'[1]pre processed data'!A:T,20,0)</f>
        <v>learn data analytics</v>
      </c>
    </row>
    <row r="1895" spans="1:13" x14ac:dyDescent="0.3">
      <c r="A1895" t="s">
        <v>1908</v>
      </c>
      <c r="B1895" t="s">
        <v>14</v>
      </c>
      <c r="C1895" s="4">
        <f>VLOOKUP(Googleadssales[[#This Row],[Ad_ID]],'[1]pre processed data'!A:C,3,0)</f>
        <v>138.95699356913184</v>
      </c>
      <c r="D1895" s="4">
        <f>VLOOKUP(Googleadssales[[#This Row],[Ad_ID]],'[1]pre processed data'!A:E,5,0)</f>
        <v>4865</v>
      </c>
      <c r="E1895" s="5" t="str">
        <f>VLOOKUP(Googleadssales[[#This Row],[Ad_ID]],[1]!Table3[[Ad_ID]:[Cost-imputed]],7,0)</f>
        <v>$206.18</v>
      </c>
      <c r="F1895" s="4">
        <f>VLOOKUP(Googleadssales[[#This Row],[Ad_ID]],'[1]pre processed data'!A:I,9,0)</f>
        <v>25</v>
      </c>
      <c r="G1895" s="4">
        <f>VLOOKUP(Googleadssales[[#This Row],[Ad_ID]],'[1]pre processed data'!A:K,11,0)</f>
        <v>9</v>
      </c>
      <c r="H1895" s="2">
        <f>Googleadssales[[#This Row],[Conversions]]/Googleadssales[[#This Row],[Clicks]]</f>
        <v>6.4768240653698753E-2</v>
      </c>
      <c r="I1895" t="str">
        <f>VLOOKUP(Googleadssales[[#This Row],[Ad_ID]],'[1]pre processed data'!A:O,15,0)</f>
        <v>$1836</v>
      </c>
      <c r="J1895" s="3">
        <f>VLOOKUP(Googleadssales[[#This Row],[Ad_ID]],'[1]pre processed data'!A:Q,17,0)</f>
        <v>45604</v>
      </c>
      <c r="K1895" t="str">
        <f>VLOOKUP(Googleadssales[[#This Row],[Ad_ID]],'[1]pre processed data'!A:R,18,0)</f>
        <v>Chennai</v>
      </c>
      <c r="L1895" t="str">
        <f>VLOOKUP(Googleadssales[[#This Row],[Ad_ID]],'[1]pre processed data'!A:S,19,0)</f>
        <v>Desktop</v>
      </c>
      <c r="M1895" t="str">
        <f>VLOOKUP(Googleadssales[[#This Row],[Ad_ID]],'[1]pre processed data'!A:T,20,0)</f>
        <v>data analytics online</v>
      </c>
    </row>
    <row r="1896" spans="1:13" x14ac:dyDescent="0.3">
      <c r="A1896" t="s">
        <v>1909</v>
      </c>
      <c r="B1896" t="s">
        <v>14</v>
      </c>
      <c r="C1896" s="4">
        <f>VLOOKUP(Googleadssales[[#This Row],[Ad_ID]],'[1]pre processed data'!A:C,3,0)</f>
        <v>157</v>
      </c>
      <c r="D1896" s="4">
        <f>VLOOKUP(Googleadssales[[#This Row],[Ad_ID]],'[1]pre processed data'!A:E,5,0)</f>
        <v>5890</v>
      </c>
      <c r="E1896" s="5" t="str">
        <f>VLOOKUP(Googleadssales[[#This Row],[Ad_ID]],[1]!Table3[[Ad_ID]:[Cost-imputed]],7,0)</f>
        <v>$221.53</v>
      </c>
      <c r="F1896" s="4">
        <f>VLOOKUP(Googleadssales[[#This Row],[Ad_ID]],'[1]pre processed data'!A:I,9,0)</f>
        <v>27</v>
      </c>
      <c r="G1896" s="4">
        <f>VLOOKUP(Googleadssales[[#This Row],[Ad_ID]],'[1]pre processed data'!A:K,11,0)</f>
        <v>6.5213549337260677</v>
      </c>
      <c r="H1896" s="2">
        <f>Googleadssales[[#This Row],[Conversions]]/Googleadssales[[#This Row],[Clicks]]</f>
        <v>4.1537292571503619E-2</v>
      </c>
      <c r="I1896" t="str">
        <f>VLOOKUP(Googleadssales[[#This Row],[Ad_ID]],'[1]pre processed data'!A:O,15,0)</f>
        <v>$1122</v>
      </c>
      <c r="J1896" s="3">
        <f>VLOOKUP(Googleadssales[[#This Row],[Ad_ID]],'[1]pre processed data'!A:Q,17,0)</f>
        <v>45607</v>
      </c>
      <c r="K1896" t="str">
        <f>VLOOKUP(Googleadssales[[#This Row],[Ad_ID]],'[1]pre processed data'!A:R,18,0)</f>
        <v>Hyderabad</v>
      </c>
      <c r="L1896" t="str">
        <f>VLOOKUP(Googleadssales[[#This Row],[Ad_ID]],'[1]pre processed data'!A:S,19,0)</f>
        <v>Mobile</v>
      </c>
      <c r="M1896" t="str">
        <f>VLOOKUP(Googleadssales[[#This Row],[Ad_ID]],'[1]pre processed data'!A:T,20,0)</f>
        <v>data analytics training</v>
      </c>
    </row>
    <row r="1897" spans="1:13" x14ac:dyDescent="0.3">
      <c r="A1897" t="s">
        <v>1910</v>
      </c>
      <c r="B1897" t="s">
        <v>14</v>
      </c>
      <c r="C1897" s="4">
        <f>VLOOKUP(Googleadssales[[#This Row],[Ad_ID]],'[1]pre processed data'!A:C,3,0)</f>
        <v>91</v>
      </c>
      <c r="D1897" s="4">
        <f>VLOOKUP(Googleadssales[[#This Row],[Ad_ID]],'[1]pre processed data'!A:E,5,0)</f>
        <v>4010</v>
      </c>
      <c r="E1897" s="5" t="str">
        <f>VLOOKUP(Googleadssales[[#This Row],[Ad_ID]],[1]!Table3[[Ad_ID]:[Cost-imputed]],7,0)</f>
        <v>$229.84</v>
      </c>
      <c r="F1897" s="4">
        <f>VLOOKUP(Googleadssales[[#This Row],[Ad_ID]],'[1]pre processed data'!A:I,9,0)</f>
        <v>11</v>
      </c>
      <c r="G1897" s="4">
        <f>VLOOKUP(Googleadssales[[#This Row],[Ad_ID]],'[1]pre processed data'!A:K,11,0)</f>
        <v>6</v>
      </c>
      <c r="H1897" s="2">
        <f>Googleadssales[[#This Row],[Conversions]]/Googleadssales[[#This Row],[Clicks]]</f>
        <v>6.5934065934065936E-2</v>
      </c>
      <c r="I1897" t="str">
        <f>VLOOKUP(Googleadssales[[#This Row],[Ad_ID]],'[1]pre processed data'!A:O,15,0)</f>
        <v>$1634</v>
      </c>
      <c r="J1897" s="3">
        <f>VLOOKUP(Googleadssales[[#This Row],[Ad_ID]],'[1]pre processed data'!A:Q,17,0)</f>
        <v>45598</v>
      </c>
      <c r="K1897" t="str">
        <f>VLOOKUP(Googleadssales[[#This Row],[Ad_ID]],'[1]pre processed data'!A:R,18,0)</f>
        <v>Hyderabad</v>
      </c>
      <c r="L1897" t="str">
        <f>VLOOKUP(Googleadssales[[#This Row],[Ad_ID]],'[1]pre processed data'!A:S,19,0)</f>
        <v>Mobile</v>
      </c>
      <c r="M1897" t="str">
        <f>VLOOKUP(Googleadssales[[#This Row],[Ad_ID]],'[1]pre processed data'!A:T,20,0)</f>
        <v>analytics for data</v>
      </c>
    </row>
    <row r="1898" spans="1:13" x14ac:dyDescent="0.3">
      <c r="A1898" t="s">
        <v>1911</v>
      </c>
      <c r="B1898" t="s">
        <v>14</v>
      </c>
      <c r="C1898" s="4">
        <f>VLOOKUP(Googleadssales[[#This Row],[Ad_ID]],'[1]pre processed data'!A:C,3,0)</f>
        <v>91</v>
      </c>
      <c r="D1898" s="4">
        <f>VLOOKUP(Googleadssales[[#This Row],[Ad_ID]],'[1]pre processed data'!A:E,5,0)</f>
        <v>4641</v>
      </c>
      <c r="E1898" s="5" t="str">
        <f>VLOOKUP(Googleadssales[[#This Row],[Ad_ID]],[1]!Table3[[Ad_ID]:[Cost-imputed]],7,0)</f>
        <v>$182.84</v>
      </c>
      <c r="F1898" s="4">
        <f>VLOOKUP(Googleadssales[[#This Row],[Ad_ID]],'[1]pre processed data'!A:I,9,0)</f>
        <v>12</v>
      </c>
      <c r="G1898" s="4">
        <f>VLOOKUP(Googleadssales[[#This Row],[Ad_ID]],'[1]pre processed data'!A:K,11,0)</f>
        <v>9</v>
      </c>
      <c r="H1898" s="2">
        <f>Googleadssales[[#This Row],[Conversions]]/Googleadssales[[#This Row],[Clicks]]</f>
        <v>9.8901098901098897E-2</v>
      </c>
      <c r="I1898" t="str">
        <f>VLOOKUP(Googleadssales[[#This Row],[Ad_ID]],'[1]pre processed data'!A:O,15,0)</f>
        <v>$1235</v>
      </c>
      <c r="J1898" s="3">
        <f>VLOOKUP(Googleadssales[[#This Row],[Ad_ID]],'[1]pre processed data'!A:Q,17,0)</f>
        <v>45621</v>
      </c>
      <c r="K1898" t="str">
        <f>VLOOKUP(Googleadssales[[#This Row],[Ad_ID]],'[1]pre processed data'!A:R,18,0)</f>
        <v>Hyderabad</v>
      </c>
      <c r="L1898" t="str">
        <f>VLOOKUP(Googleadssales[[#This Row],[Ad_ID]],'[1]pre processed data'!A:S,19,0)</f>
        <v>Mobile</v>
      </c>
      <c r="M1898" t="str">
        <f>VLOOKUP(Googleadssales[[#This Row],[Ad_ID]],'[1]pre processed data'!A:T,20,0)</f>
        <v>data analytics online</v>
      </c>
    </row>
    <row r="1899" spans="1:13" x14ac:dyDescent="0.3">
      <c r="A1899" t="s">
        <v>1912</v>
      </c>
      <c r="B1899" t="s">
        <v>14</v>
      </c>
      <c r="C1899" s="4">
        <f>VLOOKUP(Googleadssales[[#This Row],[Ad_ID]],'[1]pre processed data'!A:C,3,0)</f>
        <v>99</v>
      </c>
      <c r="D1899" s="4">
        <f>VLOOKUP(Googleadssales[[#This Row],[Ad_ID]],'[1]pre processed data'!A:E,5,0)</f>
        <v>5669</v>
      </c>
      <c r="E1899" s="5" t="str">
        <f>VLOOKUP(Googleadssales[[#This Row],[Ad_ID]],[1]!Table3[[Ad_ID]:[Cost-imputed]],7,0)</f>
        <v>$202.47</v>
      </c>
      <c r="F1899" s="4">
        <f>VLOOKUP(Googleadssales[[#This Row],[Ad_ID]],'[1]pre processed data'!A:I,9,0)</f>
        <v>24</v>
      </c>
      <c r="G1899" s="4">
        <f>VLOOKUP(Googleadssales[[#This Row],[Ad_ID]],'[1]pre processed data'!A:K,11,0)</f>
        <v>7</v>
      </c>
      <c r="H1899" s="2">
        <f>Googleadssales[[#This Row],[Conversions]]/Googleadssales[[#This Row],[Clicks]]</f>
        <v>7.0707070707070704E-2</v>
      </c>
      <c r="I1899" t="str">
        <f>VLOOKUP(Googleadssales[[#This Row],[Ad_ID]],'[1]pre processed data'!A:O,15,0)</f>
        <v>$1862</v>
      </c>
      <c r="J1899" s="3">
        <f>VLOOKUP(Googleadssales[[#This Row],[Ad_ID]],'[1]pre processed data'!A:Q,17,0)</f>
        <v>45607</v>
      </c>
      <c r="K1899" t="str">
        <f>VLOOKUP(Googleadssales[[#This Row],[Ad_ID]],'[1]pre processed data'!A:R,18,0)</f>
        <v>Hyderabad</v>
      </c>
      <c r="L1899" t="str">
        <f>VLOOKUP(Googleadssales[[#This Row],[Ad_ID]],'[1]pre processed data'!A:S,19,0)</f>
        <v>Desktop</v>
      </c>
      <c r="M1899" t="str">
        <f>VLOOKUP(Googleadssales[[#This Row],[Ad_ID]],'[1]pre processed data'!A:T,20,0)</f>
        <v>online data analytic</v>
      </c>
    </row>
    <row r="1900" spans="1:13" x14ac:dyDescent="0.3">
      <c r="A1900" t="s">
        <v>1913</v>
      </c>
      <c r="B1900" t="s">
        <v>18</v>
      </c>
      <c r="C1900" s="4">
        <f>VLOOKUP(Googleadssales[[#This Row],[Ad_ID]],'[1]pre processed data'!A:C,3,0)</f>
        <v>160</v>
      </c>
      <c r="D1900" s="4">
        <f>VLOOKUP(Googleadssales[[#This Row],[Ad_ID]],'[1]pre processed data'!A:E,5,0)</f>
        <v>3000</v>
      </c>
      <c r="E1900" s="5" t="str">
        <f>VLOOKUP(Googleadssales[[#This Row],[Ad_ID]],[1]!Table3[[Ad_ID]:[Cost-imputed]],7,0)</f>
        <v>$201.69</v>
      </c>
      <c r="F1900" s="4">
        <f>VLOOKUP(Googleadssales[[#This Row],[Ad_ID]],'[1]pre processed data'!A:I,9,0)</f>
        <v>28</v>
      </c>
      <c r="G1900" s="4">
        <f>VLOOKUP(Googleadssales[[#This Row],[Ad_ID]],'[1]pre processed data'!A:K,11,0)</f>
        <v>9</v>
      </c>
      <c r="H1900" s="2">
        <f>Googleadssales[[#This Row],[Conversions]]/Googleadssales[[#This Row],[Clicks]]</f>
        <v>5.6250000000000001E-2</v>
      </c>
      <c r="I1900" t="str">
        <f>VLOOKUP(Googleadssales[[#This Row],[Ad_ID]],'[1]pre processed data'!A:O,15,0)</f>
        <v>$1103</v>
      </c>
      <c r="J1900" s="3">
        <f>VLOOKUP(Googleadssales[[#This Row],[Ad_ID]],'[1]pre processed data'!A:Q,17,0)</f>
        <v>45612</v>
      </c>
      <c r="K1900" t="str">
        <f>VLOOKUP(Googleadssales[[#This Row],[Ad_ID]],'[1]pre processed data'!A:R,18,0)</f>
        <v>Hyderabad</v>
      </c>
      <c r="L1900" t="str">
        <f>VLOOKUP(Googleadssales[[#This Row],[Ad_ID]],'[1]pre processed data'!A:S,19,0)</f>
        <v>Desktop</v>
      </c>
      <c r="M1900" t="str">
        <f>VLOOKUP(Googleadssales[[#This Row],[Ad_ID]],'[1]pre processed data'!A:T,20,0)</f>
        <v>data analytics online</v>
      </c>
    </row>
    <row r="1901" spans="1:13" x14ac:dyDescent="0.3">
      <c r="A1901" t="s">
        <v>1914</v>
      </c>
      <c r="B1901" t="s">
        <v>14</v>
      </c>
      <c r="C1901" s="4">
        <f>VLOOKUP(Googleadssales[[#This Row],[Ad_ID]],'[1]pre processed data'!A:C,3,0)</f>
        <v>138.95699356913184</v>
      </c>
      <c r="D1901" s="4">
        <f>VLOOKUP(Googleadssales[[#This Row],[Ad_ID]],'[1]pre processed data'!A:E,5,0)</f>
        <v>3979</v>
      </c>
      <c r="E1901" s="5" t="str">
        <f>VLOOKUP(Googleadssales[[#This Row],[Ad_ID]],[1]!Table3[[Ad_ID]:[Cost-imputed]],7,0)</f>
        <v>$241.3</v>
      </c>
      <c r="F1901" s="4">
        <f>VLOOKUP(Googleadssales[[#This Row],[Ad_ID]],'[1]pre processed data'!A:I,9,0)</f>
        <v>25</v>
      </c>
      <c r="G1901" s="4">
        <f>VLOOKUP(Googleadssales[[#This Row],[Ad_ID]],'[1]pre processed data'!A:K,11,0)</f>
        <v>10</v>
      </c>
      <c r="H1901" s="2">
        <f>Googleadssales[[#This Row],[Conversions]]/Googleadssales[[#This Row],[Clicks]]</f>
        <v>7.1964711837443046E-2</v>
      </c>
      <c r="I1901" t="str">
        <f>VLOOKUP(Googleadssales[[#This Row],[Ad_ID]],'[1]pre processed data'!A:O,15,0)</f>
        <v>$1488</v>
      </c>
      <c r="J1901" s="3">
        <f>VLOOKUP(Googleadssales[[#This Row],[Ad_ID]],'[1]pre processed data'!A:Q,17,0)</f>
        <v>45606</v>
      </c>
      <c r="K1901" t="str">
        <f>VLOOKUP(Googleadssales[[#This Row],[Ad_ID]],'[1]pre processed data'!A:R,18,0)</f>
        <v>Hyderabad</v>
      </c>
      <c r="L1901" t="str">
        <f>VLOOKUP(Googleadssales[[#This Row],[Ad_ID]],'[1]pre processed data'!A:S,19,0)</f>
        <v>Desktop</v>
      </c>
      <c r="M1901" t="str">
        <f>VLOOKUP(Googleadssales[[#This Row],[Ad_ID]],'[1]pre processed data'!A:T,20,0)</f>
        <v>data analytics course</v>
      </c>
    </row>
    <row r="1902" spans="1:13" x14ac:dyDescent="0.3">
      <c r="A1902" t="s">
        <v>1915</v>
      </c>
      <c r="B1902" t="s">
        <v>18</v>
      </c>
      <c r="C1902" s="4">
        <f>VLOOKUP(Googleadssales[[#This Row],[Ad_ID]],'[1]pre processed data'!A:C,3,0)</f>
        <v>185</v>
      </c>
      <c r="D1902" s="4">
        <f>VLOOKUP(Googleadssales[[#This Row],[Ad_ID]],'[1]pre processed data'!A:E,5,0)</f>
        <v>4523.2808326787117</v>
      </c>
      <c r="E1902" s="5" t="str">
        <f>VLOOKUP(Googleadssales[[#This Row],[Ad_ID]],[1]!Table3[[Ad_ID]:[Cost-imputed]],7,0)</f>
        <v>$192.6</v>
      </c>
      <c r="F1902" s="4">
        <f>VLOOKUP(Googleadssales[[#This Row],[Ad_ID]],'[1]pre processed data'!A:I,9,0)</f>
        <v>23</v>
      </c>
      <c r="G1902" s="4">
        <f>VLOOKUP(Googleadssales[[#This Row],[Ad_ID]],'[1]pre processed data'!A:K,11,0)</f>
        <v>5</v>
      </c>
      <c r="H1902" s="2">
        <f>Googleadssales[[#This Row],[Conversions]]/Googleadssales[[#This Row],[Clicks]]</f>
        <v>2.7027027027027029E-2</v>
      </c>
      <c r="I1902" t="str">
        <f>VLOOKUP(Googleadssales[[#This Row],[Ad_ID]],'[1]pre processed data'!A:O,15,0)</f>
        <v>$1180</v>
      </c>
      <c r="J1902" s="3">
        <f>VLOOKUP(Googleadssales[[#This Row],[Ad_ID]],'[1]pre processed data'!A:Q,17,0)</f>
        <v>45597</v>
      </c>
      <c r="K1902" t="str">
        <f>VLOOKUP(Googleadssales[[#This Row],[Ad_ID]],'[1]pre processed data'!A:R,18,0)</f>
        <v>Hyderabad</v>
      </c>
      <c r="L1902" t="str">
        <f>VLOOKUP(Googleadssales[[#This Row],[Ad_ID]],'[1]pre processed data'!A:S,19,0)</f>
        <v>Desktop</v>
      </c>
      <c r="M1902" t="str">
        <f>VLOOKUP(Googleadssales[[#This Row],[Ad_ID]],'[1]pre processed data'!A:T,20,0)</f>
        <v>learn data analytics</v>
      </c>
    </row>
    <row r="1903" spans="1:13" x14ac:dyDescent="0.3">
      <c r="A1903" t="s">
        <v>1916</v>
      </c>
      <c r="B1903" t="s">
        <v>14</v>
      </c>
      <c r="C1903" s="4">
        <f>VLOOKUP(Googleadssales[[#This Row],[Ad_ID]],'[1]pre processed data'!A:C,3,0)</f>
        <v>137</v>
      </c>
      <c r="D1903" s="4">
        <f>VLOOKUP(Googleadssales[[#This Row],[Ad_ID]],'[1]pre processed data'!A:E,5,0)</f>
        <v>5049</v>
      </c>
      <c r="E1903" s="5" t="str">
        <f>VLOOKUP(Googleadssales[[#This Row],[Ad_ID]],[1]!Table3[[Ad_ID]:[Cost-imputed]],7,0)</f>
        <v>$180.58</v>
      </c>
      <c r="F1903" s="4">
        <f>VLOOKUP(Googleadssales[[#This Row],[Ad_ID]],'[1]pre processed data'!A:I,9,0)</f>
        <v>26</v>
      </c>
      <c r="G1903" s="4">
        <f>VLOOKUP(Googleadssales[[#This Row],[Ad_ID]],'[1]pre processed data'!A:K,11,0)</f>
        <v>3</v>
      </c>
      <c r="H1903" s="2">
        <f>Googleadssales[[#This Row],[Conversions]]/Googleadssales[[#This Row],[Clicks]]</f>
        <v>2.1897810218978103E-2</v>
      </c>
      <c r="I1903" t="str">
        <f>VLOOKUP(Googleadssales[[#This Row],[Ad_ID]],'[1]pre processed data'!A:O,15,0)</f>
        <v>$1808</v>
      </c>
      <c r="J1903" s="3">
        <f>VLOOKUP(Googleadssales[[#This Row],[Ad_ID]],'[1]pre processed data'!A:Q,17,0)</f>
        <v>45614</v>
      </c>
      <c r="K1903" t="str">
        <f>VLOOKUP(Googleadssales[[#This Row],[Ad_ID]],'[1]pre processed data'!A:R,18,0)</f>
        <v>Hyderabad</v>
      </c>
      <c r="L1903" t="str">
        <f>VLOOKUP(Googleadssales[[#This Row],[Ad_ID]],'[1]pre processed data'!A:S,19,0)</f>
        <v>Desktop</v>
      </c>
      <c r="M1903" t="str">
        <f>VLOOKUP(Googleadssales[[#This Row],[Ad_ID]],'[1]pre processed data'!A:T,20,0)</f>
        <v>data analytics training</v>
      </c>
    </row>
    <row r="1904" spans="1:13" x14ac:dyDescent="0.3">
      <c r="A1904" t="s">
        <v>1917</v>
      </c>
      <c r="B1904" t="s">
        <v>14</v>
      </c>
      <c r="C1904" s="4">
        <f>VLOOKUP(Googleadssales[[#This Row],[Ad_ID]],'[1]pre processed data'!A:C,3,0)</f>
        <v>159</v>
      </c>
      <c r="D1904" s="4">
        <f>VLOOKUP(Googleadssales[[#This Row],[Ad_ID]],'[1]pre processed data'!A:E,5,0)</f>
        <v>3662</v>
      </c>
      <c r="E1904" s="5" t="str">
        <f>VLOOKUP(Googleadssales[[#This Row],[Ad_ID]],[1]!Table3[[Ad_ID]:[Cost-imputed]],7,0)</f>
        <v>$203.93</v>
      </c>
      <c r="F1904" s="4">
        <f>VLOOKUP(Googleadssales[[#This Row],[Ad_ID]],'[1]pre processed data'!A:I,9,0)</f>
        <v>20</v>
      </c>
      <c r="G1904" s="4">
        <f>VLOOKUP(Googleadssales[[#This Row],[Ad_ID]],'[1]pre processed data'!A:K,11,0)</f>
        <v>4</v>
      </c>
      <c r="H1904" s="2">
        <f>Googleadssales[[#This Row],[Conversions]]/Googleadssales[[#This Row],[Clicks]]</f>
        <v>2.5157232704402517E-2</v>
      </c>
      <c r="I1904" t="str">
        <f>VLOOKUP(Googleadssales[[#This Row],[Ad_ID]],'[1]pre processed data'!A:O,15,0)</f>
        <v>$1776</v>
      </c>
      <c r="J1904" s="3">
        <f>VLOOKUP(Googleadssales[[#This Row],[Ad_ID]],'[1]pre processed data'!A:Q,17,0)</f>
        <v>45606</v>
      </c>
      <c r="K1904" t="str">
        <f>VLOOKUP(Googleadssales[[#This Row],[Ad_ID]],'[1]pre processed data'!A:R,18,0)</f>
        <v>Hyderabad</v>
      </c>
      <c r="L1904" t="str">
        <f>VLOOKUP(Googleadssales[[#This Row],[Ad_ID]],'[1]pre processed data'!A:S,19,0)</f>
        <v>Tablet</v>
      </c>
      <c r="M1904" t="str">
        <f>VLOOKUP(Googleadssales[[#This Row],[Ad_ID]],'[1]pre processed data'!A:T,20,0)</f>
        <v>data analytics course</v>
      </c>
    </row>
    <row r="1905" spans="1:13" x14ac:dyDescent="0.3">
      <c r="A1905" t="s">
        <v>1918</v>
      </c>
      <c r="B1905" t="s">
        <v>14</v>
      </c>
      <c r="C1905" s="4">
        <f>VLOOKUP(Googleadssales[[#This Row],[Ad_ID]],'[1]pre processed data'!A:C,3,0)</f>
        <v>155</v>
      </c>
      <c r="D1905" s="4">
        <f>VLOOKUP(Googleadssales[[#This Row],[Ad_ID]],'[1]pre processed data'!A:E,5,0)</f>
        <v>5822</v>
      </c>
      <c r="E1905" s="5" t="str">
        <f>VLOOKUP(Googleadssales[[#This Row],[Ad_ID]],[1]!Table3[[Ad_ID]:[Cost-imputed]],7,0)</f>
        <v>$227.47</v>
      </c>
      <c r="F1905" s="4">
        <f>VLOOKUP(Googleadssales[[#This Row],[Ad_ID]],'[1]pre processed data'!A:I,9,0)</f>
        <v>10</v>
      </c>
      <c r="G1905" s="4">
        <f>VLOOKUP(Googleadssales[[#This Row],[Ad_ID]],'[1]pre processed data'!A:K,11,0)</f>
        <v>4</v>
      </c>
      <c r="H1905" s="2">
        <f>Googleadssales[[#This Row],[Conversions]]/Googleadssales[[#This Row],[Clicks]]</f>
        <v>2.5806451612903226E-2</v>
      </c>
      <c r="I1905" t="str">
        <f>VLOOKUP(Googleadssales[[#This Row],[Ad_ID]],'[1]pre processed data'!A:O,15,0)</f>
        <v>$1373</v>
      </c>
      <c r="J1905" s="3">
        <f>VLOOKUP(Googleadssales[[#This Row],[Ad_ID]],'[1]pre processed data'!A:Q,17,0)</f>
        <v>45624</v>
      </c>
      <c r="K1905" t="str">
        <f>VLOOKUP(Googleadssales[[#This Row],[Ad_ID]],'[1]pre processed data'!A:R,18,0)</f>
        <v>Bangaluru</v>
      </c>
      <c r="L1905" t="str">
        <f>VLOOKUP(Googleadssales[[#This Row],[Ad_ID]],'[1]pre processed data'!A:S,19,0)</f>
        <v>Mobile</v>
      </c>
      <c r="M1905" t="str">
        <f>VLOOKUP(Googleadssales[[#This Row],[Ad_ID]],'[1]pre processed data'!A:T,20,0)</f>
        <v>data analytics online</v>
      </c>
    </row>
    <row r="1906" spans="1:13" x14ac:dyDescent="0.3">
      <c r="A1906" t="s">
        <v>1919</v>
      </c>
      <c r="B1906" t="s">
        <v>14</v>
      </c>
      <c r="C1906" s="4">
        <f>VLOOKUP(Googleadssales[[#This Row],[Ad_ID]],'[1]pre processed data'!A:C,3,0)</f>
        <v>103</v>
      </c>
      <c r="D1906" s="4">
        <f>VLOOKUP(Googleadssales[[#This Row],[Ad_ID]],'[1]pre processed data'!A:E,5,0)</f>
        <v>3762</v>
      </c>
      <c r="E1906" s="5" t="str">
        <f>VLOOKUP(Googleadssales[[#This Row],[Ad_ID]],[1]!Table3[[Ad_ID]:[Cost-imputed]],7,0)</f>
        <v>$187.11</v>
      </c>
      <c r="F1906" s="4">
        <f>VLOOKUP(Googleadssales[[#This Row],[Ad_ID]],'[1]pre processed data'!A:I,9,0)</f>
        <v>12</v>
      </c>
      <c r="G1906" s="4">
        <f>VLOOKUP(Googleadssales[[#This Row],[Ad_ID]],'[1]pre processed data'!A:K,11,0)</f>
        <v>9</v>
      </c>
      <c r="H1906" s="2">
        <f>Googleadssales[[#This Row],[Conversions]]/Googleadssales[[#This Row],[Clicks]]</f>
        <v>8.7378640776699032E-2</v>
      </c>
      <c r="I1906" t="str">
        <f>VLOOKUP(Googleadssales[[#This Row],[Ad_ID]],'[1]pre processed data'!A:O,15,0)</f>
        <v>$1096</v>
      </c>
      <c r="J1906" s="3">
        <f>VLOOKUP(Googleadssales[[#This Row],[Ad_ID]],'[1]pre processed data'!A:Q,17,0)</f>
        <v>45620</v>
      </c>
      <c r="K1906" t="str">
        <f>VLOOKUP(Googleadssales[[#This Row],[Ad_ID]],'[1]pre processed data'!A:R,18,0)</f>
        <v>Hyderabad</v>
      </c>
      <c r="L1906" t="str">
        <f>VLOOKUP(Googleadssales[[#This Row],[Ad_ID]],'[1]pre processed data'!A:S,19,0)</f>
        <v>Mobile</v>
      </c>
      <c r="M1906" t="str">
        <f>VLOOKUP(Googleadssales[[#This Row],[Ad_ID]],'[1]pre processed data'!A:T,20,0)</f>
        <v>learn data analytics</v>
      </c>
    </row>
    <row r="1907" spans="1:13" x14ac:dyDescent="0.3">
      <c r="A1907" t="s">
        <v>1920</v>
      </c>
      <c r="B1907" t="s">
        <v>14</v>
      </c>
      <c r="C1907" s="4">
        <f>VLOOKUP(Googleadssales[[#This Row],[Ad_ID]],'[1]pre processed data'!A:C,3,0)</f>
        <v>134</v>
      </c>
      <c r="D1907" s="4">
        <f>VLOOKUP(Googleadssales[[#This Row],[Ad_ID]],'[1]pre processed data'!A:E,5,0)</f>
        <v>3647</v>
      </c>
      <c r="E1907" s="5" t="str">
        <f>VLOOKUP(Googleadssales[[#This Row],[Ad_ID]],[1]!Table3[[Ad_ID]:[Cost-imputed]],7,0)</f>
        <v>$209.89</v>
      </c>
      <c r="F1907" s="4">
        <f>VLOOKUP(Googleadssales[[#This Row],[Ad_ID]],'[1]pre processed data'!A:I,9,0)</f>
        <v>21</v>
      </c>
      <c r="G1907" s="4">
        <f>VLOOKUP(Googleadssales[[#This Row],[Ad_ID]],'[1]pre processed data'!A:K,11,0)</f>
        <v>7</v>
      </c>
      <c r="H1907" s="2">
        <f>Googleadssales[[#This Row],[Conversions]]/Googleadssales[[#This Row],[Clicks]]</f>
        <v>5.2238805970149252E-2</v>
      </c>
      <c r="I1907" t="str">
        <f>VLOOKUP(Googleadssales[[#This Row],[Ad_ID]],'[1]pre processed data'!A:O,15,0)</f>
        <v>$1744</v>
      </c>
      <c r="J1907" s="3">
        <f>VLOOKUP(Googleadssales[[#This Row],[Ad_ID]],'[1]pre processed data'!A:Q,17,0)</f>
        <v>45599</v>
      </c>
      <c r="K1907" t="str">
        <f>VLOOKUP(Googleadssales[[#This Row],[Ad_ID]],'[1]pre processed data'!A:R,18,0)</f>
        <v>Hyderabad</v>
      </c>
      <c r="L1907" t="str">
        <f>VLOOKUP(Googleadssales[[#This Row],[Ad_ID]],'[1]pre processed data'!A:S,19,0)</f>
        <v>Desktop</v>
      </c>
      <c r="M1907" t="str">
        <f>VLOOKUP(Googleadssales[[#This Row],[Ad_ID]],'[1]pre processed data'!A:T,20,0)</f>
        <v>learn data analytics</v>
      </c>
    </row>
    <row r="1908" spans="1:13" x14ac:dyDescent="0.3">
      <c r="A1908" t="s">
        <v>1921</v>
      </c>
      <c r="B1908" t="s">
        <v>14</v>
      </c>
      <c r="C1908" s="4">
        <f>VLOOKUP(Googleadssales[[#This Row],[Ad_ID]],'[1]pre processed data'!A:C,3,0)</f>
        <v>128</v>
      </c>
      <c r="D1908" s="4">
        <f>VLOOKUP(Googleadssales[[#This Row],[Ad_ID]],'[1]pre processed data'!A:E,5,0)</f>
        <v>3448</v>
      </c>
      <c r="E1908" s="5" t="str">
        <f>VLOOKUP(Googleadssales[[#This Row],[Ad_ID]],[1]!Table3[[Ad_ID]:[Cost-imputed]],7,0)</f>
        <v>$235.69</v>
      </c>
      <c r="F1908" s="4">
        <f>VLOOKUP(Googleadssales[[#This Row],[Ad_ID]],'[1]pre processed data'!A:I,9,0)</f>
        <v>27</v>
      </c>
      <c r="G1908" s="4">
        <f>VLOOKUP(Googleadssales[[#This Row],[Ad_ID]],'[1]pre processed data'!A:K,11,0)</f>
        <v>8</v>
      </c>
      <c r="H1908" s="2">
        <f>Googleadssales[[#This Row],[Conversions]]/Googleadssales[[#This Row],[Clicks]]</f>
        <v>6.25E-2</v>
      </c>
      <c r="I1908" t="str">
        <f>VLOOKUP(Googleadssales[[#This Row],[Ad_ID]],'[1]pre processed data'!A:O,15,0)</f>
        <v>$1373</v>
      </c>
      <c r="J1908" s="3">
        <f>VLOOKUP(Googleadssales[[#This Row],[Ad_ID]],'[1]pre processed data'!A:Q,17,0)</f>
        <v>45613</v>
      </c>
      <c r="K1908" t="str">
        <f>VLOOKUP(Googleadssales[[#This Row],[Ad_ID]],'[1]pre processed data'!A:R,18,0)</f>
        <v>Chennai</v>
      </c>
      <c r="L1908" t="str">
        <f>VLOOKUP(Googleadssales[[#This Row],[Ad_ID]],'[1]pre processed data'!A:S,19,0)</f>
        <v>Desktop</v>
      </c>
      <c r="M1908" t="str">
        <f>VLOOKUP(Googleadssales[[#This Row],[Ad_ID]],'[1]pre processed data'!A:T,20,0)</f>
        <v>data analytics course</v>
      </c>
    </row>
    <row r="1909" spans="1:13" x14ac:dyDescent="0.3">
      <c r="A1909" t="s">
        <v>1922</v>
      </c>
      <c r="B1909" t="s">
        <v>14</v>
      </c>
      <c r="C1909" s="4">
        <f>VLOOKUP(Googleadssales[[#This Row],[Ad_ID]],'[1]pre processed data'!A:C,3,0)</f>
        <v>156</v>
      </c>
      <c r="D1909" s="4">
        <f>VLOOKUP(Googleadssales[[#This Row],[Ad_ID]],'[1]pre processed data'!A:E,5,0)</f>
        <v>3776</v>
      </c>
      <c r="E1909" s="5" t="str">
        <f>VLOOKUP(Googleadssales[[#This Row],[Ad_ID]],[1]!Table3[[Ad_ID]:[Cost-imputed]],7,0)</f>
        <v>$213.3</v>
      </c>
      <c r="F1909" s="4">
        <f>VLOOKUP(Googleadssales[[#This Row],[Ad_ID]],'[1]pre processed data'!A:I,9,0)</f>
        <v>30</v>
      </c>
      <c r="G1909" s="4">
        <f>VLOOKUP(Googleadssales[[#This Row],[Ad_ID]],'[1]pre processed data'!A:K,11,0)</f>
        <v>4</v>
      </c>
      <c r="H1909" s="2">
        <f>Googleadssales[[#This Row],[Conversions]]/Googleadssales[[#This Row],[Clicks]]</f>
        <v>2.564102564102564E-2</v>
      </c>
      <c r="I1909" t="str">
        <f>VLOOKUP(Googleadssales[[#This Row],[Ad_ID]],'[1]pre processed data'!A:O,15,0)</f>
        <v>$1013</v>
      </c>
      <c r="J1909" s="3">
        <f>VLOOKUP(Googleadssales[[#This Row],[Ad_ID]],'[1]pre processed data'!A:Q,17,0)</f>
        <v>45615</v>
      </c>
      <c r="K1909" t="str">
        <f>VLOOKUP(Googleadssales[[#This Row],[Ad_ID]],'[1]pre processed data'!A:R,18,0)</f>
        <v>Bangaluru</v>
      </c>
      <c r="L1909" t="str">
        <f>VLOOKUP(Googleadssales[[#This Row],[Ad_ID]],'[1]pre processed data'!A:S,19,0)</f>
        <v>Tablet</v>
      </c>
      <c r="M1909" t="str">
        <f>VLOOKUP(Googleadssales[[#This Row],[Ad_ID]],'[1]pre processed data'!A:T,20,0)</f>
        <v>online data analytic</v>
      </c>
    </row>
    <row r="1910" spans="1:13" x14ac:dyDescent="0.3">
      <c r="A1910" t="s">
        <v>1923</v>
      </c>
      <c r="B1910" t="s">
        <v>14</v>
      </c>
      <c r="C1910" s="4">
        <f>VLOOKUP(Googleadssales[[#This Row],[Ad_ID]],'[1]pre processed data'!A:C,3,0)</f>
        <v>154</v>
      </c>
      <c r="D1910" s="4">
        <f>VLOOKUP(Googleadssales[[#This Row],[Ad_ID]],'[1]pre processed data'!A:E,5,0)</f>
        <v>5763</v>
      </c>
      <c r="E1910" s="5" t="str">
        <f>VLOOKUP(Googleadssales[[#This Row],[Ad_ID]],[1]!Table3[[Ad_ID]:[Cost-imputed]],7,0)</f>
        <v>$240.35</v>
      </c>
      <c r="F1910" s="4">
        <f>VLOOKUP(Googleadssales[[#This Row],[Ad_ID]],'[1]pre processed data'!A:I,9,0)</f>
        <v>20</v>
      </c>
      <c r="G1910" s="4">
        <f>VLOOKUP(Googleadssales[[#This Row],[Ad_ID]],'[1]pre processed data'!A:K,11,0)</f>
        <v>10</v>
      </c>
      <c r="H1910" s="2">
        <f>Googleadssales[[#This Row],[Conversions]]/Googleadssales[[#This Row],[Clicks]]</f>
        <v>6.4935064935064929E-2</v>
      </c>
      <c r="I1910" t="str">
        <f>VLOOKUP(Googleadssales[[#This Row],[Ad_ID]],'[1]pre processed data'!A:O,15,0)</f>
        <v>$1816</v>
      </c>
      <c r="J1910" s="3">
        <f>VLOOKUP(Googleadssales[[#This Row],[Ad_ID]],'[1]pre processed data'!A:Q,17,0)</f>
        <v>45621</v>
      </c>
      <c r="K1910" t="str">
        <f>VLOOKUP(Googleadssales[[#This Row],[Ad_ID]],'[1]pre processed data'!A:R,18,0)</f>
        <v>Hyderabad</v>
      </c>
      <c r="L1910" t="str">
        <f>VLOOKUP(Googleadssales[[#This Row],[Ad_ID]],'[1]pre processed data'!A:S,19,0)</f>
        <v>Mobile</v>
      </c>
      <c r="M1910" t="str">
        <f>VLOOKUP(Googleadssales[[#This Row],[Ad_ID]],'[1]pre processed data'!A:T,20,0)</f>
        <v>data analytics online</v>
      </c>
    </row>
    <row r="1911" spans="1:13" x14ac:dyDescent="0.3">
      <c r="A1911" t="s">
        <v>1924</v>
      </c>
      <c r="B1911" t="s">
        <v>14</v>
      </c>
      <c r="C1911" s="4">
        <f>VLOOKUP(Googleadssales[[#This Row],[Ad_ID]],'[1]pre processed data'!A:C,3,0)</f>
        <v>176</v>
      </c>
      <c r="D1911" s="4">
        <f>VLOOKUP(Googleadssales[[#This Row],[Ad_ID]],'[1]pre processed data'!A:E,5,0)</f>
        <v>3835</v>
      </c>
      <c r="E1911" s="5" t="str">
        <f>VLOOKUP(Googleadssales[[#This Row],[Ad_ID]],[1]!Table3[[Ad_ID]:[Cost-imputed]],7,0)</f>
        <v>$210.11</v>
      </c>
      <c r="F1911" s="4">
        <f>VLOOKUP(Googleadssales[[#This Row],[Ad_ID]],'[1]pre processed data'!A:I,9,0)</f>
        <v>10</v>
      </c>
      <c r="G1911" s="4">
        <f>VLOOKUP(Googleadssales[[#This Row],[Ad_ID]],'[1]pre processed data'!A:K,11,0)</f>
        <v>3</v>
      </c>
      <c r="H1911" s="2">
        <f>Googleadssales[[#This Row],[Conversions]]/Googleadssales[[#This Row],[Clicks]]</f>
        <v>1.7045454545454544E-2</v>
      </c>
      <c r="I1911" t="str">
        <f>VLOOKUP(Googleadssales[[#This Row],[Ad_ID]],'[1]pre processed data'!A:O,15,0)</f>
        <v>$1025</v>
      </c>
      <c r="J1911" s="3">
        <f>VLOOKUP(Googleadssales[[#This Row],[Ad_ID]],'[1]pre processed data'!A:Q,17,0)</f>
        <v>45601</v>
      </c>
      <c r="K1911" t="str">
        <f>VLOOKUP(Googleadssales[[#This Row],[Ad_ID]],'[1]pre processed data'!A:R,18,0)</f>
        <v>Hyderabad</v>
      </c>
      <c r="L1911" t="str">
        <f>VLOOKUP(Googleadssales[[#This Row],[Ad_ID]],'[1]pre processed data'!A:S,19,0)</f>
        <v>Tablet</v>
      </c>
      <c r="M1911" t="str">
        <f>VLOOKUP(Googleadssales[[#This Row],[Ad_ID]],'[1]pre processed data'!A:T,20,0)</f>
        <v>data analytics course</v>
      </c>
    </row>
    <row r="1912" spans="1:13" x14ac:dyDescent="0.3">
      <c r="A1912" t="s">
        <v>1925</v>
      </c>
      <c r="B1912" t="s">
        <v>14</v>
      </c>
      <c r="C1912" s="4">
        <f>VLOOKUP(Googleadssales[[#This Row],[Ad_ID]],'[1]pre processed data'!A:C,3,0)</f>
        <v>138.95699356913184</v>
      </c>
      <c r="D1912" s="4">
        <f>VLOOKUP(Googleadssales[[#This Row],[Ad_ID]],'[1]pre processed data'!A:E,5,0)</f>
        <v>4079</v>
      </c>
      <c r="E1912" s="5" t="str">
        <f>VLOOKUP(Googleadssales[[#This Row],[Ad_ID]],[1]!Table3[[Ad_ID]:[Cost-imputed]],7,0)</f>
        <v>$243.8</v>
      </c>
      <c r="F1912" s="4">
        <f>VLOOKUP(Googleadssales[[#This Row],[Ad_ID]],'[1]pre processed data'!A:I,9,0)</f>
        <v>23</v>
      </c>
      <c r="G1912" s="4">
        <f>VLOOKUP(Googleadssales[[#This Row],[Ad_ID]],'[1]pre processed data'!A:K,11,0)</f>
        <v>6</v>
      </c>
      <c r="H1912" s="2">
        <f>Googleadssales[[#This Row],[Conversions]]/Googleadssales[[#This Row],[Clicks]]</f>
        <v>4.317882710246583E-2</v>
      </c>
      <c r="I1912" t="str">
        <f>VLOOKUP(Googleadssales[[#This Row],[Ad_ID]],'[1]pre processed data'!A:O,15,0)</f>
        <v>$1909</v>
      </c>
      <c r="J1912" s="3">
        <f>VLOOKUP(Googleadssales[[#This Row],[Ad_ID]],'[1]pre processed data'!A:Q,17,0)</f>
        <v>45625</v>
      </c>
      <c r="K1912" t="str">
        <f>VLOOKUP(Googleadssales[[#This Row],[Ad_ID]],'[1]pre processed data'!A:R,18,0)</f>
        <v>Bangaluru</v>
      </c>
      <c r="L1912" t="str">
        <f>VLOOKUP(Googleadssales[[#This Row],[Ad_ID]],'[1]pre processed data'!A:S,19,0)</f>
        <v>Tablet</v>
      </c>
      <c r="M1912" t="str">
        <f>VLOOKUP(Googleadssales[[#This Row],[Ad_ID]],'[1]pre processed data'!A:T,20,0)</f>
        <v>learn data analytics</v>
      </c>
    </row>
    <row r="1913" spans="1:13" x14ac:dyDescent="0.3">
      <c r="A1913" t="s">
        <v>1926</v>
      </c>
      <c r="B1913" t="s">
        <v>14</v>
      </c>
      <c r="C1913" s="4">
        <f>VLOOKUP(Googleadssales[[#This Row],[Ad_ID]],'[1]pre processed data'!A:C,3,0)</f>
        <v>182</v>
      </c>
      <c r="D1913" s="4">
        <f>VLOOKUP(Googleadssales[[#This Row],[Ad_ID]],'[1]pre processed data'!A:E,5,0)</f>
        <v>4444</v>
      </c>
      <c r="E1913" s="5" t="str">
        <f>VLOOKUP(Googleadssales[[#This Row],[Ad_ID]],[1]!Table3[[Ad_ID]:[Cost-imputed]],7,0)</f>
        <v>$188.86</v>
      </c>
      <c r="F1913" s="4">
        <f>VLOOKUP(Googleadssales[[#This Row],[Ad_ID]],'[1]pre processed data'!A:I,9,0)</f>
        <v>19</v>
      </c>
      <c r="G1913" s="4">
        <f>VLOOKUP(Googleadssales[[#This Row],[Ad_ID]],'[1]pre processed data'!A:K,11,0)</f>
        <v>9</v>
      </c>
      <c r="H1913" s="2">
        <f>Googleadssales[[#This Row],[Conversions]]/Googleadssales[[#This Row],[Clicks]]</f>
        <v>4.9450549450549448E-2</v>
      </c>
      <c r="I1913" t="str">
        <f>VLOOKUP(Googleadssales[[#This Row],[Ad_ID]],'[1]pre processed data'!A:O,15,0)</f>
        <v>$1555</v>
      </c>
      <c r="J1913" s="3">
        <f>VLOOKUP(Googleadssales[[#This Row],[Ad_ID]],'[1]pre processed data'!A:Q,17,0)</f>
        <v>45621</v>
      </c>
      <c r="K1913" t="str">
        <f>VLOOKUP(Googleadssales[[#This Row],[Ad_ID]],'[1]pre processed data'!A:R,18,0)</f>
        <v>Hyderabad</v>
      </c>
      <c r="L1913" t="str">
        <f>VLOOKUP(Googleadssales[[#This Row],[Ad_ID]],'[1]pre processed data'!A:S,19,0)</f>
        <v>Desktop</v>
      </c>
      <c r="M1913" t="str">
        <f>VLOOKUP(Googleadssales[[#This Row],[Ad_ID]],'[1]pre processed data'!A:T,20,0)</f>
        <v>data analytics course</v>
      </c>
    </row>
    <row r="1914" spans="1:13" x14ac:dyDescent="0.3">
      <c r="A1914" t="s">
        <v>1927</v>
      </c>
      <c r="B1914" t="s">
        <v>18</v>
      </c>
      <c r="C1914" s="4">
        <f>VLOOKUP(Googleadssales[[#This Row],[Ad_ID]],'[1]pre processed data'!A:C,3,0)</f>
        <v>84</v>
      </c>
      <c r="D1914" s="4">
        <f>VLOOKUP(Googleadssales[[#This Row],[Ad_ID]],'[1]pre processed data'!A:E,5,0)</f>
        <v>3859</v>
      </c>
      <c r="E1914" s="5" t="str">
        <f>VLOOKUP(Googleadssales[[#This Row],[Ad_ID]],[1]!Table3[[Ad_ID]:[Cost-imputed]],7,0)</f>
        <v>$182.85</v>
      </c>
      <c r="F1914" s="4">
        <f>VLOOKUP(Googleadssales[[#This Row],[Ad_ID]],'[1]pre processed data'!A:I,9,0)</f>
        <v>17</v>
      </c>
      <c r="G1914" s="4">
        <f>VLOOKUP(Googleadssales[[#This Row],[Ad_ID]],'[1]pre processed data'!A:K,11,0)</f>
        <v>8</v>
      </c>
      <c r="H1914" s="2">
        <f>Googleadssales[[#This Row],[Conversions]]/Googleadssales[[#This Row],[Clicks]]</f>
        <v>9.5238095238095233E-2</v>
      </c>
      <c r="I1914" t="str">
        <f>VLOOKUP(Googleadssales[[#This Row],[Ad_ID]],'[1]pre processed data'!A:O,15,0)</f>
        <v>$1145</v>
      </c>
      <c r="J1914" s="3">
        <f>VLOOKUP(Googleadssales[[#This Row],[Ad_ID]],'[1]pre processed data'!A:Q,17,0)</f>
        <v>45605</v>
      </c>
      <c r="K1914" t="str">
        <f>VLOOKUP(Googleadssales[[#This Row],[Ad_ID]],'[1]pre processed data'!A:R,18,0)</f>
        <v>Bangaluru</v>
      </c>
      <c r="L1914" t="str">
        <f>VLOOKUP(Googleadssales[[#This Row],[Ad_ID]],'[1]pre processed data'!A:S,19,0)</f>
        <v>Mobile</v>
      </c>
      <c r="M1914" t="str">
        <f>VLOOKUP(Googleadssales[[#This Row],[Ad_ID]],'[1]pre processed data'!A:T,20,0)</f>
        <v>data analytics training</v>
      </c>
    </row>
    <row r="1915" spans="1:13" x14ac:dyDescent="0.3">
      <c r="A1915" t="s">
        <v>1928</v>
      </c>
      <c r="B1915" t="s">
        <v>14</v>
      </c>
      <c r="C1915" s="4">
        <f>VLOOKUP(Googleadssales[[#This Row],[Ad_ID]],'[1]pre processed data'!A:C,3,0)</f>
        <v>192</v>
      </c>
      <c r="D1915" s="4">
        <f>VLOOKUP(Googleadssales[[#This Row],[Ad_ID]],'[1]pre processed data'!A:E,5,0)</f>
        <v>3752</v>
      </c>
      <c r="E1915" s="5" t="str">
        <f>VLOOKUP(Googleadssales[[#This Row],[Ad_ID]],[1]!Table3[[Ad_ID]:[Cost-imputed]],7,0)</f>
        <v>$240.61</v>
      </c>
      <c r="F1915" s="4">
        <f>VLOOKUP(Googleadssales[[#This Row],[Ad_ID]],'[1]pre processed data'!A:I,9,0)</f>
        <v>23</v>
      </c>
      <c r="G1915" s="4">
        <f>VLOOKUP(Googleadssales[[#This Row],[Ad_ID]],'[1]pre processed data'!A:K,11,0)</f>
        <v>8</v>
      </c>
      <c r="H1915" s="2">
        <f>Googleadssales[[#This Row],[Conversions]]/Googleadssales[[#This Row],[Clicks]]</f>
        <v>4.1666666666666664E-2</v>
      </c>
      <c r="I1915" t="str">
        <f>VLOOKUP(Googleadssales[[#This Row],[Ad_ID]],'[1]pre processed data'!A:O,15,0)</f>
        <v>$1504</v>
      </c>
      <c r="J1915" s="3">
        <f>VLOOKUP(Googleadssales[[#This Row],[Ad_ID]],'[1]pre processed data'!A:Q,17,0)</f>
        <v>45609</v>
      </c>
      <c r="K1915" t="str">
        <f>VLOOKUP(Googleadssales[[#This Row],[Ad_ID]],'[1]pre processed data'!A:R,18,0)</f>
        <v>Hyderabad</v>
      </c>
      <c r="L1915" t="str">
        <f>VLOOKUP(Googleadssales[[#This Row],[Ad_ID]],'[1]pre processed data'!A:S,19,0)</f>
        <v>Desktop</v>
      </c>
      <c r="M1915" t="str">
        <f>VLOOKUP(Googleadssales[[#This Row],[Ad_ID]],'[1]pre processed data'!A:T,20,0)</f>
        <v>data analytics course</v>
      </c>
    </row>
    <row r="1916" spans="1:13" x14ac:dyDescent="0.3">
      <c r="A1916" t="s">
        <v>1929</v>
      </c>
      <c r="B1916" t="s">
        <v>18</v>
      </c>
      <c r="C1916" s="4">
        <f>VLOOKUP(Googleadssales[[#This Row],[Ad_ID]],'[1]pre processed data'!A:C,3,0)</f>
        <v>133</v>
      </c>
      <c r="D1916" s="4">
        <f>VLOOKUP(Googleadssales[[#This Row],[Ad_ID]],'[1]pre processed data'!A:E,5,0)</f>
        <v>5487</v>
      </c>
      <c r="E1916" s="5" t="str">
        <f>VLOOKUP(Googleadssales[[#This Row],[Ad_ID]],[1]!Table3[[Ad_ID]:[Cost-imputed]],7,0)</f>
        <v>$243.45</v>
      </c>
      <c r="F1916" s="4">
        <f>VLOOKUP(Googleadssales[[#This Row],[Ad_ID]],'[1]pre processed data'!A:I,9,0)</f>
        <v>22</v>
      </c>
      <c r="G1916" s="4">
        <f>VLOOKUP(Googleadssales[[#This Row],[Ad_ID]],'[1]pre processed data'!A:K,11,0)</f>
        <v>7</v>
      </c>
      <c r="H1916" s="2">
        <f>Googleadssales[[#This Row],[Conversions]]/Googleadssales[[#This Row],[Clicks]]</f>
        <v>5.2631578947368418E-2</v>
      </c>
      <c r="I1916" t="str">
        <f>VLOOKUP(Googleadssales[[#This Row],[Ad_ID]],'[1]pre processed data'!A:O,15,0)</f>
        <v>$1059</v>
      </c>
      <c r="J1916" s="3">
        <f>VLOOKUP(Googleadssales[[#This Row],[Ad_ID]],'[1]pre processed data'!A:Q,17,0)</f>
        <v>45614</v>
      </c>
      <c r="K1916" t="str">
        <f>VLOOKUP(Googleadssales[[#This Row],[Ad_ID]],'[1]pre processed data'!A:R,18,0)</f>
        <v>Chennai</v>
      </c>
      <c r="L1916" t="str">
        <f>VLOOKUP(Googleadssales[[#This Row],[Ad_ID]],'[1]pre processed data'!A:S,19,0)</f>
        <v>Desktop</v>
      </c>
      <c r="M1916" t="str">
        <f>VLOOKUP(Googleadssales[[#This Row],[Ad_ID]],'[1]pre processed data'!A:T,20,0)</f>
        <v>data analytics online</v>
      </c>
    </row>
    <row r="1917" spans="1:13" x14ac:dyDescent="0.3">
      <c r="A1917" t="s">
        <v>1930</v>
      </c>
      <c r="B1917" t="s">
        <v>14</v>
      </c>
      <c r="C1917" s="4">
        <f>VLOOKUP(Googleadssales[[#This Row],[Ad_ID]],'[1]pre processed data'!A:C,3,0)</f>
        <v>81</v>
      </c>
      <c r="D1917" s="4">
        <f>VLOOKUP(Googleadssales[[#This Row],[Ad_ID]],'[1]pre processed data'!A:E,5,0)</f>
        <v>4864</v>
      </c>
      <c r="E1917" s="5" t="str">
        <f>VLOOKUP(Googleadssales[[#This Row],[Ad_ID]],[1]!Table3[[Ad_ID]:[Cost-imputed]],7,0)</f>
        <v>$238.27</v>
      </c>
      <c r="F1917" s="4">
        <f>VLOOKUP(Googleadssales[[#This Row],[Ad_ID]],'[1]pre processed data'!A:I,9,0)</f>
        <v>15</v>
      </c>
      <c r="G1917" s="4">
        <f>VLOOKUP(Googleadssales[[#This Row],[Ad_ID]],'[1]pre processed data'!A:K,11,0)</f>
        <v>7</v>
      </c>
      <c r="H1917" s="2">
        <f>Googleadssales[[#This Row],[Conversions]]/Googleadssales[[#This Row],[Clicks]]</f>
        <v>8.6419753086419748E-2</v>
      </c>
      <c r="I1917" t="str">
        <f>VLOOKUP(Googleadssales[[#This Row],[Ad_ID]],'[1]pre processed data'!A:O,15,0)</f>
        <v>$1278</v>
      </c>
      <c r="J1917" s="3">
        <f>VLOOKUP(Googleadssales[[#This Row],[Ad_ID]],'[1]pre processed data'!A:Q,17,0)</f>
        <v>45597</v>
      </c>
      <c r="K1917" t="str">
        <f>VLOOKUP(Googleadssales[[#This Row],[Ad_ID]],'[1]pre processed data'!A:R,18,0)</f>
        <v>Hyderabad</v>
      </c>
      <c r="L1917" t="str">
        <f>VLOOKUP(Googleadssales[[#This Row],[Ad_ID]],'[1]pre processed data'!A:S,19,0)</f>
        <v>Desktop</v>
      </c>
      <c r="M1917" t="str">
        <f>VLOOKUP(Googleadssales[[#This Row],[Ad_ID]],'[1]pre processed data'!A:T,20,0)</f>
        <v>analytics for data</v>
      </c>
    </row>
    <row r="1918" spans="1:13" x14ac:dyDescent="0.3">
      <c r="A1918" t="s">
        <v>1931</v>
      </c>
      <c r="B1918" t="s">
        <v>14</v>
      </c>
      <c r="C1918" s="4">
        <f>VLOOKUP(Googleadssales[[#This Row],[Ad_ID]],'[1]pre processed data'!A:C,3,0)</f>
        <v>196</v>
      </c>
      <c r="D1918" s="4">
        <f>VLOOKUP(Googleadssales[[#This Row],[Ad_ID]],'[1]pre processed data'!A:E,5,0)</f>
        <v>3834</v>
      </c>
      <c r="E1918" s="5" t="str">
        <f>VLOOKUP(Googleadssales[[#This Row],[Ad_ID]],[1]!Table3[[Ad_ID]:[Cost-imputed]],7,0)</f>
        <v>$216.22</v>
      </c>
      <c r="F1918" s="4">
        <f>VLOOKUP(Googleadssales[[#This Row],[Ad_ID]],'[1]pre processed data'!A:I,9,0)</f>
        <v>10</v>
      </c>
      <c r="G1918" s="4">
        <f>VLOOKUP(Googleadssales[[#This Row],[Ad_ID]],'[1]pre processed data'!A:K,11,0)</f>
        <v>3</v>
      </c>
      <c r="H1918" s="2">
        <f>Googleadssales[[#This Row],[Conversions]]/Googleadssales[[#This Row],[Clicks]]</f>
        <v>1.5306122448979591E-2</v>
      </c>
      <c r="I1918" t="str">
        <f>VLOOKUP(Googleadssales[[#This Row],[Ad_ID]],'[1]pre processed data'!A:O,15,0)</f>
        <v>$1727</v>
      </c>
      <c r="J1918" s="3">
        <f>VLOOKUP(Googleadssales[[#This Row],[Ad_ID]],'[1]pre processed data'!A:Q,17,0)</f>
        <v>45599</v>
      </c>
      <c r="K1918" t="str">
        <f>VLOOKUP(Googleadssales[[#This Row],[Ad_ID]],'[1]pre processed data'!A:R,18,0)</f>
        <v>Bangaluru</v>
      </c>
      <c r="L1918" t="str">
        <f>VLOOKUP(Googleadssales[[#This Row],[Ad_ID]],'[1]pre processed data'!A:S,19,0)</f>
        <v>Mobile</v>
      </c>
      <c r="M1918" t="str">
        <f>VLOOKUP(Googleadssales[[#This Row],[Ad_ID]],'[1]pre processed data'!A:T,20,0)</f>
        <v>data analytics online</v>
      </c>
    </row>
    <row r="1919" spans="1:13" x14ac:dyDescent="0.3">
      <c r="A1919" t="s">
        <v>1932</v>
      </c>
      <c r="B1919" t="s">
        <v>14</v>
      </c>
      <c r="C1919" s="4">
        <f>VLOOKUP(Googleadssales[[#This Row],[Ad_ID]],'[1]pre processed data'!A:C,3,0)</f>
        <v>103</v>
      </c>
      <c r="D1919" s="4">
        <f>VLOOKUP(Googleadssales[[#This Row],[Ad_ID]],'[1]pre processed data'!A:E,5,0)</f>
        <v>5859</v>
      </c>
      <c r="E1919" s="5" t="str">
        <f>VLOOKUP(Googleadssales[[#This Row],[Ad_ID]],[1]!Table3[[Ad_ID]:[Cost-imputed]],7,0)</f>
        <v>$210.86</v>
      </c>
      <c r="F1919" s="4">
        <f>VLOOKUP(Googleadssales[[#This Row],[Ad_ID]],'[1]pre processed data'!A:I,9,0)</f>
        <v>15</v>
      </c>
      <c r="G1919" s="4">
        <f>VLOOKUP(Googleadssales[[#This Row],[Ad_ID]],'[1]pre processed data'!A:K,11,0)</f>
        <v>7</v>
      </c>
      <c r="H1919" s="2">
        <f>Googleadssales[[#This Row],[Conversions]]/Googleadssales[[#This Row],[Clicks]]</f>
        <v>6.7961165048543687E-2</v>
      </c>
      <c r="I1919" t="str">
        <f>VLOOKUP(Googleadssales[[#This Row],[Ad_ID]],'[1]pre processed data'!A:O,15,0)</f>
        <v>$1079</v>
      </c>
      <c r="J1919" s="3">
        <f>VLOOKUP(Googleadssales[[#This Row],[Ad_ID]],'[1]pre processed data'!A:Q,17,0)</f>
        <v>45611</v>
      </c>
      <c r="K1919" t="str">
        <f>VLOOKUP(Googleadssales[[#This Row],[Ad_ID]],'[1]pre processed data'!A:R,18,0)</f>
        <v>Bangaluru</v>
      </c>
      <c r="L1919" t="str">
        <f>VLOOKUP(Googleadssales[[#This Row],[Ad_ID]],'[1]pre processed data'!A:S,19,0)</f>
        <v>Mobile</v>
      </c>
      <c r="M1919" t="str">
        <f>VLOOKUP(Googleadssales[[#This Row],[Ad_ID]],'[1]pre processed data'!A:T,20,0)</f>
        <v>online data analytic</v>
      </c>
    </row>
    <row r="1920" spans="1:13" x14ac:dyDescent="0.3">
      <c r="A1920" t="s">
        <v>1933</v>
      </c>
      <c r="B1920" t="s">
        <v>14</v>
      </c>
      <c r="C1920" s="4">
        <f>VLOOKUP(Googleadssales[[#This Row],[Ad_ID]],'[1]pre processed data'!A:C,3,0)</f>
        <v>107</v>
      </c>
      <c r="D1920" s="4">
        <f>VLOOKUP(Googleadssales[[#This Row],[Ad_ID]],'[1]pre processed data'!A:E,5,0)</f>
        <v>4428</v>
      </c>
      <c r="E1920" s="5" t="str">
        <f>VLOOKUP(Googleadssales[[#This Row],[Ad_ID]],[1]!Table3[[Ad_ID]:[Cost-imputed]],7,0)</f>
        <v>$187.08</v>
      </c>
      <c r="F1920" s="4">
        <f>VLOOKUP(Googleadssales[[#This Row],[Ad_ID]],'[1]pre processed data'!A:I,9,0)</f>
        <v>28</v>
      </c>
      <c r="G1920" s="4">
        <f>VLOOKUP(Googleadssales[[#This Row],[Ad_ID]],'[1]pre processed data'!A:K,11,0)</f>
        <v>8</v>
      </c>
      <c r="H1920" s="2">
        <f>Googleadssales[[#This Row],[Conversions]]/Googleadssales[[#This Row],[Clicks]]</f>
        <v>7.476635514018691E-2</v>
      </c>
      <c r="I1920" t="str">
        <f>VLOOKUP(Googleadssales[[#This Row],[Ad_ID]],'[1]pre processed data'!A:O,15,0)</f>
        <v>$1764</v>
      </c>
      <c r="J1920" s="3">
        <f>VLOOKUP(Googleadssales[[#This Row],[Ad_ID]],'[1]pre processed data'!A:Q,17,0)</f>
        <v>45622</v>
      </c>
      <c r="K1920" t="str">
        <f>VLOOKUP(Googleadssales[[#This Row],[Ad_ID]],'[1]pre processed data'!A:R,18,0)</f>
        <v>Chennai</v>
      </c>
      <c r="L1920" t="str">
        <f>VLOOKUP(Googleadssales[[#This Row],[Ad_ID]],'[1]pre processed data'!A:S,19,0)</f>
        <v>Tablet</v>
      </c>
      <c r="M1920" t="str">
        <f>VLOOKUP(Googleadssales[[#This Row],[Ad_ID]],'[1]pre processed data'!A:T,20,0)</f>
        <v>data analytics course</v>
      </c>
    </row>
    <row r="1921" spans="1:13" x14ac:dyDescent="0.3">
      <c r="A1921" t="s">
        <v>1934</v>
      </c>
      <c r="B1921" t="s">
        <v>14</v>
      </c>
      <c r="C1921" s="4">
        <f>VLOOKUP(Googleadssales[[#This Row],[Ad_ID]],'[1]pre processed data'!A:C,3,0)</f>
        <v>199</v>
      </c>
      <c r="D1921" s="4">
        <f>VLOOKUP(Googleadssales[[#This Row],[Ad_ID]],'[1]pre processed data'!A:E,5,0)</f>
        <v>5649</v>
      </c>
      <c r="E1921" s="5" t="str">
        <f>VLOOKUP(Googleadssales[[#This Row],[Ad_ID]],[1]!Table3[[Ad_ID]:[Cost-imputed]],7,0)</f>
        <v>$223.62</v>
      </c>
      <c r="F1921" s="4">
        <f>VLOOKUP(Googleadssales[[#This Row],[Ad_ID]],'[1]pre processed data'!A:I,9,0)</f>
        <v>11</v>
      </c>
      <c r="G1921" s="4">
        <f>VLOOKUP(Googleadssales[[#This Row],[Ad_ID]],'[1]pre processed data'!A:K,11,0)</f>
        <v>4</v>
      </c>
      <c r="H1921" s="2">
        <f>Googleadssales[[#This Row],[Conversions]]/Googleadssales[[#This Row],[Clicks]]</f>
        <v>2.0100502512562814E-2</v>
      </c>
      <c r="I1921" t="str">
        <f>VLOOKUP(Googleadssales[[#This Row],[Ad_ID]],'[1]pre processed data'!A:O,15,0)</f>
        <v>$1075</v>
      </c>
      <c r="J1921" s="3">
        <f>VLOOKUP(Googleadssales[[#This Row],[Ad_ID]],'[1]pre processed data'!A:Q,17,0)</f>
        <v>45618</v>
      </c>
      <c r="K1921" t="str">
        <f>VLOOKUP(Googleadssales[[#This Row],[Ad_ID]],'[1]pre processed data'!A:R,18,0)</f>
        <v>Hyderabad</v>
      </c>
      <c r="L1921" t="str">
        <f>VLOOKUP(Googleadssales[[#This Row],[Ad_ID]],'[1]pre processed data'!A:S,19,0)</f>
        <v>Desktop</v>
      </c>
      <c r="M1921" t="str">
        <f>VLOOKUP(Googleadssales[[#This Row],[Ad_ID]],'[1]pre processed data'!A:T,20,0)</f>
        <v>data analytics course</v>
      </c>
    </row>
    <row r="1922" spans="1:13" x14ac:dyDescent="0.3">
      <c r="A1922" t="s">
        <v>1935</v>
      </c>
      <c r="B1922" t="s">
        <v>18</v>
      </c>
      <c r="C1922" s="4">
        <f>VLOOKUP(Googleadssales[[#This Row],[Ad_ID]],'[1]pre processed data'!A:C,3,0)</f>
        <v>133</v>
      </c>
      <c r="D1922" s="4">
        <f>VLOOKUP(Googleadssales[[#This Row],[Ad_ID]],'[1]pre processed data'!A:E,5,0)</f>
        <v>4116</v>
      </c>
      <c r="E1922" s="5" t="str">
        <f>VLOOKUP(Googleadssales[[#This Row],[Ad_ID]],[1]!Table3[[Ad_ID]:[Cost-imputed]],7,0)</f>
        <v>$248.26</v>
      </c>
      <c r="F1922" s="4">
        <f>VLOOKUP(Googleadssales[[#This Row],[Ad_ID]],'[1]pre processed data'!A:I,9,0)</f>
        <v>14</v>
      </c>
      <c r="G1922" s="4">
        <f>VLOOKUP(Googleadssales[[#This Row],[Ad_ID]],'[1]pre processed data'!A:K,11,0)</f>
        <v>3</v>
      </c>
      <c r="H1922" s="2">
        <f>Googleadssales[[#This Row],[Conversions]]/Googleadssales[[#This Row],[Clicks]]</f>
        <v>2.2556390977443608E-2</v>
      </c>
      <c r="I1922" t="str">
        <f>VLOOKUP(Googleadssales[[#This Row],[Ad_ID]],'[1]pre processed data'!A:O,15,0)</f>
        <v>$1160</v>
      </c>
      <c r="J1922" s="3">
        <f>VLOOKUP(Googleadssales[[#This Row],[Ad_ID]],'[1]pre processed data'!A:Q,17,0)</f>
        <v>45616</v>
      </c>
      <c r="K1922" t="str">
        <f>VLOOKUP(Googleadssales[[#This Row],[Ad_ID]],'[1]pre processed data'!A:R,18,0)</f>
        <v>Chennai</v>
      </c>
      <c r="L1922" t="str">
        <f>VLOOKUP(Googleadssales[[#This Row],[Ad_ID]],'[1]pre processed data'!A:S,19,0)</f>
        <v>Mobile</v>
      </c>
      <c r="M1922" t="str">
        <f>VLOOKUP(Googleadssales[[#This Row],[Ad_ID]],'[1]pre processed data'!A:T,20,0)</f>
        <v>data analytics course</v>
      </c>
    </row>
    <row r="1923" spans="1:13" x14ac:dyDescent="0.3">
      <c r="A1923" t="s">
        <v>1936</v>
      </c>
      <c r="B1923" t="s">
        <v>14</v>
      </c>
      <c r="C1923" s="4">
        <f>VLOOKUP(Googleadssales[[#This Row],[Ad_ID]],'[1]pre processed data'!A:C,3,0)</f>
        <v>192</v>
      </c>
      <c r="D1923" s="4">
        <f>VLOOKUP(Googleadssales[[#This Row],[Ad_ID]],'[1]pre processed data'!A:E,5,0)</f>
        <v>5026</v>
      </c>
      <c r="E1923" s="5" t="str">
        <f>VLOOKUP(Googleadssales[[#This Row],[Ad_ID]],[1]!Table3[[Ad_ID]:[Cost-imputed]],7,0)</f>
        <v>$209.89</v>
      </c>
      <c r="F1923" s="4">
        <f>VLOOKUP(Googleadssales[[#This Row],[Ad_ID]],'[1]pre processed data'!A:I,9,0)</f>
        <v>25</v>
      </c>
      <c r="G1923" s="4">
        <f>VLOOKUP(Googleadssales[[#This Row],[Ad_ID]],'[1]pre processed data'!A:K,11,0)</f>
        <v>9</v>
      </c>
      <c r="H1923" s="2">
        <f>Googleadssales[[#This Row],[Conversions]]/Googleadssales[[#This Row],[Clicks]]</f>
        <v>4.6875E-2</v>
      </c>
      <c r="I1923" t="str">
        <f>VLOOKUP(Googleadssales[[#This Row],[Ad_ID]],'[1]pre processed data'!A:O,15,0)</f>
        <v>$1981</v>
      </c>
      <c r="J1923" s="3">
        <f>VLOOKUP(Googleadssales[[#This Row],[Ad_ID]],'[1]pre processed data'!A:Q,17,0)</f>
        <v>45626</v>
      </c>
      <c r="K1923" t="str">
        <f>VLOOKUP(Googleadssales[[#This Row],[Ad_ID]],'[1]pre processed data'!A:R,18,0)</f>
        <v>Chennai</v>
      </c>
      <c r="L1923" t="str">
        <f>VLOOKUP(Googleadssales[[#This Row],[Ad_ID]],'[1]pre processed data'!A:S,19,0)</f>
        <v>Tablet</v>
      </c>
      <c r="M1923" t="str">
        <f>VLOOKUP(Googleadssales[[#This Row],[Ad_ID]],'[1]pre processed data'!A:T,20,0)</f>
        <v>data analytics course</v>
      </c>
    </row>
    <row r="1924" spans="1:13" x14ac:dyDescent="0.3">
      <c r="A1924" t="s">
        <v>1937</v>
      </c>
      <c r="B1924" t="s">
        <v>14</v>
      </c>
      <c r="C1924" s="4">
        <f>VLOOKUP(Googleadssales[[#This Row],[Ad_ID]],'[1]pre processed data'!A:C,3,0)</f>
        <v>189</v>
      </c>
      <c r="D1924" s="4">
        <f>VLOOKUP(Googleadssales[[#This Row],[Ad_ID]],'[1]pre processed data'!A:E,5,0)</f>
        <v>4969</v>
      </c>
      <c r="E1924" s="5" t="str">
        <f>VLOOKUP(Googleadssales[[#This Row],[Ad_ID]],[1]!Table3[[Ad_ID]:[Cost-imputed]],7,0)</f>
        <v>$245.1</v>
      </c>
      <c r="F1924" s="4">
        <f>VLOOKUP(Googleadssales[[#This Row],[Ad_ID]],'[1]pre processed data'!A:I,9,0)</f>
        <v>11</v>
      </c>
      <c r="G1924" s="4">
        <f>VLOOKUP(Googleadssales[[#This Row],[Ad_ID]],'[1]pre processed data'!A:K,11,0)</f>
        <v>9</v>
      </c>
      <c r="H1924" s="2">
        <f>Googleadssales[[#This Row],[Conversions]]/Googleadssales[[#This Row],[Clicks]]</f>
        <v>4.7619047619047616E-2</v>
      </c>
      <c r="I1924" t="str">
        <f>VLOOKUP(Googleadssales[[#This Row],[Ad_ID]],'[1]pre processed data'!A:O,15,0)</f>
        <v>$1993</v>
      </c>
      <c r="J1924" s="3">
        <f>VLOOKUP(Googleadssales[[#This Row],[Ad_ID]],'[1]pre processed data'!A:Q,17,0)</f>
        <v>45601</v>
      </c>
      <c r="K1924" t="str">
        <f>VLOOKUP(Googleadssales[[#This Row],[Ad_ID]],'[1]pre processed data'!A:R,18,0)</f>
        <v>Hyderabad</v>
      </c>
      <c r="L1924" t="str">
        <f>VLOOKUP(Googleadssales[[#This Row],[Ad_ID]],'[1]pre processed data'!A:S,19,0)</f>
        <v>Tablet</v>
      </c>
      <c r="M1924" t="str">
        <f>VLOOKUP(Googleadssales[[#This Row],[Ad_ID]],'[1]pre processed data'!A:T,20,0)</f>
        <v>online data analytic</v>
      </c>
    </row>
    <row r="1925" spans="1:13" x14ac:dyDescent="0.3">
      <c r="A1925" t="s">
        <v>1938</v>
      </c>
      <c r="B1925" t="s">
        <v>18</v>
      </c>
      <c r="C1925" s="4">
        <f>VLOOKUP(Googleadssales[[#This Row],[Ad_ID]],'[1]pre processed data'!A:C,3,0)</f>
        <v>197</v>
      </c>
      <c r="D1925" s="4">
        <f>VLOOKUP(Googleadssales[[#This Row],[Ad_ID]],'[1]pre processed data'!A:E,5,0)</f>
        <v>4441</v>
      </c>
      <c r="E1925" s="5" t="str">
        <f>VLOOKUP(Googleadssales[[#This Row],[Ad_ID]],[1]!Table3[[Ad_ID]:[Cost-imputed]],7,0)</f>
        <v>$220.84</v>
      </c>
      <c r="F1925" s="4">
        <f>VLOOKUP(Googleadssales[[#This Row],[Ad_ID]],'[1]pre processed data'!A:I,9,0)</f>
        <v>26</v>
      </c>
      <c r="G1925" s="4">
        <f>VLOOKUP(Googleadssales[[#This Row],[Ad_ID]],'[1]pre processed data'!A:K,11,0)</f>
        <v>6</v>
      </c>
      <c r="H1925" s="2">
        <f>Googleadssales[[#This Row],[Conversions]]/Googleadssales[[#This Row],[Clicks]]</f>
        <v>3.0456852791878174E-2</v>
      </c>
      <c r="I1925" t="str">
        <f>VLOOKUP(Googleadssales[[#This Row],[Ad_ID]],'[1]pre processed data'!A:O,15,0)</f>
        <v>$1500</v>
      </c>
      <c r="J1925" s="3">
        <f>VLOOKUP(Googleadssales[[#This Row],[Ad_ID]],'[1]pre processed data'!A:Q,17,0)</f>
        <v>45612</v>
      </c>
      <c r="K1925" t="str">
        <f>VLOOKUP(Googleadssales[[#This Row],[Ad_ID]],'[1]pre processed data'!A:R,18,0)</f>
        <v>Chennai</v>
      </c>
      <c r="L1925" t="str">
        <f>VLOOKUP(Googleadssales[[#This Row],[Ad_ID]],'[1]pre processed data'!A:S,19,0)</f>
        <v>Desktop</v>
      </c>
      <c r="M1925" t="str">
        <f>VLOOKUP(Googleadssales[[#This Row],[Ad_ID]],'[1]pre processed data'!A:T,20,0)</f>
        <v>online data analytic</v>
      </c>
    </row>
    <row r="1926" spans="1:13" x14ac:dyDescent="0.3">
      <c r="A1926" t="s">
        <v>1939</v>
      </c>
      <c r="B1926" t="s">
        <v>18</v>
      </c>
      <c r="C1926" s="4">
        <f>VLOOKUP(Googleadssales[[#This Row],[Ad_ID]],'[1]pre processed data'!A:C,3,0)</f>
        <v>142</v>
      </c>
      <c r="D1926" s="4">
        <f>VLOOKUP(Googleadssales[[#This Row],[Ad_ID]],'[1]pre processed data'!A:E,5,0)</f>
        <v>4854</v>
      </c>
      <c r="E1926" s="5" t="str">
        <f>VLOOKUP(Googleadssales[[#This Row],[Ad_ID]],[1]!Table3[[Ad_ID]:[Cost-imputed]],7,0)</f>
        <v>$220.73</v>
      </c>
      <c r="F1926" s="4">
        <f>VLOOKUP(Googleadssales[[#This Row],[Ad_ID]],'[1]pre processed data'!A:I,9,0)</f>
        <v>25</v>
      </c>
      <c r="G1926" s="4">
        <f>VLOOKUP(Googleadssales[[#This Row],[Ad_ID]],'[1]pre processed data'!A:K,11,0)</f>
        <v>9</v>
      </c>
      <c r="H1926" s="2">
        <f>Googleadssales[[#This Row],[Conversions]]/Googleadssales[[#This Row],[Clicks]]</f>
        <v>6.3380281690140844E-2</v>
      </c>
      <c r="I1926" t="str">
        <f>VLOOKUP(Googleadssales[[#This Row],[Ad_ID]],'[1]pre processed data'!A:O,15,0)</f>
        <v>$1891</v>
      </c>
      <c r="J1926" s="3">
        <f>VLOOKUP(Googleadssales[[#This Row],[Ad_ID]],'[1]pre processed data'!A:Q,17,0)</f>
        <v>45597</v>
      </c>
      <c r="K1926" t="str">
        <f>VLOOKUP(Googleadssales[[#This Row],[Ad_ID]],'[1]pre processed data'!A:R,18,0)</f>
        <v>Chennai</v>
      </c>
      <c r="L1926" t="str">
        <f>VLOOKUP(Googleadssales[[#This Row],[Ad_ID]],'[1]pre processed data'!A:S,19,0)</f>
        <v>Desktop</v>
      </c>
      <c r="M1926" t="str">
        <f>VLOOKUP(Googleadssales[[#This Row],[Ad_ID]],'[1]pre processed data'!A:T,20,0)</f>
        <v>data analytics online</v>
      </c>
    </row>
    <row r="1927" spans="1:13" x14ac:dyDescent="0.3">
      <c r="A1927" t="s">
        <v>1940</v>
      </c>
      <c r="B1927" t="s">
        <v>14</v>
      </c>
      <c r="C1927" s="4">
        <f>VLOOKUP(Googleadssales[[#This Row],[Ad_ID]],'[1]pre processed data'!A:C,3,0)</f>
        <v>138.95699356913184</v>
      </c>
      <c r="D1927" s="4">
        <f>VLOOKUP(Googleadssales[[#This Row],[Ad_ID]],'[1]pre processed data'!A:E,5,0)</f>
        <v>4010</v>
      </c>
      <c r="E1927" s="5" t="str">
        <f>VLOOKUP(Googleadssales[[#This Row],[Ad_ID]],[1]!Table3[[Ad_ID]:[Cost-imputed]],7,0)</f>
        <v>$238.31</v>
      </c>
      <c r="F1927" s="4">
        <f>VLOOKUP(Googleadssales[[#This Row],[Ad_ID]],'[1]pre processed data'!A:I,9,0)</f>
        <v>12</v>
      </c>
      <c r="G1927" s="4">
        <f>VLOOKUP(Googleadssales[[#This Row],[Ad_ID]],'[1]pre processed data'!A:K,11,0)</f>
        <v>3</v>
      </c>
      <c r="H1927" s="2">
        <f>Googleadssales[[#This Row],[Conversions]]/Googleadssales[[#This Row],[Clicks]]</f>
        <v>2.1589413551232915E-2</v>
      </c>
      <c r="I1927" t="str">
        <f>VLOOKUP(Googleadssales[[#This Row],[Ad_ID]],'[1]pre processed data'!A:O,15,0)</f>
        <v>$1895</v>
      </c>
      <c r="J1927" s="3">
        <f>VLOOKUP(Googleadssales[[#This Row],[Ad_ID]],'[1]pre processed data'!A:Q,17,0)</f>
        <v>45601</v>
      </c>
      <c r="K1927" t="str">
        <f>VLOOKUP(Googleadssales[[#This Row],[Ad_ID]],'[1]pre processed data'!A:R,18,0)</f>
        <v>Hyderabad</v>
      </c>
      <c r="L1927" t="str">
        <f>VLOOKUP(Googleadssales[[#This Row],[Ad_ID]],'[1]pre processed data'!A:S,19,0)</f>
        <v>Tablet</v>
      </c>
      <c r="M1927" t="str">
        <f>VLOOKUP(Googleadssales[[#This Row],[Ad_ID]],'[1]pre processed data'!A:T,20,0)</f>
        <v>analytics for data</v>
      </c>
    </row>
    <row r="1928" spans="1:13" x14ac:dyDescent="0.3">
      <c r="A1928" t="s">
        <v>1941</v>
      </c>
      <c r="B1928" t="s">
        <v>14</v>
      </c>
      <c r="C1928" s="4">
        <f>VLOOKUP(Googleadssales[[#This Row],[Ad_ID]],'[1]pre processed data'!A:C,3,0)</f>
        <v>134</v>
      </c>
      <c r="D1928" s="4">
        <f>VLOOKUP(Googleadssales[[#This Row],[Ad_ID]],'[1]pre processed data'!A:E,5,0)</f>
        <v>4790</v>
      </c>
      <c r="E1928" s="5" t="str">
        <f>VLOOKUP(Googleadssales[[#This Row],[Ad_ID]],[1]!Table3[[Ad_ID]:[Cost-imputed]],7,0)</f>
        <v>$182.49</v>
      </c>
      <c r="F1928" s="4">
        <f>VLOOKUP(Googleadssales[[#This Row],[Ad_ID]],'[1]pre processed data'!A:I,9,0)</f>
        <v>19</v>
      </c>
      <c r="G1928" s="4">
        <f>VLOOKUP(Googleadssales[[#This Row],[Ad_ID]],'[1]pre processed data'!A:K,11,0)</f>
        <v>5</v>
      </c>
      <c r="H1928" s="2">
        <f>Googleadssales[[#This Row],[Conversions]]/Googleadssales[[#This Row],[Clicks]]</f>
        <v>3.7313432835820892E-2</v>
      </c>
      <c r="I1928" t="str">
        <f>VLOOKUP(Googleadssales[[#This Row],[Ad_ID]],'[1]pre processed data'!A:O,15,0)</f>
        <v>$1082</v>
      </c>
      <c r="J1928" s="3">
        <f>VLOOKUP(Googleadssales[[#This Row],[Ad_ID]],'[1]pre processed data'!A:Q,17,0)</f>
        <v>45621</v>
      </c>
      <c r="K1928" t="str">
        <f>VLOOKUP(Googleadssales[[#This Row],[Ad_ID]],'[1]pre processed data'!A:R,18,0)</f>
        <v>Hyderabad</v>
      </c>
      <c r="L1928" t="str">
        <f>VLOOKUP(Googleadssales[[#This Row],[Ad_ID]],'[1]pre processed data'!A:S,19,0)</f>
        <v>Desktop</v>
      </c>
      <c r="M1928" t="str">
        <f>VLOOKUP(Googleadssales[[#This Row],[Ad_ID]],'[1]pre processed data'!A:T,20,0)</f>
        <v>analytics for data</v>
      </c>
    </row>
    <row r="1929" spans="1:13" x14ac:dyDescent="0.3">
      <c r="A1929" t="s">
        <v>1942</v>
      </c>
      <c r="B1929" t="s">
        <v>14</v>
      </c>
      <c r="C1929" s="4">
        <f>VLOOKUP(Googleadssales[[#This Row],[Ad_ID]],'[1]pre processed data'!A:C,3,0)</f>
        <v>198</v>
      </c>
      <c r="D1929" s="4">
        <f>VLOOKUP(Googleadssales[[#This Row],[Ad_ID]],'[1]pre processed data'!A:E,5,0)</f>
        <v>4953</v>
      </c>
      <c r="E1929" s="5" t="str">
        <f>VLOOKUP(Googleadssales[[#This Row],[Ad_ID]],[1]!Table3[[Ad_ID]:[Cost-imputed]],7,0)</f>
        <v>$201.7</v>
      </c>
      <c r="F1929" s="4">
        <f>VLOOKUP(Googleadssales[[#This Row],[Ad_ID]],'[1]pre processed data'!A:I,9,0)</f>
        <v>22</v>
      </c>
      <c r="G1929" s="4">
        <f>VLOOKUP(Googleadssales[[#This Row],[Ad_ID]],'[1]pre processed data'!A:K,11,0)</f>
        <v>8</v>
      </c>
      <c r="H1929" s="2">
        <f>Googleadssales[[#This Row],[Conversions]]/Googleadssales[[#This Row],[Clicks]]</f>
        <v>4.0404040404040407E-2</v>
      </c>
      <c r="I1929" t="str">
        <f>VLOOKUP(Googleadssales[[#This Row],[Ad_ID]],'[1]pre processed data'!A:O,15,0)</f>
        <v>$1716</v>
      </c>
      <c r="J1929" s="3">
        <f>VLOOKUP(Googleadssales[[#This Row],[Ad_ID]],'[1]pre processed data'!A:Q,17,0)</f>
        <v>45625</v>
      </c>
      <c r="K1929" t="str">
        <f>VLOOKUP(Googleadssales[[#This Row],[Ad_ID]],'[1]pre processed data'!A:R,18,0)</f>
        <v>Chennai</v>
      </c>
      <c r="L1929" t="str">
        <f>VLOOKUP(Googleadssales[[#This Row],[Ad_ID]],'[1]pre processed data'!A:S,19,0)</f>
        <v>Mobile</v>
      </c>
      <c r="M1929" t="str">
        <f>VLOOKUP(Googleadssales[[#This Row],[Ad_ID]],'[1]pre processed data'!A:T,20,0)</f>
        <v>data analytics training</v>
      </c>
    </row>
    <row r="1930" spans="1:13" x14ac:dyDescent="0.3">
      <c r="A1930" t="s">
        <v>1943</v>
      </c>
      <c r="B1930" t="s">
        <v>14</v>
      </c>
      <c r="C1930" s="4">
        <f>VLOOKUP(Googleadssales[[#This Row],[Ad_ID]],'[1]pre processed data'!A:C,3,0)</f>
        <v>142</v>
      </c>
      <c r="D1930" s="4">
        <f>VLOOKUP(Googleadssales[[#This Row],[Ad_ID]],'[1]pre processed data'!A:E,5,0)</f>
        <v>4818</v>
      </c>
      <c r="E1930" s="5" t="str">
        <f>VLOOKUP(Googleadssales[[#This Row],[Ad_ID]],[1]!Table3[[Ad_ID]:[Cost-imputed]],7,0)</f>
        <v>$233.74</v>
      </c>
      <c r="F1930" s="4">
        <f>VLOOKUP(Googleadssales[[#This Row],[Ad_ID]],'[1]pre processed data'!A:I,9,0)</f>
        <v>24</v>
      </c>
      <c r="G1930" s="4">
        <f>VLOOKUP(Googleadssales[[#This Row],[Ad_ID]],'[1]pre processed data'!A:K,11,0)</f>
        <v>5</v>
      </c>
      <c r="H1930" s="2">
        <f>Googleadssales[[#This Row],[Conversions]]/Googleadssales[[#This Row],[Clicks]]</f>
        <v>3.5211267605633804E-2</v>
      </c>
      <c r="I1930" t="str">
        <f>VLOOKUP(Googleadssales[[#This Row],[Ad_ID]],'[1]pre processed data'!A:O,15,0)</f>
        <v>$1575</v>
      </c>
      <c r="J1930" s="3">
        <f>VLOOKUP(Googleadssales[[#This Row],[Ad_ID]],'[1]pre processed data'!A:Q,17,0)</f>
        <v>45599</v>
      </c>
      <c r="K1930" t="str">
        <f>VLOOKUP(Googleadssales[[#This Row],[Ad_ID]],'[1]pre processed data'!A:R,18,0)</f>
        <v>Hyderabad</v>
      </c>
      <c r="L1930" t="str">
        <f>VLOOKUP(Googleadssales[[#This Row],[Ad_ID]],'[1]pre processed data'!A:S,19,0)</f>
        <v>Desktop</v>
      </c>
      <c r="M1930" t="str">
        <f>VLOOKUP(Googleadssales[[#This Row],[Ad_ID]],'[1]pre processed data'!A:T,20,0)</f>
        <v>analytics for data</v>
      </c>
    </row>
    <row r="1931" spans="1:13" x14ac:dyDescent="0.3">
      <c r="A1931" t="s">
        <v>1944</v>
      </c>
      <c r="B1931" t="s">
        <v>14</v>
      </c>
      <c r="C1931" s="4">
        <f>VLOOKUP(Googleadssales[[#This Row],[Ad_ID]],'[1]pre processed data'!A:C,3,0)</f>
        <v>91</v>
      </c>
      <c r="D1931" s="4">
        <f>VLOOKUP(Googleadssales[[#This Row],[Ad_ID]],'[1]pre processed data'!A:E,5,0)</f>
        <v>4394</v>
      </c>
      <c r="E1931" s="5" t="str">
        <f>VLOOKUP(Googleadssales[[#This Row],[Ad_ID]],[1]!Table3[[Ad_ID]:[Cost-imputed]],7,0)</f>
        <v>$200.00</v>
      </c>
      <c r="F1931" s="4">
        <f>VLOOKUP(Googleadssales[[#This Row],[Ad_ID]],'[1]pre processed data'!A:I,9,0)</f>
        <v>21</v>
      </c>
      <c r="G1931" s="4">
        <f>VLOOKUP(Googleadssales[[#This Row],[Ad_ID]],'[1]pre processed data'!A:K,11,0)</f>
        <v>6.5209302325581397</v>
      </c>
      <c r="H1931" s="2">
        <f>Googleadssales[[#This Row],[Conversions]]/Googleadssales[[#This Row],[Clicks]]</f>
        <v>7.1658573984155385E-2</v>
      </c>
      <c r="I1931" t="str">
        <f>VLOOKUP(Googleadssales[[#This Row],[Ad_ID]],'[1]pre processed data'!A:O,15,0)</f>
        <v>$1926</v>
      </c>
      <c r="J1931" s="3">
        <f>VLOOKUP(Googleadssales[[#This Row],[Ad_ID]],'[1]pre processed data'!A:Q,17,0)</f>
        <v>45611</v>
      </c>
      <c r="K1931" t="str">
        <f>VLOOKUP(Googleadssales[[#This Row],[Ad_ID]],'[1]pre processed data'!A:R,18,0)</f>
        <v>Hyderabad</v>
      </c>
      <c r="L1931" t="str">
        <f>VLOOKUP(Googleadssales[[#This Row],[Ad_ID]],'[1]pre processed data'!A:S,19,0)</f>
        <v>Tablet</v>
      </c>
      <c r="M1931" t="str">
        <f>VLOOKUP(Googleadssales[[#This Row],[Ad_ID]],'[1]pre processed data'!A:T,20,0)</f>
        <v>online data analytic</v>
      </c>
    </row>
    <row r="1932" spans="1:13" x14ac:dyDescent="0.3">
      <c r="A1932" t="s">
        <v>1945</v>
      </c>
      <c r="B1932" t="s">
        <v>14</v>
      </c>
      <c r="C1932" s="4">
        <f>VLOOKUP(Googleadssales[[#This Row],[Ad_ID]],'[1]pre processed data'!A:C,3,0)</f>
        <v>81</v>
      </c>
      <c r="D1932" s="4">
        <f>VLOOKUP(Googleadssales[[#This Row],[Ad_ID]],'[1]pre processed data'!A:E,5,0)</f>
        <v>3855</v>
      </c>
      <c r="E1932" s="5" t="str">
        <f>VLOOKUP(Googleadssales[[#This Row],[Ad_ID]],[1]!Table3[[Ad_ID]:[Cost-imputed]],7,0)</f>
        <v>$185.69</v>
      </c>
      <c r="F1932" s="4">
        <f>VLOOKUP(Googleadssales[[#This Row],[Ad_ID]],'[1]pre processed data'!A:I,9,0)</f>
        <v>21</v>
      </c>
      <c r="G1932" s="4">
        <f>VLOOKUP(Googleadssales[[#This Row],[Ad_ID]],'[1]pre processed data'!A:K,11,0)</f>
        <v>9</v>
      </c>
      <c r="H1932" s="2">
        <f>Googleadssales[[#This Row],[Conversions]]/Googleadssales[[#This Row],[Clicks]]</f>
        <v>0.1111111111111111</v>
      </c>
      <c r="I1932" t="str">
        <f>VLOOKUP(Googleadssales[[#This Row],[Ad_ID]],'[1]pre processed data'!A:O,15,0)</f>
        <v>$1310</v>
      </c>
      <c r="J1932" s="3">
        <f>VLOOKUP(Googleadssales[[#This Row],[Ad_ID]],'[1]pre processed data'!A:Q,17,0)</f>
        <v>45610</v>
      </c>
      <c r="K1932" t="str">
        <f>VLOOKUP(Googleadssales[[#This Row],[Ad_ID]],'[1]pre processed data'!A:R,18,0)</f>
        <v>Hyderabad</v>
      </c>
      <c r="L1932" t="str">
        <f>VLOOKUP(Googleadssales[[#This Row],[Ad_ID]],'[1]pre processed data'!A:S,19,0)</f>
        <v>Desktop</v>
      </c>
      <c r="M1932" t="str">
        <f>VLOOKUP(Googleadssales[[#This Row],[Ad_ID]],'[1]pre processed data'!A:T,20,0)</f>
        <v>learn data analytics</v>
      </c>
    </row>
    <row r="1933" spans="1:13" x14ac:dyDescent="0.3">
      <c r="A1933" t="s">
        <v>1946</v>
      </c>
      <c r="B1933" t="s">
        <v>18</v>
      </c>
      <c r="C1933" s="4">
        <f>VLOOKUP(Googleadssales[[#This Row],[Ad_ID]],'[1]pre processed data'!A:C,3,0)</f>
        <v>160</v>
      </c>
      <c r="D1933" s="4">
        <f>VLOOKUP(Googleadssales[[#This Row],[Ad_ID]],'[1]pre processed data'!A:E,5,0)</f>
        <v>3781</v>
      </c>
      <c r="E1933" s="5" t="str">
        <f>VLOOKUP(Googleadssales[[#This Row],[Ad_ID]],[1]!Table3[[Ad_ID]:[Cost-imputed]],7,0)</f>
        <v>$241.99</v>
      </c>
      <c r="F1933" s="4">
        <f>VLOOKUP(Googleadssales[[#This Row],[Ad_ID]],'[1]pre processed data'!A:I,9,0)</f>
        <v>23</v>
      </c>
      <c r="G1933" s="4">
        <f>VLOOKUP(Googleadssales[[#This Row],[Ad_ID]],'[1]pre processed data'!A:K,11,0)</f>
        <v>3</v>
      </c>
      <c r="H1933" s="2">
        <f>Googleadssales[[#This Row],[Conversions]]/Googleadssales[[#This Row],[Clicks]]</f>
        <v>1.8749999999999999E-2</v>
      </c>
      <c r="I1933" t="str">
        <f>VLOOKUP(Googleadssales[[#This Row],[Ad_ID]],'[1]pre processed data'!A:O,15,0)</f>
        <v>$1772</v>
      </c>
      <c r="J1933" s="3">
        <f>VLOOKUP(Googleadssales[[#This Row],[Ad_ID]],'[1]pre processed data'!A:Q,17,0)</f>
        <v>45601</v>
      </c>
      <c r="K1933" t="str">
        <f>VLOOKUP(Googleadssales[[#This Row],[Ad_ID]],'[1]pre processed data'!A:R,18,0)</f>
        <v>Hyderabad</v>
      </c>
      <c r="L1933" t="str">
        <f>VLOOKUP(Googleadssales[[#This Row],[Ad_ID]],'[1]pre processed data'!A:S,19,0)</f>
        <v>Tablet</v>
      </c>
      <c r="M1933" t="str">
        <f>VLOOKUP(Googleadssales[[#This Row],[Ad_ID]],'[1]pre processed data'!A:T,20,0)</f>
        <v>data analytics online</v>
      </c>
    </row>
    <row r="1934" spans="1:13" x14ac:dyDescent="0.3">
      <c r="A1934" t="s">
        <v>1947</v>
      </c>
      <c r="B1934" t="s">
        <v>14</v>
      </c>
      <c r="C1934" s="4">
        <f>VLOOKUP(Googleadssales[[#This Row],[Ad_ID]],'[1]pre processed data'!A:C,3,0)</f>
        <v>106</v>
      </c>
      <c r="D1934" s="4">
        <f>VLOOKUP(Googleadssales[[#This Row],[Ad_ID]],'[1]pre processed data'!A:E,5,0)</f>
        <v>3309</v>
      </c>
      <c r="E1934" s="5" t="str">
        <f>VLOOKUP(Googleadssales[[#This Row],[Ad_ID]],[1]!Table3[[Ad_ID]:[Cost-imputed]],7,0)</f>
        <v>$217.2</v>
      </c>
      <c r="F1934" s="4">
        <f>VLOOKUP(Googleadssales[[#This Row],[Ad_ID]],'[1]pre processed data'!A:I,9,0)</f>
        <v>25</v>
      </c>
      <c r="G1934" s="4">
        <f>VLOOKUP(Googleadssales[[#This Row],[Ad_ID]],'[1]pre processed data'!A:K,11,0)</f>
        <v>4</v>
      </c>
      <c r="H1934" s="2">
        <f>Googleadssales[[#This Row],[Conversions]]/Googleadssales[[#This Row],[Clicks]]</f>
        <v>3.7735849056603772E-2</v>
      </c>
      <c r="I1934" t="str">
        <f>VLOOKUP(Googleadssales[[#This Row],[Ad_ID]],'[1]pre processed data'!A:O,15,0)</f>
        <v>$1507</v>
      </c>
      <c r="J1934" s="3">
        <f>VLOOKUP(Googleadssales[[#This Row],[Ad_ID]],'[1]pre processed data'!A:Q,17,0)</f>
        <v>45599</v>
      </c>
      <c r="K1934" t="str">
        <f>VLOOKUP(Googleadssales[[#This Row],[Ad_ID]],'[1]pre processed data'!A:R,18,0)</f>
        <v>Hyderabad</v>
      </c>
      <c r="L1934" t="str">
        <f>VLOOKUP(Googleadssales[[#This Row],[Ad_ID]],'[1]pre processed data'!A:S,19,0)</f>
        <v>Tablet</v>
      </c>
      <c r="M1934" t="str">
        <f>VLOOKUP(Googleadssales[[#This Row],[Ad_ID]],'[1]pre processed data'!A:T,20,0)</f>
        <v>data analytics course</v>
      </c>
    </row>
    <row r="1935" spans="1:13" x14ac:dyDescent="0.3">
      <c r="A1935" t="s">
        <v>1948</v>
      </c>
      <c r="B1935" t="s">
        <v>14</v>
      </c>
      <c r="C1935" s="4">
        <f>VLOOKUP(Googleadssales[[#This Row],[Ad_ID]],'[1]pre processed data'!A:C,3,0)</f>
        <v>148</v>
      </c>
      <c r="D1935" s="4">
        <f>VLOOKUP(Googleadssales[[#This Row],[Ad_ID]],'[1]pre processed data'!A:E,5,0)</f>
        <v>4930</v>
      </c>
      <c r="E1935" s="5" t="str">
        <f>VLOOKUP(Googleadssales[[#This Row],[Ad_ID]],[1]!Table3[[Ad_ID]:[Cost-imputed]],7,0)</f>
        <v>$211.01</v>
      </c>
      <c r="F1935" s="4">
        <f>VLOOKUP(Googleadssales[[#This Row],[Ad_ID]],'[1]pre processed data'!A:I,9,0)</f>
        <v>24</v>
      </c>
      <c r="G1935" s="4">
        <f>VLOOKUP(Googleadssales[[#This Row],[Ad_ID]],'[1]pre processed data'!A:K,11,0)</f>
        <v>6</v>
      </c>
      <c r="H1935" s="2">
        <f>Googleadssales[[#This Row],[Conversions]]/Googleadssales[[#This Row],[Clicks]]</f>
        <v>4.0540540540540543E-2</v>
      </c>
      <c r="I1935" t="str">
        <f>VLOOKUP(Googleadssales[[#This Row],[Ad_ID]],'[1]pre processed data'!A:O,15,0)</f>
        <v>$1378</v>
      </c>
      <c r="J1935" s="3">
        <f>VLOOKUP(Googleadssales[[#This Row],[Ad_ID]],'[1]pre processed data'!A:Q,17,0)</f>
        <v>45615</v>
      </c>
      <c r="K1935" t="str">
        <f>VLOOKUP(Googleadssales[[#This Row],[Ad_ID]],'[1]pre processed data'!A:R,18,0)</f>
        <v>Bangaluru</v>
      </c>
      <c r="L1935" t="str">
        <f>VLOOKUP(Googleadssales[[#This Row],[Ad_ID]],'[1]pre processed data'!A:S,19,0)</f>
        <v>Mobile</v>
      </c>
      <c r="M1935" t="str">
        <f>VLOOKUP(Googleadssales[[#This Row],[Ad_ID]],'[1]pre processed data'!A:T,20,0)</f>
        <v>data analytics training</v>
      </c>
    </row>
    <row r="1936" spans="1:13" x14ac:dyDescent="0.3">
      <c r="A1936" t="s">
        <v>1949</v>
      </c>
      <c r="B1936" t="s">
        <v>14</v>
      </c>
      <c r="C1936" s="4">
        <f>VLOOKUP(Googleadssales[[#This Row],[Ad_ID]],'[1]pre processed data'!A:C,3,0)</f>
        <v>83</v>
      </c>
      <c r="D1936" s="4">
        <f>VLOOKUP(Googleadssales[[#This Row],[Ad_ID]],'[1]pre processed data'!A:E,5,0)</f>
        <v>4830</v>
      </c>
      <c r="E1936" s="5" t="str">
        <f>VLOOKUP(Googleadssales[[#This Row],[Ad_ID]],[1]!Table3[[Ad_ID]:[Cost-imputed]],7,0)</f>
        <v>$184.98</v>
      </c>
      <c r="F1936" s="4">
        <f>VLOOKUP(Googleadssales[[#This Row],[Ad_ID]],'[1]pre processed data'!A:I,9,0)</f>
        <v>12</v>
      </c>
      <c r="G1936" s="4">
        <f>VLOOKUP(Googleadssales[[#This Row],[Ad_ID]],'[1]pre processed data'!A:K,11,0)</f>
        <v>10</v>
      </c>
      <c r="H1936" s="2">
        <f>Googleadssales[[#This Row],[Conversions]]/Googleadssales[[#This Row],[Clicks]]</f>
        <v>0.12048192771084337</v>
      </c>
      <c r="I1936" t="str">
        <f>VLOOKUP(Googleadssales[[#This Row],[Ad_ID]],'[1]pre processed data'!A:O,15,0)</f>
        <v>$1041</v>
      </c>
      <c r="J1936" s="3">
        <f>VLOOKUP(Googleadssales[[#This Row],[Ad_ID]],'[1]pre processed data'!A:Q,17,0)</f>
        <v>45597</v>
      </c>
      <c r="K1936" t="str">
        <f>VLOOKUP(Googleadssales[[#This Row],[Ad_ID]],'[1]pre processed data'!A:R,18,0)</f>
        <v>Hyderabad</v>
      </c>
      <c r="L1936" t="str">
        <f>VLOOKUP(Googleadssales[[#This Row],[Ad_ID]],'[1]pre processed data'!A:S,19,0)</f>
        <v>Desktop</v>
      </c>
      <c r="M1936" t="str">
        <f>VLOOKUP(Googleadssales[[#This Row],[Ad_ID]],'[1]pre processed data'!A:T,20,0)</f>
        <v>learn data analytics</v>
      </c>
    </row>
    <row r="1937" spans="1:13" x14ac:dyDescent="0.3">
      <c r="A1937" t="s">
        <v>1950</v>
      </c>
      <c r="B1937" t="s">
        <v>14</v>
      </c>
      <c r="C1937" s="4">
        <f>VLOOKUP(Googleadssales[[#This Row],[Ad_ID]],'[1]pre processed data'!A:C,3,0)</f>
        <v>89</v>
      </c>
      <c r="D1937" s="4">
        <f>VLOOKUP(Googleadssales[[#This Row],[Ad_ID]],'[1]pre processed data'!A:E,5,0)</f>
        <v>5422</v>
      </c>
      <c r="E1937" s="5" t="str">
        <f>VLOOKUP(Googleadssales[[#This Row],[Ad_ID]],[1]!Table3[[Ad_ID]:[Cost-imputed]],7,0)</f>
        <v>$199.91</v>
      </c>
      <c r="F1937" s="4">
        <f>VLOOKUP(Googleadssales[[#This Row],[Ad_ID]],'[1]pre processed data'!A:I,9,0)</f>
        <v>12</v>
      </c>
      <c r="G1937" s="4">
        <f>VLOOKUP(Googleadssales[[#This Row],[Ad_ID]],'[1]pre processed data'!A:K,11,0)</f>
        <v>6</v>
      </c>
      <c r="H1937" s="2">
        <f>Googleadssales[[#This Row],[Conversions]]/Googleadssales[[#This Row],[Clicks]]</f>
        <v>6.741573033707865E-2</v>
      </c>
      <c r="I1937" t="str">
        <f>VLOOKUP(Googleadssales[[#This Row],[Ad_ID]],'[1]pre processed data'!A:O,15,0)</f>
        <v>$1903</v>
      </c>
      <c r="J1937" s="3">
        <f>VLOOKUP(Googleadssales[[#This Row],[Ad_ID]],'[1]pre processed data'!A:Q,17,0)</f>
        <v>45605</v>
      </c>
      <c r="K1937" t="str">
        <f>VLOOKUP(Googleadssales[[#This Row],[Ad_ID]],'[1]pre processed data'!A:R,18,0)</f>
        <v>Hyderabad</v>
      </c>
      <c r="L1937" t="str">
        <f>VLOOKUP(Googleadssales[[#This Row],[Ad_ID]],'[1]pre processed data'!A:S,19,0)</f>
        <v>Desktop</v>
      </c>
      <c r="M1937" t="str">
        <f>VLOOKUP(Googleadssales[[#This Row],[Ad_ID]],'[1]pre processed data'!A:T,20,0)</f>
        <v>data analytics training</v>
      </c>
    </row>
    <row r="1938" spans="1:13" x14ac:dyDescent="0.3">
      <c r="A1938" t="s">
        <v>1951</v>
      </c>
      <c r="B1938" t="s">
        <v>18</v>
      </c>
      <c r="C1938" s="4">
        <f>VLOOKUP(Googleadssales[[#This Row],[Ad_ID]],'[1]pre processed data'!A:C,3,0)</f>
        <v>123</v>
      </c>
      <c r="D1938" s="4">
        <f>VLOOKUP(Googleadssales[[#This Row],[Ad_ID]],'[1]pre processed data'!A:E,5,0)</f>
        <v>4658</v>
      </c>
      <c r="E1938" s="5" t="str">
        <f>VLOOKUP(Googleadssales[[#This Row],[Ad_ID]],[1]!Table3[[Ad_ID]:[Cost-imputed]],7,0)</f>
        <v>$211.76</v>
      </c>
      <c r="F1938" s="4">
        <f>VLOOKUP(Googleadssales[[#This Row],[Ad_ID]],'[1]pre processed data'!A:I,9,0)</f>
        <v>30</v>
      </c>
      <c r="G1938" s="4">
        <f>VLOOKUP(Googleadssales[[#This Row],[Ad_ID]],'[1]pre processed data'!A:K,11,0)</f>
        <v>3</v>
      </c>
      <c r="H1938" s="2">
        <f>Googleadssales[[#This Row],[Conversions]]/Googleadssales[[#This Row],[Clicks]]</f>
        <v>2.4390243902439025E-2</v>
      </c>
      <c r="I1938" t="str">
        <f>VLOOKUP(Googleadssales[[#This Row],[Ad_ID]],'[1]pre processed data'!A:O,15,0)</f>
        <v>$1201</v>
      </c>
      <c r="J1938" s="3">
        <f>VLOOKUP(Googleadssales[[#This Row],[Ad_ID]],'[1]pre processed data'!A:Q,17,0)</f>
        <v>45611</v>
      </c>
      <c r="K1938" t="str">
        <f>VLOOKUP(Googleadssales[[#This Row],[Ad_ID]],'[1]pre processed data'!A:R,18,0)</f>
        <v>Hyderabad</v>
      </c>
      <c r="L1938" t="str">
        <f>VLOOKUP(Googleadssales[[#This Row],[Ad_ID]],'[1]pre processed data'!A:S,19,0)</f>
        <v>Desktop</v>
      </c>
      <c r="M1938" t="str">
        <f>VLOOKUP(Googleadssales[[#This Row],[Ad_ID]],'[1]pre processed data'!A:T,20,0)</f>
        <v>online data analytic</v>
      </c>
    </row>
    <row r="1939" spans="1:13" x14ac:dyDescent="0.3">
      <c r="A1939" t="s">
        <v>1952</v>
      </c>
      <c r="B1939" t="s">
        <v>14</v>
      </c>
      <c r="C1939" s="4">
        <f>VLOOKUP(Googleadssales[[#This Row],[Ad_ID]],'[1]pre processed data'!A:C,3,0)</f>
        <v>103</v>
      </c>
      <c r="D1939" s="4">
        <f>VLOOKUP(Googleadssales[[#This Row],[Ad_ID]],'[1]pre processed data'!A:E,5,0)</f>
        <v>3249</v>
      </c>
      <c r="E1939" s="5" t="str">
        <f>VLOOKUP(Googleadssales[[#This Row],[Ad_ID]],[1]!Table3[[Ad_ID]:[Cost-imputed]],7,0)</f>
        <v>$232.85</v>
      </c>
      <c r="F1939" s="4">
        <f>VLOOKUP(Googleadssales[[#This Row],[Ad_ID]],'[1]pre processed data'!A:I,9,0)</f>
        <v>13</v>
      </c>
      <c r="G1939" s="4">
        <f>VLOOKUP(Googleadssales[[#This Row],[Ad_ID]],'[1]pre processed data'!A:K,11,0)</f>
        <v>4</v>
      </c>
      <c r="H1939" s="2">
        <f>Googleadssales[[#This Row],[Conversions]]/Googleadssales[[#This Row],[Clicks]]</f>
        <v>3.8834951456310676E-2</v>
      </c>
      <c r="I1939" t="str">
        <f>VLOOKUP(Googleadssales[[#This Row],[Ad_ID]],'[1]pre processed data'!A:O,15,0)</f>
        <v>$1397</v>
      </c>
      <c r="J1939" s="3">
        <f>VLOOKUP(Googleadssales[[#This Row],[Ad_ID]],'[1]pre processed data'!A:Q,17,0)</f>
        <v>45600</v>
      </c>
      <c r="K1939" t="str">
        <f>VLOOKUP(Googleadssales[[#This Row],[Ad_ID]],'[1]pre processed data'!A:R,18,0)</f>
        <v>Hyderabad</v>
      </c>
      <c r="L1939" t="str">
        <f>VLOOKUP(Googleadssales[[#This Row],[Ad_ID]],'[1]pre processed data'!A:S,19,0)</f>
        <v>Desktop</v>
      </c>
      <c r="M1939" t="str">
        <f>VLOOKUP(Googleadssales[[#This Row],[Ad_ID]],'[1]pre processed data'!A:T,20,0)</f>
        <v>data analytics course</v>
      </c>
    </row>
    <row r="1940" spans="1:13" x14ac:dyDescent="0.3">
      <c r="A1940" t="s">
        <v>1953</v>
      </c>
      <c r="B1940" t="s">
        <v>14</v>
      </c>
      <c r="C1940" s="4">
        <f>VLOOKUP(Googleadssales[[#This Row],[Ad_ID]],'[1]pre processed data'!A:C,3,0)</f>
        <v>130</v>
      </c>
      <c r="D1940" s="4">
        <f>VLOOKUP(Googleadssales[[#This Row],[Ad_ID]],'[1]pre processed data'!A:E,5,0)</f>
        <v>4393</v>
      </c>
      <c r="E1940" s="5" t="str">
        <f>VLOOKUP(Googleadssales[[#This Row],[Ad_ID]],[1]!Table3[[Ad_ID]:[Cost-imputed]],7,0)</f>
        <v>$198.66</v>
      </c>
      <c r="F1940" s="4">
        <f>VLOOKUP(Googleadssales[[#This Row],[Ad_ID]],'[1]pre processed data'!A:I,9,0)</f>
        <v>19</v>
      </c>
      <c r="G1940" s="4">
        <f>VLOOKUP(Googleadssales[[#This Row],[Ad_ID]],'[1]pre processed data'!A:K,11,0)</f>
        <v>7</v>
      </c>
      <c r="H1940" s="2">
        <f>Googleadssales[[#This Row],[Conversions]]/Googleadssales[[#This Row],[Clicks]]</f>
        <v>5.3846153846153849E-2</v>
      </c>
      <c r="I1940" t="str">
        <f>VLOOKUP(Googleadssales[[#This Row],[Ad_ID]],'[1]pre processed data'!A:O,15,0)</f>
        <v>$1236</v>
      </c>
      <c r="J1940" s="3">
        <f>VLOOKUP(Googleadssales[[#This Row],[Ad_ID]],'[1]pre processed data'!A:Q,17,0)</f>
        <v>45607</v>
      </c>
      <c r="K1940" t="str">
        <f>VLOOKUP(Googleadssales[[#This Row],[Ad_ID]],'[1]pre processed data'!A:R,18,0)</f>
        <v>Chennai</v>
      </c>
      <c r="L1940" t="str">
        <f>VLOOKUP(Googleadssales[[#This Row],[Ad_ID]],'[1]pre processed data'!A:S,19,0)</f>
        <v>Desktop</v>
      </c>
      <c r="M1940" t="str">
        <f>VLOOKUP(Googleadssales[[#This Row],[Ad_ID]],'[1]pre processed data'!A:T,20,0)</f>
        <v>data analytics online</v>
      </c>
    </row>
    <row r="1941" spans="1:13" x14ac:dyDescent="0.3">
      <c r="A1941" t="s">
        <v>1954</v>
      </c>
      <c r="B1941" t="s">
        <v>14</v>
      </c>
      <c r="C1941" s="4">
        <f>VLOOKUP(Googleadssales[[#This Row],[Ad_ID]],'[1]pre processed data'!A:C,3,0)</f>
        <v>193</v>
      </c>
      <c r="D1941" s="4">
        <f>VLOOKUP(Googleadssales[[#This Row],[Ad_ID]],'[1]pre processed data'!A:E,5,0)</f>
        <v>4953</v>
      </c>
      <c r="E1941" s="5" t="str">
        <f>VLOOKUP(Googleadssales[[#This Row],[Ad_ID]],[1]!Table3[[Ad_ID]:[Cost-imputed]],7,0)</f>
        <v>$243.75</v>
      </c>
      <c r="F1941" s="4">
        <f>VLOOKUP(Googleadssales[[#This Row],[Ad_ID]],'[1]pre processed data'!A:I,9,0)</f>
        <v>14</v>
      </c>
      <c r="G1941" s="4">
        <f>VLOOKUP(Googleadssales[[#This Row],[Ad_ID]],'[1]pre processed data'!A:K,11,0)</f>
        <v>3</v>
      </c>
      <c r="H1941" s="2">
        <f>Googleadssales[[#This Row],[Conversions]]/Googleadssales[[#This Row],[Clicks]]</f>
        <v>1.5544041450777202E-2</v>
      </c>
      <c r="I1941" t="str">
        <f>VLOOKUP(Googleadssales[[#This Row],[Ad_ID]],'[1]pre processed data'!A:O,15,0)</f>
        <v>$1118</v>
      </c>
      <c r="J1941" s="3">
        <f>VLOOKUP(Googleadssales[[#This Row],[Ad_ID]],'[1]pre processed data'!A:Q,17,0)</f>
        <v>45600</v>
      </c>
      <c r="K1941" t="str">
        <f>VLOOKUP(Googleadssales[[#This Row],[Ad_ID]],'[1]pre processed data'!A:R,18,0)</f>
        <v>Chennai</v>
      </c>
      <c r="L1941" t="str">
        <f>VLOOKUP(Googleadssales[[#This Row],[Ad_ID]],'[1]pre processed data'!A:S,19,0)</f>
        <v>Mobile</v>
      </c>
      <c r="M1941" t="str">
        <f>VLOOKUP(Googleadssales[[#This Row],[Ad_ID]],'[1]pre processed data'!A:T,20,0)</f>
        <v>analytics for data</v>
      </c>
    </row>
    <row r="1942" spans="1:13" x14ac:dyDescent="0.3">
      <c r="A1942" t="s">
        <v>1955</v>
      </c>
      <c r="B1942" t="s">
        <v>14</v>
      </c>
      <c r="C1942" s="4">
        <f>VLOOKUP(Googleadssales[[#This Row],[Ad_ID]],'[1]pre processed data'!A:C,3,0)</f>
        <v>185</v>
      </c>
      <c r="D1942" s="4">
        <f>VLOOKUP(Googleadssales[[#This Row],[Ad_ID]],'[1]pre processed data'!A:E,5,0)</f>
        <v>5208</v>
      </c>
      <c r="E1942" s="5" t="str">
        <f>VLOOKUP(Googleadssales[[#This Row],[Ad_ID]],[1]!Table3[[Ad_ID]:[Cost-imputed]],7,0)</f>
        <v>$227.26</v>
      </c>
      <c r="F1942" s="4">
        <f>VLOOKUP(Googleadssales[[#This Row],[Ad_ID]],'[1]pre processed data'!A:I,9,0)</f>
        <v>16</v>
      </c>
      <c r="G1942" s="4">
        <f>VLOOKUP(Googleadssales[[#This Row],[Ad_ID]],'[1]pre processed data'!A:K,11,0)</f>
        <v>4</v>
      </c>
      <c r="H1942" s="2">
        <f>Googleadssales[[#This Row],[Conversions]]/Googleadssales[[#This Row],[Clicks]]</f>
        <v>2.1621621621621623E-2</v>
      </c>
      <c r="I1942" t="str">
        <f>VLOOKUP(Googleadssales[[#This Row],[Ad_ID]],'[1]pre processed data'!A:O,15,0)</f>
        <v>$1953</v>
      </c>
      <c r="J1942" s="3">
        <f>VLOOKUP(Googleadssales[[#This Row],[Ad_ID]],'[1]pre processed data'!A:Q,17,0)</f>
        <v>45604</v>
      </c>
      <c r="K1942" t="str">
        <f>VLOOKUP(Googleadssales[[#This Row],[Ad_ID]],'[1]pre processed data'!A:R,18,0)</f>
        <v>Chennai</v>
      </c>
      <c r="L1942" t="str">
        <f>VLOOKUP(Googleadssales[[#This Row],[Ad_ID]],'[1]pre processed data'!A:S,19,0)</f>
        <v>Mobile</v>
      </c>
      <c r="M1942" t="str">
        <f>VLOOKUP(Googleadssales[[#This Row],[Ad_ID]],'[1]pre processed data'!A:T,20,0)</f>
        <v>data analytics training</v>
      </c>
    </row>
    <row r="1943" spans="1:13" x14ac:dyDescent="0.3">
      <c r="A1943" t="s">
        <v>1956</v>
      </c>
      <c r="B1943" t="s">
        <v>14</v>
      </c>
      <c r="C1943" s="4">
        <f>VLOOKUP(Googleadssales[[#This Row],[Ad_ID]],'[1]pre processed data'!A:C,3,0)</f>
        <v>163</v>
      </c>
      <c r="D1943" s="4">
        <f>VLOOKUP(Googleadssales[[#This Row],[Ad_ID]],'[1]pre processed data'!A:E,5,0)</f>
        <v>4114</v>
      </c>
      <c r="E1943" s="5" t="str">
        <f>VLOOKUP(Googleadssales[[#This Row],[Ad_ID]],[1]!Table3[[Ad_ID]:[Cost-imputed]],7,0)</f>
        <v>$224.8</v>
      </c>
      <c r="F1943" s="4">
        <f>VLOOKUP(Googleadssales[[#This Row],[Ad_ID]],'[1]pre processed data'!A:I,9,0)</f>
        <v>18</v>
      </c>
      <c r="G1943" s="4">
        <f>VLOOKUP(Googleadssales[[#This Row],[Ad_ID]],'[1]pre processed data'!A:K,11,0)</f>
        <v>8</v>
      </c>
      <c r="H1943" s="2">
        <f>Googleadssales[[#This Row],[Conversions]]/Googleadssales[[#This Row],[Clicks]]</f>
        <v>4.9079754601226995E-2</v>
      </c>
      <c r="I1943" t="str">
        <f>VLOOKUP(Googleadssales[[#This Row],[Ad_ID]],'[1]pre processed data'!A:O,15,0)</f>
        <v>$1493</v>
      </c>
      <c r="J1943" s="3">
        <f>VLOOKUP(Googleadssales[[#This Row],[Ad_ID]],'[1]pre processed data'!A:Q,17,0)</f>
        <v>45620</v>
      </c>
      <c r="K1943" t="str">
        <f>VLOOKUP(Googleadssales[[#This Row],[Ad_ID]],'[1]pre processed data'!A:R,18,0)</f>
        <v>Hyderabad</v>
      </c>
      <c r="L1943" t="str">
        <f>VLOOKUP(Googleadssales[[#This Row],[Ad_ID]],'[1]pre processed data'!A:S,19,0)</f>
        <v>Desktop</v>
      </c>
      <c r="M1943" t="str">
        <f>VLOOKUP(Googleadssales[[#This Row],[Ad_ID]],'[1]pre processed data'!A:T,20,0)</f>
        <v>online data analytic</v>
      </c>
    </row>
    <row r="1944" spans="1:13" x14ac:dyDescent="0.3">
      <c r="A1944" t="s">
        <v>1957</v>
      </c>
      <c r="B1944" t="s">
        <v>18</v>
      </c>
      <c r="C1944" s="4">
        <f>VLOOKUP(Googleadssales[[#This Row],[Ad_ID]],'[1]pre processed data'!A:C,3,0)</f>
        <v>197</v>
      </c>
      <c r="D1944" s="4">
        <f>VLOOKUP(Googleadssales[[#This Row],[Ad_ID]],'[1]pre processed data'!A:E,5,0)</f>
        <v>3508</v>
      </c>
      <c r="E1944" s="5" t="str">
        <f>VLOOKUP(Googleadssales[[#This Row],[Ad_ID]],[1]!Table3[[Ad_ID]:[Cost-imputed]],7,0)</f>
        <v>$181.04</v>
      </c>
      <c r="F1944" s="4">
        <f>VLOOKUP(Googleadssales[[#This Row],[Ad_ID]],'[1]pre processed data'!A:I,9,0)</f>
        <v>20</v>
      </c>
      <c r="G1944" s="4">
        <f>VLOOKUP(Googleadssales[[#This Row],[Ad_ID]],'[1]pre processed data'!A:K,11,0)</f>
        <v>4</v>
      </c>
      <c r="H1944" s="2">
        <f>Googleadssales[[#This Row],[Conversions]]/Googleadssales[[#This Row],[Clicks]]</f>
        <v>2.030456852791878E-2</v>
      </c>
      <c r="I1944" t="str">
        <f>VLOOKUP(Googleadssales[[#This Row],[Ad_ID]],'[1]pre processed data'!A:O,15,0)</f>
        <v>$1824</v>
      </c>
      <c r="J1944" s="3">
        <f>VLOOKUP(Googleadssales[[#This Row],[Ad_ID]],'[1]pre processed data'!A:Q,17,0)</f>
        <v>45612</v>
      </c>
      <c r="K1944" t="str">
        <f>VLOOKUP(Googleadssales[[#This Row],[Ad_ID]],'[1]pre processed data'!A:R,18,0)</f>
        <v>Hyderabad</v>
      </c>
      <c r="L1944" t="str">
        <f>VLOOKUP(Googleadssales[[#This Row],[Ad_ID]],'[1]pre processed data'!A:S,19,0)</f>
        <v>Mobile</v>
      </c>
      <c r="M1944" t="str">
        <f>VLOOKUP(Googleadssales[[#This Row],[Ad_ID]],'[1]pre processed data'!A:T,20,0)</f>
        <v>data analytics training</v>
      </c>
    </row>
    <row r="1945" spans="1:13" x14ac:dyDescent="0.3">
      <c r="A1945" t="s">
        <v>1958</v>
      </c>
      <c r="B1945" t="s">
        <v>14</v>
      </c>
      <c r="C1945" s="4">
        <f>VLOOKUP(Googleadssales[[#This Row],[Ad_ID]],'[1]pre processed data'!A:C,3,0)</f>
        <v>89</v>
      </c>
      <c r="D1945" s="4">
        <f>VLOOKUP(Googleadssales[[#This Row],[Ad_ID]],'[1]pre processed data'!A:E,5,0)</f>
        <v>5733</v>
      </c>
      <c r="E1945" s="5" t="str">
        <f>VLOOKUP(Googleadssales[[#This Row],[Ad_ID]],[1]!Table3[[Ad_ID]:[Cost-imputed]],7,0)</f>
        <v>$215.33</v>
      </c>
      <c r="F1945" s="4">
        <f>VLOOKUP(Googleadssales[[#This Row],[Ad_ID]],'[1]pre processed data'!A:I,9,0)</f>
        <v>22</v>
      </c>
      <c r="G1945" s="4">
        <f>VLOOKUP(Googleadssales[[#This Row],[Ad_ID]],'[1]pre processed data'!A:K,11,0)</f>
        <v>9</v>
      </c>
      <c r="H1945" s="2">
        <f>Googleadssales[[#This Row],[Conversions]]/Googleadssales[[#This Row],[Clicks]]</f>
        <v>0.10112359550561797</v>
      </c>
      <c r="I1945" t="str">
        <f>VLOOKUP(Googleadssales[[#This Row],[Ad_ID]],'[1]pre processed data'!A:O,15,0)</f>
        <v>$1323</v>
      </c>
      <c r="J1945" s="3">
        <f>VLOOKUP(Googleadssales[[#This Row],[Ad_ID]],'[1]pre processed data'!A:Q,17,0)</f>
        <v>45611</v>
      </c>
      <c r="K1945" t="str">
        <f>VLOOKUP(Googleadssales[[#This Row],[Ad_ID]],'[1]pre processed data'!A:R,18,0)</f>
        <v>Hyderabad</v>
      </c>
      <c r="L1945" t="str">
        <f>VLOOKUP(Googleadssales[[#This Row],[Ad_ID]],'[1]pre processed data'!A:S,19,0)</f>
        <v>Tablet</v>
      </c>
      <c r="M1945" t="str">
        <f>VLOOKUP(Googleadssales[[#This Row],[Ad_ID]],'[1]pre processed data'!A:T,20,0)</f>
        <v>data analytics online</v>
      </c>
    </row>
    <row r="1946" spans="1:13" x14ac:dyDescent="0.3">
      <c r="A1946" t="s">
        <v>1959</v>
      </c>
      <c r="B1946" t="s">
        <v>14</v>
      </c>
      <c r="C1946" s="4">
        <f>VLOOKUP(Googleadssales[[#This Row],[Ad_ID]],'[1]pre processed data'!A:C,3,0)</f>
        <v>99</v>
      </c>
      <c r="D1946" s="4">
        <f>VLOOKUP(Googleadssales[[#This Row],[Ad_ID]],'[1]pre processed data'!A:E,5,0)</f>
        <v>3948</v>
      </c>
      <c r="E1946" s="5" t="str">
        <f>VLOOKUP(Googleadssales[[#This Row],[Ad_ID]],[1]!Table3[[Ad_ID]:[Cost-imputed]],7,0)</f>
        <v>$198.65</v>
      </c>
      <c r="F1946" s="4">
        <f>VLOOKUP(Googleadssales[[#This Row],[Ad_ID]],'[1]pre processed data'!A:I,9,0)</f>
        <v>22</v>
      </c>
      <c r="G1946" s="4">
        <f>VLOOKUP(Googleadssales[[#This Row],[Ad_ID]],'[1]pre processed data'!A:K,11,0)</f>
        <v>4</v>
      </c>
      <c r="H1946" s="2">
        <f>Googleadssales[[#This Row],[Conversions]]/Googleadssales[[#This Row],[Clicks]]</f>
        <v>4.0404040404040407E-2</v>
      </c>
      <c r="I1946" t="str">
        <f>VLOOKUP(Googleadssales[[#This Row],[Ad_ID]],'[1]pre processed data'!A:O,15,0)</f>
        <v>$1444</v>
      </c>
      <c r="J1946" s="3">
        <f>VLOOKUP(Googleadssales[[#This Row],[Ad_ID]],'[1]pre processed data'!A:Q,17,0)</f>
        <v>45615</v>
      </c>
      <c r="K1946" t="str">
        <f>VLOOKUP(Googleadssales[[#This Row],[Ad_ID]],'[1]pre processed data'!A:R,18,0)</f>
        <v>Chennai</v>
      </c>
      <c r="L1946" t="str">
        <f>VLOOKUP(Googleadssales[[#This Row],[Ad_ID]],'[1]pre processed data'!A:S,19,0)</f>
        <v>Mobile</v>
      </c>
      <c r="M1946" t="str">
        <f>VLOOKUP(Googleadssales[[#This Row],[Ad_ID]],'[1]pre processed data'!A:T,20,0)</f>
        <v>data analytics training</v>
      </c>
    </row>
    <row r="1947" spans="1:13" x14ac:dyDescent="0.3">
      <c r="A1947" t="s">
        <v>1960</v>
      </c>
      <c r="B1947" t="s">
        <v>14</v>
      </c>
      <c r="C1947" s="4">
        <f>VLOOKUP(Googleadssales[[#This Row],[Ad_ID]],'[1]pre processed data'!A:C,3,0)</f>
        <v>110</v>
      </c>
      <c r="D1947" s="4">
        <f>VLOOKUP(Googleadssales[[#This Row],[Ad_ID]],'[1]pre processed data'!A:E,5,0)</f>
        <v>4488</v>
      </c>
      <c r="E1947" s="5" t="str">
        <f>VLOOKUP(Googleadssales[[#This Row],[Ad_ID]],[1]!Table3[[Ad_ID]:[Cost-imputed]],7,0)</f>
        <v>$210.69</v>
      </c>
      <c r="F1947" s="4">
        <f>VLOOKUP(Googleadssales[[#This Row],[Ad_ID]],'[1]pre processed data'!A:I,9,0)</f>
        <v>27</v>
      </c>
      <c r="G1947" s="4">
        <f>VLOOKUP(Googleadssales[[#This Row],[Ad_ID]],'[1]pre processed data'!A:K,11,0)</f>
        <v>10</v>
      </c>
      <c r="H1947" s="2">
        <f>Googleadssales[[#This Row],[Conversions]]/Googleadssales[[#This Row],[Clicks]]</f>
        <v>9.0909090909090912E-2</v>
      </c>
      <c r="I1947" t="str">
        <f>VLOOKUP(Googleadssales[[#This Row],[Ad_ID]],'[1]pre processed data'!A:O,15,0)</f>
        <v>$1872</v>
      </c>
      <c r="J1947" s="3">
        <f>VLOOKUP(Googleadssales[[#This Row],[Ad_ID]],'[1]pre processed data'!A:Q,17,0)</f>
        <v>45608</v>
      </c>
      <c r="K1947" t="str">
        <f>VLOOKUP(Googleadssales[[#This Row],[Ad_ID]],'[1]pre processed data'!A:R,18,0)</f>
        <v>Chennai</v>
      </c>
      <c r="L1947" t="str">
        <f>VLOOKUP(Googleadssales[[#This Row],[Ad_ID]],'[1]pre processed data'!A:S,19,0)</f>
        <v>Mobile</v>
      </c>
      <c r="M1947" t="str">
        <f>VLOOKUP(Googleadssales[[#This Row],[Ad_ID]],'[1]pre processed data'!A:T,20,0)</f>
        <v>data analytics training</v>
      </c>
    </row>
    <row r="1948" spans="1:13" x14ac:dyDescent="0.3">
      <c r="A1948" t="s">
        <v>1961</v>
      </c>
      <c r="B1948" t="s">
        <v>14</v>
      </c>
      <c r="C1948" s="4">
        <f>VLOOKUP(Googleadssales[[#This Row],[Ad_ID]],'[1]pre processed data'!A:C,3,0)</f>
        <v>124</v>
      </c>
      <c r="D1948" s="4">
        <f>VLOOKUP(Googleadssales[[#This Row],[Ad_ID]],'[1]pre processed data'!A:E,5,0)</f>
        <v>4747</v>
      </c>
      <c r="E1948" s="5" t="str">
        <f>VLOOKUP(Googleadssales[[#This Row],[Ad_ID]],[1]!Table3[[Ad_ID]:[Cost-imputed]],7,0)</f>
        <v>$234.97</v>
      </c>
      <c r="F1948" s="4">
        <f>VLOOKUP(Googleadssales[[#This Row],[Ad_ID]],'[1]pre processed data'!A:I,9,0)</f>
        <v>24</v>
      </c>
      <c r="G1948" s="4">
        <f>VLOOKUP(Googleadssales[[#This Row],[Ad_ID]],'[1]pre processed data'!A:K,11,0)</f>
        <v>10</v>
      </c>
      <c r="H1948" s="2">
        <f>Googleadssales[[#This Row],[Conversions]]/Googleadssales[[#This Row],[Clicks]]</f>
        <v>8.0645161290322578E-2</v>
      </c>
      <c r="I1948" t="str">
        <f>VLOOKUP(Googleadssales[[#This Row],[Ad_ID]],'[1]pre processed data'!A:O,15,0)</f>
        <v>$1500</v>
      </c>
      <c r="J1948" s="3">
        <f>VLOOKUP(Googleadssales[[#This Row],[Ad_ID]],'[1]pre processed data'!A:Q,17,0)</f>
        <v>45613</v>
      </c>
      <c r="K1948" t="str">
        <f>VLOOKUP(Googleadssales[[#This Row],[Ad_ID]],'[1]pre processed data'!A:R,18,0)</f>
        <v>Hyderabad</v>
      </c>
      <c r="L1948" t="str">
        <f>VLOOKUP(Googleadssales[[#This Row],[Ad_ID]],'[1]pre processed data'!A:S,19,0)</f>
        <v>Desktop</v>
      </c>
      <c r="M1948" t="str">
        <f>VLOOKUP(Googleadssales[[#This Row],[Ad_ID]],'[1]pre processed data'!A:T,20,0)</f>
        <v>online data analytic</v>
      </c>
    </row>
    <row r="1949" spans="1:13" x14ac:dyDescent="0.3">
      <c r="A1949" t="s">
        <v>1962</v>
      </c>
      <c r="B1949" t="s">
        <v>14</v>
      </c>
      <c r="C1949" s="4">
        <f>VLOOKUP(Googleadssales[[#This Row],[Ad_ID]],'[1]pre processed data'!A:C,3,0)</f>
        <v>120</v>
      </c>
      <c r="D1949" s="4">
        <f>VLOOKUP(Googleadssales[[#This Row],[Ad_ID]],'[1]pre processed data'!A:E,5,0)</f>
        <v>5363</v>
      </c>
      <c r="E1949" s="5" t="str">
        <f>VLOOKUP(Googleadssales[[#This Row],[Ad_ID]],[1]!Table3[[Ad_ID]:[Cost-imputed]],7,0)</f>
        <v>$221.17</v>
      </c>
      <c r="F1949" s="4">
        <f>VLOOKUP(Googleadssales[[#This Row],[Ad_ID]],'[1]pre processed data'!A:I,9,0)</f>
        <v>17</v>
      </c>
      <c r="G1949" s="4">
        <f>VLOOKUP(Googleadssales[[#This Row],[Ad_ID]],'[1]pre processed data'!A:K,11,0)</f>
        <v>4</v>
      </c>
      <c r="H1949" s="2">
        <f>Googleadssales[[#This Row],[Conversions]]/Googleadssales[[#This Row],[Clicks]]</f>
        <v>3.3333333333333333E-2</v>
      </c>
      <c r="I1949" t="str">
        <f>VLOOKUP(Googleadssales[[#This Row],[Ad_ID]],'[1]pre processed data'!A:O,15,0)</f>
        <v>$1345</v>
      </c>
      <c r="J1949" s="3">
        <f>VLOOKUP(Googleadssales[[#This Row],[Ad_ID]],'[1]pre processed data'!A:Q,17,0)</f>
        <v>45604</v>
      </c>
      <c r="K1949" t="str">
        <f>VLOOKUP(Googleadssales[[#This Row],[Ad_ID]],'[1]pre processed data'!A:R,18,0)</f>
        <v>Chennai</v>
      </c>
      <c r="L1949" t="str">
        <f>VLOOKUP(Googleadssales[[#This Row],[Ad_ID]],'[1]pre processed data'!A:S,19,0)</f>
        <v>Tablet</v>
      </c>
      <c r="M1949" t="str">
        <f>VLOOKUP(Googleadssales[[#This Row],[Ad_ID]],'[1]pre processed data'!A:T,20,0)</f>
        <v>analytics for data</v>
      </c>
    </row>
    <row r="1950" spans="1:13" x14ac:dyDescent="0.3">
      <c r="A1950" t="s">
        <v>1963</v>
      </c>
      <c r="B1950" t="s">
        <v>14</v>
      </c>
      <c r="C1950" s="4">
        <f>VLOOKUP(Googleadssales[[#This Row],[Ad_ID]],'[1]pre processed data'!A:C,3,0)</f>
        <v>97</v>
      </c>
      <c r="D1950" s="4">
        <f>VLOOKUP(Googleadssales[[#This Row],[Ad_ID]],'[1]pre processed data'!A:E,5,0)</f>
        <v>4523.2808326787117</v>
      </c>
      <c r="E1950" s="5" t="str">
        <f>VLOOKUP(Googleadssales[[#This Row],[Ad_ID]],[1]!Table3[[Ad_ID]:[Cost-imputed]],7,0)</f>
        <v>$184.76</v>
      </c>
      <c r="F1950" s="4">
        <f>VLOOKUP(Googleadssales[[#This Row],[Ad_ID]],'[1]pre processed data'!A:I,9,0)</f>
        <v>25</v>
      </c>
      <c r="G1950" s="4">
        <f>VLOOKUP(Googleadssales[[#This Row],[Ad_ID]],'[1]pre processed data'!A:K,11,0)</f>
        <v>10</v>
      </c>
      <c r="H1950" s="2">
        <f>Googleadssales[[#This Row],[Conversions]]/Googleadssales[[#This Row],[Clicks]]</f>
        <v>0.10309278350515463</v>
      </c>
      <c r="I1950" t="str">
        <f>VLOOKUP(Googleadssales[[#This Row],[Ad_ID]],'[1]pre processed data'!A:O,15,0)</f>
        <v>$1500</v>
      </c>
      <c r="J1950" s="3">
        <f>VLOOKUP(Googleadssales[[#This Row],[Ad_ID]],'[1]pre processed data'!A:Q,17,0)</f>
        <v>45610</v>
      </c>
      <c r="K1950" t="str">
        <f>VLOOKUP(Googleadssales[[#This Row],[Ad_ID]],'[1]pre processed data'!A:R,18,0)</f>
        <v>Hyderabad</v>
      </c>
      <c r="L1950" t="str">
        <f>VLOOKUP(Googleadssales[[#This Row],[Ad_ID]],'[1]pre processed data'!A:S,19,0)</f>
        <v>Tablet</v>
      </c>
      <c r="M1950" t="str">
        <f>VLOOKUP(Googleadssales[[#This Row],[Ad_ID]],'[1]pre processed data'!A:T,20,0)</f>
        <v>data analytics online</v>
      </c>
    </row>
    <row r="1951" spans="1:13" x14ac:dyDescent="0.3">
      <c r="A1951" t="s">
        <v>1964</v>
      </c>
      <c r="B1951" t="s">
        <v>14</v>
      </c>
      <c r="C1951" s="4">
        <f>VLOOKUP(Googleadssales[[#This Row],[Ad_ID]],'[1]pre processed data'!A:C,3,0)</f>
        <v>108</v>
      </c>
      <c r="D1951" s="4">
        <f>VLOOKUP(Googleadssales[[#This Row],[Ad_ID]],'[1]pre processed data'!A:E,5,0)</f>
        <v>5611</v>
      </c>
      <c r="E1951" s="5" t="str">
        <f>VLOOKUP(Googleadssales[[#This Row],[Ad_ID]],[1]!Table3[[Ad_ID]:[Cost-imputed]],7,0)</f>
        <v>$224.38</v>
      </c>
      <c r="F1951" s="4">
        <f>VLOOKUP(Googleadssales[[#This Row],[Ad_ID]],'[1]pre processed data'!A:I,9,0)</f>
        <v>29</v>
      </c>
      <c r="G1951" s="4">
        <f>VLOOKUP(Googleadssales[[#This Row],[Ad_ID]],'[1]pre processed data'!A:K,11,0)</f>
        <v>8</v>
      </c>
      <c r="H1951" s="2">
        <f>Googleadssales[[#This Row],[Conversions]]/Googleadssales[[#This Row],[Clicks]]</f>
        <v>7.407407407407407E-2</v>
      </c>
      <c r="I1951" t="str">
        <f>VLOOKUP(Googleadssales[[#This Row],[Ad_ID]],'[1]pre processed data'!A:O,15,0)</f>
        <v>$1886</v>
      </c>
      <c r="J1951" s="3">
        <f>VLOOKUP(Googleadssales[[#This Row],[Ad_ID]],'[1]pre processed data'!A:Q,17,0)</f>
        <v>45607</v>
      </c>
      <c r="K1951" t="str">
        <f>VLOOKUP(Googleadssales[[#This Row],[Ad_ID]],'[1]pre processed data'!A:R,18,0)</f>
        <v>Bangaluru</v>
      </c>
      <c r="L1951" t="str">
        <f>VLOOKUP(Googleadssales[[#This Row],[Ad_ID]],'[1]pre processed data'!A:S,19,0)</f>
        <v>Mobile</v>
      </c>
      <c r="M1951" t="str">
        <f>VLOOKUP(Googleadssales[[#This Row],[Ad_ID]],'[1]pre processed data'!A:T,20,0)</f>
        <v>analytics for data</v>
      </c>
    </row>
    <row r="1952" spans="1:13" x14ac:dyDescent="0.3">
      <c r="A1952" t="s">
        <v>1965</v>
      </c>
      <c r="B1952" t="s">
        <v>14</v>
      </c>
      <c r="C1952" s="4">
        <f>VLOOKUP(Googleadssales[[#This Row],[Ad_ID]],'[1]pre processed data'!A:C,3,0)</f>
        <v>143</v>
      </c>
      <c r="D1952" s="4">
        <f>VLOOKUP(Googleadssales[[#This Row],[Ad_ID]],'[1]pre processed data'!A:E,5,0)</f>
        <v>4788</v>
      </c>
      <c r="E1952" s="5" t="str">
        <f>VLOOKUP(Googleadssales[[#This Row],[Ad_ID]],[1]!Table3[[Ad_ID]:[Cost-imputed]],7,0)</f>
        <v>$213.2</v>
      </c>
      <c r="F1952" s="4">
        <f>VLOOKUP(Googleadssales[[#This Row],[Ad_ID]],'[1]pre processed data'!A:I,9,0)</f>
        <v>24</v>
      </c>
      <c r="G1952" s="4">
        <f>VLOOKUP(Googleadssales[[#This Row],[Ad_ID]],'[1]pre processed data'!A:K,11,0)</f>
        <v>7</v>
      </c>
      <c r="H1952" s="2">
        <f>Googleadssales[[#This Row],[Conversions]]/Googleadssales[[#This Row],[Clicks]]</f>
        <v>4.8951048951048952E-2</v>
      </c>
      <c r="I1952" t="str">
        <f>VLOOKUP(Googleadssales[[#This Row],[Ad_ID]],'[1]pre processed data'!A:O,15,0)</f>
        <v>$1359</v>
      </c>
      <c r="J1952" s="3">
        <f>VLOOKUP(Googleadssales[[#This Row],[Ad_ID]],'[1]pre processed data'!A:Q,17,0)</f>
        <v>45597</v>
      </c>
      <c r="K1952" t="str">
        <f>VLOOKUP(Googleadssales[[#This Row],[Ad_ID]],'[1]pre processed data'!A:R,18,0)</f>
        <v>Bangaluru</v>
      </c>
      <c r="L1952" t="str">
        <f>VLOOKUP(Googleadssales[[#This Row],[Ad_ID]],'[1]pre processed data'!A:S,19,0)</f>
        <v>Desktop</v>
      </c>
      <c r="M1952" t="str">
        <f>VLOOKUP(Googleadssales[[#This Row],[Ad_ID]],'[1]pre processed data'!A:T,20,0)</f>
        <v>analytics for data</v>
      </c>
    </row>
    <row r="1953" spans="1:13" x14ac:dyDescent="0.3">
      <c r="A1953" t="s">
        <v>1966</v>
      </c>
      <c r="B1953" t="s">
        <v>14</v>
      </c>
      <c r="C1953" s="4">
        <f>VLOOKUP(Googleadssales[[#This Row],[Ad_ID]],'[1]pre processed data'!A:C,3,0)</f>
        <v>129</v>
      </c>
      <c r="D1953" s="4">
        <f>VLOOKUP(Googleadssales[[#This Row],[Ad_ID]],'[1]pre processed data'!A:E,5,0)</f>
        <v>5899</v>
      </c>
      <c r="E1953" s="5" t="str">
        <f>VLOOKUP(Googleadssales[[#This Row],[Ad_ID]],[1]!Table3[[Ad_ID]:[Cost-imputed]],7,0)</f>
        <v>$216.85</v>
      </c>
      <c r="F1953" s="4">
        <f>VLOOKUP(Googleadssales[[#This Row],[Ad_ID]],'[1]pre processed data'!A:I,9,0)</f>
        <v>15</v>
      </c>
      <c r="G1953" s="4">
        <f>VLOOKUP(Googleadssales[[#This Row],[Ad_ID]],'[1]pre processed data'!A:K,11,0)</f>
        <v>9</v>
      </c>
      <c r="H1953" s="2">
        <f>Googleadssales[[#This Row],[Conversions]]/Googleadssales[[#This Row],[Clicks]]</f>
        <v>6.9767441860465115E-2</v>
      </c>
      <c r="I1953" t="str">
        <f>VLOOKUP(Googleadssales[[#This Row],[Ad_ID]],'[1]pre processed data'!A:O,15,0)</f>
        <v>$1574</v>
      </c>
      <c r="J1953" s="3">
        <f>VLOOKUP(Googleadssales[[#This Row],[Ad_ID]],'[1]pre processed data'!A:Q,17,0)</f>
        <v>45626</v>
      </c>
      <c r="K1953" t="str">
        <f>VLOOKUP(Googleadssales[[#This Row],[Ad_ID]],'[1]pre processed data'!A:R,18,0)</f>
        <v>Bangaluru</v>
      </c>
      <c r="L1953" t="str">
        <f>VLOOKUP(Googleadssales[[#This Row],[Ad_ID]],'[1]pre processed data'!A:S,19,0)</f>
        <v>Desktop</v>
      </c>
      <c r="M1953" t="str">
        <f>VLOOKUP(Googleadssales[[#This Row],[Ad_ID]],'[1]pre processed data'!A:T,20,0)</f>
        <v>data analytics course</v>
      </c>
    </row>
    <row r="1954" spans="1:13" x14ac:dyDescent="0.3">
      <c r="A1954" t="s">
        <v>1967</v>
      </c>
      <c r="B1954" t="s">
        <v>14</v>
      </c>
      <c r="C1954" s="4">
        <f>VLOOKUP(Googleadssales[[#This Row],[Ad_ID]],'[1]pre processed data'!A:C,3,0)</f>
        <v>165</v>
      </c>
      <c r="D1954" s="4">
        <f>VLOOKUP(Googleadssales[[#This Row],[Ad_ID]],'[1]pre processed data'!A:E,5,0)</f>
        <v>4121</v>
      </c>
      <c r="E1954" s="5" t="str">
        <f>VLOOKUP(Googleadssales[[#This Row],[Ad_ID]],[1]!Table3[[Ad_ID]:[Cost-imputed]],7,0)</f>
        <v>$224.59</v>
      </c>
      <c r="F1954" s="4">
        <f>VLOOKUP(Googleadssales[[#This Row],[Ad_ID]],'[1]pre processed data'!A:I,9,0)</f>
        <v>30</v>
      </c>
      <c r="G1954" s="4">
        <f>VLOOKUP(Googleadssales[[#This Row],[Ad_ID]],'[1]pre processed data'!A:K,11,0)</f>
        <v>7</v>
      </c>
      <c r="H1954" s="2">
        <f>Googleadssales[[#This Row],[Conversions]]/Googleadssales[[#This Row],[Clicks]]</f>
        <v>4.2424242424242427E-2</v>
      </c>
      <c r="I1954" t="str">
        <f>VLOOKUP(Googleadssales[[#This Row],[Ad_ID]],'[1]pre processed data'!A:O,15,0)</f>
        <v>$1569</v>
      </c>
      <c r="J1954" s="3">
        <f>VLOOKUP(Googleadssales[[#This Row],[Ad_ID]],'[1]pre processed data'!A:Q,17,0)</f>
        <v>45599</v>
      </c>
      <c r="K1954" t="str">
        <f>VLOOKUP(Googleadssales[[#This Row],[Ad_ID]],'[1]pre processed data'!A:R,18,0)</f>
        <v>Chennai</v>
      </c>
      <c r="L1954" t="str">
        <f>VLOOKUP(Googleadssales[[#This Row],[Ad_ID]],'[1]pre processed data'!A:S,19,0)</f>
        <v>Mobile</v>
      </c>
      <c r="M1954" t="str">
        <f>VLOOKUP(Googleadssales[[#This Row],[Ad_ID]],'[1]pre processed data'!A:T,20,0)</f>
        <v>data analytics course</v>
      </c>
    </row>
    <row r="1955" spans="1:13" x14ac:dyDescent="0.3">
      <c r="A1955" t="s">
        <v>1968</v>
      </c>
      <c r="B1955" t="s">
        <v>14</v>
      </c>
      <c r="C1955" s="4">
        <f>VLOOKUP(Googleadssales[[#This Row],[Ad_ID]],'[1]pre processed data'!A:C,3,0)</f>
        <v>155</v>
      </c>
      <c r="D1955" s="4">
        <f>VLOOKUP(Googleadssales[[#This Row],[Ad_ID]],'[1]pre processed data'!A:E,5,0)</f>
        <v>5030</v>
      </c>
      <c r="E1955" s="5" t="str">
        <f>VLOOKUP(Googleadssales[[#This Row],[Ad_ID]],[1]!Table3[[Ad_ID]:[Cost-imputed]],7,0)</f>
        <v>$234.41</v>
      </c>
      <c r="F1955" s="4">
        <f>VLOOKUP(Googleadssales[[#This Row],[Ad_ID]],'[1]pre processed data'!A:I,9,0)</f>
        <v>13</v>
      </c>
      <c r="G1955" s="4">
        <f>VLOOKUP(Googleadssales[[#This Row],[Ad_ID]],'[1]pre processed data'!A:K,11,0)</f>
        <v>5</v>
      </c>
      <c r="H1955" s="2">
        <f>Googleadssales[[#This Row],[Conversions]]/Googleadssales[[#This Row],[Clicks]]</f>
        <v>3.2258064516129031E-2</v>
      </c>
      <c r="I1955" t="str">
        <f>VLOOKUP(Googleadssales[[#This Row],[Ad_ID]],'[1]pre processed data'!A:O,15,0)</f>
        <v>$1113</v>
      </c>
      <c r="J1955" s="3">
        <f>VLOOKUP(Googleadssales[[#This Row],[Ad_ID]],'[1]pre processed data'!A:Q,17,0)</f>
        <v>45604</v>
      </c>
      <c r="K1955" t="str">
        <f>VLOOKUP(Googleadssales[[#This Row],[Ad_ID]],'[1]pre processed data'!A:R,18,0)</f>
        <v>Chennai</v>
      </c>
      <c r="L1955" t="str">
        <f>VLOOKUP(Googleadssales[[#This Row],[Ad_ID]],'[1]pre processed data'!A:S,19,0)</f>
        <v>Mobile</v>
      </c>
      <c r="M1955" t="str">
        <f>VLOOKUP(Googleadssales[[#This Row],[Ad_ID]],'[1]pre processed data'!A:T,20,0)</f>
        <v>online data analytic</v>
      </c>
    </row>
    <row r="1956" spans="1:13" x14ac:dyDescent="0.3">
      <c r="A1956" t="s">
        <v>1969</v>
      </c>
      <c r="B1956" t="s">
        <v>14</v>
      </c>
      <c r="C1956" s="4">
        <f>VLOOKUP(Googleadssales[[#This Row],[Ad_ID]],'[1]pre processed data'!A:C,3,0)</f>
        <v>156</v>
      </c>
      <c r="D1956" s="4">
        <f>VLOOKUP(Googleadssales[[#This Row],[Ad_ID]],'[1]pre processed data'!A:E,5,0)</f>
        <v>3533</v>
      </c>
      <c r="E1956" s="5" t="str">
        <f>VLOOKUP(Googleadssales[[#This Row],[Ad_ID]],[1]!Table3[[Ad_ID]:[Cost-imputed]],7,0)</f>
        <v>$211.7</v>
      </c>
      <c r="F1956" s="4">
        <f>VLOOKUP(Googleadssales[[#This Row],[Ad_ID]],'[1]pre processed data'!A:I,9,0)</f>
        <v>22</v>
      </c>
      <c r="G1956" s="4">
        <f>VLOOKUP(Googleadssales[[#This Row],[Ad_ID]],'[1]pre processed data'!A:K,11,0)</f>
        <v>9</v>
      </c>
      <c r="H1956" s="2">
        <f>Googleadssales[[#This Row],[Conversions]]/Googleadssales[[#This Row],[Clicks]]</f>
        <v>5.7692307692307696E-2</v>
      </c>
      <c r="I1956" t="str">
        <f>VLOOKUP(Googleadssales[[#This Row],[Ad_ID]],'[1]pre processed data'!A:O,15,0)</f>
        <v>$1399</v>
      </c>
      <c r="J1956" s="3">
        <f>VLOOKUP(Googleadssales[[#This Row],[Ad_ID]],'[1]pre processed data'!A:Q,17,0)</f>
        <v>45606</v>
      </c>
      <c r="K1956" t="str">
        <f>VLOOKUP(Googleadssales[[#This Row],[Ad_ID]],'[1]pre processed data'!A:R,18,0)</f>
        <v>Hyderabad</v>
      </c>
      <c r="L1956" t="str">
        <f>VLOOKUP(Googleadssales[[#This Row],[Ad_ID]],'[1]pre processed data'!A:S,19,0)</f>
        <v>Mobile</v>
      </c>
      <c r="M1956" t="str">
        <f>VLOOKUP(Googleadssales[[#This Row],[Ad_ID]],'[1]pre processed data'!A:T,20,0)</f>
        <v>data analytics course</v>
      </c>
    </row>
    <row r="1957" spans="1:13" x14ac:dyDescent="0.3">
      <c r="A1957" t="s">
        <v>1970</v>
      </c>
      <c r="B1957" t="s">
        <v>14</v>
      </c>
      <c r="C1957" s="4">
        <f>VLOOKUP(Googleadssales[[#This Row],[Ad_ID]],'[1]pre processed data'!A:C,3,0)</f>
        <v>94</v>
      </c>
      <c r="D1957" s="4">
        <f>VLOOKUP(Googleadssales[[#This Row],[Ad_ID]],'[1]pre processed data'!A:E,5,0)</f>
        <v>5751</v>
      </c>
      <c r="E1957" s="5" t="str">
        <f>VLOOKUP(Googleadssales[[#This Row],[Ad_ID]],[1]!Table3[[Ad_ID]:[Cost-imputed]],7,0)</f>
        <v>$205.37</v>
      </c>
      <c r="F1957" s="4">
        <f>VLOOKUP(Googleadssales[[#This Row],[Ad_ID]],'[1]pre processed data'!A:I,9,0)</f>
        <v>10</v>
      </c>
      <c r="G1957" s="4">
        <f>VLOOKUP(Googleadssales[[#This Row],[Ad_ID]],'[1]pre processed data'!A:K,11,0)</f>
        <v>9</v>
      </c>
      <c r="H1957" s="2">
        <f>Googleadssales[[#This Row],[Conversions]]/Googleadssales[[#This Row],[Clicks]]</f>
        <v>9.5744680851063829E-2</v>
      </c>
      <c r="I1957" t="str">
        <f>VLOOKUP(Googleadssales[[#This Row],[Ad_ID]],'[1]pre processed data'!A:O,15,0)</f>
        <v>$1155</v>
      </c>
      <c r="J1957" s="3">
        <f>VLOOKUP(Googleadssales[[#This Row],[Ad_ID]],'[1]pre processed data'!A:Q,17,0)</f>
        <v>45615</v>
      </c>
      <c r="K1957" t="str">
        <f>VLOOKUP(Googleadssales[[#This Row],[Ad_ID]],'[1]pre processed data'!A:R,18,0)</f>
        <v>Hyderabad</v>
      </c>
      <c r="L1957" t="str">
        <f>VLOOKUP(Googleadssales[[#This Row],[Ad_ID]],'[1]pre processed data'!A:S,19,0)</f>
        <v>Tablet</v>
      </c>
      <c r="M1957" t="str">
        <f>VLOOKUP(Googleadssales[[#This Row],[Ad_ID]],'[1]pre processed data'!A:T,20,0)</f>
        <v>data analytics course</v>
      </c>
    </row>
    <row r="1958" spans="1:13" x14ac:dyDescent="0.3">
      <c r="A1958" t="s">
        <v>1971</v>
      </c>
      <c r="B1958" t="s">
        <v>14</v>
      </c>
      <c r="C1958" s="4">
        <f>VLOOKUP(Googleadssales[[#This Row],[Ad_ID]],'[1]pre processed data'!A:C,3,0)</f>
        <v>170</v>
      </c>
      <c r="D1958" s="4">
        <f>VLOOKUP(Googleadssales[[#This Row],[Ad_ID]],'[1]pre processed data'!A:E,5,0)</f>
        <v>5484</v>
      </c>
      <c r="E1958" s="5" t="str">
        <f>VLOOKUP(Googleadssales[[#This Row],[Ad_ID]],[1]!Table3[[Ad_ID]:[Cost-imputed]],7,0)</f>
        <v>$210.28</v>
      </c>
      <c r="F1958" s="4">
        <f>VLOOKUP(Googleadssales[[#This Row],[Ad_ID]],'[1]pre processed data'!A:I,9,0)</f>
        <v>20</v>
      </c>
      <c r="G1958" s="4">
        <f>VLOOKUP(Googleadssales[[#This Row],[Ad_ID]],'[1]pre processed data'!A:K,11,0)</f>
        <v>9</v>
      </c>
      <c r="H1958" s="2">
        <f>Googleadssales[[#This Row],[Conversions]]/Googleadssales[[#This Row],[Clicks]]</f>
        <v>5.2941176470588235E-2</v>
      </c>
      <c r="I1958" t="str">
        <f>VLOOKUP(Googleadssales[[#This Row],[Ad_ID]],'[1]pre processed data'!A:O,15,0)</f>
        <v>$1319</v>
      </c>
      <c r="J1958" s="3">
        <f>VLOOKUP(Googleadssales[[#This Row],[Ad_ID]],'[1]pre processed data'!A:Q,17,0)</f>
        <v>45619</v>
      </c>
      <c r="K1958" t="str">
        <f>VLOOKUP(Googleadssales[[#This Row],[Ad_ID]],'[1]pre processed data'!A:R,18,0)</f>
        <v>Hyderabad</v>
      </c>
      <c r="L1958" t="str">
        <f>VLOOKUP(Googleadssales[[#This Row],[Ad_ID]],'[1]pre processed data'!A:S,19,0)</f>
        <v>Tablet</v>
      </c>
      <c r="M1958" t="str">
        <f>VLOOKUP(Googleadssales[[#This Row],[Ad_ID]],'[1]pre processed data'!A:T,20,0)</f>
        <v>data analytics training</v>
      </c>
    </row>
    <row r="1959" spans="1:13" x14ac:dyDescent="0.3">
      <c r="A1959" t="s">
        <v>1972</v>
      </c>
      <c r="B1959" t="s">
        <v>14</v>
      </c>
      <c r="C1959" s="4">
        <f>VLOOKUP(Googleadssales[[#This Row],[Ad_ID]],'[1]pre processed data'!A:C,3,0)</f>
        <v>90</v>
      </c>
      <c r="D1959" s="4">
        <f>VLOOKUP(Googleadssales[[#This Row],[Ad_ID]],'[1]pre processed data'!A:E,5,0)</f>
        <v>5457</v>
      </c>
      <c r="E1959" s="5" t="str">
        <f>VLOOKUP(Googleadssales[[#This Row],[Ad_ID]],[1]!Table3[[Ad_ID]:[Cost-imputed]],7,0)</f>
        <v>$233.5</v>
      </c>
      <c r="F1959" s="4">
        <f>VLOOKUP(Googleadssales[[#This Row],[Ad_ID]],'[1]pre processed data'!A:I,9,0)</f>
        <v>17</v>
      </c>
      <c r="G1959" s="4">
        <f>VLOOKUP(Googleadssales[[#This Row],[Ad_ID]],'[1]pre processed data'!A:K,11,0)</f>
        <v>9</v>
      </c>
      <c r="H1959" s="2">
        <f>Googleadssales[[#This Row],[Conversions]]/Googleadssales[[#This Row],[Clicks]]</f>
        <v>0.1</v>
      </c>
      <c r="I1959" t="str">
        <f>VLOOKUP(Googleadssales[[#This Row],[Ad_ID]],'[1]pre processed data'!A:O,15,0)</f>
        <v>$1159</v>
      </c>
      <c r="J1959" s="3">
        <f>VLOOKUP(Googleadssales[[#This Row],[Ad_ID]],'[1]pre processed data'!A:Q,17,0)</f>
        <v>45615</v>
      </c>
      <c r="K1959" t="str">
        <f>VLOOKUP(Googleadssales[[#This Row],[Ad_ID]],'[1]pre processed data'!A:R,18,0)</f>
        <v>Chennai</v>
      </c>
      <c r="L1959" t="str">
        <f>VLOOKUP(Googleadssales[[#This Row],[Ad_ID]],'[1]pre processed data'!A:S,19,0)</f>
        <v>Desktop</v>
      </c>
      <c r="M1959" t="str">
        <f>VLOOKUP(Googleadssales[[#This Row],[Ad_ID]],'[1]pre processed data'!A:T,20,0)</f>
        <v>data analytics course</v>
      </c>
    </row>
    <row r="1960" spans="1:13" x14ac:dyDescent="0.3">
      <c r="A1960" t="s">
        <v>1973</v>
      </c>
      <c r="B1960" t="s">
        <v>18</v>
      </c>
      <c r="C1960" s="4">
        <f>VLOOKUP(Googleadssales[[#This Row],[Ad_ID]],'[1]pre processed data'!A:C,3,0)</f>
        <v>138.95699356913184</v>
      </c>
      <c r="D1960" s="4">
        <f>VLOOKUP(Googleadssales[[#This Row],[Ad_ID]],'[1]pre processed data'!A:E,5,0)</f>
        <v>3314</v>
      </c>
      <c r="E1960" s="5" t="str">
        <f>VLOOKUP(Googleadssales[[#This Row],[Ad_ID]],[1]!Table3[[Ad_ID]:[Cost-imputed]],7,0)</f>
        <v>$200.00</v>
      </c>
      <c r="F1960" s="4">
        <f>VLOOKUP(Googleadssales[[#This Row],[Ad_ID]],'[1]pre processed data'!A:I,9,0)</f>
        <v>26</v>
      </c>
      <c r="G1960" s="4">
        <f>VLOOKUP(Googleadssales[[#This Row],[Ad_ID]],'[1]pre processed data'!A:K,11,0)</f>
        <v>10</v>
      </c>
      <c r="H1960" s="2">
        <f>Googleadssales[[#This Row],[Conversions]]/Googleadssales[[#This Row],[Clicks]]</f>
        <v>7.1964711837443046E-2</v>
      </c>
      <c r="I1960" t="str">
        <f>VLOOKUP(Googleadssales[[#This Row],[Ad_ID]],'[1]pre processed data'!A:O,15,0)</f>
        <v>$1731</v>
      </c>
      <c r="J1960" s="3">
        <f>VLOOKUP(Googleadssales[[#This Row],[Ad_ID]],'[1]pre processed data'!A:Q,17,0)</f>
        <v>45623</v>
      </c>
      <c r="K1960" t="str">
        <f>VLOOKUP(Googleadssales[[#This Row],[Ad_ID]],'[1]pre processed data'!A:R,18,0)</f>
        <v>Chennai</v>
      </c>
      <c r="L1960" t="str">
        <f>VLOOKUP(Googleadssales[[#This Row],[Ad_ID]],'[1]pre processed data'!A:S,19,0)</f>
        <v>Desktop</v>
      </c>
      <c r="M1960" t="str">
        <f>VLOOKUP(Googleadssales[[#This Row],[Ad_ID]],'[1]pre processed data'!A:T,20,0)</f>
        <v>analytics for data</v>
      </c>
    </row>
    <row r="1961" spans="1:13" x14ac:dyDescent="0.3">
      <c r="A1961" t="s">
        <v>1974</v>
      </c>
      <c r="B1961" t="s">
        <v>18</v>
      </c>
      <c r="C1961" s="4">
        <f>VLOOKUP(Googleadssales[[#This Row],[Ad_ID]],'[1]pre processed data'!A:C,3,0)</f>
        <v>80</v>
      </c>
      <c r="D1961" s="4">
        <f>VLOOKUP(Googleadssales[[#This Row],[Ad_ID]],'[1]pre processed data'!A:E,5,0)</f>
        <v>5808</v>
      </c>
      <c r="E1961" s="5" t="str">
        <f>VLOOKUP(Googleadssales[[#This Row],[Ad_ID]],[1]!Table3[[Ad_ID]:[Cost-imputed]],7,0)</f>
        <v>$240.44</v>
      </c>
      <c r="F1961" s="4">
        <f>VLOOKUP(Googleadssales[[#This Row],[Ad_ID]],'[1]pre processed data'!A:I,9,0)</f>
        <v>12</v>
      </c>
      <c r="G1961" s="4">
        <f>VLOOKUP(Googleadssales[[#This Row],[Ad_ID]],'[1]pre processed data'!A:K,11,0)</f>
        <v>4</v>
      </c>
      <c r="H1961" s="2">
        <f>Googleadssales[[#This Row],[Conversions]]/Googleadssales[[#This Row],[Clicks]]</f>
        <v>0.05</v>
      </c>
      <c r="I1961" t="str">
        <f>VLOOKUP(Googleadssales[[#This Row],[Ad_ID]],'[1]pre processed data'!A:O,15,0)</f>
        <v>$1542</v>
      </c>
      <c r="J1961" s="3">
        <f>VLOOKUP(Googleadssales[[#This Row],[Ad_ID]],'[1]pre processed data'!A:Q,17,0)</f>
        <v>45612</v>
      </c>
      <c r="K1961" t="str">
        <f>VLOOKUP(Googleadssales[[#This Row],[Ad_ID]],'[1]pre processed data'!A:R,18,0)</f>
        <v>Chennai</v>
      </c>
      <c r="L1961" t="str">
        <f>VLOOKUP(Googleadssales[[#This Row],[Ad_ID]],'[1]pre processed data'!A:S,19,0)</f>
        <v>Desktop</v>
      </c>
      <c r="M1961" t="str">
        <f>VLOOKUP(Googleadssales[[#This Row],[Ad_ID]],'[1]pre processed data'!A:T,20,0)</f>
        <v>data analytics online</v>
      </c>
    </row>
    <row r="1962" spans="1:13" x14ac:dyDescent="0.3">
      <c r="A1962" t="s">
        <v>1975</v>
      </c>
      <c r="B1962" t="s">
        <v>14</v>
      </c>
      <c r="C1962" s="4">
        <f>VLOOKUP(Googleadssales[[#This Row],[Ad_ID]],'[1]pre processed data'!A:C,3,0)</f>
        <v>166</v>
      </c>
      <c r="D1962" s="4">
        <f>VLOOKUP(Googleadssales[[#This Row],[Ad_ID]],'[1]pre processed data'!A:E,5,0)</f>
        <v>5567</v>
      </c>
      <c r="E1962" s="5" t="str">
        <f>VLOOKUP(Googleadssales[[#This Row],[Ad_ID]],[1]!Table3[[Ad_ID]:[Cost-imputed]],7,0)</f>
        <v>$199.13</v>
      </c>
      <c r="F1962" s="4">
        <f>VLOOKUP(Googleadssales[[#This Row],[Ad_ID]],'[1]pre processed data'!A:I,9,0)</f>
        <v>29</v>
      </c>
      <c r="G1962" s="4">
        <f>VLOOKUP(Googleadssales[[#This Row],[Ad_ID]],'[1]pre processed data'!A:K,11,0)</f>
        <v>5</v>
      </c>
      <c r="H1962" s="2">
        <f>Googleadssales[[#This Row],[Conversions]]/Googleadssales[[#This Row],[Clicks]]</f>
        <v>3.0120481927710843E-2</v>
      </c>
      <c r="I1962" t="str">
        <f>VLOOKUP(Googleadssales[[#This Row],[Ad_ID]],'[1]pre processed data'!A:O,15,0)</f>
        <v>$1474</v>
      </c>
      <c r="J1962" s="3">
        <f>VLOOKUP(Googleadssales[[#This Row],[Ad_ID]],'[1]pre processed data'!A:Q,17,0)</f>
        <v>45604</v>
      </c>
      <c r="K1962" t="str">
        <f>VLOOKUP(Googleadssales[[#This Row],[Ad_ID]],'[1]pre processed data'!A:R,18,0)</f>
        <v>Hyderabad</v>
      </c>
      <c r="L1962" t="str">
        <f>VLOOKUP(Googleadssales[[#This Row],[Ad_ID]],'[1]pre processed data'!A:S,19,0)</f>
        <v>Mobile</v>
      </c>
      <c r="M1962" t="str">
        <f>VLOOKUP(Googleadssales[[#This Row],[Ad_ID]],'[1]pre processed data'!A:T,20,0)</f>
        <v>learn data analytics</v>
      </c>
    </row>
    <row r="1963" spans="1:13" x14ac:dyDescent="0.3">
      <c r="A1963" t="s">
        <v>1976</v>
      </c>
      <c r="B1963" t="s">
        <v>14</v>
      </c>
      <c r="C1963" s="4">
        <f>VLOOKUP(Googleadssales[[#This Row],[Ad_ID]],'[1]pre processed data'!A:C,3,0)</f>
        <v>149</v>
      </c>
      <c r="D1963" s="4">
        <f>VLOOKUP(Googleadssales[[#This Row],[Ad_ID]],'[1]pre processed data'!A:E,5,0)</f>
        <v>5936</v>
      </c>
      <c r="E1963" s="5" t="str">
        <f>VLOOKUP(Googleadssales[[#This Row],[Ad_ID]],[1]!Table3[[Ad_ID]:[Cost-imputed]],7,0)</f>
        <v>$246.58</v>
      </c>
      <c r="F1963" s="4">
        <f>VLOOKUP(Googleadssales[[#This Row],[Ad_ID]],'[1]pre processed data'!A:I,9,0)</f>
        <v>14</v>
      </c>
      <c r="G1963" s="4">
        <f>VLOOKUP(Googleadssales[[#This Row],[Ad_ID]],'[1]pre processed data'!A:K,11,0)</f>
        <v>6</v>
      </c>
      <c r="H1963" s="2">
        <f>Googleadssales[[#This Row],[Conversions]]/Googleadssales[[#This Row],[Clicks]]</f>
        <v>4.0268456375838924E-2</v>
      </c>
      <c r="I1963" t="str">
        <f>VLOOKUP(Googleadssales[[#This Row],[Ad_ID]],'[1]pre processed data'!A:O,15,0)</f>
        <v>$1396</v>
      </c>
      <c r="J1963" s="3">
        <f>VLOOKUP(Googleadssales[[#This Row],[Ad_ID]],'[1]pre processed data'!A:Q,17,0)</f>
        <v>45597</v>
      </c>
      <c r="K1963" t="str">
        <f>VLOOKUP(Googleadssales[[#This Row],[Ad_ID]],'[1]pre processed data'!A:R,18,0)</f>
        <v>Hyderabad</v>
      </c>
      <c r="L1963" t="str">
        <f>VLOOKUP(Googleadssales[[#This Row],[Ad_ID]],'[1]pre processed data'!A:S,19,0)</f>
        <v>Desktop</v>
      </c>
      <c r="M1963" t="str">
        <f>VLOOKUP(Googleadssales[[#This Row],[Ad_ID]],'[1]pre processed data'!A:T,20,0)</f>
        <v>learn data analytics</v>
      </c>
    </row>
    <row r="1964" spans="1:13" x14ac:dyDescent="0.3">
      <c r="A1964" t="s">
        <v>1977</v>
      </c>
      <c r="B1964" t="s">
        <v>14</v>
      </c>
      <c r="C1964" s="4">
        <f>VLOOKUP(Googleadssales[[#This Row],[Ad_ID]],'[1]pre processed data'!A:C,3,0)</f>
        <v>151</v>
      </c>
      <c r="D1964" s="4">
        <f>VLOOKUP(Googleadssales[[#This Row],[Ad_ID]],'[1]pre processed data'!A:E,5,0)</f>
        <v>4966</v>
      </c>
      <c r="E1964" s="5" t="str">
        <f>VLOOKUP(Googleadssales[[#This Row],[Ad_ID]],[1]!Table3[[Ad_ID]:[Cost-imputed]],7,0)</f>
        <v>$223.67</v>
      </c>
      <c r="F1964" s="4">
        <f>VLOOKUP(Googleadssales[[#This Row],[Ad_ID]],'[1]pre processed data'!A:I,9,0)</f>
        <v>15</v>
      </c>
      <c r="G1964" s="4">
        <f>VLOOKUP(Googleadssales[[#This Row],[Ad_ID]],'[1]pre processed data'!A:K,11,0)</f>
        <v>3</v>
      </c>
      <c r="H1964" s="2">
        <f>Googleadssales[[#This Row],[Conversions]]/Googleadssales[[#This Row],[Clicks]]</f>
        <v>1.9867549668874173E-2</v>
      </c>
      <c r="I1964" t="str">
        <f>VLOOKUP(Googleadssales[[#This Row],[Ad_ID]],'[1]pre processed data'!A:O,15,0)</f>
        <v>$1411</v>
      </c>
      <c r="J1964" s="3">
        <f>VLOOKUP(Googleadssales[[#This Row],[Ad_ID]],'[1]pre processed data'!A:Q,17,0)</f>
        <v>45605</v>
      </c>
      <c r="K1964" t="str">
        <f>VLOOKUP(Googleadssales[[#This Row],[Ad_ID]],'[1]pre processed data'!A:R,18,0)</f>
        <v>Bangaluru</v>
      </c>
      <c r="L1964" t="str">
        <f>VLOOKUP(Googleadssales[[#This Row],[Ad_ID]],'[1]pre processed data'!A:S,19,0)</f>
        <v>Tablet</v>
      </c>
      <c r="M1964" t="str">
        <f>VLOOKUP(Googleadssales[[#This Row],[Ad_ID]],'[1]pre processed data'!A:T,20,0)</f>
        <v>analytics for data</v>
      </c>
    </row>
    <row r="1965" spans="1:13" x14ac:dyDescent="0.3">
      <c r="A1965" t="s">
        <v>1978</v>
      </c>
      <c r="B1965" t="s">
        <v>18</v>
      </c>
      <c r="C1965" s="4">
        <f>VLOOKUP(Googleadssales[[#This Row],[Ad_ID]],'[1]pre processed data'!A:C,3,0)</f>
        <v>186</v>
      </c>
      <c r="D1965" s="4">
        <f>VLOOKUP(Googleadssales[[#This Row],[Ad_ID]],'[1]pre processed data'!A:E,5,0)</f>
        <v>4790</v>
      </c>
      <c r="E1965" s="5" t="str">
        <f>VLOOKUP(Googleadssales[[#This Row],[Ad_ID]],[1]!Table3[[Ad_ID]:[Cost-imputed]],7,0)</f>
        <v>$233.42</v>
      </c>
      <c r="F1965" s="4">
        <f>VLOOKUP(Googleadssales[[#This Row],[Ad_ID]],'[1]pre processed data'!A:I,9,0)</f>
        <v>10</v>
      </c>
      <c r="G1965" s="4">
        <f>VLOOKUP(Googleadssales[[#This Row],[Ad_ID]],'[1]pre processed data'!A:K,11,0)</f>
        <v>3</v>
      </c>
      <c r="H1965" s="2">
        <f>Googleadssales[[#This Row],[Conversions]]/Googleadssales[[#This Row],[Clicks]]</f>
        <v>1.6129032258064516E-2</v>
      </c>
      <c r="I1965" t="str">
        <f>VLOOKUP(Googleadssales[[#This Row],[Ad_ID]],'[1]pre processed data'!A:O,15,0)</f>
        <v>$1201</v>
      </c>
      <c r="J1965" s="3">
        <f>VLOOKUP(Googleadssales[[#This Row],[Ad_ID]],'[1]pre processed data'!A:Q,17,0)</f>
        <v>45621</v>
      </c>
      <c r="K1965" t="str">
        <f>VLOOKUP(Googleadssales[[#This Row],[Ad_ID]],'[1]pre processed data'!A:R,18,0)</f>
        <v>Hyderabad</v>
      </c>
      <c r="L1965" t="str">
        <f>VLOOKUP(Googleadssales[[#This Row],[Ad_ID]],'[1]pre processed data'!A:S,19,0)</f>
        <v>Desktop</v>
      </c>
      <c r="M1965" t="str">
        <f>VLOOKUP(Googleadssales[[#This Row],[Ad_ID]],'[1]pre processed data'!A:T,20,0)</f>
        <v>data analytics training</v>
      </c>
    </row>
    <row r="1966" spans="1:13" x14ac:dyDescent="0.3">
      <c r="A1966" t="s">
        <v>1979</v>
      </c>
      <c r="B1966" t="s">
        <v>14</v>
      </c>
      <c r="C1966" s="4">
        <f>VLOOKUP(Googleadssales[[#This Row],[Ad_ID]],'[1]pre processed data'!A:C,3,0)</f>
        <v>143</v>
      </c>
      <c r="D1966" s="4">
        <f>VLOOKUP(Googleadssales[[#This Row],[Ad_ID]],'[1]pre processed data'!A:E,5,0)</f>
        <v>4932</v>
      </c>
      <c r="E1966" s="5" t="str">
        <f>VLOOKUP(Googleadssales[[#This Row],[Ad_ID]],[1]!Table3[[Ad_ID]:[Cost-imputed]],7,0)</f>
        <v>$206.35</v>
      </c>
      <c r="F1966" s="4">
        <f>VLOOKUP(Googleadssales[[#This Row],[Ad_ID]],'[1]pre processed data'!A:I,9,0)</f>
        <v>20</v>
      </c>
      <c r="G1966" s="4">
        <f>VLOOKUP(Googleadssales[[#This Row],[Ad_ID]],'[1]pre processed data'!A:K,11,0)</f>
        <v>9</v>
      </c>
      <c r="H1966" s="2">
        <f>Googleadssales[[#This Row],[Conversions]]/Googleadssales[[#This Row],[Clicks]]</f>
        <v>6.2937062937062943E-2</v>
      </c>
      <c r="I1966" t="str">
        <f>VLOOKUP(Googleadssales[[#This Row],[Ad_ID]],'[1]pre processed data'!A:O,15,0)</f>
        <v>$1132</v>
      </c>
      <c r="J1966" s="3">
        <f>VLOOKUP(Googleadssales[[#This Row],[Ad_ID]],'[1]pre processed data'!A:Q,17,0)</f>
        <v>45618</v>
      </c>
      <c r="K1966" t="str">
        <f>VLOOKUP(Googleadssales[[#This Row],[Ad_ID]],'[1]pre processed data'!A:R,18,0)</f>
        <v>Hyderabad</v>
      </c>
      <c r="L1966" t="str">
        <f>VLOOKUP(Googleadssales[[#This Row],[Ad_ID]],'[1]pre processed data'!A:S,19,0)</f>
        <v>Desktop</v>
      </c>
      <c r="M1966" t="str">
        <f>VLOOKUP(Googleadssales[[#This Row],[Ad_ID]],'[1]pre processed data'!A:T,20,0)</f>
        <v>data analytics course</v>
      </c>
    </row>
    <row r="1967" spans="1:13" x14ac:dyDescent="0.3">
      <c r="A1967" t="s">
        <v>1980</v>
      </c>
      <c r="B1967" t="s">
        <v>14</v>
      </c>
      <c r="C1967" s="4">
        <f>VLOOKUP(Googleadssales[[#This Row],[Ad_ID]],'[1]pre processed data'!A:C,3,0)</f>
        <v>180</v>
      </c>
      <c r="D1967" s="4">
        <f>VLOOKUP(Googleadssales[[#This Row],[Ad_ID]],'[1]pre processed data'!A:E,5,0)</f>
        <v>3991</v>
      </c>
      <c r="E1967" s="5" t="str">
        <f>VLOOKUP(Googleadssales[[#This Row],[Ad_ID]],[1]!Table3[[Ad_ID]:[Cost-imputed]],7,0)</f>
        <v>$200.43</v>
      </c>
      <c r="F1967" s="4">
        <f>VLOOKUP(Googleadssales[[#This Row],[Ad_ID]],'[1]pre processed data'!A:I,9,0)</f>
        <v>10</v>
      </c>
      <c r="G1967" s="4">
        <f>VLOOKUP(Googleadssales[[#This Row],[Ad_ID]],'[1]pre processed data'!A:K,11,0)</f>
        <v>10</v>
      </c>
      <c r="H1967" s="2">
        <f>Googleadssales[[#This Row],[Conversions]]/Googleadssales[[#This Row],[Clicks]]</f>
        <v>5.5555555555555552E-2</v>
      </c>
      <c r="I1967" t="str">
        <f>VLOOKUP(Googleadssales[[#This Row],[Ad_ID]],'[1]pre processed data'!A:O,15,0)</f>
        <v>$1427</v>
      </c>
      <c r="J1967" s="3">
        <f>VLOOKUP(Googleadssales[[#This Row],[Ad_ID]],'[1]pre processed data'!A:Q,17,0)</f>
        <v>45617</v>
      </c>
      <c r="K1967" t="str">
        <f>VLOOKUP(Googleadssales[[#This Row],[Ad_ID]],'[1]pre processed data'!A:R,18,0)</f>
        <v>Chennai</v>
      </c>
      <c r="L1967" t="str">
        <f>VLOOKUP(Googleadssales[[#This Row],[Ad_ID]],'[1]pre processed data'!A:S,19,0)</f>
        <v>Tablet</v>
      </c>
      <c r="M1967" t="str">
        <f>VLOOKUP(Googleadssales[[#This Row],[Ad_ID]],'[1]pre processed data'!A:T,20,0)</f>
        <v>online data analytic</v>
      </c>
    </row>
    <row r="1968" spans="1:13" x14ac:dyDescent="0.3">
      <c r="A1968" t="s">
        <v>1981</v>
      </c>
      <c r="B1968" t="s">
        <v>14</v>
      </c>
      <c r="C1968" s="4">
        <f>VLOOKUP(Googleadssales[[#This Row],[Ad_ID]],'[1]pre processed data'!A:C,3,0)</f>
        <v>141</v>
      </c>
      <c r="D1968" s="4">
        <f>VLOOKUP(Googleadssales[[#This Row],[Ad_ID]],'[1]pre processed data'!A:E,5,0)</f>
        <v>3306</v>
      </c>
      <c r="E1968" s="5" t="str">
        <f>VLOOKUP(Googleadssales[[#This Row],[Ad_ID]],[1]!Table3[[Ad_ID]:[Cost-imputed]],7,0)</f>
        <v>$188.29</v>
      </c>
      <c r="F1968" s="4">
        <f>VLOOKUP(Googleadssales[[#This Row],[Ad_ID]],'[1]pre processed data'!A:I,9,0)</f>
        <v>30</v>
      </c>
      <c r="G1968" s="4">
        <f>VLOOKUP(Googleadssales[[#This Row],[Ad_ID]],'[1]pre processed data'!A:K,11,0)</f>
        <v>9</v>
      </c>
      <c r="H1968" s="2">
        <f>Googleadssales[[#This Row],[Conversions]]/Googleadssales[[#This Row],[Clicks]]</f>
        <v>6.3829787234042548E-2</v>
      </c>
      <c r="I1968" t="str">
        <f>VLOOKUP(Googleadssales[[#This Row],[Ad_ID]],'[1]pre processed data'!A:O,15,0)</f>
        <v>$1561</v>
      </c>
      <c r="J1968" s="3">
        <f>VLOOKUP(Googleadssales[[#This Row],[Ad_ID]],'[1]pre processed data'!A:Q,17,0)</f>
        <v>45614</v>
      </c>
      <c r="K1968" t="str">
        <f>VLOOKUP(Googleadssales[[#This Row],[Ad_ID]],'[1]pre processed data'!A:R,18,0)</f>
        <v>Hyderabad</v>
      </c>
      <c r="L1968" t="str">
        <f>VLOOKUP(Googleadssales[[#This Row],[Ad_ID]],'[1]pre processed data'!A:S,19,0)</f>
        <v>Tablet</v>
      </c>
      <c r="M1968" t="str">
        <f>VLOOKUP(Googleadssales[[#This Row],[Ad_ID]],'[1]pre processed data'!A:T,20,0)</f>
        <v>analytics for data</v>
      </c>
    </row>
    <row r="1969" spans="1:13" x14ac:dyDescent="0.3">
      <c r="A1969" t="s">
        <v>1982</v>
      </c>
      <c r="B1969" t="s">
        <v>14</v>
      </c>
      <c r="C1969" s="4">
        <f>VLOOKUP(Googleadssales[[#This Row],[Ad_ID]],'[1]pre processed data'!A:C,3,0)</f>
        <v>80</v>
      </c>
      <c r="D1969" s="4">
        <f>VLOOKUP(Googleadssales[[#This Row],[Ad_ID]],'[1]pre processed data'!A:E,5,0)</f>
        <v>3432</v>
      </c>
      <c r="E1969" s="5" t="str">
        <f>VLOOKUP(Googleadssales[[#This Row],[Ad_ID]],[1]!Table3[[Ad_ID]:[Cost-imputed]],7,0)</f>
        <v>$226.03</v>
      </c>
      <c r="F1969" s="4">
        <f>VLOOKUP(Googleadssales[[#This Row],[Ad_ID]],'[1]pre processed data'!A:I,9,0)</f>
        <v>20.416801292407108</v>
      </c>
      <c r="G1969" s="4">
        <f>VLOOKUP(Googleadssales[[#This Row],[Ad_ID]],'[1]pre processed data'!A:K,11,0)</f>
        <v>9</v>
      </c>
      <c r="H1969" s="2">
        <f>Googleadssales[[#This Row],[Conversions]]/Googleadssales[[#This Row],[Clicks]]</f>
        <v>0.1125</v>
      </c>
      <c r="I1969" t="str">
        <f>VLOOKUP(Googleadssales[[#This Row],[Ad_ID]],'[1]pre processed data'!A:O,15,0)</f>
        <v>$1254</v>
      </c>
      <c r="J1969" s="3">
        <f>VLOOKUP(Googleadssales[[#This Row],[Ad_ID]],'[1]pre processed data'!A:Q,17,0)</f>
        <v>45603</v>
      </c>
      <c r="K1969" t="str">
        <f>VLOOKUP(Googleadssales[[#This Row],[Ad_ID]],'[1]pre processed data'!A:R,18,0)</f>
        <v>Bangaluru</v>
      </c>
      <c r="L1969" t="str">
        <f>VLOOKUP(Googleadssales[[#This Row],[Ad_ID]],'[1]pre processed data'!A:S,19,0)</f>
        <v>Desktop</v>
      </c>
      <c r="M1969" t="str">
        <f>VLOOKUP(Googleadssales[[#This Row],[Ad_ID]],'[1]pre processed data'!A:T,20,0)</f>
        <v>learn data analytics</v>
      </c>
    </row>
    <row r="1970" spans="1:13" x14ac:dyDescent="0.3">
      <c r="A1970" t="s">
        <v>1983</v>
      </c>
      <c r="B1970" t="s">
        <v>14</v>
      </c>
      <c r="C1970" s="4">
        <f>VLOOKUP(Googleadssales[[#This Row],[Ad_ID]],'[1]pre processed data'!A:C,3,0)</f>
        <v>152</v>
      </c>
      <c r="D1970" s="4">
        <f>VLOOKUP(Googleadssales[[#This Row],[Ad_ID]],'[1]pre processed data'!A:E,5,0)</f>
        <v>4683</v>
      </c>
      <c r="E1970" s="5" t="str">
        <f>VLOOKUP(Googleadssales[[#This Row],[Ad_ID]],[1]!Table3[[Ad_ID]:[Cost-imputed]],7,0)</f>
        <v>$223.33</v>
      </c>
      <c r="F1970" s="4">
        <f>VLOOKUP(Googleadssales[[#This Row],[Ad_ID]],'[1]pre processed data'!A:I,9,0)</f>
        <v>12</v>
      </c>
      <c r="G1970" s="4">
        <f>VLOOKUP(Googleadssales[[#This Row],[Ad_ID]],'[1]pre processed data'!A:K,11,0)</f>
        <v>7</v>
      </c>
      <c r="H1970" s="2">
        <f>Googleadssales[[#This Row],[Conversions]]/Googleadssales[[#This Row],[Clicks]]</f>
        <v>4.6052631578947366E-2</v>
      </c>
      <c r="I1970" t="str">
        <f>VLOOKUP(Googleadssales[[#This Row],[Ad_ID]],'[1]pre processed data'!A:O,15,0)</f>
        <v>$1697</v>
      </c>
      <c r="J1970" s="3">
        <f>VLOOKUP(Googleadssales[[#This Row],[Ad_ID]],'[1]pre processed data'!A:Q,17,0)</f>
        <v>45614</v>
      </c>
      <c r="K1970" t="str">
        <f>VLOOKUP(Googleadssales[[#This Row],[Ad_ID]],'[1]pre processed data'!A:R,18,0)</f>
        <v>Bangaluru</v>
      </c>
      <c r="L1970" t="str">
        <f>VLOOKUP(Googleadssales[[#This Row],[Ad_ID]],'[1]pre processed data'!A:S,19,0)</f>
        <v>Tablet</v>
      </c>
      <c r="M1970" t="str">
        <f>VLOOKUP(Googleadssales[[#This Row],[Ad_ID]],'[1]pre processed data'!A:T,20,0)</f>
        <v>data analytics course</v>
      </c>
    </row>
    <row r="1971" spans="1:13" x14ac:dyDescent="0.3">
      <c r="A1971" t="s">
        <v>1984</v>
      </c>
      <c r="B1971" t="s">
        <v>14</v>
      </c>
      <c r="C1971" s="4">
        <f>VLOOKUP(Googleadssales[[#This Row],[Ad_ID]],'[1]pre processed data'!A:C,3,0)</f>
        <v>189</v>
      </c>
      <c r="D1971" s="4">
        <f>VLOOKUP(Googleadssales[[#This Row],[Ad_ID]],'[1]pre processed data'!A:E,5,0)</f>
        <v>3635</v>
      </c>
      <c r="E1971" s="5" t="str">
        <f>VLOOKUP(Googleadssales[[#This Row],[Ad_ID]],[1]!Table3[[Ad_ID]:[Cost-imputed]],7,0)</f>
        <v>$229.08</v>
      </c>
      <c r="F1971" s="4">
        <f>VLOOKUP(Googleadssales[[#This Row],[Ad_ID]],'[1]pre processed data'!A:I,9,0)</f>
        <v>17</v>
      </c>
      <c r="G1971" s="4">
        <f>VLOOKUP(Googleadssales[[#This Row],[Ad_ID]],'[1]pre processed data'!A:K,11,0)</f>
        <v>9</v>
      </c>
      <c r="H1971" s="2">
        <f>Googleadssales[[#This Row],[Conversions]]/Googleadssales[[#This Row],[Clicks]]</f>
        <v>4.7619047619047616E-2</v>
      </c>
      <c r="I1971" t="str">
        <f>VLOOKUP(Googleadssales[[#This Row],[Ad_ID]],'[1]pre processed data'!A:O,15,0)</f>
        <v>$1225</v>
      </c>
      <c r="J1971" s="3">
        <f>VLOOKUP(Googleadssales[[#This Row],[Ad_ID]],'[1]pre processed data'!A:Q,17,0)</f>
        <v>45609</v>
      </c>
      <c r="K1971" t="str">
        <f>VLOOKUP(Googleadssales[[#This Row],[Ad_ID]],'[1]pre processed data'!A:R,18,0)</f>
        <v>Hyderabad</v>
      </c>
      <c r="L1971" t="str">
        <f>VLOOKUP(Googleadssales[[#This Row],[Ad_ID]],'[1]pre processed data'!A:S,19,0)</f>
        <v>Tablet</v>
      </c>
      <c r="M1971" t="str">
        <f>VLOOKUP(Googleadssales[[#This Row],[Ad_ID]],'[1]pre processed data'!A:T,20,0)</f>
        <v>online data analytic</v>
      </c>
    </row>
    <row r="1972" spans="1:13" x14ac:dyDescent="0.3">
      <c r="A1972" t="s">
        <v>1985</v>
      </c>
      <c r="B1972" t="s">
        <v>18</v>
      </c>
      <c r="C1972" s="4">
        <f>VLOOKUP(Googleadssales[[#This Row],[Ad_ID]],'[1]pre processed data'!A:C,3,0)</f>
        <v>121</v>
      </c>
      <c r="D1972" s="4">
        <f>VLOOKUP(Googleadssales[[#This Row],[Ad_ID]],'[1]pre processed data'!A:E,5,0)</f>
        <v>4638</v>
      </c>
      <c r="E1972" s="5" t="str">
        <f>VLOOKUP(Googleadssales[[#This Row],[Ad_ID]],[1]!Table3[[Ad_ID]:[Cost-imputed]],7,0)</f>
        <v>$198.88</v>
      </c>
      <c r="F1972" s="4">
        <f>VLOOKUP(Googleadssales[[#This Row],[Ad_ID]],'[1]pre processed data'!A:I,9,0)</f>
        <v>14</v>
      </c>
      <c r="G1972" s="4">
        <f>VLOOKUP(Googleadssales[[#This Row],[Ad_ID]],'[1]pre processed data'!A:K,11,0)</f>
        <v>6</v>
      </c>
      <c r="H1972" s="2">
        <f>Googleadssales[[#This Row],[Conversions]]/Googleadssales[[#This Row],[Clicks]]</f>
        <v>4.9586776859504134E-2</v>
      </c>
      <c r="I1972" t="str">
        <f>VLOOKUP(Googleadssales[[#This Row],[Ad_ID]],'[1]pre processed data'!A:O,15,0)</f>
        <v>$1964</v>
      </c>
      <c r="J1972" s="3">
        <f>VLOOKUP(Googleadssales[[#This Row],[Ad_ID]],'[1]pre processed data'!A:Q,17,0)</f>
        <v>45604</v>
      </c>
      <c r="K1972" t="str">
        <f>VLOOKUP(Googleadssales[[#This Row],[Ad_ID]],'[1]pre processed data'!A:R,18,0)</f>
        <v>Hyderabad</v>
      </c>
      <c r="L1972" t="str">
        <f>VLOOKUP(Googleadssales[[#This Row],[Ad_ID]],'[1]pre processed data'!A:S,19,0)</f>
        <v>Desktop</v>
      </c>
      <c r="M1972" t="str">
        <f>VLOOKUP(Googleadssales[[#This Row],[Ad_ID]],'[1]pre processed data'!A:T,20,0)</f>
        <v>learn data analytics</v>
      </c>
    </row>
    <row r="1973" spans="1:13" x14ac:dyDescent="0.3">
      <c r="A1973" t="s">
        <v>1986</v>
      </c>
      <c r="B1973" t="s">
        <v>14</v>
      </c>
      <c r="C1973" s="4">
        <f>VLOOKUP(Googleadssales[[#This Row],[Ad_ID]],'[1]pre processed data'!A:C,3,0)</f>
        <v>140</v>
      </c>
      <c r="D1973" s="4">
        <f>VLOOKUP(Googleadssales[[#This Row],[Ad_ID]],'[1]pre processed data'!A:E,5,0)</f>
        <v>5095</v>
      </c>
      <c r="E1973" s="5" t="str">
        <f>VLOOKUP(Googleadssales[[#This Row],[Ad_ID]],[1]!Table3[[Ad_ID]:[Cost-imputed]],7,0)</f>
        <v>$223.77</v>
      </c>
      <c r="F1973" s="4">
        <f>VLOOKUP(Googleadssales[[#This Row],[Ad_ID]],'[1]pre processed data'!A:I,9,0)</f>
        <v>28</v>
      </c>
      <c r="G1973" s="4">
        <f>VLOOKUP(Googleadssales[[#This Row],[Ad_ID]],'[1]pre processed data'!A:K,11,0)</f>
        <v>7</v>
      </c>
      <c r="H1973" s="2">
        <f>Googleadssales[[#This Row],[Conversions]]/Googleadssales[[#This Row],[Clicks]]</f>
        <v>0.05</v>
      </c>
      <c r="I1973" t="str">
        <f>VLOOKUP(Googleadssales[[#This Row],[Ad_ID]],'[1]pre processed data'!A:O,15,0)</f>
        <v>$1233</v>
      </c>
      <c r="J1973" s="3">
        <f>VLOOKUP(Googleadssales[[#This Row],[Ad_ID]],'[1]pre processed data'!A:Q,17,0)</f>
        <v>45610</v>
      </c>
      <c r="K1973" t="str">
        <f>VLOOKUP(Googleadssales[[#This Row],[Ad_ID]],'[1]pre processed data'!A:R,18,0)</f>
        <v>Hyderabad</v>
      </c>
      <c r="L1973" t="str">
        <f>VLOOKUP(Googleadssales[[#This Row],[Ad_ID]],'[1]pre processed data'!A:S,19,0)</f>
        <v>Tablet</v>
      </c>
      <c r="M1973" t="str">
        <f>VLOOKUP(Googleadssales[[#This Row],[Ad_ID]],'[1]pre processed data'!A:T,20,0)</f>
        <v>learn data analytics</v>
      </c>
    </row>
    <row r="1974" spans="1:13" x14ac:dyDescent="0.3">
      <c r="A1974" t="s">
        <v>1987</v>
      </c>
      <c r="B1974" t="s">
        <v>14</v>
      </c>
      <c r="C1974" s="4">
        <f>VLOOKUP(Googleadssales[[#This Row],[Ad_ID]],'[1]pre processed data'!A:C,3,0)</f>
        <v>183</v>
      </c>
      <c r="D1974" s="4">
        <f>VLOOKUP(Googleadssales[[#This Row],[Ad_ID]],'[1]pre processed data'!A:E,5,0)</f>
        <v>5749</v>
      </c>
      <c r="E1974" s="5" t="str">
        <f>VLOOKUP(Googleadssales[[#This Row],[Ad_ID]],[1]!Table3[[Ad_ID]:[Cost-imputed]],7,0)</f>
        <v>$213.66</v>
      </c>
      <c r="F1974" s="4">
        <f>VLOOKUP(Googleadssales[[#This Row],[Ad_ID]],'[1]pre processed data'!A:I,9,0)</f>
        <v>23</v>
      </c>
      <c r="G1974" s="4">
        <f>VLOOKUP(Googleadssales[[#This Row],[Ad_ID]],'[1]pre processed data'!A:K,11,0)</f>
        <v>7</v>
      </c>
      <c r="H1974" s="2">
        <f>Googleadssales[[#This Row],[Conversions]]/Googleadssales[[#This Row],[Clicks]]</f>
        <v>3.825136612021858E-2</v>
      </c>
      <c r="I1974" t="str">
        <f>VLOOKUP(Googleadssales[[#This Row],[Ad_ID]],'[1]pre processed data'!A:O,15,0)</f>
        <v>$1187</v>
      </c>
      <c r="J1974" s="3">
        <f>VLOOKUP(Googleadssales[[#This Row],[Ad_ID]],'[1]pre processed data'!A:Q,17,0)</f>
        <v>45618</v>
      </c>
      <c r="K1974" t="str">
        <f>VLOOKUP(Googleadssales[[#This Row],[Ad_ID]],'[1]pre processed data'!A:R,18,0)</f>
        <v>Chennai</v>
      </c>
      <c r="L1974" t="str">
        <f>VLOOKUP(Googleadssales[[#This Row],[Ad_ID]],'[1]pre processed data'!A:S,19,0)</f>
        <v>Mobile</v>
      </c>
      <c r="M1974" t="str">
        <f>VLOOKUP(Googleadssales[[#This Row],[Ad_ID]],'[1]pre processed data'!A:T,20,0)</f>
        <v>online data analytic</v>
      </c>
    </row>
    <row r="1975" spans="1:13" x14ac:dyDescent="0.3">
      <c r="A1975" t="s">
        <v>1988</v>
      </c>
      <c r="B1975" t="s">
        <v>14</v>
      </c>
      <c r="C1975" s="4">
        <f>VLOOKUP(Googleadssales[[#This Row],[Ad_ID]],'[1]pre processed data'!A:C,3,0)</f>
        <v>156</v>
      </c>
      <c r="D1975" s="4">
        <f>VLOOKUP(Googleadssales[[#This Row],[Ad_ID]],'[1]pre processed data'!A:E,5,0)</f>
        <v>3964</v>
      </c>
      <c r="E1975" s="5" t="str">
        <f>VLOOKUP(Googleadssales[[#This Row],[Ad_ID]],[1]!Table3[[Ad_ID]:[Cost-imputed]],7,0)</f>
        <v>$184.42</v>
      </c>
      <c r="F1975" s="4">
        <f>VLOOKUP(Googleadssales[[#This Row],[Ad_ID]],'[1]pre processed data'!A:I,9,0)</f>
        <v>22</v>
      </c>
      <c r="G1975" s="4">
        <f>VLOOKUP(Googleadssales[[#This Row],[Ad_ID]],'[1]pre processed data'!A:K,11,0)</f>
        <v>6</v>
      </c>
      <c r="H1975" s="2">
        <f>Googleadssales[[#This Row],[Conversions]]/Googleadssales[[#This Row],[Clicks]]</f>
        <v>3.8461538461538464E-2</v>
      </c>
      <c r="I1975" t="str">
        <f>VLOOKUP(Googleadssales[[#This Row],[Ad_ID]],'[1]pre processed data'!A:O,15,0)</f>
        <v>$1893</v>
      </c>
      <c r="J1975" s="3">
        <f>VLOOKUP(Googleadssales[[#This Row],[Ad_ID]],'[1]pre processed data'!A:Q,17,0)</f>
        <v>45626</v>
      </c>
      <c r="K1975" t="str">
        <f>VLOOKUP(Googleadssales[[#This Row],[Ad_ID]],'[1]pre processed data'!A:R,18,0)</f>
        <v>Hyderabad</v>
      </c>
      <c r="L1975" t="str">
        <f>VLOOKUP(Googleadssales[[#This Row],[Ad_ID]],'[1]pre processed data'!A:S,19,0)</f>
        <v>Tablet</v>
      </c>
      <c r="M1975" t="str">
        <f>VLOOKUP(Googleadssales[[#This Row],[Ad_ID]],'[1]pre processed data'!A:T,20,0)</f>
        <v>online data analytic</v>
      </c>
    </row>
    <row r="1976" spans="1:13" x14ac:dyDescent="0.3">
      <c r="A1976" t="s">
        <v>1989</v>
      </c>
      <c r="B1976" t="s">
        <v>14</v>
      </c>
      <c r="C1976" s="4">
        <f>VLOOKUP(Googleadssales[[#This Row],[Ad_ID]],'[1]pre processed data'!A:C,3,0)</f>
        <v>136</v>
      </c>
      <c r="D1976" s="4">
        <f>VLOOKUP(Googleadssales[[#This Row],[Ad_ID]],'[1]pre processed data'!A:E,5,0)</f>
        <v>5645</v>
      </c>
      <c r="E1976" s="5" t="str">
        <f>VLOOKUP(Googleadssales[[#This Row],[Ad_ID]],[1]!Table3[[Ad_ID]:[Cost-imputed]],7,0)</f>
        <v>$195.55</v>
      </c>
      <c r="F1976" s="4">
        <f>VLOOKUP(Googleadssales[[#This Row],[Ad_ID]],'[1]pre processed data'!A:I,9,0)</f>
        <v>26</v>
      </c>
      <c r="G1976" s="4">
        <f>VLOOKUP(Googleadssales[[#This Row],[Ad_ID]],'[1]pre processed data'!A:K,11,0)</f>
        <v>4</v>
      </c>
      <c r="H1976" s="2">
        <f>Googleadssales[[#This Row],[Conversions]]/Googleadssales[[#This Row],[Clicks]]</f>
        <v>2.9411764705882353E-2</v>
      </c>
      <c r="I1976" t="str">
        <f>VLOOKUP(Googleadssales[[#This Row],[Ad_ID]],'[1]pre processed data'!A:O,15,0)</f>
        <v>$1773</v>
      </c>
      <c r="J1976" s="3">
        <f>VLOOKUP(Googleadssales[[#This Row],[Ad_ID]],'[1]pre processed data'!A:Q,17,0)</f>
        <v>45597</v>
      </c>
      <c r="K1976" t="str">
        <f>VLOOKUP(Googleadssales[[#This Row],[Ad_ID]],'[1]pre processed data'!A:R,18,0)</f>
        <v>Hyderabad</v>
      </c>
      <c r="L1976" t="str">
        <f>VLOOKUP(Googleadssales[[#This Row],[Ad_ID]],'[1]pre processed data'!A:S,19,0)</f>
        <v>Tablet</v>
      </c>
      <c r="M1976" t="str">
        <f>VLOOKUP(Googleadssales[[#This Row],[Ad_ID]],'[1]pre processed data'!A:T,20,0)</f>
        <v>learn data analytics</v>
      </c>
    </row>
    <row r="1977" spans="1:13" x14ac:dyDescent="0.3">
      <c r="A1977" t="s">
        <v>1990</v>
      </c>
      <c r="B1977" t="s">
        <v>14</v>
      </c>
      <c r="C1977" s="4">
        <f>VLOOKUP(Googleadssales[[#This Row],[Ad_ID]],'[1]pre processed data'!A:C,3,0)</f>
        <v>107</v>
      </c>
      <c r="D1977" s="4">
        <f>VLOOKUP(Googleadssales[[#This Row],[Ad_ID]],'[1]pre processed data'!A:E,5,0)</f>
        <v>5272</v>
      </c>
      <c r="E1977" s="5" t="str">
        <f>VLOOKUP(Googleadssales[[#This Row],[Ad_ID]],[1]!Table3[[Ad_ID]:[Cost-imputed]],7,0)</f>
        <v>$223.18</v>
      </c>
      <c r="F1977" s="4">
        <f>VLOOKUP(Googleadssales[[#This Row],[Ad_ID]],'[1]pre processed data'!A:I,9,0)</f>
        <v>16</v>
      </c>
      <c r="G1977" s="4">
        <f>VLOOKUP(Googleadssales[[#This Row],[Ad_ID]],'[1]pre processed data'!A:K,11,0)</f>
        <v>8</v>
      </c>
      <c r="H1977" s="2">
        <f>Googleadssales[[#This Row],[Conversions]]/Googleadssales[[#This Row],[Clicks]]</f>
        <v>7.476635514018691E-2</v>
      </c>
      <c r="I1977" t="str">
        <f>VLOOKUP(Googleadssales[[#This Row],[Ad_ID]],'[1]pre processed data'!A:O,15,0)</f>
        <v>$1110</v>
      </c>
      <c r="J1977" s="3">
        <f>VLOOKUP(Googleadssales[[#This Row],[Ad_ID]],'[1]pre processed data'!A:Q,17,0)</f>
        <v>45624</v>
      </c>
      <c r="K1977" t="str">
        <f>VLOOKUP(Googleadssales[[#This Row],[Ad_ID]],'[1]pre processed data'!A:R,18,0)</f>
        <v>Bangaluru</v>
      </c>
      <c r="L1977" t="str">
        <f>VLOOKUP(Googleadssales[[#This Row],[Ad_ID]],'[1]pre processed data'!A:S,19,0)</f>
        <v>Desktop</v>
      </c>
      <c r="M1977" t="str">
        <f>VLOOKUP(Googleadssales[[#This Row],[Ad_ID]],'[1]pre processed data'!A:T,20,0)</f>
        <v>learn data analytics</v>
      </c>
    </row>
    <row r="1978" spans="1:13" x14ac:dyDescent="0.3">
      <c r="A1978" t="s">
        <v>1991</v>
      </c>
      <c r="B1978" t="s">
        <v>14</v>
      </c>
      <c r="C1978" s="4">
        <f>VLOOKUP(Googleadssales[[#This Row],[Ad_ID]],'[1]pre processed data'!A:C,3,0)</f>
        <v>86</v>
      </c>
      <c r="D1978" s="4">
        <f>VLOOKUP(Googleadssales[[#This Row],[Ad_ID]],'[1]pre processed data'!A:E,5,0)</f>
        <v>4824</v>
      </c>
      <c r="E1978" s="5" t="str">
        <f>VLOOKUP(Googleadssales[[#This Row],[Ad_ID]],[1]!Table3[[Ad_ID]:[Cost-imputed]],7,0)</f>
        <v>$231.61</v>
      </c>
      <c r="F1978" s="4">
        <f>VLOOKUP(Googleadssales[[#This Row],[Ad_ID]],'[1]pre processed data'!A:I,9,0)</f>
        <v>20</v>
      </c>
      <c r="G1978" s="4">
        <f>VLOOKUP(Googleadssales[[#This Row],[Ad_ID]],'[1]pre processed data'!A:K,11,0)</f>
        <v>7</v>
      </c>
      <c r="H1978" s="2">
        <f>Googleadssales[[#This Row],[Conversions]]/Googleadssales[[#This Row],[Clicks]]</f>
        <v>8.1395348837209308E-2</v>
      </c>
      <c r="I1978" t="str">
        <f>VLOOKUP(Googleadssales[[#This Row],[Ad_ID]],'[1]pre processed data'!A:O,15,0)</f>
        <v>$1390</v>
      </c>
      <c r="J1978" s="3">
        <f>VLOOKUP(Googleadssales[[#This Row],[Ad_ID]],'[1]pre processed data'!A:Q,17,0)</f>
        <v>45606</v>
      </c>
      <c r="K1978" t="str">
        <f>VLOOKUP(Googleadssales[[#This Row],[Ad_ID]],'[1]pre processed data'!A:R,18,0)</f>
        <v>Hyderabad</v>
      </c>
      <c r="L1978" t="str">
        <f>VLOOKUP(Googleadssales[[#This Row],[Ad_ID]],'[1]pre processed data'!A:S,19,0)</f>
        <v>Tablet</v>
      </c>
      <c r="M1978" t="str">
        <f>VLOOKUP(Googleadssales[[#This Row],[Ad_ID]],'[1]pre processed data'!A:T,20,0)</f>
        <v>data analytics online</v>
      </c>
    </row>
    <row r="1979" spans="1:13" x14ac:dyDescent="0.3">
      <c r="A1979" t="s">
        <v>1992</v>
      </c>
      <c r="B1979" t="s">
        <v>14</v>
      </c>
      <c r="C1979" s="4">
        <f>VLOOKUP(Googleadssales[[#This Row],[Ad_ID]],'[1]pre processed data'!A:C,3,0)</f>
        <v>165</v>
      </c>
      <c r="D1979" s="4">
        <f>VLOOKUP(Googleadssales[[#This Row],[Ad_ID]],'[1]pre processed data'!A:E,5,0)</f>
        <v>5455</v>
      </c>
      <c r="E1979" s="5" t="str">
        <f>VLOOKUP(Googleadssales[[#This Row],[Ad_ID]],[1]!Table3[[Ad_ID]:[Cost-imputed]],7,0)</f>
        <v>$191.75</v>
      </c>
      <c r="F1979" s="4">
        <f>VLOOKUP(Googleadssales[[#This Row],[Ad_ID]],'[1]pre processed data'!A:I,9,0)</f>
        <v>30</v>
      </c>
      <c r="G1979" s="4">
        <f>VLOOKUP(Googleadssales[[#This Row],[Ad_ID]],'[1]pre processed data'!A:K,11,0)</f>
        <v>5</v>
      </c>
      <c r="H1979" s="2">
        <f>Googleadssales[[#This Row],[Conversions]]/Googleadssales[[#This Row],[Clicks]]</f>
        <v>3.0303030303030304E-2</v>
      </c>
      <c r="I1979" t="str">
        <f>VLOOKUP(Googleadssales[[#This Row],[Ad_ID]],'[1]pre processed data'!A:O,15,0)</f>
        <v>$1145</v>
      </c>
      <c r="J1979" s="3">
        <f>VLOOKUP(Googleadssales[[#This Row],[Ad_ID]],'[1]pre processed data'!A:Q,17,0)</f>
        <v>45598</v>
      </c>
      <c r="K1979" t="str">
        <f>VLOOKUP(Googleadssales[[#This Row],[Ad_ID]],'[1]pre processed data'!A:R,18,0)</f>
        <v>Hyderabad</v>
      </c>
      <c r="L1979" t="str">
        <f>VLOOKUP(Googleadssales[[#This Row],[Ad_ID]],'[1]pre processed data'!A:S,19,0)</f>
        <v>Desktop</v>
      </c>
      <c r="M1979" t="str">
        <f>VLOOKUP(Googleadssales[[#This Row],[Ad_ID]],'[1]pre processed data'!A:T,20,0)</f>
        <v>data analytics training</v>
      </c>
    </row>
    <row r="1980" spans="1:13" x14ac:dyDescent="0.3">
      <c r="A1980" t="s">
        <v>1993</v>
      </c>
      <c r="B1980" t="s">
        <v>14</v>
      </c>
      <c r="C1980" s="4">
        <f>VLOOKUP(Googleadssales[[#This Row],[Ad_ID]],'[1]pre processed data'!A:C,3,0)</f>
        <v>145</v>
      </c>
      <c r="D1980" s="4">
        <f>VLOOKUP(Googleadssales[[#This Row],[Ad_ID]],'[1]pre processed data'!A:E,5,0)</f>
        <v>3779</v>
      </c>
      <c r="E1980" s="5" t="str">
        <f>VLOOKUP(Googleadssales[[#This Row],[Ad_ID]],[1]!Table3[[Ad_ID]:[Cost-imputed]],7,0)</f>
        <v>$182.65</v>
      </c>
      <c r="F1980" s="4">
        <f>VLOOKUP(Googleadssales[[#This Row],[Ad_ID]],'[1]pre processed data'!A:I,9,0)</f>
        <v>27</v>
      </c>
      <c r="G1980" s="4">
        <f>VLOOKUP(Googleadssales[[#This Row],[Ad_ID]],'[1]pre processed data'!A:K,11,0)</f>
        <v>4</v>
      </c>
      <c r="H1980" s="2">
        <f>Googleadssales[[#This Row],[Conversions]]/Googleadssales[[#This Row],[Clicks]]</f>
        <v>2.7586206896551724E-2</v>
      </c>
      <c r="I1980" t="str">
        <f>VLOOKUP(Googleadssales[[#This Row],[Ad_ID]],'[1]pre processed data'!A:O,15,0)</f>
        <v>$1364</v>
      </c>
      <c r="J1980" s="3">
        <f>VLOOKUP(Googleadssales[[#This Row],[Ad_ID]],'[1]pre processed data'!A:Q,17,0)</f>
        <v>45620</v>
      </c>
      <c r="K1980" t="str">
        <f>VLOOKUP(Googleadssales[[#This Row],[Ad_ID]],'[1]pre processed data'!A:R,18,0)</f>
        <v>Hyderabad</v>
      </c>
      <c r="L1980" t="str">
        <f>VLOOKUP(Googleadssales[[#This Row],[Ad_ID]],'[1]pre processed data'!A:S,19,0)</f>
        <v>Tablet</v>
      </c>
      <c r="M1980" t="str">
        <f>VLOOKUP(Googleadssales[[#This Row],[Ad_ID]],'[1]pre processed data'!A:T,20,0)</f>
        <v>analytics for data</v>
      </c>
    </row>
    <row r="1981" spans="1:13" x14ac:dyDescent="0.3">
      <c r="A1981" t="s">
        <v>1994</v>
      </c>
      <c r="B1981" t="s">
        <v>14</v>
      </c>
      <c r="C1981" s="4">
        <f>VLOOKUP(Googleadssales[[#This Row],[Ad_ID]],'[1]pre processed data'!A:C,3,0)</f>
        <v>99</v>
      </c>
      <c r="D1981" s="4">
        <f>VLOOKUP(Googleadssales[[#This Row],[Ad_ID]],'[1]pre processed data'!A:E,5,0)</f>
        <v>5981</v>
      </c>
      <c r="E1981" s="5" t="str">
        <f>VLOOKUP(Googleadssales[[#This Row],[Ad_ID]],[1]!Table3[[Ad_ID]:[Cost-imputed]],7,0)</f>
        <v>$243.89</v>
      </c>
      <c r="F1981" s="4">
        <f>VLOOKUP(Googleadssales[[#This Row],[Ad_ID]],'[1]pre processed data'!A:I,9,0)</f>
        <v>16</v>
      </c>
      <c r="G1981" s="4">
        <f>VLOOKUP(Googleadssales[[#This Row],[Ad_ID]],'[1]pre processed data'!A:K,11,0)</f>
        <v>9</v>
      </c>
      <c r="H1981" s="2">
        <f>Googleadssales[[#This Row],[Conversions]]/Googleadssales[[#This Row],[Clicks]]</f>
        <v>9.0909090909090912E-2</v>
      </c>
      <c r="I1981" t="str">
        <f>VLOOKUP(Googleadssales[[#This Row],[Ad_ID]],'[1]pre processed data'!A:O,15,0)</f>
        <v>$1876</v>
      </c>
      <c r="J1981" s="3">
        <f>VLOOKUP(Googleadssales[[#This Row],[Ad_ID]],'[1]pre processed data'!A:Q,17,0)</f>
        <v>45607</v>
      </c>
      <c r="K1981" t="str">
        <f>VLOOKUP(Googleadssales[[#This Row],[Ad_ID]],'[1]pre processed data'!A:R,18,0)</f>
        <v>Bangaluru</v>
      </c>
      <c r="L1981" t="str">
        <f>VLOOKUP(Googleadssales[[#This Row],[Ad_ID]],'[1]pre processed data'!A:S,19,0)</f>
        <v>Desktop</v>
      </c>
      <c r="M1981" t="str">
        <f>VLOOKUP(Googleadssales[[#This Row],[Ad_ID]],'[1]pre processed data'!A:T,20,0)</f>
        <v>data analytics online</v>
      </c>
    </row>
    <row r="1982" spans="1:13" x14ac:dyDescent="0.3">
      <c r="A1982" t="s">
        <v>1995</v>
      </c>
      <c r="B1982" t="s">
        <v>18</v>
      </c>
      <c r="C1982" s="4">
        <f>VLOOKUP(Googleadssales[[#This Row],[Ad_ID]],'[1]pre processed data'!A:C,3,0)</f>
        <v>138.95699356913184</v>
      </c>
      <c r="D1982" s="4">
        <f>VLOOKUP(Googleadssales[[#This Row],[Ad_ID]],'[1]pre processed data'!A:E,5,0)</f>
        <v>5954</v>
      </c>
      <c r="E1982" s="5" t="str">
        <f>VLOOKUP(Googleadssales[[#This Row],[Ad_ID]],[1]!Table3[[Ad_ID]:[Cost-imputed]],7,0)</f>
        <v>$216.02</v>
      </c>
      <c r="F1982" s="4">
        <f>VLOOKUP(Googleadssales[[#This Row],[Ad_ID]],'[1]pre processed data'!A:I,9,0)</f>
        <v>27</v>
      </c>
      <c r="G1982" s="4">
        <f>VLOOKUP(Googleadssales[[#This Row],[Ad_ID]],'[1]pre processed data'!A:K,11,0)</f>
        <v>10</v>
      </c>
      <c r="H1982" s="2">
        <f>Googleadssales[[#This Row],[Conversions]]/Googleadssales[[#This Row],[Clicks]]</f>
        <v>7.1964711837443046E-2</v>
      </c>
      <c r="I1982" t="str">
        <f>VLOOKUP(Googleadssales[[#This Row],[Ad_ID]],'[1]pre processed data'!A:O,15,0)</f>
        <v>$1880</v>
      </c>
      <c r="J1982" s="3">
        <f>VLOOKUP(Googleadssales[[#This Row],[Ad_ID]],'[1]pre processed data'!A:Q,17,0)</f>
        <v>45624</v>
      </c>
      <c r="K1982" t="str">
        <f>VLOOKUP(Googleadssales[[#This Row],[Ad_ID]],'[1]pre processed data'!A:R,18,0)</f>
        <v>Chennai</v>
      </c>
      <c r="L1982" t="str">
        <f>VLOOKUP(Googleadssales[[#This Row],[Ad_ID]],'[1]pre processed data'!A:S,19,0)</f>
        <v>Desktop</v>
      </c>
      <c r="M1982" t="str">
        <f>VLOOKUP(Googleadssales[[#This Row],[Ad_ID]],'[1]pre processed data'!A:T,20,0)</f>
        <v>data analytics training</v>
      </c>
    </row>
    <row r="1983" spans="1:13" x14ac:dyDescent="0.3">
      <c r="A1983" t="s">
        <v>1996</v>
      </c>
      <c r="B1983" t="s">
        <v>14</v>
      </c>
      <c r="C1983" s="4">
        <f>VLOOKUP(Googleadssales[[#This Row],[Ad_ID]],'[1]pre processed data'!A:C,3,0)</f>
        <v>139</v>
      </c>
      <c r="D1983" s="4">
        <f>VLOOKUP(Googleadssales[[#This Row],[Ad_ID]],'[1]pre processed data'!A:E,5,0)</f>
        <v>5055</v>
      </c>
      <c r="E1983" s="5" t="str">
        <f>VLOOKUP(Googleadssales[[#This Row],[Ad_ID]],[1]!Table3[[Ad_ID]:[Cost-imputed]],7,0)</f>
        <v>$200.00</v>
      </c>
      <c r="F1983" s="4">
        <f>VLOOKUP(Googleadssales[[#This Row],[Ad_ID]],'[1]pre processed data'!A:I,9,0)</f>
        <v>19</v>
      </c>
      <c r="G1983" s="4">
        <f>VLOOKUP(Googleadssales[[#This Row],[Ad_ID]],'[1]pre processed data'!A:K,11,0)</f>
        <v>8</v>
      </c>
      <c r="H1983" s="2">
        <f>Googleadssales[[#This Row],[Conversions]]/Googleadssales[[#This Row],[Clicks]]</f>
        <v>5.7553956834532377E-2</v>
      </c>
      <c r="I1983" t="str">
        <f>VLOOKUP(Googleadssales[[#This Row],[Ad_ID]],'[1]pre processed data'!A:O,15,0)</f>
        <v>$1696</v>
      </c>
      <c r="J1983" s="3">
        <f>VLOOKUP(Googleadssales[[#This Row],[Ad_ID]],'[1]pre processed data'!A:Q,17,0)</f>
        <v>45625</v>
      </c>
      <c r="K1983" t="str">
        <f>VLOOKUP(Googleadssales[[#This Row],[Ad_ID]],'[1]pre processed data'!A:R,18,0)</f>
        <v>Hyderabad</v>
      </c>
      <c r="L1983" t="str">
        <f>VLOOKUP(Googleadssales[[#This Row],[Ad_ID]],'[1]pre processed data'!A:S,19,0)</f>
        <v>Tablet</v>
      </c>
      <c r="M1983" t="str">
        <f>VLOOKUP(Googleadssales[[#This Row],[Ad_ID]],'[1]pre processed data'!A:T,20,0)</f>
        <v>online data analytic</v>
      </c>
    </row>
    <row r="1984" spans="1:13" x14ac:dyDescent="0.3">
      <c r="A1984" t="s">
        <v>1997</v>
      </c>
      <c r="B1984" t="s">
        <v>14</v>
      </c>
      <c r="C1984" s="4">
        <f>VLOOKUP(Googleadssales[[#This Row],[Ad_ID]],'[1]pre processed data'!A:C,3,0)</f>
        <v>153</v>
      </c>
      <c r="D1984" s="4">
        <f>VLOOKUP(Googleadssales[[#This Row],[Ad_ID]],'[1]pre processed data'!A:E,5,0)</f>
        <v>4524</v>
      </c>
      <c r="E1984" s="5" t="str">
        <f>VLOOKUP(Googleadssales[[#This Row],[Ad_ID]],[1]!Table3[[Ad_ID]:[Cost-imputed]],7,0)</f>
        <v>$224.15</v>
      </c>
      <c r="F1984" s="4">
        <f>VLOOKUP(Googleadssales[[#This Row],[Ad_ID]],'[1]pre processed data'!A:I,9,0)</f>
        <v>20</v>
      </c>
      <c r="G1984" s="4">
        <f>VLOOKUP(Googleadssales[[#This Row],[Ad_ID]],'[1]pre processed data'!A:K,11,0)</f>
        <v>4</v>
      </c>
      <c r="H1984" s="2">
        <f>Googleadssales[[#This Row],[Conversions]]/Googleadssales[[#This Row],[Clicks]]</f>
        <v>2.6143790849673203E-2</v>
      </c>
      <c r="I1984" t="str">
        <f>VLOOKUP(Googleadssales[[#This Row],[Ad_ID]],'[1]pre processed data'!A:O,15,0)</f>
        <v>$1083</v>
      </c>
      <c r="J1984" s="3">
        <f>VLOOKUP(Googleadssales[[#This Row],[Ad_ID]],'[1]pre processed data'!A:Q,17,0)</f>
        <v>45601</v>
      </c>
      <c r="K1984" t="str">
        <f>VLOOKUP(Googleadssales[[#This Row],[Ad_ID]],'[1]pre processed data'!A:R,18,0)</f>
        <v>Bangaluru</v>
      </c>
      <c r="L1984" t="str">
        <f>VLOOKUP(Googleadssales[[#This Row],[Ad_ID]],'[1]pre processed data'!A:S,19,0)</f>
        <v>Tablet</v>
      </c>
      <c r="M1984" t="str">
        <f>VLOOKUP(Googleadssales[[#This Row],[Ad_ID]],'[1]pre processed data'!A:T,20,0)</f>
        <v>learn data analytics</v>
      </c>
    </row>
    <row r="1985" spans="1:13" x14ac:dyDescent="0.3">
      <c r="A1985" t="s">
        <v>1998</v>
      </c>
      <c r="B1985" t="s">
        <v>14</v>
      </c>
      <c r="C1985" s="4">
        <f>VLOOKUP(Googleadssales[[#This Row],[Ad_ID]],'[1]pre processed data'!A:C,3,0)</f>
        <v>184</v>
      </c>
      <c r="D1985" s="4">
        <f>VLOOKUP(Googleadssales[[#This Row],[Ad_ID]],'[1]pre processed data'!A:E,5,0)</f>
        <v>5903</v>
      </c>
      <c r="E1985" s="5" t="str">
        <f>VLOOKUP(Googleadssales[[#This Row],[Ad_ID]],[1]!Table3[[Ad_ID]:[Cost-imputed]],7,0)</f>
        <v>$182.5</v>
      </c>
      <c r="F1985" s="4">
        <f>VLOOKUP(Googleadssales[[#This Row],[Ad_ID]],'[1]pre processed data'!A:I,9,0)</f>
        <v>15</v>
      </c>
      <c r="G1985" s="4">
        <f>VLOOKUP(Googleadssales[[#This Row],[Ad_ID]],'[1]pre processed data'!A:K,11,0)</f>
        <v>10</v>
      </c>
      <c r="H1985" s="2">
        <f>Googleadssales[[#This Row],[Conversions]]/Googleadssales[[#This Row],[Clicks]]</f>
        <v>5.434782608695652E-2</v>
      </c>
      <c r="I1985" t="str">
        <f>VLOOKUP(Googleadssales[[#This Row],[Ad_ID]],'[1]pre processed data'!A:O,15,0)</f>
        <v>$1230</v>
      </c>
      <c r="J1985" s="3">
        <f>VLOOKUP(Googleadssales[[#This Row],[Ad_ID]],'[1]pre processed data'!A:Q,17,0)</f>
        <v>45621</v>
      </c>
      <c r="K1985" t="str">
        <f>VLOOKUP(Googleadssales[[#This Row],[Ad_ID]],'[1]pre processed data'!A:R,18,0)</f>
        <v>Hyderabad</v>
      </c>
      <c r="L1985" t="str">
        <f>VLOOKUP(Googleadssales[[#This Row],[Ad_ID]],'[1]pre processed data'!A:S,19,0)</f>
        <v>Mobile</v>
      </c>
      <c r="M1985" t="str">
        <f>VLOOKUP(Googleadssales[[#This Row],[Ad_ID]],'[1]pre processed data'!A:T,20,0)</f>
        <v>learn data analytics</v>
      </c>
    </row>
    <row r="1986" spans="1:13" x14ac:dyDescent="0.3">
      <c r="A1986" t="s">
        <v>1999</v>
      </c>
      <c r="B1986" t="s">
        <v>14</v>
      </c>
      <c r="C1986" s="4">
        <f>VLOOKUP(Googleadssales[[#This Row],[Ad_ID]],'[1]pre processed data'!A:C,3,0)</f>
        <v>119</v>
      </c>
      <c r="D1986" s="4">
        <f>VLOOKUP(Googleadssales[[#This Row],[Ad_ID]],'[1]pre processed data'!A:E,5,0)</f>
        <v>5050</v>
      </c>
      <c r="E1986" s="5" t="str">
        <f>VLOOKUP(Googleadssales[[#This Row],[Ad_ID]],[1]!Table3[[Ad_ID]:[Cost-imputed]],7,0)</f>
        <v>$180.57</v>
      </c>
      <c r="F1986" s="4">
        <f>VLOOKUP(Googleadssales[[#This Row],[Ad_ID]],'[1]pre processed data'!A:I,9,0)</f>
        <v>12</v>
      </c>
      <c r="G1986" s="4">
        <f>VLOOKUP(Googleadssales[[#This Row],[Ad_ID]],'[1]pre processed data'!A:K,11,0)</f>
        <v>8</v>
      </c>
      <c r="H1986" s="2">
        <f>Googleadssales[[#This Row],[Conversions]]/Googleadssales[[#This Row],[Clicks]]</f>
        <v>6.7226890756302518E-2</v>
      </c>
      <c r="I1986" t="str">
        <f>VLOOKUP(Googleadssales[[#This Row],[Ad_ID]],'[1]pre processed data'!A:O,15,0)</f>
        <v>$1243</v>
      </c>
      <c r="J1986" s="3">
        <f>VLOOKUP(Googleadssales[[#This Row],[Ad_ID]],'[1]pre processed data'!A:Q,17,0)</f>
        <v>45600</v>
      </c>
      <c r="K1986" t="str">
        <f>VLOOKUP(Googleadssales[[#This Row],[Ad_ID]],'[1]pre processed data'!A:R,18,0)</f>
        <v>Hyderabad</v>
      </c>
      <c r="L1986" t="str">
        <f>VLOOKUP(Googleadssales[[#This Row],[Ad_ID]],'[1]pre processed data'!A:S,19,0)</f>
        <v>Mobile</v>
      </c>
      <c r="M1986" t="str">
        <f>VLOOKUP(Googleadssales[[#This Row],[Ad_ID]],'[1]pre processed data'!A:T,20,0)</f>
        <v>analytics for data</v>
      </c>
    </row>
    <row r="1987" spans="1:13" x14ac:dyDescent="0.3">
      <c r="A1987" t="s">
        <v>2000</v>
      </c>
      <c r="B1987" t="s">
        <v>14</v>
      </c>
      <c r="C1987" s="4">
        <f>VLOOKUP(Googleadssales[[#This Row],[Ad_ID]],'[1]pre processed data'!A:C,3,0)</f>
        <v>109</v>
      </c>
      <c r="D1987" s="4">
        <f>VLOOKUP(Googleadssales[[#This Row],[Ad_ID]],'[1]pre processed data'!A:E,5,0)</f>
        <v>4816</v>
      </c>
      <c r="E1987" s="5" t="str">
        <f>VLOOKUP(Googleadssales[[#This Row],[Ad_ID]],[1]!Table3[[Ad_ID]:[Cost-imputed]],7,0)</f>
        <v>$182.9</v>
      </c>
      <c r="F1987" s="4">
        <f>VLOOKUP(Googleadssales[[#This Row],[Ad_ID]],'[1]pre processed data'!A:I,9,0)</f>
        <v>27</v>
      </c>
      <c r="G1987" s="4">
        <f>VLOOKUP(Googleadssales[[#This Row],[Ad_ID]],'[1]pre processed data'!A:K,11,0)</f>
        <v>8</v>
      </c>
      <c r="H1987" s="2">
        <f>Googleadssales[[#This Row],[Conversions]]/Googleadssales[[#This Row],[Clicks]]</f>
        <v>7.3394495412844041E-2</v>
      </c>
      <c r="I1987" t="str">
        <f>VLOOKUP(Googleadssales[[#This Row],[Ad_ID]],'[1]pre processed data'!A:O,15,0)</f>
        <v>$1123</v>
      </c>
      <c r="J1987" s="3">
        <f>VLOOKUP(Googleadssales[[#This Row],[Ad_ID]],'[1]pre processed data'!A:Q,17,0)</f>
        <v>45617</v>
      </c>
      <c r="K1987" t="str">
        <f>VLOOKUP(Googleadssales[[#This Row],[Ad_ID]],'[1]pre processed data'!A:R,18,0)</f>
        <v>Bangaluru</v>
      </c>
      <c r="L1987" t="str">
        <f>VLOOKUP(Googleadssales[[#This Row],[Ad_ID]],'[1]pre processed data'!A:S,19,0)</f>
        <v>Desktop</v>
      </c>
      <c r="M1987" t="str">
        <f>VLOOKUP(Googleadssales[[#This Row],[Ad_ID]],'[1]pre processed data'!A:T,20,0)</f>
        <v>data analytics training</v>
      </c>
    </row>
    <row r="1988" spans="1:13" x14ac:dyDescent="0.3">
      <c r="A1988" t="s">
        <v>2001</v>
      </c>
      <c r="B1988" t="s">
        <v>14</v>
      </c>
      <c r="C1988" s="4">
        <f>VLOOKUP(Googleadssales[[#This Row],[Ad_ID]],'[1]pre processed data'!A:C,3,0)</f>
        <v>168</v>
      </c>
      <c r="D1988" s="4">
        <f>VLOOKUP(Googleadssales[[#This Row],[Ad_ID]],'[1]pre processed data'!A:E,5,0)</f>
        <v>4070</v>
      </c>
      <c r="E1988" s="5" t="str">
        <f>VLOOKUP(Googleadssales[[#This Row],[Ad_ID]],[1]!Table3[[Ad_ID]:[Cost-imputed]],7,0)</f>
        <v>$222.99</v>
      </c>
      <c r="F1988" s="4">
        <f>VLOOKUP(Googleadssales[[#This Row],[Ad_ID]],'[1]pre processed data'!A:I,9,0)</f>
        <v>29</v>
      </c>
      <c r="G1988" s="4">
        <f>VLOOKUP(Googleadssales[[#This Row],[Ad_ID]],'[1]pre processed data'!A:K,11,0)</f>
        <v>7</v>
      </c>
      <c r="H1988" s="2">
        <f>Googleadssales[[#This Row],[Conversions]]/Googleadssales[[#This Row],[Clicks]]</f>
        <v>4.1666666666666664E-2</v>
      </c>
      <c r="I1988" t="str">
        <f>VLOOKUP(Googleadssales[[#This Row],[Ad_ID]],'[1]pre processed data'!A:O,15,0)</f>
        <v>$1733</v>
      </c>
      <c r="J1988" s="3">
        <f>VLOOKUP(Googleadssales[[#This Row],[Ad_ID]],'[1]pre processed data'!A:Q,17,0)</f>
        <v>45608</v>
      </c>
      <c r="K1988" t="str">
        <f>VLOOKUP(Googleadssales[[#This Row],[Ad_ID]],'[1]pre processed data'!A:R,18,0)</f>
        <v>Chennai</v>
      </c>
      <c r="L1988" t="str">
        <f>VLOOKUP(Googleadssales[[#This Row],[Ad_ID]],'[1]pre processed data'!A:S,19,0)</f>
        <v>Mobile</v>
      </c>
      <c r="M1988" t="str">
        <f>VLOOKUP(Googleadssales[[#This Row],[Ad_ID]],'[1]pre processed data'!A:T,20,0)</f>
        <v>data analytics training</v>
      </c>
    </row>
    <row r="1989" spans="1:13" x14ac:dyDescent="0.3">
      <c r="A1989" t="s">
        <v>2002</v>
      </c>
      <c r="B1989" t="s">
        <v>18</v>
      </c>
      <c r="C1989" s="4">
        <f>VLOOKUP(Googleadssales[[#This Row],[Ad_ID]],'[1]pre processed data'!A:C,3,0)</f>
        <v>138.95699356913184</v>
      </c>
      <c r="D1989" s="4">
        <f>VLOOKUP(Googleadssales[[#This Row],[Ad_ID]],'[1]pre processed data'!A:E,5,0)</f>
        <v>5827</v>
      </c>
      <c r="E1989" s="5" t="str">
        <f>VLOOKUP(Googleadssales[[#This Row],[Ad_ID]],[1]!Table3[[Ad_ID]:[Cost-imputed]],7,0)</f>
        <v>$190.93</v>
      </c>
      <c r="F1989" s="4">
        <f>VLOOKUP(Googleadssales[[#This Row],[Ad_ID]],'[1]pre processed data'!A:I,9,0)</f>
        <v>14</v>
      </c>
      <c r="G1989" s="4">
        <f>VLOOKUP(Googleadssales[[#This Row],[Ad_ID]],'[1]pre processed data'!A:K,11,0)</f>
        <v>3</v>
      </c>
      <c r="H1989" s="2">
        <f>Googleadssales[[#This Row],[Conversions]]/Googleadssales[[#This Row],[Clicks]]</f>
        <v>2.1589413551232915E-2</v>
      </c>
      <c r="I1989" t="str">
        <f>VLOOKUP(Googleadssales[[#This Row],[Ad_ID]],'[1]pre processed data'!A:O,15,0)</f>
        <v>$1731</v>
      </c>
      <c r="J1989" s="3">
        <f>VLOOKUP(Googleadssales[[#This Row],[Ad_ID]],'[1]pre processed data'!A:Q,17,0)</f>
        <v>45626</v>
      </c>
      <c r="K1989" t="str">
        <f>VLOOKUP(Googleadssales[[#This Row],[Ad_ID]],'[1]pre processed data'!A:R,18,0)</f>
        <v>Hyderabad</v>
      </c>
      <c r="L1989" t="str">
        <f>VLOOKUP(Googleadssales[[#This Row],[Ad_ID]],'[1]pre processed data'!A:S,19,0)</f>
        <v>Desktop</v>
      </c>
      <c r="M1989" t="str">
        <f>VLOOKUP(Googleadssales[[#This Row],[Ad_ID]],'[1]pre processed data'!A:T,20,0)</f>
        <v>data analytics course</v>
      </c>
    </row>
    <row r="1990" spans="1:13" x14ac:dyDescent="0.3">
      <c r="A1990" t="s">
        <v>2003</v>
      </c>
      <c r="B1990" t="s">
        <v>14</v>
      </c>
      <c r="C1990" s="4">
        <f>VLOOKUP(Googleadssales[[#This Row],[Ad_ID]],'[1]pre processed data'!A:C,3,0)</f>
        <v>82</v>
      </c>
      <c r="D1990" s="4">
        <f>VLOOKUP(Googleadssales[[#This Row],[Ad_ID]],'[1]pre processed data'!A:E,5,0)</f>
        <v>4922</v>
      </c>
      <c r="E1990" s="5" t="str">
        <f>VLOOKUP(Googleadssales[[#This Row],[Ad_ID]],[1]!Table3[[Ad_ID]:[Cost-imputed]],7,0)</f>
        <v>$234.82</v>
      </c>
      <c r="F1990" s="4">
        <f>VLOOKUP(Googleadssales[[#This Row],[Ad_ID]],'[1]pre processed data'!A:I,9,0)</f>
        <v>27</v>
      </c>
      <c r="G1990" s="4">
        <f>VLOOKUP(Googleadssales[[#This Row],[Ad_ID]],'[1]pre processed data'!A:K,11,0)</f>
        <v>10</v>
      </c>
      <c r="H1990" s="2">
        <f>Googleadssales[[#This Row],[Conversions]]/Googleadssales[[#This Row],[Clicks]]</f>
        <v>0.12195121951219512</v>
      </c>
      <c r="I1990" t="str">
        <f>VLOOKUP(Googleadssales[[#This Row],[Ad_ID]],'[1]pre processed data'!A:O,15,0)</f>
        <v>$1556</v>
      </c>
      <c r="J1990" s="3">
        <f>VLOOKUP(Googleadssales[[#This Row],[Ad_ID]],'[1]pre processed data'!A:Q,17,0)</f>
        <v>45613</v>
      </c>
      <c r="K1990" t="str">
        <f>VLOOKUP(Googleadssales[[#This Row],[Ad_ID]],'[1]pre processed data'!A:R,18,0)</f>
        <v>Hyderabad</v>
      </c>
      <c r="L1990" t="str">
        <f>VLOOKUP(Googleadssales[[#This Row],[Ad_ID]],'[1]pre processed data'!A:S,19,0)</f>
        <v>Desktop</v>
      </c>
      <c r="M1990" t="str">
        <f>VLOOKUP(Googleadssales[[#This Row],[Ad_ID]],'[1]pre processed data'!A:T,20,0)</f>
        <v>data analytics training</v>
      </c>
    </row>
    <row r="1991" spans="1:13" x14ac:dyDescent="0.3">
      <c r="A1991" t="s">
        <v>2004</v>
      </c>
      <c r="B1991" t="s">
        <v>14</v>
      </c>
      <c r="C1991" s="4">
        <f>VLOOKUP(Googleadssales[[#This Row],[Ad_ID]],'[1]pre processed data'!A:C,3,0)</f>
        <v>112</v>
      </c>
      <c r="D1991" s="4">
        <f>VLOOKUP(Googleadssales[[#This Row],[Ad_ID]],'[1]pre processed data'!A:E,5,0)</f>
        <v>4277</v>
      </c>
      <c r="E1991" s="5" t="str">
        <f>VLOOKUP(Googleadssales[[#This Row],[Ad_ID]],[1]!Table3[[Ad_ID]:[Cost-imputed]],7,0)</f>
        <v>$249.65</v>
      </c>
      <c r="F1991" s="4">
        <f>VLOOKUP(Googleadssales[[#This Row],[Ad_ID]],'[1]pre processed data'!A:I,9,0)</f>
        <v>27</v>
      </c>
      <c r="G1991" s="4">
        <f>VLOOKUP(Googleadssales[[#This Row],[Ad_ID]],'[1]pre processed data'!A:K,11,0)</f>
        <v>3</v>
      </c>
      <c r="H1991" s="2">
        <f>Googleadssales[[#This Row],[Conversions]]/Googleadssales[[#This Row],[Clicks]]</f>
        <v>2.6785714285714284E-2</v>
      </c>
      <c r="I1991" t="str">
        <f>VLOOKUP(Googleadssales[[#This Row],[Ad_ID]],'[1]pre processed data'!A:O,15,0)</f>
        <v>$1953</v>
      </c>
      <c r="J1991" s="3">
        <f>VLOOKUP(Googleadssales[[#This Row],[Ad_ID]],'[1]pre processed data'!A:Q,17,0)</f>
        <v>45622</v>
      </c>
      <c r="K1991" t="str">
        <f>VLOOKUP(Googleadssales[[#This Row],[Ad_ID]],'[1]pre processed data'!A:R,18,0)</f>
        <v>Hyderabad</v>
      </c>
      <c r="L1991" t="str">
        <f>VLOOKUP(Googleadssales[[#This Row],[Ad_ID]],'[1]pre processed data'!A:S,19,0)</f>
        <v>Tablet</v>
      </c>
      <c r="M1991" t="str">
        <f>VLOOKUP(Googleadssales[[#This Row],[Ad_ID]],'[1]pre processed data'!A:T,20,0)</f>
        <v>data analytics online</v>
      </c>
    </row>
    <row r="1992" spans="1:13" x14ac:dyDescent="0.3">
      <c r="A1992" t="s">
        <v>2005</v>
      </c>
      <c r="B1992" t="s">
        <v>14</v>
      </c>
      <c r="C1992" s="4">
        <f>VLOOKUP(Googleadssales[[#This Row],[Ad_ID]],'[1]pre processed data'!A:C,3,0)</f>
        <v>99</v>
      </c>
      <c r="D1992" s="4">
        <f>VLOOKUP(Googleadssales[[#This Row],[Ad_ID]],'[1]pre processed data'!A:E,5,0)</f>
        <v>3418</v>
      </c>
      <c r="E1992" s="5" t="str">
        <f>VLOOKUP(Googleadssales[[#This Row],[Ad_ID]],[1]!Table3[[Ad_ID]:[Cost-imputed]],7,0)</f>
        <v>$195.91</v>
      </c>
      <c r="F1992" s="4">
        <f>VLOOKUP(Googleadssales[[#This Row],[Ad_ID]],'[1]pre processed data'!A:I,9,0)</f>
        <v>19</v>
      </c>
      <c r="G1992" s="4">
        <f>VLOOKUP(Googleadssales[[#This Row],[Ad_ID]],'[1]pre processed data'!A:K,11,0)</f>
        <v>10</v>
      </c>
      <c r="H1992" s="2">
        <f>Googleadssales[[#This Row],[Conversions]]/Googleadssales[[#This Row],[Clicks]]</f>
        <v>0.10101010101010101</v>
      </c>
      <c r="I1992" t="str">
        <f>VLOOKUP(Googleadssales[[#This Row],[Ad_ID]],'[1]pre processed data'!A:O,15,0)</f>
        <v>$1242</v>
      </c>
      <c r="J1992" s="3">
        <f>VLOOKUP(Googleadssales[[#This Row],[Ad_ID]],'[1]pre processed data'!A:Q,17,0)</f>
        <v>45600</v>
      </c>
      <c r="K1992" t="str">
        <f>VLOOKUP(Googleadssales[[#This Row],[Ad_ID]],'[1]pre processed data'!A:R,18,0)</f>
        <v>Chennai</v>
      </c>
      <c r="L1992" t="str">
        <f>VLOOKUP(Googleadssales[[#This Row],[Ad_ID]],'[1]pre processed data'!A:S,19,0)</f>
        <v>Desktop</v>
      </c>
      <c r="M1992" t="str">
        <f>VLOOKUP(Googleadssales[[#This Row],[Ad_ID]],'[1]pre processed data'!A:T,20,0)</f>
        <v>data analytics training</v>
      </c>
    </row>
    <row r="1993" spans="1:13" x14ac:dyDescent="0.3">
      <c r="A1993" t="s">
        <v>2006</v>
      </c>
      <c r="B1993" t="s">
        <v>14</v>
      </c>
      <c r="C1993" s="4">
        <f>VLOOKUP(Googleadssales[[#This Row],[Ad_ID]],'[1]pre processed data'!A:C,3,0)</f>
        <v>89</v>
      </c>
      <c r="D1993" s="4">
        <f>VLOOKUP(Googleadssales[[#This Row],[Ad_ID]],'[1]pre processed data'!A:E,5,0)</f>
        <v>3363</v>
      </c>
      <c r="E1993" s="5" t="str">
        <f>VLOOKUP(Googleadssales[[#This Row],[Ad_ID]],[1]!Table3[[Ad_ID]:[Cost-imputed]],7,0)</f>
        <v>$220.07</v>
      </c>
      <c r="F1993" s="4">
        <f>VLOOKUP(Googleadssales[[#This Row],[Ad_ID]],'[1]pre processed data'!A:I,9,0)</f>
        <v>26</v>
      </c>
      <c r="G1993" s="4">
        <f>VLOOKUP(Googleadssales[[#This Row],[Ad_ID]],'[1]pre processed data'!A:K,11,0)</f>
        <v>6.4863013698630141</v>
      </c>
      <c r="H1993" s="2">
        <f>Googleadssales[[#This Row],[Conversions]]/Googleadssales[[#This Row],[Clicks]]</f>
        <v>7.2879790672618142E-2</v>
      </c>
      <c r="I1993" t="str">
        <f>VLOOKUP(Googleadssales[[#This Row],[Ad_ID]],'[1]pre processed data'!A:O,15,0)</f>
        <v>$1939</v>
      </c>
      <c r="J1993" s="3">
        <f>VLOOKUP(Googleadssales[[#This Row],[Ad_ID]],'[1]pre processed data'!A:Q,17,0)</f>
        <v>45605</v>
      </c>
      <c r="K1993" t="str">
        <f>VLOOKUP(Googleadssales[[#This Row],[Ad_ID]],'[1]pre processed data'!A:R,18,0)</f>
        <v>Chennai</v>
      </c>
      <c r="L1993" t="str">
        <f>VLOOKUP(Googleadssales[[#This Row],[Ad_ID]],'[1]pre processed data'!A:S,19,0)</f>
        <v>Desktop</v>
      </c>
      <c r="M1993" t="str">
        <f>VLOOKUP(Googleadssales[[#This Row],[Ad_ID]],'[1]pre processed data'!A:T,20,0)</f>
        <v>data analytics course</v>
      </c>
    </row>
    <row r="1994" spans="1:13" x14ac:dyDescent="0.3">
      <c r="A1994" t="s">
        <v>2007</v>
      </c>
      <c r="B1994" t="s">
        <v>18</v>
      </c>
      <c r="C1994" s="4">
        <f>VLOOKUP(Googleadssales[[#This Row],[Ad_ID]],'[1]pre processed data'!A:C,3,0)</f>
        <v>154</v>
      </c>
      <c r="D1994" s="4">
        <f>VLOOKUP(Googleadssales[[#This Row],[Ad_ID]],'[1]pre processed data'!A:E,5,0)</f>
        <v>4828</v>
      </c>
      <c r="E1994" s="5" t="str">
        <f>VLOOKUP(Googleadssales[[#This Row],[Ad_ID]],[1]!Table3[[Ad_ID]:[Cost-imputed]],7,0)</f>
        <v>$233.39</v>
      </c>
      <c r="F1994" s="4">
        <f>VLOOKUP(Googleadssales[[#This Row],[Ad_ID]],'[1]pre processed data'!A:I,9,0)</f>
        <v>24</v>
      </c>
      <c r="G1994" s="4">
        <f>VLOOKUP(Googleadssales[[#This Row],[Ad_ID]],'[1]pre processed data'!A:K,11,0)</f>
        <v>6</v>
      </c>
      <c r="H1994" s="2">
        <f>Googleadssales[[#This Row],[Conversions]]/Googleadssales[[#This Row],[Clicks]]</f>
        <v>3.896103896103896E-2</v>
      </c>
      <c r="I1994" t="str">
        <f>VLOOKUP(Googleadssales[[#This Row],[Ad_ID]],'[1]pre processed data'!A:O,15,0)</f>
        <v>$1661</v>
      </c>
      <c r="J1994" s="3">
        <f>VLOOKUP(Googleadssales[[#This Row],[Ad_ID]],'[1]pre processed data'!A:Q,17,0)</f>
        <v>45598</v>
      </c>
      <c r="K1994" t="str">
        <f>VLOOKUP(Googleadssales[[#This Row],[Ad_ID]],'[1]pre processed data'!A:R,18,0)</f>
        <v>Bangaluru</v>
      </c>
      <c r="L1994" t="str">
        <f>VLOOKUP(Googleadssales[[#This Row],[Ad_ID]],'[1]pre processed data'!A:S,19,0)</f>
        <v>Tablet</v>
      </c>
      <c r="M1994" t="str">
        <f>VLOOKUP(Googleadssales[[#This Row],[Ad_ID]],'[1]pre processed data'!A:T,20,0)</f>
        <v>learn data analytics</v>
      </c>
    </row>
    <row r="1995" spans="1:13" x14ac:dyDescent="0.3">
      <c r="A1995" t="s">
        <v>2008</v>
      </c>
      <c r="B1995" t="s">
        <v>18</v>
      </c>
      <c r="C1995" s="4">
        <f>VLOOKUP(Googleadssales[[#This Row],[Ad_ID]],'[1]pre processed data'!A:C,3,0)</f>
        <v>155</v>
      </c>
      <c r="D1995" s="4">
        <f>VLOOKUP(Googleadssales[[#This Row],[Ad_ID]],'[1]pre processed data'!A:E,5,0)</f>
        <v>4135</v>
      </c>
      <c r="E1995" s="5" t="str">
        <f>VLOOKUP(Googleadssales[[#This Row],[Ad_ID]],[1]!Table3[[Ad_ID]:[Cost-imputed]],7,0)</f>
        <v>$226.66</v>
      </c>
      <c r="F1995" s="4">
        <f>VLOOKUP(Googleadssales[[#This Row],[Ad_ID]],'[1]pre processed data'!A:I,9,0)</f>
        <v>26</v>
      </c>
      <c r="G1995" s="4">
        <f>VLOOKUP(Googleadssales[[#This Row],[Ad_ID]],'[1]pre processed data'!A:K,11,0)</f>
        <v>7</v>
      </c>
      <c r="H1995" s="2">
        <f>Googleadssales[[#This Row],[Conversions]]/Googleadssales[[#This Row],[Clicks]]</f>
        <v>4.5161290322580643E-2</v>
      </c>
      <c r="I1995" t="str">
        <f>VLOOKUP(Googleadssales[[#This Row],[Ad_ID]],'[1]pre processed data'!A:O,15,0)</f>
        <v>$1442</v>
      </c>
      <c r="J1995" s="3">
        <f>VLOOKUP(Googleadssales[[#This Row],[Ad_ID]],'[1]pre processed data'!A:Q,17,0)</f>
        <v>45618</v>
      </c>
      <c r="K1995" t="str">
        <f>VLOOKUP(Googleadssales[[#This Row],[Ad_ID]],'[1]pre processed data'!A:R,18,0)</f>
        <v>Hyderabad</v>
      </c>
      <c r="L1995" t="str">
        <f>VLOOKUP(Googleadssales[[#This Row],[Ad_ID]],'[1]pre processed data'!A:S,19,0)</f>
        <v>Tablet</v>
      </c>
      <c r="M1995" t="str">
        <f>VLOOKUP(Googleadssales[[#This Row],[Ad_ID]],'[1]pre processed data'!A:T,20,0)</f>
        <v>analytics for data</v>
      </c>
    </row>
    <row r="1996" spans="1:13" x14ac:dyDescent="0.3">
      <c r="A1996" t="s">
        <v>2009</v>
      </c>
      <c r="B1996" t="s">
        <v>18</v>
      </c>
      <c r="C1996" s="4">
        <f>VLOOKUP(Googleadssales[[#This Row],[Ad_ID]],'[1]pre processed data'!A:C,3,0)</f>
        <v>188</v>
      </c>
      <c r="D1996" s="4">
        <f>VLOOKUP(Googleadssales[[#This Row],[Ad_ID]],'[1]pre processed data'!A:E,5,0)</f>
        <v>5254</v>
      </c>
      <c r="E1996" s="5" t="str">
        <f>VLOOKUP(Googleadssales[[#This Row],[Ad_ID]],[1]!Table3[[Ad_ID]:[Cost-imputed]],7,0)</f>
        <v>$190.43</v>
      </c>
      <c r="F1996" s="4">
        <f>VLOOKUP(Googleadssales[[#This Row],[Ad_ID]],'[1]pre processed data'!A:I,9,0)</f>
        <v>27</v>
      </c>
      <c r="G1996" s="4">
        <f>VLOOKUP(Googleadssales[[#This Row],[Ad_ID]],'[1]pre processed data'!A:K,11,0)</f>
        <v>7</v>
      </c>
      <c r="H1996" s="2">
        <f>Googleadssales[[#This Row],[Conversions]]/Googleadssales[[#This Row],[Clicks]]</f>
        <v>3.7234042553191488E-2</v>
      </c>
      <c r="I1996" t="str">
        <f>VLOOKUP(Googleadssales[[#This Row],[Ad_ID]],'[1]pre processed data'!A:O,15,0)</f>
        <v>$1821</v>
      </c>
      <c r="J1996" s="3">
        <f>VLOOKUP(Googleadssales[[#This Row],[Ad_ID]],'[1]pre processed data'!A:Q,17,0)</f>
        <v>45612</v>
      </c>
      <c r="K1996" t="str">
        <f>VLOOKUP(Googleadssales[[#This Row],[Ad_ID]],'[1]pre processed data'!A:R,18,0)</f>
        <v>Hyderabad</v>
      </c>
      <c r="L1996" t="str">
        <f>VLOOKUP(Googleadssales[[#This Row],[Ad_ID]],'[1]pre processed data'!A:S,19,0)</f>
        <v>Desktop</v>
      </c>
      <c r="M1996" t="str">
        <f>VLOOKUP(Googleadssales[[#This Row],[Ad_ID]],'[1]pre processed data'!A:T,20,0)</f>
        <v>online data analytic</v>
      </c>
    </row>
    <row r="1997" spans="1:13" x14ac:dyDescent="0.3">
      <c r="A1997" t="s">
        <v>2010</v>
      </c>
      <c r="B1997" t="s">
        <v>14</v>
      </c>
      <c r="C1997" s="4">
        <f>VLOOKUP(Googleadssales[[#This Row],[Ad_ID]],'[1]pre processed data'!A:C,3,0)</f>
        <v>83</v>
      </c>
      <c r="D1997" s="4">
        <f>VLOOKUP(Googleadssales[[#This Row],[Ad_ID]],'[1]pre processed data'!A:E,5,0)</f>
        <v>4439</v>
      </c>
      <c r="E1997" s="5" t="str">
        <f>VLOOKUP(Googleadssales[[#This Row],[Ad_ID]],[1]!Table3[[Ad_ID]:[Cost-imputed]],7,0)</f>
        <v>$232.13</v>
      </c>
      <c r="F1997" s="4">
        <f>VLOOKUP(Googleadssales[[#This Row],[Ad_ID]],'[1]pre processed data'!A:I,9,0)</f>
        <v>28</v>
      </c>
      <c r="G1997" s="4">
        <f>VLOOKUP(Googleadssales[[#This Row],[Ad_ID]],'[1]pre processed data'!A:K,11,0)</f>
        <v>7</v>
      </c>
      <c r="H1997" s="2">
        <f>Googleadssales[[#This Row],[Conversions]]/Googleadssales[[#This Row],[Clicks]]</f>
        <v>8.4337349397590355E-2</v>
      </c>
      <c r="I1997" t="str">
        <f>VLOOKUP(Googleadssales[[#This Row],[Ad_ID]],'[1]pre processed data'!A:O,15,0)</f>
        <v>$1570</v>
      </c>
      <c r="J1997" s="3">
        <f>VLOOKUP(Googleadssales[[#This Row],[Ad_ID]],'[1]pre processed data'!A:Q,17,0)</f>
        <v>45615</v>
      </c>
      <c r="K1997" t="str">
        <f>VLOOKUP(Googleadssales[[#This Row],[Ad_ID]],'[1]pre processed data'!A:R,18,0)</f>
        <v>Hyderabad</v>
      </c>
      <c r="L1997" t="str">
        <f>VLOOKUP(Googleadssales[[#This Row],[Ad_ID]],'[1]pre processed data'!A:S,19,0)</f>
        <v>Mobile</v>
      </c>
      <c r="M1997" t="str">
        <f>VLOOKUP(Googleadssales[[#This Row],[Ad_ID]],'[1]pre processed data'!A:T,20,0)</f>
        <v>data analytics training</v>
      </c>
    </row>
    <row r="1998" spans="1:13" x14ac:dyDescent="0.3">
      <c r="A1998" t="s">
        <v>2011</v>
      </c>
      <c r="B1998" t="s">
        <v>18</v>
      </c>
      <c r="C1998" s="4">
        <f>VLOOKUP(Googleadssales[[#This Row],[Ad_ID]],'[1]pre processed data'!A:C,3,0)</f>
        <v>127</v>
      </c>
      <c r="D1998" s="4">
        <f>VLOOKUP(Googleadssales[[#This Row],[Ad_ID]],'[1]pre processed data'!A:E,5,0)</f>
        <v>3053</v>
      </c>
      <c r="E1998" s="5" t="str">
        <f>VLOOKUP(Googleadssales[[#This Row],[Ad_ID]],[1]!Table3[[Ad_ID]:[Cost-imputed]],7,0)</f>
        <v>$183.57</v>
      </c>
      <c r="F1998" s="4">
        <f>VLOOKUP(Googleadssales[[#This Row],[Ad_ID]],'[1]pre processed data'!A:I,9,0)</f>
        <v>10</v>
      </c>
      <c r="G1998" s="4">
        <f>VLOOKUP(Googleadssales[[#This Row],[Ad_ID]],'[1]pre processed data'!A:K,11,0)</f>
        <v>8</v>
      </c>
      <c r="H1998" s="2">
        <f>Googleadssales[[#This Row],[Conversions]]/Googleadssales[[#This Row],[Clicks]]</f>
        <v>6.2992125984251968E-2</v>
      </c>
      <c r="I1998" t="str">
        <f>VLOOKUP(Googleadssales[[#This Row],[Ad_ID]],'[1]pre processed data'!A:O,15,0)</f>
        <v>$1669</v>
      </c>
      <c r="J1998" s="3">
        <f>VLOOKUP(Googleadssales[[#This Row],[Ad_ID]],'[1]pre processed data'!A:Q,17,0)</f>
        <v>45609</v>
      </c>
      <c r="K1998" t="str">
        <f>VLOOKUP(Googleadssales[[#This Row],[Ad_ID]],'[1]pre processed data'!A:R,18,0)</f>
        <v>Hyderabad</v>
      </c>
      <c r="L1998" t="str">
        <f>VLOOKUP(Googleadssales[[#This Row],[Ad_ID]],'[1]pre processed data'!A:S,19,0)</f>
        <v>Tablet</v>
      </c>
      <c r="M1998" t="str">
        <f>VLOOKUP(Googleadssales[[#This Row],[Ad_ID]],'[1]pre processed data'!A:T,20,0)</f>
        <v>data analytics course</v>
      </c>
    </row>
    <row r="1999" spans="1:13" x14ac:dyDescent="0.3">
      <c r="A1999" t="s">
        <v>2012</v>
      </c>
      <c r="B1999" t="s">
        <v>18</v>
      </c>
      <c r="C1999" s="4">
        <f>VLOOKUP(Googleadssales[[#This Row],[Ad_ID]],'[1]pre processed data'!A:C,3,0)</f>
        <v>141</v>
      </c>
      <c r="D1999" s="4">
        <f>VLOOKUP(Googleadssales[[#This Row],[Ad_ID]],'[1]pre processed data'!A:E,5,0)</f>
        <v>5550</v>
      </c>
      <c r="E1999" s="5" t="str">
        <f>VLOOKUP(Googleadssales[[#This Row],[Ad_ID]],[1]!Table3[[Ad_ID]:[Cost-imputed]],7,0)</f>
        <v>$213.82</v>
      </c>
      <c r="F1999" s="4">
        <f>VLOOKUP(Googleadssales[[#This Row],[Ad_ID]],'[1]pre processed data'!A:I,9,0)</f>
        <v>20.35593220338983</v>
      </c>
      <c r="G1999" s="4">
        <f>VLOOKUP(Googleadssales[[#This Row],[Ad_ID]],'[1]pre processed data'!A:K,11,0)</f>
        <v>10</v>
      </c>
      <c r="H1999" s="2">
        <f>Googleadssales[[#This Row],[Conversions]]/Googleadssales[[#This Row],[Clicks]]</f>
        <v>7.0921985815602842E-2</v>
      </c>
      <c r="I1999" t="str">
        <f>VLOOKUP(Googleadssales[[#This Row],[Ad_ID]],'[1]pre processed data'!A:O,15,0)</f>
        <v>$1545</v>
      </c>
      <c r="J1999" s="3">
        <f>VLOOKUP(Googleadssales[[#This Row],[Ad_ID]],'[1]pre processed data'!A:Q,17,0)</f>
        <v>45611</v>
      </c>
      <c r="K1999" t="str">
        <f>VLOOKUP(Googleadssales[[#This Row],[Ad_ID]],'[1]pre processed data'!A:R,18,0)</f>
        <v>Chennai</v>
      </c>
      <c r="L1999" t="str">
        <f>VLOOKUP(Googleadssales[[#This Row],[Ad_ID]],'[1]pre processed data'!A:S,19,0)</f>
        <v>Tablet</v>
      </c>
      <c r="M1999" t="str">
        <f>VLOOKUP(Googleadssales[[#This Row],[Ad_ID]],'[1]pre processed data'!A:T,20,0)</f>
        <v>data analytics online</v>
      </c>
    </row>
    <row r="2000" spans="1:13" x14ac:dyDescent="0.3">
      <c r="A2000" t="s">
        <v>2013</v>
      </c>
      <c r="B2000" t="s">
        <v>14</v>
      </c>
      <c r="C2000" s="4">
        <f>VLOOKUP(Googleadssales[[#This Row],[Ad_ID]],'[1]pre processed data'!A:C,3,0)</f>
        <v>149</v>
      </c>
      <c r="D2000" s="4">
        <f>VLOOKUP(Googleadssales[[#This Row],[Ad_ID]],'[1]pre processed data'!A:E,5,0)</f>
        <v>4678</v>
      </c>
      <c r="E2000" s="5" t="str">
        <f>VLOOKUP(Googleadssales[[#This Row],[Ad_ID]],[1]!Table3[[Ad_ID]:[Cost-imputed]],7,0)</f>
        <v>$241.41</v>
      </c>
      <c r="F2000" s="4">
        <f>VLOOKUP(Googleadssales[[#This Row],[Ad_ID]],'[1]pre processed data'!A:I,9,0)</f>
        <v>11</v>
      </c>
      <c r="G2000" s="4">
        <f>VLOOKUP(Googleadssales[[#This Row],[Ad_ID]],'[1]pre processed data'!A:K,11,0)</f>
        <v>6</v>
      </c>
      <c r="H2000" s="2">
        <f>Googleadssales[[#This Row],[Conversions]]/Googleadssales[[#This Row],[Clicks]]</f>
        <v>4.0268456375838924E-2</v>
      </c>
      <c r="I2000" t="str">
        <f>VLOOKUP(Googleadssales[[#This Row],[Ad_ID]],'[1]pre processed data'!A:O,15,0)</f>
        <v>$1106</v>
      </c>
      <c r="J2000" s="3">
        <f>VLOOKUP(Googleadssales[[#This Row],[Ad_ID]],'[1]pre processed data'!A:Q,17,0)</f>
        <v>45600</v>
      </c>
      <c r="K2000" t="str">
        <f>VLOOKUP(Googleadssales[[#This Row],[Ad_ID]],'[1]pre processed data'!A:R,18,0)</f>
        <v>Bangaluru</v>
      </c>
      <c r="L2000" t="str">
        <f>VLOOKUP(Googleadssales[[#This Row],[Ad_ID]],'[1]pre processed data'!A:S,19,0)</f>
        <v>Desktop</v>
      </c>
      <c r="M2000" t="str">
        <f>VLOOKUP(Googleadssales[[#This Row],[Ad_ID]],'[1]pre processed data'!A:T,20,0)</f>
        <v>analytics for data</v>
      </c>
    </row>
    <row r="2001" spans="1:13" x14ac:dyDescent="0.3">
      <c r="A2001" t="s">
        <v>2014</v>
      </c>
      <c r="B2001" t="s">
        <v>14</v>
      </c>
      <c r="C2001" s="4">
        <f>VLOOKUP(Googleadssales[[#This Row],[Ad_ID]],'[1]pre processed data'!A:C,3,0)</f>
        <v>152</v>
      </c>
      <c r="D2001" s="4">
        <f>VLOOKUP(Googleadssales[[#This Row],[Ad_ID]],'[1]pre processed data'!A:E,5,0)</f>
        <v>3036</v>
      </c>
      <c r="E2001" s="5" t="str">
        <f>VLOOKUP(Googleadssales[[#This Row],[Ad_ID]],[1]!Table3[[Ad_ID]:[Cost-imputed]],7,0)</f>
        <v>$210.78</v>
      </c>
      <c r="F2001" s="4">
        <f>VLOOKUP(Googleadssales[[#This Row],[Ad_ID]],'[1]pre processed data'!A:I,9,0)</f>
        <v>12</v>
      </c>
      <c r="G2001" s="4">
        <f>VLOOKUP(Googleadssales[[#This Row],[Ad_ID]],'[1]pre processed data'!A:K,11,0)</f>
        <v>6</v>
      </c>
      <c r="H2001" s="2">
        <f>Googleadssales[[#This Row],[Conversions]]/Googleadssales[[#This Row],[Clicks]]</f>
        <v>3.9473684210526314E-2</v>
      </c>
      <c r="I2001" t="str">
        <f>VLOOKUP(Googleadssales[[#This Row],[Ad_ID]],'[1]pre processed data'!A:O,15,0)</f>
        <v>$1074</v>
      </c>
      <c r="J2001" s="3">
        <f>VLOOKUP(Googleadssales[[#This Row],[Ad_ID]],'[1]pre processed data'!A:Q,17,0)</f>
        <v>45606</v>
      </c>
      <c r="K2001" t="str">
        <f>VLOOKUP(Googleadssales[[#This Row],[Ad_ID]],'[1]pre processed data'!A:R,18,0)</f>
        <v>Hyderabad</v>
      </c>
      <c r="L2001" t="str">
        <f>VLOOKUP(Googleadssales[[#This Row],[Ad_ID]],'[1]pre processed data'!A:S,19,0)</f>
        <v>Tablet</v>
      </c>
      <c r="M2001" t="str">
        <f>VLOOKUP(Googleadssales[[#This Row],[Ad_ID]],'[1]pre processed data'!A:T,20,0)</f>
        <v>data analytics online</v>
      </c>
    </row>
    <row r="2002" spans="1:13" x14ac:dyDescent="0.3">
      <c r="A2002" t="s">
        <v>2015</v>
      </c>
      <c r="B2002" t="s">
        <v>14</v>
      </c>
      <c r="C2002" s="4">
        <f>VLOOKUP(Googleadssales[[#This Row],[Ad_ID]],'[1]pre processed data'!A:C,3,0)</f>
        <v>123</v>
      </c>
      <c r="D2002" s="4">
        <f>VLOOKUP(Googleadssales[[#This Row],[Ad_ID]],'[1]pre processed data'!A:E,5,0)</f>
        <v>5050</v>
      </c>
      <c r="E2002" s="5" t="str">
        <f>VLOOKUP(Googleadssales[[#This Row],[Ad_ID]],[1]!Table3[[Ad_ID]:[Cost-imputed]],7,0)</f>
        <v>$247.93</v>
      </c>
      <c r="F2002" s="4">
        <f>VLOOKUP(Googleadssales[[#This Row],[Ad_ID]],'[1]pre processed data'!A:I,9,0)</f>
        <v>11</v>
      </c>
      <c r="G2002" s="4">
        <f>VLOOKUP(Googleadssales[[#This Row],[Ad_ID]],'[1]pre processed data'!A:K,11,0)</f>
        <v>8</v>
      </c>
      <c r="H2002" s="2">
        <f>Googleadssales[[#This Row],[Conversions]]/Googleadssales[[#This Row],[Clicks]]</f>
        <v>6.5040650406504072E-2</v>
      </c>
      <c r="I2002" t="str">
        <f>VLOOKUP(Googleadssales[[#This Row],[Ad_ID]],'[1]pre processed data'!A:O,15,0)</f>
        <v>$1755</v>
      </c>
      <c r="J2002" s="3">
        <f>VLOOKUP(Googleadssales[[#This Row],[Ad_ID]],'[1]pre processed data'!A:Q,17,0)</f>
        <v>45625</v>
      </c>
      <c r="K2002" t="str">
        <f>VLOOKUP(Googleadssales[[#This Row],[Ad_ID]],'[1]pre processed data'!A:R,18,0)</f>
        <v>Bangaluru</v>
      </c>
      <c r="L2002" t="str">
        <f>VLOOKUP(Googleadssales[[#This Row],[Ad_ID]],'[1]pre processed data'!A:S,19,0)</f>
        <v>Tablet</v>
      </c>
      <c r="M2002" t="str">
        <f>VLOOKUP(Googleadssales[[#This Row],[Ad_ID]],'[1]pre processed data'!A:T,20,0)</f>
        <v>analytics for data</v>
      </c>
    </row>
    <row r="2003" spans="1:13" x14ac:dyDescent="0.3">
      <c r="A2003" t="s">
        <v>2016</v>
      </c>
      <c r="B2003" t="s">
        <v>14</v>
      </c>
      <c r="C2003" s="4">
        <f>VLOOKUP(Googleadssales[[#This Row],[Ad_ID]],'[1]pre processed data'!A:C,3,0)</f>
        <v>137</v>
      </c>
      <c r="D2003" s="4">
        <f>VLOOKUP(Googleadssales[[#This Row],[Ad_ID]],'[1]pre processed data'!A:E,5,0)</f>
        <v>5057</v>
      </c>
      <c r="E2003" s="5" t="str">
        <f>VLOOKUP(Googleadssales[[#This Row],[Ad_ID]],[1]!Table3[[Ad_ID]:[Cost-imputed]],7,0)</f>
        <v>$194.11</v>
      </c>
      <c r="F2003" s="4">
        <f>VLOOKUP(Googleadssales[[#This Row],[Ad_ID]],'[1]pre processed data'!A:I,9,0)</f>
        <v>11</v>
      </c>
      <c r="G2003" s="4">
        <f>VLOOKUP(Googleadssales[[#This Row],[Ad_ID]],'[1]pre processed data'!A:K,11,0)</f>
        <v>6</v>
      </c>
      <c r="H2003" s="2">
        <f>Googleadssales[[#This Row],[Conversions]]/Googleadssales[[#This Row],[Clicks]]</f>
        <v>4.3795620437956206E-2</v>
      </c>
      <c r="I2003" t="str">
        <f>VLOOKUP(Googleadssales[[#This Row],[Ad_ID]],'[1]pre processed data'!A:O,15,0)</f>
        <v>$1206</v>
      </c>
      <c r="J2003" s="3">
        <f>VLOOKUP(Googleadssales[[#This Row],[Ad_ID]],'[1]pre processed data'!A:Q,17,0)</f>
        <v>45605</v>
      </c>
      <c r="K2003" t="str">
        <f>VLOOKUP(Googleadssales[[#This Row],[Ad_ID]],'[1]pre processed data'!A:R,18,0)</f>
        <v>Chennai</v>
      </c>
      <c r="L2003" t="str">
        <f>VLOOKUP(Googleadssales[[#This Row],[Ad_ID]],'[1]pre processed data'!A:S,19,0)</f>
        <v>Desktop</v>
      </c>
      <c r="M2003" t="str">
        <f>VLOOKUP(Googleadssales[[#This Row],[Ad_ID]],'[1]pre processed data'!A:T,20,0)</f>
        <v>data analytics course</v>
      </c>
    </row>
    <row r="2004" spans="1:13" x14ac:dyDescent="0.3">
      <c r="A2004" t="s">
        <v>2017</v>
      </c>
      <c r="B2004" t="s">
        <v>14</v>
      </c>
      <c r="C2004" s="4">
        <f>VLOOKUP(Googleadssales[[#This Row],[Ad_ID]],'[1]pre processed data'!A:C,3,0)</f>
        <v>93</v>
      </c>
      <c r="D2004" s="4">
        <f>VLOOKUP(Googleadssales[[#This Row],[Ad_ID]],'[1]pre processed data'!A:E,5,0)</f>
        <v>5346</v>
      </c>
      <c r="E2004" s="5" t="str">
        <f>VLOOKUP(Googleadssales[[#This Row],[Ad_ID]],[1]!Table3[[Ad_ID]:[Cost-imputed]],7,0)</f>
        <v>$197.78</v>
      </c>
      <c r="F2004" s="4">
        <f>VLOOKUP(Googleadssales[[#This Row],[Ad_ID]],'[1]pre processed data'!A:I,9,0)</f>
        <v>15</v>
      </c>
      <c r="G2004" s="4">
        <f>VLOOKUP(Googleadssales[[#This Row],[Ad_ID]],'[1]pre processed data'!A:K,11,0)</f>
        <v>8</v>
      </c>
      <c r="H2004" s="2">
        <f>Googleadssales[[#This Row],[Conversions]]/Googleadssales[[#This Row],[Clicks]]</f>
        <v>8.6021505376344093E-2</v>
      </c>
      <c r="I2004" t="str">
        <f>VLOOKUP(Googleadssales[[#This Row],[Ad_ID]],'[1]pre processed data'!A:O,15,0)</f>
        <v>$1036</v>
      </c>
      <c r="J2004" s="3">
        <f>VLOOKUP(Googleadssales[[#This Row],[Ad_ID]],'[1]pre processed data'!A:Q,17,0)</f>
        <v>45611</v>
      </c>
      <c r="K2004" t="str">
        <f>VLOOKUP(Googleadssales[[#This Row],[Ad_ID]],'[1]pre processed data'!A:R,18,0)</f>
        <v>Chennai</v>
      </c>
      <c r="L2004" t="str">
        <f>VLOOKUP(Googleadssales[[#This Row],[Ad_ID]],'[1]pre processed data'!A:S,19,0)</f>
        <v>Tablet</v>
      </c>
      <c r="M2004" t="str">
        <f>VLOOKUP(Googleadssales[[#This Row],[Ad_ID]],'[1]pre processed data'!A:T,20,0)</f>
        <v>data analytics online</v>
      </c>
    </row>
    <row r="2005" spans="1:13" x14ac:dyDescent="0.3">
      <c r="A2005" t="s">
        <v>2018</v>
      </c>
      <c r="B2005" t="s">
        <v>14</v>
      </c>
      <c r="C2005" s="4">
        <f>VLOOKUP(Googleadssales[[#This Row],[Ad_ID]],'[1]pre processed data'!A:C,3,0)</f>
        <v>150</v>
      </c>
      <c r="D2005" s="4">
        <f>VLOOKUP(Googleadssales[[#This Row],[Ad_ID]],'[1]pre processed data'!A:E,5,0)</f>
        <v>5580</v>
      </c>
      <c r="E2005" s="5" t="str">
        <f>VLOOKUP(Googleadssales[[#This Row],[Ad_ID]],[1]!Table3[[Ad_ID]:[Cost-imputed]],7,0)</f>
        <v>$204.73</v>
      </c>
      <c r="F2005" s="4">
        <f>VLOOKUP(Googleadssales[[#This Row],[Ad_ID]],'[1]pre processed data'!A:I,9,0)</f>
        <v>24</v>
      </c>
      <c r="G2005" s="4">
        <f>VLOOKUP(Googleadssales[[#This Row],[Ad_ID]],'[1]pre processed data'!A:K,11,0)</f>
        <v>10</v>
      </c>
      <c r="H2005" s="2">
        <f>Googleadssales[[#This Row],[Conversions]]/Googleadssales[[#This Row],[Clicks]]</f>
        <v>6.6666666666666666E-2</v>
      </c>
      <c r="I2005" t="str">
        <f>VLOOKUP(Googleadssales[[#This Row],[Ad_ID]],'[1]pre processed data'!A:O,15,0)</f>
        <v>$1500</v>
      </c>
      <c r="J2005" s="3">
        <f>VLOOKUP(Googleadssales[[#This Row],[Ad_ID]],'[1]pre processed data'!A:Q,17,0)</f>
        <v>45613</v>
      </c>
      <c r="K2005" t="str">
        <f>VLOOKUP(Googleadssales[[#This Row],[Ad_ID]],'[1]pre processed data'!A:R,18,0)</f>
        <v>Hyderabad</v>
      </c>
      <c r="L2005" t="str">
        <f>VLOOKUP(Googleadssales[[#This Row],[Ad_ID]],'[1]pre processed data'!A:S,19,0)</f>
        <v>Tablet</v>
      </c>
      <c r="M2005" t="str">
        <f>VLOOKUP(Googleadssales[[#This Row],[Ad_ID]],'[1]pre processed data'!A:T,20,0)</f>
        <v>data analytics course</v>
      </c>
    </row>
    <row r="2006" spans="1:13" x14ac:dyDescent="0.3">
      <c r="A2006" t="s">
        <v>2019</v>
      </c>
      <c r="B2006" t="s">
        <v>14</v>
      </c>
      <c r="C2006" s="4">
        <f>VLOOKUP(Googleadssales[[#This Row],[Ad_ID]],'[1]pre processed data'!A:C,3,0)</f>
        <v>122</v>
      </c>
      <c r="D2006" s="4">
        <f>VLOOKUP(Googleadssales[[#This Row],[Ad_ID]],'[1]pre processed data'!A:E,5,0)</f>
        <v>3351</v>
      </c>
      <c r="E2006" s="5" t="str">
        <f>VLOOKUP(Googleadssales[[#This Row],[Ad_ID]],[1]!Table3[[Ad_ID]:[Cost-imputed]],7,0)</f>
        <v>$196.49</v>
      </c>
      <c r="F2006" s="4">
        <f>VLOOKUP(Googleadssales[[#This Row],[Ad_ID]],'[1]pre processed data'!A:I,9,0)</f>
        <v>13</v>
      </c>
      <c r="G2006" s="4">
        <f>VLOOKUP(Googleadssales[[#This Row],[Ad_ID]],'[1]pre processed data'!A:K,11,0)</f>
        <v>3</v>
      </c>
      <c r="H2006" s="2">
        <f>Googleadssales[[#This Row],[Conversions]]/Googleadssales[[#This Row],[Clicks]]</f>
        <v>2.4590163934426229E-2</v>
      </c>
      <c r="I2006" t="str">
        <f>VLOOKUP(Googleadssales[[#This Row],[Ad_ID]],'[1]pre processed data'!A:O,15,0)</f>
        <v>$1362</v>
      </c>
      <c r="J2006" s="3">
        <f>VLOOKUP(Googleadssales[[#This Row],[Ad_ID]],'[1]pre processed data'!A:Q,17,0)</f>
        <v>45626</v>
      </c>
      <c r="K2006" t="str">
        <f>VLOOKUP(Googleadssales[[#This Row],[Ad_ID]],'[1]pre processed data'!A:R,18,0)</f>
        <v>Hyderabad</v>
      </c>
      <c r="L2006" t="str">
        <f>VLOOKUP(Googleadssales[[#This Row],[Ad_ID]],'[1]pre processed data'!A:S,19,0)</f>
        <v>Desktop</v>
      </c>
      <c r="M2006" t="str">
        <f>VLOOKUP(Googleadssales[[#This Row],[Ad_ID]],'[1]pre processed data'!A:T,20,0)</f>
        <v>data analytics course</v>
      </c>
    </row>
    <row r="2007" spans="1:13" x14ac:dyDescent="0.3">
      <c r="A2007" t="s">
        <v>2020</v>
      </c>
      <c r="B2007" t="s">
        <v>14</v>
      </c>
      <c r="C2007" s="4">
        <f>VLOOKUP(Googleadssales[[#This Row],[Ad_ID]],'[1]pre processed data'!A:C,3,0)</f>
        <v>168</v>
      </c>
      <c r="D2007" s="4">
        <f>VLOOKUP(Googleadssales[[#This Row],[Ad_ID]],'[1]pre processed data'!A:E,5,0)</f>
        <v>3128</v>
      </c>
      <c r="E2007" s="5" t="str">
        <f>VLOOKUP(Googleadssales[[#This Row],[Ad_ID]],[1]!Table3[[Ad_ID]:[Cost-imputed]],7,0)</f>
        <v>$184.27</v>
      </c>
      <c r="F2007" s="4">
        <f>VLOOKUP(Googleadssales[[#This Row],[Ad_ID]],'[1]pre processed data'!A:I,9,0)</f>
        <v>30</v>
      </c>
      <c r="G2007" s="4">
        <f>VLOOKUP(Googleadssales[[#This Row],[Ad_ID]],'[1]pre processed data'!A:K,11,0)</f>
        <v>7</v>
      </c>
      <c r="H2007" s="2">
        <f>Googleadssales[[#This Row],[Conversions]]/Googleadssales[[#This Row],[Clicks]]</f>
        <v>4.1666666666666664E-2</v>
      </c>
      <c r="I2007" t="str">
        <f>VLOOKUP(Googleadssales[[#This Row],[Ad_ID]],'[1]pre processed data'!A:O,15,0)</f>
        <v>$1957</v>
      </c>
      <c r="J2007" s="3">
        <f>VLOOKUP(Googleadssales[[#This Row],[Ad_ID]],'[1]pre processed data'!A:Q,17,0)</f>
        <v>45597</v>
      </c>
      <c r="K2007" t="str">
        <f>VLOOKUP(Googleadssales[[#This Row],[Ad_ID]],'[1]pre processed data'!A:R,18,0)</f>
        <v>Hyderabad</v>
      </c>
      <c r="L2007" t="str">
        <f>VLOOKUP(Googleadssales[[#This Row],[Ad_ID]],'[1]pre processed data'!A:S,19,0)</f>
        <v>Tablet</v>
      </c>
      <c r="M2007" t="str">
        <f>VLOOKUP(Googleadssales[[#This Row],[Ad_ID]],'[1]pre processed data'!A:T,20,0)</f>
        <v>data analytics course</v>
      </c>
    </row>
    <row r="2008" spans="1:13" x14ac:dyDescent="0.3">
      <c r="A2008" t="s">
        <v>2021</v>
      </c>
      <c r="B2008" t="s">
        <v>18</v>
      </c>
      <c r="C2008" s="4">
        <f>VLOOKUP(Googleadssales[[#This Row],[Ad_ID]],'[1]pre processed data'!A:C,3,0)</f>
        <v>113</v>
      </c>
      <c r="D2008" s="4">
        <f>VLOOKUP(Googleadssales[[#This Row],[Ad_ID]],'[1]pre processed data'!A:E,5,0)</f>
        <v>4523.2808326787117</v>
      </c>
      <c r="E2008" s="5" t="str">
        <f>VLOOKUP(Googleadssales[[#This Row],[Ad_ID]],[1]!Table3[[Ad_ID]:[Cost-imputed]],7,0)</f>
        <v>$200.00</v>
      </c>
      <c r="F2008" s="4">
        <f>VLOOKUP(Googleadssales[[#This Row],[Ad_ID]],'[1]pre processed data'!A:I,9,0)</f>
        <v>26</v>
      </c>
      <c r="G2008" s="4">
        <f>VLOOKUP(Googleadssales[[#This Row],[Ad_ID]],'[1]pre processed data'!A:K,11,0)</f>
        <v>8</v>
      </c>
      <c r="H2008" s="2">
        <f>Googleadssales[[#This Row],[Conversions]]/Googleadssales[[#This Row],[Clicks]]</f>
        <v>7.0796460176991149E-2</v>
      </c>
      <c r="I2008" t="str">
        <f>VLOOKUP(Googleadssales[[#This Row],[Ad_ID]],'[1]pre processed data'!A:O,15,0)</f>
        <v>$1285</v>
      </c>
      <c r="J2008" s="3">
        <f>VLOOKUP(Googleadssales[[#This Row],[Ad_ID]],'[1]pre processed data'!A:Q,17,0)</f>
        <v>45608</v>
      </c>
      <c r="K2008" t="str">
        <f>VLOOKUP(Googleadssales[[#This Row],[Ad_ID]],'[1]pre processed data'!A:R,18,0)</f>
        <v>Bangaluru</v>
      </c>
      <c r="L2008" t="str">
        <f>VLOOKUP(Googleadssales[[#This Row],[Ad_ID]],'[1]pre processed data'!A:S,19,0)</f>
        <v>Mobile</v>
      </c>
      <c r="M2008" t="str">
        <f>VLOOKUP(Googleadssales[[#This Row],[Ad_ID]],'[1]pre processed data'!A:T,20,0)</f>
        <v>data analytics course</v>
      </c>
    </row>
    <row r="2009" spans="1:13" x14ac:dyDescent="0.3">
      <c r="A2009" t="s">
        <v>2022</v>
      </c>
      <c r="B2009" t="s">
        <v>14</v>
      </c>
      <c r="C2009" s="4">
        <f>VLOOKUP(Googleadssales[[#This Row],[Ad_ID]],'[1]pre processed data'!A:C,3,0)</f>
        <v>124</v>
      </c>
      <c r="D2009" s="4">
        <f>VLOOKUP(Googleadssales[[#This Row],[Ad_ID]],'[1]pre processed data'!A:E,5,0)</f>
        <v>5402</v>
      </c>
      <c r="E2009" s="5" t="str">
        <f>VLOOKUP(Googleadssales[[#This Row],[Ad_ID]],[1]!Table3[[Ad_ID]:[Cost-imputed]],7,0)</f>
        <v>$222.16</v>
      </c>
      <c r="F2009" s="4">
        <f>VLOOKUP(Googleadssales[[#This Row],[Ad_ID]],'[1]pre processed data'!A:I,9,0)</f>
        <v>21</v>
      </c>
      <c r="G2009" s="4">
        <f>VLOOKUP(Googleadssales[[#This Row],[Ad_ID]],'[1]pre processed data'!A:K,11,0)</f>
        <v>7</v>
      </c>
      <c r="H2009" s="2">
        <f>Googleadssales[[#This Row],[Conversions]]/Googleadssales[[#This Row],[Clicks]]</f>
        <v>5.6451612903225805E-2</v>
      </c>
      <c r="I2009" t="str">
        <f>VLOOKUP(Googleadssales[[#This Row],[Ad_ID]],'[1]pre processed data'!A:O,15,0)</f>
        <v>$1091</v>
      </c>
      <c r="J2009" s="3">
        <f>VLOOKUP(Googleadssales[[#This Row],[Ad_ID]],'[1]pre processed data'!A:Q,17,0)</f>
        <v>45623</v>
      </c>
      <c r="K2009" t="str">
        <f>VLOOKUP(Googleadssales[[#This Row],[Ad_ID]],'[1]pre processed data'!A:R,18,0)</f>
        <v>Hyderabad</v>
      </c>
      <c r="L2009" t="str">
        <f>VLOOKUP(Googleadssales[[#This Row],[Ad_ID]],'[1]pre processed data'!A:S,19,0)</f>
        <v>Desktop</v>
      </c>
      <c r="M2009" t="str">
        <f>VLOOKUP(Googleadssales[[#This Row],[Ad_ID]],'[1]pre processed data'!A:T,20,0)</f>
        <v>data analytics training</v>
      </c>
    </row>
    <row r="2010" spans="1:13" x14ac:dyDescent="0.3">
      <c r="A2010" t="s">
        <v>2023</v>
      </c>
      <c r="B2010" t="s">
        <v>14</v>
      </c>
      <c r="C2010" s="4">
        <f>VLOOKUP(Googleadssales[[#This Row],[Ad_ID]],'[1]pre processed data'!A:C,3,0)</f>
        <v>95</v>
      </c>
      <c r="D2010" s="4">
        <f>VLOOKUP(Googleadssales[[#This Row],[Ad_ID]],'[1]pre processed data'!A:E,5,0)</f>
        <v>4653</v>
      </c>
      <c r="E2010" s="5" t="str">
        <f>VLOOKUP(Googleadssales[[#This Row],[Ad_ID]],[1]!Table3[[Ad_ID]:[Cost-imputed]],7,0)</f>
        <v>$193.63</v>
      </c>
      <c r="F2010" s="4">
        <f>VLOOKUP(Googleadssales[[#This Row],[Ad_ID]],'[1]pre processed data'!A:I,9,0)</f>
        <v>17</v>
      </c>
      <c r="G2010" s="4">
        <f>VLOOKUP(Googleadssales[[#This Row],[Ad_ID]],'[1]pre processed data'!A:K,11,0)</f>
        <v>4</v>
      </c>
      <c r="H2010" s="2">
        <f>Googleadssales[[#This Row],[Conversions]]/Googleadssales[[#This Row],[Clicks]]</f>
        <v>4.2105263157894736E-2</v>
      </c>
      <c r="I2010" t="str">
        <f>VLOOKUP(Googleadssales[[#This Row],[Ad_ID]],'[1]pre processed data'!A:O,15,0)</f>
        <v>$1688</v>
      </c>
      <c r="J2010" s="3">
        <f>VLOOKUP(Googleadssales[[#This Row],[Ad_ID]],'[1]pre processed data'!A:Q,17,0)</f>
        <v>45623</v>
      </c>
      <c r="K2010" t="str">
        <f>VLOOKUP(Googleadssales[[#This Row],[Ad_ID]],'[1]pre processed data'!A:R,18,0)</f>
        <v>Chennai</v>
      </c>
      <c r="L2010" t="str">
        <f>VLOOKUP(Googleadssales[[#This Row],[Ad_ID]],'[1]pre processed data'!A:S,19,0)</f>
        <v>Desktop</v>
      </c>
      <c r="M2010" t="str">
        <f>VLOOKUP(Googleadssales[[#This Row],[Ad_ID]],'[1]pre processed data'!A:T,20,0)</f>
        <v>data analytics course</v>
      </c>
    </row>
    <row r="2011" spans="1:13" x14ac:dyDescent="0.3">
      <c r="A2011" t="s">
        <v>2024</v>
      </c>
      <c r="B2011" t="s">
        <v>14</v>
      </c>
      <c r="C2011" s="4">
        <f>VLOOKUP(Googleadssales[[#This Row],[Ad_ID]],'[1]pre processed data'!A:C,3,0)</f>
        <v>185</v>
      </c>
      <c r="D2011" s="4">
        <f>VLOOKUP(Googleadssales[[#This Row],[Ad_ID]],'[1]pre processed data'!A:E,5,0)</f>
        <v>4599</v>
      </c>
      <c r="E2011" s="5" t="str">
        <f>VLOOKUP(Googleadssales[[#This Row],[Ad_ID]],[1]!Table3[[Ad_ID]:[Cost-imputed]],7,0)</f>
        <v>$248.28</v>
      </c>
      <c r="F2011" s="4">
        <f>VLOOKUP(Googleadssales[[#This Row],[Ad_ID]],'[1]pre processed data'!A:I,9,0)</f>
        <v>15</v>
      </c>
      <c r="G2011" s="4">
        <f>VLOOKUP(Googleadssales[[#This Row],[Ad_ID]],'[1]pre processed data'!A:K,11,0)</f>
        <v>5</v>
      </c>
      <c r="H2011" s="2">
        <f>Googleadssales[[#This Row],[Conversions]]/Googleadssales[[#This Row],[Clicks]]</f>
        <v>2.7027027027027029E-2</v>
      </c>
      <c r="I2011" t="str">
        <f>VLOOKUP(Googleadssales[[#This Row],[Ad_ID]],'[1]pre processed data'!A:O,15,0)</f>
        <v>$1673</v>
      </c>
      <c r="J2011" s="3">
        <f>VLOOKUP(Googleadssales[[#This Row],[Ad_ID]],'[1]pre processed data'!A:Q,17,0)</f>
        <v>45602</v>
      </c>
      <c r="K2011" t="str">
        <f>VLOOKUP(Googleadssales[[#This Row],[Ad_ID]],'[1]pre processed data'!A:R,18,0)</f>
        <v>Bangaluru</v>
      </c>
      <c r="L2011" t="str">
        <f>VLOOKUP(Googleadssales[[#This Row],[Ad_ID]],'[1]pre processed data'!A:S,19,0)</f>
        <v>Desktop</v>
      </c>
      <c r="M2011" t="str">
        <f>VLOOKUP(Googleadssales[[#This Row],[Ad_ID]],'[1]pre processed data'!A:T,20,0)</f>
        <v>data analytics online</v>
      </c>
    </row>
    <row r="2012" spans="1:13" x14ac:dyDescent="0.3">
      <c r="A2012" t="s">
        <v>2025</v>
      </c>
      <c r="B2012" t="s">
        <v>14</v>
      </c>
      <c r="C2012" s="4">
        <f>VLOOKUP(Googleadssales[[#This Row],[Ad_ID]],'[1]pre processed data'!A:C,3,0)</f>
        <v>144</v>
      </c>
      <c r="D2012" s="4">
        <f>VLOOKUP(Googleadssales[[#This Row],[Ad_ID]],'[1]pre processed data'!A:E,5,0)</f>
        <v>3120</v>
      </c>
      <c r="E2012" s="5" t="str">
        <f>VLOOKUP(Googleadssales[[#This Row],[Ad_ID]],[1]!Table3[[Ad_ID]:[Cost-imputed]],7,0)</f>
        <v>$221.66</v>
      </c>
      <c r="F2012" s="4">
        <f>VLOOKUP(Googleadssales[[#This Row],[Ad_ID]],'[1]pre processed data'!A:I,9,0)</f>
        <v>24</v>
      </c>
      <c r="G2012" s="4">
        <f>VLOOKUP(Googleadssales[[#This Row],[Ad_ID]],'[1]pre processed data'!A:K,11,0)</f>
        <v>6.4752650176678443</v>
      </c>
      <c r="H2012" s="2">
        <f>Googleadssales[[#This Row],[Conversions]]/Googleadssales[[#This Row],[Clicks]]</f>
        <v>4.4967118178248916E-2</v>
      </c>
      <c r="I2012" t="str">
        <f>VLOOKUP(Googleadssales[[#This Row],[Ad_ID]],'[1]pre processed data'!A:O,15,0)</f>
        <v>$1061</v>
      </c>
      <c r="J2012" s="3">
        <f>VLOOKUP(Googleadssales[[#This Row],[Ad_ID]],'[1]pre processed data'!A:Q,17,0)</f>
        <v>45609</v>
      </c>
      <c r="K2012" t="str">
        <f>VLOOKUP(Googleadssales[[#This Row],[Ad_ID]],'[1]pre processed data'!A:R,18,0)</f>
        <v>Hyderabad</v>
      </c>
      <c r="L2012" t="str">
        <f>VLOOKUP(Googleadssales[[#This Row],[Ad_ID]],'[1]pre processed data'!A:S,19,0)</f>
        <v>Mobile</v>
      </c>
      <c r="M2012" t="str">
        <f>VLOOKUP(Googleadssales[[#This Row],[Ad_ID]],'[1]pre processed data'!A:T,20,0)</f>
        <v>data analytics training</v>
      </c>
    </row>
    <row r="2013" spans="1:13" x14ac:dyDescent="0.3">
      <c r="A2013" t="s">
        <v>2026</v>
      </c>
      <c r="B2013" t="s">
        <v>18</v>
      </c>
      <c r="C2013" s="4">
        <f>VLOOKUP(Googleadssales[[#This Row],[Ad_ID]],'[1]pre processed data'!A:C,3,0)</f>
        <v>175</v>
      </c>
      <c r="D2013" s="4">
        <f>VLOOKUP(Googleadssales[[#This Row],[Ad_ID]],'[1]pre processed data'!A:E,5,0)</f>
        <v>3521</v>
      </c>
      <c r="E2013" s="5" t="str">
        <f>VLOOKUP(Googleadssales[[#This Row],[Ad_ID]],[1]!Table3[[Ad_ID]:[Cost-imputed]],7,0)</f>
        <v>$210.11</v>
      </c>
      <c r="F2013" s="4">
        <f>VLOOKUP(Googleadssales[[#This Row],[Ad_ID]],'[1]pre processed data'!A:I,9,0)</f>
        <v>14</v>
      </c>
      <c r="G2013" s="4">
        <f>VLOOKUP(Googleadssales[[#This Row],[Ad_ID]],'[1]pre processed data'!A:K,11,0)</f>
        <v>9</v>
      </c>
      <c r="H2013" s="2">
        <f>Googleadssales[[#This Row],[Conversions]]/Googleadssales[[#This Row],[Clicks]]</f>
        <v>5.1428571428571428E-2</v>
      </c>
      <c r="I2013" t="str">
        <f>VLOOKUP(Googleadssales[[#This Row],[Ad_ID]],'[1]pre processed data'!A:O,15,0)</f>
        <v>$1140</v>
      </c>
      <c r="J2013" s="3">
        <f>VLOOKUP(Googleadssales[[#This Row],[Ad_ID]],'[1]pre processed data'!A:Q,17,0)</f>
        <v>45624</v>
      </c>
      <c r="K2013" t="str">
        <f>VLOOKUP(Googleadssales[[#This Row],[Ad_ID]],'[1]pre processed data'!A:R,18,0)</f>
        <v>Bangaluru</v>
      </c>
      <c r="L2013" t="str">
        <f>VLOOKUP(Googleadssales[[#This Row],[Ad_ID]],'[1]pre processed data'!A:S,19,0)</f>
        <v>Mobile</v>
      </c>
      <c r="M2013" t="str">
        <f>VLOOKUP(Googleadssales[[#This Row],[Ad_ID]],'[1]pre processed data'!A:T,20,0)</f>
        <v>analytics for data</v>
      </c>
    </row>
    <row r="2014" spans="1:13" x14ac:dyDescent="0.3">
      <c r="A2014" t="s">
        <v>2027</v>
      </c>
      <c r="B2014" t="s">
        <v>14</v>
      </c>
      <c r="C2014" s="4">
        <f>VLOOKUP(Googleadssales[[#This Row],[Ad_ID]],'[1]pre processed data'!A:C,3,0)</f>
        <v>88</v>
      </c>
      <c r="D2014" s="4">
        <f>VLOOKUP(Googleadssales[[#This Row],[Ad_ID]],'[1]pre processed data'!A:E,5,0)</f>
        <v>5823</v>
      </c>
      <c r="E2014" s="5" t="str">
        <f>VLOOKUP(Googleadssales[[#This Row],[Ad_ID]],[1]!Table3[[Ad_ID]:[Cost-imputed]],7,0)</f>
        <v>$246.67</v>
      </c>
      <c r="F2014" s="4">
        <f>VLOOKUP(Googleadssales[[#This Row],[Ad_ID]],'[1]pre processed data'!A:I,9,0)</f>
        <v>12</v>
      </c>
      <c r="G2014" s="4">
        <f>VLOOKUP(Googleadssales[[#This Row],[Ad_ID]],'[1]pre processed data'!A:K,11,0)</f>
        <v>9</v>
      </c>
      <c r="H2014" s="2">
        <f>Googleadssales[[#This Row],[Conversions]]/Googleadssales[[#This Row],[Clicks]]</f>
        <v>0.10227272727272728</v>
      </c>
      <c r="I2014" t="str">
        <f>VLOOKUP(Googleadssales[[#This Row],[Ad_ID]],'[1]pre processed data'!A:O,15,0)</f>
        <v>$1514</v>
      </c>
      <c r="J2014" s="3">
        <f>VLOOKUP(Googleadssales[[#This Row],[Ad_ID]],'[1]pre processed data'!A:Q,17,0)</f>
        <v>45597</v>
      </c>
      <c r="K2014" t="str">
        <f>VLOOKUP(Googleadssales[[#This Row],[Ad_ID]],'[1]pre processed data'!A:R,18,0)</f>
        <v>Bangaluru</v>
      </c>
      <c r="L2014" t="str">
        <f>VLOOKUP(Googleadssales[[#This Row],[Ad_ID]],'[1]pre processed data'!A:S,19,0)</f>
        <v>Mobile</v>
      </c>
      <c r="M2014" t="str">
        <f>VLOOKUP(Googleadssales[[#This Row],[Ad_ID]],'[1]pre processed data'!A:T,20,0)</f>
        <v>data analytics course</v>
      </c>
    </row>
    <row r="2015" spans="1:13" x14ac:dyDescent="0.3">
      <c r="A2015" t="s">
        <v>2028</v>
      </c>
      <c r="B2015" t="s">
        <v>18</v>
      </c>
      <c r="C2015" s="4">
        <f>VLOOKUP(Googleadssales[[#This Row],[Ad_ID]],'[1]pre processed data'!A:C,3,0)</f>
        <v>90</v>
      </c>
      <c r="D2015" s="4">
        <f>VLOOKUP(Googleadssales[[#This Row],[Ad_ID]],'[1]pre processed data'!A:E,5,0)</f>
        <v>5569</v>
      </c>
      <c r="E2015" s="5" t="str">
        <f>VLOOKUP(Googleadssales[[#This Row],[Ad_ID]],[1]!Table3[[Ad_ID]:[Cost-imputed]],7,0)</f>
        <v>$196.6</v>
      </c>
      <c r="F2015" s="4">
        <f>VLOOKUP(Googleadssales[[#This Row],[Ad_ID]],'[1]pre processed data'!A:I,9,0)</f>
        <v>27</v>
      </c>
      <c r="G2015" s="4">
        <f>VLOOKUP(Googleadssales[[#This Row],[Ad_ID]],'[1]pre processed data'!A:K,11,0)</f>
        <v>4</v>
      </c>
      <c r="H2015" s="2">
        <f>Googleadssales[[#This Row],[Conversions]]/Googleadssales[[#This Row],[Clicks]]</f>
        <v>4.4444444444444446E-2</v>
      </c>
      <c r="I2015" t="str">
        <f>VLOOKUP(Googleadssales[[#This Row],[Ad_ID]],'[1]pre processed data'!A:O,15,0)</f>
        <v>$1516</v>
      </c>
      <c r="J2015" s="3">
        <f>VLOOKUP(Googleadssales[[#This Row],[Ad_ID]],'[1]pre processed data'!A:Q,17,0)</f>
        <v>45616</v>
      </c>
      <c r="K2015" t="str">
        <f>VLOOKUP(Googleadssales[[#This Row],[Ad_ID]],'[1]pre processed data'!A:R,18,0)</f>
        <v>Chennai</v>
      </c>
      <c r="L2015" t="str">
        <f>VLOOKUP(Googleadssales[[#This Row],[Ad_ID]],'[1]pre processed data'!A:S,19,0)</f>
        <v>Desktop</v>
      </c>
      <c r="M2015" t="str">
        <f>VLOOKUP(Googleadssales[[#This Row],[Ad_ID]],'[1]pre processed data'!A:T,20,0)</f>
        <v>data analytics online</v>
      </c>
    </row>
    <row r="2016" spans="1:13" x14ac:dyDescent="0.3">
      <c r="A2016" t="s">
        <v>2029</v>
      </c>
      <c r="B2016" t="s">
        <v>14</v>
      </c>
      <c r="C2016" s="4">
        <f>VLOOKUP(Googleadssales[[#This Row],[Ad_ID]],'[1]pre processed data'!A:C,3,0)</f>
        <v>94</v>
      </c>
      <c r="D2016" s="4">
        <f>VLOOKUP(Googleadssales[[#This Row],[Ad_ID]],'[1]pre processed data'!A:E,5,0)</f>
        <v>4255</v>
      </c>
      <c r="E2016" s="5" t="str">
        <f>VLOOKUP(Googleadssales[[#This Row],[Ad_ID]],[1]!Table3[[Ad_ID]:[Cost-imputed]],7,0)</f>
        <v>$221.06</v>
      </c>
      <c r="F2016" s="4">
        <f>VLOOKUP(Googleadssales[[#This Row],[Ad_ID]],'[1]pre processed data'!A:I,9,0)</f>
        <v>13</v>
      </c>
      <c r="G2016" s="4">
        <f>VLOOKUP(Googleadssales[[#This Row],[Ad_ID]],'[1]pre processed data'!A:K,11,0)</f>
        <v>5</v>
      </c>
      <c r="H2016" s="2">
        <f>Googleadssales[[#This Row],[Conversions]]/Googleadssales[[#This Row],[Clicks]]</f>
        <v>5.3191489361702128E-2</v>
      </c>
      <c r="I2016" t="str">
        <f>VLOOKUP(Googleadssales[[#This Row],[Ad_ID]],'[1]pre processed data'!A:O,15,0)</f>
        <v>$1623</v>
      </c>
      <c r="J2016" s="3">
        <f>VLOOKUP(Googleadssales[[#This Row],[Ad_ID]],'[1]pre processed data'!A:Q,17,0)</f>
        <v>45616</v>
      </c>
      <c r="K2016" t="str">
        <f>VLOOKUP(Googleadssales[[#This Row],[Ad_ID]],'[1]pre processed data'!A:R,18,0)</f>
        <v>Hyderabad</v>
      </c>
      <c r="L2016" t="str">
        <f>VLOOKUP(Googleadssales[[#This Row],[Ad_ID]],'[1]pre processed data'!A:S,19,0)</f>
        <v>Desktop</v>
      </c>
      <c r="M2016" t="str">
        <f>VLOOKUP(Googleadssales[[#This Row],[Ad_ID]],'[1]pre processed data'!A:T,20,0)</f>
        <v>learn data analytics</v>
      </c>
    </row>
    <row r="2017" spans="1:13" x14ac:dyDescent="0.3">
      <c r="A2017" t="s">
        <v>2030</v>
      </c>
      <c r="B2017" t="s">
        <v>14</v>
      </c>
      <c r="C2017" s="4">
        <f>VLOOKUP(Googleadssales[[#This Row],[Ad_ID]],'[1]pre processed data'!A:C,3,0)</f>
        <v>191</v>
      </c>
      <c r="D2017" s="4">
        <f>VLOOKUP(Googleadssales[[#This Row],[Ad_ID]],'[1]pre processed data'!A:E,5,0)</f>
        <v>4910</v>
      </c>
      <c r="E2017" s="5" t="str">
        <f>VLOOKUP(Googleadssales[[#This Row],[Ad_ID]],[1]!Table3[[Ad_ID]:[Cost-imputed]],7,0)</f>
        <v>$232.7</v>
      </c>
      <c r="F2017" s="4">
        <f>VLOOKUP(Googleadssales[[#This Row],[Ad_ID]],'[1]pre processed data'!A:I,9,0)</f>
        <v>14</v>
      </c>
      <c r="G2017" s="4">
        <f>VLOOKUP(Googleadssales[[#This Row],[Ad_ID]],'[1]pre processed data'!A:K,11,0)</f>
        <v>10</v>
      </c>
      <c r="H2017" s="2">
        <f>Googleadssales[[#This Row],[Conversions]]/Googleadssales[[#This Row],[Clicks]]</f>
        <v>5.2356020942408377E-2</v>
      </c>
      <c r="I2017" t="str">
        <f>VLOOKUP(Googleadssales[[#This Row],[Ad_ID]],'[1]pre processed data'!A:O,15,0)</f>
        <v>$1080</v>
      </c>
      <c r="J2017" s="3">
        <f>VLOOKUP(Googleadssales[[#This Row],[Ad_ID]],'[1]pre processed data'!A:Q,17,0)</f>
        <v>45599</v>
      </c>
      <c r="K2017" t="str">
        <f>VLOOKUP(Googleadssales[[#This Row],[Ad_ID]],'[1]pre processed data'!A:R,18,0)</f>
        <v>Hyderabad</v>
      </c>
      <c r="L2017" t="str">
        <f>VLOOKUP(Googleadssales[[#This Row],[Ad_ID]],'[1]pre processed data'!A:S,19,0)</f>
        <v>Tablet</v>
      </c>
      <c r="M2017" t="str">
        <f>VLOOKUP(Googleadssales[[#This Row],[Ad_ID]],'[1]pre processed data'!A:T,20,0)</f>
        <v>analytics for data</v>
      </c>
    </row>
    <row r="2018" spans="1:13" x14ac:dyDescent="0.3">
      <c r="A2018" t="s">
        <v>2031</v>
      </c>
      <c r="B2018" t="s">
        <v>14</v>
      </c>
      <c r="C2018" s="4">
        <f>VLOOKUP(Googleadssales[[#This Row],[Ad_ID]],'[1]pre processed data'!A:C,3,0)</f>
        <v>167</v>
      </c>
      <c r="D2018" s="4">
        <f>VLOOKUP(Googleadssales[[#This Row],[Ad_ID]],'[1]pre processed data'!A:E,5,0)</f>
        <v>5675</v>
      </c>
      <c r="E2018" s="5" t="str">
        <f>VLOOKUP(Googleadssales[[#This Row],[Ad_ID]],[1]!Table3[[Ad_ID]:[Cost-imputed]],7,0)</f>
        <v>$222.56</v>
      </c>
      <c r="F2018" s="4">
        <f>VLOOKUP(Googleadssales[[#This Row],[Ad_ID]],'[1]pre processed data'!A:I,9,0)</f>
        <v>15</v>
      </c>
      <c r="G2018" s="4">
        <f>VLOOKUP(Googleadssales[[#This Row],[Ad_ID]],'[1]pre processed data'!A:K,11,0)</f>
        <v>4</v>
      </c>
      <c r="H2018" s="2">
        <f>Googleadssales[[#This Row],[Conversions]]/Googleadssales[[#This Row],[Clicks]]</f>
        <v>2.3952095808383235E-2</v>
      </c>
      <c r="I2018" t="str">
        <f>VLOOKUP(Googleadssales[[#This Row],[Ad_ID]],'[1]pre processed data'!A:O,15,0)</f>
        <v>$1862</v>
      </c>
      <c r="J2018" s="3">
        <f>VLOOKUP(Googleadssales[[#This Row],[Ad_ID]],'[1]pre processed data'!A:Q,17,0)</f>
        <v>45613</v>
      </c>
      <c r="K2018" t="str">
        <f>VLOOKUP(Googleadssales[[#This Row],[Ad_ID]],'[1]pre processed data'!A:R,18,0)</f>
        <v>Bangaluru</v>
      </c>
      <c r="L2018" t="str">
        <f>VLOOKUP(Googleadssales[[#This Row],[Ad_ID]],'[1]pre processed data'!A:S,19,0)</f>
        <v>Tablet</v>
      </c>
      <c r="M2018" t="str">
        <f>VLOOKUP(Googleadssales[[#This Row],[Ad_ID]],'[1]pre processed data'!A:T,20,0)</f>
        <v>analytics for data</v>
      </c>
    </row>
    <row r="2019" spans="1:13" x14ac:dyDescent="0.3">
      <c r="A2019" t="s">
        <v>2032</v>
      </c>
      <c r="B2019" t="s">
        <v>18</v>
      </c>
      <c r="C2019" s="4">
        <f>VLOOKUP(Googleadssales[[#This Row],[Ad_ID]],'[1]pre processed data'!A:C,3,0)</f>
        <v>136</v>
      </c>
      <c r="D2019" s="4">
        <f>VLOOKUP(Googleadssales[[#This Row],[Ad_ID]],'[1]pre processed data'!A:E,5,0)</f>
        <v>3777</v>
      </c>
      <c r="E2019" s="5" t="str">
        <f>VLOOKUP(Googleadssales[[#This Row],[Ad_ID]],[1]!Table3[[Ad_ID]:[Cost-imputed]],7,0)</f>
        <v>$186.5</v>
      </c>
      <c r="F2019" s="4">
        <f>VLOOKUP(Googleadssales[[#This Row],[Ad_ID]],'[1]pre processed data'!A:I,9,0)</f>
        <v>11</v>
      </c>
      <c r="G2019" s="4">
        <f>VLOOKUP(Googleadssales[[#This Row],[Ad_ID]],'[1]pre processed data'!A:K,11,0)</f>
        <v>4</v>
      </c>
      <c r="H2019" s="2">
        <f>Googleadssales[[#This Row],[Conversions]]/Googleadssales[[#This Row],[Clicks]]</f>
        <v>2.9411764705882353E-2</v>
      </c>
      <c r="I2019" t="str">
        <f>VLOOKUP(Googleadssales[[#This Row],[Ad_ID]],'[1]pre processed data'!A:O,15,0)</f>
        <v>$1027</v>
      </c>
      <c r="J2019" s="3">
        <f>VLOOKUP(Googleadssales[[#This Row],[Ad_ID]],'[1]pre processed data'!A:Q,17,0)</f>
        <v>45601</v>
      </c>
      <c r="K2019" t="str">
        <f>VLOOKUP(Googleadssales[[#This Row],[Ad_ID]],'[1]pre processed data'!A:R,18,0)</f>
        <v>Hyderabad</v>
      </c>
      <c r="L2019" t="str">
        <f>VLOOKUP(Googleadssales[[#This Row],[Ad_ID]],'[1]pre processed data'!A:S,19,0)</f>
        <v>Mobile</v>
      </c>
      <c r="M2019" t="str">
        <f>VLOOKUP(Googleadssales[[#This Row],[Ad_ID]],'[1]pre processed data'!A:T,20,0)</f>
        <v>learn data analytics</v>
      </c>
    </row>
    <row r="2020" spans="1:13" x14ac:dyDescent="0.3">
      <c r="A2020" t="s">
        <v>2033</v>
      </c>
      <c r="B2020" t="s">
        <v>14</v>
      </c>
      <c r="C2020" s="4">
        <f>VLOOKUP(Googleadssales[[#This Row],[Ad_ID]],'[1]pre processed data'!A:C,3,0)</f>
        <v>110</v>
      </c>
      <c r="D2020" s="4">
        <f>VLOOKUP(Googleadssales[[#This Row],[Ad_ID]],'[1]pre processed data'!A:E,5,0)</f>
        <v>5790</v>
      </c>
      <c r="E2020" s="5" t="str">
        <f>VLOOKUP(Googleadssales[[#This Row],[Ad_ID]],[1]!Table3[[Ad_ID]:[Cost-imputed]],7,0)</f>
        <v>$200.00</v>
      </c>
      <c r="F2020" s="4">
        <f>VLOOKUP(Googleadssales[[#This Row],[Ad_ID]],'[1]pre processed data'!A:I,9,0)</f>
        <v>23</v>
      </c>
      <c r="G2020" s="4">
        <f>VLOOKUP(Googleadssales[[#This Row],[Ad_ID]],'[1]pre processed data'!A:K,11,0)</f>
        <v>9</v>
      </c>
      <c r="H2020" s="2">
        <f>Googleadssales[[#This Row],[Conversions]]/Googleadssales[[#This Row],[Clicks]]</f>
        <v>8.1818181818181818E-2</v>
      </c>
      <c r="I2020" t="str">
        <f>VLOOKUP(Googleadssales[[#This Row],[Ad_ID]],'[1]pre processed data'!A:O,15,0)</f>
        <v>$1463</v>
      </c>
      <c r="J2020" s="3">
        <f>VLOOKUP(Googleadssales[[#This Row],[Ad_ID]],'[1]pre processed data'!A:Q,17,0)</f>
        <v>45604</v>
      </c>
      <c r="K2020" t="str">
        <f>VLOOKUP(Googleadssales[[#This Row],[Ad_ID]],'[1]pre processed data'!A:R,18,0)</f>
        <v>Hyderabad</v>
      </c>
      <c r="L2020" t="str">
        <f>VLOOKUP(Googleadssales[[#This Row],[Ad_ID]],'[1]pre processed data'!A:S,19,0)</f>
        <v>Tablet</v>
      </c>
      <c r="M2020" t="str">
        <f>VLOOKUP(Googleadssales[[#This Row],[Ad_ID]],'[1]pre processed data'!A:T,20,0)</f>
        <v>data analytics online</v>
      </c>
    </row>
    <row r="2021" spans="1:13" x14ac:dyDescent="0.3">
      <c r="A2021" t="s">
        <v>2034</v>
      </c>
      <c r="B2021" t="s">
        <v>14</v>
      </c>
      <c r="C2021" s="4">
        <f>VLOOKUP(Googleadssales[[#This Row],[Ad_ID]],'[1]pre processed data'!A:C,3,0)</f>
        <v>171</v>
      </c>
      <c r="D2021" s="4">
        <f>VLOOKUP(Googleadssales[[#This Row],[Ad_ID]],'[1]pre processed data'!A:E,5,0)</f>
        <v>3055</v>
      </c>
      <c r="E2021" s="5" t="str">
        <f>VLOOKUP(Googleadssales[[#This Row],[Ad_ID]],[1]!Table3[[Ad_ID]:[Cost-imputed]],7,0)</f>
        <v>$200.00</v>
      </c>
      <c r="F2021" s="4">
        <f>VLOOKUP(Googleadssales[[#This Row],[Ad_ID]],'[1]pre processed data'!A:I,9,0)</f>
        <v>26</v>
      </c>
      <c r="G2021" s="4">
        <f>VLOOKUP(Googleadssales[[#This Row],[Ad_ID]],'[1]pre processed data'!A:K,11,0)</f>
        <v>5</v>
      </c>
      <c r="H2021" s="2">
        <f>Googleadssales[[#This Row],[Conversions]]/Googleadssales[[#This Row],[Clicks]]</f>
        <v>2.9239766081871343E-2</v>
      </c>
      <c r="I2021" t="str">
        <f>VLOOKUP(Googleadssales[[#This Row],[Ad_ID]],'[1]pre processed data'!A:O,15,0)</f>
        <v>$1701</v>
      </c>
      <c r="J2021" s="3">
        <f>VLOOKUP(Googleadssales[[#This Row],[Ad_ID]],'[1]pre processed data'!A:Q,17,0)</f>
        <v>45614</v>
      </c>
      <c r="K2021" t="str">
        <f>VLOOKUP(Googleadssales[[#This Row],[Ad_ID]],'[1]pre processed data'!A:R,18,0)</f>
        <v>Hyderabad</v>
      </c>
      <c r="L2021" t="str">
        <f>VLOOKUP(Googleadssales[[#This Row],[Ad_ID]],'[1]pre processed data'!A:S,19,0)</f>
        <v>Mobile</v>
      </c>
      <c r="M2021" t="str">
        <f>VLOOKUP(Googleadssales[[#This Row],[Ad_ID]],'[1]pre processed data'!A:T,20,0)</f>
        <v>data analytics training</v>
      </c>
    </row>
    <row r="2022" spans="1:13" x14ac:dyDescent="0.3">
      <c r="A2022" t="s">
        <v>2035</v>
      </c>
      <c r="B2022" t="s">
        <v>18</v>
      </c>
      <c r="C2022" s="4">
        <f>VLOOKUP(Googleadssales[[#This Row],[Ad_ID]],'[1]pre processed data'!A:C,3,0)</f>
        <v>134</v>
      </c>
      <c r="D2022" s="4">
        <f>VLOOKUP(Googleadssales[[#This Row],[Ad_ID]],'[1]pre processed data'!A:E,5,0)</f>
        <v>5620</v>
      </c>
      <c r="E2022" s="5" t="str">
        <f>VLOOKUP(Googleadssales[[#This Row],[Ad_ID]],[1]!Table3[[Ad_ID]:[Cost-imputed]],7,0)</f>
        <v>$231.4</v>
      </c>
      <c r="F2022" s="4">
        <f>VLOOKUP(Googleadssales[[#This Row],[Ad_ID]],'[1]pre processed data'!A:I,9,0)</f>
        <v>28</v>
      </c>
      <c r="G2022" s="4">
        <f>VLOOKUP(Googleadssales[[#This Row],[Ad_ID]],'[1]pre processed data'!A:K,11,0)</f>
        <v>7</v>
      </c>
      <c r="H2022" s="2">
        <f>Googleadssales[[#This Row],[Conversions]]/Googleadssales[[#This Row],[Clicks]]</f>
        <v>5.2238805970149252E-2</v>
      </c>
      <c r="I2022" t="str">
        <f>VLOOKUP(Googleadssales[[#This Row],[Ad_ID]],'[1]pre processed data'!A:O,15,0)</f>
        <v>$1499</v>
      </c>
      <c r="J2022" s="3">
        <f>VLOOKUP(Googleadssales[[#This Row],[Ad_ID]],'[1]pre processed data'!A:Q,17,0)</f>
        <v>45625</v>
      </c>
      <c r="K2022" t="str">
        <f>VLOOKUP(Googleadssales[[#This Row],[Ad_ID]],'[1]pre processed data'!A:R,18,0)</f>
        <v>Hyderabad</v>
      </c>
      <c r="L2022" t="str">
        <f>VLOOKUP(Googleadssales[[#This Row],[Ad_ID]],'[1]pre processed data'!A:S,19,0)</f>
        <v>Desktop</v>
      </c>
      <c r="M2022" t="str">
        <f>VLOOKUP(Googleadssales[[#This Row],[Ad_ID]],'[1]pre processed data'!A:T,20,0)</f>
        <v>data analytics training</v>
      </c>
    </row>
    <row r="2023" spans="1:13" x14ac:dyDescent="0.3">
      <c r="A2023" t="s">
        <v>2036</v>
      </c>
      <c r="B2023" t="s">
        <v>18</v>
      </c>
      <c r="C2023" s="4">
        <f>VLOOKUP(Googleadssales[[#This Row],[Ad_ID]],'[1]pre processed data'!A:C,3,0)</f>
        <v>170</v>
      </c>
      <c r="D2023" s="4">
        <f>VLOOKUP(Googleadssales[[#This Row],[Ad_ID]],'[1]pre processed data'!A:E,5,0)</f>
        <v>4594</v>
      </c>
      <c r="E2023" s="5" t="str">
        <f>VLOOKUP(Googleadssales[[#This Row],[Ad_ID]],[1]!Table3[[Ad_ID]:[Cost-imputed]],7,0)</f>
        <v>$193.2</v>
      </c>
      <c r="F2023" s="4">
        <f>VLOOKUP(Googleadssales[[#This Row],[Ad_ID]],'[1]pre processed data'!A:I,9,0)</f>
        <v>27</v>
      </c>
      <c r="G2023" s="4">
        <f>VLOOKUP(Googleadssales[[#This Row],[Ad_ID]],'[1]pre processed data'!A:K,11,0)</f>
        <v>9</v>
      </c>
      <c r="H2023" s="2">
        <f>Googleadssales[[#This Row],[Conversions]]/Googleadssales[[#This Row],[Clicks]]</f>
        <v>5.2941176470588235E-2</v>
      </c>
      <c r="I2023" t="str">
        <f>VLOOKUP(Googleadssales[[#This Row],[Ad_ID]],'[1]pre processed data'!A:O,15,0)</f>
        <v>$1319</v>
      </c>
      <c r="J2023" s="3">
        <f>VLOOKUP(Googleadssales[[#This Row],[Ad_ID]],'[1]pre processed data'!A:Q,17,0)</f>
        <v>45623</v>
      </c>
      <c r="K2023" t="str">
        <f>VLOOKUP(Googleadssales[[#This Row],[Ad_ID]],'[1]pre processed data'!A:R,18,0)</f>
        <v>Hyderabad</v>
      </c>
      <c r="L2023" t="str">
        <f>VLOOKUP(Googleadssales[[#This Row],[Ad_ID]],'[1]pre processed data'!A:S,19,0)</f>
        <v>Mobile</v>
      </c>
      <c r="M2023" t="str">
        <f>VLOOKUP(Googleadssales[[#This Row],[Ad_ID]],'[1]pre processed data'!A:T,20,0)</f>
        <v>analytics for data</v>
      </c>
    </row>
    <row r="2024" spans="1:13" x14ac:dyDescent="0.3">
      <c r="A2024" t="s">
        <v>2037</v>
      </c>
      <c r="B2024" t="s">
        <v>18</v>
      </c>
      <c r="C2024" s="4">
        <f>VLOOKUP(Googleadssales[[#This Row],[Ad_ID]],'[1]pre processed data'!A:C,3,0)</f>
        <v>151</v>
      </c>
      <c r="D2024" s="4">
        <f>VLOOKUP(Googleadssales[[#This Row],[Ad_ID]],'[1]pre processed data'!A:E,5,0)</f>
        <v>4907</v>
      </c>
      <c r="E2024" s="5" t="str">
        <f>VLOOKUP(Googleadssales[[#This Row],[Ad_ID]],[1]!Table3[[Ad_ID]:[Cost-imputed]],7,0)</f>
        <v>$248.32</v>
      </c>
      <c r="F2024" s="4">
        <f>VLOOKUP(Googleadssales[[#This Row],[Ad_ID]],'[1]pre processed data'!A:I,9,0)</f>
        <v>10</v>
      </c>
      <c r="G2024" s="4">
        <f>VLOOKUP(Googleadssales[[#This Row],[Ad_ID]],'[1]pre processed data'!A:K,11,0)</f>
        <v>4</v>
      </c>
      <c r="H2024" s="2">
        <f>Googleadssales[[#This Row],[Conversions]]/Googleadssales[[#This Row],[Clicks]]</f>
        <v>2.6490066225165563E-2</v>
      </c>
      <c r="I2024" t="str">
        <f>VLOOKUP(Googleadssales[[#This Row],[Ad_ID]],'[1]pre processed data'!A:O,15,0)</f>
        <v>$1948</v>
      </c>
      <c r="J2024" s="3">
        <f>VLOOKUP(Googleadssales[[#This Row],[Ad_ID]],'[1]pre processed data'!A:Q,17,0)</f>
        <v>45619</v>
      </c>
      <c r="K2024" t="str">
        <f>VLOOKUP(Googleadssales[[#This Row],[Ad_ID]],'[1]pre processed data'!A:R,18,0)</f>
        <v>Hyderabad</v>
      </c>
      <c r="L2024" t="str">
        <f>VLOOKUP(Googleadssales[[#This Row],[Ad_ID]],'[1]pre processed data'!A:S,19,0)</f>
        <v>Desktop</v>
      </c>
      <c r="M2024" t="str">
        <f>VLOOKUP(Googleadssales[[#This Row],[Ad_ID]],'[1]pre processed data'!A:T,20,0)</f>
        <v>data analytics course</v>
      </c>
    </row>
    <row r="2025" spans="1:13" x14ac:dyDescent="0.3">
      <c r="A2025" t="s">
        <v>2038</v>
      </c>
      <c r="B2025" t="s">
        <v>14</v>
      </c>
      <c r="C2025" s="4">
        <f>VLOOKUP(Googleadssales[[#This Row],[Ad_ID]],'[1]pre processed data'!A:C,3,0)</f>
        <v>124</v>
      </c>
      <c r="D2025" s="4">
        <f>VLOOKUP(Googleadssales[[#This Row],[Ad_ID]],'[1]pre processed data'!A:E,5,0)</f>
        <v>5437</v>
      </c>
      <c r="E2025" s="5" t="str">
        <f>VLOOKUP(Googleadssales[[#This Row],[Ad_ID]],[1]!Table3[[Ad_ID]:[Cost-imputed]],7,0)</f>
        <v>$180.54</v>
      </c>
      <c r="F2025" s="4">
        <f>VLOOKUP(Googleadssales[[#This Row],[Ad_ID]],'[1]pre processed data'!A:I,9,0)</f>
        <v>29</v>
      </c>
      <c r="G2025" s="4">
        <f>VLOOKUP(Googleadssales[[#This Row],[Ad_ID]],'[1]pre processed data'!A:K,11,0)</f>
        <v>7</v>
      </c>
      <c r="H2025" s="2">
        <f>Googleadssales[[#This Row],[Conversions]]/Googleadssales[[#This Row],[Clicks]]</f>
        <v>5.6451612903225805E-2</v>
      </c>
      <c r="I2025" t="str">
        <f>VLOOKUP(Googleadssales[[#This Row],[Ad_ID]],'[1]pre processed data'!A:O,15,0)</f>
        <v>$1564</v>
      </c>
      <c r="J2025" s="3">
        <f>VLOOKUP(Googleadssales[[#This Row],[Ad_ID]],'[1]pre processed data'!A:Q,17,0)</f>
        <v>45605</v>
      </c>
      <c r="K2025" t="str">
        <f>VLOOKUP(Googleadssales[[#This Row],[Ad_ID]],'[1]pre processed data'!A:R,18,0)</f>
        <v>Chennai</v>
      </c>
      <c r="L2025" t="str">
        <f>VLOOKUP(Googleadssales[[#This Row],[Ad_ID]],'[1]pre processed data'!A:S,19,0)</f>
        <v>Desktop</v>
      </c>
      <c r="M2025" t="str">
        <f>VLOOKUP(Googleadssales[[#This Row],[Ad_ID]],'[1]pre processed data'!A:T,20,0)</f>
        <v>analytics for data</v>
      </c>
    </row>
    <row r="2026" spans="1:13" x14ac:dyDescent="0.3">
      <c r="A2026" t="s">
        <v>2039</v>
      </c>
      <c r="B2026" t="s">
        <v>18</v>
      </c>
      <c r="C2026" s="4">
        <f>VLOOKUP(Googleadssales[[#This Row],[Ad_ID]],'[1]pre processed data'!A:C,3,0)</f>
        <v>88</v>
      </c>
      <c r="D2026" s="4">
        <f>VLOOKUP(Googleadssales[[#This Row],[Ad_ID]],'[1]pre processed data'!A:E,5,0)</f>
        <v>4794</v>
      </c>
      <c r="E2026" s="5" t="str">
        <f>VLOOKUP(Googleadssales[[#This Row],[Ad_ID]],[1]!Table3[[Ad_ID]:[Cost-imputed]],7,0)</f>
        <v>$242.28</v>
      </c>
      <c r="F2026" s="4">
        <f>VLOOKUP(Googleadssales[[#This Row],[Ad_ID]],'[1]pre processed data'!A:I,9,0)</f>
        <v>11</v>
      </c>
      <c r="G2026" s="4">
        <f>VLOOKUP(Googleadssales[[#This Row],[Ad_ID]],'[1]pre processed data'!A:K,11,0)</f>
        <v>3</v>
      </c>
      <c r="H2026" s="2">
        <f>Googleadssales[[#This Row],[Conversions]]/Googleadssales[[#This Row],[Clicks]]</f>
        <v>3.4090909090909088E-2</v>
      </c>
      <c r="I2026" t="str">
        <f>VLOOKUP(Googleadssales[[#This Row],[Ad_ID]],'[1]pre processed data'!A:O,15,0)</f>
        <v>$1210</v>
      </c>
      <c r="J2026" s="3">
        <f>VLOOKUP(Googleadssales[[#This Row],[Ad_ID]],'[1]pre processed data'!A:Q,17,0)</f>
        <v>45603</v>
      </c>
      <c r="K2026" t="str">
        <f>VLOOKUP(Googleadssales[[#This Row],[Ad_ID]],'[1]pre processed data'!A:R,18,0)</f>
        <v>Bangaluru</v>
      </c>
      <c r="L2026" t="str">
        <f>VLOOKUP(Googleadssales[[#This Row],[Ad_ID]],'[1]pre processed data'!A:S,19,0)</f>
        <v>Mobile</v>
      </c>
      <c r="M2026" t="str">
        <f>VLOOKUP(Googleadssales[[#This Row],[Ad_ID]],'[1]pre processed data'!A:T,20,0)</f>
        <v>data analytics training</v>
      </c>
    </row>
    <row r="2027" spans="1:13" x14ac:dyDescent="0.3">
      <c r="A2027" t="s">
        <v>2040</v>
      </c>
      <c r="B2027" t="s">
        <v>14</v>
      </c>
      <c r="C2027" s="4">
        <f>VLOOKUP(Googleadssales[[#This Row],[Ad_ID]],'[1]pre processed data'!A:C,3,0)</f>
        <v>118</v>
      </c>
      <c r="D2027" s="4">
        <f>VLOOKUP(Googleadssales[[#This Row],[Ad_ID]],'[1]pre processed data'!A:E,5,0)</f>
        <v>5326</v>
      </c>
      <c r="E2027" s="5" t="str">
        <f>VLOOKUP(Googleadssales[[#This Row],[Ad_ID]],[1]!Table3[[Ad_ID]:[Cost-imputed]],7,0)</f>
        <v>$199.76</v>
      </c>
      <c r="F2027" s="4">
        <f>VLOOKUP(Googleadssales[[#This Row],[Ad_ID]],'[1]pre processed data'!A:I,9,0)</f>
        <v>19</v>
      </c>
      <c r="G2027" s="4">
        <f>VLOOKUP(Googleadssales[[#This Row],[Ad_ID]],'[1]pre processed data'!A:K,11,0)</f>
        <v>8</v>
      </c>
      <c r="H2027" s="2">
        <f>Googleadssales[[#This Row],[Conversions]]/Googleadssales[[#This Row],[Clicks]]</f>
        <v>6.7796610169491525E-2</v>
      </c>
      <c r="I2027" t="str">
        <f>VLOOKUP(Googleadssales[[#This Row],[Ad_ID]],'[1]pre processed data'!A:O,15,0)</f>
        <v>$1195</v>
      </c>
      <c r="J2027" s="3">
        <f>VLOOKUP(Googleadssales[[#This Row],[Ad_ID]],'[1]pre processed data'!A:Q,17,0)</f>
        <v>45620</v>
      </c>
      <c r="K2027" t="str">
        <f>VLOOKUP(Googleadssales[[#This Row],[Ad_ID]],'[1]pre processed data'!A:R,18,0)</f>
        <v>Bangaluru</v>
      </c>
      <c r="L2027" t="str">
        <f>VLOOKUP(Googleadssales[[#This Row],[Ad_ID]],'[1]pre processed data'!A:S,19,0)</f>
        <v>Tablet</v>
      </c>
      <c r="M2027" t="str">
        <f>VLOOKUP(Googleadssales[[#This Row],[Ad_ID]],'[1]pre processed data'!A:T,20,0)</f>
        <v>analytics for data</v>
      </c>
    </row>
    <row r="2028" spans="1:13" x14ac:dyDescent="0.3">
      <c r="A2028" t="s">
        <v>2041</v>
      </c>
      <c r="B2028" t="s">
        <v>14</v>
      </c>
      <c r="C2028" s="4">
        <f>VLOOKUP(Googleadssales[[#This Row],[Ad_ID]],'[1]pre processed data'!A:C,3,0)</f>
        <v>160</v>
      </c>
      <c r="D2028" s="4">
        <f>VLOOKUP(Googleadssales[[#This Row],[Ad_ID]],'[1]pre processed data'!A:E,5,0)</f>
        <v>5642</v>
      </c>
      <c r="E2028" s="5" t="str">
        <f>VLOOKUP(Googleadssales[[#This Row],[Ad_ID]],[1]!Table3[[Ad_ID]:[Cost-imputed]],7,0)</f>
        <v>$200.82</v>
      </c>
      <c r="F2028" s="4">
        <f>VLOOKUP(Googleadssales[[#This Row],[Ad_ID]],'[1]pre processed data'!A:I,9,0)</f>
        <v>25</v>
      </c>
      <c r="G2028" s="4">
        <f>VLOOKUP(Googleadssales[[#This Row],[Ad_ID]],'[1]pre processed data'!A:K,11,0)</f>
        <v>6.4754990925589837</v>
      </c>
      <c r="H2028" s="2">
        <f>Googleadssales[[#This Row],[Conversions]]/Googleadssales[[#This Row],[Clicks]]</f>
        <v>4.047186932849365E-2</v>
      </c>
      <c r="I2028" t="str">
        <f>VLOOKUP(Googleadssales[[#This Row],[Ad_ID]],'[1]pre processed data'!A:O,15,0)</f>
        <v>$1500</v>
      </c>
      <c r="J2028" s="3">
        <f>VLOOKUP(Googleadssales[[#This Row],[Ad_ID]],'[1]pre processed data'!A:Q,17,0)</f>
        <v>45625</v>
      </c>
      <c r="K2028" t="str">
        <f>VLOOKUP(Googleadssales[[#This Row],[Ad_ID]],'[1]pre processed data'!A:R,18,0)</f>
        <v>Hyderabad</v>
      </c>
      <c r="L2028" t="str">
        <f>VLOOKUP(Googleadssales[[#This Row],[Ad_ID]],'[1]pre processed data'!A:S,19,0)</f>
        <v>Mobile</v>
      </c>
      <c r="M2028" t="str">
        <f>VLOOKUP(Googleadssales[[#This Row],[Ad_ID]],'[1]pre processed data'!A:T,20,0)</f>
        <v>learn data analytics</v>
      </c>
    </row>
    <row r="2029" spans="1:13" x14ac:dyDescent="0.3">
      <c r="A2029" t="s">
        <v>2042</v>
      </c>
      <c r="B2029" t="s">
        <v>14</v>
      </c>
      <c r="C2029" s="4">
        <f>VLOOKUP(Googleadssales[[#This Row],[Ad_ID]],'[1]pre processed data'!A:C,3,0)</f>
        <v>112</v>
      </c>
      <c r="D2029" s="4">
        <f>VLOOKUP(Googleadssales[[#This Row],[Ad_ID]],'[1]pre processed data'!A:E,5,0)</f>
        <v>4594</v>
      </c>
      <c r="E2029" s="5" t="str">
        <f>VLOOKUP(Googleadssales[[#This Row],[Ad_ID]],[1]!Table3[[Ad_ID]:[Cost-imputed]],7,0)</f>
        <v>$236.12</v>
      </c>
      <c r="F2029" s="4">
        <f>VLOOKUP(Googleadssales[[#This Row],[Ad_ID]],'[1]pre processed data'!A:I,9,0)</f>
        <v>29</v>
      </c>
      <c r="G2029" s="4">
        <f>VLOOKUP(Googleadssales[[#This Row],[Ad_ID]],'[1]pre processed data'!A:K,11,0)</f>
        <v>8</v>
      </c>
      <c r="H2029" s="2">
        <f>Googleadssales[[#This Row],[Conversions]]/Googleadssales[[#This Row],[Clicks]]</f>
        <v>7.1428571428571425E-2</v>
      </c>
      <c r="I2029" t="str">
        <f>VLOOKUP(Googleadssales[[#This Row],[Ad_ID]],'[1]pre processed data'!A:O,15,0)</f>
        <v>$1569</v>
      </c>
      <c r="J2029" s="3">
        <f>VLOOKUP(Googleadssales[[#This Row],[Ad_ID]],'[1]pre processed data'!A:Q,17,0)</f>
        <v>45619</v>
      </c>
      <c r="K2029" t="str">
        <f>VLOOKUP(Googleadssales[[#This Row],[Ad_ID]],'[1]pre processed data'!A:R,18,0)</f>
        <v>Bangaluru</v>
      </c>
      <c r="L2029" t="str">
        <f>VLOOKUP(Googleadssales[[#This Row],[Ad_ID]],'[1]pre processed data'!A:S,19,0)</f>
        <v>Mobile</v>
      </c>
      <c r="M2029" t="str">
        <f>VLOOKUP(Googleadssales[[#This Row],[Ad_ID]],'[1]pre processed data'!A:T,20,0)</f>
        <v>data analytics training</v>
      </c>
    </row>
    <row r="2030" spans="1:13" x14ac:dyDescent="0.3">
      <c r="A2030" t="s">
        <v>2043</v>
      </c>
      <c r="B2030" t="s">
        <v>14</v>
      </c>
      <c r="C2030" s="4">
        <f>VLOOKUP(Googleadssales[[#This Row],[Ad_ID]],'[1]pre processed data'!A:C,3,0)</f>
        <v>186</v>
      </c>
      <c r="D2030" s="4">
        <f>VLOOKUP(Googleadssales[[#This Row],[Ad_ID]],'[1]pre processed data'!A:E,5,0)</f>
        <v>4352</v>
      </c>
      <c r="E2030" s="5" t="str">
        <f>VLOOKUP(Googleadssales[[#This Row],[Ad_ID]],[1]!Table3[[Ad_ID]:[Cost-imputed]],7,0)</f>
        <v>$223.95</v>
      </c>
      <c r="F2030" s="4">
        <f>VLOOKUP(Googleadssales[[#This Row],[Ad_ID]],'[1]pre processed data'!A:I,9,0)</f>
        <v>29</v>
      </c>
      <c r="G2030" s="4">
        <f>VLOOKUP(Googleadssales[[#This Row],[Ad_ID]],'[1]pre processed data'!A:K,11,0)</f>
        <v>3</v>
      </c>
      <c r="H2030" s="2">
        <f>Googleadssales[[#This Row],[Conversions]]/Googleadssales[[#This Row],[Clicks]]</f>
        <v>1.6129032258064516E-2</v>
      </c>
      <c r="I2030" t="str">
        <f>VLOOKUP(Googleadssales[[#This Row],[Ad_ID]],'[1]pre processed data'!A:O,15,0)</f>
        <v>$1290</v>
      </c>
      <c r="J2030" s="3">
        <f>VLOOKUP(Googleadssales[[#This Row],[Ad_ID]],'[1]pre processed data'!A:Q,17,0)</f>
        <v>45602</v>
      </c>
      <c r="K2030" t="str">
        <f>VLOOKUP(Googleadssales[[#This Row],[Ad_ID]],'[1]pre processed data'!A:R,18,0)</f>
        <v>Chennai</v>
      </c>
      <c r="L2030" t="str">
        <f>VLOOKUP(Googleadssales[[#This Row],[Ad_ID]],'[1]pre processed data'!A:S,19,0)</f>
        <v>Mobile</v>
      </c>
      <c r="M2030" t="str">
        <f>VLOOKUP(Googleadssales[[#This Row],[Ad_ID]],'[1]pre processed data'!A:T,20,0)</f>
        <v>data analytics training</v>
      </c>
    </row>
    <row r="2031" spans="1:13" x14ac:dyDescent="0.3">
      <c r="A2031" t="s">
        <v>2044</v>
      </c>
      <c r="B2031" t="s">
        <v>14</v>
      </c>
      <c r="C2031" s="4">
        <f>VLOOKUP(Googleadssales[[#This Row],[Ad_ID]],'[1]pre processed data'!A:C,3,0)</f>
        <v>139</v>
      </c>
      <c r="D2031" s="4">
        <f>VLOOKUP(Googleadssales[[#This Row],[Ad_ID]],'[1]pre processed data'!A:E,5,0)</f>
        <v>4220</v>
      </c>
      <c r="E2031" s="5" t="str">
        <f>VLOOKUP(Googleadssales[[#This Row],[Ad_ID]],[1]!Table3[[Ad_ID]:[Cost-imputed]],7,0)</f>
        <v>$206.02</v>
      </c>
      <c r="F2031" s="4">
        <f>VLOOKUP(Googleadssales[[#This Row],[Ad_ID]],'[1]pre processed data'!A:I,9,0)</f>
        <v>21</v>
      </c>
      <c r="G2031" s="4">
        <f>VLOOKUP(Googleadssales[[#This Row],[Ad_ID]],'[1]pre processed data'!A:K,11,0)</f>
        <v>5</v>
      </c>
      <c r="H2031" s="2">
        <f>Googleadssales[[#This Row],[Conversions]]/Googleadssales[[#This Row],[Clicks]]</f>
        <v>3.5971223021582732E-2</v>
      </c>
      <c r="I2031" t="str">
        <f>VLOOKUP(Googleadssales[[#This Row],[Ad_ID]],'[1]pre processed data'!A:O,15,0)</f>
        <v>$1671</v>
      </c>
      <c r="J2031" s="3">
        <f>VLOOKUP(Googleadssales[[#This Row],[Ad_ID]],'[1]pre processed data'!A:Q,17,0)</f>
        <v>45617</v>
      </c>
      <c r="K2031" t="str">
        <f>VLOOKUP(Googleadssales[[#This Row],[Ad_ID]],'[1]pre processed data'!A:R,18,0)</f>
        <v>Hyderabad</v>
      </c>
      <c r="L2031" t="str">
        <f>VLOOKUP(Googleadssales[[#This Row],[Ad_ID]],'[1]pre processed data'!A:S,19,0)</f>
        <v>Desktop</v>
      </c>
      <c r="M2031" t="str">
        <f>VLOOKUP(Googleadssales[[#This Row],[Ad_ID]],'[1]pre processed data'!A:T,20,0)</f>
        <v>learn data analytics</v>
      </c>
    </row>
    <row r="2032" spans="1:13" x14ac:dyDescent="0.3">
      <c r="A2032" t="s">
        <v>2045</v>
      </c>
      <c r="B2032" t="s">
        <v>18</v>
      </c>
      <c r="C2032" s="4">
        <f>VLOOKUP(Googleadssales[[#This Row],[Ad_ID]],'[1]pre processed data'!A:C,3,0)</f>
        <v>164</v>
      </c>
      <c r="D2032" s="4">
        <f>VLOOKUP(Googleadssales[[#This Row],[Ad_ID]],'[1]pre processed data'!A:E,5,0)</f>
        <v>4909</v>
      </c>
      <c r="E2032" s="5" t="str">
        <f>VLOOKUP(Googleadssales[[#This Row],[Ad_ID]],[1]!Table3[[Ad_ID]:[Cost-imputed]],7,0)</f>
        <v>$245.06</v>
      </c>
      <c r="F2032" s="4">
        <f>VLOOKUP(Googleadssales[[#This Row],[Ad_ID]],'[1]pre processed data'!A:I,9,0)</f>
        <v>13</v>
      </c>
      <c r="G2032" s="4">
        <f>VLOOKUP(Googleadssales[[#This Row],[Ad_ID]],'[1]pre processed data'!A:K,11,0)</f>
        <v>3</v>
      </c>
      <c r="H2032" s="2">
        <f>Googleadssales[[#This Row],[Conversions]]/Googleadssales[[#This Row],[Clicks]]</f>
        <v>1.8292682926829267E-2</v>
      </c>
      <c r="I2032" t="str">
        <f>VLOOKUP(Googleadssales[[#This Row],[Ad_ID]],'[1]pre processed data'!A:O,15,0)</f>
        <v>$1601</v>
      </c>
      <c r="J2032" s="3">
        <f>VLOOKUP(Googleadssales[[#This Row],[Ad_ID]],'[1]pre processed data'!A:Q,17,0)</f>
        <v>45600</v>
      </c>
      <c r="K2032" t="str">
        <f>VLOOKUP(Googleadssales[[#This Row],[Ad_ID]],'[1]pre processed data'!A:R,18,0)</f>
        <v>Hyderabad</v>
      </c>
      <c r="L2032" t="str">
        <f>VLOOKUP(Googleadssales[[#This Row],[Ad_ID]],'[1]pre processed data'!A:S,19,0)</f>
        <v>Mobile</v>
      </c>
      <c r="M2032" t="str">
        <f>VLOOKUP(Googleadssales[[#This Row],[Ad_ID]],'[1]pre processed data'!A:T,20,0)</f>
        <v>learn data analytics</v>
      </c>
    </row>
    <row r="2033" spans="1:13" x14ac:dyDescent="0.3">
      <c r="A2033" t="s">
        <v>2046</v>
      </c>
      <c r="B2033" t="s">
        <v>14</v>
      </c>
      <c r="C2033" s="4">
        <f>VLOOKUP(Googleadssales[[#This Row],[Ad_ID]],'[1]pre processed data'!A:C,3,0)</f>
        <v>89</v>
      </c>
      <c r="D2033" s="4">
        <f>VLOOKUP(Googleadssales[[#This Row],[Ad_ID]],'[1]pre processed data'!A:E,5,0)</f>
        <v>3148</v>
      </c>
      <c r="E2033" s="5" t="str">
        <f>VLOOKUP(Googleadssales[[#This Row],[Ad_ID]],[1]!Table3[[Ad_ID]:[Cost-imputed]],7,0)</f>
        <v>$219.25</v>
      </c>
      <c r="F2033" s="4">
        <f>VLOOKUP(Googleadssales[[#This Row],[Ad_ID]],'[1]pre processed data'!A:I,9,0)</f>
        <v>13</v>
      </c>
      <c r="G2033" s="4">
        <f>VLOOKUP(Googleadssales[[#This Row],[Ad_ID]],'[1]pre processed data'!A:K,11,0)</f>
        <v>4</v>
      </c>
      <c r="H2033" s="2">
        <f>Googleadssales[[#This Row],[Conversions]]/Googleadssales[[#This Row],[Clicks]]</f>
        <v>4.49438202247191E-2</v>
      </c>
      <c r="I2033" t="str">
        <f>VLOOKUP(Googleadssales[[#This Row],[Ad_ID]],'[1]pre processed data'!A:O,15,0)</f>
        <v>$1533</v>
      </c>
      <c r="J2033" s="3">
        <f>VLOOKUP(Googleadssales[[#This Row],[Ad_ID]],'[1]pre processed data'!A:Q,17,0)</f>
        <v>45602</v>
      </c>
      <c r="K2033" t="str">
        <f>VLOOKUP(Googleadssales[[#This Row],[Ad_ID]],'[1]pre processed data'!A:R,18,0)</f>
        <v>Bangaluru</v>
      </c>
      <c r="L2033" t="str">
        <f>VLOOKUP(Googleadssales[[#This Row],[Ad_ID]],'[1]pre processed data'!A:S,19,0)</f>
        <v>Desktop</v>
      </c>
      <c r="M2033" t="str">
        <f>VLOOKUP(Googleadssales[[#This Row],[Ad_ID]],'[1]pre processed data'!A:T,20,0)</f>
        <v>data analytics online</v>
      </c>
    </row>
    <row r="2034" spans="1:13" x14ac:dyDescent="0.3">
      <c r="A2034" t="s">
        <v>2047</v>
      </c>
      <c r="B2034" t="s">
        <v>14</v>
      </c>
      <c r="C2034" s="4">
        <f>VLOOKUP(Googleadssales[[#This Row],[Ad_ID]],'[1]pre processed data'!A:C,3,0)</f>
        <v>107</v>
      </c>
      <c r="D2034" s="4">
        <f>VLOOKUP(Googleadssales[[#This Row],[Ad_ID]],'[1]pre processed data'!A:E,5,0)</f>
        <v>3105</v>
      </c>
      <c r="E2034" s="5" t="str">
        <f>VLOOKUP(Googleadssales[[#This Row],[Ad_ID]],[1]!Table3[[Ad_ID]:[Cost-imputed]],7,0)</f>
        <v>$195.46</v>
      </c>
      <c r="F2034" s="4">
        <f>VLOOKUP(Googleadssales[[#This Row],[Ad_ID]],'[1]pre processed data'!A:I,9,0)</f>
        <v>20</v>
      </c>
      <c r="G2034" s="4">
        <f>VLOOKUP(Googleadssales[[#This Row],[Ad_ID]],'[1]pre processed data'!A:K,11,0)</f>
        <v>10</v>
      </c>
      <c r="H2034" s="2">
        <f>Googleadssales[[#This Row],[Conversions]]/Googleadssales[[#This Row],[Clicks]]</f>
        <v>9.3457943925233641E-2</v>
      </c>
      <c r="I2034" t="str">
        <f>VLOOKUP(Googleadssales[[#This Row],[Ad_ID]],'[1]pre processed data'!A:O,15,0)</f>
        <v>$1455</v>
      </c>
      <c r="J2034" s="3">
        <f>VLOOKUP(Googleadssales[[#This Row],[Ad_ID]],'[1]pre processed data'!A:Q,17,0)</f>
        <v>45615</v>
      </c>
      <c r="K2034" t="str">
        <f>VLOOKUP(Googleadssales[[#This Row],[Ad_ID]],'[1]pre processed data'!A:R,18,0)</f>
        <v>Bangaluru</v>
      </c>
      <c r="L2034" t="str">
        <f>VLOOKUP(Googleadssales[[#This Row],[Ad_ID]],'[1]pre processed data'!A:S,19,0)</f>
        <v>Mobile</v>
      </c>
      <c r="M2034" t="str">
        <f>VLOOKUP(Googleadssales[[#This Row],[Ad_ID]],'[1]pre processed data'!A:T,20,0)</f>
        <v>data analytics online</v>
      </c>
    </row>
    <row r="2035" spans="1:13" x14ac:dyDescent="0.3">
      <c r="A2035" t="s">
        <v>2048</v>
      </c>
      <c r="B2035" t="s">
        <v>14</v>
      </c>
      <c r="C2035" s="4">
        <f>VLOOKUP(Googleadssales[[#This Row],[Ad_ID]],'[1]pre processed data'!A:C,3,0)</f>
        <v>179</v>
      </c>
      <c r="D2035" s="4">
        <f>VLOOKUP(Googleadssales[[#This Row],[Ad_ID]],'[1]pre processed data'!A:E,5,0)</f>
        <v>5062</v>
      </c>
      <c r="E2035" s="5" t="str">
        <f>VLOOKUP(Googleadssales[[#This Row],[Ad_ID]],[1]!Table3[[Ad_ID]:[Cost-imputed]],7,0)</f>
        <v>$214.66</v>
      </c>
      <c r="F2035" s="4">
        <f>VLOOKUP(Googleadssales[[#This Row],[Ad_ID]],'[1]pre processed data'!A:I,9,0)</f>
        <v>18</v>
      </c>
      <c r="G2035" s="4">
        <f>VLOOKUP(Googleadssales[[#This Row],[Ad_ID]],'[1]pre processed data'!A:K,11,0)</f>
        <v>4</v>
      </c>
      <c r="H2035" s="2">
        <f>Googleadssales[[#This Row],[Conversions]]/Googleadssales[[#This Row],[Clicks]]</f>
        <v>2.23463687150838E-2</v>
      </c>
      <c r="I2035" t="str">
        <f>VLOOKUP(Googleadssales[[#This Row],[Ad_ID]],'[1]pre processed data'!A:O,15,0)</f>
        <v>$1815</v>
      </c>
      <c r="J2035" s="3">
        <f>VLOOKUP(Googleadssales[[#This Row],[Ad_ID]],'[1]pre processed data'!A:Q,17,0)</f>
        <v>45620</v>
      </c>
      <c r="K2035" t="str">
        <f>VLOOKUP(Googleadssales[[#This Row],[Ad_ID]],'[1]pre processed data'!A:R,18,0)</f>
        <v>Bangaluru</v>
      </c>
      <c r="L2035" t="str">
        <f>VLOOKUP(Googleadssales[[#This Row],[Ad_ID]],'[1]pre processed data'!A:S,19,0)</f>
        <v>Mobile</v>
      </c>
      <c r="M2035" t="str">
        <f>VLOOKUP(Googleadssales[[#This Row],[Ad_ID]],'[1]pre processed data'!A:T,20,0)</f>
        <v>data analytics course</v>
      </c>
    </row>
    <row r="2036" spans="1:13" x14ac:dyDescent="0.3">
      <c r="A2036" t="s">
        <v>2049</v>
      </c>
      <c r="B2036" t="s">
        <v>14</v>
      </c>
      <c r="C2036" s="4">
        <f>VLOOKUP(Googleadssales[[#This Row],[Ad_ID]],'[1]pre processed data'!A:C,3,0)</f>
        <v>136</v>
      </c>
      <c r="D2036" s="4">
        <f>VLOOKUP(Googleadssales[[#This Row],[Ad_ID]],'[1]pre processed data'!A:E,5,0)</f>
        <v>4096</v>
      </c>
      <c r="E2036" s="5" t="str">
        <f>VLOOKUP(Googleadssales[[#This Row],[Ad_ID]],[1]!Table3[[Ad_ID]:[Cost-imputed]],7,0)</f>
        <v>$228.79</v>
      </c>
      <c r="F2036" s="4">
        <f>VLOOKUP(Googleadssales[[#This Row],[Ad_ID]],'[1]pre processed data'!A:I,9,0)</f>
        <v>19</v>
      </c>
      <c r="G2036" s="4">
        <f>VLOOKUP(Googleadssales[[#This Row],[Ad_ID]],'[1]pre processed data'!A:K,11,0)</f>
        <v>10</v>
      </c>
      <c r="H2036" s="2">
        <f>Googleadssales[[#This Row],[Conversions]]/Googleadssales[[#This Row],[Clicks]]</f>
        <v>7.3529411764705885E-2</v>
      </c>
      <c r="I2036" t="str">
        <f>VLOOKUP(Googleadssales[[#This Row],[Ad_ID]],'[1]pre processed data'!A:O,15,0)</f>
        <v>$1054</v>
      </c>
      <c r="J2036" s="3">
        <f>VLOOKUP(Googleadssales[[#This Row],[Ad_ID]],'[1]pre processed data'!A:Q,17,0)</f>
        <v>45622</v>
      </c>
      <c r="K2036" t="str">
        <f>VLOOKUP(Googleadssales[[#This Row],[Ad_ID]],'[1]pre processed data'!A:R,18,0)</f>
        <v>Hyderabad</v>
      </c>
      <c r="L2036" t="str">
        <f>VLOOKUP(Googleadssales[[#This Row],[Ad_ID]],'[1]pre processed data'!A:S,19,0)</f>
        <v>Desktop</v>
      </c>
      <c r="M2036" t="str">
        <f>VLOOKUP(Googleadssales[[#This Row],[Ad_ID]],'[1]pre processed data'!A:T,20,0)</f>
        <v>data analytics training</v>
      </c>
    </row>
    <row r="2037" spans="1:13" x14ac:dyDescent="0.3">
      <c r="A2037" t="s">
        <v>2050</v>
      </c>
      <c r="B2037" t="s">
        <v>14</v>
      </c>
      <c r="C2037" s="4">
        <f>VLOOKUP(Googleadssales[[#This Row],[Ad_ID]],'[1]pre processed data'!A:C,3,0)</f>
        <v>140</v>
      </c>
      <c r="D2037" s="4">
        <f>VLOOKUP(Googleadssales[[#This Row],[Ad_ID]],'[1]pre processed data'!A:E,5,0)</f>
        <v>4283</v>
      </c>
      <c r="E2037" s="5" t="str">
        <f>VLOOKUP(Googleadssales[[#This Row],[Ad_ID]],[1]!Table3[[Ad_ID]:[Cost-imputed]],7,0)</f>
        <v>$205.02</v>
      </c>
      <c r="F2037" s="4">
        <f>VLOOKUP(Googleadssales[[#This Row],[Ad_ID]],'[1]pre processed data'!A:I,9,0)</f>
        <v>22</v>
      </c>
      <c r="G2037" s="4">
        <f>VLOOKUP(Googleadssales[[#This Row],[Ad_ID]],'[1]pre processed data'!A:K,11,0)</f>
        <v>7</v>
      </c>
      <c r="H2037" s="2">
        <f>Googleadssales[[#This Row],[Conversions]]/Googleadssales[[#This Row],[Clicks]]</f>
        <v>0.05</v>
      </c>
      <c r="I2037" t="str">
        <f>VLOOKUP(Googleadssales[[#This Row],[Ad_ID]],'[1]pre processed data'!A:O,15,0)</f>
        <v>$1674</v>
      </c>
      <c r="J2037" s="3">
        <f>VLOOKUP(Googleadssales[[#This Row],[Ad_ID]],'[1]pre processed data'!A:Q,17,0)</f>
        <v>45607</v>
      </c>
      <c r="K2037" t="str">
        <f>VLOOKUP(Googleadssales[[#This Row],[Ad_ID]],'[1]pre processed data'!A:R,18,0)</f>
        <v>Chennai</v>
      </c>
      <c r="L2037" t="str">
        <f>VLOOKUP(Googleadssales[[#This Row],[Ad_ID]],'[1]pre processed data'!A:S,19,0)</f>
        <v>Mobile</v>
      </c>
      <c r="M2037" t="str">
        <f>VLOOKUP(Googleadssales[[#This Row],[Ad_ID]],'[1]pre processed data'!A:T,20,0)</f>
        <v>data analytics course</v>
      </c>
    </row>
    <row r="2038" spans="1:13" x14ac:dyDescent="0.3">
      <c r="A2038" t="s">
        <v>2051</v>
      </c>
      <c r="B2038" t="s">
        <v>14</v>
      </c>
      <c r="C2038" s="4">
        <f>VLOOKUP(Googleadssales[[#This Row],[Ad_ID]],'[1]pre processed data'!A:C,3,0)</f>
        <v>137</v>
      </c>
      <c r="D2038" s="4">
        <f>VLOOKUP(Googleadssales[[#This Row],[Ad_ID]],'[1]pre processed data'!A:E,5,0)</f>
        <v>4189</v>
      </c>
      <c r="E2038" s="5" t="str">
        <f>VLOOKUP(Googleadssales[[#This Row],[Ad_ID]],[1]!Table3[[Ad_ID]:[Cost-imputed]],7,0)</f>
        <v>$208.84</v>
      </c>
      <c r="F2038" s="4">
        <f>VLOOKUP(Googleadssales[[#This Row],[Ad_ID]],'[1]pre processed data'!A:I,9,0)</f>
        <v>17</v>
      </c>
      <c r="G2038" s="4">
        <f>VLOOKUP(Googleadssales[[#This Row],[Ad_ID]],'[1]pre processed data'!A:K,11,0)</f>
        <v>6.4833948339483394</v>
      </c>
      <c r="H2038" s="2">
        <f>Googleadssales[[#This Row],[Conversions]]/Googleadssales[[#This Row],[Clicks]]</f>
        <v>4.7324049882834597E-2</v>
      </c>
      <c r="I2038" t="str">
        <f>VLOOKUP(Googleadssales[[#This Row],[Ad_ID]],'[1]pre processed data'!A:O,15,0)</f>
        <v>$1211</v>
      </c>
      <c r="J2038" s="3">
        <f>VLOOKUP(Googleadssales[[#This Row],[Ad_ID]],'[1]pre processed data'!A:Q,17,0)</f>
        <v>45605</v>
      </c>
      <c r="K2038" t="str">
        <f>VLOOKUP(Googleadssales[[#This Row],[Ad_ID]],'[1]pre processed data'!A:R,18,0)</f>
        <v>Hyderabad</v>
      </c>
      <c r="L2038" t="str">
        <f>VLOOKUP(Googleadssales[[#This Row],[Ad_ID]],'[1]pre processed data'!A:S,19,0)</f>
        <v>Mobile</v>
      </c>
      <c r="M2038" t="str">
        <f>VLOOKUP(Googleadssales[[#This Row],[Ad_ID]],'[1]pre processed data'!A:T,20,0)</f>
        <v>online data analytic</v>
      </c>
    </row>
    <row r="2039" spans="1:13" x14ac:dyDescent="0.3">
      <c r="A2039" t="s">
        <v>2052</v>
      </c>
      <c r="B2039" t="s">
        <v>18</v>
      </c>
      <c r="C2039" s="4">
        <f>VLOOKUP(Googleadssales[[#This Row],[Ad_ID]],'[1]pre processed data'!A:C,3,0)</f>
        <v>199</v>
      </c>
      <c r="D2039" s="4">
        <f>VLOOKUP(Googleadssales[[#This Row],[Ad_ID]],'[1]pre processed data'!A:E,5,0)</f>
        <v>4818</v>
      </c>
      <c r="E2039" s="5" t="str">
        <f>VLOOKUP(Googleadssales[[#This Row],[Ad_ID]],[1]!Table3[[Ad_ID]:[Cost-imputed]],7,0)</f>
        <v>$230.19</v>
      </c>
      <c r="F2039" s="4">
        <f>VLOOKUP(Googleadssales[[#This Row],[Ad_ID]],'[1]pre processed data'!A:I,9,0)</f>
        <v>11</v>
      </c>
      <c r="G2039" s="4">
        <f>VLOOKUP(Googleadssales[[#This Row],[Ad_ID]],'[1]pre processed data'!A:K,11,0)</f>
        <v>7</v>
      </c>
      <c r="H2039" s="2">
        <f>Googleadssales[[#This Row],[Conversions]]/Googleadssales[[#This Row],[Clicks]]</f>
        <v>3.5175879396984924E-2</v>
      </c>
      <c r="I2039" t="str">
        <f>VLOOKUP(Googleadssales[[#This Row],[Ad_ID]],'[1]pre processed data'!A:O,15,0)</f>
        <v>$1714</v>
      </c>
      <c r="J2039" s="3">
        <f>VLOOKUP(Googleadssales[[#This Row],[Ad_ID]],'[1]pre processed data'!A:Q,17,0)</f>
        <v>45604</v>
      </c>
      <c r="K2039" t="str">
        <f>VLOOKUP(Googleadssales[[#This Row],[Ad_ID]],'[1]pre processed data'!A:R,18,0)</f>
        <v>Hyderabad</v>
      </c>
      <c r="L2039" t="str">
        <f>VLOOKUP(Googleadssales[[#This Row],[Ad_ID]],'[1]pre processed data'!A:S,19,0)</f>
        <v>Desktop</v>
      </c>
      <c r="M2039" t="str">
        <f>VLOOKUP(Googleadssales[[#This Row],[Ad_ID]],'[1]pre processed data'!A:T,20,0)</f>
        <v>online data analytic</v>
      </c>
    </row>
    <row r="2040" spans="1:13" x14ac:dyDescent="0.3">
      <c r="A2040" t="s">
        <v>2053</v>
      </c>
      <c r="B2040" t="s">
        <v>18</v>
      </c>
      <c r="C2040" s="4">
        <f>VLOOKUP(Googleadssales[[#This Row],[Ad_ID]],'[1]pre processed data'!A:C,3,0)</f>
        <v>95</v>
      </c>
      <c r="D2040" s="4">
        <f>VLOOKUP(Googleadssales[[#This Row],[Ad_ID]],'[1]pre processed data'!A:E,5,0)</f>
        <v>5256</v>
      </c>
      <c r="E2040" s="5" t="str">
        <f>VLOOKUP(Googleadssales[[#This Row],[Ad_ID]],[1]!Table3[[Ad_ID]:[Cost-imputed]],7,0)</f>
        <v>$235.84</v>
      </c>
      <c r="F2040" s="4">
        <f>VLOOKUP(Googleadssales[[#This Row],[Ad_ID]],'[1]pre processed data'!A:I,9,0)</f>
        <v>12</v>
      </c>
      <c r="G2040" s="4">
        <f>VLOOKUP(Googleadssales[[#This Row],[Ad_ID]],'[1]pre processed data'!A:K,11,0)</f>
        <v>8</v>
      </c>
      <c r="H2040" s="2">
        <f>Googleadssales[[#This Row],[Conversions]]/Googleadssales[[#This Row],[Clicks]]</f>
        <v>8.4210526315789472E-2</v>
      </c>
      <c r="I2040" t="str">
        <f>VLOOKUP(Googleadssales[[#This Row],[Ad_ID]],'[1]pre processed data'!A:O,15,0)</f>
        <v>$1324</v>
      </c>
      <c r="J2040" s="3">
        <f>VLOOKUP(Googleadssales[[#This Row],[Ad_ID]],'[1]pre processed data'!A:Q,17,0)</f>
        <v>45620</v>
      </c>
      <c r="K2040" t="str">
        <f>VLOOKUP(Googleadssales[[#This Row],[Ad_ID]],'[1]pre processed data'!A:R,18,0)</f>
        <v>Bangaluru</v>
      </c>
      <c r="L2040" t="str">
        <f>VLOOKUP(Googleadssales[[#This Row],[Ad_ID]],'[1]pre processed data'!A:S,19,0)</f>
        <v>Mobile</v>
      </c>
      <c r="M2040" t="str">
        <f>VLOOKUP(Googleadssales[[#This Row],[Ad_ID]],'[1]pre processed data'!A:T,20,0)</f>
        <v>data analytics training</v>
      </c>
    </row>
    <row r="2041" spans="1:13" x14ac:dyDescent="0.3">
      <c r="A2041" t="s">
        <v>2054</v>
      </c>
      <c r="B2041" t="s">
        <v>14</v>
      </c>
      <c r="C2041" s="4">
        <f>VLOOKUP(Googleadssales[[#This Row],[Ad_ID]],'[1]pre processed data'!A:C,3,0)</f>
        <v>182</v>
      </c>
      <c r="D2041" s="4">
        <f>VLOOKUP(Googleadssales[[#This Row],[Ad_ID]],'[1]pre processed data'!A:E,5,0)</f>
        <v>3980</v>
      </c>
      <c r="E2041" s="5" t="str">
        <f>VLOOKUP(Googleadssales[[#This Row],[Ad_ID]],[1]!Table3[[Ad_ID]:[Cost-imputed]],7,0)</f>
        <v>$191.75</v>
      </c>
      <c r="F2041" s="4">
        <f>VLOOKUP(Googleadssales[[#This Row],[Ad_ID]],'[1]pre processed data'!A:I,9,0)</f>
        <v>16</v>
      </c>
      <c r="G2041" s="4">
        <f>VLOOKUP(Googleadssales[[#This Row],[Ad_ID]],'[1]pre processed data'!A:K,11,0)</f>
        <v>5</v>
      </c>
      <c r="H2041" s="2">
        <f>Googleadssales[[#This Row],[Conversions]]/Googleadssales[[#This Row],[Clicks]]</f>
        <v>2.7472527472527472E-2</v>
      </c>
      <c r="I2041" t="str">
        <f>VLOOKUP(Googleadssales[[#This Row],[Ad_ID]],'[1]pre processed data'!A:O,15,0)</f>
        <v>$1050</v>
      </c>
      <c r="J2041" s="3">
        <f>VLOOKUP(Googleadssales[[#This Row],[Ad_ID]],'[1]pre processed data'!A:Q,17,0)</f>
        <v>45604</v>
      </c>
      <c r="K2041" t="str">
        <f>VLOOKUP(Googleadssales[[#This Row],[Ad_ID]],'[1]pre processed data'!A:R,18,0)</f>
        <v>Chennai</v>
      </c>
      <c r="L2041" t="str">
        <f>VLOOKUP(Googleadssales[[#This Row],[Ad_ID]],'[1]pre processed data'!A:S,19,0)</f>
        <v>Tablet</v>
      </c>
      <c r="M2041" t="str">
        <f>VLOOKUP(Googleadssales[[#This Row],[Ad_ID]],'[1]pre processed data'!A:T,20,0)</f>
        <v>online data analytic</v>
      </c>
    </row>
    <row r="2042" spans="1:13" x14ac:dyDescent="0.3">
      <c r="A2042" t="s">
        <v>2055</v>
      </c>
      <c r="B2042" t="s">
        <v>18</v>
      </c>
      <c r="C2042" s="4">
        <f>VLOOKUP(Googleadssales[[#This Row],[Ad_ID]],'[1]pre processed data'!A:C,3,0)</f>
        <v>132</v>
      </c>
      <c r="D2042" s="4">
        <f>VLOOKUP(Googleadssales[[#This Row],[Ad_ID]],'[1]pre processed data'!A:E,5,0)</f>
        <v>4359</v>
      </c>
      <c r="E2042" s="5" t="str">
        <f>VLOOKUP(Googleadssales[[#This Row],[Ad_ID]],[1]!Table3[[Ad_ID]:[Cost-imputed]],7,0)</f>
        <v>$237.12</v>
      </c>
      <c r="F2042" s="4">
        <f>VLOOKUP(Googleadssales[[#This Row],[Ad_ID]],'[1]pre processed data'!A:I,9,0)</f>
        <v>29</v>
      </c>
      <c r="G2042" s="4">
        <f>VLOOKUP(Googleadssales[[#This Row],[Ad_ID]],'[1]pre processed data'!A:K,11,0)</f>
        <v>3</v>
      </c>
      <c r="H2042" s="2">
        <f>Googleadssales[[#This Row],[Conversions]]/Googleadssales[[#This Row],[Clicks]]</f>
        <v>2.2727272727272728E-2</v>
      </c>
      <c r="I2042" t="str">
        <f>VLOOKUP(Googleadssales[[#This Row],[Ad_ID]],'[1]pre processed data'!A:O,15,0)</f>
        <v>$1872</v>
      </c>
      <c r="J2042" s="3">
        <f>VLOOKUP(Googleadssales[[#This Row],[Ad_ID]],'[1]pre processed data'!A:Q,17,0)</f>
        <v>45597</v>
      </c>
      <c r="K2042" t="str">
        <f>VLOOKUP(Googleadssales[[#This Row],[Ad_ID]],'[1]pre processed data'!A:R,18,0)</f>
        <v>Hyderabad</v>
      </c>
      <c r="L2042" t="str">
        <f>VLOOKUP(Googleadssales[[#This Row],[Ad_ID]],'[1]pre processed data'!A:S,19,0)</f>
        <v>Mobile</v>
      </c>
      <c r="M2042" t="str">
        <f>VLOOKUP(Googleadssales[[#This Row],[Ad_ID]],'[1]pre processed data'!A:T,20,0)</f>
        <v>online data analytic</v>
      </c>
    </row>
    <row r="2043" spans="1:13" x14ac:dyDescent="0.3">
      <c r="A2043" t="s">
        <v>2056</v>
      </c>
      <c r="B2043" t="s">
        <v>14</v>
      </c>
      <c r="C2043" s="4">
        <f>VLOOKUP(Googleadssales[[#This Row],[Ad_ID]],'[1]pre processed data'!A:C,3,0)</f>
        <v>139</v>
      </c>
      <c r="D2043" s="4">
        <f>VLOOKUP(Googleadssales[[#This Row],[Ad_ID]],'[1]pre processed data'!A:E,5,0)</f>
        <v>5326</v>
      </c>
      <c r="E2043" s="5" t="str">
        <f>VLOOKUP(Googleadssales[[#This Row],[Ad_ID]],[1]!Table3[[Ad_ID]:[Cost-imputed]],7,0)</f>
        <v>$241.7</v>
      </c>
      <c r="F2043" s="4">
        <f>VLOOKUP(Googleadssales[[#This Row],[Ad_ID]],'[1]pre processed data'!A:I,9,0)</f>
        <v>29</v>
      </c>
      <c r="G2043" s="4">
        <f>VLOOKUP(Googleadssales[[#This Row],[Ad_ID]],'[1]pre processed data'!A:K,11,0)</f>
        <v>5</v>
      </c>
      <c r="H2043" s="2">
        <f>Googleadssales[[#This Row],[Conversions]]/Googleadssales[[#This Row],[Clicks]]</f>
        <v>3.5971223021582732E-2</v>
      </c>
      <c r="I2043" t="str">
        <f>VLOOKUP(Googleadssales[[#This Row],[Ad_ID]],'[1]pre processed data'!A:O,15,0)</f>
        <v>$1423</v>
      </c>
      <c r="J2043" s="3">
        <f>VLOOKUP(Googleadssales[[#This Row],[Ad_ID]],'[1]pre processed data'!A:Q,17,0)</f>
        <v>45604</v>
      </c>
      <c r="K2043" t="str">
        <f>VLOOKUP(Googleadssales[[#This Row],[Ad_ID]],'[1]pre processed data'!A:R,18,0)</f>
        <v>Hyderabad</v>
      </c>
      <c r="L2043" t="str">
        <f>VLOOKUP(Googleadssales[[#This Row],[Ad_ID]],'[1]pre processed data'!A:S,19,0)</f>
        <v>Mobile</v>
      </c>
      <c r="M2043" t="str">
        <f>VLOOKUP(Googleadssales[[#This Row],[Ad_ID]],'[1]pre processed data'!A:T,20,0)</f>
        <v>analytics for data</v>
      </c>
    </row>
    <row r="2044" spans="1:13" x14ac:dyDescent="0.3">
      <c r="A2044" t="s">
        <v>2057</v>
      </c>
      <c r="B2044" t="s">
        <v>14</v>
      </c>
      <c r="C2044" s="4">
        <f>VLOOKUP(Googleadssales[[#This Row],[Ad_ID]],'[1]pre processed data'!A:C,3,0)</f>
        <v>134</v>
      </c>
      <c r="D2044" s="4">
        <f>VLOOKUP(Googleadssales[[#This Row],[Ad_ID]],'[1]pre processed data'!A:E,5,0)</f>
        <v>5614</v>
      </c>
      <c r="E2044" s="5" t="str">
        <f>VLOOKUP(Googleadssales[[#This Row],[Ad_ID]],[1]!Table3[[Ad_ID]:[Cost-imputed]],7,0)</f>
        <v>$220.52</v>
      </c>
      <c r="F2044" s="4">
        <f>VLOOKUP(Googleadssales[[#This Row],[Ad_ID]],'[1]pre processed data'!A:I,9,0)</f>
        <v>14</v>
      </c>
      <c r="G2044" s="4">
        <f>VLOOKUP(Googleadssales[[#This Row],[Ad_ID]],'[1]pre processed data'!A:K,11,0)</f>
        <v>6</v>
      </c>
      <c r="H2044" s="2">
        <f>Googleadssales[[#This Row],[Conversions]]/Googleadssales[[#This Row],[Clicks]]</f>
        <v>4.4776119402985072E-2</v>
      </c>
      <c r="I2044" t="str">
        <f>VLOOKUP(Googleadssales[[#This Row],[Ad_ID]],'[1]pre processed data'!A:O,15,0)</f>
        <v>$1500</v>
      </c>
      <c r="J2044" s="3">
        <f>VLOOKUP(Googleadssales[[#This Row],[Ad_ID]],'[1]pre processed data'!A:Q,17,0)</f>
        <v>45611</v>
      </c>
      <c r="K2044" t="str">
        <f>VLOOKUP(Googleadssales[[#This Row],[Ad_ID]],'[1]pre processed data'!A:R,18,0)</f>
        <v>Bangaluru</v>
      </c>
      <c r="L2044" t="str">
        <f>VLOOKUP(Googleadssales[[#This Row],[Ad_ID]],'[1]pre processed data'!A:S,19,0)</f>
        <v>Desktop</v>
      </c>
      <c r="M2044" t="str">
        <f>VLOOKUP(Googleadssales[[#This Row],[Ad_ID]],'[1]pre processed data'!A:T,20,0)</f>
        <v>data analytics online</v>
      </c>
    </row>
    <row r="2045" spans="1:13" x14ac:dyDescent="0.3">
      <c r="A2045" t="s">
        <v>2058</v>
      </c>
      <c r="B2045" t="s">
        <v>14</v>
      </c>
      <c r="C2045" s="4">
        <f>VLOOKUP(Googleadssales[[#This Row],[Ad_ID]],'[1]pre processed data'!A:C,3,0)</f>
        <v>166</v>
      </c>
      <c r="D2045" s="4">
        <f>VLOOKUP(Googleadssales[[#This Row],[Ad_ID]],'[1]pre processed data'!A:E,5,0)</f>
        <v>3746</v>
      </c>
      <c r="E2045" s="5" t="str">
        <f>VLOOKUP(Googleadssales[[#This Row],[Ad_ID]],[1]!Table3[[Ad_ID]:[Cost-imputed]],7,0)</f>
        <v>$213.81</v>
      </c>
      <c r="F2045" s="4">
        <f>VLOOKUP(Googleadssales[[#This Row],[Ad_ID]],'[1]pre processed data'!A:I,9,0)</f>
        <v>16</v>
      </c>
      <c r="G2045" s="4">
        <f>VLOOKUP(Googleadssales[[#This Row],[Ad_ID]],'[1]pre processed data'!A:K,11,0)</f>
        <v>5</v>
      </c>
      <c r="H2045" s="2">
        <f>Googleadssales[[#This Row],[Conversions]]/Googleadssales[[#This Row],[Clicks]]</f>
        <v>3.0120481927710843E-2</v>
      </c>
      <c r="I2045" t="str">
        <f>VLOOKUP(Googleadssales[[#This Row],[Ad_ID]],'[1]pre processed data'!A:O,15,0)</f>
        <v>$1750</v>
      </c>
      <c r="J2045" s="3">
        <f>VLOOKUP(Googleadssales[[#This Row],[Ad_ID]],'[1]pre processed data'!A:Q,17,0)</f>
        <v>45604</v>
      </c>
      <c r="K2045" t="str">
        <f>VLOOKUP(Googleadssales[[#This Row],[Ad_ID]],'[1]pre processed data'!A:R,18,0)</f>
        <v>Hyderabad</v>
      </c>
      <c r="L2045" t="str">
        <f>VLOOKUP(Googleadssales[[#This Row],[Ad_ID]],'[1]pre processed data'!A:S,19,0)</f>
        <v>Mobile</v>
      </c>
      <c r="M2045" t="str">
        <f>VLOOKUP(Googleadssales[[#This Row],[Ad_ID]],'[1]pre processed data'!A:T,20,0)</f>
        <v>data analytics online</v>
      </c>
    </row>
    <row r="2046" spans="1:13" x14ac:dyDescent="0.3">
      <c r="A2046" t="s">
        <v>2059</v>
      </c>
      <c r="B2046" t="s">
        <v>14</v>
      </c>
      <c r="C2046" s="4">
        <f>VLOOKUP(Googleadssales[[#This Row],[Ad_ID]],'[1]pre processed data'!A:C,3,0)</f>
        <v>121</v>
      </c>
      <c r="D2046" s="4">
        <f>VLOOKUP(Googleadssales[[#This Row],[Ad_ID]],'[1]pre processed data'!A:E,5,0)</f>
        <v>5608</v>
      </c>
      <c r="E2046" s="5" t="str">
        <f>VLOOKUP(Googleadssales[[#This Row],[Ad_ID]],[1]!Table3[[Ad_ID]:[Cost-imputed]],7,0)</f>
        <v>$219.92</v>
      </c>
      <c r="F2046" s="4">
        <f>VLOOKUP(Googleadssales[[#This Row],[Ad_ID]],'[1]pre processed data'!A:I,9,0)</f>
        <v>19</v>
      </c>
      <c r="G2046" s="4">
        <f>VLOOKUP(Googleadssales[[#This Row],[Ad_ID]],'[1]pre processed data'!A:K,11,0)</f>
        <v>4</v>
      </c>
      <c r="H2046" s="2">
        <f>Googleadssales[[#This Row],[Conversions]]/Googleadssales[[#This Row],[Clicks]]</f>
        <v>3.3057851239669422E-2</v>
      </c>
      <c r="I2046" t="str">
        <f>VLOOKUP(Googleadssales[[#This Row],[Ad_ID]],'[1]pre processed data'!A:O,15,0)</f>
        <v>$1209</v>
      </c>
      <c r="J2046" s="3">
        <f>VLOOKUP(Googleadssales[[#This Row],[Ad_ID]],'[1]pre processed data'!A:Q,17,0)</f>
        <v>45610</v>
      </c>
      <c r="K2046" t="str">
        <f>VLOOKUP(Googleadssales[[#This Row],[Ad_ID]],'[1]pre processed data'!A:R,18,0)</f>
        <v>Bangaluru</v>
      </c>
      <c r="L2046" t="str">
        <f>VLOOKUP(Googleadssales[[#This Row],[Ad_ID]],'[1]pre processed data'!A:S,19,0)</f>
        <v>Tablet</v>
      </c>
      <c r="M2046" t="str">
        <f>VLOOKUP(Googleadssales[[#This Row],[Ad_ID]],'[1]pre processed data'!A:T,20,0)</f>
        <v>data analytics training</v>
      </c>
    </row>
    <row r="2047" spans="1:13" x14ac:dyDescent="0.3">
      <c r="A2047" t="s">
        <v>2060</v>
      </c>
      <c r="B2047" t="s">
        <v>18</v>
      </c>
      <c r="C2047" s="4">
        <f>VLOOKUP(Googleadssales[[#This Row],[Ad_ID]],'[1]pre processed data'!A:C,3,0)</f>
        <v>173</v>
      </c>
      <c r="D2047" s="4">
        <f>VLOOKUP(Googleadssales[[#This Row],[Ad_ID]],'[1]pre processed data'!A:E,5,0)</f>
        <v>4582</v>
      </c>
      <c r="E2047" s="5" t="str">
        <f>VLOOKUP(Googleadssales[[#This Row],[Ad_ID]],[1]!Table3[[Ad_ID]:[Cost-imputed]],7,0)</f>
        <v>$204.99</v>
      </c>
      <c r="F2047" s="4">
        <f>VLOOKUP(Googleadssales[[#This Row],[Ad_ID]],'[1]pre processed data'!A:I,9,0)</f>
        <v>17</v>
      </c>
      <c r="G2047" s="4">
        <f>VLOOKUP(Googleadssales[[#This Row],[Ad_ID]],'[1]pre processed data'!A:K,11,0)</f>
        <v>5</v>
      </c>
      <c r="H2047" s="2">
        <f>Googleadssales[[#This Row],[Conversions]]/Googleadssales[[#This Row],[Clicks]]</f>
        <v>2.8901734104046242E-2</v>
      </c>
      <c r="I2047" t="str">
        <f>VLOOKUP(Googleadssales[[#This Row],[Ad_ID]],'[1]pre processed data'!A:O,15,0)</f>
        <v>$1703</v>
      </c>
      <c r="J2047" s="3">
        <f>VLOOKUP(Googleadssales[[#This Row],[Ad_ID]],'[1]pre processed data'!A:Q,17,0)</f>
        <v>45617</v>
      </c>
      <c r="K2047" t="str">
        <f>VLOOKUP(Googleadssales[[#This Row],[Ad_ID]],'[1]pre processed data'!A:R,18,0)</f>
        <v>Bangaluru</v>
      </c>
      <c r="L2047" t="str">
        <f>VLOOKUP(Googleadssales[[#This Row],[Ad_ID]],'[1]pre processed data'!A:S,19,0)</f>
        <v>Desktop</v>
      </c>
      <c r="M2047" t="str">
        <f>VLOOKUP(Googleadssales[[#This Row],[Ad_ID]],'[1]pre processed data'!A:T,20,0)</f>
        <v>data analytics training</v>
      </c>
    </row>
    <row r="2048" spans="1:13" x14ac:dyDescent="0.3">
      <c r="A2048" t="s">
        <v>2061</v>
      </c>
      <c r="B2048" t="s">
        <v>14</v>
      </c>
      <c r="C2048" s="4">
        <f>VLOOKUP(Googleadssales[[#This Row],[Ad_ID]],'[1]pre processed data'!A:C,3,0)</f>
        <v>132</v>
      </c>
      <c r="D2048" s="4">
        <f>VLOOKUP(Googleadssales[[#This Row],[Ad_ID]],'[1]pre processed data'!A:E,5,0)</f>
        <v>4438</v>
      </c>
      <c r="E2048" s="5" t="str">
        <f>VLOOKUP(Googleadssales[[#This Row],[Ad_ID]],[1]!Table3[[Ad_ID]:[Cost-imputed]],7,0)</f>
        <v>$232.68</v>
      </c>
      <c r="F2048" s="4">
        <f>VLOOKUP(Googleadssales[[#This Row],[Ad_ID]],'[1]pre processed data'!A:I,9,0)</f>
        <v>24</v>
      </c>
      <c r="G2048" s="4">
        <f>VLOOKUP(Googleadssales[[#This Row],[Ad_ID]],'[1]pre processed data'!A:K,11,0)</f>
        <v>7</v>
      </c>
      <c r="H2048" s="2">
        <f>Googleadssales[[#This Row],[Conversions]]/Googleadssales[[#This Row],[Clicks]]</f>
        <v>5.3030303030303032E-2</v>
      </c>
      <c r="I2048" t="str">
        <f>VLOOKUP(Googleadssales[[#This Row],[Ad_ID]],'[1]pre processed data'!A:O,15,0)</f>
        <v>$1959</v>
      </c>
      <c r="J2048" s="3">
        <f>VLOOKUP(Googleadssales[[#This Row],[Ad_ID]],'[1]pre processed data'!A:Q,17,0)</f>
        <v>45605</v>
      </c>
      <c r="K2048" t="str">
        <f>VLOOKUP(Googleadssales[[#This Row],[Ad_ID]],'[1]pre processed data'!A:R,18,0)</f>
        <v>Hyderabad</v>
      </c>
      <c r="L2048" t="str">
        <f>VLOOKUP(Googleadssales[[#This Row],[Ad_ID]],'[1]pre processed data'!A:S,19,0)</f>
        <v>Desktop</v>
      </c>
      <c r="M2048" t="str">
        <f>VLOOKUP(Googleadssales[[#This Row],[Ad_ID]],'[1]pre processed data'!A:T,20,0)</f>
        <v>analytics for data</v>
      </c>
    </row>
    <row r="2049" spans="1:13" x14ac:dyDescent="0.3">
      <c r="A2049" t="s">
        <v>2062</v>
      </c>
      <c r="B2049" t="s">
        <v>14</v>
      </c>
      <c r="C2049" s="4">
        <f>VLOOKUP(Googleadssales[[#This Row],[Ad_ID]],'[1]pre processed data'!A:C,3,0)</f>
        <v>136</v>
      </c>
      <c r="D2049" s="4">
        <f>VLOOKUP(Googleadssales[[#This Row],[Ad_ID]],'[1]pre processed data'!A:E,5,0)</f>
        <v>5011</v>
      </c>
      <c r="E2049" s="5" t="str">
        <f>VLOOKUP(Googleadssales[[#This Row],[Ad_ID]],[1]!Table3[[Ad_ID]:[Cost-imputed]],7,0)</f>
        <v>$236.62</v>
      </c>
      <c r="F2049" s="4">
        <f>VLOOKUP(Googleadssales[[#This Row],[Ad_ID]],'[1]pre processed data'!A:I,9,0)</f>
        <v>25</v>
      </c>
      <c r="G2049" s="4">
        <f>VLOOKUP(Googleadssales[[#This Row],[Ad_ID]],'[1]pre processed data'!A:K,11,0)</f>
        <v>5</v>
      </c>
      <c r="H2049" s="2">
        <f>Googleadssales[[#This Row],[Conversions]]/Googleadssales[[#This Row],[Clicks]]</f>
        <v>3.6764705882352942E-2</v>
      </c>
      <c r="I2049" t="str">
        <f>VLOOKUP(Googleadssales[[#This Row],[Ad_ID]],'[1]pre processed data'!A:O,15,0)</f>
        <v>$1582</v>
      </c>
      <c r="J2049" s="3">
        <f>VLOOKUP(Googleadssales[[#This Row],[Ad_ID]],'[1]pre processed data'!A:Q,17,0)</f>
        <v>45599</v>
      </c>
      <c r="K2049" t="str">
        <f>VLOOKUP(Googleadssales[[#This Row],[Ad_ID]],'[1]pre processed data'!A:R,18,0)</f>
        <v>Bangaluru</v>
      </c>
      <c r="L2049" t="str">
        <f>VLOOKUP(Googleadssales[[#This Row],[Ad_ID]],'[1]pre processed data'!A:S,19,0)</f>
        <v>Mobile</v>
      </c>
      <c r="M2049" t="str">
        <f>VLOOKUP(Googleadssales[[#This Row],[Ad_ID]],'[1]pre processed data'!A:T,20,0)</f>
        <v>data analytics course</v>
      </c>
    </row>
    <row r="2050" spans="1:13" x14ac:dyDescent="0.3">
      <c r="A2050" t="s">
        <v>2063</v>
      </c>
      <c r="B2050" t="s">
        <v>14</v>
      </c>
      <c r="C2050" s="4">
        <f>VLOOKUP(Googleadssales[[#This Row],[Ad_ID]],'[1]pre processed data'!A:C,3,0)</f>
        <v>174</v>
      </c>
      <c r="D2050" s="4">
        <f>VLOOKUP(Googleadssales[[#This Row],[Ad_ID]],'[1]pre processed data'!A:E,5,0)</f>
        <v>5864</v>
      </c>
      <c r="E2050" s="5" t="str">
        <f>VLOOKUP(Googleadssales[[#This Row],[Ad_ID]],[1]!Table3[[Ad_ID]:[Cost-imputed]],7,0)</f>
        <v>$190.45</v>
      </c>
      <c r="F2050" s="4">
        <f>VLOOKUP(Googleadssales[[#This Row],[Ad_ID]],'[1]pre processed data'!A:I,9,0)</f>
        <v>26</v>
      </c>
      <c r="G2050" s="4">
        <f>VLOOKUP(Googleadssales[[#This Row],[Ad_ID]],'[1]pre processed data'!A:K,11,0)</f>
        <v>5</v>
      </c>
      <c r="H2050" s="2">
        <f>Googleadssales[[#This Row],[Conversions]]/Googleadssales[[#This Row],[Clicks]]</f>
        <v>2.8735632183908046E-2</v>
      </c>
      <c r="I2050" t="str">
        <f>VLOOKUP(Googleadssales[[#This Row],[Ad_ID]],'[1]pre processed data'!A:O,15,0)</f>
        <v>$1508</v>
      </c>
      <c r="J2050" s="3">
        <f>VLOOKUP(Googleadssales[[#This Row],[Ad_ID]],'[1]pre processed data'!A:Q,17,0)</f>
        <v>45623</v>
      </c>
      <c r="K2050" t="str">
        <f>VLOOKUP(Googleadssales[[#This Row],[Ad_ID]],'[1]pre processed data'!A:R,18,0)</f>
        <v>Bangaluru</v>
      </c>
      <c r="L2050" t="str">
        <f>VLOOKUP(Googleadssales[[#This Row],[Ad_ID]],'[1]pre processed data'!A:S,19,0)</f>
        <v>Mobile</v>
      </c>
      <c r="M2050" t="str">
        <f>VLOOKUP(Googleadssales[[#This Row],[Ad_ID]],'[1]pre processed data'!A:T,20,0)</f>
        <v>data analytics training</v>
      </c>
    </row>
    <row r="2051" spans="1:13" x14ac:dyDescent="0.3">
      <c r="A2051" t="s">
        <v>2064</v>
      </c>
      <c r="B2051" t="s">
        <v>14</v>
      </c>
      <c r="C2051" s="4">
        <f>VLOOKUP(Googleadssales[[#This Row],[Ad_ID]],'[1]pre processed data'!A:C,3,0)</f>
        <v>168</v>
      </c>
      <c r="D2051" s="4">
        <f>VLOOKUP(Googleadssales[[#This Row],[Ad_ID]],'[1]pre processed data'!A:E,5,0)</f>
        <v>5114</v>
      </c>
      <c r="E2051" s="5" t="str">
        <f>VLOOKUP(Googleadssales[[#This Row],[Ad_ID]],[1]!Table3[[Ad_ID]:[Cost-imputed]],7,0)</f>
        <v>$186.75</v>
      </c>
      <c r="F2051" s="4">
        <f>VLOOKUP(Googleadssales[[#This Row],[Ad_ID]],'[1]pre processed data'!A:I,9,0)</f>
        <v>10</v>
      </c>
      <c r="G2051" s="4">
        <f>VLOOKUP(Googleadssales[[#This Row],[Ad_ID]],'[1]pre processed data'!A:K,11,0)</f>
        <v>3</v>
      </c>
      <c r="H2051" s="2">
        <f>Googleadssales[[#This Row],[Conversions]]/Googleadssales[[#This Row],[Clicks]]</f>
        <v>1.7857142857142856E-2</v>
      </c>
      <c r="I2051" t="str">
        <f>VLOOKUP(Googleadssales[[#This Row],[Ad_ID]],'[1]pre processed data'!A:O,15,0)</f>
        <v>$1530</v>
      </c>
      <c r="J2051" s="3">
        <f>VLOOKUP(Googleadssales[[#This Row],[Ad_ID]],'[1]pre processed data'!A:Q,17,0)</f>
        <v>45614</v>
      </c>
      <c r="K2051" t="str">
        <f>VLOOKUP(Googleadssales[[#This Row],[Ad_ID]],'[1]pre processed data'!A:R,18,0)</f>
        <v>Hyderabad</v>
      </c>
      <c r="L2051" t="str">
        <f>VLOOKUP(Googleadssales[[#This Row],[Ad_ID]],'[1]pre processed data'!A:S,19,0)</f>
        <v>Desktop</v>
      </c>
      <c r="M2051" t="str">
        <f>VLOOKUP(Googleadssales[[#This Row],[Ad_ID]],'[1]pre processed data'!A:T,20,0)</f>
        <v>online data analytic</v>
      </c>
    </row>
    <row r="2052" spans="1:13" x14ac:dyDescent="0.3">
      <c r="A2052" t="s">
        <v>2065</v>
      </c>
      <c r="B2052" t="s">
        <v>14</v>
      </c>
      <c r="C2052" s="4">
        <f>VLOOKUP(Googleadssales[[#This Row],[Ad_ID]],'[1]pre processed data'!A:C,3,0)</f>
        <v>117</v>
      </c>
      <c r="D2052" s="4">
        <f>VLOOKUP(Googleadssales[[#This Row],[Ad_ID]],'[1]pre processed data'!A:E,5,0)</f>
        <v>5658</v>
      </c>
      <c r="E2052" s="5" t="str">
        <f>VLOOKUP(Googleadssales[[#This Row],[Ad_ID]],[1]!Table3[[Ad_ID]:[Cost-imputed]],7,0)</f>
        <v>$191.48</v>
      </c>
      <c r="F2052" s="4">
        <f>VLOOKUP(Googleadssales[[#This Row],[Ad_ID]],'[1]pre processed data'!A:I,9,0)</f>
        <v>13</v>
      </c>
      <c r="G2052" s="4">
        <f>VLOOKUP(Googleadssales[[#This Row],[Ad_ID]],'[1]pre processed data'!A:K,11,0)</f>
        <v>3</v>
      </c>
      <c r="H2052" s="2">
        <f>Googleadssales[[#This Row],[Conversions]]/Googleadssales[[#This Row],[Clicks]]</f>
        <v>2.564102564102564E-2</v>
      </c>
      <c r="I2052" t="str">
        <f>VLOOKUP(Googleadssales[[#This Row],[Ad_ID]],'[1]pre processed data'!A:O,15,0)</f>
        <v>$1779</v>
      </c>
      <c r="J2052" s="3">
        <f>VLOOKUP(Googleadssales[[#This Row],[Ad_ID]],'[1]pre processed data'!A:Q,17,0)</f>
        <v>45621</v>
      </c>
      <c r="K2052" t="str">
        <f>VLOOKUP(Googleadssales[[#This Row],[Ad_ID]],'[1]pre processed data'!A:R,18,0)</f>
        <v>Hyderabad</v>
      </c>
      <c r="L2052" t="str">
        <f>VLOOKUP(Googleadssales[[#This Row],[Ad_ID]],'[1]pre processed data'!A:S,19,0)</f>
        <v>Mobile</v>
      </c>
      <c r="M2052" t="str">
        <f>VLOOKUP(Googleadssales[[#This Row],[Ad_ID]],'[1]pre processed data'!A:T,20,0)</f>
        <v>learn data analytics</v>
      </c>
    </row>
    <row r="2053" spans="1:13" x14ac:dyDescent="0.3">
      <c r="A2053" t="s">
        <v>2066</v>
      </c>
      <c r="B2053" t="s">
        <v>14</v>
      </c>
      <c r="C2053" s="4">
        <f>VLOOKUP(Googleadssales[[#This Row],[Ad_ID]],'[1]pre processed data'!A:C,3,0)</f>
        <v>187</v>
      </c>
      <c r="D2053" s="4">
        <f>VLOOKUP(Googleadssales[[#This Row],[Ad_ID]],'[1]pre processed data'!A:E,5,0)</f>
        <v>4876</v>
      </c>
      <c r="E2053" s="5" t="str">
        <f>VLOOKUP(Googleadssales[[#This Row],[Ad_ID]],[1]!Table3[[Ad_ID]:[Cost-imputed]],7,0)</f>
        <v>$192.2</v>
      </c>
      <c r="F2053" s="4">
        <f>VLOOKUP(Googleadssales[[#This Row],[Ad_ID]],'[1]pre processed data'!A:I,9,0)</f>
        <v>16</v>
      </c>
      <c r="G2053" s="4">
        <f>VLOOKUP(Googleadssales[[#This Row],[Ad_ID]],'[1]pre processed data'!A:K,11,0)</f>
        <v>5</v>
      </c>
      <c r="H2053" s="2">
        <f>Googleadssales[[#This Row],[Conversions]]/Googleadssales[[#This Row],[Clicks]]</f>
        <v>2.6737967914438502E-2</v>
      </c>
      <c r="I2053" t="str">
        <f>VLOOKUP(Googleadssales[[#This Row],[Ad_ID]],'[1]pre processed data'!A:O,15,0)</f>
        <v>$1396</v>
      </c>
      <c r="J2053" s="3">
        <f>VLOOKUP(Googleadssales[[#This Row],[Ad_ID]],'[1]pre processed data'!A:Q,17,0)</f>
        <v>45605</v>
      </c>
      <c r="K2053" t="str">
        <f>VLOOKUP(Googleadssales[[#This Row],[Ad_ID]],'[1]pre processed data'!A:R,18,0)</f>
        <v>Hyderabad</v>
      </c>
      <c r="L2053" t="str">
        <f>VLOOKUP(Googleadssales[[#This Row],[Ad_ID]],'[1]pre processed data'!A:S,19,0)</f>
        <v>Tablet</v>
      </c>
      <c r="M2053" t="str">
        <f>VLOOKUP(Googleadssales[[#This Row],[Ad_ID]],'[1]pre processed data'!A:T,20,0)</f>
        <v>analytics for data</v>
      </c>
    </row>
    <row r="2054" spans="1:13" x14ac:dyDescent="0.3">
      <c r="A2054" t="s">
        <v>2067</v>
      </c>
      <c r="B2054" t="s">
        <v>14</v>
      </c>
      <c r="C2054" s="4">
        <f>VLOOKUP(Googleadssales[[#This Row],[Ad_ID]],'[1]pre processed data'!A:C,3,0)</f>
        <v>138.95699356913184</v>
      </c>
      <c r="D2054" s="4">
        <f>VLOOKUP(Googleadssales[[#This Row],[Ad_ID]],'[1]pre processed data'!A:E,5,0)</f>
        <v>5139</v>
      </c>
      <c r="E2054" s="5" t="str">
        <f>VLOOKUP(Googleadssales[[#This Row],[Ad_ID]],[1]!Table3[[Ad_ID]:[Cost-imputed]],7,0)</f>
        <v>$212.2</v>
      </c>
      <c r="F2054" s="4">
        <f>VLOOKUP(Googleadssales[[#This Row],[Ad_ID]],'[1]pre processed data'!A:I,9,0)</f>
        <v>20</v>
      </c>
      <c r="G2054" s="4">
        <f>VLOOKUP(Googleadssales[[#This Row],[Ad_ID]],'[1]pre processed data'!A:K,11,0)</f>
        <v>10</v>
      </c>
      <c r="H2054" s="2">
        <f>Googleadssales[[#This Row],[Conversions]]/Googleadssales[[#This Row],[Clicks]]</f>
        <v>7.1964711837443046E-2</v>
      </c>
      <c r="I2054" t="str">
        <f>VLOOKUP(Googleadssales[[#This Row],[Ad_ID]],'[1]pre processed data'!A:O,15,0)</f>
        <v>$1613</v>
      </c>
      <c r="J2054" s="3">
        <f>VLOOKUP(Googleadssales[[#This Row],[Ad_ID]],'[1]pre processed data'!A:Q,17,0)</f>
        <v>45614</v>
      </c>
      <c r="K2054" t="str">
        <f>VLOOKUP(Googleadssales[[#This Row],[Ad_ID]],'[1]pre processed data'!A:R,18,0)</f>
        <v>Bangaluru</v>
      </c>
      <c r="L2054" t="str">
        <f>VLOOKUP(Googleadssales[[#This Row],[Ad_ID]],'[1]pre processed data'!A:S,19,0)</f>
        <v>Tablet</v>
      </c>
      <c r="M2054" t="str">
        <f>VLOOKUP(Googleadssales[[#This Row],[Ad_ID]],'[1]pre processed data'!A:T,20,0)</f>
        <v>online data analytic</v>
      </c>
    </row>
    <row r="2055" spans="1:13" x14ac:dyDescent="0.3">
      <c r="A2055" t="s">
        <v>2068</v>
      </c>
      <c r="B2055" t="s">
        <v>14</v>
      </c>
      <c r="C2055" s="4">
        <f>VLOOKUP(Googleadssales[[#This Row],[Ad_ID]],'[1]pre processed data'!A:C,3,0)</f>
        <v>138.95699356913184</v>
      </c>
      <c r="D2055" s="4">
        <f>VLOOKUP(Googleadssales[[#This Row],[Ad_ID]],'[1]pre processed data'!A:E,5,0)</f>
        <v>5470</v>
      </c>
      <c r="E2055" s="5" t="str">
        <f>VLOOKUP(Googleadssales[[#This Row],[Ad_ID]],[1]!Table3[[Ad_ID]:[Cost-imputed]],7,0)</f>
        <v>$210.97</v>
      </c>
      <c r="F2055" s="4">
        <f>VLOOKUP(Googleadssales[[#This Row],[Ad_ID]],'[1]pre processed data'!A:I,9,0)</f>
        <v>20.519626168224299</v>
      </c>
      <c r="G2055" s="4">
        <f>VLOOKUP(Googleadssales[[#This Row],[Ad_ID]],'[1]pre processed data'!A:K,11,0)</f>
        <v>7</v>
      </c>
      <c r="H2055" s="2">
        <f>Googleadssales[[#This Row],[Conversions]]/Googleadssales[[#This Row],[Clicks]]</f>
        <v>5.0375298286210138E-2</v>
      </c>
      <c r="I2055" t="str">
        <f>VLOOKUP(Googleadssales[[#This Row],[Ad_ID]],'[1]pre processed data'!A:O,15,0)</f>
        <v>$1928</v>
      </c>
      <c r="J2055" s="3">
        <f>VLOOKUP(Googleadssales[[#This Row],[Ad_ID]],'[1]pre processed data'!A:Q,17,0)</f>
        <v>45617</v>
      </c>
      <c r="K2055" t="str">
        <f>VLOOKUP(Googleadssales[[#This Row],[Ad_ID]],'[1]pre processed data'!A:R,18,0)</f>
        <v>Bangaluru</v>
      </c>
      <c r="L2055" t="str">
        <f>VLOOKUP(Googleadssales[[#This Row],[Ad_ID]],'[1]pre processed data'!A:S,19,0)</f>
        <v>Desktop</v>
      </c>
      <c r="M2055" t="str">
        <f>VLOOKUP(Googleadssales[[#This Row],[Ad_ID]],'[1]pre processed data'!A:T,20,0)</f>
        <v>data analytics online</v>
      </c>
    </row>
    <row r="2056" spans="1:13" x14ac:dyDescent="0.3">
      <c r="A2056" t="s">
        <v>2069</v>
      </c>
      <c r="B2056" t="s">
        <v>14</v>
      </c>
      <c r="C2056" s="4">
        <f>VLOOKUP(Googleadssales[[#This Row],[Ad_ID]],'[1]pre processed data'!A:C,3,0)</f>
        <v>112</v>
      </c>
      <c r="D2056" s="4">
        <f>VLOOKUP(Googleadssales[[#This Row],[Ad_ID]],'[1]pre processed data'!A:E,5,0)</f>
        <v>5143</v>
      </c>
      <c r="E2056" s="5" t="str">
        <f>VLOOKUP(Googleadssales[[#This Row],[Ad_ID]],[1]!Table3[[Ad_ID]:[Cost-imputed]],7,0)</f>
        <v>$242.96</v>
      </c>
      <c r="F2056" s="4">
        <f>VLOOKUP(Googleadssales[[#This Row],[Ad_ID]],'[1]pre processed data'!A:I,9,0)</f>
        <v>18</v>
      </c>
      <c r="G2056" s="4">
        <f>VLOOKUP(Googleadssales[[#This Row],[Ad_ID]],'[1]pre processed data'!A:K,11,0)</f>
        <v>3</v>
      </c>
      <c r="H2056" s="2">
        <f>Googleadssales[[#This Row],[Conversions]]/Googleadssales[[#This Row],[Clicks]]</f>
        <v>2.6785714285714284E-2</v>
      </c>
      <c r="I2056" t="str">
        <f>VLOOKUP(Googleadssales[[#This Row],[Ad_ID]],'[1]pre processed data'!A:O,15,0)</f>
        <v>$1029</v>
      </c>
      <c r="J2056" s="3">
        <f>VLOOKUP(Googleadssales[[#This Row],[Ad_ID]],'[1]pre processed data'!A:Q,17,0)</f>
        <v>45603</v>
      </c>
      <c r="K2056" t="str">
        <f>VLOOKUP(Googleadssales[[#This Row],[Ad_ID]],'[1]pre processed data'!A:R,18,0)</f>
        <v>Hyderabad</v>
      </c>
      <c r="L2056" t="str">
        <f>VLOOKUP(Googleadssales[[#This Row],[Ad_ID]],'[1]pre processed data'!A:S,19,0)</f>
        <v>Mobile</v>
      </c>
      <c r="M2056" t="str">
        <f>VLOOKUP(Googleadssales[[#This Row],[Ad_ID]],'[1]pre processed data'!A:T,20,0)</f>
        <v>data analytics training</v>
      </c>
    </row>
    <row r="2057" spans="1:13" x14ac:dyDescent="0.3">
      <c r="A2057" t="s">
        <v>2070</v>
      </c>
      <c r="B2057" t="s">
        <v>18</v>
      </c>
      <c r="C2057" s="4">
        <f>VLOOKUP(Googleadssales[[#This Row],[Ad_ID]],'[1]pre processed data'!A:C,3,0)</f>
        <v>124</v>
      </c>
      <c r="D2057" s="4">
        <f>VLOOKUP(Googleadssales[[#This Row],[Ad_ID]],'[1]pre processed data'!A:E,5,0)</f>
        <v>4523.2808326787117</v>
      </c>
      <c r="E2057" s="5" t="str">
        <f>VLOOKUP(Googleadssales[[#This Row],[Ad_ID]],[1]!Table3[[Ad_ID]:[Cost-imputed]],7,0)</f>
        <v>$209.92</v>
      </c>
      <c r="F2057" s="4">
        <f>VLOOKUP(Googleadssales[[#This Row],[Ad_ID]],'[1]pre processed data'!A:I,9,0)</f>
        <v>15</v>
      </c>
      <c r="G2057" s="4">
        <f>VLOOKUP(Googleadssales[[#This Row],[Ad_ID]],'[1]pre processed data'!A:K,11,0)</f>
        <v>4</v>
      </c>
      <c r="H2057" s="2">
        <f>Googleadssales[[#This Row],[Conversions]]/Googleadssales[[#This Row],[Clicks]]</f>
        <v>3.2258064516129031E-2</v>
      </c>
      <c r="I2057" t="str">
        <f>VLOOKUP(Googleadssales[[#This Row],[Ad_ID]],'[1]pre processed data'!A:O,15,0)</f>
        <v>$1500</v>
      </c>
      <c r="J2057" s="3">
        <f>VLOOKUP(Googleadssales[[#This Row],[Ad_ID]],'[1]pre processed data'!A:Q,17,0)</f>
        <v>45621</v>
      </c>
      <c r="K2057" t="str">
        <f>VLOOKUP(Googleadssales[[#This Row],[Ad_ID]],'[1]pre processed data'!A:R,18,0)</f>
        <v>Chennai</v>
      </c>
      <c r="L2057" t="str">
        <f>VLOOKUP(Googleadssales[[#This Row],[Ad_ID]],'[1]pre processed data'!A:S,19,0)</f>
        <v>Desktop</v>
      </c>
      <c r="M2057" t="str">
        <f>VLOOKUP(Googleadssales[[#This Row],[Ad_ID]],'[1]pre processed data'!A:T,20,0)</f>
        <v>data analytics online</v>
      </c>
    </row>
    <row r="2058" spans="1:13" x14ac:dyDescent="0.3">
      <c r="A2058" t="s">
        <v>2071</v>
      </c>
      <c r="B2058" t="s">
        <v>14</v>
      </c>
      <c r="C2058" s="4">
        <f>VLOOKUP(Googleadssales[[#This Row],[Ad_ID]],'[1]pre processed data'!A:C,3,0)</f>
        <v>132</v>
      </c>
      <c r="D2058" s="4">
        <f>VLOOKUP(Googleadssales[[#This Row],[Ad_ID]],'[1]pre processed data'!A:E,5,0)</f>
        <v>4769</v>
      </c>
      <c r="E2058" s="5" t="str">
        <f>VLOOKUP(Googleadssales[[#This Row],[Ad_ID]],[1]!Table3[[Ad_ID]:[Cost-imputed]],7,0)</f>
        <v>$236.41</v>
      </c>
      <c r="F2058" s="4">
        <f>VLOOKUP(Googleadssales[[#This Row],[Ad_ID]],'[1]pre processed data'!A:I,9,0)</f>
        <v>15</v>
      </c>
      <c r="G2058" s="4">
        <f>VLOOKUP(Googleadssales[[#This Row],[Ad_ID]],'[1]pre processed data'!A:K,11,0)</f>
        <v>4</v>
      </c>
      <c r="H2058" s="2">
        <f>Googleadssales[[#This Row],[Conversions]]/Googleadssales[[#This Row],[Clicks]]</f>
        <v>3.0303030303030304E-2</v>
      </c>
      <c r="I2058" t="str">
        <f>VLOOKUP(Googleadssales[[#This Row],[Ad_ID]],'[1]pre processed data'!A:O,15,0)</f>
        <v>$1500</v>
      </c>
      <c r="J2058" s="3">
        <f>VLOOKUP(Googleadssales[[#This Row],[Ad_ID]],'[1]pre processed data'!A:Q,17,0)</f>
        <v>45622</v>
      </c>
      <c r="K2058" t="str">
        <f>VLOOKUP(Googleadssales[[#This Row],[Ad_ID]],'[1]pre processed data'!A:R,18,0)</f>
        <v>Bangaluru</v>
      </c>
      <c r="L2058" t="str">
        <f>VLOOKUP(Googleadssales[[#This Row],[Ad_ID]],'[1]pre processed data'!A:S,19,0)</f>
        <v>Tablet</v>
      </c>
      <c r="M2058" t="str">
        <f>VLOOKUP(Googleadssales[[#This Row],[Ad_ID]],'[1]pre processed data'!A:T,20,0)</f>
        <v>analytics for data</v>
      </c>
    </row>
    <row r="2059" spans="1:13" x14ac:dyDescent="0.3">
      <c r="A2059" t="s">
        <v>2072</v>
      </c>
      <c r="B2059" t="s">
        <v>18</v>
      </c>
      <c r="C2059" s="4">
        <f>VLOOKUP(Googleadssales[[#This Row],[Ad_ID]],'[1]pre processed data'!A:C,3,0)</f>
        <v>167</v>
      </c>
      <c r="D2059" s="4">
        <f>VLOOKUP(Googleadssales[[#This Row],[Ad_ID]],'[1]pre processed data'!A:E,5,0)</f>
        <v>3366</v>
      </c>
      <c r="E2059" s="5" t="str">
        <f>VLOOKUP(Googleadssales[[#This Row],[Ad_ID]],[1]!Table3[[Ad_ID]:[Cost-imputed]],7,0)</f>
        <v>$213.02</v>
      </c>
      <c r="F2059" s="4">
        <f>VLOOKUP(Googleadssales[[#This Row],[Ad_ID]],'[1]pre processed data'!A:I,9,0)</f>
        <v>28</v>
      </c>
      <c r="G2059" s="4">
        <f>VLOOKUP(Googleadssales[[#This Row],[Ad_ID]],'[1]pre processed data'!A:K,11,0)</f>
        <v>4</v>
      </c>
      <c r="H2059" s="2">
        <f>Googleadssales[[#This Row],[Conversions]]/Googleadssales[[#This Row],[Clicks]]</f>
        <v>2.3952095808383235E-2</v>
      </c>
      <c r="I2059" t="str">
        <f>VLOOKUP(Googleadssales[[#This Row],[Ad_ID]],'[1]pre processed data'!A:O,15,0)</f>
        <v>$1159</v>
      </c>
      <c r="J2059" s="3">
        <f>VLOOKUP(Googleadssales[[#This Row],[Ad_ID]],'[1]pre processed data'!A:Q,17,0)</f>
        <v>45610</v>
      </c>
      <c r="K2059" t="str">
        <f>VLOOKUP(Googleadssales[[#This Row],[Ad_ID]],'[1]pre processed data'!A:R,18,0)</f>
        <v>Bangaluru</v>
      </c>
      <c r="L2059" t="str">
        <f>VLOOKUP(Googleadssales[[#This Row],[Ad_ID]],'[1]pre processed data'!A:S,19,0)</f>
        <v>Mobile</v>
      </c>
      <c r="M2059" t="str">
        <f>VLOOKUP(Googleadssales[[#This Row],[Ad_ID]],'[1]pre processed data'!A:T,20,0)</f>
        <v>data analytics course</v>
      </c>
    </row>
    <row r="2060" spans="1:13" x14ac:dyDescent="0.3">
      <c r="A2060" t="s">
        <v>2073</v>
      </c>
      <c r="B2060" t="s">
        <v>14</v>
      </c>
      <c r="C2060" s="4">
        <f>VLOOKUP(Googleadssales[[#This Row],[Ad_ID]],'[1]pre processed data'!A:C,3,0)</f>
        <v>165</v>
      </c>
      <c r="D2060" s="4">
        <f>VLOOKUP(Googleadssales[[#This Row],[Ad_ID]],'[1]pre processed data'!A:E,5,0)</f>
        <v>5228</v>
      </c>
      <c r="E2060" s="5" t="str">
        <f>VLOOKUP(Googleadssales[[#This Row],[Ad_ID]],[1]!Table3[[Ad_ID]:[Cost-imputed]],7,0)</f>
        <v>$199.73</v>
      </c>
      <c r="F2060" s="4">
        <f>VLOOKUP(Googleadssales[[#This Row],[Ad_ID]],'[1]pre processed data'!A:I,9,0)</f>
        <v>27</v>
      </c>
      <c r="G2060" s="4">
        <f>VLOOKUP(Googleadssales[[#This Row],[Ad_ID]],'[1]pre processed data'!A:K,11,0)</f>
        <v>3</v>
      </c>
      <c r="H2060" s="2">
        <f>Googleadssales[[#This Row],[Conversions]]/Googleadssales[[#This Row],[Clicks]]</f>
        <v>1.8181818181818181E-2</v>
      </c>
      <c r="I2060" t="str">
        <f>VLOOKUP(Googleadssales[[#This Row],[Ad_ID]],'[1]pre processed data'!A:O,15,0)</f>
        <v>$1829</v>
      </c>
      <c r="J2060" s="3">
        <f>VLOOKUP(Googleadssales[[#This Row],[Ad_ID]],'[1]pre processed data'!A:Q,17,0)</f>
        <v>45601</v>
      </c>
      <c r="K2060" t="str">
        <f>VLOOKUP(Googleadssales[[#This Row],[Ad_ID]],'[1]pre processed data'!A:R,18,0)</f>
        <v>Hyderabad</v>
      </c>
      <c r="L2060" t="str">
        <f>VLOOKUP(Googleadssales[[#This Row],[Ad_ID]],'[1]pre processed data'!A:S,19,0)</f>
        <v>Mobile</v>
      </c>
      <c r="M2060" t="str">
        <f>VLOOKUP(Googleadssales[[#This Row],[Ad_ID]],'[1]pre processed data'!A:T,20,0)</f>
        <v>analytics for data</v>
      </c>
    </row>
    <row r="2061" spans="1:13" x14ac:dyDescent="0.3">
      <c r="A2061" t="s">
        <v>2074</v>
      </c>
      <c r="B2061" t="s">
        <v>14</v>
      </c>
      <c r="C2061" s="4">
        <f>VLOOKUP(Googleadssales[[#This Row],[Ad_ID]],'[1]pre processed data'!A:C,3,0)</f>
        <v>108</v>
      </c>
      <c r="D2061" s="4">
        <f>VLOOKUP(Googleadssales[[#This Row],[Ad_ID]],'[1]pre processed data'!A:E,5,0)</f>
        <v>4266</v>
      </c>
      <c r="E2061" s="5" t="str">
        <f>VLOOKUP(Googleadssales[[#This Row],[Ad_ID]],[1]!Table3[[Ad_ID]:[Cost-imputed]],7,0)</f>
        <v>$220.02</v>
      </c>
      <c r="F2061" s="4">
        <f>VLOOKUP(Googleadssales[[#This Row],[Ad_ID]],'[1]pre processed data'!A:I,9,0)</f>
        <v>24</v>
      </c>
      <c r="G2061" s="4">
        <f>VLOOKUP(Googleadssales[[#This Row],[Ad_ID]],'[1]pre processed data'!A:K,11,0)</f>
        <v>5</v>
      </c>
      <c r="H2061" s="2">
        <f>Googleadssales[[#This Row],[Conversions]]/Googleadssales[[#This Row],[Clicks]]</f>
        <v>4.6296296296296294E-2</v>
      </c>
      <c r="I2061" t="str">
        <f>VLOOKUP(Googleadssales[[#This Row],[Ad_ID]],'[1]pre processed data'!A:O,15,0)</f>
        <v>$1282</v>
      </c>
      <c r="J2061" s="3">
        <f>VLOOKUP(Googleadssales[[#This Row],[Ad_ID]],'[1]pre processed data'!A:Q,17,0)</f>
        <v>45619</v>
      </c>
      <c r="K2061" t="str">
        <f>VLOOKUP(Googleadssales[[#This Row],[Ad_ID]],'[1]pre processed data'!A:R,18,0)</f>
        <v>Hyderabad</v>
      </c>
      <c r="L2061" t="str">
        <f>VLOOKUP(Googleadssales[[#This Row],[Ad_ID]],'[1]pre processed data'!A:S,19,0)</f>
        <v>Mobile</v>
      </c>
      <c r="M2061" t="str">
        <f>VLOOKUP(Googleadssales[[#This Row],[Ad_ID]],'[1]pre processed data'!A:T,20,0)</f>
        <v>data analytics training</v>
      </c>
    </row>
    <row r="2062" spans="1:13" x14ac:dyDescent="0.3">
      <c r="A2062" t="s">
        <v>2075</v>
      </c>
      <c r="B2062" t="s">
        <v>18</v>
      </c>
      <c r="C2062" s="4">
        <f>VLOOKUP(Googleadssales[[#This Row],[Ad_ID]],'[1]pre processed data'!A:C,3,0)</f>
        <v>182</v>
      </c>
      <c r="D2062" s="4">
        <f>VLOOKUP(Googleadssales[[#This Row],[Ad_ID]],'[1]pre processed data'!A:E,5,0)</f>
        <v>5102</v>
      </c>
      <c r="E2062" s="5" t="str">
        <f>VLOOKUP(Googleadssales[[#This Row],[Ad_ID]],[1]!Table3[[Ad_ID]:[Cost-imputed]],7,0)</f>
        <v>$226.22</v>
      </c>
      <c r="F2062" s="4">
        <f>VLOOKUP(Googleadssales[[#This Row],[Ad_ID]],'[1]pre processed data'!A:I,9,0)</f>
        <v>16</v>
      </c>
      <c r="G2062" s="4">
        <f>VLOOKUP(Googleadssales[[#This Row],[Ad_ID]],'[1]pre processed data'!A:K,11,0)</f>
        <v>10</v>
      </c>
      <c r="H2062" s="2">
        <f>Googleadssales[[#This Row],[Conversions]]/Googleadssales[[#This Row],[Clicks]]</f>
        <v>5.4945054945054944E-2</v>
      </c>
      <c r="I2062" t="str">
        <f>VLOOKUP(Googleadssales[[#This Row],[Ad_ID]],'[1]pre processed data'!A:O,15,0)</f>
        <v>$1600</v>
      </c>
      <c r="J2062" s="3">
        <f>VLOOKUP(Googleadssales[[#This Row],[Ad_ID]],'[1]pre processed data'!A:Q,17,0)</f>
        <v>45603</v>
      </c>
      <c r="K2062" t="str">
        <f>VLOOKUP(Googleadssales[[#This Row],[Ad_ID]],'[1]pre processed data'!A:R,18,0)</f>
        <v>Chennai</v>
      </c>
      <c r="L2062" t="str">
        <f>VLOOKUP(Googleadssales[[#This Row],[Ad_ID]],'[1]pre processed data'!A:S,19,0)</f>
        <v>Mobile</v>
      </c>
      <c r="M2062" t="str">
        <f>VLOOKUP(Googleadssales[[#This Row],[Ad_ID]],'[1]pre processed data'!A:T,20,0)</f>
        <v>data analytics course</v>
      </c>
    </row>
    <row r="2063" spans="1:13" x14ac:dyDescent="0.3">
      <c r="A2063" t="s">
        <v>2076</v>
      </c>
      <c r="B2063" t="s">
        <v>14</v>
      </c>
      <c r="C2063" s="4">
        <f>VLOOKUP(Googleadssales[[#This Row],[Ad_ID]],'[1]pre processed data'!A:C,3,0)</f>
        <v>91</v>
      </c>
      <c r="D2063" s="4">
        <f>VLOOKUP(Googleadssales[[#This Row],[Ad_ID]],'[1]pre processed data'!A:E,5,0)</f>
        <v>3787</v>
      </c>
      <c r="E2063" s="5" t="str">
        <f>VLOOKUP(Googleadssales[[#This Row],[Ad_ID]],[1]!Table3[[Ad_ID]:[Cost-imputed]],7,0)</f>
        <v>$226.17</v>
      </c>
      <c r="F2063" s="4">
        <f>VLOOKUP(Googleadssales[[#This Row],[Ad_ID]],'[1]pre processed data'!A:I,9,0)</f>
        <v>26</v>
      </c>
      <c r="G2063" s="4">
        <f>VLOOKUP(Googleadssales[[#This Row],[Ad_ID]],'[1]pre processed data'!A:K,11,0)</f>
        <v>8</v>
      </c>
      <c r="H2063" s="2">
        <f>Googleadssales[[#This Row],[Conversions]]/Googleadssales[[#This Row],[Clicks]]</f>
        <v>8.7912087912087919E-2</v>
      </c>
      <c r="I2063" t="str">
        <f>VLOOKUP(Googleadssales[[#This Row],[Ad_ID]],'[1]pre processed data'!A:O,15,0)</f>
        <v>$1493</v>
      </c>
      <c r="J2063" s="3">
        <f>VLOOKUP(Googleadssales[[#This Row],[Ad_ID]],'[1]pre processed data'!A:Q,17,0)</f>
        <v>45606</v>
      </c>
      <c r="K2063" t="str">
        <f>VLOOKUP(Googleadssales[[#This Row],[Ad_ID]],'[1]pre processed data'!A:R,18,0)</f>
        <v>Bangaluru</v>
      </c>
      <c r="L2063" t="str">
        <f>VLOOKUP(Googleadssales[[#This Row],[Ad_ID]],'[1]pre processed data'!A:S,19,0)</f>
        <v>Tablet</v>
      </c>
      <c r="M2063" t="str">
        <f>VLOOKUP(Googleadssales[[#This Row],[Ad_ID]],'[1]pre processed data'!A:T,20,0)</f>
        <v>data analytics course</v>
      </c>
    </row>
    <row r="2064" spans="1:13" x14ac:dyDescent="0.3">
      <c r="A2064" t="s">
        <v>2077</v>
      </c>
      <c r="B2064" t="s">
        <v>14</v>
      </c>
      <c r="C2064" s="4">
        <f>VLOOKUP(Googleadssales[[#This Row],[Ad_ID]],'[1]pre processed data'!A:C,3,0)</f>
        <v>194</v>
      </c>
      <c r="D2064" s="4">
        <f>VLOOKUP(Googleadssales[[#This Row],[Ad_ID]],'[1]pre processed data'!A:E,5,0)</f>
        <v>4598</v>
      </c>
      <c r="E2064" s="5" t="str">
        <f>VLOOKUP(Googleadssales[[#This Row],[Ad_ID]],[1]!Table3[[Ad_ID]:[Cost-imputed]],7,0)</f>
        <v>$233.86</v>
      </c>
      <c r="F2064" s="4">
        <f>VLOOKUP(Googleadssales[[#This Row],[Ad_ID]],'[1]pre processed data'!A:I,9,0)</f>
        <v>25</v>
      </c>
      <c r="G2064" s="4">
        <f>VLOOKUP(Googleadssales[[#This Row],[Ad_ID]],'[1]pre processed data'!A:K,11,0)</f>
        <v>4</v>
      </c>
      <c r="H2064" s="2">
        <f>Googleadssales[[#This Row],[Conversions]]/Googleadssales[[#This Row],[Clicks]]</f>
        <v>2.0618556701030927E-2</v>
      </c>
      <c r="I2064" t="str">
        <f>VLOOKUP(Googleadssales[[#This Row],[Ad_ID]],'[1]pre processed data'!A:O,15,0)</f>
        <v>$1565</v>
      </c>
      <c r="J2064" s="3">
        <f>VLOOKUP(Googleadssales[[#This Row],[Ad_ID]],'[1]pre processed data'!A:Q,17,0)</f>
        <v>45601</v>
      </c>
      <c r="K2064" t="str">
        <f>VLOOKUP(Googleadssales[[#This Row],[Ad_ID]],'[1]pre processed data'!A:R,18,0)</f>
        <v>Bangaluru</v>
      </c>
      <c r="L2064" t="str">
        <f>VLOOKUP(Googleadssales[[#This Row],[Ad_ID]],'[1]pre processed data'!A:S,19,0)</f>
        <v>Tablet</v>
      </c>
      <c r="M2064" t="str">
        <f>VLOOKUP(Googleadssales[[#This Row],[Ad_ID]],'[1]pre processed data'!A:T,20,0)</f>
        <v>data analytics online</v>
      </c>
    </row>
    <row r="2065" spans="1:13" x14ac:dyDescent="0.3">
      <c r="A2065" t="s">
        <v>2078</v>
      </c>
      <c r="B2065" t="s">
        <v>14</v>
      </c>
      <c r="C2065" s="4">
        <f>VLOOKUP(Googleadssales[[#This Row],[Ad_ID]],'[1]pre processed data'!A:C,3,0)</f>
        <v>189</v>
      </c>
      <c r="D2065" s="4">
        <f>VLOOKUP(Googleadssales[[#This Row],[Ad_ID]],'[1]pre processed data'!A:E,5,0)</f>
        <v>5404</v>
      </c>
      <c r="E2065" s="5" t="str">
        <f>VLOOKUP(Googleadssales[[#This Row],[Ad_ID]],[1]!Table3[[Ad_ID]:[Cost-imputed]],7,0)</f>
        <v>$218.41</v>
      </c>
      <c r="F2065" s="4">
        <f>VLOOKUP(Googleadssales[[#This Row],[Ad_ID]],'[1]pre processed data'!A:I,9,0)</f>
        <v>17</v>
      </c>
      <c r="G2065" s="4">
        <f>VLOOKUP(Googleadssales[[#This Row],[Ad_ID]],'[1]pre processed data'!A:K,11,0)</f>
        <v>10</v>
      </c>
      <c r="H2065" s="2">
        <f>Googleadssales[[#This Row],[Conversions]]/Googleadssales[[#This Row],[Clicks]]</f>
        <v>5.2910052910052907E-2</v>
      </c>
      <c r="I2065" t="str">
        <f>VLOOKUP(Googleadssales[[#This Row],[Ad_ID]],'[1]pre processed data'!A:O,15,0)</f>
        <v>$1418</v>
      </c>
      <c r="J2065" s="3">
        <f>VLOOKUP(Googleadssales[[#This Row],[Ad_ID]],'[1]pre processed data'!A:Q,17,0)</f>
        <v>45620</v>
      </c>
      <c r="K2065" t="str">
        <f>VLOOKUP(Googleadssales[[#This Row],[Ad_ID]],'[1]pre processed data'!A:R,18,0)</f>
        <v>Hyderabad</v>
      </c>
      <c r="L2065" t="str">
        <f>VLOOKUP(Googleadssales[[#This Row],[Ad_ID]],'[1]pre processed data'!A:S,19,0)</f>
        <v>Mobile</v>
      </c>
      <c r="M2065" t="str">
        <f>VLOOKUP(Googleadssales[[#This Row],[Ad_ID]],'[1]pre processed data'!A:T,20,0)</f>
        <v>learn data analytics</v>
      </c>
    </row>
    <row r="2066" spans="1:13" x14ac:dyDescent="0.3">
      <c r="A2066" t="s">
        <v>2079</v>
      </c>
      <c r="B2066" t="s">
        <v>14</v>
      </c>
      <c r="C2066" s="4">
        <f>VLOOKUP(Googleadssales[[#This Row],[Ad_ID]],'[1]pre processed data'!A:C,3,0)</f>
        <v>85</v>
      </c>
      <c r="D2066" s="4">
        <f>VLOOKUP(Googleadssales[[#This Row],[Ad_ID]],'[1]pre processed data'!A:E,5,0)</f>
        <v>4432</v>
      </c>
      <c r="E2066" s="5" t="str">
        <f>VLOOKUP(Googleadssales[[#This Row],[Ad_ID]],[1]!Table3[[Ad_ID]:[Cost-imputed]],7,0)</f>
        <v>$214.79</v>
      </c>
      <c r="F2066" s="4">
        <f>VLOOKUP(Googleadssales[[#This Row],[Ad_ID]],'[1]pre processed data'!A:I,9,0)</f>
        <v>22</v>
      </c>
      <c r="G2066" s="4">
        <f>VLOOKUP(Googleadssales[[#This Row],[Ad_ID]],'[1]pre processed data'!A:K,11,0)</f>
        <v>7</v>
      </c>
      <c r="H2066" s="2">
        <f>Googleadssales[[#This Row],[Conversions]]/Googleadssales[[#This Row],[Clicks]]</f>
        <v>8.2352941176470587E-2</v>
      </c>
      <c r="I2066" t="str">
        <f>VLOOKUP(Googleadssales[[#This Row],[Ad_ID]],'[1]pre processed data'!A:O,15,0)</f>
        <v>$1262</v>
      </c>
      <c r="J2066" s="3">
        <f>VLOOKUP(Googleadssales[[#This Row],[Ad_ID]],'[1]pre processed data'!A:Q,17,0)</f>
        <v>45619</v>
      </c>
      <c r="K2066" t="str">
        <f>VLOOKUP(Googleadssales[[#This Row],[Ad_ID]],'[1]pre processed data'!A:R,18,0)</f>
        <v>Chennai</v>
      </c>
      <c r="L2066" t="str">
        <f>VLOOKUP(Googleadssales[[#This Row],[Ad_ID]],'[1]pre processed data'!A:S,19,0)</f>
        <v>Tablet</v>
      </c>
      <c r="M2066" t="str">
        <f>VLOOKUP(Googleadssales[[#This Row],[Ad_ID]],'[1]pre processed data'!A:T,20,0)</f>
        <v>data analytics online</v>
      </c>
    </row>
    <row r="2067" spans="1:13" x14ac:dyDescent="0.3">
      <c r="A2067" t="s">
        <v>2080</v>
      </c>
      <c r="B2067" t="s">
        <v>14</v>
      </c>
      <c r="C2067" s="4">
        <f>VLOOKUP(Googleadssales[[#This Row],[Ad_ID]],'[1]pre processed data'!A:C,3,0)</f>
        <v>162</v>
      </c>
      <c r="D2067" s="4">
        <f>VLOOKUP(Googleadssales[[#This Row],[Ad_ID]],'[1]pre processed data'!A:E,5,0)</f>
        <v>4016</v>
      </c>
      <c r="E2067" s="5" t="str">
        <f>VLOOKUP(Googleadssales[[#This Row],[Ad_ID]],[1]!Table3[[Ad_ID]:[Cost-imputed]],7,0)</f>
        <v>$224.48</v>
      </c>
      <c r="F2067" s="4">
        <f>VLOOKUP(Googleadssales[[#This Row],[Ad_ID]],'[1]pre processed data'!A:I,9,0)</f>
        <v>28</v>
      </c>
      <c r="G2067" s="4">
        <f>VLOOKUP(Googleadssales[[#This Row],[Ad_ID]],'[1]pre processed data'!A:K,11,0)</f>
        <v>10</v>
      </c>
      <c r="H2067" s="2">
        <f>Googleadssales[[#This Row],[Conversions]]/Googleadssales[[#This Row],[Clicks]]</f>
        <v>6.1728395061728392E-2</v>
      </c>
      <c r="I2067" t="str">
        <f>VLOOKUP(Googleadssales[[#This Row],[Ad_ID]],'[1]pre processed data'!A:O,15,0)</f>
        <v>$1060</v>
      </c>
      <c r="J2067" s="3">
        <f>VLOOKUP(Googleadssales[[#This Row],[Ad_ID]],'[1]pre processed data'!A:Q,17,0)</f>
        <v>45615</v>
      </c>
      <c r="K2067" t="str">
        <f>VLOOKUP(Googleadssales[[#This Row],[Ad_ID]],'[1]pre processed data'!A:R,18,0)</f>
        <v>Bangaluru</v>
      </c>
      <c r="L2067" t="str">
        <f>VLOOKUP(Googleadssales[[#This Row],[Ad_ID]],'[1]pre processed data'!A:S,19,0)</f>
        <v>Mobile</v>
      </c>
      <c r="M2067" t="str">
        <f>VLOOKUP(Googleadssales[[#This Row],[Ad_ID]],'[1]pre processed data'!A:T,20,0)</f>
        <v>data analytics training</v>
      </c>
    </row>
    <row r="2068" spans="1:13" x14ac:dyDescent="0.3">
      <c r="A2068" t="s">
        <v>2081</v>
      </c>
      <c r="B2068" t="s">
        <v>18</v>
      </c>
      <c r="C2068" s="4">
        <f>VLOOKUP(Googleadssales[[#This Row],[Ad_ID]],'[1]pre processed data'!A:C,3,0)</f>
        <v>138.95699356913184</v>
      </c>
      <c r="D2068" s="4">
        <f>VLOOKUP(Googleadssales[[#This Row],[Ad_ID]],'[1]pre processed data'!A:E,5,0)</f>
        <v>5379</v>
      </c>
      <c r="E2068" s="5" t="str">
        <f>VLOOKUP(Googleadssales[[#This Row],[Ad_ID]],[1]!Table3[[Ad_ID]:[Cost-imputed]],7,0)</f>
        <v>$248.46</v>
      </c>
      <c r="F2068" s="4">
        <f>VLOOKUP(Googleadssales[[#This Row],[Ad_ID]],'[1]pre processed data'!A:I,9,0)</f>
        <v>28</v>
      </c>
      <c r="G2068" s="4">
        <f>VLOOKUP(Googleadssales[[#This Row],[Ad_ID]],'[1]pre processed data'!A:K,11,0)</f>
        <v>5</v>
      </c>
      <c r="H2068" s="2">
        <f>Googleadssales[[#This Row],[Conversions]]/Googleadssales[[#This Row],[Clicks]]</f>
        <v>3.5982355918721523E-2</v>
      </c>
      <c r="I2068" t="str">
        <f>VLOOKUP(Googleadssales[[#This Row],[Ad_ID]],'[1]pre processed data'!A:O,15,0)</f>
        <v>$1881</v>
      </c>
      <c r="J2068" s="3">
        <f>VLOOKUP(Googleadssales[[#This Row],[Ad_ID]],'[1]pre processed data'!A:Q,17,0)</f>
        <v>45623</v>
      </c>
      <c r="K2068" t="str">
        <f>VLOOKUP(Googleadssales[[#This Row],[Ad_ID]],'[1]pre processed data'!A:R,18,0)</f>
        <v>Bangaluru</v>
      </c>
      <c r="L2068" t="str">
        <f>VLOOKUP(Googleadssales[[#This Row],[Ad_ID]],'[1]pre processed data'!A:S,19,0)</f>
        <v>Desktop</v>
      </c>
      <c r="M2068" t="str">
        <f>VLOOKUP(Googleadssales[[#This Row],[Ad_ID]],'[1]pre processed data'!A:T,20,0)</f>
        <v>online data analytic</v>
      </c>
    </row>
    <row r="2069" spans="1:13" x14ac:dyDescent="0.3">
      <c r="A2069" t="s">
        <v>2082</v>
      </c>
      <c r="B2069" t="s">
        <v>18</v>
      </c>
      <c r="C2069" s="4">
        <f>VLOOKUP(Googleadssales[[#This Row],[Ad_ID]],'[1]pre processed data'!A:C,3,0)</f>
        <v>88</v>
      </c>
      <c r="D2069" s="4">
        <f>VLOOKUP(Googleadssales[[#This Row],[Ad_ID]],'[1]pre processed data'!A:E,5,0)</f>
        <v>5093</v>
      </c>
      <c r="E2069" s="5" t="str">
        <f>VLOOKUP(Googleadssales[[#This Row],[Ad_ID]],[1]!Table3[[Ad_ID]:[Cost-imputed]],7,0)</f>
        <v>$222.28</v>
      </c>
      <c r="F2069" s="4">
        <f>VLOOKUP(Googleadssales[[#This Row],[Ad_ID]],'[1]pre processed data'!A:I,9,0)</f>
        <v>13</v>
      </c>
      <c r="G2069" s="4">
        <f>VLOOKUP(Googleadssales[[#This Row],[Ad_ID]],'[1]pre processed data'!A:K,11,0)</f>
        <v>9</v>
      </c>
      <c r="H2069" s="2">
        <f>Googleadssales[[#This Row],[Conversions]]/Googleadssales[[#This Row],[Clicks]]</f>
        <v>0.10227272727272728</v>
      </c>
      <c r="I2069" t="str">
        <f>VLOOKUP(Googleadssales[[#This Row],[Ad_ID]],'[1]pre processed data'!A:O,15,0)</f>
        <v>$1185</v>
      </c>
      <c r="J2069" s="3">
        <f>VLOOKUP(Googleadssales[[#This Row],[Ad_ID]],'[1]pre processed data'!A:Q,17,0)</f>
        <v>45605</v>
      </c>
      <c r="K2069" t="str">
        <f>VLOOKUP(Googleadssales[[#This Row],[Ad_ID]],'[1]pre processed data'!A:R,18,0)</f>
        <v>Hyderabad</v>
      </c>
      <c r="L2069" t="str">
        <f>VLOOKUP(Googleadssales[[#This Row],[Ad_ID]],'[1]pre processed data'!A:S,19,0)</f>
        <v>Desktop</v>
      </c>
      <c r="M2069" t="str">
        <f>VLOOKUP(Googleadssales[[#This Row],[Ad_ID]],'[1]pre processed data'!A:T,20,0)</f>
        <v>online data analytic</v>
      </c>
    </row>
    <row r="2070" spans="1:13" x14ac:dyDescent="0.3">
      <c r="A2070" t="s">
        <v>2083</v>
      </c>
      <c r="B2070" t="s">
        <v>14</v>
      </c>
      <c r="C2070" s="4">
        <f>VLOOKUP(Googleadssales[[#This Row],[Ad_ID]],'[1]pre processed data'!A:C,3,0)</f>
        <v>121</v>
      </c>
      <c r="D2070" s="4">
        <f>VLOOKUP(Googleadssales[[#This Row],[Ad_ID]],'[1]pre processed data'!A:E,5,0)</f>
        <v>5092</v>
      </c>
      <c r="E2070" s="5" t="str">
        <f>VLOOKUP(Googleadssales[[#This Row],[Ad_ID]],[1]!Table3[[Ad_ID]:[Cost-imputed]],7,0)</f>
        <v>$219.15</v>
      </c>
      <c r="F2070" s="4">
        <f>VLOOKUP(Googleadssales[[#This Row],[Ad_ID]],'[1]pre processed data'!A:I,9,0)</f>
        <v>21</v>
      </c>
      <c r="G2070" s="4">
        <f>VLOOKUP(Googleadssales[[#This Row],[Ad_ID]],'[1]pre processed data'!A:K,11,0)</f>
        <v>6</v>
      </c>
      <c r="H2070" s="2">
        <f>Googleadssales[[#This Row],[Conversions]]/Googleadssales[[#This Row],[Clicks]]</f>
        <v>4.9586776859504134E-2</v>
      </c>
      <c r="I2070" t="str">
        <f>VLOOKUP(Googleadssales[[#This Row],[Ad_ID]],'[1]pre processed data'!A:O,15,0)</f>
        <v>$1864</v>
      </c>
      <c r="J2070" s="3">
        <f>VLOOKUP(Googleadssales[[#This Row],[Ad_ID]],'[1]pre processed data'!A:Q,17,0)</f>
        <v>45600</v>
      </c>
      <c r="K2070" t="str">
        <f>VLOOKUP(Googleadssales[[#This Row],[Ad_ID]],'[1]pre processed data'!A:R,18,0)</f>
        <v>Hyderabad</v>
      </c>
      <c r="L2070" t="str">
        <f>VLOOKUP(Googleadssales[[#This Row],[Ad_ID]],'[1]pre processed data'!A:S,19,0)</f>
        <v>Desktop</v>
      </c>
      <c r="M2070" t="str">
        <f>VLOOKUP(Googleadssales[[#This Row],[Ad_ID]],'[1]pre processed data'!A:T,20,0)</f>
        <v>analytics for data</v>
      </c>
    </row>
    <row r="2071" spans="1:13" x14ac:dyDescent="0.3">
      <c r="A2071" t="s">
        <v>2084</v>
      </c>
      <c r="B2071" t="s">
        <v>14</v>
      </c>
      <c r="C2071" s="4">
        <f>VLOOKUP(Googleadssales[[#This Row],[Ad_ID]],'[1]pre processed data'!A:C,3,0)</f>
        <v>81</v>
      </c>
      <c r="D2071" s="4">
        <f>VLOOKUP(Googleadssales[[#This Row],[Ad_ID]],'[1]pre processed data'!A:E,5,0)</f>
        <v>3015</v>
      </c>
      <c r="E2071" s="5" t="str">
        <f>VLOOKUP(Googleadssales[[#This Row],[Ad_ID]],[1]!Table3[[Ad_ID]:[Cost-imputed]],7,0)</f>
        <v>$218.69</v>
      </c>
      <c r="F2071" s="4">
        <f>VLOOKUP(Googleadssales[[#This Row],[Ad_ID]],'[1]pre processed data'!A:I,9,0)</f>
        <v>10</v>
      </c>
      <c r="G2071" s="4">
        <f>VLOOKUP(Googleadssales[[#This Row],[Ad_ID]],'[1]pre processed data'!A:K,11,0)</f>
        <v>7</v>
      </c>
      <c r="H2071" s="2">
        <f>Googleadssales[[#This Row],[Conversions]]/Googleadssales[[#This Row],[Clicks]]</f>
        <v>8.6419753086419748E-2</v>
      </c>
      <c r="I2071" t="str">
        <f>VLOOKUP(Googleadssales[[#This Row],[Ad_ID]],'[1]pre processed data'!A:O,15,0)</f>
        <v>$1550</v>
      </c>
      <c r="J2071" s="3">
        <f>VLOOKUP(Googleadssales[[#This Row],[Ad_ID]],'[1]pre processed data'!A:Q,17,0)</f>
        <v>45623</v>
      </c>
      <c r="K2071" t="str">
        <f>VLOOKUP(Googleadssales[[#This Row],[Ad_ID]],'[1]pre processed data'!A:R,18,0)</f>
        <v>Hyderabad</v>
      </c>
      <c r="L2071" t="str">
        <f>VLOOKUP(Googleadssales[[#This Row],[Ad_ID]],'[1]pre processed data'!A:S,19,0)</f>
        <v>Desktop</v>
      </c>
      <c r="M2071" t="str">
        <f>VLOOKUP(Googleadssales[[#This Row],[Ad_ID]],'[1]pre processed data'!A:T,20,0)</f>
        <v>learn data analytics</v>
      </c>
    </row>
    <row r="2072" spans="1:13" x14ac:dyDescent="0.3">
      <c r="A2072" t="s">
        <v>2085</v>
      </c>
      <c r="B2072" t="s">
        <v>18</v>
      </c>
      <c r="C2072" s="4">
        <f>VLOOKUP(Googleadssales[[#This Row],[Ad_ID]],'[1]pre processed data'!A:C,3,0)</f>
        <v>125</v>
      </c>
      <c r="D2072" s="4">
        <f>VLOOKUP(Googleadssales[[#This Row],[Ad_ID]],'[1]pre processed data'!A:E,5,0)</f>
        <v>3745</v>
      </c>
      <c r="E2072" s="5" t="str">
        <f>VLOOKUP(Googleadssales[[#This Row],[Ad_ID]],[1]!Table3[[Ad_ID]:[Cost-imputed]],7,0)</f>
        <v>$206.93</v>
      </c>
      <c r="F2072" s="4">
        <f>VLOOKUP(Googleadssales[[#This Row],[Ad_ID]],'[1]pre processed data'!A:I,9,0)</f>
        <v>24</v>
      </c>
      <c r="G2072" s="4">
        <f>VLOOKUP(Googleadssales[[#This Row],[Ad_ID]],'[1]pre processed data'!A:K,11,0)</f>
        <v>3</v>
      </c>
      <c r="H2072" s="2">
        <f>Googleadssales[[#This Row],[Conversions]]/Googleadssales[[#This Row],[Clicks]]</f>
        <v>2.4E-2</v>
      </c>
      <c r="I2072" t="str">
        <f>VLOOKUP(Googleadssales[[#This Row],[Ad_ID]],'[1]pre processed data'!A:O,15,0)</f>
        <v>$1619</v>
      </c>
      <c r="J2072" s="3">
        <f>VLOOKUP(Googleadssales[[#This Row],[Ad_ID]],'[1]pre processed data'!A:Q,17,0)</f>
        <v>45604</v>
      </c>
      <c r="K2072" t="str">
        <f>VLOOKUP(Googleadssales[[#This Row],[Ad_ID]],'[1]pre processed data'!A:R,18,0)</f>
        <v>Chennai</v>
      </c>
      <c r="L2072" t="str">
        <f>VLOOKUP(Googleadssales[[#This Row],[Ad_ID]],'[1]pre processed data'!A:S,19,0)</f>
        <v>Tablet</v>
      </c>
      <c r="M2072" t="str">
        <f>VLOOKUP(Googleadssales[[#This Row],[Ad_ID]],'[1]pre processed data'!A:T,20,0)</f>
        <v>data analytics course</v>
      </c>
    </row>
    <row r="2073" spans="1:13" x14ac:dyDescent="0.3">
      <c r="A2073" t="s">
        <v>2086</v>
      </c>
      <c r="B2073" t="s">
        <v>14</v>
      </c>
      <c r="C2073" s="4">
        <f>VLOOKUP(Googleadssales[[#This Row],[Ad_ID]],'[1]pre processed data'!A:C,3,0)</f>
        <v>188</v>
      </c>
      <c r="D2073" s="4">
        <f>VLOOKUP(Googleadssales[[#This Row],[Ad_ID]],'[1]pre processed data'!A:E,5,0)</f>
        <v>5046</v>
      </c>
      <c r="E2073" s="5" t="str">
        <f>VLOOKUP(Googleadssales[[#This Row],[Ad_ID]],[1]!Table3[[Ad_ID]:[Cost-imputed]],7,0)</f>
        <v>$202.52</v>
      </c>
      <c r="F2073" s="4">
        <f>VLOOKUP(Googleadssales[[#This Row],[Ad_ID]],'[1]pre processed data'!A:I,9,0)</f>
        <v>18</v>
      </c>
      <c r="G2073" s="4">
        <f>VLOOKUP(Googleadssales[[#This Row],[Ad_ID]],'[1]pre processed data'!A:K,11,0)</f>
        <v>10</v>
      </c>
      <c r="H2073" s="2">
        <f>Googleadssales[[#This Row],[Conversions]]/Googleadssales[[#This Row],[Clicks]]</f>
        <v>5.3191489361702128E-2</v>
      </c>
      <c r="I2073" t="str">
        <f>VLOOKUP(Googleadssales[[#This Row],[Ad_ID]],'[1]pre processed data'!A:O,15,0)</f>
        <v>$1625</v>
      </c>
      <c r="J2073" s="3">
        <f>VLOOKUP(Googleadssales[[#This Row],[Ad_ID]],'[1]pre processed data'!A:Q,17,0)</f>
        <v>45601</v>
      </c>
      <c r="K2073" t="str">
        <f>VLOOKUP(Googleadssales[[#This Row],[Ad_ID]],'[1]pre processed data'!A:R,18,0)</f>
        <v>Hyderabad</v>
      </c>
      <c r="L2073" t="str">
        <f>VLOOKUP(Googleadssales[[#This Row],[Ad_ID]],'[1]pre processed data'!A:S,19,0)</f>
        <v>Tablet</v>
      </c>
      <c r="M2073" t="str">
        <f>VLOOKUP(Googleadssales[[#This Row],[Ad_ID]],'[1]pre processed data'!A:T,20,0)</f>
        <v>online data analytic</v>
      </c>
    </row>
    <row r="2074" spans="1:13" x14ac:dyDescent="0.3">
      <c r="A2074" t="s">
        <v>2087</v>
      </c>
      <c r="B2074" t="s">
        <v>14</v>
      </c>
      <c r="C2074" s="4">
        <f>VLOOKUP(Googleadssales[[#This Row],[Ad_ID]],'[1]pre processed data'!A:C,3,0)</f>
        <v>99</v>
      </c>
      <c r="D2074" s="4">
        <f>VLOOKUP(Googleadssales[[#This Row],[Ad_ID]],'[1]pre processed data'!A:E,5,0)</f>
        <v>4032</v>
      </c>
      <c r="E2074" s="5" t="str">
        <f>VLOOKUP(Googleadssales[[#This Row],[Ad_ID]],[1]!Table3[[Ad_ID]:[Cost-imputed]],7,0)</f>
        <v>$186.45</v>
      </c>
      <c r="F2074" s="4">
        <f>VLOOKUP(Googleadssales[[#This Row],[Ad_ID]],'[1]pre processed data'!A:I,9,0)</f>
        <v>19</v>
      </c>
      <c r="G2074" s="4">
        <f>VLOOKUP(Googleadssales[[#This Row],[Ad_ID]],'[1]pre processed data'!A:K,11,0)</f>
        <v>5</v>
      </c>
      <c r="H2074" s="2">
        <f>Googleadssales[[#This Row],[Conversions]]/Googleadssales[[#This Row],[Clicks]]</f>
        <v>5.0505050505050504E-2</v>
      </c>
      <c r="I2074" t="str">
        <f>VLOOKUP(Googleadssales[[#This Row],[Ad_ID]],'[1]pre processed data'!A:O,15,0)</f>
        <v>$1074</v>
      </c>
      <c r="J2074" s="3">
        <f>VLOOKUP(Googleadssales[[#This Row],[Ad_ID]],'[1]pre processed data'!A:Q,17,0)</f>
        <v>45599</v>
      </c>
      <c r="K2074" t="str">
        <f>VLOOKUP(Googleadssales[[#This Row],[Ad_ID]],'[1]pre processed data'!A:R,18,0)</f>
        <v>Hyderabad</v>
      </c>
      <c r="L2074" t="str">
        <f>VLOOKUP(Googleadssales[[#This Row],[Ad_ID]],'[1]pre processed data'!A:S,19,0)</f>
        <v>Desktop</v>
      </c>
      <c r="M2074" t="str">
        <f>VLOOKUP(Googleadssales[[#This Row],[Ad_ID]],'[1]pre processed data'!A:T,20,0)</f>
        <v>data analytics course</v>
      </c>
    </row>
    <row r="2075" spans="1:13" x14ac:dyDescent="0.3">
      <c r="A2075" t="s">
        <v>2088</v>
      </c>
      <c r="B2075" t="s">
        <v>18</v>
      </c>
      <c r="C2075" s="4">
        <f>VLOOKUP(Googleadssales[[#This Row],[Ad_ID]],'[1]pre processed data'!A:C,3,0)</f>
        <v>170</v>
      </c>
      <c r="D2075" s="4">
        <f>VLOOKUP(Googleadssales[[#This Row],[Ad_ID]],'[1]pre processed data'!A:E,5,0)</f>
        <v>3879</v>
      </c>
      <c r="E2075" s="5" t="str">
        <f>VLOOKUP(Googleadssales[[#This Row],[Ad_ID]],[1]!Table3[[Ad_ID]:[Cost-imputed]],7,0)</f>
        <v>$245.0</v>
      </c>
      <c r="F2075" s="4">
        <f>VLOOKUP(Googleadssales[[#This Row],[Ad_ID]],'[1]pre processed data'!A:I,9,0)</f>
        <v>29</v>
      </c>
      <c r="G2075" s="4">
        <f>VLOOKUP(Googleadssales[[#This Row],[Ad_ID]],'[1]pre processed data'!A:K,11,0)</f>
        <v>6.5296442687747032</v>
      </c>
      <c r="H2075" s="2">
        <f>Googleadssales[[#This Row],[Conversions]]/Googleadssales[[#This Row],[Clicks]]</f>
        <v>3.8409672169262957E-2</v>
      </c>
      <c r="I2075" t="str">
        <f>VLOOKUP(Googleadssales[[#This Row],[Ad_ID]],'[1]pre processed data'!A:O,15,0)</f>
        <v>$1202</v>
      </c>
      <c r="J2075" s="3">
        <f>VLOOKUP(Googleadssales[[#This Row],[Ad_ID]],'[1]pre processed data'!A:Q,17,0)</f>
        <v>45622</v>
      </c>
      <c r="K2075" t="str">
        <f>VLOOKUP(Googleadssales[[#This Row],[Ad_ID]],'[1]pre processed data'!A:R,18,0)</f>
        <v>Bangaluru</v>
      </c>
      <c r="L2075" t="str">
        <f>VLOOKUP(Googleadssales[[#This Row],[Ad_ID]],'[1]pre processed data'!A:S,19,0)</f>
        <v>Tablet</v>
      </c>
      <c r="M2075" t="str">
        <f>VLOOKUP(Googleadssales[[#This Row],[Ad_ID]],'[1]pre processed data'!A:T,20,0)</f>
        <v>data analytics course</v>
      </c>
    </row>
    <row r="2076" spans="1:13" x14ac:dyDescent="0.3">
      <c r="A2076" t="s">
        <v>2089</v>
      </c>
      <c r="B2076" t="s">
        <v>14</v>
      </c>
      <c r="C2076" s="4">
        <f>VLOOKUP(Googleadssales[[#This Row],[Ad_ID]],'[1]pre processed data'!A:C,3,0)</f>
        <v>105</v>
      </c>
      <c r="D2076" s="4">
        <f>VLOOKUP(Googleadssales[[#This Row],[Ad_ID]],'[1]pre processed data'!A:E,5,0)</f>
        <v>4968</v>
      </c>
      <c r="E2076" s="5" t="str">
        <f>VLOOKUP(Googleadssales[[#This Row],[Ad_ID]],[1]!Table3[[Ad_ID]:[Cost-imputed]],7,0)</f>
        <v>$188.38</v>
      </c>
      <c r="F2076" s="4">
        <f>VLOOKUP(Googleadssales[[#This Row],[Ad_ID]],'[1]pre processed data'!A:I,9,0)</f>
        <v>14</v>
      </c>
      <c r="G2076" s="4">
        <f>VLOOKUP(Googleadssales[[#This Row],[Ad_ID]],'[1]pre processed data'!A:K,11,0)</f>
        <v>5</v>
      </c>
      <c r="H2076" s="2">
        <f>Googleadssales[[#This Row],[Conversions]]/Googleadssales[[#This Row],[Clicks]]</f>
        <v>4.7619047619047616E-2</v>
      </c>
      <c r="I2076" t="str">
        <f>VLOOKUP(Googleadssales[[#This Row],[Ad_ID]],'[1]pre processed data'!A:O,15,0)</f>
        <v>$1135</v>
      </c>
      <c r="J2076" s="3">
        <f>VLOOKUP(Googleadssales[[#This Row],[Ad_ID]],'[1]pre processed data'!A:Q,17,0)</f>
        <v>45617</v>
      </c>
      <c r="K2076" t="str">
        <f>VLOOKUP(Googleadssales[[#This Row],[Ad_ID]],'[1]pre processed data'!A:R,18,0)</f>
        <v>Bangaluru</v>
      </c>
      <c r="L2076" t="str">
        <f>VLOOKUP(Googleadssales[[#This Row],[Ad_ID]],'[1]pre processed data'!A:S,19,0)</f>
        <v>Tablet</v>
      </c>
      <c r="M2076" t="str">
        <f>VLOOKUP(Googleadssales[[#This Row],[Ad_ID]],'[1]pre processed data'!A:T,20,0)</f>
        <v>learn data analytics</v>
      </c>
    </row>
    <row r="2077" spans="1:13" x14ac:dyDescent="0.3">
      <c r="A2077" t="s">
        <v>2090</v>
      </c>
      <c r="B2077" t="s">
        <v>14</v>
      </c>
      <c r="C2077" s="4">
        <f>VLOOKUP(Googleadssales[[#This Row],[Ad_ID]],'[1]pre processed data'!A:C,3,0)</f>
        <v>173</v>
      </c>
      <c r="D2077" s="4">
        <f>VLOOKUP(Googleadssales[[#This Row],[Ad_ID]],'[1]pre processed data'!A:E,5,0)</f>
        <v>5872</v>
      </c>
      <c r="E2077" s="5" t="str">
        <f>VLOOKUP(Googleadssales[[#This Row],[Ad_ID]],[1]!Table3[[Ad_ID]:[Cost-imputed]],7,0)</f>
        <v>$190.3</v>
      </c>
      <c r="F2077" s="4">
        <f>VLOOKUP(Googleadssales[[#This Row],[Ad_ID]],'[1]pre processed data'!A:I,9,0)</f>
        <v>24</v>
      </c>
      <c r="G2077" s="4">
        <f>VLOOKUP(Googleadssales[[#This Row],[Ad_ID]],'[1]pre processed data'!A:K,11,0)</f>
        <v>5</v>
      </c>
      <c r="H2077" s="2">
        <f>Googleadssales[[#This Row],[Conversions]]/Googleadssales[[#This Row],[Clicks]]</f>
        <v>2.8901734104046242E-2</v>
      </c>
      <c r="I2077" t="str">
        <f>VLOOKUP(Googleadssales[[#This Row],[Ad_ID]],'[1]pre processed data'!A:O,15,0)</f>
        <v>$1953</v>
      </c>
      <c r="J2077" s="3">
        <f>VLOOKUP(Googleadssales[[#This Row],[Ad_ID]],'[1]pre processed data'!A:Q,17,0)</f>
        <v>45622</v>
      </c>
      <c r="K2077" t="str">
        <f>VLOOKUP(Googleadssales[[#This Row],[Ad_ID]],'[1]pre processed data'!A:R,18,0)</f>
        <v>Hyderabad</v>
      </c>
      <c r="L2077" t="str">
        <f>VLOOKUP(Googleadssales[[#This Row],[Ad_ID]],'[1]pre processed data'!A:S,19,0)</f>
        <v>Tablet</v>
      </c>
      <c r="M2077" t="str">
        <f>VLOOKUP(Googleadssales[[#This Row],[Ad_ID]],'[1]pre processed data'!A:T,20,0)</f>
        <v>data analytics online</v>
      </c>
    </row>
    <row r="2078" spans="1:13" x14ac:dyDescent="0.3">
      <c r="A2078" t="s">
        <v>2091</v>
      </c>
      <c r="B2078" t="s">
        <v>14</v>
      </c>
      <c r="C2078" s="4">
        <f>VLOOKUP(Googleadssales[[#This Row],[Ad_ID]],'[1]pre processed data'!A:C,3,0)</f>
        <v>186</v>
      </c>
      <c r="D2078" s="4">
        <f>VLOOKUP(Googleadssales[[#This Row],[Ad_ID]],'[1]pre processed data'!A:E,5,0)</f>
        <v>3058</v>
      </c>
      <c r="E2078" s="5" t="str">
        <f>VLOOKUP(Googleadssales[[#This Row],[Ad_ID]],[1]!Table3[[Ad_ID]:[Cost-imputed]],7,0)</f>
        <v>$230.71</v>
      </c>
      <c r="F2078" s="4">
        <f>VLOOKUP(Googleadssales[[#This Row],[Ad_ID]],'[1]pre processed data'!A:I,9,0)</f>
        <v>27</v>
      </c>
      <c r="G2078" s="4">
        <f>VLOOKUP(Googleadssales[[#This Row],[Ad_ID]],'[1]pre processed data'!A:K,11,0)</f>
        <v>7</v>
      </c>
      <c r="H2078" s="2">
        <f>Googleadssales[[#This Row],[Conversions]]/Googleadssales[[#This Row],[Clicks]]</f>
        <v>3.7634408602150539E-2</v>
      </c>
      <c r="I2078" t="str">
        <f>VLOOKUP(Googleadssales[[#This Row],[Ad_ID]],'[1]pre processed data'!A:O,15,0)</f>
        <v>$1500</v>
      </c>
      <c r="J2078" s="3">
        <f>VLOOKUP(Googleadssales[[#This Row],[Ad_ID]],'[1]pre processed data'!A:Q,17,0)</f>
        <v>45619</v>
      </c>
      <c r="K2078" t="str">
        <f>VLOOKUP(Googleadssales[[#This Row],[Ad_ID]],'[1]pre processed data'!A:R,18,0)</f>
        <v>Hyderabad</v>
      </c>
      <c r="L2078" t="str">
        <f>VLOOKUP(Googleadssales[[#This Row],[Ad_ID]],'[1]pre processed data'!A:S,19,0)</f>
        <v>Mobile</v>
      </c>
      <c r="M2078" t="str">
        <f>VLOOKUP(Googleadssales[[#This Row],[Ad_ID]],'[1]pre processed data'!A:T,20,0)</f>
        <v>analytics for data</v>
      </c>
    </row>
    <row r="2079" spans="1:13" x14ac:dyDescent="0.3">
      <c r="A2079" t="s">
        <v>2092</v>
      </c>
      <c r="B2079" t="s">
        <v>14</v>
      </c>
      <c r="C2079" s="4">
        <f>VLOOKUP(Googleadssales[[#This Row],[Ad_ID]],'[1]pre processed data'!A:C,3,0)</f>
        <v>143</v>
      </c>
      <c r="D2079" s="4">
        <f>VLOOKUP(Googleadssales[[#This Row],[Ad_ID]],'[1]pre processed data'!A:E,5,0)</f>
        <v>3109</v>
      </c>
      <c r="E2079" s="5" t="str">
        <f>VLOOKUP(Googleadssales[[#This Row],[Ad_ID]],[1]!Table3[[Ad_ID]:[Cost-imputed]],7,0)</f>
        <v>$246.92</v>
      </c>
      <c r="F2079" s="4">
        <f>VLOOKUP(Googleadssales[[#This Row],[Ad_ID]],'[1]pre processed data'!A:I,9,0)</f>
        <v>22</v>
      </c>
      <c r="G2079" s="4">
        <f>VLOOKUP(Googleadssales[[#This Row],[Ad_ID]],'[1]pre processed data'!A:K,11,0)</f>
        <v>5</v>
      </c>
      <c r="H2079" s="2">
        <f>Googleadssales[[#This Row],[Conversions]]/Googleadssales[[#This Row],[Clicks]]</f>
        <v>3.4965034965034968E-2</v>
      </c>
      <c r="I2079" t="str">
        <f>VLOOKUP(Googleadssales[[#This Row],[Ad_ID]],'[1]pre processed data'!A:O,15,0)</f>
        <v>$1589</v>
      </c>
      <c r="J2079" s="3">
        <f>VLOOKUP(Googleadssales[[#This Row],[Ad_ID]],'[1]pre processed data'!A:Q,17,0)</f>
        <v>45609</v>
      </c>
      <c r="K2079" t="str">
        <f>VLOOKUP(Googleadssales[[#This Row],[Ad_ID]],'[1]pre processed data'!A:R,18,0)</f>
        <v>Hyderabad</v>
      </c>
      <c r="L2079" t="str">
        <f>VLOOKUP(Googleadssales[[#This Row],[Ad_ID]],'[1]pre processed data'!A:S,19,0)</f>
        <v>Tablet</v>
      </c>
      <c r="M2079" t="str">
        <f>VLOOKUP(Googleadssales[[#This Row],[Ad_ID]],'[1]pre processed data'!A:T,20,0)</f>
        <v>learn data analytics</v>
      </c>
    </row>
    <row r="2080" spans="1:13" x14ac:dyDescent="0.3">
      <c r="A2080" t="s">
        <v>2093</v>
      </c>
      <c r="B2080" t="s">
        <v>14</v>
      </c>
      <c r="C2080" s="4">
        <f>VLOOKUP(Googleadssales[[#This Row],[Ad_ID]],'[1]pre processed data'!A:C,3,0)</f>
        <v>124</v>
      </c>
      <c r="D2080" s="4">
        <f>VLOOKUP(Googleadssales[[#This Row],[Ad_ID]],'[1]pre processed data'!A:E,5,0)</f>
        <v>5415</v>
      </c>
      <c r="E2080" s="5" t="str">
        <f>VLOOKUP(Googleadssales[[#This Row],[Ad_ID]],[1]!Table3[[Ad_ID]:[Cost-imputed]],7,0)</f>
        <v>$217.55</v>
      </c>
      <c r="F2080" s="4">
        <f>VLOOKUP(Googleadssales[[#This Row],[Ad_ID]],'[1]pre processed data'!A:I,9,0)</f>
        <v>20.485322896281801</v>
      </c>
      <c r="G2080" s="4">
        <f>VLOOKUP(Googleadssales[[#This Row],[Ad_ID]],'[1]pre processed data'!A:K,11,0)</f>
        <v>4</v>
      </c>
      <c r="H2080" s="2">
        <f>Googleadssales[[#This Row],[Conversions]]/Googleadssales[[#This Row],[Clicks]]</f>
        <v>3.2258064516129031E-2</v>
      </c>
      <c r="I2080" t="str">
        <f>VLOOKUP(Googleadssales[[#This Row],[Ad_ID]],'[1]pre processed data'!A:O,15,0)</f>
        <v>$1258</v>
      </c>
      <c r="J2080" s="3">
        <f>VLOOKUP(Googleadssales[[#This Row],[Ad_ID]],'[1]pre processed data'!A:Q,17,0)</f>
        <v>45623</v>
      </c>
      <c r="K2080" t="str">
        <f>VLOOKUP(Googleadssales[[#This Row],[Ad_ID]],'[1]pre processed data'!A:R,18,0)</f>
        <v>Chennai</v>
      </c>
      <c r="L2080" t="str">
        <f>VLOOKUP(Googleadssales[[#This Row],[Ad_ID]],'[1]pre processed data'!A:S,19,0)</f>
        <v>Desktop</v>
      </c>
      <c r="M2080" t="str">
        <f>VLOOKUP(Googleadssales[[#This Row],[Ad_ID]],'[1]pre processed data'!A:T,20,0)</f>
        <v>data analytics online</v>
      </c>
    </row>
    <row r="2081" spans="1:13" x14ac:dyDescent="0.3">
      <c r="A2081" t="s">
        <v>2094</v>
      </c>
      <c r="B2081" t="s">
        <v>14</v>
      </c>
      <c r="C2081" s="4">
        <f>VLOOKUP(Googleadssales[[#This Row],[Ad_ID]],'[1]pre processed data'!A:C,3,0)</f>
        <v>154</v>
      </c>
      <c r="D2081" s="4">
        <f>VLOOKUP(Googleadssales[[#This Row],[Ad_ID]],'[1]pre processed data'!A:E,5,0)</f>
        <v>5633</v>
      </c>
      <c r="E2081" s="5" t="str">
        <f>VLOOKUP(Googleadssales[[#This Row],[Ad_ID]],[1]!Table3[[Ad_ID]:[Cost-imputed]],7,0)</f>
        <v>$245.95</v>
      </c>
      <c r="F2081" s="4">
        <f>VLOOKUP(Googleadssales[[#This Row],[Ad_ID]],'[1]pre processed data'!A:I,9,0)</f>
        <v>29</v>
      </c>
      <c r="G2081" s="4">
        <f>VLOOKUP(Googleadssales[[#This Row],[Ad_ID]],'[1]pre processed data'!A:K,11,0)</f>
        <v>7</v>
      </c>
      <c r="H2081" s="2">
        <f>Googleadssales[[#This Row],[Conversions]]/Googleadssales[[#This Row],[Clicks]]</f>
        <v>4.5454545454545456E-2</v>
      </c>
      <c r="I2081" t="str">
        <f>VLOOKUP(Googleadssales[[#This Row],[Ad_ID]],'[1]pre processed data'!A:O,15,0)</f>
        <v>$1604</v>
      </c>
      <c r="J2081" s="3">
        <f>VLOOKUP(Googleadssales[[#This Row],[Ad_ID]],'[1]pre processed data'!A:Q,17,0)</f>
        <v>45599</v>
      </c>
      <c r="K2081" t="str">
        <f>VLOOKUP(Googleadssales[[#This Row],[Ad_ID]],'[1]pre processed data'!A:R,18,0)</f>
        <v>Chennai</v>
      </c>
      <c r="L2081" t="str">
        <f>VLOOKUP(Googleadssales[[#This Row],[Ad_ID]],'[1]pre processed data'!A:S,19,0)</f>
        <v>Tablet</v>
      </c>
      <c r="M2081" t="str">
        <f>VLOOKUP(Googleadssales[[#This Row],[Ad_ID]],'[1]pre processed data'!A:T,20,0)</f>
        <v>learn data analytics</v>
      </c>
    </row>
    <row r="2082" spans="1:13" x14ac:dyDescent="0.3">
      <c r="A2082" t="s">
        <v>2095</v>
      </c>
      <c r="B2082" t="s">
        <v>14</v>
      </c>
      <c r="C2082" s="4">
        <f>VLOOKUP(Googleadssales[[#This Row],[Ad_ID]],'[1]pre processed data'!A:C,3,0)</f>
        <v>85</v>
      </c>
      <c r="D2082" s="4">
        <f>VLOOKUP(Googleadssales[[#This Row],[Ad_ID]],'[1]pre processed data'!A:E,5,0)</f>
        <v>5402</v>
      </c>
      <c r="E2082" s="5" t="str">
        <f>VLOOKUP(Googleadssales[[#This Row],[Ad_ID]],[1]!Table3[[Ad_ID]:[Cost-imputed]],7,0)</f>
        <v>$191.95</v>
      </c>
      <c r="F2082" s="4">
        <f>VLOOKUP(Googleadssales[[#This Row],[Ad_ID]],'[1]pre processed data'!A:I,9,0)</f>
        <v>18</v>
      </c>
      <c r="G2082" s="4">
        <f>VLOOKUP(Googleadssales[[#This Row],[Ad_ID]],'[1]pre processed data'!A:K,11,0)</f>
        <v>7</v>
      </c>
      <c r="H2082" s="2">
        <f>Googleadssales[[#This Row],[Conversions]]/Googleadssales[[#This Row],[Clicks]]</f>
        <v>8.2352941176470587E-2</v>
      </c>
      <c r="I2082" t="str">
        <f>VLOOKUP(Googleadssales[[#This Row],[Ad_ID]],'[1]pre processed data'!A:O,15,0)</f>
        <v>$1002</v>
      </c>
      <c r="J2082" s="3">
        <f>VLOOKUP(Googleadssales[[#This Row],[Ad_ID]],'[1]pre processed data'!A:Q,17,0)</f>
        <v>45622</v>
      </c>
      <c r="K2082" t="str">
        <f>VLOOKUP(Googleadssales[[#This Row],[Ad_ID]],'[1]pre processed data'!A:R,18,0)</f>
        <v>Bangaluru</v>
      </c>
      <c r="L2082" t="str">
        <f>VLOOKUP(Googleadssales[[#This Row],[Ad_ID]],'[1]pre processed data'!A:S,19,0)</f>
        <v>Desktop</v>
      </c>
      <c r="M2082" t="str">
        <f>VLOOKUP(Googleadssales[[#This Row],[Ad_ID]],'[1]pre processed data'!A:T,20,0)</f>
        <v>data analytics training</v>
      </c>
    </row>
    <row r="2083" spans="1:13" x14ac:dyDescent="0.3">
      <c r="A2083" t="s">
        <v>2096</v>
      </c>
      <c r="B2083" t="s">
        <v>14</v>
      </c>
      <c r="C2083" s="4">
        <f>VLOOKUP(Googleadssales[[#This Row],[Ad_ID]],'[1]pre processed data'!A:C,3,0)</f>
        <v>167</v>
      </c>
      <c r="D2083" s="4">
        <f>VLOOKUP(Googleadssales[[#This Row],[Ad_ID]],'[1]pre processed data'!A:E,5,0)</f>
        <v>4059</v>
      </c>
      <c r="E2083" s="5" t="str">
        <f>VLOOKUP(Googleadssales[[#This Row],[Ad_ID]],[1]!Table3[[Ad_ID]:[Cost-imputed]],7,0)</f>
        <v>$209.18</v>
      </c>
      <c r="F2083" s="4">
        <f>VLOOKUP(Googleadssales[[#This Row],[Ad_ID]],'[1]pre processed data'!A:I,9,0)</f>
        <v>17</v>
      </c>
      <c r="G2083" s="4">
        <f>VLOOKUP(Googleadssales[[#This Row],[Ad_ID]],'[1]pre processed data'!A:K,11,0)</f>
        <v>4</v>
      </c>
      <c r="H2083" s="2">
        <f>Googleadssales[[#This Row],[Conversions]]/Googleadssales[[#This Row],[Clicks]]</f>
        <v>2.3952095808383235E-2</v>
      </c>
      <c r="I2083" t="str">
        <f>VLOOKUP(Googleadssales[[#This Row],[Ad_ID]],'[1]pre processed data'!A:O,15,0)</f>
        <v>$1742</v>
      </c>
      <c r="J2083" s="3">
        <f>VLOOKUP(Googleadssales[[#This Row],[Ad_ID]],'[1]pre processed data'!A:Q,17,0)</f>
        <v>45612</v>
      </c>
      <c r="K2083" t="str">
        <f>VLOOKUP(Googleadssales[[#This Row],[Ad_ID]],'[1]pre processed data'!A:R,18,0)</f>
        <v>Bangaluru</v>
      </c>
      <c r="L2083" t="str">
        <f>VLOOKUP(Googleadssales[[#This Row],[Ad_ID]],'[1]pre processed data'!A:S,19,0)</f>
        <v>Tablet</v>
      </c>
      <c r="M2083" t="str">
        <f>VLOOKUP(Googleadssales[[#This Row],[Ad_ID]],'[1]pre processed data'!A:T,20,0)</f>
        <v>learn data analytics</v>
      </c>
    </row>
    <row r="2084" spans="1:13" x14ac:dyDescent="0.3">
      <c r="A2084" t="s">
        <v>2097</v>
      </c>
      <c r="B2084" t="s">
        <v>14</v>
      </c>
      <c r="C2084" s="4">
        <f>VLOOKUP(Googleadssales[[#This Row],[Ad_ID]],'[1]pre processed data'!A:C,3,0)</f>
        <v>139</v>
      </c>
      <c r="D2084" s="4">
        <f>VLOOKUP(Googleadssales[[#This Row],[Ad_ID]],'[1]pre processed data'!A:E,5,0)</f>
        <v>3172</v>
      </c>
      <c r="E2084" s="5" t="str">
        <f>VLOOKUP(Googleadssales[[#This Row],[Ad_ID]],[1]!Table3[[Ad_ID]:[Cost-imputed]],7,0)</f>
        <v>$227.83</v>
      </c>
      <c r="F2084" s="4">
        <f>VLOOKUP(Googleadssales[[#This Row],[Ad_ID]],'[1]pre processed data'!A:I,9,0)</f>
        <v>20</v>
      </c>
      <c r="G2084" s="4">
        <f>VLOOKUP(Googleadssales[[#This Row],[Ad_ID]],'[1]pre processed data'!A:K,11,0)</f>
        <v>10</v>
      </c>
      <c r="H2084" s="2">
        <f>Googleadssales[[#This Row],[Conversions]]/Googleadssales[[#This Row],[Clicks]]</f>
        <v>7.1942446043165464E-2</v>
      </c>
      <c r="I2084" t="str">
        <f>VLOOKUP(Googleadssales[[#This Row],[Ad_ID]],'[1]pre processed data'!A:O,15,0)</f>
        <v>$1130</v>
      </c>
      <c r="J2084" s="3">
        <f>VLOOKUP(Googleadssales[[#This Row],[Ad_ID]],'[1]pre processed data'!A:Q,17,0)</f>
        <v>45624</v>
      </c>
      <c r="K2084" t="str">
        <f>VLOOKUP(Googleadssales[[#This Row],[Ad_ID]],'[1]pre processed data'!A:R,18,0)</f>
        <v>Chennai</v>
      </c>
      <c r="L2084" t="str">
        <f>VLOOKUP(Googleadssales[[#This Row],[Ad_ID]],'[1]pre processed data'!A:S,19,0)</f>
        <v>Tablet</v>
      </c>
      <c r="M2084" t="str">
        <f>VLOOKUP(Googleadssales[[#This Row],[Ad_ID]],'[1]pre processed data'!A:T,20,0)</f>
        <v>analytics for data</v>
      </c>
    </row>
    <row r="2085" spans="1:13" x14ac:dyDescent="0.3">
      <c r="A2085" t="s">
        <v>2098</v>
      </c>
      <c r="B2085" t="s">
        <v>14</v>
      </c>
      <c r="C2085" s="4">
        <f>VLOOKUP(Googleadssales[[#This Row],[Ad_ID]],'[1]pre processed data'!A:C,3,0)</f>
        <v>193</v>
      </c>
      <c r="D2085" s="4">
        <f>VLOOKUP(Googleadssales[[#This Row],[Ad_ID]],'[1]pre processed data'!A:E,5,0)</f>
        <v>5716</v>
      </c>
      <c r="E2085" s="5" t="str">
        <f>VLOOKUP(Googleadssales[[#This Row],[Ad_ID]],[1]!Table3[[Ad_ID]:[Cost-imputed]],7,0)</f>
        <v>$224.53</v>
      </c>
      <c r="F2085" s="4">
        <f>VLOOKUP(Googleadssales[[#This Row],[Ad_ID]],'[1]pre processed data'!A:I,9,0)</f>
        <v>19</v>
      </c>
      <c r="G2085" s="4">
        <f>VLOOKUP(Googleadssales[[#This Row],[Ad_ID]],'[1]pre processed data'!A:K,11,0)</f>
        <v>9</v>
      </c>
      <c r="H2085" s="2">
        <f>Googleadssales[[#This Row],[Conversions]]/Googleadssales[[#This Row],[Clicks]]</f>
        <v>4.6632124352331605E-2</v>
      </c>
      <c r="I2085" t="str">
        <f>VLOOKUP(Googleadssales[[#This Row],[Ad_ID]],'[1]pre processed data'!A:O,15,0)</f>
        <v>$1167</v>
      </c>
      <c r="J2085" s="3">
        <f>VLOOKUP(Googleadssales[[#This Row],[Ad_ID]],'[1]pre processed data'!A:Q,17,0)</f>
        <v>45609</v>
      </c>
      <c r="K2085" t="str">
        <f>VLOOKUP(Googleadssales[[#This Row],[Ad_ID]],'[1]pre processed data'!A:R,18,0)</f>
        <v>Hyderabad</v>
      </c>
      <c r="L2085" t="str">
        <f>VLOOKUP(Googleadssales[[#This Row],[Ad_ID]],'[1]pre processed data'!A:S,19,0)</f>
        <v>Desktop</v>
      </c>
      <c r="M2085" t="str">
        <f>VLOOKUP(Googleadssales[[#This Row],[Ad_ID]],'[1]pre processed data'!A:T,20,0)</f>
        <v>online data analytic</v>
      </c>
    </row>
    <row r="2086" spans="1:13" x14ac:dyDescent="0.3">
      <c r="A2086" t="s">
        <v>2099</v>
      </c>
      <c r="B2086" t="s">
        <v>14</v>
      </c>
      <c r="C2086" s="4">
        <f>VLOOKUP(Googleadssales[[#This Row],[Ad_ID]],'[1]pre processed data'!A:C,3,0)</f>
        <v>127</v>
      </c>
      <c r="D2086" s="4">
        <f>VLOOKUP(Googleadssales[[#This Row],[Ad_ID]],'[1]pre processed data'!A:E,5,0)</f>
        <v>4816</v>
      </c>
      <c r="E2086" s="5" t="str">
        <f>VLOOKUP(Googleadssales[[#This Row],[Ad_ID]],[1]!Table3[[Ad_ID]:[Cost-imputed]],7,0)</f>
        <v>$245.25</v>
      </c>
      <c r="F2086" s="4">
        <f>VLOOKUP(Googleadssales[[#This Row],[Ad_ID]],'[1]pre processed data'!A:I,9,0)</f>
        <v>23</v>
      </c>
      <c r="G2086" s="4">
        <f>VLOOKUP(Googleadssales[[#This Row],[Ad_ID]],'[1]pre processed data'!A:K,11,0)</f>
        <v>3</v>
      </c>
      <c r="H2086" s="2">
        <f>Googleadssales[[#This Row],[Conversions]]/Googleadssales[[#This Row],[Clicks]]</f>
        <v>2.3622047244094488E-2</v>
      </c>
      <c r="I2086" t="str">
        <f>VLOOKUP(Googleadssales[[#This Row],[Ad_ID]],'[1]pre processed data'!A:O,15,0)</f>
        <v>$1985</v>
      </c>
      <c r="J2086" s="3">
        <f>VLOOKUP(Googleadssales[[#This Row],[Ad_ID]],'[1]pre processed data'!A:Q,17,0)</f>
        <v>45603</v>
      </c>
      <c r="K2086" t="str">
        <f>VLOOKUP(Googleadssales[[#This Row],[Ad_ID]],'[1]pre processed data'!A:R,18,0)</f>
        <v>Bangaluru</v>
      </c>
      <c r="L2086" t="str">
        <f>VLOOKUP(Googleadssales[[#This Row],[Ad_ID]],'[1]pre processed data'!A:S,19,0)</f>
        <v>Tablet</v>
      </c>
      <c r="M2086" t="str">
        <f>VLOOKUP(Googleadssales[[#This Row],[Ad_ID]],'[1]pre processed data'!A:T,20,0)</f>
        <v>learn data analytics</v>
      </c>
    </row>
    <row r="2087" spans="1:13" x14ac:dyDescent="0.3">
      <c r="A2087" t="s">
        <v>2100</v>
      </c>
      <c r="B2087" t="s">
        <v>14</v>
      </c>
      <c r="C2087" s="4">
        <f>VLOOKUP(Googleadssales[[#This Row],[Ad_ID]],'[1]pre processed data'!A:C,3,0)</f>
        <v>80</v>
      </c>
      <c r="D2087" s="4">
        <f>VLOOKUP(Googleadssales[[#This Row],[Ad_ID]],'[1]pre processed data'!A:E,5,0)</f>
        <v>3742</v>
      </c>
      <c r="E2087" s="5" t="str">
        <f>VLOOKUP(Googleadssales[[#This Row],[Ad_ID]],[1]!Table3[[Ad_ID]:[Cost-imputed]],7,0)</f>
        <v>$247.16</v>
      </c>
      <c r="F2087" s="4">
        <f>VLOOKUP(Googleadssales[[#This Row],[Ad_ID]],'[1]pre processed data'!A:I,9,0)</f>
        <v>20.479207920792078</v>
      </c>
      <c r="G2087" s="4">
        <f>VLOOKUP(Googleadssales[[#This Row],[Ad_ID]],'[1]pre processed data'!A:K,11,0)</f>
        <v>10</v>
      </c>
      <c r="H2087" s="2">
        <f>Googleadssales[[#This Row],[Conversions]]/Googleadssales[[#This Row],[Clicks]]</f>
        <v>0.125</v>
      </c>
      <c r="I2087" t="str">
        <f>VLOOKUP(Googleadssales[[#This Row],[Ad_ID]],'[1]pre processed data'!A:O,15,0)</f>
        <v>$1686</v>
      </c>
      <c r="J2087" s="3">
        <f>VLOOKUP(Googleadssales[[#This Row],[Ad_ID]],'[1]pre processed data'!A:Q,17,0)</f>
        <v>45604</v>
      </c>
      <c r="K2087" t="str">
        <f>VLOOKUP(Googleadssales[[#This Row],[Ad_ID]],'[1]pre processed data'!A:R,18,0)</f>
        <v>Hyderabad</v>
      </c>
      <c r="L2087" t="str">
        <f>VLOOKUP(Googleadssales[[#This Row],[Ad_ID]],'[1]pre processed data'!A:S,19,0)</f>
        <v>Tablet</v>
      </c>
      <c r="M2087" t="str">
        <f>VLOOKUP(Googleadssales[[#This Row],[Ad_ID]],'[1]pre processed data'!A:T,20,0)</f>
        <v>analytics for data</v>
      </c>
    </row>
    <row r="2088" spans="1:13" x14ac:dyDescent="0.3">
      <c r="A2088" t="s">
        <v>2101</v>
      </c>
      <c r="B2088" t="s">
        <v>14</v>
      </c>
      <c r="C2088" s="4">
        <f>VLOOKUP(Googleadssales[[#This Row],[Ad_ID]],'[1]pre processed data'!A:C,3,0)</f>
        <v>174</v>
      </c>
      <c r="D2088" s="4">
        <f>VLOOKUP(Googleadssales[[#This Row],[Ad_ID]],'[1]pre processed data'!A:E,5,0)</f>
        <v>4469</v>
      </c>
      <c r="E2088" s="5" t="str">
        <f>VLOOKUP(Googleadssales[[#This Row],[Ad_ID]],[1]!Table3[[Ad_ID]:[Cost-imputed]],7,0)</f>
        <v>$215.98</v>
      </c>
      <c r="F2088" s="4">
        <f>VLOOKUP(Googleadssales[[#This Row],[Ad_ID]],'[1]pre processed data'!A:I,9,0)</f>
        <v>14</v>
      </c>
      <c r="G2088" s="4">
        <f>VLOOKUP(Googleadssales[[#This Row],[Ad_ID]],'[1]pre processed data'!A:K,11,0)</f>
        <v>8</v>
      </c>
      <c r="H2088" s="2">
        <f>Googleadssales[[#This Row],[Conversions]]/Googleadssales[[#This Row],[Clicks]]</f>
        <v>4.5977011494252873E-2</v>
      </c>
      <c r="I2088" t="str">
        <f>VLOOKUP(Googleadssales[[#This Row],[Ad_ID]],'[1]pre processed data'!A:O,15,0)</f>
        <v>$1619</v>
      </c>
      <c r="J2088" s="3">
        <f>VLOOKUP(Googleadssales[[#This Row],[Ad_ID]],'[1]pre processed data'!A:Q,17,0)</f>
        <v>45603</v>
      </c>
      <c r="K2088" t="str">
        <f>VLOOKUP(Googleadssales[[#This Row],[Ad_ID]],'[1]pre processed data'!A:R,18,0)</f>
        <v>Hyderabad</v>
      </c>
      <c r="L2088" t="str">
        <f>VLOOKUP(Googleadssales[[#This Row],[Ad_ID]],'[1]pre processed data'!A:S,19,0)</f>
        <v>Desktop</v>
      </c>
      <c r="M2088" t="str">
        <f>VLOOKUP(Googleadssales[[#This Row],[Ad_ID]],'[1]pre processed data'!A:T,20,0)</f>
        <v>online data analytic</v>
      </c>
    </row>
    <row r="2089" spans="1:13" x14ac:dyDescent="0.3">
      <c r="A2089" t="s">
        <v>2102</v>
      </c>
      <c r="B2089" t="s">
        <v>14</v>
      </c>
      <c r="C2089" s="4">
        <f>VLOOKUP(Googleadssales[[#This Row],[Ad_ID]],'[1]pre processed data'!A:C,3,0)</f>
        <v>127</v>
      </c>
      <c r="D2089" s="4">
        <f>VLOOKUP(Googleadssales[[#This Row],[Ad_ID]],'[1]pre processed data'!A:E,5,0)</f>
        <v>3454</v>
      </c>
      <c r="E2089" s="5" t="str">
        <f>VLOOKUP(Googleadssales[[#This Row],[Ad_ID]],[1]!Table3[[Ad_ID]:[Cost-imputed]],7,0)</f>
        <v>$209.19</v>
      </c>
      <c r="F2089" s="4">
        <f>VLOOKUP(Googleadssales[[#This Row],[Ad_ID]],'[1]pre processed data'!A:I,9,0)</f>
        <v>19</v>
      </c>
      <c r="G2089" s="4">
        <f>VLOOKUP(Googleadssales[[#This Row],[Ad_ID]],'[1]pre processed data'!A:K,11,0)</f>
        <v>10</v>
      </c>
      <c r="H2089" s="2">
        <f>Googleadssales[[#This Row],[Conversions]]/Googleadssales[[#This Row],[Clicks]]</f>
        <v>7.874015748031496E-2</v>
      </c>
      <c r="I2089" t="str">
        <f>VLOOKUP(Googleadssales[[#This Row],[Ad_ID]],'[1]pre processed data'!A:O,15,0)</f>
        <v>$1937</v>
      </c>
      <c r="J2089" s="3">
        <f>VLOOKUP(Googleadssales[[#This Row],[Ad_ID]],'[1]pre processed data'!A:Q,17,0)</f>
        <v>45601</v>
      </c>
      <c r="K2089" t="str">
        <f>VLOOKUP(Googleadssales[[#This Row],[Ad_ID]],'[1]pre processed data'!A:R,18,0)</f>
        <v>Hyderabad</v>
      </c>
      <c r="L2089" t="str">
        <f>VLOOKUP(Googleadssales[[#This Row],[Ad_ID]],'[1]pre processed data'!A:S,19,0)</f>
        <v>Desktop</v>
      </c>
      <c r="M2089" t="str">
        <f>VLOOKUP(Googleadssales[[#This Row],[Ad_ID]],'[1]pre processed data'!A:T,20,0)</f>
        <v>data analytics training</v>
      </c>
    </row>
    <row r="2090" spans="1:13" x14ac:dyDescent="0.3">
      <c r="A2090" t="s">
        <v>2103</v>
      </c>
      <c r="B2090" t="s">
        <v>18</v>
      </c>
      <c r="C2090" s="4">
        <f>VLOOKUP(Googleadssales[[#This Row],[Ad_ID]],'[1]pre processed data'!A:C,3,0)</f>
        <v>151</v>
      </c>
      <c r="D2090" s="4">
        <f>VLOOKUP(Googleadssales[[#This Row],[Ad_ID]],'[1]pre processed data'!A:E,5,0)</f>
        <v>3702</v>
      </c>
      <c r="E2090" s="5" t="str">
        <f>VLOOKUP(Googleadssales[[#This Row],[Ad_ID]],[1]!Table3[[Ad_ID]:[Cost-imputed]],7,0)</f>
        <v>$245.02</v>
      </c>
      <c r="F2090" s="4">
        <f>VLOOKUP(Googleadssales[[#This Row],[Ad_ID]],'[1]pre processed data'!A:I,9,0)</f>
        <v>22</v>
      </c>
      <c r="G2090" s="4">
        <f>VLOOKUP(Googleadssales[[#This Row],[Ad_ID]],'[1]pre processed data'!A:K,11,0)</f>
        <v>9</v>
      </c>
      <c r="H2090" s="2">
        <f>Googleadssales[[#This Row],[Conversions]]/Googleadssales[[#This Row],[Clicks]]</f>
        <v>5.9602649006622516E-2</v>
      </c>
      <c r="I2090" t="str">
        <f>VLOOKUP(Googleadssales[[#This Row],[Ad_ID]],'[1]pre processed data'!A:O,15,0)</f>
        <v>$1983</v>
      </c>
      <c r="J2090" s="3">
        <f>VLOOKUP(Googleadssales[[#This Row],[Ad_ID]],'[1]pre processed data'!A:Q,17,0)</f>
        <v>45600</v>
      </c>
      <c r="K2090" t="str">
        <f>VLOOKUP(Googleadssales[[#This Row],[Ad_ID]],'[1]pre processed data'!A:R,18,0)</f>
        <v>Chennai</v>
      </c>
      <c r="L2090" t="str">
        <f>VLOOKUP(Googleadssales[[#This Row],[Ad_ID]],'[1]pre processed data'!A:S,19,0)</f>
        <v>Tablet</v>
      </c>
      <c r="M2090" t="str">
        <f>VLOOKUP(Googleadssales[[#This Row],[Ad_ID]],'[1]pre processed data'!A:T,20,0)</f>
        <v>learn data analytics</v>
      </c>
    </row>
    <row r="2091" spans="1:13" x14ac:dyDescent="0.3">
      <c r="A2091" t="s">
        <v>2104</v>
      </c>
      <c r="B2091" t="s">
        <v>14</v>
      </c>
      <c r="C2091" s="4">
        <f>VLOOKUP(Googleadssales[[#This Row],[Ad_ID]],'[1]pre processed data'!A:C,3,0)</f>
        <v>113</v>
      </c>
      <c r="D2091" s="4">
        <f>VLOOKUP(Googleadssales[[#This Row],[Ad_ID]],'[1]pre processed data'!A:E,5,0)</f>
        <v>4258</v>
      </c>
      <c r="E2091" s="5" t="str">
        <f>VLOOKUP(Googleadssales[[#This Row],[Ad_ID]],[1]!Table3[[Ad_ID]:[Cost-imputed]],7,0)</f>
        <v>$232.25</v>
      </c>
      <c r="F2091" s="4">
        <f>VLOOKUP(Googleadssales[[#This Row],[Ad_ID]],'[1]pre processed data'!A:I,9,0)</f>
        <v>16</v>
      </c>
      <c r="G2091" s="4">
        <f>VLOOKUP(Googleadssales[[#This Row],[Ad_ID]],'[1]pre processed data'!A:K,11,0)</f>
        <v>10</v>
      </c>
      <c r="H2091" s="2">
        <f>Googleadssales[[#This Row],[Conversions]]/Googleadssales[[#This Row],[Clicks]]</f>
        <v>8.8495575221238937E-2</v>
      </c>
      <c r="I2091" t="str">
        <f>VLOOKUP(Googleadssales[[#This Row],[Ad_ID]],'[1]pre processed data'!A:O,15,0)</f>
        <v>$1374</v>
      </c>
      <c r="J2091" s="3">
        <f>VLOOKUP(Googleadssales[[#This Row],[Ad_ID]],'[1]pre processed data'!A:Q,17,0)</f>
        <v>45620</v>
      </c>
      <c r="K2091" t="str">
        <f>VLOOKUP(Googleadssales[[#This Row],[Ad_ID]],'[1]pre processed data'!A:R,18,0)</f>
        <v>Hyderabad</v>
      </c>
      <c r="L2091" t="str">
        <f>VLOOKUP(Googleadssales[[#This Row],[Ad_ID]],'[1]pre processed data'!A:S,19,0)</f>
        <v>Mobile</v>
      </c>
      <c r="M2091" t="str">
        <f>VLOOKUP(Googleadssales[[#This Row],[Ad_ID]],'[1]pre processed data'!A:T,20,0)</f>
        <v>online data analytic</v>
      </c>
    </row>
    <row r="2092" spans="1:13" x14ac:dyDescent="0.3">
      <c r="A2092" t="s">
        <v>2105</v>
      </c>
      <c r="B2092" t="s">
        <v>14</v>
      </c>
      <c r="C2092" s="4">
        <f>VLOOKUP(Googleadssales[[#This Row],[Ad_ID]],'[1]pre processed data'!A:C,3,0)</f>
        <v>159</v>
      </c>
      <c r="D2092" s="4">
        <f>VLOOKUP(Googleadssales[[#This Row],[Ad_ID]],'[1]pre processed data'!A:E,5,0)</f>
        <v>4047</v>
      </c>
      <c r="E2092" s="5" t="str">
        <f>VLOOKUP(Googleadssales[[#This Row],[Ad_ID]],[1]!Table3[[Ad_ID]:[Cost-imputed]],7,0)</f>
        <v>$205.62</v>
      </c>
      <c r="F2092" s="4">
        <f>VLOOKUP(Googleadssales[[#This Row],[Ad_ID]],'[1]pre processed data'!A:I,9,0)</f>
        <v>24</v>
      </c>
      <c r="G2092" s="4">
        <f>VLOOKUP(Googleadssales[[#This Row],[Ad_ID]],'[1]pre processed data'!A:K,11,0)</f>
        <v>3</v>
      </c>
      <c r="H2092" s="2">
        <f>Googleadssales[[#This Row],[Conversions]]/Googleadssales[[#This Row],[Clicks]]</f>
        <v>1.8867924528301886E-2</v>
      </c>
      <c r="I2092" t="str">
        <f>VLOOKUP(Googleadssales[[#This Row],[Ad_ID]],'[1]pre processed data'!A:O,15,0)</f>
        <v>$1177</v>
      </c>
      <c r="J2092" s="3">
        <f>VLOOKUP(Googleadssales[[#This Row],[Ad_ID]],'[1]pre processed data'!A:Q,17,0)</f>
        <v>45605</v>
      </c>
      <c r="K2092" t="str">
        <f>VLOOKUP(Googleadssales[[#This Row],[Ad_ID]],'[1]pre processed data'!A:R,18,0)</f>
        <v>Bangaluru</v>
      </c>
      <c r="L2092" t="str">
        <f>VLOOKUP(Googleadssales[[#This Row],[Ad_ID]],'[1]pre processed data'!A:S,19,0)</f>
        <v>Tablet</v>
      </c>
      <c r="M2092" t="str">
        <f>VLOOKUP(Googleadssales[[#This Row],[Ad_ID]],'[1]pre processed data'!A:T,20,0)</f>
        <v>analytics for data</v>
      </c>
    </row>
    <row r="2093" spans="1:13" x14ac:dyDescent="0.3">
      <c r="A2093" t="s">
        <v>2106</v>
      </c>
      <c r="B2093" t="s">
        <v>14</v>
      </c>
      <c r="C2093" s="4">
        <f>VLOOKUP(Googleadssales[[#This Row],[Ad_ID]],'[1]pre processed data'!A:C,3,0)</f>
        <v>197</v>
      </c>
      <c r="D2093" s="4">
        <f>VLOOKUP(Googleadssales[[#This Row],[Ad_ID]],'[1]pre processed data'!A:E,5,0)</f>
        <v>3319</v>
      </c>
      <c r="E2093" s="5" t="str">
        <f>VLOOKUP(Googleadssales[[#This Row],[Ad_ID]],[1]!Table3[[Ad_ID]:[Cost-imputed]],7,0)</f>
        <v>$215.83</v>
      </c>
      <c r="F2093" s="4">
        <f>VLOOKUP(Googleadssales[[#This Row],[Ad_ID]],'[1]pre processed data'!A:I,9,0)</f>
        <v>26</v>
      </c>
      <c r="G2093" s="4">
        <f>VLOOKUP(Googleadssales[[#This Row],[Ad_ID]],'[1]pre processed data'!A:K,11,0)</f>
        <v>10</v>
      </c>
      <c r="H2093" s="2">
        <f>Googleadssales[[#This Row],[Conversions]]/Googleadssales[[#This Row],[Clicks]]</f>
        <v>5.0761421319796954E-2</v>
      </c>
      <c r="I2093" t="str">
        <f>VLOOKUP(Googleadssales[[#This Row],[Ad_ID]],'[1]pre processed data'!A:O,15,0)</f>
        <v>$1342</v>
      </c>
      <c r="J2093" s="3">
        <f>VLOOKUP(Googleadssales[[#This Row],[Ad_ID]],'[1]pre processed data'!A:Q,17,0)</f>
        <v>45614</v>
      </c>
      <c r="K2093" t="str">
        <f>VLOOKUP(Googleadssales[[#This Row],[Ad_ID]],'[1]pre processed data'!A:R,18,0)</f>
        <v>Chennai</v>
      </c>
      <c r="L2093" t="str">
        <f>VLOOKUP(Googleadssales[[#This Row],[Ad_ID]],'[1]pre processed data'!A:S,19,0)</f>
        <v>Desktop</v>
      </c>
      <c r="M2093" t="str">
        <f>VLOOKUP(Googleadssales[[#This Row],[Ad_ID]],'[1]pre processed data'!A:T,20,0)</f>
        <v>analytics for data</v>
      </c>
    </row>
    <row r="2094" spans="1:13" x14ac:dyDescent="0.3">
      <c r="A2094" t="s">
        <v>2107</v>
      </c>
      <c r="B2094" t="s">
        <v>18</v>
      </c>
      <c r="C2094" s="4">
        <f>VLOOKUP(Googleadssales[[#This Row],[Ad_ID]],'[1]pre processed data'!A:C,3,0)</f>
        <v>106</v>
      </c>
      <c r="D2094" s="4">
        <f>VLOOKUP(Googleadssales[[#This Row],[Ad_ID]],'[1]pre processed data'!A:E,5,0)</f>
        <v>5661</v>
      </c>
      <c r="E2094" s="5" t="str">
        <f>VLOOKUP(Googleadssales[[#This Row],[Ad_ID]],[1]!Table3[[Ad_ID]:[Cost-imputed]],7,0)</f>
        <v>$181.96</v>
      </c>
      <c r="F2094" s="4">
        <f>VLOOKUP(Googleadssales[[#This Row],[Ad_ID]],'[1]pre processed data'!A:I,9,0)</f>
        <v>17</v>
      </c>
      <c r="G2094" s="4">
        <f>VLOOKUP(Googleadssales[[#This Row],[Ad_ID]],'[1]pre processed data'!A:K,11,0)</f>
        <v>3</v>
      </c>
      <c r="H2094" s="2">
        <f>Googleadssales[[#This Row],[Conversions]]/Googleadssales[[#This Row],[Clicks]]</f>
        <v>2.8301886792452831E-2</v>
      </c>
      <c r="I2094" t="str">
        <f>VLOOKUP(Googleadssales[[#This Row],[Ad_ID]],'[1]pre processed data'!A:O,15,0)</f>
        <v>$1250</v>
      </c>
      <c r="J2094" s="3">
        <f>VLOOKUP(Googleadssales[[#This Row],[Ad_ID]],'[1]pre processed data'!A:Q,17,0)</f>
        <v>45607</v>
      </c>
      <c r="K2094" t="str">
        <f>VLOOKUP(Googleadssales[[#This Row],[Ad_ID]],'[1]pre processed data'!A:R,18,0)</f>
        <v>Bangaluru</v>
      </c>
      <c r="L2094" t="str">
        <f>VLOOKUP(Googleadssales[[#This Row],[Ad_ID]],'[1]pre processed data'!A:S,19,0)</f>
        <v>Desktop</v>
      </c>
      <c r="M2094" t="str">
        <f>VLOOKUP(Googleadssales[[#This Row],[Ad_ID]],'[1]pre processed data'!A:T,20,0)</f>
        <v>data analytics online</v>
      </c>
    </row>
    <row r="2095" spans="1:13" x14ac:dyDescent="0.3">
      <c r="A2095" t="s">
        <v>2108</v>
      </c>
      <c r="B2095" t="s">
        <v>14</v>
      </c>
      <c r="C2095" s="4">
        <f>VLOOKUP(Googleadssales[[#This Row],[Ad_ID]],'[1]pre processed data'!A:C,3,0)</f>
        <v>143</v>
      </c>
      <c r="D2095" s="4">
        <f>VLOOKUP(Googleadssales[[#This Row],[Ad_ID]],'[1]pre processed data'!A:E,5,0)</f>
        <v>4914</v>
      </c>
      <c r="E2095" s="5" t="str">
        <f>VLOOKUP(Googleadssales[[#This Row],[Ad_ID]],[1]!Table3[[Ad_ID]:[Cost-imputed]],7,0)</f>
        <v>$222.69</v>
      </c>
      <c r="F2095" s="4">
        <f>VLOOKUP(Googleadssales[[#This Row],[Ad_ID]],'[1]pre processed data'!A:I,9,0)</f>
        <v>12</v>
      </c>
      <c r="G2095" s="4">
        <f>VLOOKUP(Googleadssales[[#This Row],[Ad_ID]],'[1]pre processed data'!A:K,11,0)</f>
        <v>7</v>
      </c>
      <c r="H2095" s="2">
        <f>Googleadssales[[#This Row],[Conversions]]/Googleadssales[[#This Row],[Clicks]]</f>
        <v>4.8951048951048952E-2</v>
      </c>
      <c r="I2095" t="str">
        <f>VLOOKUP(Googleadssales[[#This Row],[Ad_ID]],'[1]pre processed data'!A:O,15,0)</f>
        <v>$1280</v>
      </c>
      <c r="J2095" s="3">
        <f>VLOOKUP(Googleadssales[[#This Row],[Ad_ID]],'[1]pre processed data'!A:Q,17,0)</f>
        <v>45608</v>
      </c>
      <c r="K2095" t="str">
        <f>VLOOKUP(Googleadssales[[#This Row],[Ad_ID]],'[1]pre processed data'!A:R,18,0)</f>
        <v>Bangaluru</v>
      </c>
      <c r="L2095" t="str">
        <f>VLOOKUP(Googleadssales[[#This Row],[Ad_ID]],'[1]pre processed data'!A:S,19,0)</f>
        <v>Desktop</v>
      </c>
      <c r="M2095" t="str">
        <f>VLOOKUP(Googleadssales[[#This Row],[Ad_ID]],'[1]pre processed data'!A:T,20,0)</f>
        <v>analytics for data</v>
      </c>
    </row>
    <row r="2096" spans="1:13" x14ac:dyDescent="0.3">
      <c r="A2096" t="s">
        <v>2109</v>
      </c>
      <c r="B2096" t="s">
        <v>14</v>
      </c>
      <c r="C2096" s="4">
        <f>VLOOKUP(Googleadssales[[#This Row],[Ad_ID]],'[1]pre processed data'!A:C,3,0)</f>
        <v>111</v>
      </c>
      <c r="D2096" s="4">
        <f>VLOOKUP(Googleadssales[[#This Row],[Ad_ID]],'[1]pre processed data'!A:E,5,0)</f>
        <v>5382</v>
      </c>
      <c r="E2096" s="5" t="str">
        <f>VLOOKUP(Googleadssales[[#This Row],[Ad_ID]],[1]!Table3[[Ad_ID]:[Cost-imputed]],7,0)</f>
        <v>$219.59</v>
      </c>
      <c r="F2096" s="4">
        <f>VLOOKUP(Googleadssales[[#This Row],[Ad_ID]],'[1]pre processed data'!A:I,9,0)</f>
        <v>29</v>
      </c>
      <c r="G2096" s="4">
        <f>VLOOKUP(Googleadssales[[#This Row],[Ad_ID]],'[1]pre processed data'!A:K,11,0)</f>
        <v>5</v>
      </c>
      <c r="H2096" s="2">
        <f>Googleadssales[[#This Row],[Conversions]]/Googleadssales[[#This Row],[Clicks]]</f>
        <v>4.5045045045045043E-2</v>
      </c>
      <c r="I2096" t="str">
        <f>VLOOKUP(Googleadssales[[#This Row],[Ad_ID]],'[1]pre processed data'!A:O,15,0)</f>
        <v>$1464</v>
      </c>
      <c r="J2096" s="3">
        <f>VLOOKUP(Googleadssales[[#This Row],[Ad_ID]],'[1]pre processed data'!A:Q,17,0)</f>
        <v>45621</v>
      </c>
      <c r="K2096" t="str">
        <f>VLOOKUP(Googleadssales[[#This Row],[Ad_ID]],'[1]pre processed data'!A:R,18,0)</f>
        <v>Bangaluru</v>
      </c>
      <c r="L2096" t="str">
        <f>VLOOKUP(Googleadssales[[#This Row],[Ad_ID]],'[1]pre processed data'!A:S,19,0)</f>
        <v>Desktop</v>
      </c>
      <c r="M2096" t="str">
        <f>VLOOKUP(Googleadssales[[#This Row],[Ad_ID]],'[1]pre processed data'!A:T,20,0)</f>
        <v>analytics for data</v>
      </c>
    </row>
    <row r="2097" spans="1:13" x14ac:dyDescent="0.3">
      <c r="A2097" t="s">
        <v>2110</v>
      </c>
      <c r="B2097" t="s">
        <v>18</v>
      </c>
      <c r="C2097" s="4">
        <f>VLOOKUP(Googleadssales[[#This Row],[Ad_ID]],'[1]pre processed data'!A:C,3,0)</f>
        <v>98</v>
      </c>
      <c r="D2097" s="4">
        <f>VLOOKUP(Googleadssales[[#This Row],[Ad_ID]],'[1]pre processed data'!A:E,5,0)</f>
        <v>5898</v>
      </c>
      <c r="E2097" s="5" t="str">
        <f>VLOOKUP(Googleadssales[[#This Row],[Ad_ID]],[1]!Table3[[Ad_ID]:[Cost-imputed]],7,0)</f>
        <v>$186.46</v>
      </c>
      <c r="F2097" s="4">
        <f>VLOOKUP(Googleadssales[[#This Row],[Ad_ID]],'[1]pre processed data'!A:I,9,0)</f>
        <v>20</v>
      </c>
      <c r="G2097" s="4">
        <f>VLOOKUP(Googleadssales[[#This Row],[Ad_ID]],'[1]pre processed data'!A:K,11,0)</f>
        <v>6</v>
      </c>
      <c r="H2097" s="2">
        <f>Googleadssales[[#This Row],[Conversions]]/Googleadssales[[#This Row],[Clicks]]</f>
        <v>6.1224489795918366E-2</v>
      </c>
      <c r="I2097" t="str">
        <f>VLOOKUP(Googleadssales[[#This Row],[Ad_ID]],'[1]pre processed data'!A:O,15,0)</f>
        <v>$1500</v>
      </c>
      <c r="J2097" s="3">
        <f>VLOOKUP(Googleadssales[[#This Row],[Ad_ID]],'[1]pre processed data'!A:Q,17,0)</f>
        <v>45605</v>
      </c>
      <c r="K2097" t="str">
        <f>VLOOKUP(Googleadssales[[#This Row],[Ad_ID]],'[1]pre processed data'!A:R,18,0)</f>
        <v>Bangaluru</v>
      </c>
      <c r="L2097" t="str">
        <f>VLOOKUP(Googleadssales[[#This Row],[Ad_ID]],'[1]pre processed data'!A:S,19,0)</f>
        <v>Mobile</v>
      </c>
      <c r="M2097" t="str">
        <f>VLOOKUP(Googleadssales[[#This Row],[Ad_ID]],'[1]pre processed data'!A:T,20,0)</f>
        <v>data analytics online</v>
      </c>
    </row>
    <row r="2098" spans="1:13" x14ac:dyDescent="0.3">
      <c r="A2098" t="s">
        <v>2111</v>
      </c>
      <c r="B2098" t="s">
        <v>14</v>
      </c>
      <c r="C2098" s="4">
        <f>VLOOKUP(Googleadssales[[#This Row],[Ad_ID]],'[1]pre processed data'!A:C,3,0)</f>
        <v>98</v>
      </c>
      <c r="D2098" s="4">
        <f>VLOOKUP(Googleadssales[[#This Row],[Ad_ID]],'[1]pre processed data'!A:E,5,0)</f>
        <v>3967</v>
      </c>
      <c r="E2098" s="5" t="str">
        <f>VLOOKUP(Googleadssales[[#This Row],[Ad_ID]],[1]!Table3[[Ad_ID]:[Cost-imputed]],7,0)</f>
        <v>$214.51</v>
      </c>
      <c r="F2098" s="4">
        <f>VLOOKUP(Googleadssales[[#This Row],[Ad_ID]],'[1]pre processed data'!A:I,9,0)</f>
        <v>12</v>
      </c>
      <c r="G2098" s="4">
        <f>VLOOKUP(Googleadssales[[#This Row],[Ad_ID]],'[1]pre processed data'!A:K,11,0)</f>
        <v>5</v>
      </c>
      <c r="H2098" s="2">
        <f>Googleadssales[[#This Row],[Conversions]]/Googleadssales[[#This Row],[Clicks]]</f>
        <v>5.1020408163265307E-2</v>
      </c>
      <c r="I2098" t="str">
        <f>VLOOKUP(Googleadssales[[#This Row],[Ad_ID]],'[1]pre processed data'!A:O,15,0)</f>
        <v>$1180</v>
      </c>
      <c r="J2098" s="3">
        <f>VLOOKUP(Googleadssales[[#This Row],[Ad_ID]],'[1]pre processed data'!A:Q,17,0)</f>
        <v>45604</v>
      </c>
      <c r="K2098" t="str">
        <f>VLOOKUP(Googleadssales[[#This Row],[Ad_ID]],'[1]pre processed data'!A:R,18,0)</f>
        <v>Hyderabad</v>
      </c>
      <c r="L2098" t="str">
        <f>VLOOKUP(Googleadssales[[#This Row],[Ad_ID]],'[1]pre processed data'!A:S,19,0)</f>
        <v>Desktop</v>
      </c>
      <c r="M2098" t="str">
        <f>VLOOKUP(Googleadssales[[#This Row],[Ad_ID]],'[1]pre processed data'!A:T,20,0)</f>
        <v>analytics for data</v>
      </c>
    </row>
    <row r="2099" spans="1:13" x14ac:dyDescent="0.3">
      <c r="A2099" t="s">
        <v>2112</v>
      </c>
      <c r="B2099" t="s">
        <v>14</v>
      </c>
      <c r="C2099" s="4">
        <f>VLOOKUP(Googleadssales[[#This Row],[Ad_ID]],'[1]pre processed data'!A:C,3,0)</f>
        <v>109</v>
      </c>
      <c r="D2099" s="4">
        <f>VLOOKUP(Googleadssales[[#This Row],[Ad_ID]],'[1]pre processed data'!A:E,5,0)</f>
        <v>3089</v>
      </c>
      <c r="E2099" s="5" t="str">
        <f>VLOOKUP(Googleadssales[[#This Row],[Ad_ID]],[1]!Table3[[Ad_ID]:[Cost-imputed]],7,0)</f>
        <v>$190.0</v>
      </c>
      <c r="F2099" s="4">
        <f>VLOOKUP(Googleadssales[[#This Row],[Ad_ID]],'[1]pre processed data'!A:I,9,0)</f>
        <v>20.508097165991902</v>
      </c>
      <c r="G2099" s="4">
        <f>VLOOKUP(Googleadssales[[#This Row],[Ad_ID]],'[1]pre processed data'!A:K,11,0)</f>
        <v>7</v>
      </c>
      <c r="H2099" s="2">
        <f>Googleadssales[[#This Row],[Conversions]]/Googleadssales[[#This Row],[Clicks]]</f>
        <v>6.4220183486238536E-2</v>
      </c>
      <c r="I2099" t="str">
        <f>VLOOKUP(Googleadssales[[#This Row],[Ad_ID]],'[1]pre processed data'!A:O,15,0)</f>
        <v>$1779</v>
      </c>
      <c r="J2099" s="3">
        <f>VLOOKUP(Googleadssales[[#This Row],[Ad_ID]],'[1]pre processed data'!A:Q,17,0)</f>
        <v>45597</v>
      </c>
      <c r="K2099" t="str">
        <f>VLOOKUP(Googleadssales[[#This Row],[Ad_ID]],'[1]pre processed data'!A:R,18,0)</f>
        <v>Bangaluru</v>
      </c>
      <c r="L2099" t="str">
        <f>VLOOKUP(Googleadssales[[#This Row],[Ad_ID]],'[1]pre processed data'!A:S,19,0)</f>
        <v>Tablet</v>
      </c>
      <c r="M2099" t="str">
        <f>VLOOKUP(Googleadssales[[#This Row],[Ad_ID]],'[1]pre processed data'!A:T,20,0)</f>
        <v>data analytics online</v>
      </c>
    </row>
    <row r="2100" spans="1:13" x14ac:dyDescent="0.3">
      <c r="A2100" t="s">
        <v>2113</v>
      </c>
      <c r="B2100" t="s">
        <v>18</v>
      </c>
      <c r="C2100" s="4">
        <f>VLOOKUP(Googleadssales[[#This Row],[Ad_ID]],'[1]pre processed data'!A:C,3,0)</f>
        <v>168</v>
      </c>
      <c r="D2100" s="4">
        <f>VLOOKUP(Googleadssales[[#This Row],[Ad_ID]],'[1]pre processed data'!A:E,5,0)</f>
        <v>3219</v>
      </c>
      <c r="E2100" s="5" t="str">
        <f>VLOOKUP(Googleadssales[[#This Row],[Ad_ID]],[1]!Table3[[Ad_ID]:[Cost-imputed]],7,0)</f>
        <v>$193.16</v>
      </c>
      <c r="F2100" s="4">
        <f>VLOOKUP(Googleadssales[[#This Row],[Ad_ID]],'[1]pre processed data'!A:I,9,0)</f>
        <v>12</v>
      </c>
      <c r="G2100" s="4">
        <f>VLOOKUP(Googleadssales[[#This Row],[Ad_ID]],'[1]pre processed data'!A:K,11,0)</f>
        <v>7</v>
      </c>
      <c r="H2100" s="2">
        <f>Googleadssales[[#This Row],[Conversions]]/Googleadssales[[#This Row],[Clicks]]</f>
        <v>4.1666666666666664E-2</v>
      </c>
      <c r="I2100" t="str">
        <f>VLOOKUP(Googleadssales[[#This Row],[Ad_ID]],'[1]pre processed data'!A:O,15,0)</f>
        <v>$1395</v>
      </c>
      <c r="J2100" s="3">
        <f>VLOOKUP(Googleadssales[[#This Row],[Ad_ID]],'[1]pre processed data'!A:Q,17,0)</f>
        <v>45619</v>
      </c>
      <c r="K2100" t="str">
        <f>VLOOKUP(Googleadssales[[#This Row],[Ad_ID]],'[1]pre processed data'!A:R,18,0)</f>
        <v>Hyderabad</v>
      </c>
      <c r="L2100" t="str">
        <f>VLOOKUP(Googleadssales[[#This Row],[Ad_ID]],'[1]pre processed data'!A:S,19,0)</f>
        <v>Mobile</v>
      </c>
      <c r="M2100" t="str">
        <f>VLOOKUP(Googleadssales[[#This Row],[Ad_ID]],'[1]pre processed data'!A:T,20,0)</f>
        <v>online data analytic</v>
      </c>
    </row>
    <row r="2101" spans="1:13" x14ac:dyDescent="0.3">
      <c r="A2101" t="s">
        <v>2114</v>
      </c>
      <c r="B2101" t="s">
        <v>18</v>
      </c>
      <c r="C2101" s="4">
        <f>VLOOKUP(Googleadssales[[#This Row],[Ad_ID]],'[1]pre processed data'!A:C,3,0)</f>
        <v>127</v>
      </c>
      <c r="D2101" s="4">
        <f>VLOOKUP(Googleadssales[[#This Row],[Ad_ID]],'[1]pre processed data'!A:E,5,0)</f>
        <v>4039</v>
      </c>
      <c r="E2101" s="5" t="str">
        <f>VLOOKUP(Googleadssales[[#This Row],[Ad_ID]],[1]!Table3[[Ad_ID]:[Cost-imputed]],7,0)</f>
        <v>$247.92</v>
      </c>
      <c r="F2101" s="4">
        <f>VLOOKUP(Googleadssales[[#This Row],[Ad_ID]],'[1]pre processed data'!A:I,9,0)</f>
        <v>20</v>
      </c>
      <c r="G2101" s="4">
        <f>VLOOKUP(Googleadssales[[#This Row],[Ad_ID]],'[1]pre processed data'!A:K,11,0)</f>
        <v>8</v>
      </c>
      <c r="H2101" s="2">
        <f>Googleadssales[[#This Row],[Conversions]]/Googleadssales[[#This Row],[Clicks]]</f>
        <v>6.2992125984251968E-2</v>
      </c>
      <c r="I2101" t="str">
        <f>VLOOKUP(Googleadssales[[#This Row],[Ad_ID]],'[1]pre processed data'!A:O,15,0)</f>
        <v>$1500</v>
      </c>
      <c r="J2101" s="3">
        <f>VLOOKUP(Googleadssales[[#This Row],[Ad_ID]],'[1]pre processed data'!A:Q,17,0)</f>
        <v>45623</v>
      </c>
      <c r="K2101" t="str">
        <f>VLOOKUP(Googleadssales[[#This Row],[Ad_ID]],'[1]pre processed data'!A:R,18,0)</f>
        <v>Hyderabad</v>
      </c>
      <c r="L2101" t="str">
        <f>VLOOKUP(Googleadssales[[#This Row],[Ad_ID]],'[1]pre processed data'!A:S,19,0)</f>
        <v>Mobile</v>
      </c>
      <c r="M2101" t="str">
        <f>VLOOKUP(Googleadssales[[#This Row],[Ad_ID]],'[1]pre processed data'!A:T,20,0)</f>
        <v>learn data analytics</v>
      </c>
    </row>
    <row r="2102" spans="1:13" x14ac:dyDescent="0.3">
      <c r="A2102" t="s">
        <v>2115</v>
      </c>
      <c r="B2102" t="s">
        <v>14</v>
      </c>
      <c r="C2102" s="4">
        <f>VLOOKUP(Googleadssales[[#This Row],[Ad_ID]],'[1]pre processed data'!A:C,3,0)</f>
        <v>136</v>
      </c>
      <c r="D2102" s="4">
        <f>VLOOKUP(Googleadssales[[#This Row],[Ad_ID]],'[1]pre processed data'!A:E,5,0)</f>
        <v>4051</v>
      </c>
      <c r="E2102" s="5" t="str">
        <f>VLOOKUP(Googleadssales[[#This Row],[Ad_ID]],[1]!Table3[[Ad_ID]:[Cost-imputed]],7,0)</f>
        <v>$194.29</v>
      </c>
      <c r="F2102" s="4">
        <f>VLOOKUP(Googleadssales[[#This Row],[Ad_ID]],'[1]pre processed data'!A:I,9,0)</f>
        <v>25</v>
      </c>
      <c r="G2102" s="4">
        <f>VLOOKUP(Googleadssales[[#This Row],[Ad_ID]],'[1]pre processed data'!A:K,11,0)</f>
        <v>5</v>
      </c>
      <c r="H2102" s="2">
        <f>Googleadssales[[#This Row],[Conversions]]/Googleadssales[[#This Row],[Clicks]]</f>
        <v>3.6764705882352942E-2</v>
      </c>
      <c r="I2102" t="str">
        <f>VLOOKUP(Googleadssales[[#This Row],[Ad_ID]],'[1]pre processed data'!A:O,15,0)</f>
        <v>$1500</v>
      </c>
      <c r="J2102" s="3">
        <f>VLOOKUP(Googleadssales[[#This Row],[Ad_ID]],'[1]pre processed data'!A:Q,17,0)</f>
        <v>45624</v>
      </c>
      <c r="K2102" t="str">
        <f>VLOOKUP(Googleadssales[[#This Row],[Ad_ID]],'[1]pre processed data'!A:R,18,0)</f>
        <v>Hyderabad</v>
      </c>
      <c r="L2102" t="str">
        <f>VLOOKUP(Googleadssales[[#This Row],[Ad_ID]],'[1]pre processed data'!A:S,19,0)</f>
        <v>Tablet</v>
      </c>
      <c r="M2102" t="str">
        <f>VLOOKUP(Googleadssales[[#This Row],[Ad_ID]],'[1]pre processed data'!A:T,20,0)</f>
        <v>learn data analytics</v>
      </c>
    </row>
    <row r="2103" spans="1:13" x14ac:dyDescent="0.3">
      <c r="A2103" t="s">
        <v>2116</v>
      </c>
      <c r="B2103" t="s">
        <v>14</v>
      </c>
      <c r="C2103" s="4">
        <f>VLOOKUP(Googleadssales[[#This Row],[Ad_ID]],'[1]pre processed data'!A:C,3,0)</f>
        <v>173</v>
      </c>
      <c r="D2103" s="4">
        <f>VLOOKUP(Googleadssales[[#This Row],[Ad_ID]],'[1]pre processed data'!A:E,5,0)</f>
        <v>5270</v>
      </c>
      <c r="E2103" s="5" t="str">
        <f>VLOOKUP(Googleadssales[[#This Row],[Ad_ID]],[1]!Table3[[Ad_ID]:[Cost-imputed]],7,0)</f>
        <v>$233.33</v>
      </c>
      <c r="F2103" s="4">
        <f>VLOOKUP(Googleadssales[[#This Row],[Ad_ID]],'[1]pre processed data'!A:I,9,0)</f>
        <v>11</v>
      </c>
      <c r="G2103" s="4">
        <f>VLOOKUP(Googleadssales[[#This Row],[Ad_ID]],'[1]pre processed data'!A:K,11,0)</f>
        <v>7</v>
      </c>
      <c r="H2103" s="2">
        <f>Googleadssales[[#This Row],[Conversions]]/Googleadssales[[#This Row],[Clicks]]</f>
        <v>4.046242774566474E-2</v>
      </c>
      <c r="I2103" t="str">
        <f>VLOOKUP(Googleadssales[[#This Row],[Ad_ID]],'[1]pre processed data'!A:O,15,0)</f>
        <v>$1783</v>
      </c>
      <c r="J2103" s="3">
        <f>VLOOKUP(Googleadssales[[#This Row],[Ad_ID]],'[1]pre processed data'!A:Q,17,0)</f>
        <v>45612</v>
      </c>
      <c r="K2103" t="str">
        <f>VLOOKUP(Googleadssales[[#This Row],[Ad_ID]],'[1]pre processed data'!A:R,18,0)</f>
        <v>Hyderabad</v>
      </c>
      <c r="L2103" t="str">
        <f>VLOOKUP(Googleadssales[[#This Row],[Ad_ID]],'[1]pre processed data'!A:S,19,0)</f>
        <v>Desktop</v>
      </c>
      <c r="M2103" t="str">
        <f>VLOOKUP(Googleadssales[[#This Row],[Ad_ID]],'[1]pre processed data'!A:T,20,0)</f>
        <v>analytics for data</v>
      </c>
    </row>
    <row r="2104" spans="1:13" x14ac:dyDescent="0.3">
      <c r="A2104" t="s">
        <v>2117</v>
      </c>
      <c r="B2104" t="s">
        <v>14</v>
      </c>
      <c r="C2104" s="4">
        <f>VLOOKUP(Googleadssales[[#This Row],[Ad_ID]],'[1]pre processed data'!A:C,3,0)</f>
        <v>184</v>
      </c>
      <c r="D2104" s="4">
        <f>VLOOKUP(Googleadssales[[#This Row],[Ad_ID]],'[1]pre processed data'!A:E,5,0)</f>
        <v>3239</v>
      </c>
      <c r="E2104" s="5" t="str">
        <f>VLOOKUP(Googleadssales[[#This Row],[Ad_ID]],[1]!Table3[[Ad_ID]:[Cost-imputed]],7,0)</f>
        <v>$221.33</v>
      </c>
      <c r="F2104" s="4">
        <f>VLOOKUP(Googleadssales[[#This Row],[Ad_ID]],'[1]pre processed data'!A:I,9,0)</f>
        <v>25</v>
      </c>
      <c r="G2104" s="4">
        <f>VLOOKUP(Googleadssales[[#This Row],[Ad_ID]],'[1]pre processed data'!A:K,11,0)</f>
        <v>10</v>
      </c>
      <c r="H2104" s="2">
        <f>Googleadssales[[#This Row],[Conversions]]/Googleadssales[[#This Row],[Clicks]]</f>
        <v>5.434782608695652E-2</v>
      </c>
      <c r="I2104" t="str">
        <f>VLOOKUP(Googleadssales[[#This Row],[Ad_ID]],'[1]pre processed data'!A:O,15,0)</f>
        <v>$1557</v>
      </c>
      <c r="J2104" s="3">
        <f>VLOOKUP(Googleadssales[[#This Row],[Ad_ID]],'[1]pre processed data'!A:Q,17,0)</f>
        <v>45600</v>
      </c>
      <c r="K2104" t="str">
        <f>VLOOKUP(Googleadssales[[#This Row],[Ad_ID]],'[1]pre processed data'!A:R,18,0)</f>
        <v>Chennai</v>
      </c>
      <c r="L2104" t="str">
        <f>VLOOKUP(Googleadssales[[#This Row],[Ad_ID]],'[1]pre processed data'!A:S,19,0)</f>
        <v>Desktop</v>
      </c>
      <c r="M2104" t="str">
        <f>VLOOKUP(Googleadssales[[#This Row],[Ad_ID]],'[1]pre processed data'!A:T,20,0)</f>
        <v>online data analytic</v>
      </c>
    </row>
    <row r="2105" spans="1:13" x14ac:dyDescent="0.3">
      <c r="A2105" t="s">
        <v>2118</v>
      </c>
      <c r="B2105" t="s">
        <v>14</v>
      </c>
      <c r="C2105" s="4">
        <f>VLOOKUP(Googleadssales[[#This Row],[Ad_ID]],'[1]pre processed data'!A:C,3,0)</f>
        <v>174</v>
      </c>
      <c r="D2105" s="4">
        <f>VLOOKUP(Googleadssales[[#This Row],[Ad_ID]],'[1]pre processed data'!A:E,5,0)</f>
        <v>4054</v>
      </c>
      <c r="E2105" s="5" t="str">
        <f>VLOOKUP(Googleadssales[[#This Row],[Ad_ID]],[1]!Table3[[Ad_ID]:[Cost-imputed]],7,0)</f>
        <v>$201.25</v>
      </c>
      <c r="F2105" s="4">
        <f>VLOOKUP(Googleadssales[[#This Row],[Ad_ID]],'[1]pre processed data'!A:I,9,0)</f>
        <v>15</v>
      </c>
      <c r="G2105" s="4">
        <f>VLOOKUP(Googleadssales[[#This Row],[Ad_ID]],'[1]pre processed data'!A:K,11,0)</f>
        <v>7</v>
      </c>
      <c r="H2105" s="2">
        <f>Googleadssales[[#This Row],[Conversions]]/Googleadssales[[#This Row],[Clicks]]</f>
        <v>4.0229885057471264E-2</v>
      </c>
      <c r="I2105" t="str">
        <f>VLOOKUP(Googleadssales[[#This Row],[Ad_ID]],'[1]pre processed data'!A:O,15,0)</f>
        <v>$1514</v>
      </c>
      <c r="J2105" s="3">
        <f>VLOOKUP(Googleadssales[[#This Row],[Ad_ID]],'[1]pre processed data'!A:Q,17,0)</f>
        <v>45619</v>
      </c>
      <c r="K2105" t="str">
        <f>VLOOKUP(Googleadssales[[#This Row],[Ad_ID]],'[1]pre processed data'!A:R,18,0)</f>
        <v>Hyderabad</v>
      </c>
      <c r="L2105" t="str">
        <f>VLOOKUP(Googleadssales[[#This Row],[Ad_ID]],'[1]pre processed data'!A:S,19,0)</f>
        <v>Mobile</v>
      </c>
      <c r="M2105" t="str">
        <f>VLOOKUP(Googleadssales[[#This Row],[Ad_ID]],'[1]pre processed data'!A:T,20,0)</f>
        <v>learn data analytics</v>
      </c>
    </row>
    <row r="2106" spans="1:13" x14ac:dyDescent="0.3">
      <c r="A2106" t="s">
        <v>2119</v>
      </c>
      <c r="B2106" t="s">
        <v>18</v>
      </c>
      <c r="C2106" s="4">
        <f>VLOOKUP(Googleadssales[[#This Row],[Ad_ID]],'[1]pre processed data'!A:C,3,0)</f>
        <v>196</v>
      </c>
      <c r="D2106" s="4">
        <f>VLOOKUP(Googleadssales[[#This Row],[Ad_ID]],'[1]pre processed data'!A:E,5,0)</f>
        <v>5448</v>
      </c>
      <c r="E2106" s="5" t="str">
        <f>VLOOKUP(Googleadssales[[#This Row],[Ad_ID]],[1]!Table3[[Ad_ID]:[Cost-imputed]],7,0)</f>
        <v>$232.55</v>
      </c>
      <c r="F2106" s="4">
        <f>VLOOKUP(Googleadssales[[#This Row],[Ad_ID]],'[1]pre processed data'!A:I,9,0)</f>
        <v>30</v>
      </c>
      <c r="G2106" s="4">
        <f>VLOOKUP(Googleadssales[[#This Row],[Ad_ID]],'[1]pre processed data'!A:K,11,0)</f>
        <v>8</v>
      </c>
      <c r="H2106" s="2">
        <f>Googleadssales[[#This Row],[Conversions]]/Googleadssales[[#This Row],[Clicks]]</f>
        <v>4.0816326530612242E-2</v>
      </c>
      <c r="I2106" t="str">
        <f>VLOOKUP(Googleadssales[[#This Row],[Ad_ID]],'[1]pre processed data'!A:O,15,0)</f>
        <v>$1694</v>
      </c>
      <c r="J2106" s="3">
        <f>VLOOKUP(Googleadssales[[#This Row],[Ad_ID]],'[1]pre processed data'!A:Q,17,0)</f>
        <v>45610</v>
      </c>
      <c r="K2106" t="str">
        <f>VLOOKUP(Googleadssales[[#This Row],[Ad_ID]],'[1]pre processed data'!A:R,18,0)</f>
        <v>Hyderabad</v>
      </c>
      <c r="L2106" t="str">
        <f>VLOOKUP(Googleadssales[[#This Row],[Ad_ID]],'[1]pre processed data'!A:S,19,0)</f>
        <v>Desktop</v>
      </c>
      <c r="M2106" t="str">
        <f>VLOOKUP(Googleadssales[[#This Row],[Ad_ID]],'[1]pre processed data'!A:T,20,0)</f>
        <v>learn data analytics</v>
      </c>
    </row>
    <row r="2107" spans="1:13" x14ac:dyDescent="0.3">
      <c r="A2107" t="s">
        <v>2120</v>
      </c>
      <c r="B2107" t="s">
        <v>14</v>
      </c>
      <c r="C2107" s="4">
        <f>VLOOKUP(Googleadssales[[#This Row],[Ad_ID]],'[1]pre processed data'!A:C,3,0)</f>
        <v>193</v>
      </c>
      <c r="D2107" s="4">
        <f>VLOOKUP(Googleadssales[[#This Row],[Ad_ID]],'[1]pre processed data'!A:E,5,0)</f>
        <v>4523.2808326787117</v>
      </c>
      <c r="E2107" s="5" t="str">
        <f>VLOOKUP(Googleadssales[[#This Row],[Ad_ID]],[1]!Table3[[Ad_ID]:[Cost-imputed]],7,0)</f>
        <v>$238.8</v>
      </c>
      <c r="F2107" s="4">
        <f>VLOOKUP(Googleadssales[[#This Row],[Ad_ID]],'[1]pre processed data'!A:I,9,0)</f>
        <v>20</v>
      </c>
      <c r="G2107" s="4">
        <f>VLOOKUP(Googleadssales[[#This Row],[Ad_ID]],'[1]pre processed data'!A:K,11,0)</f>
        <v>5</v>
      </c>
      <c r="H2107" s="2">
        <f>Googleadssales[[#This Row],[Conversions]]/Googleadssales[[#This Row],[Clicks]]</f>
        <v>2.5906735751295335E-2</v>
      </c>
      <c r="I2107" t="str">
        <f>VLOOKUP(Googleadssales[[#This Row],[Ad_ID]],'[1]pre processed data'!A:O,15,0)</f>
        <v>$1327</v>
      </c>
      <c r="J2107" s="3">
        <f>VLOOKUP(Googleadssales[[#This Row],[Ad_ID]],'[1]pre processed data'!A:Q,17,0)</f>
        <v>45598</v>
      </c>
      <c r="K2107" t="str">
        <f>VLOOKUP(Googleadssales[[#This Row],[Ad_ID]],'[1]pre processed data'!A:R,18,0)</f>
        <v>Hyderabad</v>
      </c>
      <c r="L2107" t="str">
        <f>VLOOKUP(Googleadssales[[#This Row],[Ad_ID]],'[1]pre processed data'!A:S,19,0)</f>
        <v>Mobile</v>
      </c>
      <c r="M2107" t="str">
        <f>VLOOKUP(Googleadssales[[#This Row],[Ad_ID]],'[1]pre processed data'!A:T,20,0)</f>
        <v>data analytics training</v>
      </c>
    </row>
    <row r="2108" spans="1:13" x14ac:dyDescent="0.3">
      <c r="A2108" t="s">
        <v>2121</v>
      </c>
      <c r="B2108" t="s">
        <v>18</v>
      </c>
      <c r="C2108" s="4">
        <f>VLOOKUP(Googleadssales[[#This Row],[Ad_ID]],'[1]pre processed data'!A:C,3,0)</f>
        <v>97</v>
      </c>
      <c r="D2108" s="4">
        <f>VLOOKUP(Googleadssales[[#This Row],[Ad_ID]],'[1]pre processed data'!A:E,5,0)</f>
        <v>3937</v>
      </c>
      <c r="E2108" s="5" t="str">
        <f>VLOOKUP(Googleadssales[[#This Row],[Ad_ID]],[1]!Table3[[Ad_ID]:[Cost-imputed]],7,0)</f>
        <v>$197.37</v>
      </c>
      <c r="F2108" s="4">
        <f>VLOOKUP(Googleadssales[[#This Row],[Ad_ID]],'[1]pre processed data'!A:I,9,0)</f>
        <v>14</v>
      </c>
      <c r="G2108" s="4">
        <f>VLOOKUP(Googleadssales[[#This Row],[Ad_ID]],'[1]pre processed data'!A:K,11,0)</f>
        <v>10</v>
      </c>
      <c r="H2108" s="2">
        <f>Googleadssales[[#This Row],[Conversions]]/Googleadssales[[#This Row],[Clicks]]</f>
        <v>0.10309278350515463</v>
      </c>
      <c r="I2108" t="str">
        <f>VLOOKUP(Googleadssales[[#This Row],[Ad_ID]],'[1]pre processed data'!A:O,15,0)</f>
        <v>$1160</v>
      </c>
      <c r="J2108" s="3">
        <f>VLOOKUP(Googleadssales[[#This Row],[Ad_ID]],'[1]pre processed data'!A:Q,17,0)</f>
        <v>45618</v>
      </c>
      <c r="K2108" t="str">
        <f>VLOOKUP(Googleadssales[[#This Row],[Ad_ID]],'[1]pre processed data'!A:R,18,0)</f>
        <v>Bangaluru</v>
      </c>
      <c r="L2108" t="str">
        <f>VLOOKUP(Googleadssales[[#This Row],[Ad_ID]],'[1]pre processed data'!A:S,19,0)</f>
        <v>Tablet</v>
      </c>
      <c r="M2108" t="str">
        <f>VLOOKUP(Googleadssales[[#This Row],[Ad_ID]],'[1]pre processed data'!A:T,20,0)</f>
        <v>learn data analytics</v>
      </c>
    </row>
    <row r="2109" spans="1:13" x14ac:dyDescent="0.3">
      <c r="A2109" t="s">
        <v>2122</v>
      </c>
      <c r="B2109" t="s">
        <v>14</v>
      </c>
      <c r="C2109" s="4">
        <f>VLOOKUP(Googleadssales[[#This Row],[Ad_ID]],'[1]pre processed data'!A:C,3,0)</f>
        <v>128</v>
      </c>
      <c r="D2109" s="4">
        <f>VLOOKUP(Googleadssales[[#This Row],[Ad_ID]],'[1]pre processed data'!A:E,5,0)</f>
        <v>4175</v>
      </c>
      <c r="E2109" s="5" t="str">
        <f>VLOOKUP(Googleadssales[[#This Row],[Ad_ID]],[1]!Table3[[Ad_ID]:[Cost-imputed]],7,0)</f>
        <v>$200.11</v>
      </c>
      <c r="F2109" s="4">
        <f>VLOOKUP(Googleadssales[[#This Row],[Ad_ID]],'[1]pre processed data'!A:I,9,0)</f>
        <v>12</v>
      </c>
      <c r="G2109" s="4">
        <f>VLOOKUP(Googleadssales[[#This Row],[Ad_ID]],'[1]pre processed data'!A:K,11,0)</f>
        <v>10</v>
      </c>
      <c r="H2109" s="2">
        <f>Googleadssales[[#This Row],[Conversions]]/Googleadssales[[#This Row],[Clicks]]</f>
        <v>7.8125E-2</v>
      </c>
      <c r="I2109" t="str">
        <f>VLOOKUP(Googleadssales[[#This Row],[Ad_ID]],'[1]pre processed data'!A:O,15,0)</f>
        <v>$1599</v>
      </c>
      <c r="J2109" s="3">
        <f>VLOOKUP(Googleadssales[[#This Row],[Ad_ID]],'[1]pre processed data'!A:Q,17,0)</f>
        <v>45616</v>
      </c>
      <c r="K2109" t="str">
        <f>VLOOKUP(Googleadssales[[#This Row],[Ad_ID]],'[1]pre processed data'!A:R,18,0)</f>
        <v>Hyderabad</v>
      </c>
      <c r="L2109" t="str">
        <f>VLOOKUP(Googleadssales[[#This Row],[Ad_ID]],'[1]pre processed data'!A:S,19,0)</f>
        <v>Desktop</v>
      </c>
      <c r="M2109" t="str">
        <f>VLOOKUP(Googleadssales[[#This Row],[Ad_ID]],'[1]pre processed data'!A:T,20,0)</f>
        <v>data analytics online</v>
      </c>
    </row>
    <row r="2110" spans="1:13" x14ac:dyDescent="0.3">
      <c r="A2110" t="s">
        <v>2123</v>
      </c>
      <c r="B2110" t="s">
        <v>14</v>
      </c>
      <c r="C2110" s="4">
        <f>VLOOKUP(Googleadssales[[#This Row],[Ad_ID]],'[1]pre processed data'!A:C,3,0)</f>
        <v>143</v>
      </c>
      <c r="D2110" s="4">
        <f>VLOOKUP(Googleadssales[[#This Row],[Ad_ID]],'[1]pre processed data'!A:E,5,0)</f>
        <v>5780</v>
      </c>
      <c r="E2110" s="5" t="str">
        <f>VLOOKUP(Googleadssales[[#This Row],[Ad_ID]],[1]!Table3[[Ad_ID]:[Cost-imputed]],7,0)</f>
        <v>$237.51</v>
      </c>
      <c r="F2110" s="4">
        <f>VLOOKUP(Googleadssales[[#This Row],[Ad_ID]],'[1]pre processed data'!A:I,9,0)</f>
        <v>24</v>
      </c>
      <c r="G2110" s="4">
        <f>VLOOKUP(Googleadssales[[#This Row],[Ad_ID]],'[1]pre processed data'!A:K,11,0)</f>
        <v>4</v>
      </c>
      <c r="H2110" s="2">
        <f>Googleadssales[[#This Row],[Conversions]]/Googleadssales[[#This Row],[Clicks]]</f>
        <v>2.7972027972027972E-2</v>
      </c>
      <c r="I2110" t="str">
        <f>VLOOKUP(Googleadssales[[#This Row],[Ad_ID]],'[1]pre processed data'!A:O,15,0)</f>
        <v>$1440</v>
      </c>
      <c r="J2110" s="3">
        <f>VLOOKUP(Googleadssales[[#This Row],[Ad_ID]],'[1]pre processed data'!A:Q,17,0)</f>
        <v>45611</v>
      </c>
      <c r="K2110" t="str">
        <f>VLOOKUP(Googleadssales[[#This Row],[Ad_ID]],'[1]pre processed data'!A:R,18,0)</f>
        <v>Chennai</v>
      </c>
      <c r="L2110" t="str">
        <f>VLOOKUP(Googleadssales[[#This Row],[Ad_ID]],'[1]pre processed data'!A:S,19,0)</f>
        <v>Mobile</v>
      </c>
      <c r="M2110" t="str">
        <f>VLOOKUP(Googleadssales[[#This Row],[Ad_ID]],'[1]pre processed data'!A:T,20,0)</f>
        <v>data analytics online</v>
      </c>
    </row>
    <row r="2111" spans="1:13" x14ac:dyDescent="0.3">
      <c r="A2111" t="s">
        <v>2124</v>
      </c>
      <c r="B2111" t="s">
        <v>18</v>
      </c>
      <c r="C2111" s="4">
        <f>VLOOKUP(Googleadssales[[#This Row],[Ad_ID]],'[1]pre processed data'!A:C,3,0)</f>
        <v>138.95699356913184</v>
      </c>
      <c r="D2111" s="4">
        <f>VLOOKUP(Googleadssales[[#This Row],[Ad_ID]],'[1]pre processed data'!A:E,5,0)</f>
        <v>3809</v>
      </c>
      <c r="E2111" s="5" t="str">
        <f>VLOOKUP(Googleadssales[[#This Row],[Ad_ID]],[1]!Table3[[Ad_ID]:[Cost-imputed]],7,0)</f>
        <v>$202.28</v>
      </c>
      <c r="F2111" s="4">
        <f>VLOOKUP(Googleadssales[[#This Row],[Ad_ID]],'[1]pre processed data'!A:I,9,0)</f>
        <v>17</v>
      </c>
      <c r="G2111" s="4">
        <f>VLOOKUP(Googleadssales[[#This Row],[Ad_ID]],'[1]pre processed data'!A:K,11,0)</f>
        <v>9</v>
      </c>
      <c r="H2111" s="2">
        <f>Googleadssales[[#This Row],[Conversions]]/Googleadssales[[#This Row],[Clicks]]</f>
        <v>6.4768240653698753E-2</v>
      </c>
      <c r="I2111" t="str">
        <f>VLOOKUP(Googleadssales[[#This Row],[Ad_ID]],'[1]pre processed data'!A:O,15,0)</f>
        <v>$1031</v>
      </c>
      <c r="J2111" s="3">
        <f>VLOOKUP(Googleadssales[[#This Row],[Ad_ID]],'[1]pre processed data'!A:Q,17,0)</f>
        <v>45613</v>
      </c>
      <c r="K2111" t="str">
        <f>VLOOKUP(Googleadssales[[#This Row],[Ad_ID]],'[1]pre processed data'!A:R,18,0)</f>
        <v>Hyderabad</v>
      </c>
      <c r="L2111" t="str">
        <f>VLOOKUP(Googleadssales[[#This Row],[Ad_ID]],'[1]pre processed data'!A:S,19,0)</f>
        <v>Desktop</v>
      </c>
      <c r="M2111" t="str">
        <f>VLOOKUP(Googleadssales[[#This Row],[Ad_ID]],'[1]pre processed data'!A:T,20,0)</f>
        <v>data analytics course</v>
      </c>
    </row>
    <row r="2112" spans="1:13" x14ac:dyDescent="0.3">
      <c r="A2112" t="s">
        <v>2125</v>
      </c>
      <c r="B2112" t="s">
        <v>14</v>
      </c>
      <c r="C2112" s="4">
        <f>VLOOKUP(Googleadssales[[#This Row],[Ad_ID]],'[1]pre processed data'!A:C,3,0)</f>
        <v>83</v>
      </c>
      <c r="D2112" s="4">
        <f>VLOOKUP(Googleadssales[[#This Row],[Ad_ID]],'[1]pre processed data'!A:E,5,0)</f>
        <v>3684</v>
      </c>
      <c r="E2112" s="5" t="str">
        <f>VLOOKUP(Googleadssales[[#This Row],[Ad_ID]],[1]!Table3[[Ad_ID]:[Cost-imputed]],7,0)</f>
        <v>$203.47</v>
      </c>
      <c r="F2112" s="4">
        <f>VLOOKUP(Googleadssales[[#This Row],[Ad_ID]],'[1]pre processed data'!A:I,9,0)</f>
        <v>20.551867219917014</v>
      </c>
      <c r="G2112" s="4">
        <f>VLOOKUP(Googleadssales[[#This Row],[Ad_ID]],'[1]pre processed data'!A:K,11,0)</f>
        <v>6.5</v>
      </c>
      <c r="H2112" s="2">
        <f>Googleadssales[[#This Row],[Conversions]]/Googleadssales[[#This Row],[Clicks]]</f>
        <v>7.8313253012048195E-2</v>
      </c>
      <c r="I2112" t="str">
        <f>VLOOKUP(Googleadssales[[#This Row],[Ad_ID]],'[1]pre processed data'!A:O,15,0)</f>
        <v>$1805</v>
      </c>
      <c r="J2112" s="3">
        <f>VLOOKUP(Googleadssales[[#This Row],[Ad_ID]],'[1]pre processed data'!A:Q,17,0)</f>
        <v>45613</v>
      </c>
      <c r="K2112" t="str">
        <f>VLOOKUP(Googleadssales[[#This Row],[Ad_ID]],'[1]pre processed data'!A:R,18,0)</f>
        <v>Hyderabad</v>
      </c>
      <c r="L2112" t="str">
        <f>VLOOKUP(Googleadssales[[#This Row],[Ad_ID]],'[1]pre processed data'!A:S,19,0)</f>
        <v>Tablet</v>
      </c>
      <c r="M2112" t="str">
        <f>VLOOKUP(Googleadssales[[#This Row],[Ad_ID]],'[1]pre processed data'!A:T,20,0)</f>
        <v>data analytics course</v>
      </c>
    </row>
    <row r="2113" spans="1:13" x14ac:dyDescent="0.3">
      <c r="A2113" t="s">
        <v>2126</v>
      </c>
      <c r="B2113" t="s">
        <v>14</v>
      </c>
      <c r="C2113" s="4">
        <f>VLOOKUP(Googleadssales[[#This Row],[Ad_ID]],'[1]pre processed data'!A:C,3,0)</f>
        <v>189</v>
      </c>
      <c r="D2113" s="4">
        <f>VLOOKUP(Googleadssales[[#This Row],[Ad_ID]],'[1]pre processed data'!A:E,5,0)</f>
        <v>3226</v>
      </c>
      <c r="E2113" s="5" t="str">
        <f>VLOOKUP(Googleadssales[[#This Row],[Ad_ID]],[1]!Table3[[Ad_ID]:[Cost-imputed]],7,0)</f>
        <v>$236.68</v>
      </c>
      <c r="F2113" s="4">
        <f>VLOOKUP(Googleadssales[[#This Row],[Ad_ID]],'[1]pre processed data'!A:I,9,0)</f>
        <v>14</v>
      </c>
      <c r="G2113" s="4">
        <f>VLOOKUP(Googleadssales[[#This Row],[Ad_ID]],'[1]pre processed data'!A:K,11,0)</f>
        <v>6</v>
      </c>
      <c r="H2113" s="2">
        <f>Googleadssales[[#This Row],[Conversions]]/Googleadssales[[#This Row],[Clicks]]</f>
        <v>3.1746031746031744E-2</v>
      </c>
      <c r="I2113" t="str">
        <f>VLOOKUP(Googleadssales[[#This Row],[Ad_ID]],'[1]pre processed data'!A:O,15,0)</f>
        <v>$1364</v>
      </c>
      <c r="J2113" s="3">
        <f>VLOOKUP(Googleadssales[[#This Row],[Ad_ID]],'[1]pre processed data'!A:Q,17,0)</f>
        <v>45602</v>
      </c>
      <c r="K2113" t="str">
        <f>VLOOKUP(Googleadssales[[#This Row],[Ad_ID]],'[1]pre processed data'!A:R,18,0)</f>
        <v>Hyderabad</v>
      </c>
      <c r="L2113" t="str">
        <f>VLOOKUP(Googleadssales[[#This Row],[Ad_ID]],'[1]pre processed data'!A:S,19,0)</f>
        <v>Tablet</v>
      </c>
      <c r="M2113" t="str">
        <f>VLOOKUP(Googleadssales[[#This Row],[Ad_ID]],'[1]pre processed data'!A:T,20,0)</f>
        <v>analytics for data</v>
      </c>
    </row>
    <row r="2114" spans="1:13" x14ac:dyDescent="0.3">
      <c r="A2114" t="s">
        <v>2127</v>
      </c>
      <c r="B2114" t="s">
        <v>14</v>
      </c>
      <c r="C2114" s="4">
        <f>VLOOKUP(Googleadssales[[#This Row],[Ad_ID]],'[1]pre processed data'!A:C,3,0)</f>
        <v>165</v>
      </c>
      <c r="D2114" s="4">
        <f>VLOOKUP(Googleadssales[[#This Row],[Ad_ID]],'[1]pre processed data'!A:E,5,0)</f>
        <v>4978</v>
      </c>
      <c r="E2114" s="5" t="str">
        <f>VLOOKUP(Googleadssales[[#This Row],[Ad_ID]],[1]!Table3[[Ad_ID]:[Cost-imputed]],7,0)</f>
        <v>$180.25</v>
      </c>
      <c r="F2114" s="4">
        <f>VLOOKUP(Googleadssales[[#This Row],[Ad_ID]],'[1]pre processed data'!A:I,9,0)</f>
        <v>12</v>
      </c>
      <c r="G2114" s="4">
        <f>VLOOKUP(Googleadssales[[#This Row],[Ad_ID]],'[1]pre processed data'!A:K,11,0)</f>
        <v>4</v>
      </c>
      <c r="H2114" s="2">
        <f>Googleadssales[[#This Row],[Conversions]]/Googleadssales[[#This Row],[Clicks]]</f>
        <v>2.4242424242424242E-2</v>
      </c>
      <c r="I2114" t="str">
        <f>VLOOKUP(Googleadssales[[#This Row],[Ad_ID]],'[1]pre processed data'!A:O,15,0)</f>
        <v>$1123</v>
      </c>
      <c r="J2114" s="3">
        <f>VLOOKUP(Googleadssales[[#This Row],[Ad_ID]],'[1]pre processed data'!A:Q,17,0)</f>
        <v>45610</v>
      </c>
      <c r="K2114" t="str">
        <f>VLOOKUP(Googleadssales[[#This Row],[Ad_ID]],'[1]pre processed data'!A:R,18,0)</f>
        <v>Hyderabad</v>
      </c>
      <c r="L2114" t="str">
        <f>VLOOKUP(Googleadssales[[#This Row],[Ad_ID]],'[1]pre processed data'!A:S,19,0)</f>
        <v>Tablet</v>
      </c>
      <c r="M2114" t="str">
        <f>VLOOKUP(Googleadssales[[#This Row],[Ad_ID]],'[1]pre processed data'!A:T,20,0)</f>
        <v>online data analytic</v>
      </c>
    </row>
    <row r="2115" spans="1:13" x14ac:dyDescent="0.3">
      <c r="A2115" t="s">
        <v>2128</v>
      </c>
      <c r="B2115" t="s">
        <v>18</v>
      </c>
      <c r="C2115" s="4">
        <f>VLOOKUP(Googleadssales[[#This Row],[Ad_ID]],'[1]pre processed data'!A:C,3,0)</f>
        <v>172</v>
      </c>
      <c r="D2115" s="4">
        <f>VLOOKUP(Googleadssales[[#This Row],[Ad_ID]],'[1]pre processed data'!A:E,5,0)</f>
        <v>5041</v>
      </c>
      <c r="E2115" s="5" t="str">
        <f>VLOOKUP(Googleadssales[[#This Row],[Ad_ID]],[1]!Table3[[Ad_ID]:[Cost-imputed]],7,0)</f>
        <v>$189.31</v>
      </c>
      <c r="F2115" s="4">
        <f>VLOOKUP(Googleadssales[[#This Row],[Ad_ID]],'[1]pre processed data'!A:I,9,0)</f>
        <v>22</v>
      </c>
      <c r="G2115" s="4">
        <f>VLOOKUP(Googleadssales[[#This Row],[Ad_ID]],'[1]pre processed data'!A:K,11,0)</f>
        <v>10</v>
      </c>
      <c r="H2115" s="2">
        <f>Googleadssales[[#This Row],[Conversions]]/Googleadssales[[#This Row],[Clicks]]</f>
        <v>5.8139534883720929E-2</v>
      </c>
      <c r="I2115" t="str">
        <f>VLOOKUP(Googleadssales[[#This Row],[Ad_ID]],'[1]pre processed data'!A:O,15,0)</f>
        <v>$1645</v>
      </c>
      <c r="J2115" s="3">
        <f>VLOOKUP(Googleadssales[[#This Row],[Ad_ID]],'[1]pre processed data'!A:Q,17,0)</f>
        <v>45603</v>
      </c>
      <c r="K2115" t="str">
        <f>VLOOKUP(Googleadssales[[#This Row],[Ad_ID]],'[1]pre processed data'!A:R,18,0)</f>
        <v>Chennai</v>
      </c>
      <c r="L2115" t="str">
        <f>VLOOKUP(Googleadssales[[#This Row],[Ad_ID]],'[1]pre processed data'!A:S,19,0)</f>
        <v>Mobile</v>
      </c>
      <c r="M2115" t="str">
        <f>VLOOKUP(Googleadssales[[#This Row],[Ad_ID]],'[1]pre processed data'!A:T,20,0)</f>
        <v>data analytics training</v>
      </c>
    </row>
    <row r="2116" spans="1:13" x14ac:dyDescent="0.3">
      <c r="A2116" t="s">
        <v>2129</v>
      </c>
      <c r="B2116" t="s">
        <v>14</v>
      </c>
      <c r="C2116" s="4">
        <f>VLOOKUP(Googleadssales[[#This Row],[Ad_ID]],'[1]pre processed data'!A:C,3,0)</f>
        <v>183</v>
      </c>
      <c r="D2116" s="4">
        <f>VLOOKUP(Googleadssales[[#This Row],[Ad_ID]],'[1]pre processed data'!A:E,5,0)</f>
        <v>4124</v>
      </c>
      <c r="E2116" s="5" t="str">
        <f>VLOOKUP(Googleadssales[[#This Row],[Ad_ID]],[1]!Table3[[Ad_ID]:[Cost-imputed]],7,0)</f>
        <v>$186.66</v>
      </c>
      <c r="F2116" s="4">
        <f>VLOOKUP(Googleadssales[[#This Row],[Ad_ID]],'[1]pre processed data'!A:I,9,0)</f>
        <v>24</v>
      </c>
      <c r="G2116" s="4">
        <f>VLOOKUP(Googleadssales[[#This Row],[Ad_ID]],'[1]pre processed data'!A:K,11,0)</f>
        <v>6</v>
      </c>
      <c r="H2116" s="2">
        <f>Googleadssales[[#This Row],[Conversions]]/Googleadssales[[#This Row],[Clicks]]</f>
        <v>3.2786885245901641E-2</v>
      </c>
      <c r="I2116" t="str">
        <f>VLOOKUP(Googleadssales[[#This Row],[Ad_ID]],'[1]pre processed data'!A:O,15,0)</f>
        <v>$1183</v>
      </c>
      <c r="J2116" s="3">
        <f>VLOOKUP(Googleadssales[[#This Row],[Ad_ID]],'[1]pre processed data'!A:Q,17,0)</f>
        <v>45624</v>
      </c>
      <c r="K2116" t="str">
        <f>VLOOKUP(Googleadssales[[#This Row],[Ad_ID]],'[1]pre processed data'!A:R,18,0)</f>
        <v>Hyderabad</v>
      </c>
      <c r="L2116" t="str">
        <f>VLOOKUP(Googleadssales[[#This Row],[Ad_ID]],'[1]pre processed data'!A:S,19,0)</f>
        <v>Tablet</v>
      </c>
      <c r="M2116" t="str">
        <f>VLOOKUP(Googleadssales[[#This Row],[Ad_ID]],'[1]pre processed data'!A:T,20,0)</f>
        <v>data analytics course</v>
      </c>
    </row>
    <row r="2117" spans="1:13" x14ac:dyDescent="0.3">
      <c r="A2117" t="s">
        <v>2130</v>
      </c>
      <c r="B2117" t="s">
        <v>14</v>
      </c>
      <c r="C2117" s="4">
        <f>VLOOKUP(Googleadssales[[#This Row],[Ad_ID]],'[1]pre processed data'!A:C,3,0)</f>
        <v>196</v>
      </c>
      <c r="D2117" s="4">
        <f>VLOOKUP(Googleadssales[[#This Row],[Ad_ID]],'[1]pre processed data'!A:E,5,0)</f>
        <v>3143</v>
      </c>
      <c r="E2117" s="5" t="str">
        <f>VLOOKUP(Googleadssales[[#This Row],[Ad_ID]],[1]!Table3[[Ad_ID]:[Cost-imputed]],7,0)</f>
        <v>$238.22</v>
      </c>
      <c r="F2117" s="4">
        <f>VLOOKUP(Googleadssales[[#This Row],[Ad_ID]],'[1]pre processed data'!A:I,9,0)</f>
        <v>28</v>
      </c>
      <c r="G2117" s="4">
        <f>VLOOKUP(Googleadssales[[#This Row],[Ad_ID]],'[1]pre processed data'!A:K,11,0)</f>
        <v>7</v>
      </c>
      <c r="H2117" s="2">
        <f>Googleadssales[[#This Row],[Conversions]]/Googleadssales[[#This Row],[Clicks]]</f>
        <v>3.5714285714285712E-2</v>
      </c>
      <c r="I2117" t="str">
        <f>VLOOKUP(Googleadssales[[#This Row],[Ad_ID]],'[1]pre processed data'!A:O,15,0)</f>
        <v>$1234</v>
      </c>
      <c r="J2117" s="3">
        <f>VLOOKUP(Googleadssales[[#This Row],[Ad_ID]],'[1]pre processed data'!A:Q,17,0)</f>
        <v>45604</v>
      </c>
      <c r="K2117" t="str">
        <f>VLOOKUP(Googleadssales[[#This Row],[Ad_ID]],'[1]pre processed data'!A:R,18,0)</f>
        <v>Bangaluru</v>
      </c>
      <c r="L2117" t="str">
        <f>VLOOKUP(Googleadssales[[#This Row],[Ad_ID]],'[1]pre processed data'!A:S,19,0)</f>
        <v>Mobile</v>
      </c>
      <c r="M2117" t="str">
        <f>VLOOKUP(Googleadssales[[#This Row],[Ad_ID]],'[1]pre processed data'!A:T,20,0)</f>
        <v>data analytics online</v>
      </c>
    </row>
    <row r="2118" spans="1:13" x14ac:dyDescent="0.3">
      <c r="A2118" t="s">
        <v>2131</v>
      </c>
      <c r="B2118" t="s">
        <v>14</v>
      </c>
      <c r="C2118" s="4">
        <f>VLOOKUP(Googleadssales[[#This Row],[Ad_ID]],'[1]pre processed data'!A:C,3,0)</f>
        <v>98</v>
      </c>
      <c r="D2118" s="4">
        <f>VLOOKUP(Googleadssales[[#This Row],[Ad_ID]],'[1]pre processed data'!A:E,5,0)</f>
        <v>4505</v>
      </c>
      <c r="E2118" s="5" t="str">
        <f>VLOOKUP(Googleadssales[[#This Row],[Ad_ID]],[1]!Table3[[Ad_ID]:[Cost-imputed]],7,0)</f>
        <v>$209.36</v>
      </c>
      <c r="F2118" s="4">
        <f>VLOOKUP(Googleadssales[[#This Row],[Ad_ID]],'[1]pre processed data'!A:I,9,0)</f>
        <v>27</v>
      </c>
      <c r="G2118" s="4">
        <f>VLOOKUP(Googleadssales[[#This Row],[Ad_ID]],'[1]pre processed data'!A:K,11,0)</f>
        <v>5</v>
      </c>
      <c r="H2118" s="2">
        <f>Googleadssales[[#This Row],[Conversions]]/Googleadssales[[#This Row],[Clicks]]</f>
        <v>5.1020408163265307E-2</v>
      </c>
      <c r="I2118" t="str">
        <f>VLOOKUP(Googleadssales[[#This Row],[Ad_ID]],'[1]pre processed data'!A:O,15,0)</f>
        <v>$1186</v>
      </c>
      <c r="J2118" s="3">
        <f>VLOOKUP(Googleadssales[[#This Row],[Ad_ID]],'[1]pre processed data'!A:Q,17,0)</f>
        <v>45625</v>
      </c>
      <c r="K2118" t="str">
        <f>VLOOKUP(Googleadssales[[#This Row],[Ad_ID]],'[1]pre processed data'!A:R,18,0)</f>
        <v>Hyderabad</v>
      </c>
      <c r="L2118" t="str">
        <f>VLOOKUP(Googleadssales[[#This Row],[Ad_ID]],'[1]pre processed data'!A:S,19,0)</f>
        <v>Tablet</v>
      </c>
      <c r="M2118" t="str">
        <f>VLOOKUP(Googleadssales[[#This Row],[Ad_ID]],'[1]pre processed data'!A:T,20,0)</f>
        <v>learn data analytics</v>
      </c>
    </row>
    <row r="2119" spans="1:13" x14ac:dyDescent="0.3">
      <c r="A2119" t="s">
        <v>2132</v>
      </c>
      <c r="B2119" t="s">
        <v>14</v>
      </c>
      <c r="C2119" s="4">
        <f>VLOOKUP(Googleadssales[[#This Row],[Ad_ID]],'[1]pre processed data'!A:C,3,0)</f>
        <v>158</v>
      </c>
      <c r="D2119" s="4">
        <f>VLOOKUP(Googleadssales[[#This Row],[Ad_ID]],'[1]pre processed data'!A:E,5,0)</f>
        <v>3736</v>
      </c>
      <c r="E2119" s="5" t="str">
        <f>VLOOKUP(Googleadssales[[#This Row],[Ad_ID]],[1]!Table3[[Ad_ID]:[Cost-imputed]],7,0)</f>
        <v>$226.99</v>
      </c>
      <c r="F2119" s="4">
        <f>VLOOKUP(Googleadssales[[#This Row],[Ad_ID]],'[1]pre processed data'!A:I,9,0)</f>
        <v>11</v>
      </c>
      <c r="G2119" s="4">
        <f>VLOOKUP(Googleadssales[[#This Row],[Ad_ID]],'[1]pre processed data'!A:K,11,0)</f>
        <v>8</v>
      </c>
      <c r="H2119" s="2">
        <f>Googleadssales[[#This Row],[Conversions]]/Googleadssales[[#This Row],[Clicks]]</f>
        <v>5.0632911392405063E-2</v>
      </c>
      <c r="I2119" t="str">
        <f>VLOOKUP(Googleadssales[[#This Row],[Ad_ID]],'[1]pre processed data'!A:O,15,0)</f>
        <v>$1606</v>
      </c>
      <c r="J2119" s="3">
        <f>VLOOKUP(Googleadssales[[#This Row],[Ad_ID]],'[1]pre processed data'!A:Q,17,0)</f>
        <v>45625</v>
      </c>
      <c r="K2119" t="str">
        <f>VLOOKUP(Googleadssales[[#This Row],[Ad_ID]],'[1]pre processed data'!A:R,18,0)</f>
        <v>Hyderabad</v>
      </c>
      <c r="L2119" t="str">
        <f>VLOOKUP(Googleadssales[[#This Row],[Ad_ID]],'[1]pre processed data'!A:S,19,0)</f>
        <v>Tablet</v>
      </c>
      <c r="M2119" t="str">
        <f>VLOOKUP(Googleadssales[[#This Row],[Ad_ID]],'[1]pre processed data'!A:T,20,0)</f>
        <v>data analytics training</v>
      </c>
    </row>
    <row r="2120" spans="1:13" x14ac:dyDescent="0.3">
      <c r="A2120" t="s">
        <v>2133</v>
      </c>
      <c r="B2120" t="s">
        <v>18</v>
      </c>
      <c r="C2120" s="4">
        <f>VLOOKUP(Googleadssales[[#This Row],[Ad_ID]],'[1]pre processed data'!A:C,3,0)</f>
        <v>104</v>
      </c>
      <c r="D2120" s="4">
        <f>VLOOKUP(Googleadssales[[#This Row],[Ad_ID]],'[1]pre processed data'!A:E,5,0)</f>
        <v>5949</v>
      </c>
      <c r="E2120" s="5" t="str">
        <f>VLOOKUP(Googleadssales[[#This Row],[Ad_ID]],[1]!Table3[[Ad_ID]:[Cost-imputed]],7,0)</f>
        <v>$216.6</v>
      </c>
      <c r="F2120" s="4">
        <f>VLOOKUP(Googleadssales[[#This Row],[Ad_ID]],'[1]pre processed data'!A:I,9,0)</f>
        <v>28</v>
      </c>
      <c r="G2120" s="4">
        <f>VLOOKUP(Googleadssales[[#This Row],[Ad_ID]],'[1]pre processed data'!A:K,11,0)</f>
        <v>4</v>
      </c>
      <c r="H2120" s="2">
        <f>Googleadssales[[#This Row],[Conversions]]/Googleadssales[[#This Row],[Clicks]]</f>
        <v>3.8461538461538464E-2</v>
      </c>
      <c r="I2120" t="str">
        <f>VLOOKUP(Googleadssales[[#This Row],[Ad_ID]],'[1]pre processed data'!A:O,15,0)</f>
        <v>$1102</v>
      </c>
      <c r="J2120" s="3">
        <f>VLOOKUP(Googleadssales[[#This Row],[Ad_ID]],'[1]pre processed data'!A:Q,17,0)</f>
        <v>45606</v>
      </c>
      <c r="K2120" t="str">
        <f>VLOOKUP(Googleadssales[[#This Row],[Ad_ID]],'[1]pre processed data'!A:R,18,0)</f>
        <v>Hyderabad</v>
      </c>
      <c r="L2120" t="str">
        <f>VLOOKUP(Googleadssales[[#This Row],[Ad_ID]],'[1]pre processed data'!A:S,19,0)</f>
        <v>Mobile</v>
      </c>
      <c r="M2120" t="str">
        <f>VLOOKUP(Googleadssales[[#This Row],[Ad_ID]],'[1]pre processed data'!A:T,20,0)</f>
        <v>analytics for data</v>
      </c>
    </row>
    <row r="2121" spans="1:13" x14ac:dyDescent="0.3">
      <c r="A2121" t="s">
        <v>2134</v>
      </c>
      <c r="B2121" t="s">
        <v>14</v>
      </c>
      <c r="C2121" s="4">
        <f>VLOOKUP(Googleadssales[[#This Row],[Ad_ID]],'[1]pre processed data'!A:C,3,0)</f>
        <v>84</v>
      </c>
      <c r="D2121" s="4">
        <f>VLOOKUP(Googleadssales[[#This Row],[Ad_ID]],'[1]pre processed data'!A:E,5,0)</f>
        <v>4625</v>
      </c>
      <c r="E2121" s="5" t="str">
        <f>VLOOKUP(Googleadssales[[#This Row],[Ad_ID]],[1]!Table3[[Ad_ID]:[Cost-imputed]],7,0)</f>
        <v>$226.02</v>
      </c>
      <c r="F2121" s="4">
        <f>VLOOKUP(Googleadssales[[#This Row],[Ad_ID]],'[1]pre processed data'!A:I,9,0)</f>
        <v>13</v>
      </c>
      <c r="G2121" s="4">
        <f>VLOOKUP(Googleadssales[[#This Row],[Ad_ID]],'[1]pre processed data'!A:K,11,0)</f>
        <v>5</v>
      </c>
      <c r="H2121" s="2">
        <f>Googleadssales[[#This Row],[Conversions]]/Googleadssales[[#This Row],[Clicks]]</f>
        <v>5.9523809523809521E-2</v>
      </c>
      <c r="I2121" t="str">
        <f>VLOOKUP(Googleadssales[[#This Row],[Ad_ID]],'[1]pre processed data'!A:O,15,0)</f>
        <v>$1969</v>
      </c>
      <c r="J2121" s="3">
        <f>VLOOKUP(Googleadssales[[#This Row],[Ad_ID]],'[1]pre processed data'!A:Q,17,0)</f>
        <v>45610</v>
      </c>
      <c r="K2121" t="str">
        <f>VLOOKUP(Googleadssales[[#This Row],[Ad_ID]],'[1]pre processed data'!A:R,18,0)</f>
        <v>Bangaluru</v>
      </c>
      <c r="L2121" t="str">
        <f>VLOOKUP(Googleadssales[[#This Row],[Ad_ID]],'[1]pre processed data'!A:S,19,0)</f>
        <v>Desktop</v>
      </c>
      <c r="M2121" t="str">
        <f>VLOOKUP(Googleadssales[[#This Row],[Ad_ID]],'[1]pre processed data'!A:T,20,0)</f>
        <v>online data analytic</v>
      </c>
    </row>
    <row r="2122" spans="1:13" x14ac:dyDescent="0.3">
      <c r="A2122" t="s">
        <v>2135</v>
      </c>
      <c r="B2122" t="s">
        <v>14</v>
      </c>
      <c r="C2122" s="4">
        <f>VLOOKUP(Googleadssales[[#This Row],[Ad_ID]],'[1]pre processed data'!A:C,3,0)</f>
        <v>128</v>
      </c>
      <c r="D2122" s="4">
        <f>VLOOKUP(Googleadssales[[#This Row],[Ad_ID]],'[1]pre processed data'!A:E,5,0)</f>
        <v>5022</v>
      </c>
      <c r="E2122" s="5" t="str">
        <f>VLOOKUP(Googleadssales[[#This Row],[Ad_ID]],[1]!Table3[[Ad_ID]:[Cost-imputed]],7,0)</f>
        <v>$188.96</v>
      </c>
      <c r="F2122" s="4">
        <f>VLOOKUP(Googleadssales[[#This Row],[Ad_ID]],'[1]pre processed data'!A:I,9,0)</f>
        <v>26</v>
      </c>
      <c r="G2122" s="4">
        <f>VLOOKUP(Googleadssales[[#This Row],[Ad_ID]],'[1]pre processed data'!A:K,11,0)</f>
        <v>6</v>
      </c>
      <c r="H2122" s="2">
        <f>Googleadssales[[#This Row],[Conversions]]/Googleadssales[[#This Row],[Clicks]]</f>
        <v>4.6875E-2</v>
      </c>
      <c r="I2122" t="str">
        <f>VLOOKUP(Googleadssales[[#This Row],[Ad_ID]],'[1]pre processed data'!A:O,15,0)</f>
        <v>$1108</v>
      </c>
      <c r="J2122" s="3">
        <f>VLOOKUP(Googleadssales[[#This Row],[Ad_ID]],'[1]pre processed data'!A:Q,17,0)</f>
        <v>45598</v>
      </c>
      <c r="K2122" t="str">
        <f>VLOOKUP(Googleadssales[[#This Row],[Ad_ID]],'[1]pre processed data'!A:R,18,0)</f>
        <v>Hyderabad</v>
      </c>
      <c r="L2122" t="str">
        <f>VLOOKUP(Googleadssales[[#This Row],[Ad_ID]],'[1]pre processed data'!A:S,19,0)</f>
        <v>Mobile</v>
      </c>
      <c r="M2122" t="str">
        <f>VLOOKUP(Googleadssales[[#This Row],[Ad_ID]],'[1]pre processed data'!A:T,20,0)</f>
        <v>data analytics training</v>
      </c>
    </row>
    <row r="2123" spans="1:13" x14ac:dyDescent="0.3">
      <c r="A2123" t="s">
        <v>2136</v>
      </c>
      <c r="B2123" t="s">
        <v>14</v>
      </c>
      <c r="C2123" s="4">
        <f>VLOOKUP(Googleadssales[[#This Row],[Ad_ID]],'[1]pre processed data'!A:C,3,0)</f>
        <v>99</v>
      </c>
      <c r="D2123" s="4">
        <f>VLOOKUP(Googleadssales[[#This Row],[Ad_ID]],'[1]pre processed data'!A:E,5,0)</f>
        <v>5483</v>
      </c>
      <c r="E2123" s="5" t="str">
        <f>VLOOKUP(Googleadssales[[#This Row],[Ad_ID]],[1]!Table3[[Ad_ID]:[Cost-imputed]],7,0)</f>
        <v>$180.04</v>
      </c>
      <c r="F2123" s="4">
        <f>VLOOKUP(Googleadssales[[#This Row],[Ad_ID]],'[1]pre processed data'!A:I,9,0)</f>
        <v>20.552966101694917</v>
      </c>
      <c r="G2123" s="4">
        <f>VLOOKUP(Googleadssales[[#This Row],[Ad_ID]],'[1]pre processed data'!A:K,11,0)</f>
        <v>5</v>
      </c>
      <c r="H2123" s="2">
        <f>Googleadssales[[#This Row],[Conversions]]/Googleadssales[[#This Row],[Clicks]]</f>
        <v>5.0505050505050504E-2</v>
      </c>
      <c r="I2123" t="str">
        <f>VLOOKUP(Googleadssales[[#This Row],[Ad_ID]],'[1]pre processed data'!A:O,15,0)</f>
        <v>$1687</v>
      </c>
      <c r="J2123" s="3">
        <f>VLOOKUP(Googleadssales[[#This Row],[Ad_ID]],'[1]pre processed data'!A:Q,17,0)</f>
        <v>45600</v>
      </c>
      <c r="K2123" t="str">
        <f>VLOOKUP(Googleadssales[[#This Row],[Ad_ID]],'[1]pre processed data'!A:R,18,0)</f>
        <v>Hyderabad</v>
      </c>
      <c r="L2123" t="str">
        <f>VLOOKUP(Googleadssales[[#This Row],[Ad_ID]],'[1]pre processed data'!A:S,19,0)</f>
        <v>Desktop</v>
      </c>
      <c r="M2123" t="str">
        <f>VLOOKUP(Googleadssales[[#This Row],[Ad_ID]],'[1]pre processed data'!A:T,20,0)</f>
        <v>analytics for data</v>
      </c>
    </row>
    <row r="2124" spans="1:13" x14ac:dyDescent="0.3">
      <c r="A2124" t="s">
        <v>2137</v>
      </c>
      <c r="B2124" t="s">
        <v>18</v>
      </c>
      <c r="C2124" s="4">
        <f>VLOOKUP(Googleadssales[[#This Row],[Ad_ID]],'[1]pre processed data'!A:C,3,0)</f>
        <v>107</v>
      </c>
      <c r="D2124" s="4">
        <f>VLOOKUP(Googleadssales[[#This Row],[Ad_ID]],'[1]pre processed data'!A:E,5,0)</f>
        <v>5491</v>
      </c>
      <c r="E2124" s="5" t="str">
        <f>VLOOKUP(Googleadssales[[#This Row],[Ad_ID]],[1]!Table3[[Ad_ID]:[Cost-imputed]],7,0)</f>
        <v>$217.98</v>
      </c>
      <c r="F2124" s="4">
        <f>VLOOKUP(Googleadssales[[#This Row],[Ad_ID]],'[1]pre processed data'!A:I,9,0)</f>
        <v>17</v>
      </c>
      <c r="G2124" s="4">
        <f>VLOOKUP(Googleadssales[[#This Row],[Ad_ID]],'[1]pre processed data'!A:K,11,0)</f>
        <v>10</v>
      </c>
      <c r="H2124" s="2">
        <f>Googleadssales[[#This Row],[Conversions]]/Googleadssales[[#This Row],[Clicks]]</f>
        <v>9.3457943925233641E-2</v>
      </c>
      <c r="I2124" t="str">
        <f>VLOOKUP(Googleadssales[[#This Row],[Ad_ID]],'[1]pre processed data'!A:O,15,0)</f>
        <v>$1480</v>
      </c>
      <c r="J2124" s="3">
        <f>VLOOKUP(Googleadssales[[#This Row],[Ad_ID]],'[1]pre processed data'!A:Q,17,0)</f>
        <v>45607</v>
      </c>
      <c r="K2124" t="str">
        <f>VLOOKUP(Googleadssales[[#This Row],[Ad_ID]],'[1]pre processed data'!A:R,18,0)</f>
        <v>Hyderabad</v>
      </c>
      <c r="L2124" t="str">
        <f>VLOOKUP(Googleadssales[[#This Row],[Ad_ID]],'[1]pre processed data'!A:S,19,0)</f>
        <v>Mobile</v>
      </c>
      <c r="M2124" t="str">
        <f>VLOOKUP(Googleadssales[[#This Row],[Ad_ID]],'[1]pre processed data'!A:T,20,0)</f>
        <v>online data analytic</v>
      </c>
    </row>
    <row r="2125" spans="1:13" x14ac:dyDescent="0.3">
      <c r="A2125" t="s">
        <v>2138</v>
      </c>
      <c r="B2125" t="s">
        <v>14</v>
      </c>
      <c r="C2125" s="4">
        <f>VLOOKUP(Googleadssales[[#This Row],[Ad_ID]],'[1]pre processed data'!A:C,3,0)</f>
        <v>86</v>
      </c>
      <c r="D2125" s="4">
        <f>VLOOKUP(Googleadssales[[#This Row],[Ad_ID]],'[1]pre processed data'!A:E,5,0)</f>
        <v>4078</v>
      </c>
      <c r="E2125" s="5" t="str">
        <f>VLOOKUP(Googleadssales[[#This Row],[Ad_ID]],[1]!Table3[[Ad_ID]:[Cost-imputed]],7,0)</f>
        <v>$208.92</v>
      </c>
      <c r="F2125" s="4">
        <f>VLOOKUP(Googleadssales[[#This Row],[Ad_ID]],'[1]pre processed data'!A:I,9,0)</f>
        <v>26</v>
      </c>
      <c r="G2125" s="4">
        <f>VLOOKUP(Googleadssales[[#This Row],[Ad_ID]],'[1]pre processed data'!A:K,11,0)</f>
        <v>3</v>
      </c>
      <c r="H2125" s="2">
        <f>Googleadssales[[#This Row],[Conversions]]/Googleadssales[[#This Row],[Clicks]]</f>
        <v>3.4883720930232558E-2</v>
      </c>
      <c r="I2125" t="str">
        <f>VLOOKUP(Googleadssales[[#This Row],[Ad_ID]],'[1]pre processed data'!A:O,15,0)</f>
        <v>$1698</v>
      </c>
      <c r="J2125" s="3">
        <f>VLOOKUP(Googleadssales[[#This Row],[Ad_ID]],'[1]pre processed data'!A:Q,17,0)</f>
        <v>45602</v>
      </c>
      <c r="K2125" t="str">
        <f>VLOOKUP(Googleadssales[[#This Row],[Ad_ID]],'[1]pre processed data'!A:R,18,0)</f>
        <v>Chennai</v>
      </c>
      <c r="L2125" t="str">
        <f>VLOOKUP(Googleadssales[[#This Row],[Ad_ID]],'[1]pre processed data'!A:S,19,0)</f>
        <v>Mobile</v>
      </c>
      <c r="M2125" t="str">
        <f>VLOOKUP(Googleadssales[[#This Row],[Ad_ID]],'[1]pre processed data'!A:T,20,0)</f>
        <v>data analytics course</v>
      </c>
    </row>
    <row r="2126" spans="1:13" x14ac:dyDescent="0.3">
      <c r="A2126" t="s">
        <v>2139</v>
      </c>
      <c r="B2126" t="s">
        <v>18</v>
      </c>
      <c r="C2126" s="4">
        <f>VLOOKUP(Googleadssales[[#This Row],[Ad_ID]],'[1]pre processed data'!A:C,3,0)</f>
        <v>138.95699356913184</v>
      </c>
      <c r="D2126" s="4">
        <f>VLOOKUP(Googleadssales[[#This Row],[Ad_ID]],'[1]pre processed data'!A:E,5,0)</f>
        <v>3052</v>
      </c>
      <c r="E2126" s="5" t="str">
        <f>VLOOKUP(Googleadssales[[#This Row],[Ad_ID]],[1]!Table3[[Ad_ID]:[Cost-imputed]],7,0)</f>
        <v>$245.45</v>
      </c>
      <c r="F2126" s="4">
        <f>VLOOKUP(Googleadssales[[#This Row],[Ad_ID]],'[1]pre processed data'!A:I,9,0)</f>
        <v>24</v>
      </c>
      <c r="G2126" s="4">
        <f>VLOOKUP(Googleadssales[[#This Row],[Ad_ID]],'[1]pre processed data'!A:K,11,0)</f>
        <v>6</v>
      </c>
      <c r="H2126" s="2">
        <f>Googleadssales[[#This Row],[Conversions]]/Googleadssales[[#This Row],[Clicks]]</f>
        <v>4.317882710246583E-2</v>
      </c>
      <c r="I2126" t="str">
        <f>VLOOKUP(Googleadssales[[#This Row],[Ad_ID]],'[1]pre processed data'!A:O,15,0)</f>
        <v>$1769</v>
      </c>
      <c r="J2126" s="3">
        <f>VLOOKUP(Googleadssales[[#This Row],[Ad_ID]],'[1]pre processed data'!A:Q,17,0)</f>
        <v>45624</v>
      </c>
      <c r="K2126" t="str">
        <f>VLOOKUP(Googleadssales[[#This Row],[Ad_ID]],'[1]pre processed data'!A:R,18,0)</f>
        <v>Hyderabad</v>
      </c>
      <c r="L2126" t="str">
        <f>VLOOKUP(Googleadssales[[#This Row],[Ad_ID]],'[1]pre processed data'!A:S,19,0)</f>
        <v>Desktop</v>
      </c>
      <c r="M2126" t="str">
        <f>VLOOKUP(Googleadssales[[#This Row],[Ad_ID]],'[1]pre processed data'!A:T,20,0)</f>
        <v>data analytics online</v>
      </c>
    </row>
    <row r="2127" spans="1:13" x14ac:dyDescent="0.3">
      <c r="A2127" t="s">
        <v>2140</v>
      </c>
      <c r="B2127" t="s">
        <v>14</v>
      </c>
      <c r="C2127" s="4">
        <f>VLOOKUP(Googleadssales[[#This Row],[Ad_ID]],'[1]pre processed data'!A:C,3,0)</f>
        <v>88</v>
      </c>
      <c r="D2127" s="4">
        <f>VLOOKUP(Googleadssales[[#This Row],[Ad_ID]],'[1]pre processed data'!A:E,5,0)</f>
        <v>3708</v>
      </c>
      <c r="E2127" s="5" t="str">
        <f>VLOOKUP(Googleadssales[[#This Row],[Ad_ID]],[1]!Table3[[Ad_ID]:[Cost-imputed]],7,0)</f>
        <v>$225.76</v>
      </c>
      <c r="F2127" s="4">
        <f>VLOOKUP(Googleadssales[[#This Row],[Ad_ID]],'[1]pre processed data'!A:I,9,0)</f>
        <v>10</v>
      </c>
      <c r="G2127" s="4">
        <f>VLOOKUP(Googleadssales[[#This Row],[Ad_ID]],'[1]pre processed data'!A:K,11,0)</f>
        <v>5</v>
      </c>
      <c r="H2127" s="2">
        <f>Googleadssales[[#This Row],[Conversions]]/Googleadssales[[#This Row],[Clicks]]</f>
        <v>5.6818181818181816E-2</v>
      </c>
      <c r="I2127" t="str">
        <f>VLOOKUP(Googleadssales[[#This Row],[Ad_ID]],'[1]pre processed data'!A:O,15,0)</f>
        <v>$1667</v>
      </c>
      <c r="J2127" s="3">
        <f>VLOOKUP(Googleadssales[[#This Row],[Ad_ID]],'[1]pre processed data'!A:Q,17,0)</f>
        <v>45608</v>
      </c>
      <c r="K2127" t="str">
        <f>VLOOKUP(Googleadssales[[#This Row],[Ad_ID]],'[1]pre processed data'!A:R,18,0)</f>
        <v>Hyderabad</v>
      </c>
      <c r="L2127" t="str">
        <f>VLOOKUP(Googleadssales[[#This Row],[Ad_ID]],'[1]pre processed data'!A:S,19,0)</f>
        <v>Tablet</v>
      </c>
      <c r="M2127" t="str">
        <f>VLOOKUP(Googleadssales[[#This Row],[Ad_ID]],'[1]pre processed data'!A:T,20,0)</f>
        <v>data analytics training</v>
      </c>
    </row>
    <row r="2128" spans="1:13" x14ac:dyDescent="0.3">
      <c r="A2128" t="s">
        <v>2141</v>
      </c>
      <c r="B2128" t="s">
        <v>14</v>
      </c>
      <c r="C2128" s="4">
        <f>VLOOKUP(Googleadssales[[#This Row],[Ad_ID]],'[1]pre processed data'!A:C,3,0)</f>
        <v>141</v>
      </c>
      <c r="D2128" s="4">
        <f>VLOOKUP(Googleadssales[[#This Row],[Ad_ID]],'[1]pre processed data'!A:E,5,0)</f>
        <v>5314</v>
      </c>
      <c r="E2128" s="5" t="str">
        <f>VLOOKUP(Googleadssales[[#This Row],[Ad_ID]],[1]!Table3[[Ad_ID]:[Cost-imputed]],7,0)</f>
        <v>$184.34</v>
      </c>
      <c r="F2128" s="4">
        <f>VLOOKUP(Googleadssales[[#This Row],[Ad_ID]],'[1]pre processed data'!A:I,9,0)</f>
        <v>29</v>
      </c>
      <c r="G2128" s="4">
        <f>VLOOKUP(Googleadssales[[#This Row],[Ad_ID]],'[1]pre processed data'!A:K,11,0)</f>
        <v>10</v>
      </c>
      <c r="H2128" s="2">
        <f>Googleadssales[[#This Row],[Conversions]]/Googleadssales[[#This Row],[Clicks]]</f>
        <v>7.0921985815602842E-2</v>
      </c>
      <c r="I2128" t="str">
        <f>VLOOKUP(Googleadssales[[#This Row],[Ad_ID]],'[1]pre processed data'!A:O,15,0)</f>
        <v>$1271</v>
      </c>
      <c r="J2128" s="3">
        <f>VLOOKUP(Googleadssales[[#This Row],[Ad_ID]],'[1]pre processed data'!A:Q,17,0)</f>
        <v>45615</v>
      </c>
      <c r="K2128" t="str">
        <f>VLOOKUP(Googleadssales[[#This Row],[Ad_ID]],'[1]pre processed data'!A:R,18,0)</f>
        <v>Hyderabad</v>
      </c>
      <c r="L2128" t="str">
        <f>VLOOKUP(Googleadssales[[#This Row],[Ad_ID]],'[1]pre processed data'!A:S,19,0)</f>
        <v>Mobile</v>
      </c>
      <c r="M2128" t="str">
        <f>VLOOKUP(Googleadssales[[#This Row],[Ad_ID]],'[1]pre processed data'!A:T,20,0)</f>
        <v>online data analytic</v>
      </c>
    </row>
    <row r="2129" spans="1:13" x14ac:dyDescent="0.3">
      <c r="A2129" t="s">
        <v>2142</v>
      </c>
      <c r="B2129" t="s">
        <v>14</v>
      </c>
      <c r="C2129" s="4">
        <f>VLOOKUP(Googleadssales[[#This Row],[Ad_ID]],'[1]pre processed data'!A:C,3,0)</f>
        <v>193</v>
      </c>
      <c r="D2129" s="4">
        <f>VLOOKUP(Googleadssales[[#This Row],[Ad_ID]],'[1]pre processed data'!A:E,5,0)</f>
        <v>3566</v>
      </c>
      <c r="E2129" s="5" t="str">
        <f>VLOOKUP(Googleadssales[[#This Row],[Ad_ID]],[1]!Table3[[Ad_ID]:[Cost-imputed]],7,0)</f>
        <v>$212.73</v>
      </c>
      <c r="F2129" s="4">
        <f>VLOOKUP(Googleadssales[[#This Row],[Ad_ID]],'[1]pre processed data'!A:I,9,0)</f>
        <v>19</v>
      </c>
      <c r="G2129" s="4">
        <f>VLOOKUP(Googleadssales[[#This Row],[Ad_ID]],'[1]pre processed data'!A:K,11,0)</f>
        <v>7</v>
      </c>
      <c r="H2129" s="2">
        <f>Googleadssales[[#This Row],[Conversions]]/Googleadssales[[#This Row],[Clicks]]</f>
        <v>3.6269430051813469E-2</v>
      </c>
      <c r="I2129" t="str">
        <f>VLOOKUP(Googleadssales[[#This Row],[Ad_ID]],'[1]pre processed data'!A:O,15,0)</f>
        <v>$1311</v>
      </c>
      <c r="J2129" s="3">
        <f>VLOOKUP(Googleadssales[[#This Row],[Ad_ID]],'[1]pre processed data'!A:Q,17,0)</f>
        <v>45600</v>
      </c>
      <c r="K2129" t="str">
        <f>VLOOKUP(Googleadssales[[#This Row],[Ad_ID]],'[1]pre processed data'!A:R,18,0)</f>
        <v>Hyderabad</v>
      </c>
      <c r="L2129" t="str">
        <f>VLOOKUP(Googleadssales[[#This Row],[Ad_ID]],'[1]pre processed data'!A:S,19,0)</f>
        <v>Desktop</v>
      </c>
      <c r="M2129" t="str">
        <f>VLOOKUP(Googleadssales[[#This Row],[Ad_ID]],'[1]pre processed data'!A:T,20,0)</f>
        <v>data analytics online</v>
      </c>
    </row>
    <row r="2130" spans="1:13" x14ac:dyDescent="0.3">
      <c r="A2130" t="s">
        <v>2143</v>
      </c>
      <c r="B2130" t="s">
        <v>14</v>
      </c>
      <c r="C2130" s="4">
        <f>VLOOKUP(Googleadssales[[#This Row],[Ad_ID]],'[1]pre processed data'!A:C,3,0)</f>
        <v>185</v>
      </c>
      <c r="D2130" s="4">
        <f>VLOOKUP(Googleadssales[[#This Row],[Ad_ID]],'[1]pre processed data'!A:E,5,0)</f>
        <v>4839</v>
      </c>
      <c r="E2130" s="5" t="str">
        <f>VLOOKUP(Googleadssales[[#This Row],[Ad_ID]],[1]!Table3[[Ad_ID]:[Cost-imputed]],7,0)</f>
        <v>$193.99</v>
      </c>
      <c r="F2130" s="4">
        <f>VLOOKUP(Googleadssales[[#This Row],[Ad_ID]],'[1]pre processed data'!A:I,9,0)</f>
        <v>26</v>
      </c>
      <c r="G2130" s="4">
        <f>VLOOKUP(Googleadssales[[#This Row],[Ad_ID]],'[1]pre processed data'!A:K,11,0)</f>
        <v>6</v>
      </c>
      <c r="H2130" s="2">
        <f>Googleadssales[[#This Row],[Conversions]]/Googleadssales[[#This Row],[Clicks]]</f>
        <v>3.2432432432432434E-2</v>
      </c>
      <c r="I2130" t="str">
        <f>VLOOKUP(Googleadssales[[#This Row],[Ad_ID]],'[1]pre processed data'!A:O,15,0)</f>
        <v>$1492</v>
      </c>
      <c r="J2130" s="3">
        <f>VLOOKUP(Googleadssales[[#This Row],[Ad_ID]],'[1]pre processed data'!A:Q,17,0)</f>
        <v>45600</v>
      </c>
      <c r="K2130" t="str">
        <f>VLOOKUP(Googleadssales[[#This Row],[Ad_ID]],'[1]pre processed data'!A:R,18,0)</f>
        <v>Hyderabad</v>
      </c>
      <c r="L2130" t="str">
        <f>VLOOKUP(Googleadssales[[#This Row],[Ad_ID]],'[1]pre processed data'!A:S,19,0)</f>
        <v>Desktop</v>
      </c>
      <c r="M2130" t="str">
        <f>VLOOKUP(Googleadssales[[#This Row],[Ad_ID]],'[1]pre processed data'!A:T,20,0)</f>
        <v>data analytics training</v>
      </c>
    </row>
    <row r="2131" spans="1:13" x14ac:dyDescent="0.3">
      <c r="A2131" t="s">
        <v>2144</v>
      </c>
      <c r="B2131" t="s">
        <v>18</v>
      </c>
      <c r="C2131" s="4">
        <f>VLOOKUP(Googleadssales[[#This Row],[Ad_ID]],'[1]pre processed data'!A:C,3,0)</f>
        <v>117</v>
      </c>
      <c r="D2131" s="4">
        <f>VLOOKUP(Googleadssales[[#This Row],[Ad_ID]],'[1]pre processed data'!A:E,5,0)</f>
        <v>5145</v>
      </c>
      <c r="E2131" s="5" t="str">
        <f>VLOOKUP(Googleadssales[[#This Row],[Ad_ID]],[1]!Table3[[Ad_ID]:[Cost-imputed]],7,0)</f>
        <v>$244.44</v>
      </c>
      <c r="F2131" s="4">
        <f>VLOOKUP(Googleadssales[[#This Row],[Ad_ID]],'[1]pre processed data'!A:I,9,0)</f>
        <v>12</v>
      </c>
      <c r="G2131" s="4">
        <f>VLOOKUP(Googleadssales[[#This Row],[Ad_ID]],'[1]pre processed data'!A:K,11,0)</f>
        <v>8</v>
      </c>
      <c r="H2131" s="2">
        <f>Googleadssales[[#This Row],[Conversions]]/Googleadssales[[#This Row],[Clicks]]</f>
        <v>6.8376068376068383E-2</v>
      </c>
      <c r="I2131" t="str">
        <f>VLOOKUP(Googleadssales[[#This Row],[Ad_ID]],'[1]pre processed data'!A:O,15,0)</f>
        <v>$1500</v>
      </c>
      <c r="J2131" s="3">
        <f>VLOOKUP(Googleadssales[[#This Row],[Ad_ID]],'[1]pre processed data'!A:Q,17,0)</f>
        <v>45606</v>
      </c>
      <c r="K2131" t="str">
        <f>VLOOKUP(Googleadssales[[#This Row],[Ad_ID]],'[1]pre processed data'!A:R,18,0)</f>
        <v>Bangaluru</v>
      </c>
      <c r="L2131" t="str">
        <f>VLOOKUP(Googleadssales[[#This Row],[Ad_ID]],'[1]pre processed data'!A:S,19,0)</f>
        <v>Mobile</v>
      </c>
      <c r="M2131" t="str">
        <f>VLOOKUP(Googleadssales[[#This Row],[Ad_ID]],'[1]pre processed data'!A:T,20,0)</f>
        <v>data analytics online</v>
      </c>
    </row>
    <row r="2132" spans="1:13" x14ac:dyDescent="0.3">
      <c r="A2132" t="s">
        <v>2145</v>
      </c>
      <c r="B2132" t="s">
        <v>14</v>
      </c>
      <c r="C2132" s="4">
        <f>VLOOKUP(Googleadssales[[#This Row],[Ad_ID]],'[1]pre processed data'!A:C,3,0)</f>
        <v>147</v>
      </c>
      <c r="D2132" s="4">
        <f>VLOOKUP(Googleadssales[[#This Row],[Ad_ID]],'[1]pre processed data'!A:E,5,0)</f>
        <v>4371</v>
      </c>
      <c r="E2132" s="5" t="str">
        <f>VLOOKUP(Googleadssales[[#This Row],[Ad_ID]],[1]!Table3[[Ad_ID]:[Cost-imputed]],7,0)</f>
        <v>$243.04</v>
      </c>
      <c r="F2132" s="4">
        <f>VLOOKUP(Googleadssales[[#This Row],[Ad_ID]],'[1]pre processed data'!A:I,9,0)</f>
        <v>26</v>
      </c>
      <c r="G2132" s="4">
        <f>VLOOKUP(Googleadssales[[#This Row],[Ad_ID]],'[1]pre processed data'!A:K,11,0)</f>
        <v>9</v>
      </c>
      <c r="H2132" s="2">
        <f>Googleadssales[[#This Row],[Conversions]]/Googleadssales[[#This Row],[Clicks]]</f>
        <v>6.1224489795918366E-2</v>
      </c>
      <c r="I2132" t="str">
        <f>VLOOKUP(Googleadssales[[#This Row],[Ad_ID]],'[1]pre processed data'!A:O,15,0)</f>
        <v>$1776</v>
      </c>
      <c r="J2132" s="3">
        <f>VLOOKUP(Googleadssales[[#This Row],[Ad_ID]],'[1]pre processed data'!A:Q,17,0)</f>
        <v>45614</v>
      </c>
      <c r="K2132" t="str">
        <f>VLOOKUP(Googleadssales[[#This Row],[Ad_ID]],'[1]pre processed data'!A:R,18,0)</f>
        <v>Hyderabad</v>
      </c>
      <c r="L2132" t="str">
        <f>VLOOKUP(Googleadssales[[#This Row],[Ad_ID]],'[1]pre processed data'!A:S,19,0)</f>
        <v>Desktop</v>
      </c>
      <c r="M2132" t="str">
        <f>VLOOKUP(Googleadssales[[#This Row],[Ad_ID]],'[1]pre processed data'!A:T,20,0)</f>
        <v>online data analytic</v>
      </c>
    </row>
    <row r="2133" spans="1:13" x14ac:dyDescent="0.3">
      <c r="A2133" t="s">
        <v>2146</v>
      </c>
      <c r="B2133" t="s">
        <v>14</v>
      </c>
      <c r="C2133" s="4">
        <f>VLOOKUP(Googleadssales[[#This Row],[Ad_ID]],'[1]pre processed data'!A:C,3,0)</f>
        <v>197</v>
      </c>
      <c r="D2133" s="4">
        <f>VLOOKUP(Googleadssales[[#This Row],[Ad_ID]],'[1]pre processed data'!A:E,5,0)</f>
        <v>5697</v>
      </c>
      <c r="E2133" s="5" t="str">
        <f>VLOOKUP(Googleadssales[[#This Row],[Ad_ID]],[1]!Table3[[Ad_ID]:[Cost-imputed]],7,0)</f>
        <v>$243.72</v>
      </c>
      <c r="F2133" s="4">
        <f>VLOOKUP(Googleadssales[[#This Row],[Ad_ID]],'[1]pre processed data'!A:I,9,0)</f>
        <v>13</v>
      </c>
      <c r="G2133" s="4">
        <f>VLOOKUP(Googleadssales[[#This Row],[Ad_ID]],'[1]pre processed data'!A:K,11,0)</f>
        <v>3</v>
      </c>
      <c r="H2133" s="2">
        <f>Googleadssales[[#This Row],[Conversions]]/Googleadssales[[#This Row],[Clicks]]</f>
        <v>1.5228426395939087E-2</v>
      </c>
      <c r="I2133" t="str">
        <f>VLOOKUP(Googleadssales[[#This Row],[Ad_ID]],'[1]pre processed data'!A:O,15,0)</f>
        <v>$1154</v>
      </c>
      <c r="J2133" s="3">
        <f>VLOOKUP(Googleadssales[[#This Row],[Ad_ID]],'[1]pre processed data'!A:Q,17,0)</f>
        <v>45602</v>
      </c>
      <c r="K2133" t="str">
        <f>VLOOKUP(Googleadssales[[#This Row],[Ad_ID]],'[1]pre processed data'!A:R,18,0)</f>
        <v>Bangaluru</v>
      </c>
      <c r="L2133" t="str">
        <f>VLOOKUP(Googleadssales[[#This Row],[Ad_ID]],'[1]pre processed data'!A:S,19,0)</f>
        <v>Mobile</v>
      </c>
      <c r="M2133" t="str">
        <f>VLOOKUP(Googleadssales[[#This Row],[Ad_ID]],'[1]pre processed data'!A:T,20,0)</f>
        <v>learn data analytics</v>
      </c>
    </row>
    <row r="2134" spans="1:13" x14ac:dyDescent="0.3">
      <c r="A2134" t="s">
        <v>2147</v>
      </c>
      <c r="B2134" t="s">
        <v>14</v>
      </c>
      <c r="C2134" s="4">
        <f>VLOOKUP(Googleadssales[[#This Row],[Ad_ID]],'[1]pre processed data'!A:C,3,0)</f>
        <v>81</v>
      </c>
      <c r="D2134" s="4">
        <f>VLOOKUP(Googleadssales[[#This Row],[Ad_ID]],'[1]pre processed data'!A:E,5,0)</f>
        <v>3096</v>
      </c>
      <c r="E2134" s="5" t="str">
        <f>VLOOKUP(Googleadssales[[#This Row],[Ad_ID]],[1]!Table3[[Ad_ID]:[Cost-imputed]],7,0)</f>
        <v>$228.47</v>
      </c>
      <c r="F2134" s="4">
        <f>VLOOKUP(Googleadssales[[#This Row],[Ad_ID]],'[1]pre processed data'!A:I,9,0)</f>
        <v>22</v>
      </c>
      <c r="G2134" s="4">
        <f>VLOOKUP(Googleadssales[[#This Row],[Ad_ID]],'[1]pre processed data'!A:K,11,0)</f>
        <v>3</v>
      </c>
      <c r="H2134" s="2">
        <f>Googleadssales[[#This Row],[Conversions]]/Googleadssales[[#This Row],[Clicks]]</f>
        <v>3.7037037037037035E-2</v>
      </c>
      <c r="I2134" t="str">
        <f>VLOOKUP(Googleadssales[[#This Row],[Ad_ID]],'[1]pre processed data'!A:O,15,0)</f>
        <v>$1386</v>
      </c>
      <c r="J2134" s="3">
        <f>VLOOKUP(Googleadssales[[#This Row],[Ad_ID]],'[1]pre processed data'!A:Q,17,0)</f>
        <v>45618</v>
      </c>
      <c r="K2134" t="str">
        <f>VLOOKUP(Googleadssales[[#This Row],[Ad_ID]],'[1]pre processed data'!A:R,18,0)</f>
        <v>Hyderabad</v>
      </c>
      <c r="L2134" t="str">
        <f>VLOOKUP(Googleadssales[[#This Row],[Ad_ID]],'[1]pre processed data'!A:S,19,0)</f>
        <v>Tablet</v>
      </c>
      <c r="M2134" t="str">
        <f>VLOOKUP(Googleadssales[[#This Row],[Ad_ID]],'[1]pre processed data'!A:T,20,0)</f>
        <v>analytics for data</v>
      </c>
    </row>
    <row r="2135" spans="1:13" x14ac:dyDescent="0.3">
      <c r="A2135" t="s">
        <v>2148</v>
      </c>
      <c r="B2135" t="s">
        <v>18</v>
      </c>
      <c r="C2135" s="4">
        <f>VLOOKUP(Googleadssales[[#This Row],[Ad_ID]],'[1]pre processed data'!A:C,3,0)</f>
        <v>198</v>
      </c>
      <c r="D2135" s="4">
        <f>VLOOKUP(Googleadssales[[#This Row],[Ad_ID]],'[1]pre processed data'!A:E,5,0)</f>
        <v>4163</v>
      </c>
      <c r="E2135" s="5" t="str">
        <f>VLOOKUP(Googleadssales[[#This Row],[Ad_ID]],[1]!Table3[[Ad_ID]:[Cost-imputed]],7,0)</f>
        <v>$218.64</v>
      </c>
      <c r="F2135" s="4">
        <f>VLOOKUP(Googleadssales[[#This Row],[Ad_ID]],'[1]pre processed data'!A:I,9,0)</f>
        <v>11</v>
      </c>
      <c r="G2135" s="4">
        <f>VLOOKUP(Googleadssales[[#This Row],[Ad_ID]],'[1]pre processed data'!A:K,11,0)</f>
        <v>6</v>
      </c>
      <c r="H2135" s="2">
        <f>Googleadssales[[#This Row],[Conversions]]/Googleadssales[[#This Row],[Clicks]]</f>
        <v>3.0303030303030304E-2</v>
      </c>
      <c r="I2135" t="str">
        <f>VLOOKUP(Googleadssales[[#This Row],[Ad_ID]],'[1]pre processed data'!A:O,15,0)</f>
        <v>$1904</v>
      </c>
      <c r="J2135" s="3">
        <f>VLOOKUP(Googleadssales[[#This Row],[Ad_ID]],'[1]pre processed data'!A:Q,17,0)</f>
        <v>45626</v>
      </c>
      <c r="K2135" t="str">
        <f>VLOOKUP(Googleadssales[[#This Row],[Ad_ID]],'[1]pre processed data'!A:R,18,0)</f>
        <v>Hyderabad</v>
      </c>
      <c r="L2135" t="str">
        <f>VLOOKUP(Googleadssales[[#This Row],[Ad_ID]],'[1]pre processed data'!A:S,19,0)</f>
        <v>Tablet</v>
      </c>
      <c r="M2135" t="str">
        <f>VLOOKUP(Googleadssales[[#This Row],[Ad_ID]],'[1]pre processed data'!A:T,20,0)</f>
        <v>learn data analytics</v>
      </c>
    </row>
    <row r="2136" spans="1:13" x14ac:dyDescent="0.3">
      <c r="A2136" t="s">
        <v>2149</v>
      </c>
      <c r="B2136" t="s">
        <v>14</v>
      </c>
      <c r="C2136" s="4">
        <f>VLOOKUP(Googleadssales[[#This Row],[Ad_ID]],'[1]pre processed data'!A:C,3,0)</f>
        <v>155</v>
      </c>
      <c r="D2136" s="4">
        <f>VLOOKUP(Googleadssales[[#This Row],[Ad_ID]],'[1]pre processed data'!A:E,5,0)</f>
        <v>5150</v>
      </c>
      <c r="E2136" s="5" t="str">
        <f>VLOOKUP(Googleadssales[[#This Row],[Ad_ID]],[1]!Table3[[Ad_ID]:[Cost-imputed]],7,0)</f>
        <v>$224.6</v>
      </c>
      <c r="F2136" s="4">
        <f>VLOOKUP(Googleadssales[[#This Row],[Ad_ID]],'[1]pre processed data'!A:I,9,0)</f>
        <v>24</v>
      </c>
      <c r="G2136" s="4">
        <f>VLOOKUP(Googleadssales[[#This Row],[Ad_ID]],'[1]pre processed data'!A:K,11,0)</f>
        <v>7</v>
      </c>
      <c r="H2136" s="2">
        <f>Googleadssales[[#This Row],[Conversions]]/Googleadssales[[#This Row],[Clicks]]</f>
        <v>4.5161290322580643E-2</v>
      </c>
      <c r="I2136" t="str">
        <f>VLOOKUP(Googleadssales[[#This Row],[Ad_ID]],'[1]pre processed data'!A:O,15,0)</f>
        <v>$1146</v>
      </c>
      <c r="J2136" s="3">
        <f>VLOOKUP(Googleadssales[[#This Row],[Ad_ID]],'[1]pre processed data'!A:Q,17,0)</f>
        <v>45600</v>
      </c>
      <c r="K2136" t="str">
        <f>VLOOKUP(Googleadssales[[#This Row],[Ad_ID]],'[1]pre processed data'!A:R,18,0)</f>
        <v>Hyderabad</v>
      </c>
      <c r="L2136" t="str">
        <f>VLOOKUP(Googleadssales[[#This Row],[Ad_ID]],'[1]pre processed data'!A:S,19,0)</f>
        <v>Tablet</v>
      </c>
      <c r="M2136" t="str">
        <f>VLOOKUP(Googleadssales[[#This Row],[Ad_ID]],'[1]pre processed data'!A:T,20,0)</f>
        <v>data analytics course</v>
      </c>
    </row>
    <row r="2137" spans="1:13" x14ac:dyDescent="0.3">
      <c r="A2137" t="s">
        <v>2150</v>
      </c>
      <c r="B2137" t="s">
        <v>14</v>
      </c>
      <c r="C2137" s="4">
        <f>VLOOKUP(Googleadssales[[#This Row],[Ad_ID]],'[1]pre processed data'!A:C,3,0)</f>
        <v>181</v>
      </c>
      <c r="D2137" s="4">
        <f>VLOOKUP(Googleadssales[[#This Row],[Ad_ID]],'[1]pre processed data'!A:E,5,0)</f>
        <v>3948</v>
      </c>
      <c r="E2137" s="5" t="str">
        <f>VLOOKUP(Googleadssales[[#This Row],[Ad_ID]],[1]!Table3[[Ad_ID]:[Cost-imputed]],7,0)</f>
        <v>$223.51</v>
      </c>
      <c r="F2137" s="4">
        <f>VLOOKUP(Googleadssales[[#This Row],[Ad_ID]],'[1]pre processed data'!A:I,9,0)</f>
        <v>17</v>
      </c>
      <c r="G2137" s="4">
        <f>VLOOKUP(Googleadssales[[#This Row],[Ad_ID]],'[1]pre processed data'!A:K,11,0)</f>
        <v>4</v>
      </c>
      <c r="H2137" s="2">
        <f>Googleadssales[[#This Row],[Conversions]]/Googleadssales[[#This Row],[Clicks]]</f>
        <v>2.2099447513812154E-2</v>
      </c>
      <c r="I2137" t="str">
        <f>VLOOKUP(Googleadssales[[#This Row],[Ad_ID]],'[1]pre processed data'!A:O,15,0)</f>
        <v>$1075</v>
      </c>
      <c r="J2137" s="3">
        <f>VLOOKUP(Googleadssales[[#This Row],[Ad_ID]],'[1]pre processed data'!A:Q,17,0)</f>
        <v>45606</v>
      </c>
      <c r="K2137" t="str">
        <f>VLOOKUP(Googleadssales[[#This Row],[Ad_ID]],'[1]pre processed data'!A:R,18,0)</f>
        <v>Hyderabad</v>
      </c>
      <c r="L2137" t="str">
        <f>VLOOKUP(Googleadssales[[#This Row],[Ad_ID]],'[1]pre processed data'!A:S,19,0)</f>
        <v>Mobile</v>
      </c>
      <c r="M2137" t="str">
        <f>VLOOKUP(Googleadssales[[#This Row],[Ad_ID]],'[1]pre processed data'!A:T,20,0)</f>
        <v>analytics for data</v>
      </c>
    </row>
    <row r="2138" spans="1:13" x14ac:dyDescent="0.3">
      <c r="A2138" t="s">
        <v>2151</v>
      </c>
      <c r="B2138" t="s">
        <v>18</v>
      </c>
      <c r="C2138" s="4">
        <f>VLOOKUP(Googleadssales[[#This Row],[Ad_ID]],'[1]pre processed data'!A:C,3,0)</f>
        <v>108</v>
      </c>
      <c r="D2138" s="4">
        <f>VLOOKUP(Googleadssales[[#This Row],[Ad_ID]],'[1]pre processed data'!A:E,5,0)</f>
        <v>3126</v>
      </c>
      <c r="E2138" s="5" t="str">
        <f>VLOOKUP(Googleadssales[[#This Row],[Ad_ID]],[1]!Table3[[Ad_ID]:[Cost-imputed]],7,0)</f>
        <v>$248.94</v>
      </c>
      <c r="F2138" s="4">
        <f>VLOOKUP(Googleadssales[[#This Row],[Ad_ID]],'[1]pre processed data'!A:I,9,0)</f>
        <v>12</v>
      </c>
      <c r="G2138" s="4">
        <f>VLOOKUP(Googleadssales[[#This Row],[Ad_ID]],'[1]pre processed data'!A:K,11,0)</f>
        <v>3</v>
      </c>
      <c r="H2138" s="2">
        <f>Googleadssales[[#This Row],[Conversions]]/Googleadssales[[#This Row],[Clicks]]</f>
        <v>2.7777777777777776E-2</v>
      </c>
      <c r="I2138" t="str">
        <f>VLOOKUP(Googleadssales[[#This Row],[Ad_ID]],'[1]pre processed data'!A:O,15,0)</f>
        <v>$1942</v>
      </c>
      <c r="J2138" s="3">
        <f>VLOOKUP(Googleadssales[[#This Row],[Ad_ID]],'[1]pre processed data'!A:Q,17,0)</f>
        <v>45612</v>
      </c>
      <c r="K2138" t="str">
        <f>VLOOKUP(Googleadssales[[#This Row],[Ad_ID]],'[1]pre processed data'!A:R,18,0)</f>
        <v>Hyderabad</v>
      </c>
      <c r="L2138" t="str">
        <f>VLOOKUP(Googleadssales[[#This Row],[Ad_ID]],'[1]pre processed data'!A:S,19,0)</f>
        <v>Tablet</v>
      </c>
      <c r="M2138" t="str">
        <f>VLOOKUP(Googleadssales[[#This Row],[Ad_ID]],'[1]pre processed data'!A:T,20,0)</f>
        <v>analytics for data</v>
      </c>
    </row>
    <row r="2139" spans="1:13" x14ac:dyDescent="0.3">
      <c r="A2139" t="s">
        <v>2152</v>
      </c>
      <c r="B2139" t="s">
        <v>14</v>
      </c>
      <c r="C2139" s="4">
        <f>VLOOKUP(Googleadssales[[#This Row],[Ad_ID]],'[1]pre processed data'!A:C,3,0)</f>
        <v>114</v>
      </c>
      <c r="D2139" s="4">
        <f>VLOOKUP(Googleadssales[[#This Row],[Ad_ID]],'[1]pre processed data'!A:E,5,0)</f>
        <v>5551</v>
      </c>
      <c r="E2139" s="5" t="str">
        <f>VLOOKUP(Googleadssales[[#This Row],[Ad_ID]],[1]!Table3[[Ad_ID]:[Cost-imputed]],7,0)</f>
        <v>$195.44</v>
      </c>
      <c r="F2139" s="4">
        <f>VLOOKUP(Googleadssales[[#This Row],[Ad_ID]],'[1]pre processed data'!A:I,9,0)</f>
        <v>30</v>
      </c>
      <c r="G2139" s="4">
        <f>VLOOKUP(Googleadssales[[#This Row],[Ad_ID]],'[1]pre processed data'!A:K,11,0)</f>
        <v>5</v>
      </c>
      <c r="H2139" s="2">
        <f>Googleadssales[[#This Row],[Conversions]]/Googleadssales[[#This Row],[Clicks]]</f>
        <v>4.3859649122807015E-2</v>
      </c>
      <c r="I2139" t="str">
        <f>VLOOKUP(Googleadssales[[#This Row],[Ad_ID]],'[1]pre processed data'!A:O,15,0)</f>
        <v>$1255</v>
      </c>
      <c r="J2139" s="3">
        <f>VLOOKUP(Googleadssales[[#This Row],[Ad_ID]],'[1]pre processed data'!A:Q,17,0)</f>
        <v>45611</v>
      </c>
      <c r="K2139" t="str">
        <f>VLOOKUP(Googleadssales[[#This Row],[Ad_ID]],'[1]pre processed data'!A:R,18,0)</f>
        <v>Chennai</v>
      </c>
      <c r="L2139" t="str">
        <f>VLOOKUP(Googleadssales[[#This Row],[Ad_ID]],'[1]pre processed data'!A:S,19,0)</f>
        <v>Tablet</v>
      </c>
      <c r="M2139" t="str">
        <f>VLOOKUP(Googleadssales[[#This Row],[Ad_ID]],'[1]pre processed data'!A:T,20,0)</f>
        <v>analytics for data</v>
      </c>
    </row>
    <row r="2140" spans="1:13" x14ac:dyDescent="0.3">
      <c r="A2140" t="s">
        <v>2153</v>
      </c>
      <c r="B2140" t="s">
        <v>18</v>
      </c>
      <c r="C2140" s="4">
        <f>VLOOKUP(Googleadssales[[#This Row],[Ad_ID]],'[1]pre processed data'!A:C,3,0)</f>
        <v>146</v>
      </c>
      <c r="D2140" s="4">
        <f>VLOOKUP(Googleadssales[[#This Row],[Ad_ID]],'[1]pre processed data'!A:E,5,0)</f>
        <v>5712</v>
      </c>
      <c r="E2140" s="5" t="str">
        <f>VLOOKUP(Googleadssales[[#This Row],[Ad_ID]],[1]!Table3[[Ad_ID]:[Cost-imputed]],7,0)</f>
        <v>$221.73</v>
      </c>
      <c r="F2140" s="4">
        <f>VLOOKUP(Googleadssales[[#This Row],[Ad_ID]],'[1]pre processed data'!A:I,9,0)</f>
        <v>26</v>
      </c>
      <c r="G2140" s="4">
        <f>VLOOKUP(Googleadssales[[#This Row],[Ad_ID]],'[1]pre processed data'!A:K,11,0)</f>
        <v>5</v>
      </c>
      <c r="H2140" s="2">
        <f>Googleadssales[[#This Row],[Conversions]]/Googleadssales[[#This Row],[Clicks]]</f>
        <v>3.4246575342465752E-2</v>
      </c>
      <c r="I2140" t="str">
        <f>VLOOKUP(Googleadssales[[#This Row],[Ad_ID]],'[1]pre processed data'!A:O,15,0)</f>
        <v>$1201</v>
      </c>
      <c r="J2140" s="3">
        <f>VLOOKUP(Googleadssales[[#This Row],[Ad_ID]],'[1]pre processed data'!A:Q,17,0)</f>
        <v>45608</v>
      </c>
      <c r="K2140" t="str">
        <f>VLOOKUP(Googleadssales[[#This Row],[Ad_ID]],'[1]pre processed data'!A:R,18,0)</f>
        <v>Chennai</v>
      </c>
      <c r="L2140" t="str">
        <f>VLOOKUP(Googleadssales[[#This Row],[Ad_ID]],'[1]pre processed data'!A:S,19,0)</f>
        <v>Mobile</v>
      </c>
      <c r="M2140" t="str">
        <f>VLOOKUP(Googleadssales[[#This Row],[Ad_ID]],'[1]pre processed data'!A:T,20,0)</f>
        <v>analytics for data</v>
      </c>
    </row>
    <row r="2141" spans="1:13" x14ac:dyDescent="0.3">
      <c r="A2141" t="s">
        <v>2154</v>
      </c>
      <c r="B2141" t="s">
        <v>14</v>
      </c>
      <c r="C2141" s="4">
        <f>VLOOKUP(Googleadssales[[#This Row],[Ad_ID]],'[1]pre processed data'!A:C,3,0)</f>
        <v>89</v>
      </c>
      <c r="D2141" s="4">
        <f>VLOOKUP(Googleadssales[[#This Row],[Ad_ID]],'[1]pre processed data'!A:E,5,0)</f>
        <v>4175</v>
      </c>
      <c r="E2141" s="5" t="str">
        <f>VLOOKUP(Googleadssales[[#This Row],[Ad_ID]],[1]!Table3[[Ad_ID]:[Cost-imputed]],7,0)</f>
        <v>$194.22</v>
      </c>
      <c r="F2141" s="4">
        <f>VLOOKUP(Googleadssales[[#This Row],[Ad_ID]],'[1]pre processed data'!A:I,9,0)</f>
        <v>11</v>
      </c>
      <c r="G2141" s="4">
        <f>VLOOKUP(Googleadssales[[#This Row],[Ad_ID]],'[1]pre processed data'!A:K,11,0)</f>
        <v>3</v>
      </c>
      <c r="H2141" s="2">
        <f>Googleadssales[[#This Row],[Conversions]]/Googleadssales[[#This Row],[Clicks]]</f>
        <v>3.3707865168539325E-2</v>
      </c>
      <c r="I2141" t="str">
        <f>VLOOKUP(Googleadssales[[#This Row],[Ad_ID]],'[1]pre processed data'!A:O,15,0)</f>
        <v>$1370</v>
      </c>
      <c r="J2141" s="3">
        <f>VLOOKUP(Googleadssales[[#This Row],[Ad_ID]],'[1]pre processed data'!A:Q,17,0)</f>
        <v>45618</v>
      </c>
      <c r="K2141" t="str">
        <f>VLOOKUP(Googleadssales[[#This Row],[Ad_ID]],'[1]pre processed data'!A:R,18,0)</f>
        <v>Chennai</v>
      </c>
      <c r="L2141" t="str">
        <f>VLOOKUP(Googleadssales[[#This Row],[Ad_ID]],'[1]pre processed data'!A:S,19,0)</f>
        <v>Desktop</v>
      </c>
      <c r="M2141" t="str">
        <f>VLOOKUP(Googleadssales[[#This Row],[Ad_ID]],'[1]pre processed data'!A:T,20,0)</f>
        <v>data analytics training</v>
      </c>
    </row>
    <row r="2142" spans="1:13" x14ac:dyDescent="0.3">
      <c r="A2142" t="s">
        <v>2155</v>
      </c>
      <c r="B2142" t="s">
        <v>14</v>
      </c>
      <c r="C2142" s="4">
        <f>VLOOKUP(Googleadssales[[#This Row],[Ad_ID]],'[1]pre processed data'!A:C,3,0)</f>
        <v>82</v>
      </c>
      <c r="D2142" s="4">
        <f>VLOOKUP(Googleadssales[[#This Row],[Ad_ID]],'[1]pre processed data'!A:E,5,0)</f>
        <v>4523.2808326787117</v>
      </c>
      <c r="E2142" s="5" t="str">
        <f>VLOOKUP(Googleadssales[[#This Row],[Ad_ID]],[1]!Table3[[Ad_ID]:[Cost-imputed]],7,0)</f>
        <v>$200.00</v>
      </c>
      <c r="F2142" s="4">
        <f>VLOOKUP(Googleadssales[[#This Row],[Ad_ID]],'[1]pre processed data'!A:I,9,0)</f>
        <v>30</v>
      </c>
      <c r="G2142" s="4">
        <f>VLOOKUP(Googleadssales[[#This Row],[Ad_ID]],'[1]pre processed data'!A:K,11,0)</f>
        <v>8</v>
      </c>
      <c r="H2142" s="2">
        <f>Googleadssales[[#This Row],[Conversions]]/Googleadssales[[#This Row],[Clicks]]</f>
        <v>9.7560975609756101E-2</v>
      </c>
      <c r="I2142" t="str">
        <f>VLOOKUP(Googleadssales[[#This Row],[Ad_ID]],'[1]pre processed data'!A:O,15,0)</f>
        <v>$1511</v>
      </c>
      <c r="J2142" s="3">
        <f>VLOOKUP(Googleadssales[[#This Row],[Ad_ID]],'[1]pre processed data'!A:Q,17,0)</f>
        <v>45613</v>
      </c>
      <c r="K2142" t="str">
        <f>VLOOKUP(Googleadssales[[#This Row],[Ad_ID]],'[1]pre processed data'!A:R,18,0)</f>
        <v>Chennai</v>
      </c>
      <c r="L2142" t="str">
        <f>VLOOKUP(Googleadssales[[#This Row],[Ad_ID]],'[1]pre processed data'!A:S,19,0)</f>
        <v>Desktop</v>
      </c>
      <c r="M2142" t="str">
        <f>VLOOKUP(Googleadssales[[#This Row],[Ad_ID]],'[1]pre processed data'!A:T,20,0)</f>
        <v>learn data analytics</v>
      </c>
    </row>
    <row r="2143" spans="1:13" x14ac:dyDescent="0.3">
      <c r="A2143" t="s">
        <v>2156</v>
      </c>
      <c r="B2143" t="s">
        <v>14</v>
      </c>
      <c r="C2143" s="4">
        <f>VLOOKUP(Googleadssales[[#This Row],[Ad_ID]],'[1]pre processed data'!A:C,3,0)</f>
        <v>98</v>
      </c>
      <c r="D2143" s="4">
        <f>VLOOKUP(Googleadssales[[#This Row],[Ad_ID]],'[1]pre processed data'!A:E,5,0)</f>
        <v>5728</v>
      </c>
      <c r="E2143" s="5" t="str">
        <f>VLOOKUP(Googleadssales[[#This Row],[Ad_ID]],[1]!Table3[[Ad_ID]:[Cost-imputed]],7,0)</f>
        <v>$230.52</v>
      </c>
      <c r="F2143" s="4">
        <f>VLOOKUP(Googleadssales[[#This Row],[Ad_ID]],'[1]pre processed data'!A:I,9,0)</f>
        <v>14</v>
      </c>
      <c r="G2143" s="4">
        <f>VLOOKUP(Googleadssales[[#This Row],[Ad_ID]],'[1]pre processed data'!A:K,11,0)</f>
        <v>10</v>
      </c>
      <c r="H2143" s="2">
        <f>Googleadssales[[#This Row],[Conversions]]/Googleadssales[[#This Row],[Clicks]]</f>
        <v>0.10204081632653061</v>
      </c>
      <c r="I2143" t="str">
        <f>VLOOKUP(Googleadssales[[#This Row],[Ad_ID]],'[1]pre processed data'!A:O,15,0)</f>
        <v>$1322</v>
      </c>
      <c r="J2143" s="3">
        <f>VLOOKUP(Googleadssales[[#This Row],[Ad_ID]],'[1]pre processed data'!A:Q,17,0)</f>
        <v>45603</v>
      </c>
      <c r="K2143" t="str">
        <f>VLOOKUP(Googleadssales[[#This Row],[Ad_ID]],'[1]pre processed data'!A:R,18,0)</f>
        <v>Hyderabad</v>
      </c>
      <c r="L2143" t="str">
        <f>VLOOKUP(Googleadssales[[#This Row],[Ad_ID]],'[1]pre processed data'!A:S,19,0)</f>
        <v>Mobile</v>
      </c>
      <c r="M2143" t="str">
        <f>VLOOKUP(Googleadssales[[#This Row],[Ad_ID]],'[1]pre processed data'!A:T,20,0)</f>
        <v>data analytics training</v>
      </c>
    </row>
    <row r="2144" spans="1:13" x14ac:dyDescent="0.3">
      <c r="A2144" t="s">
        <v>2157</v>
      </c>
      <c r="B2144" t="s">
        <v>14</v>
      </c>
      <c r="C2144" s="4">
        <f>VLOOKUP(Googleadssales[[#This Row],[Ad_ID]],'[1]pre processed data'!A:C,3,0)</f>
        <v>87</v>
      </c>
      <c r="D2144" s="4">
        <f>VLOOKUP(Googleadssales[[#This Row],[Ad_ID]],'[1]pre processed data'!A:E,5,0)</f>
        <v>3161</v>
      </c>
      <c r="E2144" s="5" t="str">
        <f>VLOOKUP(Googleadssales[[#This Row],[Ad_ID]],[1]!Table3[[Ad_ID]:[Cost-imputed]],7,0)</f>
        <v>$244.49</v>
      </c>
      <c r="F2144" s="4">
        <f>VLOOKUP(Googleadssales[[#This Row],[Ad_ID]],'[1]pre processed data'!A:I,9,0)</f>
        <v>24</v>
      </c>
      <c r="G2144" s="4">
        <f>VLOOKUP(Googleadssales[[#This Row],[Ad_ID]],'[1]pre processed data'!A:K,11,0)</f>
        <v>8</v>
      </c>
      <c r="H2144" s="2">
        <f>Googleadssales[[#This Row],[Conversions]]/Googleadssales[[#This Row],[Clicks]]</f>
        <v>9.1954022988505746E-2</v>
      </c>
      <c r="I2144" t="str">
        <f>VLOOKUP(Googleadssales[[#This Row],[Ad_ID]],'[1]pre processed data'!A:O,15,0)</f>
        <v>$1161</v>
      </c>
      <c r="J2144" s="3">
        <f>VLOOKUP(Googleadssales[[#This Row],[Ad_ID]],'[1]pre processed data'!A:Q,17,0)</f>
        <v>45602</v>
      </c>
      <c r="K2144" t="str">
        <f>VLOOKUP(Googleadssales[[#This Row],[Ad_ID]],'[1]pre processed data'!A:R,18,0)</f>
        <v>Hyderabad</v>
      </c>
      <c r="L2144" t="str">
        <f>VLOOKUP(Googleadssales[[#This Row],[Ad_ID]],'[1]pre processed data'!A:S,19,0)</f>
        <v>Tablet</v>
      </c>
      <c r="M2144" t="str">
        <f>VLOOKUP(Googleadssales[[#This Row],[Ad_ID]],'[1]pre processed data'!A:T,20,0)</f>
        <v>data analytics online</v>
      </c>
    </row>
    <row r="2145" spans="1:13" x14ac:dyDescent="0.3">
      <c r="A2145" t="s">
        <v>2158</v>
      </c>
      <c r="B2145" t="s">
        <v>14</v>
      </c>
      <c r="C2145" s="4">
        <f>VLOOKUP(Googleadssales[[#This Row],[Ad_ID]],'[1]pre processed data'!A:C,3,0)</f>
        <v>146</v>
      </c>
      <c r="D2145" s="4">
        <f>VLOOKUP(Googleadssales[[#This Row],[Ad_ID]],'[1]pre processed data'!A:E,5,0)</f>
        <v>4773</v>
      </c>
      <c r="E2145" s="5" t="str">
        <f>VLOOKUP(Googleadssales[[#This Row],[Ad_ID]],[1]!Table3[[Ad_ID]:[Cost-imputed]],7,0)</f>
        <v>$248.27</v>
      </c>
      <c r="F2145" s="4">
        <f>VLOOKUP(Googleadssales[[#This Row],[Ad_ID]],'[1]pre processed data'!A:I,9,0)</f>
        <v>30</v>
      </c>
      <c r="G2145" s="4">
        <f>VLOOKUP(Googleadssales[[#This Row],[Ad_ID]],'[1]pre processed data'!A:K,11,0)</f>
        <v>6</v>
      </c>
      <c r="H2145" s="2">
        <f>Googleadssales[[#This Row],[Conversions]]/Googleadssales[[#This Row],[Clicks]]</f>
        <v>4.1095890410958902E-2</v>
      </c>
      <c r="I2145" t="str">
        <f>VLOOKUP(Googleadssales[[#This Row],[Ad_ID]],'[1]pre processed data'!A:O,15,0)</f>
        <v>$1304</v>
      </c>
      <c r="J2145" s="3">
        <f>VLOOKUP(Googleadssales[[#This Row],[Ad_ID]],'[1]pre processed data'!A:Q,17,0)</f>
        <v>45597</v>
      </c>
      <c r="K2145" t="str">
        <f>VLOOKUP(Googleadssales[[#This Row],[Ad_ID]],'[1]pre processed data'!A:R,18,0)</f>
        <v>Bangaluru</v>
      </c>
      <c r="L2145" t="str">
        <f>VLOOKUP(Googleadssales[[#This Row],[Ad_ID]],'[1]pre processed data'!A:S,19,0)</f>
        <v>Tablet</v>
      </c>
      <c r="M2145" t="str">
        <f>VLOOKUP(Googleadssales[[#This Row],[Ad_ID]],'[1]pre processed data'!A:T,20,0)</f>
        <v>online data analytic</v>
      </c>
    </row>
    <row r="2146" spans="1:13" x14ac:dyDescent="0.3">
      <c r="A2146" t="s">
        <v>2159</v>
      </c>
      <c r="B2146" t="s">
        <v>14</v>
      </c>
      <c r="C2146" s="4">
        <f>VLOOKUP(Googleadssales[[#This Row],[Ad_ID]],'[1]pre processed data'!A:C,3,0)</f>
        <v>138.95699356913184</v>
      </c>
      <c r="D2146" s="4">
        <f>VLOOKUP(Googleadssales[[#This Row],[Ad_ID]],'[1]pre processed data'!A:E,5,0)</f>
        <v>3385</v>
      </c>
      <c r="E2146" s="5" t="str">
        <f>VLOOKUP(Googleadssales[[#This Row],[Ad_ID]],[1]!Table3[[Ad_ID]:[Cost-imputed]],7,0)</f>
        <v>$208.31</v>
      </c>
      <c r="F2146" s="4">
        <f>VLOOKUP(Googleadssales[[#This Row],[Ad_ID]],'[1]pre processed data'!A:I,9,0)</f>
        <v>25</v>
      </c>
      <c r="G2146" s="4">
        <f>VLOOKUP(Googleadssales[[#This Row],[Ad_ID]],'[1]pre processed data'!A:K,11,0)</f>
        <v>10</v>
      </c>
      <c r="H2146" s="2">
        <f>Googleadssales[[#This Row],[Conversions]]/Googleadssales[[#This Row],[Clicks]]</f>
        <v>7.1964711837443046E-2</v>
      </c>
      <c r="I2146" t="str">
        <f>VLOOKUP(Googleadssales[[#This Row],[Ad_ID]],'[1]pre processed data'!A:O,15,0)</f>
        <v>$1972</v>
      </c>
      <c r="J2146" s="3">
        <f>VLOOKUP(Googleadssales[[#This Row],[Ad_ID]],'[1]pre processed data'!A:Q,17,0)</f>
        <v>45612</v>
      </c>
      <c r="K2146" t="str">
        <f>VLOOKUP(Googleadssales[[#This Row],[Ad_ID]],'[1]pre processed data'!A:R,18,0)</f>
        <v>Hyderabad</v>
      </c>
      <c r="L2146" t="str">
        <f>VLOOKUP(Googleadssales[[#This Row],[Ad_ID]],'[1]pre processed data'!A:S,19,0)</f>
        <v>Mobile</v>
      </c>
      <c r="M2146" t="str">
        <f>VLOOKUP(Googleadssales[[#This Row],[Ad_ID]],'[1]pre processed data'!A:T,20,0)</f>
        <v>analytics for data</v>
      </c>
    </row>
    <row r="2147" spans="1:13" x14ac:dyDescent="0.3">
      <c r="A2147" t="s">
        <v>2160</v>
      </c>
      <c r="B2147" t="s">
        <v>18</v>
      </c>
      <c r="C2147" s="4">
        <f>VLOOKUP(Googleadssales[[#This Row],[Ad_ID]],'[1]pre processed data'!A:C,3,0)</f>
        <v>122</v>
      </c>
      <c r="D2147" s="4">
        <f>VLOOKUP(Googleadssales[[#This Row],[Ad_ID]],'[1]pre processed data'!A:E,5,0)</f>
        <v>5600</v>
      </c>
      <c r="E2147" s="5" t="str">
        <f>VLOOKUP(Googleadssales[[#This Row],[Ad_ID]],[1]!Table3[[Ad_ID]:[Cost-imputed]],7,0)</f>
        <v>$223.06</v>
      </c>
      <c r="F2147" s="4">
        <f>VLOOKUP(Googleadssales[[#This Row],[Ad_ID]],'[1]pre processed data'!A:I,9,0)</f>
        <v>12</v>
      </c>
      <c r="G2147" s="4">
        <f>VLOOKUP(Googleadssales[[#This Row],[Ad_ID]],'[1]pre processed data'!A:K,11,0)</f>
        <v>3</v>
      </c>
      <c r="H2147" s="2">
        <f>Googleadssales[[#This Row],[Conversions]]/Googleadssales[[#This Row],[Clicks]]</f>
        <v>2.4590163934426229E-2</v>
      </c>
      <c r="I2147" t="str">
        <f>VLOOKUP(Googleadssales[[#This Row],[Ad_ID]],'[1]pre processed data'!A:O,15,0)</f>
        <v>$1061</v>
      </c>
      <c r="J2147" s="3">
        <f>VLOOKUP(Googleadssales[[#This Row],[Ad_ID]],'[1]pre processed data'!A:Q,17,0)</f>
        <v>45614</v>
      </c>
      <c r="K2147" t="str">
        <f>VLOOKUP(Googleadssales[[#This Row],[Ad_ID]],'[1]pre processed data'!A:R,18,0)</f>
        <v>Hyderabad</v>
      </c>
      <c r="L2147" t="str">
        <f>VLOOKUP(Googleadssales[[#This Row],[Ad_ID]],'[1]pre processed data'!A:S,19,0)</f>
        <v>Tablet</v>
      </c>
      <c r="M2147" t="str">
        <f>VLOOKUP(Googleadssales[[#This Row],[Ad_ID]],'[1]pre processed data'!A:T,20,0)</f>
        <v>learn data analytics</v>
      </c>
    </row>
    <row r="2148" spans="1:13" x14ac:dyDescent="0.3">
      <c r="A2148" t="s">
        <v>2161</v>
      </c>
      <c r="B2148" t="s">
        <v>14</v>
      </c>
      <c r="C2148" s="4">
        <f>VLOOKUP(Googleadssales[[#This Row],[Ad_ID]],'[1]pre processed data'!A:C,3,0)</f>
        <v>153</v>
      </c>
      <c r="D2148" s="4">
        <f>VLOOKUP(Googleadssales[[#This Row],[Ad_ID]],'[1]pre processed data'!A:E,5,0)</f>
        <v>4218</v>
      </c>
      <c r="E2148" s="5" t="str">
        <f>VLOOKUP(Googleadssales[[#This Row],[Ad_ID]],[1]!Table3[[Ad_ID]:[Cost-imputed]],7,0)</f>
        <v>$228.36</v>
      </c>
      <c r="F2148" s="4">
        <f>VLOOKUP(Googleadssales[[#This Row],[Ad_ID]],'[1]pre processed data'!A:I,9,0)</f>
        <v>16</v>
      </c>
      <c r="G2148" s="4">
        <f>VLOOKUP(Googleadssales[[#This Row],[Ad_ID]],'[1]pre processed data'!A:K,11,0)</f>
        <v>7</v>
      </c>
      <c r="H2148" s="2">
        <f>Googleadssales[[#This Row],[Conversions]]/Googleadssales[[#This Row],[Clicks]]</f>
        <v>4.5751633986928102E-2</v>
      </c>
      <c r="I2148" t="str">
        <f>VLOOKUP(Googleadssales[[#This Row],[Ad_ID]],'[1]pre processed data'!A:O,15,0)</f>
        <v>$1178</v>
      </c>
      <c r="J2148" s="3">
        <f>VLOOKUP(Googleadssales[[#This Row],[Ad_ID]],'[1]pre processed data'!A:Q,17,0)</f>
        <v>45599</v>
      </c>
      <c r="K2148" t="str">
        <f>VLOOKUP(Googleadssales[[#This Row],[Ad_ID]],'[1]pre processed data'!A:R,18,0)</f>
        <v>Hyderabad</v>
      </c>
      <c r="L2148" t="str">
        <f>VLOOKUP(Googleadssales[[#This Row],[Ad_ID]],'[1]pre processed data'!A:S,19,0)</f>
        <v>Mobile</v>
      </c>
      <c r="M2148" t="str">
        <f>VLOOKUP(Googleadssales[[#This Row],[Ad_ID]],'[1]pre processed data'!A:T,20,0)</f>
        <v>data analytics online</v>
      </c>
    </row>
    <row r="2149" spans="1:13" x14ac:dyDescent="0.3">
      <c r="A2149" t="s">
        <v>2162</v>
      </c>
      <c r="B2149" t="s">
        <v>14</v>
      </c>
      <c r="C2149" s="4">
        <f>VLOOKUP(Googleadssales[[#This Row],[Ad_ID]],'[1]pre processed data'!A:C,3,0)</f>
        <v>108</v>
      </c>
      <c r="D2149" s="4">
        <f>VLOOKUP(Googleadssales[[#This Row],[Ad_ID]],'[1]pre processed data'!A:E,5,0)</f>
        <v>3358</v>
      </c>
      <c r="E2149" s="5" t="str">
        <f>VLOOKUP(Googleadssales[[#This Row],[Ad_ID]],[1]!Table3[[Ad_ID]:[Cost-imputed]],7,0)</f>
        <v>$184.1</v>
      </c>
      <c r="F2149" s="4">
        <f>VLOOKUP(Googleadssales[[#This Row],[Ad_ID]],'[1]pre processed data'!A:I,9,0)</f>
        <v>28</v>
      </c>
      <c r="G2149" s="4">
        <f>VLOOKUP(Googleadssales[[#This Row],[Ad_ID]],'[1]pre processed data'!A:K,11,0)</f>
        <v>4</v>
      </c>
      <c r="H2149" s="2">
        <f>Googleadssales[[#This Row],[Conversions]]/Googleadssales[[#This Row],[Clicks]]</f>
        <v>3.7037037037037035E-2</v>
      </c>
      <c r="I2149" t="str">
        <f>VLOOKUP(Googleadssales[[#This Row],[Ad_ID]],'[1]pre processed data'!A:O,15,0)</f>
        <v>$1888</v>
      </c>
      <c r="J2149" s="3">
        <f>VLOOKUP(Googleadssales[[#This Row],[Ad_ID]],'[1]pre processed data'!A:Q,17,0)</f>
        <v>45612</v>
      </c>
      <c r="K2149" t="str">
        <f>VLOOKUP(Googleadssales[[#This Row],[Ad_ID]],'[1]pre processed data'!A:R,18,0)</f>
        <v>Chennai</v>
      </c>
      <c r="L2149" t="str">
        <f>VLOOKUP(Googleadssales[[#This Row],[Ad_ID]],'[1]pre processed data'!A:S,19,0)</f>
        <v>Desktop</v>
      </c>
      <c r="M2149" t="str">
        <f>VLOOKUP(Googleadssales[[#This Row],[Ad_ID]],'[1]pre processed data'!A:T,20,0)</f>
        <v>analytics for data</v>
      </c>
    </row>
    <row r="2150" spans="1:13" x14ac:dyDescent="0.3">
      <c r="A2150" t="s">
        <v>2163</v>
      </c>
      <c r="B2150" t="s">
        <v>18</v>
      </c>
      <c r="C2150" s="4">
        <f>VLOOKUP(Googleadssales[[#This Row],[Ad_ID]],'[1]pre processed data'!A:C,3,0)</f>
        <v>147</v>
      </c>
      <c r="D2150" s="4">
        <f>VLOOKUP(Googleadssales[[#This Row],[Ad_ID]],'[1]pre processed data'!A:E,5,0)</f>
        <v>3021</v>
      </c>
      <c r="E2150" s="5" t="str">
        <f>VLOOKUP(Googleadssales[[#This Row],[Ad_ID]],[1]!Table3[[Ad_ID]:[Cost-imputed]],7,0)</f>
        <v>$200.17</v>
      </c>
      <c r="F2150" s="4">
        <f>VLOOKUP(Googleadssales[[#This Row],[Ad_ID]],'[1]pre processed data'!A:I,9,0)</f>
        <v>20</v>
      </c>
      <c r="G2150" s="4">
        <f>VLOOKUP(Googleadssales[[#This Row],[Ad_ID]],'[1]pre processed data'!A:K,11,0)</f>
        <v>4</v>
      </c>
      <c r="H2150" s="2">
        <f>Googleadssales[[#This Row],[Conversions]]/Googleadssales[[#This Row],[Clicks]]</f>
        <v>2.7210884353741496E-2</v>
      </c>
      <c r="I2150" t="str">
        <f>VLOOKUP(Googleadssales[[#This Row],[Ad_ID]],'[1]pre processed data'!A:O,15,0)</f>
        <v>$1718</v>
      </c>
      <c r="J2150" s="3">
        <f>VLOOKUP(Googleadssales[[#This Row],[Ad_ID]],'[1]pre processed data'!A:Q,17,0)</f>
        <v>45614</v>
      </c>
      <c r="K2150" t="str">
        <f>VLOOKUP(Googleadssales[[#This Row],[Ad_ID]],'[1]pre processed data'!A:R,18,0)</f>
        <v>Chennai</v>
      </c>
      <c r="L2150" t="str">
        <f>VLOOKUP(Googleadssales[[#This Row],[Ad_ID]],'[1]pre processed data'!A:S,19,0)</f>
        <v>Mobile</v>
      </c>
      <c r="M2150" t="str">
        <f>VLOOKUP(Googleadssales[[#This Row],[Ad_ID]],'[1]pre processed data'!A:T,20,0)</f>
        <v>analytics for data</v>
      </c>
    </row>
    <row r="2151" spans="1:13" x14ac:dyDescent="0.3">
      <c r="A2151" t="s">
        <v>2164</v>
      </c>
      <c r="B2151" t="s">
        <v>18</v>
      </c>
      <c r="C2151" s="4">
        <f>VLOOKUP(Googleadssales[[#This Row],[Ad_ID]],'[1]pre processed data'!A:C,3,0)</f>
        <v>121</v>
      </c>
      <c r="D2151" s="4">
        <f>VLOOKUP(Googleadssales[[#This Row],[Ad_ID]],'[1]pre processed data'!A:E,5,0)</f>
        <v>4477</v>
      </c>
      <c r="E2151" s="5" t="str">
        <f>VLOOKUP(Googleadssales[[#This Row],[Ad_ID]],[1]!Table3[[Ad_ID]:[Cost-imputed]],7,0)</f>
        <v>$224.77</v>
      </c>
      <c r="F2151" s="4">
        <f>VLOOKUP(Googleadssales[[#This Row],[Ad_ID]],'[1]pre processed data'!A:I,9,0)</f>
        <v>28</v>
      </c>
      <c r="G2151" s="4">
        <f>VLOOKUP(Googleadssales[[#This Row],[Ad_ID]],'[1]pre processed data'!A:K,11,0)</f>
        <v>10</v>
      </c>
      <c r="H2151" s="2">
        <f>Googleadssales[[#This Row],[Conversions]]/Googleadssales[[#This Row],[Clicks]]</f>
        <v>8.2644628099173556E-2</v>
      </c>
      <c r="I2151" t="str">
        <f>VLOOKUP(Googleadssales[[#This Row],[Ad_ID]],'[1]pre processed data'!A:O,15,0)</f>
        <v>$1604</v>
      </c>
      <c r="J2151" s="3">
        <f>VLOOKUP(Googleadssales[[#This Row],[Ad_ID]],'[1]pre processed data'!A:Q,17,0)</f>
        <v>45613</v>
      </c>
      <c r="K2151" t="str">
        <f>VLOOKUP(Googleadssales[[#This Row],[Ad_ID]],'[1]pre processed data'!A:R,18,0)</f>
        <v>Chennai</v>
      </c>
      <c r="L2151" t="str">
        <f>VLOOKUP(Googleadssales[[#This Row],[Ad_ID]],'[1]pre processed data'!A:S,19,0)</f>
        <v>Tablet</v>
      </c>
      <c r="M2151" t="str">
        <f>VLOOKUP(Googleadssales[[#This Row],[Ad_ID]],'[1]pre processed data'!A:T,20,0)</f>
        <v>data analytics online</v>
      </c>
    </row>
    <row r="2152" spans="1:13" x14ac:dyDescent="0.3">
      <c r="A2152" t="s">
        <v>2165</v>
      </c>
      <c r="B2152" t="s">
        <v>14</v>
      </c>
      <c r="C2152" s="4">
        <f>VLOOKUP(Googleadssales[[#This Row],[Ad_ID]],'[1]pre processed data'!A:C,3,0)</f>
        <v>112</v>
      </c>
      <c r="D2152" s="4">
        <f>VLOOKUP(Googleadssales[[#This Row],[Ad_ID]],'[1]pre processed data'!A:E,5,0)</f>
        <v>4073</v>
      </c>
      <c r="E2152" s="5" t="str">
        <f>VLOOKUP(Googleadssales[[#This Row],[Ad_ID]],[1]!Table3[[Ad_ID]:[Cost-imputed]],7,0)</f>
        <v>$180.24</v>
      </c>
      <c r="F2152" s="4">
        <f>VLOOKUP(Googleadssales[[#This Row],[Ad_ID]],'[1]pre processed data'!A:I,9,0)</f>
        <v>30</v>
      </c>
      <c r="G2152" s="4">
        <f>VLOOKUP(Googleadssales[[#This Row],[Ad_ID]],'[1]pre processed data'!A:K,11,0)</f>
        <v>4</v>
      </c>
      <c r="H2152" s="2">
        <f>Googleadssales[[#This Row],[Conversions]]/Googleadssales[[#This Row],[Clicks]]</f>
        <v>3.5714285714285712E-2</v>
      </c>
      <c r="I2152" t="str">
        <f>VLOOKUP(Googleadssales[[#This Row],[Ad_ID]],'[1]pre processed data'!A:O,15,0)</f>
        <v>$1628</v>
      </c>
      <c r="J2152" s="3">
        <f>VLOOKUP(Googleadssales[[#This Row],[Ad_ID]],'[1]pre processed data'!A:Q,17,0)</f>
        <v>45608</v>
      </c>
      <c r="K2152" t="str">
        <f>VLOOKUP(Googleadssales[[#This Row],[Ad_ID]],'[1]pre processed data'!A:R,18,0)</f>
        <v>Bangaluru</v>
      </c>
      <c r="L2152" t="str">
        <f>VLOOKUP(Googleadssales[[#This Row],[Ad_ID]],'[1]pre processed data'!A:S,19,0)</f>
        <v>Tablet</v>
      </c>
      <c r="M2152" t="str">
        <f>VLOOKUP(Googleadssales[[#This Row],[Ad_ID]],'[1]pre processed data'!A:T,20,0)</f>
        <v>data analytics training</v>
      </c>
    </row>
    <row r="2153" spans="1:13" x14ac:dyDescent="0.3">
      <c r="A2153" t="s">
        <v>2166</v>
      </c>
      <c r="B2153" t="s">
        <v>14</v>
      </c>
      <c r="C2153" s="4">
        <f>VLOOKUP(Googleadssales[[#This Row],[Ad_ID]],'[1]pre processed data'!A:C,3,0)</f>
        <v>127</v>
      </c>
      <c r="D2153" s="4">
        <f>VLOOKUP(Googleadssales[[#This Row],[Ad_ID]],'[1]pre processed data'!A:E,5,0)</f>
        <v>5172</v>
      </c>
      <c r="E2153" s="5" t="str">
        <f>VLOOKUP(Googleadssales[[#This Row],[Ad_ID]],[1]!Table3[[Ad_ID]:[Cost-imputed]],7,0)</f>
        <v>$204.19</v>
      </c>
      <c r="F2153" s="4">
        <f>VLOOKUP(Googleadssales[[#This Row],[Ad_ID]],'[1]pre processed data'!A:I,9,0)</f>
        <v>10</v>
      </c>
      <c r="G2153" s="4">
        <f>VLOOKUP(Googleadssales[[#This Row],[Ad_ID]],'[1]pre processed data'!A:K,11,0)</f>
        <v>4</v>
      </c>
      <c r="H2153" s="2">
        <f>Googleadssales[[#This Row],[Conversions]]/Googleadssales[[#This Row],[Clicks]]</f>
        <v>3.1496062992125984E-2</v>
      </c>
      <c r="I2153" t="str">
        <f>VLOOKUP(Googleadssales[[#This Row],[Ad_ID]],'[1]pre processed data'!A:O,15,0)</f>
        <v>$1183</v>
      </c>
      <c r="J2153" s="3">
        <f>VLOOKUP(Googleadssales[[#This Row],[Ad_ID]],'[1]pre processed data'!A:Q,17,0)</f>
        <v>45616</v>
      </c>
      <c r="K2153" t="str">
        <f>VLOOKUP(Googleadssales[[#This Row],[Ad_ID]],'[1]pre processed data'!A:R,18,0)</f>
        <v>Hyderabad</v>
      </c>
      <c r="L2153" t="str">
        <f>VLOOKUP(Googleadssales[[#This Row],[Ad_ID]],'[1]pre processed data'!A:S,19,0)</f>
        <v>Mobile</v>
      </c>
      <c r="M2153" t="str">
        <f>VLOOKUP(Googleadssales[[#This Row],[Ad_ID]],'[1]pre processed data'!A:T,20,0)</f>
        <v>data analytics online</v>
      </c>
    </row>
    <row r="2154" spans="1:13" x14ac:dyDescent="0.3">
      <c r="A2154" t="s">
        <v>2167</v>
      </c>
      <c r="B2154" t="s">
        <v>18</v>
      </c>
      <c r="C2154" s="4">
        <f>VLOOKUP(Googleadssales[[#This Row],[Ad_ID]],'[1]pre processed data'!A:C,3,0)</f>
        <v>192</v>
      </c>
      <c r="D2154" s="4">
        <f>VLOOKUP(Googleadssales[[#This Row],[Ad_ID]],'[1]pre processed data'!A:E,5,0)</f>
        <v>5896</v>
      </c>
      <c r="E2154" s="5" t="str">
        <f>VLOOKUP(Googleadssales[[#This Row],[Ad_ID]],[1]!Table3[[Ad_ID]:[Cost-imputed]],7,0)</f>
        <v>$201.18</v>
      </c>
      <c r="F2154" s="4">
        <f>VLOOKUP(Googleadssales[[#This Row],[Ad_ID]],'[1]pre processed data'!A:I,9,0)</f>
        <v>30</v>
      </c>
      <c r="G2154" s="4">
        <f>VLOOKUP(Googleadssales[[#This Row],[Ad_ID]],'[1]pre processed data'!A:K,11,0)</f>
        <v>9</v>
      </c>
      <c r="H2154" s="2">
        <f>Googleadssales[[#This Row],[Conversions]]/Googleadssales[[#This Row],[Clicks]]</f>
        <v>4.6875E-2</v>
      </c>
      <c r="I2154" t="str">
        <f>VLOOKUP(Googleadssales[[#This Row],[Ad_ID]],'[1]pre processed data'!A:O,15,0)</f>
        <v>$1589</v>
      </c>
      <c r="J2154" s="3">
        <f>VLOOKUP(Googleadssales[[#This Row],[Ad_ID]],'[1]pre processed data'!A:Q,17,0)</f>
        <v>45626</v>
      </c>
      <c r="K2154" t="str">
        <f>VLOOKUP(Googleadssales[[#This Row],[Ad_ID]],'[1]pre processed data'!A:R,18,0)</f>
        <v>Hyderabad</v>
      </c>
      <c r="L2154" t="str">
        <f>VLOOKUP(Googleadssales[[#This Row],[Ad_ID]],'[1]pre processed data'!A:S,19,0)</f>
        <v>Desktop</v>
      </c>
      <c r="M2154" t="str">
        <f>VLOOKUP(Googleadssales[[#This Row],[Ad_ID]],'[1]pre processed data'!A:T,20,0)</f>
        <v>data analytics course</v>
      </c>
    </row>
    <row r="2155" spans="1:13" x14ac:dyDescent="0.3">
      <c r="A2155" t="s">
        <v>2168</v>
      </c>
      <c r="B2155" t="s">
        <v>18</v>
      </c>
      <c r="C2155" s="4">
        <f>VLOOKUP(Googleadssales[[#This Row],[Ad_ID]],'[1]pre processed data'!A:C,3,0)</f>
        <v>174</v>
      </c>
      <c r="D2155" s="4">
        <f>VLOOKUP(Googleadssales[[#This Row],[Ad_ID]],'[1]pre processed data'!A:E,5,0)</f>
        <v>3427</v>
      </c>
      <c r="E2155" s="5" t="str">
        <f>VLOOKUP(Googleadssales[[#This Row],[Ad_ID]],[1]!Table3[[Ad_ID]:[Cost-imputed]],7,0)</f>
        <v>$223.77</v>
      </c>
      <c r="F2155" s="4">
        <f>VLOOKUP(Googleadssales[[#This Row],[Ad_ID]],'[1]pre processed data'!A:I,9,0)</f>
        <v>20</v>
      </c>
      <c r="G2155" s="4">
        <f>VLOOKUP(Googleadssales[[#This Row],[Ad_ID]],'[1]pre processed data'!A:K,11,0)</f>
        <v>7</v>
      </c>
      <c r="H2155" s="2">
        <f>Googleadssales[[#This Row],[Conversions]]/Googleadssales[[#This Row],[Clicks]]</f>
        <v>4.0229885057471264E-2</v>
      </c>
      <c r="I2155" t="str">
        <f>VLOOKUP(Googleadssales[[#This Row],[Ad_ID]],'[1]pre processed data'!A:O,15,0)</f>
        <v>$1293</v>
      </c>
      <c r="J2155" s="3">
        <f>VLOOKUP(Googleadssales[[#This Row],[Ad_ID]],'[1]pre processed data'!A:Q,17,0)</f>
        <v>45611</v>
      </c>
      <c r="K2155" t="str">
        <f>VLOOKUP(Googleadssales[[#This Row],[Ad_ID]],'[1]pre processed data'!A:R,18,0)</f>
        <v>Hyderabad</v>
      </c>
      <c r="L2155" t="str">
        <f>VLOOKUP(Googleadssales[[#This Row],[Ad_ID]],'[1]pre processed data'!A:S,19,0)</f>
        <v>Desktop</v>
      </c>
      <c r="M2155" t="str">
        <f>VLOOKUP(Googleadssales[[#This Row],[Ad_ID]],'[1]pre processed data'!A:T,20,0)</f>
        <v>analytics for data</v>
      </c>
    </row>
    <row r="2156" spans="1:13" x14ac:dyDescent="0.3">
      <c r="A2156" t="s">
        <v>2169</v>
      </c>
      <c r="B2156" t="s">
        <v>14</v>
      </c>
      <c r="C2156" s="4">
        <f>VLOOKUP(Googleadssales[[#This Row],[Ad_ID]],'[1]pre processed data'!A:C,3,0)</f>
        <v>166</v>
      </c>
      <c r="D2156" s="4">
        <f>VLOOKUP(Googleadssales[[#This Row],[Ad_ID]],'[1]pre processed data'!A:E,5,0)</f>
        <v>4176</v>
      </c>
      <c r="E2156" s="5" t="str">
        <f>VLOOKUP(Googleadssales[[#This Row],[Ad_ID]],[1]!Table3[[Ad_ID]:[Cost-imputed]],7,0)</f>
        <v>$243.1</v>
      </c>
      <c r="F2156" s="4">
        <f>VLOOKUP(Googleadssales[[#This Row],[Ad_ID]],'[1]pre processed data'!A:I,9,0)</f>
        <v>16</v>
      </c>
      <c r="G2156" s="4">
        <f>VLOOKUP(Googleadssales[[#This Row],[Ad_ID]],'[1]pre processed data'!A:K,11,0)</f>
        <v>9</v>
      </c>
      <c r="H2156" s="2">
        <f>Googleadssales[[#This Row],[Conversions]]/Googleadssales[[#This Row],[Clicks]]</f>
        <v>5.4216867469879519E-2</v>
      </c>
      <c r="I2156" t="str">
        <f>VLOOKUP(Googleadssales[[#This Row],[Ad_ID]],'[1]pre processed data'!A:O,15,0)</f>
        <v>$1147</v>
      </c>
      <c r="J2156" s="3">
        <f>VLOOKUP(Googleadssales[[#This Row],[Ad_ID]],'[1]pre processed data'!A:Q,17,0)</f>
        <v>45620</v>
      </c>
      <c r="K2156" t="str">
        <f>VLOOKUP(Googleadssales[[#This Row],[Ad_ID]],'[1]pre processed data'!A:R,18,0)</f>
        <v>Bangaluru</v>
      </c>
      <c r="L2156" t="str">
        <f>VLOOKUP(Googleadssales[[#This Row],[Ad_ID]],'[1]pre processed data'!A:S,19,0)</f>
        <v>Desktop</v>
      </c>
      <c r="M2156" t="str">
        <f>VLOOKUP(Googleadssales[[#This Row],[Ad_ID]],'[1]pre processed data'!A:T,20,0)</f>
        <v>learn data analytics</v>
      </c>
    </row>
    <row r="2157" spans="1:13" x14ac:dyDescent="0.3">
      <c r="A2157" t="s">
        <v>2170</v>
      </c>
      <c r="B2157" t="s">
        <v>14</v>
      </c>
      <c r="C2157" s="4">
        <f>VLOOKUP(Googleadssales[[#This Row],[Ad_ID]],'[1]pre processed data'!A:C,3,0)</f>
        <v>98</v>
      </c>
      <c r="D2157" s="4">
        <f>VLOOKUP(Googleadssales[[#This Row],[Ad_ID]],'[1]pre processed data'!A:E,5,0)</f>
        <v>5835</v>
      </c>
      <c r="E2157" s="5" t="str">
        <f>VLOOKUP(Googleadssales[[#This Row],[Ad_ID]],[1]!Table3[[Ad_ID]:[Cost-imputed]],7,0)</f>
        <v>$232.82</v>
      </c>
      <c r="F2157" s="4">
        <f>VLOOKUP(Googleadssales[[#This Row],[Ad_ID]],'[1]pre processed data'!A:I,9,0)</f>
        <v>19</v>
      </c>
      <c r="G2157" s="4">
        <f>VLOOKUP(Googleadssales[[#This Row],[Ad_ID]],'[1]pre processed data'!A:K,11,0)</f>
        <v>6</v>
      </c>
      <c r="H2157" s="2">
        <f>Googleadssales[[#This Row],[Conversions]]/Googleadssales[[#This Row],[Clicks]]</f>
        <v>6.1224489795918366E-2</v>
      </c>
      <c r="I2157" t="str">
        <f>VLOOKUP(Googleadssales[[#This Row],[Ad_ID]],'[1]pre processed data'!A:O,15,0)</f>
        <v>$1989</v>
      </c>
      <c r="J2157" s="3">
        <f>VLOOKUP(Googleadssales[[#This Row],[Ad_ID]],'[1]pre processed data'!A:Q,17,0)</f>
        <v>45598</v>
      </c>
      <c r="K2157" t="str">
        <f>VLOOKUP(Googleadssales[[#This Row],[Ad_ID]],'[1]pre processed data'!A:R,18,0)</f>
        <v>Bangaluru</v>
      </c>
      <c r="L2157" t="str">
        <f>VLOOKUP(Googleadssales[[#This Row],[Ad_ID]],'[1]pre processed data'!A:S,19,0)</f>
        <v>Mobile</v>
      </c>
      <c r="M2157" t="str">
        <f>VLOOKUP(Googleadssales[[#This Row],[Ad_ID]],'[1]pre processed data'!A:T,20,0)</f>
        <v>data analytics online</v>
      </c>
    </row>
    <row r="2158" spans="1:13" x14ac:dyDescent="0.3">
      <c r="A2158" t="s">
        <v>2171</v>
      </c>
      <c r="B2158" t="s">
        <v>14</v>
      </c>
      <c r="C2158" s="4">
        <f>VLOOKUP(Googleadssales[[#This Row],[Ad_ID]],'[1]pre processed data'!A:C,3,0)</f>
        <v>191</v>
      </c>
      <c r="D2158" s="4">
        <f>VLOOKUP(Googleadssales[[#This Row],[Ad_ID]],'[1]pre processed data'!A:E,5,0)</f>
        <v>5438</v>
      </c>
      <c r="E2158" s="5" t="str">
        <f>VLOOKUP(Googleadssales[[#This Row],[Ad_ID]],[1]!Table3[[Ad_ID]:[Cost-imputed]],7,0)</f>
        <v>$244.1</v>
      </c>
      <c r="F2158" s="4">
        <f>VLOOKUP(Googleadssales[[#This Row],[Ad_ID]],'[1]pre processed data'!A:I,9,0)</f>
        <v>19</v>
      </c>
      <c r="G2158" s="4">
        <f>VLOOKUP(Googleadssales[[#This Row],[Ad_ID]],'[1]pre processed data'!A:K,11,0)</f>
        <v>5</v>
      </c>
      <c r="H2158" s="2">
        <f>Googleadssales[[#This Row],[Conversions]]/Googleadssales[[#This Row],[Clicks]]</f>
        <v>2.6178010471204188E-2</v>
      </c>
      <c r="I2158" t="str">
        <f>VLOOKUP(Googleadssales[[#This Row],[Ad_ID]],'[1]pre processed data'!A:O,15,0)</f>
        <v>$1203</v>
      </c>
      <c r="J2158" s="3">
        <f>VLOOKUP(Googleadssales[[#This Row],[Ad_ID]],'[1]pre processed data'!A:Q,17,0)</f>
        <v>45604</v>
      </c>
      <c r="K2158" t="str">
        <f>VLOOKUP(Googleadssales[[#This Row],[Ad_ID]],'[1]pre processed data'!A:R,18,0)</f>
        <v>Chennai</v>
      </c>
      <c r="L2158" t="str">
        <f>VLOOKUP(Googleadssales[[#This Row],[Ad_ID]],'[1]pre processed data'!A:S,19,0)</f>
        <v>Tablet</v>
      </c>
      <c r="M2158" t="str">
        <f>VLOOKUP(Googleadssales[[#This Row],[Ad_ID]],'[1]pre processed data'!A:T,20,0)</f>
        <v>learn data analytics</v>
      </c>
    </row>
    <row r="2159" spans="1:13" x14ac:dyDescent="0.3">
      <c r="A2159" t="s">
        <v>2172</v>
      </c>
      <c r="B2159" t="s">
        <v>18</v>
      </c>
      <c r="C2159" s="4">
        <f>VLOOKUP(Googleadssales[[#This Row],[Ad_ID]],'[1]pre processed data'!A:C,3,0)</f>
        <v>89</v>
      </c>
      <c r="D2159" s="4">
        <f>VLOOKUP(Googleadssales[[#This Row],[Ad_ID]],'[1]pre processed data'!A:E,5,0)</f>
        <v>4936</v>
      </c>
      <c r="E2159" s="5" t="str">
        <f>VLOOKUP(Googleadssales[[#This Row],[Ad_ID]],[1]!Table3[[Ad_ID]:[Cost-imputed]],7,0)</f>
        <v>$199.91</v>
      </c>
      <c r="F2159" s="4">
        <f>VLOOKUP(Googleadssales[[#This Row],[Ad_ID]],'[1]pre processed data'!A:I,9,0)</f>
        <v>16</v>
      </c>
      <c r="G2159" s="4">
        <f>VLOOKUP(Googleadssales[[#This Row],[Ad_ID]],'[1]pre processed data'!A:K,11,0)</f>
        <v>4</v>
      </c>
      <c r="H2159" s="2">
        <f>Googleadssales[[#This Row],[Conversions]]/Googleadssales[[#This Row],[Clicks]]</f>
        <v>4.49438202247191E-2</v>
      </c>
      <c r="I2159" t="str">
        <f>VLOOKUP(Googleadssales[[#This Row],[Ad_ID]],'[1]pre processed data'!A:O,15,0)</f>
        <v>$1543</v>
      </c>
      <c r="J2159" s="3">
        <f>VLOOKUP(Googleadssales[[#This Row],[Ad_ID]],'[1]pre processed data'!A:Q,17,0)</f>
        <v>45610</v>
      </c>
      <c r="K2159" t="str">
        <f>VLOOKUP(Googleadssales[[#This Row],[Ad_ID]],'[1]pre processed data'!A:R,18,0)</f>
        <v>Hyderabad</v>
      </c>
      <c r="L2159" t="str">
        <f>VLOOKUP(Googleadssales[[#This Row],[Ad_ID]],'[1]pre processed data'!A:S,19,0)</f>
        <v>Desktop</v>
      </c>
      <c r="M2159" t="str">
        <f>VLOOKUP(Googleadssales[[#This Row],[Ad_ID]],'[1]pre processed data'!A:T,20,0)</f>
        <v>data analytics course</v>
      </c>
    </row>
    <row r="2160" spans="1:13" x14ac:dyDescent="0.3">
      <c r="A2160" t="s">
        <v>2173</v>
      </c>
      <c r="B2160" t="s">
        <v>14</v>
      </c>
      <c r="C2160" s="4">
        <f>VLOOKUP(Googleadssales[[#This Row],[Ad_ID]],'[1]pre processed data'!A:C,3,0)</f>
        <v>180</v>
      </c>
      <c r="D2160" s="4">
        <f>VLOOKUP(Googleadssales[[#This Row],[Ad_ID]],'[1]pre processed data'!A:E,5,0)</f>
        <v>3526</v>
      </c>
      <c r="E2160" s="5" t="str">
        <f>VLOOKUP(Googleadssales[[#This Row],[Ad_ID]],[1]!Table3[[Ad_ID]:[Cost-imputed]],7,0)</f>
        <v>$200.00</v>
      </c>
      <c r="F2160" s="4">
        <f>VLOOKUP(Googleadssales[[#This Row],[Ad_ID]],'[1]pre processed data'!A:I,9,0)</f>
        <v>15</v>
      </c>
      <c r="G2160" s="4">
        <f>VLOOKUP(Googleadssales[[#This Row],[Ad_ID]],'[1]pre processed data'!A:K,11,0)</f>
        <v>7</v>
      </c>
      <c r="H2160" s="2">
        <f>Googleadssales[[#This Row],[Conversions]]/Googleadssales[[#This Row],[Clicks]]</f>
        <v>3.888888888888889E-2</v>
      </c>
      <c r="I2160" t="str">
        <f>VLOOKUP(Googleadssales[[#This Row],[Ad_ID]],'[1]pre processed data'!A:O,15,0)</f>
        <v>$1336</v>
      </c>
      <c r="J2160" s="3">
        <f>VLOOKUP(Googleadssales[[#This Row],[Ad_ID]],'[1]pre processed data'!A:Q,17,0)</f>
        <v>45612</v>
      </c>
      <c r="K2160" t="str">
        <f>VLOOKUP(Googleadssales[[#This Row],[Ad_ID]],'[1]pre processed data'!A:R,18,0)</f>
        <v>Bangaluru</v>
      </c>
      <c r="L2160" t="str">
        <f>VLOOKUP(Googleadssales[[#This Row],[Ad_ID]],'[1]pre processed data'!A:S,19,0)</f>
        <v>Mobile</v>
      </c>
      <c r="M2160" t="str">
        <f>VLOOKUP(Googleadssales[[#This Row],[Ad_ID]],'[1]pre processed data'!A:T,20,0)</f>
        <v>online data analytic</v>
      </c>
    </row>
    <row r="2161" spans="1:13" x14ac:dyDescent="0.3">
      <c r="A2161" t="s">
        <v>2174</v>
      </c>
      <c r="B2161" t="s">
        <v>14</v>
      </c>
      <c r="C2161" s="4">
        <f>VLOOKUP(Googleadssales[[#This Row],[Ad_ID]],'[1]pre processed data'!A:C,3,0)</f>
        <v>91</v>
      </c>
      <c r="D2161" s="4">
        <f>VLOOKUP(Googleadssales[[#This Row],[Ad_ID]],'[1]pre processed data'!A:E,5,0)</f>
        <v>5509</v>
      </c>
      <c r="E2161" s="5" t="str">
        <f>VLOOKUP(Googleadssales[[#This Row],[Ad_ID]],[1]!Table3[[Ad_ID]:[Cost-imputed]],7,0)</f>
        <v>$186.22</v>
      </c>
      <c r="F2161" s="4">
        <f>VLOOKUP(Googleadssales[[#This Row],[Ad_ID]],'[1]pre processed data'!A:I,9,0)</f>
        <v>29</v>
      </c>
      <c r="G2161" s="4">
        <f>VLOOKUP(Googleadssales[[#This Row],[Ad_ID]],'[1]pre processed data'!A:K,11,0)</f>
        <v>5</v>
      </c>
      <c r="H2161" s="2">
        <f>Googleadssales[[#This Row],[Conversions]]/Googleadssales[[#This Row],[Clicks]]</f>
        <v>5.4945054945054944E-2</v>
      </c>
      <c r="I2161" t="str">
        <f>VLOOKUP(Googleadssales[[#This Row],[Ad_ID]],'[1]pre processed data'!A:O,15,0)</f>
        <v>$1928</v>
      </c>
      <c r="J2161" s="3">
        <f>VLOOKUP(Googleadssales[[#This Row],[Ad_ID]],'[1]pre processed data'!A:Q,17,0)</f>
        <v>45598</v>
      </c>
      <c r="K2161" t="str">
        <f>VLOOKUP(Googleadssales[[#This Row],[Ad_ID]],'[1]pre processed data'!A:R,18,0)</f>
        <v>Hyderabad</v>
      </c>
      <c r="L2161" t="str">
        <f>VLOOKUP(Googleadssales[[#This Row],[Ad_ID]],'[1]pre processed data'!A:S,19,0)</f>
        <v>Mobile</v>
      </c>
      <c r="M2161" t="str">
        <f>VLOOKUP(Googleadssales[[#This Row],[Ad_ID]],'[1]pre processed data'!A:T,20,0)</f>
        <v>learn data analytics</v>
      </c>
    </row>
    <row r="2162" spans="1:13" x14ac:dyDescent="0.3">
      <c r="A2162" t="s">
        <v>2175</v>
      </c>
      <c r="B2162" t="s">
        <v>18</v>
      </c>
      <c r="C2162" s="4">
        <f>VLOOKUP(Googleadssales[[#This Row],[Ad_ID]],'[1]pre processed data'!A:C,3,0)</f>
        <v>114</v>
      </c>
      <c r="D2162" s="4">
        <f>VLOOKUP(Googleadssales[[#This Row],[Ad_ID]],'[1]pre processed data'!A:E,5,0)</f>
        <v>5748</v>
      </c>
      <c r="E2162" s="5" t="str">
        <f>VLOOKUP(Googleadssales[[#This Row],[Ad_ID]],[1]!Table3[[Ad_ID]:[Cost-imputed]],7,0)</f>
        <v>$184.76</v>
      </c>
      <c r="F2162" s="4">
        <f>VLOOKUP(Googleadssales[[#This Row],[Ad_ID]],'[1]pre processed data'!A:I,9,0)</f>
        <v>16</v>
      </c>
      <c r="G2162" s="4">
        <f>VLOOKUP(Googleadssales[[#This Row],[Ad_ID]],'[1]pre processed data'!A:K,11,0)</f>
        <v>8</v>
      </c>
      <c r="H2162" s="2">
        <f>Googleadssales[[#This Row],[Conversions]]/Googleadssales[[#This Row],[Clicks]]</f>
        <v>7.0175438596491224E-2</v>
      </c>
      <c r="I2162" t="str">
        <f>VLOOKUP(Googleadssales[[#This Row],[Ad_ID]],'[1]pre processed data'!A:O,15,0)</f>
        <v>$1490</v>
      </c>
      <c r="J2162" s="3">
        <f>VLOOKUP(Googleadssales[[#This Row],[Ad_ID]],'[1]pre processed data'!A:Q,17,0)</f>
        <v>45617</v>
      </c>
      <c r="K2162" t="str">
        <f>VLOOKUP(Googleadssales[[#This Row],[Ad_ID]],'[1]pre processed data'!A:R,18,0)</f>
        <v>Hyderabad</v>
      </c>
      <c r="L2162" t="str">
        <f>VLOOKUP(Googleadssales[[#This Row],[Ad_ID]],'[1]pre processed data'!A:S,19,0)</f>
        <v>Desktop</v>
      </c>
      <c r="M2162" t="str">
        <f>VLOOKUP(Googleadssales[[#This Row],[Ad_ID]],'[1]pre processed data'!A:T,20,0)</f>
        <v>data analytics online</v>
      </c>
    </row>
    <row r="2163" spans="1:13" x14ac:dyDescent="0.3">
      <c r="A2163" t="s">
        <v>2176</v>
      </c>
      <c r="B2163" t="s">
        <v>14</v>
      </c>
      <c r="C2163" s="4">
        <f>VLOOKUP(Googleadssales[[#This Row],[Ad_ID]],'[1]pre processed data'!A:C,3,0)</f>
        <v>80</v>
      </c>
      <c r="D2163" s="4">
        <f>VLOOKUP(Googleadssales[[#This Row],[Ad_ID]],'[1]pre processed data'!A:E,5,0)</f>
        <v>5155</v>
      </c>
      <c r="E2163" s="5" t="str">
        <f>VLOOKUP(Googleadssales[[#This Row],[Ad_ID]],[1]!Table3[[Ad_ID]:[Cost-imputed]],7,0)</f>
        <v>$217.3</v>
      </c>
      <c r="F2163" s="4">
        <f>VLOOKUP(Googleadssales[[#This Row],[Ad_ID]],'[1]pre processed data'!A:I,9,0)</f>
        <v>28</v>
      </c>
      <c r="G2163" s="4">
        <f>VLOOKUP(Googleadssales[[#This Row],[Ad_ID]],'[1]pre processed data'!A:K,11,0)</f>
        <v>5</v>
      </c>
      <c r="H2163" s="2">
        <f>Googleadssales[[#This Row],[Conversions]]/Googleadssales[[#This Row],[Clicks]]</f>
        <v>6.25E-2</v>
      </c>
      <c r="I2163" t="str">
        <f>VLOOKUP(Googleadssales[[#This Row],[Ad_ID]],'[1]pre processed data'!A:O,15,0)</f>
        <v>$1316</v>
      </c>
      <c r="J2163" s="3">
        <f>VLOOKUP(Googleadssales[[#This Row],[Ad_ID]],'[1]pre processed data'!A:Q,17,0)</f>
        <v>45608</v>
      </c>
      <c r="K2163" t="str">
        <f>VLOOKUP(Googleadssales[[#This Row],[Ad_ID]],'[1]pre processed data'!A:R,18,0)</f>
        <v>Hyderabad</v>
      </c>
      <c r="L2163" t="str">
        <f>VLOOKUP(Googleadssales[[#This Row],[Ad_ID]],'[1]pre processed data'!A:S,19,0)</f>
        <v>Tablet</v>
      </c>
      <c r="M2163" t="str">
        <f>VLOOKUP(Googleadssales[[#This Row],[Ad_ID]],'[1]pre processed data'!A:T,20,0)</f>
        <v>data analytics course</v>
      </c>
    </row>
    <row r="2164" spans="1:13" x14ac:dyDescent="0.3">
      <c r="A2164" t="s">
        <v>2177</v>
      </c>
      <c r="B2164" t="s">
        <v>14</v>
      </c>
      <c r="C2164" s="4">
        <f>VLOOKUP(Googleadssales[[#This Row],[Ad_ID]],'[1]pre processed data'!A:C,3,0)</f>
        <v>127</v>
      </c>
      <c r="D2164" s="4">
        <f>VLOOKUP(Googleadssales[[#This Row],[Ad_ID]],'[1]pre processed data'!A:E,5,0)</f>
        <v>4537</v>
      </c>
      <c r="E2164" s="5" t="str">
        <f>VLOOKUP(Googleadssales[[#This Row],[Ad_ID]],[1]!Table3[[Ad_ID]:[Cost-imputed]],7,0)</f>
        <v>$247.11</v>
      </c>
      <c r="F2164" s="4">
        <f>VLOOKUP(Googleadssales[[#This Row],[Ad_ID]],'[1]pre processed data'!A:I,9,0)</f>
        <v>17</v>
      </c>
      <c r="G2164" s="4">
        <f>VLOOKUP(Googleadssales[[#This Row],[Ad_ID]],'[1]pre processed data'!A:K,11,0)</f>
        <v>7</v>
      </c>
      <c r="H2164" s="2">
        <f>Googleadssales[[#This Row],[Conversions]]/Googleadssales[[#This Row],[Clicks]]</f>
        <v>5.5118110236220472E-2</v>
      </c>
      <c r="I2164" t="str">
        <f>VLOOKUP(Googleadssales[[#This Row],[Ad_ID]],'[1]pre processed data'!A:O,15,0)</f>
        <v>$1451</v>
      </c>
      <c r="J2164" s="3">
        <f>VLOOKUP(Googleadssales[[#This Row],[Ad_ID]],'[1]pre processed data'!A:Q,17,0)</f>
        <v>45614</v>
      </c>
      <c r="K2164" t="str">
        <f>VLOOKUP(Googleadssales[[#This Row],[Ad_ID]],'[1]pre processed data'!A:R,18,0)</f>
        <v>Hyderabad</v>
      </c>
      <c r="L2164" t="str">
        <f>VLOOKUP(Googleadssales[[#This Row],[Ad_ID]],'[1]pre processed data'!A:S,19,0)</f>
        <v>Tablet</v>
      </c>
      <c r="M2164" t="str">
        <f>VLOOKUP(Googleadssales[[#This Row],[Ad_ID]],'[1]pre processed data'!A:T,20,0)</f>
        <v>analytics for data</v>
      </c>
    </row>
    <row r="2165" spans="1:13" x14ac:dyDescent="0.3">
      <c r="A2165" t="s">
        <v>2178</v>
      </c>
      <c r="B2165" t="s">
        <v>14</v>
      </c>
      <c r="C2165" s="4">
        <f>VLOOKUP(Googleadssales[[#This Row],[Ad_ID]],'[1]pre processed data'!A:C,3,0)</f>
        <v>84</v>
      </c>
      <c r="D2165" s="4">
        <f>VLOOKUP(Googleadssales[[#This Row],[Ad_ID]],'[1]pre processed data'!A:E,5,0)</f>
        <v>5468</v>
      </c>
      <c r="E2165" s="5" t="str">
        <f>VLOOKUP(Googleadssales[[#This Row],[Ad_ID]],[1]!Table3[[Ad_ID]:[Cost-imputed]],7,0)</f>
        <v>$227.36</v>
      </c>
      <c r="F2165" s="4">
        <f>VLOOKUP(Googleadssales[[#This Row],[Ad_ID]],'[1]pre processed data'!A:I,9,0)</f>
        <v>13</v>
      </c>
      <c r="G2165" s="4">
        <f>VLOOKUP(Googleadssales[[#This Row],[Ad_ID]],'[1]pre processed data'!A:K,11,0)</f>
        <v>4</v>
      </c>
      <c r="H2165" s="2">
        <f>Googleadssales[[#This Row],[Conversions]]/Googleadssales[[#This Row],[Clicks]]</f>
        <v>4.7619047619047616E-2</v>
      </c>
      <c r="I2165" t="str">
        <f>VLOOKUP(Googleadssales[[#This Row],[Ad_ID]],'[1]pre processed data'!A:O,15,0)</f>
        <v>$1228</v>
      </c>
      <c r="J2165" s="3">
        <f>VLOOKUP(Googleadssales[[#This Row],[Ad_ID]],'[1]pre processed data'!A:Q,17,0)</f>
        <v>45622</v>
      </c>
      <c r="K2165" t="str">
        <f>VLOOKUP(Googleadssales[[#This Row],[Ad_ID]],'[1]pre processed data'!A:R,18,0)</f>
        <v>Bangaluru</v>
      </c>
      <c r="L2165" t="str">
        <f>VLOOKUP(Googleadssales[[#This Row],[Ad_ID]],'[1]pre processed data'!A:S,19,0)</f>
        <v>Tablet</v>
      </c>
      <c r="M2165" t="str">
        <f>VLOOKUP(Googleadssales[[#This Row],[Ad_ID]],'[1]pre processed data'!A:T,20,0)</f>
        <v>data analytics course</v>
      </c>
    </row>
    <row r="2166" spans="1:13" x14ac:dyDescent="0.3">
      <c r="A2166" t="s">
        <v>2179</v>
      </c>
      <c r="B2166" t="s">
        <v>14</v>
      </c>
      <c r="C2166" s="4">
        <f>VLOOKUP(Googleadssales[[#This Row],[Ad_ID]],'[1]pre processed data'!A:C,3,0)</f>
        <v>182</v>
      </c>
      <c r="D2166" s="4">
        <f>VLOOKUP(Googleadssales[[#This Row],[Ad_ID]],'[1]pre processed data'!A:E,5,0)</f>
        <v>4390</v>
      </c>
      <c r="E2166" s="5" t="str">
        <f>VLOOKUP(Googleadssales[[#This Row],[Ad_ID]],[1]!Table3[[Ad_ID]:[Cost-imputed]],7,0)</f>
        <v>$239.33</v>
      </c>
      <c r="F2166" s="4">
        <f>VLOOKUP(Googleadssales[[#This Row],[Ad_ID]],'[1]pre processed data'!A:I,9,0)</f>
        <v>11</v>
      </c>
      <c r="G2166" s="4">
        <f>VLOOKUP(Googleadssales[[#This Row],[Ad_ID]],'[1]pre processed data'!A:K,11,0)</f>
        <v>7</v>
      </c>
      <c r="H2166" s="2">
        <f>Googleadssales[[#This Row],[Conversions]]/Googleadssales[[#This Row],[Clicks]]</f>
        <v>3.8461538461538464E-2</v>
      </c>
      <c r="I2166" t="str">
        <f>VLOOKUP(Googleadssales[[#This Row],[Ad_ID]],'[1]pre processed data'!A:O,15,0)</f>
        <v>$1799</v>
      </c>
      <c r="J2166" s="3">
        <f>VLOOKUP(Googleadssales[[#This Row],[Ad_ID]],'[1]pre processed data'!A:Q,17,0)</f>
        <v>45623</v>
      </c>
      <c r="K2166" t="str">
        <f>VLOOKUP(Googleadssales[[#This Row],[Ad_ID]],'[1]pre processed data'!A:R,18,0)</f>
        <v>Chennai</v>
      </c>
      <c r="L2166" t="str">
        <f>VLOOKUP(Googleadssales[[#This Row],[Ad_ID]],'[1]pre processed data'!A:S,19,0)</f>
        <v>Tablet</v>
      </c>
      <c r="M2166" t="str">
        <f>VLOOKUP(Googleadssales[[#This Row],[Ad_ID]],'[1]pre processed data'!A:T,20,0)</f>
        <v>data analytics training</v>
      </c>
    </row>
    <row r="2167" spans="1:13" x14ac:dyDescent="0.3">
      <c r="A2167" t="s">
        <v>2180</v>
      </c>
      <c r="B2167" t="s">
        <v>14</v>
      </c>
      <c r="C2167" s="4">
        <f>VLOOKUP(Googleadssales[[#This Row],[Ad_ID]],'[1]pre processed data'!A:C,3,0)</f>
        <v>105</v>
      </c>
      <c r="D2167" s="4">
        <f>VLOOKUP(Googleadssales[[#This Row],[Ad_ID]],'[1]pre processed data'!A:E,5,0)</f>
        <v>5883</v>
      </c>
      <c r="E2167" s="5" t="str">
        <f>VLOOKUP(Googleadssales[[#This Row],[Ad_ID]],[1]!Table3[[Ad_ID]:[Cost-imputed]],7,0)</f>
        <v>$180.07</v>
      </c>
      <c r="F2167" s="4">
        <f>VLOOKUP(Googleadssales[[#This Row],[Ad_ID]],'[1]pre processed data'!A:I,9,0)</f>
        <v>20</v>
      </c>
      <c r="G2167" s="4">
        <f>VLOOKUP(Googleadssales[[#This Row],[Ad_ID]],'[1]pre processed data'!A:K,11,0)</f>
        <v>4</v>
      </c>
      <c r="H2167" s="2">
        <f>Googleadssales[[#This Row],[Conversions]]/Googleadssales[[#This Row],[Clicks]]</f>
        <v>3.8095238095238099E-2</v>
      </c>
      <c r="I2167" t="str">
        <f>VLOOKUP(Googleadssales[[#This Row],[Ad_ID]],'[1]pre processed data'!A:O,15,0)</f>
        <v>$1586</v>
      </c>
      <c r="J2167" s="3">
        <f>VLOOKUP(Googleadssales[[#This Row],[Ad_ID]],'[1]pre processed data'!A:Q,17,0)</f>
        <v>45601</v>
      </c>
      <c r="K2167" t="str">
        <f>VLOOKUP(Googleadssales[[#This Row],[Ad_ID]],'[1]pre processed data'!A:R,18,0)</f>
        <v>Bangaluru</v>
      </c>
      <c r="L2167" t="str">
        <f>VLOOKUP(Googleadssales[[#This Row],[Ad_ID]],'[1]pre processed data'!A:S,19,0)</f>
        <v>Mobile</v>
      </c>
      <c r="M2167" t="str">
        <f>VLOOKUP(Googleadssales[[#This Row],[Ad_ID]],'[1]pre processed data'!A:T,20,0)</f>
        <v>data analytics course</v>
      </c>
    </row>
    <row r="2168" spans="1:13" x14ac:dyDescent="0.3">
      <c r="A2168" t="s">
        <v>2181</v>
      </c>
      <c r="B2168" t="s">
        <v>14</v>
      </c>
      <c r="C2168" s="4">
        <f>VLOOKUP(Googleadssales[[#This Row],[Ad_ID]],'[1]pre processed data'!A:C,3,0)</f>
        <v>162</v>
      </c>
      <c r="D2168" s="4">
        <f>VLOOKUP(Googleadssales[[#This Row],[Ad_ID]],'[1]pre processed data'!A:E,5,0)</f>
        <v>3120</v>
      </c>
      <c r="E2168" s="5" t="str">
        <f>VLOOKUP(Googleadssales[[#This Row],[Ad_ID]],[1]!Table3[[Ad_ID]:[Cost-imputed]],7,0)</f>
        <v>$245.58</v>
      </c>
      <c r="F2168" s="4">
        <f>VLOOKUP(Googleadssales[[#This Row],[Ad_ID]],'[1]pre processed data'!A:I,9,0)</f>
        <v>30</v>
      </c>
      <c r="G2168" s="4">
        <f>VLOOKUP(Googleadssales[[#This Row],[Ad_ID]],'[1]pre processed data'!A:K,11,0)</f>
        <v>6</v>
      </c>
      <c r="H2168" s="2">
        <f>Googleadssales[[#This Row],[Conversions]]/Googleadssales[[#This Row],[Clicks]]</f>
        <v>3.7037037037037035E-2</v>
      </c>
      <c r="I2168" t="str">
        <f>VLOOKUP(Googleadssales[[#This Row],[Ad_ID]],'[1]pre processed data'!A:O,15,0)</f>
        <v>$1952</v>
      </c>
      <c r="J2168" s="3">
        <f>VLOOKUP(Googleadssales[[#This Row],[Ad_ID]],'[1]pre processed data'!A:Q,17,0)</f>
        <v>45602</v>
      </c>
      <c r="K2168" t="str">
        <f>VLOOKUP(Googleadssales[[#This Row],[Ad_ID]],'[1]pre processed data'!A:R,18,0)</f>
        <v>Chennai</v>
      </c>
      <c r="L2168" t="str">
        <f>VLOOKUP(Googleadssales[[#This Row],[Ad_ID]],'[1]pre processed data'!A:S,19,0)</f>
        <v>Mobile</v>
      </c>
      <c r="M2168" t="str">
        <f>VLOOKUP(Googleadssales[[#This Row],[Ad_ID]],'[1]pre processed data'!A:T,20,0)</f>
        <v>data analytics training</v>
      </c>
    </row>
    <row r="2169" spans="1:13" x14ac:dyDescent="0.3">
      <c r="A2169" t="s">
        <v>2182</v>
      </c>
      <c r="B2169" t="s">
        <v>14</v>
      </c>
      <c r="C2169" s="4">
        <f>VLOOKUP(Googleadssales[[#This Row],[Ad_ID]],'[1]pre processed data'!A:C,3,0)</f>
        <v>118</v>
      </c>
      <c r="D2169" s="4">
        <f>VLOOKUP(Googleadssales[[#This Row],[Ad_ID]],'[1]pre processed data'!A:E,5,0)</f>
        <v>4377</v>
      </c>
      <c r="E2169" s="5" t="str">
        <f>VLOOKUP(Googleadssales[[#This Row],[Ad_ID]],[1]!Table3[[Ad_ID]:[Cost-imputed]],7,0)</f>
        <v>$219.81</v>
      </c>
      <c r="F2169" s="4">
        <f>VLOOKUP(Googleadssales[[#This Row],[Ad_ID]],'[1]pre processed data'!A:I,9,0)</f>
        <v>21</v>
      </c>
      <c r="G2169" s="4">
        <f>VLOOKUP(Googleadssales[[#This Row],[Ad_ID]],'[1]pre processed data'!A:K,11,0)</f>
        <v>4</v>
      </c>
      <c r="H2169" s="2">
        <f>Googleadssales[[#This Row],[Conversions]]/Googleadssales[[#This Row],[Clicks]]</f>
        <v>3.3898305084745763E-2</v>
      </c>
      <c r="I2169" t="str">
        <f>VLOOKUP(Googleadssales[[#This Row],[Ad_ID]],'[1]pre processed data'!A:O,15,0)</f>
        <v>$1290</v>
      </c>
      <c r="J2169" s="3">
        <f>VLOOKUP(Googleadssales[[#This Row],[Ad_ID]],'[1]pre processed data'!A:Q,17,0)</f>
        <v>45610</v>
      </c>
      <c r="K2169" t="str">
        <f>VLOOKUP(Googleadssales[[#This Row],[Ad_ID]],'[1]pre processed data'!A:R,18,0)</f>
        <v>Hyderabad</v>
      </c>
      <c r="L2169" t="str">
        <f>VLOOKUP(Googleadssales[[#This Row],[Ad_ID]],'[1]pre processed data'!A:S,19,0)</f>
        <v>Desktop</v>
      </c>
      <c r="M2169" t="str">
        <f>VLOOKUP(Googleadssales[[#This Row],[Ad_ID]],'[1]pre processed data'!A:T,20,0)</f>
        <v>analytics for data</v>
      </c>
    </row>
    <row r="2170" spans="1:13" x14ac:dyDescent="0.3">
      <c r="A2170" t="s">
        <v>2183</v>
      </c>
      <c r="B2170" t="s">
        <v>18</v>
      </c>
      <c r="C2170" s="4">
        <f>VLOOKUP(Googleadssales[[#This Row],[Ad_ID]],'[1]pre processed data'!A:C,3,0)</f>
        <v>131</v>
      </c>
      <c r="D2170" s="4">
        <f>VLOOKUP(Googleadssales[[#This Row],[Ad_ID]],'[1]pre processed data'!A:E,5,0)</f>
        <v>5719</v>
      </c>
      <c r="E2170" s="5" t="str">
        <f>VLOOKUP(Googleadssales[[#This Row],[Ad_ID]],[1]!Table3[[Ad_ID]:[Cost-imputed]],7,0)</f>
        <v>$183.69</v>
      </c>
      <c r="F2170" s="4">
        <f>VLOOKUP(Googleadssales[[#This Row],[Ad_ID]],'[1]pre processed data'!A:I,9,0)</f>
        <v>12</v>
      </c>
      <c r="G2170" s="4">
        <f>VLOOKUP(Googleadssales[[#This Row],[Ad_ID]],'[1]pre processed data'!A:K,11,0)</f>
        <v>7</v>
      </c>
      <c r="H2170" s="2">
        <f>Googleadssales[[#This Row],[Conversions]]/Googleadssales[[#This Row],[Clicks]]</f>
        <v>5.3435114503816793E-2</v>
      </c>
      <c r="I2170" t="str">
        <f>VLOOKUP(Googleadssales[[#This Row],[Ad_ID]],'[1]pre processed data'!A:O,15,0)</f>
        <v>$1555</v>
      </c>
      <c r="J2170" s="3">
        <f>VLOOKUP(Googleadssales[[#This Row],[Ad_ID]],'[1]pre processed data'!A:Q,17,0)</f>
        <v>45619</v>
      </c>
      <c r="K2170" t="str">
        <f>VLOOKUP(Googleadssales[[#This Row],[Ad_ID]],'[1]pre processed data'!A:R,18,0)</f>
        <v>Hyderabad</v>
      </c>
      <c r="L2170" t="str">
        <f>VLOOKUP(Googleadssales[[#This Row],[Ad_ID]],'[1]pre processed data'!A:S,19,0)</f>
        <v>Mobile</v>
      </c>
      <c r="M2170" t="str">
        <f>VLOOKUP(Googleadssales[[#This Row],[Ad_ID]],'[1]pre processed data'!A:T,20,0)</f>
        <v>data analytics training</v>
      </c>
    </row>
    <row r="2171" spans="1:13" x14ac:dyDescent="0.3">
      <c r="A2171" t="s">
        <v>2184</v>
      </c>
      <c r="B2171" t="s">
        <v>14</v>
      </c>
      <c r="C2171" s="4">
        <f>VLOOKUP(Googleadssales[[#This Row],[Ad_ID]],'[1]pre processed data'!A:C,3,0)</f>
        <v>116</v>
      </c>
      <c r="D2171" s="4">
        <f>VLOOKUP(Googleadssales[[#This Row],[Ad_ID]],'[1]pre processed data'!A:E,5,0)</f>
        <v>4250</v>
      </c>
      <c r="E2171" s="5" t="str">
        <f>VLOOKUP(Googleadssales[[#This Row],[Ad_ID]],[1]!Table3[[Ad_ID]:[Cost-imputed]],7,0)</f>
        <v>$186.34</v>
      </c>
      <c r="F2171" s="4">
        <f>VLOOKUP(Googleadssales[[#This Row],[Ad_ID]],'[1]pre processed data'!A:I,9,0)</f>
        <v>12</v>
      </c>
      <c r="G2171" s="4">
        <f>VLOOKUP(Googleadssales[[#This Row],[Ad_ID]],'[1]pre processed data'!A:K,11,0)</f>
        <v>3</v>
      </c>
      <c r="H2171" s="2">
        <f>Googleadssales[[#This Row],[Conversions]]/Googleadssales[[#This Row],[Clicks]]</f>
        <v>2.5862068965517241E-2</v>
      </c>
      <c r="I2171" t="str">
        <f>VLOOKUP(Googleadssales[[#This Row],[Ad_ID]],'[1]pre processed data'!A:O,15,0)</f>
        <v>$1043</v>
      </c>
      <c r="J2171" s="3">
        <f>VLOOKUP(Googleadssales[[#This Row],[Ad_ID]],'[1]pre processed data'!A:Q,17,0)</f>
        <v>45626</v>
      </c>
      <c r="K2171" t="str">
        <f>VLOOKUP(Googleadssales[[#This Row],[Ad_ID]],'[1]pre processed data'!A:R,18,0)</f>
        <v>Hyderabad</v>
      </c>
      <c r="L2171" t="str">
        <f>VLOOKUP(Googleadssales[[#This Row],[Ad_ID]],'[1]pre processed data'!A:S,19,0)</f>
        <v>Desktop</v>
      </c>
      <c r="M2171" t="str">
        <f>VLOOKUP(Googleadssales[[#This Row],[Ad_ID]],'[1]pre processed data'!A:T,20,0)</f>
        <v>analytics for data</v>
      </c>
    </row>
    <row r="2172" spans="1:13" x14ac:dyDescent="0.3">
      <c r="A2172" t="s">
        <v>2185</v>
      </c>
      <c r="B2172" t="s">
        <v>14</v>
      </c>
      <c r="C2172" s="4">
        <f>VLOOKUP(Googleadssales[[#This Row],[Ad_ID]],'[1]pre processed data'!A:C,3,0)</f>
        <v>80</v>
      </c>
      <c r="D2172" s="4">
        <f>VLOOKUP(Googleadssales[[#This Row],[Ad_ID]],'[1]pre processed data'!A:E,5,0)</f>
        <v>5648</v>
      </c>
      <c r="E2172" s="5" t="str">
        <f>VLOOKUP(Googleadssales[[#This Row],[Ad_ID]],[1]!Table3[[Ad_ID]:[Cost-imputed]],7,0)</f>
        <v>$239.26</v>
      </c>
      <c r="F2172" s="4">
        <f>VLOOKUP(Googleadssales[[#This Row],[Ad_ID]],'[1]pre processed data'!A:I,9,0)</f>
        <v>10</v>
      </c>
      <c r="G2172" s="4">
        <f>VLOOKUP(Googleadssales[[#This Row],[Ad_ID]],'[1]pre processed data'!A:K,11,0)</f>
        <v>6</v>
      </c>
      <c r="H2172" s="2">
        <f>Googleadssales[[#This Row],[Conversions]]/Googleadssales[[#This Row],[Clicks]]</f>
        <v>7.4999999999999997E-2</v>
      </c>
      <c r="I2172" t="str">
        <f>VLOOKUP(Googleadssales[[#This Row],[Ad_ID]],'[1]pre processed data'!A:O,15,0)</f>
        <v>$1005</v>
      </c>
      <c r="J2172" s="3">
        <f>VLOOKUP(Googleadssales[[#This Row],[Ad_ID]],'[1]pre processed data'!A:Q,17,0)</f>
        <v>45616</v>
      </c>
      <c r="K2172" t="str">
        <f>VLOOKUP(Googleadssales[[#This Row],[Ad_ID]],'[1]pre processed data'!A:R,18,0)</f>
        <v>Bangaluru</v>
      </c>
      <c r="L2172" t="str">
        <f>VLOOKUP(Googleadssales[[#This Row],[Ad_ID]],'[1]pre processed data'!A:S,19,0)</f>
        <v>Mobile</v>
      </c>
      <c r="M2172" t="str">
        <f>VLOOKUP(Googleadssales[[#This Row],[Ad_ID]],'[1]pre processed data'!A:T,20,0)</f>
        <v>data analytics course</v>
      </c>
    </row>
    <row r="2173" spans="1:13" x14ac:dyDescent="0.3">
      <c r="A2173" t="s">
        <v>2186</v>
      </c>
      <c r="B2173" t="s">
        <v>14</v>
      </c>
      <c r="C2173" s="4">
        <f>VLOOKUP(Googleadssales[[#This Row],[Ad_ID]],'[1]pre processed data'!A:C,3,0)</f>
        <v>81</v>
      </c>
      <c r="D2173" s="4">
        <f>VLOOKUP(Googleadssales[[#This Row],[Ad_ID]],'[1]pre processed data'!A:E,5,0)</f>
        <v>3394</v>
      </c>
      <c r="E2173" s="5" t="str">
        <f>VLOOKUP(Googleadssales[[#This Row],[Ad_ID]],[1]!Table3[[Ad_ID]:[Cost-imputed]],7,0)</f>
        <v>$187.24</v>
      </c>
      <c r="F2173" s="4">
        <f>VLOOKUP(Googleadssales[[#This Row],[Ad_ID]],'[1]pre processed data'!A:I,9,0)</f>
        <v>12</v>
      </c>
      <c r="G2173" s="4">
        <f>VLOOKUP(Googleadssales[[#This Row],[Ad_ID]],'[1]pre processed data'!A:K,11,0)</f>
        <v>6</v>
      </c>
      <c r="H2173" s="2">
        <f>Googleadssales[[#This Row],[Conversions]]/Googleadssales[[#This Row],[Clicks]]</f>
        <v>7.407407407407407E-2</v>
      </c>
      <c r="I2173" t="str">
        <f>VLOOKUP(Googleadssales[[#This Row],[Ad_ID]],'[1]pre processed data'!A:O,15,0)</f>
        <v>$1227</v>
      </c>
      <c r="J2173" s="3">
        <f>VLOOKUP(Googleadssales[[#This Row],[Ad_ID]],'[1]pre processed data'!A:Q,17,0)</f>
        <v>45608</v>
      </c>
      <c r="K2173" t="str">
        <f>VLOOKUP(Googleadssales[[#This Row],[Ad_ID]],'[1]pre processed data'!A:R,18,0)</f>
        <v>Hyderabad</v>
      </c>
      <c r="L2173" t="str">
        <f>VLOOKUP(Googleadssales[[#This Row],[Ad_ID]],'[1]pre processed data'!A:S,19,0)</f>
        <v>Tablet</v>
      </c>
      <c r="M2173" t="str">
        <f>VLOOKUP(Googleadssales[[#This Row],[Ad_ID]],'[1]pre processed data'!A:T,20,0)</f>
        <v>data analytics course</v>
      </c>
    </row>
    <row r="2174" spans="1:13" x14ac:dyDescent="0.3">
      <c r="A2174" t="s">
        <v>2187</v>
      </c>
      <c r="B2174" t="s">
        <v>14</v>
      </c>
      <c r="C2174" s="4">
        <f>VLOOKUP(Googleadssales[[#This Row],[Ad_ID]],'[1]pre processed data'!A:C,3,0)</f>
        <v>189</v>
      </c>
      <c r="D2174" s="4">
        <f>VLOOKUP(Googleadssales[[#This Row],[Ad_ID]],'[1]pre processed data'!A:E,5,0)</f>
        <v>5117</v>
      </c>
      <c r="E2174" s="5" t="str">
        <f>VLOOKUP(Googleadssales[[#This Row],[Ad_ID]],[1]!Table3[[Ad_ID]:[Cost-imputed]],7,0)</f>
        <v>$197.9</v>
      </c>
      <c r="F2174" s="4">
        <f>VLOOKUP(Googleadssales[[#This Row],[Ad_ID]],'[1]pre processed data'!A:I,9,0)</f>
        <v>20</v>
      </c>
      <c r="G2174" s="4">
        <f>VLOOKUP(Googleadssales[[#This Row],[Ad_ID]],'[1]pre processed data'!A:K,11,0)</f>
        <v>8</v>
      </c>
      <c r="H2174" s="2">
        <f>Googleadssales[[#This Row],[Conversions]]/Googleadssales[[#This Row],[Clicks]]</f>
        <v>4.2328042328042326E-2</v>
      </c>
      <c r="I2174" t="str">
        <f>VLOOKUP(Googleadssales[[#This Row],[Ad_ID]],'[1]pre processed data'!A:O,15,0)</f>
        <v>$1710</v>
      </c>
      <c r="J2174" s="3">
        <f>VLOOKUP(Googleadssales[[#This Row],[Ad_ID]],'[1]pre processed data'!A:Q,17,0)</f>
        <v>45624</v>
      </c>
      <c r="K2174" t="str">
        <f>VLOOKUP(Googleadssales[[#This Row],[Ad_ID]],'[1]pre processed data'!A:R,18,0)</f>
        <v>Hyderabad</v>
      </c>
      <c r="L2174" t="str">
        <f>VLOOKUP(Googleadssales[[#This Row],[Ad_ID]],'[1]pre processed data'!A:S,19,0)</f>
        <v>Mobile</v>
      </c>
      <c r="M2174" t="str">
        <f>VLOOKUP(Googleadssales[[#This Row],[Ad_ID]],'[1]pre processed data'!A:T,20,0)</f>
        <v>analytics for data</v>
      </c>
    </row>
    <row r="2175" spans="1:13" x14ac:dyDescent="0.3">
      <c r="A2175" t="s">
        <v>2188</v>
      </c>
      <c r="B2175" t="s">
        <v>14</v>
      </c>
      <c r="C2175" s="4">
        <f>VLOOKUP(Googleadssales[[#This Row],[Ad_ID]],'[1]pre processed data'!A:C,3,0)</f>
        <v>128</v>
      </c>
      <c r="D2175" s="4">
        <f>VLOOKUP(Googleadssales[[#This Row],[Ad_ID]],'[1]pre processed data'!A:E,5,0)</f>
        <v>3861</v>
      </c>
      <c r="E2175" s="5" t="str">
        <f>VLOOKUP(Googleadssales[[#This Row],[Ad_ID]],[1]!Table3[[Ad_ID]:[Cost-imputed]],7,0)</f>
        <v>$232.11</v>
      </c>
      <c r="F2175" s="4">
        <f>VLOOKUP(Googleadssales[[#This Row],[Ad_ID]],'[1]pre processed data'!A:I,9,0)</f>
        <v>30</v>
      </c>
      <c r="G2175" s="4">
        <f>VLOOKUP(Googleadssales[[#This Row],[Ad_ID]],'[1]pre processed data'!A:K,11,0)</f>
        <v>10</v>
      </c>
      <c r="H2175" s="2">
        <f>Googleadssales[[#This Row],[Conversions]]/Googleadssales[[#This Row],[Clicks]]</f>
        <v>7.8125E-2</v>
      </c>
      <c r="I2175" t="str">
        <f>VLOOKUP(Googleadssales[[#This Row],[Ad_ID]],'[1]pre processed data'!A:O,15,0)</f>
        <v>$1636</v>
      </c>
      <c r="J2175" s="3">
        <f>VLOOKUP(Googleadssales[[#This Row],[Ad_ID]],'[1]pre processed data'!A:Q,17,0)</f>
        <v>45614</v>
      </c>
      <c r="K2175" t="str">
        <f>VLOOKUP(Googleadssales[[#This Row],[Ad_ID]],'[1]pre processed data'!A:R,18,0)</f>
        <v>Hyderabad</v>
      </c>
      <c r="L2175" t="str">
        <f>VLOOKUP(Googleadssales[[#This Row],[Ad_ID]],'[1]pre processed data'!A:S,19,0)</f>
        <v>Tablet</v>
      </c>
      <c r="M2175" t="str">
        <f>VLOOKUP(Googleadssales[[#This Row],[Ad_ID]],'[1]pre processed data'!A:T,20,0)</f>
        <v>data analytics course</v>
      </c>
    </row>
    <row r="2176" spans="1:13" x14ac:dyDescent="0.3">
      <c r="A2176" t="s">
        <v>2189</v>
      </c>
      <c r="B2176" t="s">
        <v>18</v>
      </c>
      <c r="C2176" s="4">
        <f>VLOOKUP(Googleadssales[[#This Row],[Ad_ID]],'[1]pre processed data'!A:C,3,0)</f>
        <v>182</v>
      </c>
      <c r="D2176" s="4">
        <f>VLOOKUP(Googleadssales[[#This Row],[Ad_ID]],'[1]pre processed data'!A:E,5,0)</f>
        <v>3303</v>
      </c>
      <c r="E2176" s="5" t="str">
        <f>VLOOKUP(Googleadssales[[#This Row],[Ad_ID]],[1]!Table3[[Ad_ID]:[Cost-imputed]],7,0)</f>
        <v>$238.4</v>
      </c>
      <c r="F2176" s="4">
        <f>VLOOKUP(Googleadssales[[#This Row],[Ad_ID]],'[1]pre processed data'!A:I,9,0)</f>
        <v>17</v>
      </c>
      <c r="G2176" s="4">
        <f>VLOOKUP(Googleadssales[[#This Row],[Ad_ID]],'[1]pre processed data'!A:K,11,0)</f>
        <v>4</v>
      </c>
      <c r="H2176" s="2">
        <f>Googleadssales[[#This Row],[Conversions]]/Googleadssales[[#This Row],[Clicks]]</f>
        <v>2.197802197802198E-2</v>
      </c>
      <c r="I2176" t="str">
        <f>VLOOKUP(Googleadssales[[#This Row],[Ad_ID]],'[1]pre processed data'!A:O,15,0)</f>
        <v>$1695</v>
      </c>
      <c r="J2176" s="3">
        <f>VLOOKUP(Googleadssales[[#This Row],[Ad_ID]],'[1]pre processed data'!A:Q,17,0)</f>
        <v>45601</v>
      </c>
      <c r="K2176" t="str">
        <f>VLOOKUP(Googleadssales[[#This Row],[Ad_ID]],'[1]pre processed data'!A:R,18,0)</f>
        <v>Hyderabad</v>
      </c>
      <c r="L2176" t="str">
        <f>VLOOKUP(Googleadssales[[#This Row],[Ad_ID]],'[1]pre processed data'!A:S,19,0)</f>
        <v>Desktop</v>
      </c>
      <c r="M2176" t="str">
        <f>VLOOKUP(Googleadssales[[#This Row],[Ad_ID]],'[1]pre processed data'!A:T,20,0)</f>
        <v>data analytics online</v>
      </c>
    </row>
    <row r="2177" spans="1:13" x14ac:dyDescent="0.3">
      <c r="A2177" t="s">
        <v>2190</v>
      </c>
      <c r="B2177" t="s">
        <v>14</v>
      </c>
      <c r="C2177" s="4">
        <f>VLOOKUP(Googleadssales[[#This Row],[Ad_ID]],'[1]pre processed data'!A:C,3,0)</f>
        <v>124</v>
      </c>
      <c r="D2177" s="4">
        <f>VLOOKUP(Googleadssales[[#This Row],[Ad_ID]],'[1]pre processed data'!A:E,5,0)</f>
        <v>4192</v>
      </c>
      <c r="E2177" s="5" t="str">
        <f>VLOOKUP(Googleadssales[[#This Row],[Ad_ID]],[1]!Table3[[Ad_ID]:[Cost-imputed]],7,0)</f>
        <v>$184.42</v>
      </c>
      <c r="F2177" s="4">
        <f>VLOOKUP(Googleadssales[[#This Row],[Ad_ID]],'[1]pre processed data'!A:I,9,0)</f>
        <v>12</v>
      </c>
      <c r="G2177" s="4">
        <f>VLOOKUP(Googleadssales[[#This Row],[Ad_ID]],'[1]pre processed data'!A:K,11,0)</f>
        <v>6</v>
      </c>
      <c r="H2177" s="2">
        <f>Googleadssales[[#This Row],[Conversions]]/Googleadssales[[#This Row],[Clicks]]</f>
        <v>4.8387096774193547E-2</v>
      </c>
      <c r="I2177" t="str">
        <f>VLOOKUP(Googleadssales[[#This Row],[Ad_ID]],'[1]pre processed data'!A:O,15,0)</f>
        <v>$1500</v>
      </c>
      <c r="J2177" s="3">
        <f>VLOOKUP(Googleadssales[[#This Row],[Ad_ID]],'[1]pre processed data'!A:Q,17,0)</f>
        <v>45601</v>
      </c>
      <c r="K2177" t="str">
        <f>VLOOKUP(Googleadssales[[#This Row],[Ad_ID]],'[1]pre processed data'!A:R,18,0)</f>
        <v>Bangaluru</v>
      </c>
      <c r="L2177" t="str">
        <f>VLOOKUP(Googleadssales[[#This Row],[Ad_ID]],'[1]pre processed data'!A:S,19,0)</f>
        <v>Tablet</v>
      </c>
      <c r="M2177" t="str">
        <f>VLOOKUP(Googleadssales[[#This Row],[Ad_ID]],'[1]pre processed data'!A:T,20,0)</f>
        <v>data analytics course</v>
      </c>
    </row>
    <row r="2178" spans="1:13" x14ac:dyDescent="0.3">
      <c r="A2178" t="s">
        <v>2191</v>
      </c>
      <c r="B2178" t="s">
        <v>14</v>
      </c>
      <c r="C2178" s="4">
        <f>VLOOKUP(Googleadssales[[#This Row],[Ad_ID]],'[1]pre processed data'!A:C,3,0)</f>
        <v>137</v>
      </c>
      <c r="D2178" s="4">
        <f>VLOOKUP(Googleadssales[[#This Row],[Ad_ID]],'[1]pre processed data'!A:E,5,0)</f>
        <v>3720</v>
      </c>
      <c r="E2178" s="5" t="str">
        <f>VLOOKUP(Googleadssales[[#This Row],[Ad_ID]],[1]!Table3[[Ad_ID]:[Cost-imputed]],7,0)</f>
        <v>$237.22</v>
      </c>
      <c r="F2178" s="4">
        <f>VLOOKUP(Googleadssales[[#This Row],[Ad_ID]],'[1]pre processed data'!A:I,9,0)</f>
        <v>24</v>
      </c>
      <c r="G2178" s="4">
        <f>VLOOKUP(Googleadssales[[#This Row],[Ad_ID]],'[1]pre processed data'!A:K,11,0)</f>
        <v>5</v>
      </c>
      <c r="H2178" s="2">
        <f>Googleadssales[[#This Row],[Conversions]]/Googleadssales[[#This Row],[Clicks]]</f>
        <v>3.6496350364963501E-2</v>
      </c>
      <c r="I2178" t="str">
        <f>VLOOKUP(Googleadssales[[#This Row],[Ad_ID]],'[1]pre processed data'!A:O,15,0)</f>
        <v>$1811</v>
      </c>
      <c r="J2178" s="3">
        <f>VLOOKUP(Googleadssales[[#This Row],[Ad_ID]],'[1]pre processed data'!A:Q,17,0)</f>
        <v>45606</v>
      </c>
      <c r="K2178" t="str">
        <f>VLOOKUP(Googleadssales[[#This Row],[Ad_ID]],'[1]pre processed data'!A:R,18,0)</f>
        <v>Hyderabad</v>
      </c>
      <c r="L2178" t="str">
        <f>VLOOKUP(Googleadssales[[#This Row],[Ad_ID]],'[1]pre processed data'!A:S,19,0)</f>
        <v>Mobile</v>
      </c>
      <c r="M2178" t="str">
        <f>VLOOKUP(Googleadssales[[#This Row],[Ad_ID]],'[1]pre processed data'!A:T,20,0)</f>
        <v>online data analytic</v>
      </c>
    </row>
    <row r="2179" spans="1:13" x14ac:dyDescent="0.3">
      <c r="A2179" t="s">
        <v>2192</v>
      </c>
      <c r="B2179" t="s">
        <v>14</v>
      </c>
      <c r="C2179" s="4">
        <f>VLOOKUP(Googleadssales[[#This Row],[Ad_ID]],'[1]pre processed data'!A:C,3,0)</f>
        <v>106</v>
      </c>
      <c r="D2179" s="4">
        <f>VLOOKUP(Googleadssales[[#This Row],[Ad_ID]],'[1]pre processed data'!A:E,5,0)</f>
        <v>5789</v>
      </c>
      <c r="E2179" s="5" t="str">
        <f>VLOOKUP(Googleadssales[[#This Row],[Ad_ID]],[1]!Table3[[Ad_ID]:[Cost-imputed]],7,0)</f>
        <v>$183.62</v>
      </c>
      <c r="F2179" s="4">
        <f>VLOOKUP(Googleadssales[[#This Row],[Ad_ID]],'[1]pre processed data'!A:I,9,0)</f>
        <v>19</v>
      </c>
      <c r="G2179" s="4">
        <f>VLOOKUP(Googleadssales[[#This Row],[Ad_ID]],'[1]pre processed data'!A:K,11,0)</f>
        <v>3</v>
      </c>
      <c r="H2179" s="2">
        <f>Googleadssales[[#This Row],[Conversions]]/Googleadssales[[#This Row],[Clicks]]</f>
        <v>2.8301886792452831E-2</v>
      </c>
      <c r="I2179" t="str">
        <f>VLOOKUP(Googleadssales[[#This Row],[Ad_ID]],'[1]pre processed data'!A:O,15,0)</f>
        <v>$1838</v>
      </c>
      <c r="J2179" s="3">
        <f>VLOOKUP(Googleadssales[[#This Row],[Ad_ID]],'[1]pre processed data'!A:Q,17,0)</f>
        <v>45612</v>
      </c>
      <c r="K2179" t="str">
        <f>VLOOKUP(Googleadssales[[#This Row],[Ad_ID]],'[1]pre processed data'!A:R,18,0)</f>
        <v>Hyderabad</v>
      </c>
      <c r="L2179" t="str">
        <f>VLOOKUP(Googleadssales[[#This Row],[Ad_ID]],'[1]pre processed data'!A:S,19,0)</f>
        <v>Desktop</v>
      </c>
      <c r="M2179" t="str">
        <f>VLOOKUP(Googleadssales[[#This Row],[Ad_ID]],'[1]pre processed data'!A:T,20,0)</f>
        <v>data analytics online</v>
      </c>
    </row>
    <row r="2180" spans="1:13" x14ac:dyDescent="0.3">
      <c r="A2180" t="s">
        <v>2193</v>
      </c>
      <c r="B2180" t="s">
        <v>18</v>
      </c>
      <c r="C2180" s="4">
        <f>VLOOKUP(Googleadssales[[#This Row],[Ad_ID]],'[1]pre processed data'!A:C,3,0)</f>
        <v>102</v>
      </c>
      <c r="D2180" s="4">
        <f>VLOOKUP(Googleadssales[[#This Row],[Ad_ID]],'[1]pre processed data'!A:E,5,0)</f>
        <v>5113</v>
      </c>
      <c r="E2180" s="5" t="str">
        <f>VLOOKUP(Googleadssales[[#This Row],[Ad_ID]],[1]!Table3[[Ad_ID]:[Cost-imputed]],7,0)</f>
        <v>$206.65</v>
      </c>
      <c r="F2180" s="4">
        <f>VLOOKUP(Googleadssales[[#This Row],[Ad_ID]],'[1]pre processed data'!A:I,9,0)</f>
        <v>27</v>
      </c>
      <c r="G2180" s="4">
        <f>VLOOKUP(Googleadssales[[#This Row],[Ad_ID]],'[1]pre processed data'!A:K,11,0)</f>
        <v>6</v>
      </c>
      <c r="H2180" s="2">
        <f>Googleadssales[[#This Row],[Conversions]]/Googleadssales[[#This Row],[Clicks]]</f>
        <v>5.8823529411764705E-2</v>
      </c>
      <c r="I2180" t="str">
        <f>VLOOKUP(Googleadssales[[#This Row],[Ad_ID]],'[1]pre processed data'!A:O,15,0)</f>
        <v>$1466</v>
      </c>
      <c r="J2180" s="3">
        <f>VLOOKUP(Googleadssales[[#This Row],[Ad_ID]],'[1]pre processed data'!A:Q,17,0)</f>
        <v>45615</v>
      </c>
      <c r="K2180" t="str">
        <f>VLOOKUP(Googleadssales[[#This Row],[Ad_ID]],'[1]pre processed data'!A:R,18,0)</f>
        <v>Hyderabad</v>
      </c>
      <c r="L2180" t="str">
        <f>VLOOKUP(Googleadssales[[#This Row],[Ad_ID]],'[1]pre processed data'!A:S,19,0)</f>
        <v>Mobile</v>
      </c>
      <c r="M2180" t="str">
        <f>VLOOKUP(Googleadssales[[#This Row],[Ad_ID]],'[1]pre processed data'!A:T,20,0)</f>
        <v>data analytics course</v>
      </c>
    </row>
    <row r="2181" spans="1:13" x14ac:dyDescent="0.3">
      <c r="A2181" t="s">
        <v>2194</v>
      </c>
      <c r="B2181" t="s">
        <v>14</v>
      </c>
      <c r="C2181" s="4">
        <f>VLOOKUP(Googleadssales[[#This Row],[Ad_ID]],'[1]pre processed data'!A:C,3,0)</f>
        <v>155</v>
      </c>
      <c r="D2181" s="4">
        <f>VLOOKUP(Googleadssales[[#This Row],[Ad_ID]],'[1]pre processed data'!A:E,5,0)</f>
        <v>3234</v>
      </c>
      <c r="E2181" s="5" t="str">
        <f>VLOOKUP(Googleadssales[[#This Row],[Ad_ID]],[1]!Table3[[Ad_ID]:[Cost-imputed]],7,0)</f>
        <v>$204.47</v>
      </c>
      <c r="F2181" s="4">
        <f>VLOOKUP(Googleadssales[[#This Row],[Ad_ID]],'[1]pre processed data'!A:I,9,0)</f>
        <v>12</v>
      </c>
      <c r="G2181" s="4">
        <f>VLOOKUP(Googleadssales[[#This Row],[Ad_ID]],'[1]pre processed data'!A:K,11,0)</f>
        <v>4</v>
      </c>
      <c r="H2181" s="2">
        <f>Googleadssales[[#This Row],[Conversions]]/Googleadssales[[#This Row],[Clicks]]</f>
        <v>2.5806451612903226E-2</v>
      </c>
      <c r="I2181" t="str">
        <f>VLOOKUP(Googleadssales[[#This Row],[Ad_ID]],'[1]pre processed data'!A:O,15,0)</f>
        <v>$1401</v>
      </c>
      <c r="J2181" s="3">
        <f>VLOOKUP(Googleadssales[[#This Row],[Ad_ID]],'[1]pre processed data'!A:Q,17,0)</f>
        <v>45612</v>
      </c>
      <c r="K2181" t="str">
        <f>VLOOKUP(Googleadssales[[#This Row],[Ad_ID]],'[1]pre processed data'!A:R,18,0)</f>
        <v>Hyderabad</v>
      </c>
      <c r="L2181" t="str">
        <f>VLOOKUP(Googleadssales[[#This Row],[Ad_ID]],'[1]pre processed data'!A:S,19,0)</f>
        <v>Desktop</v>
      </c>
      <c r="M2181" t="str">
        <f>VLOOKUP(Googleadssales[[#This Row],[Ad_ID]],'[1]pre processed data'!A:T,20,0)</f>
        <v>learn data analytics</v>
      </c>
    </row>
    <row r="2182" spans="1:13" x14ac:dyDescent="0.3">
      <c r="A2182" t="s">
        <v>2195</v>
      </c>
      <c r="B2182" t="s">
        <v>14</v>
      </c>
      <c r="C2182" s="4">
        <f>VLOOKUP(Googleadssales[[#This Row],[Ad_ID]],'[1]pre processed data'!A:C,3,0)</f>
        <v>85</v>
      </c>
      <c r="D2182" s="4">
        <f>VLOOKUP(Googleadssales[[#This Row],[Ad_ID]],'[1]pre processed data'!A:E,5,0)</f>
        <v>3088</v>
      </c>
      <c r="E2182" s="5" t="str">
        <f>VLOOKUP(Googleadssales[[#This Row],[Ad_ID]],[1]!Table3[[Ad_ID]:[Cost-imputed]],7,0)</f>
        <v>$234.24</v>
      </c>
      <c r="F2182" s="4">
        <f>VLOOKUP(Googleadssales[[#This Row],[Ad_ID]],'[1]pre processed data'!A:I,9,0)</f>
        <v>24</v>
      </c>
      <c r="G2182" s="4">
        <f>VLOOKUP(Googleadssales[[#This Row],[Ad_ID]],'[1]pre processed data'!A:K,11,0)</f>
        <v>4</v>
      </c>
      <c r="H2182" s="2">
        <f>Googleadssales[[#This Row],[Conversions]]/Googleadssales[[#This Row],[Clicks]]</f>
        <v>4.7058823529411764E-2</v>
      </c>
      <c r="I2182" t="str">
        <f>VLOOKUP(Googleadssales[[#This Row],[Ad_ID]],'[1]pre processed data'!A:O,15,0)</f>
        <v>$1210</v>
      </c>
      <c r="J2182" s="3">
        <f>VLOOKUP(Googleadssales[[#This Row],[Ad_ID]],'[1]pre processed data'!A:Q,17,0)</f>
        <v>45603</v>
      </c>
      <c r="K2182" t="str">
        <f>VLOOKUP(Googleadssales[[#This Row],[Ad_ID]],'[1]pre processed data'!A:R,18,0)</f>
        <v>Chennai</v>
      </c>
      <c r="L2182" t="str">
        <f>VLOOKUP(Googleadssales[[#This Row],[Ad_ID]],'[1]pre processed data'!A:S,19,0)</f>
        <v>Tablet</v>
      </c>
      <c r="M2182" t="str">
        <f>VLOOKUP(Googleadssales[[#This Row],[Ad_ID]],'[1]pre processed data'!A:T,20,0)</f>
        <v>analytics for data</v>
      </c>
    </row>
    <row r="2183" spans="1:13" x14ac:dyDescent="0.3">
      <c r="A2183" t="s">
        <v>2196</v>
      </c>
      <c r="B2183" t="s">
        <v>14</v>
      </c>
      <c r="C2183" s="4">
        <f>VLOOKUP(Googleadssales[[#This Row],[Ad_ID]],'[1]pre processed data'!A:C,3,0)</f>
        <v>126</v>
      </c>
      <c r="D2183" s="4">
        <f>VLOOKUP(Googleadssales[[#This Row],[Ad_ID]],'[1]pre processed data'!A:E,5,0)</f>
        <v>5114</v>
      </c>
      <c r="E2183" s="5" t="str">
        <f>VLOOKUP(Googleadssales[[#This Row],[Ad_ID]],[1]!Table3[[Ad_ID]:[Cost-imputed]],7,0)</f>
        <v>$233.27</v>
      </c>
      <c r="F2183" s="4">
        <f>VLOOKUP(Googleadssales[[#This Row],[Ad_ID]],'[1]pre processed data'!A:I,9,0)</f>
        <v>30</v>
      </c>
      <c r="G2183" s="4">
        <f>VLOOKUP(Googleadssales[[#This Row],[Ad_ID]],'[1]pre processed data'!A:K,11,0)</f>
        <v>5</v>
      </c>
      <c r="H2183" s="2">
        <f>Googleadssales[[#This Row],[Conversions]]/Googleadssales[[#This Row],[Clicks]]</f>
        <v>3.968253968253968E-2</v>
      </c>
      <c r="I2183" t="str">
        <f>VLOOKUP(Googleadssales[[#This Row],[Ad_ID]],'[1]pre processed data'!A:O,15,0)</f>
        <v>$1197</v>
      </c>
      <c r="J2183" s="3">
        <f>VLOOKUP(Googleadssales[[#This Row],[Ad_ID]],'[1]pre processed data'!A:Q,17,0)</f>
        <v>45611</v>
      </c>
      <c r="K2183" t="str">
        <f>VLOOKUP(Googleadssales[[#This Row],[Ad_ID]],'[1]pre processed data'!A:R,18,0)</f>
        <v>Chennai</v>
      </c>
      <c r="L2183" t="str">
        <f>VLOOKUP(Googleadssales[[#This Row],[Ad_ID]],'[1]pre processed data'!A:S,19,0)</f>
        <v>Tablet</v>
      </c>
      <c r="M2183" t="str">
        <f>VLOOKUP(Googleadssales[[#This Row],[Ad_ID]],'[1]pre processed data'!A:T,20,0)</f>
        <v>data analytics online</v>
      </c>
    </row>
    <row r="2184" spans="1:13" x14ac:dyDescent="0.3">
      <c r="A2184" t="s">
        <v>2197</v>
      </c>
      <c r="B2184" t="s">
        <v>14</v>
      </c>
      <c r="C2184" s="4">
        <f>VLOOKUP(Googleadssales[[#This Row],[Ad_ID]],'[1]pre processed data'!A:C,3,0)</f>
        <v>96</v>
      </c>
      <c r="D2184" s="4">
        <f>VLOOKUP(Googleadssales[[#This Row],[Ad_ID]],'[1]pre processed data'!A:E,5,0)</f>
        <v>5070</v>
      </c>
      <c r="E2184" s="5" t="str">
        <f>VLOOKUP(Googleadssales[[#This Row],[Ad_ID]],[1]!Table3[[Ad_ID]:[Cost-imputed]],7,0)</f>
        <v>$210.63</v>
      </c>
      <c r="F2184" s="4">
        <f>VLOOKUP(Googleadssales[[#This Row],[Ad_ID]],'[1]pre processed data'!A:I,9,0)</f>
        <v>27</v>
      </c>
      <c r="G2184" s="4">
        <f>VLOOKUP(Googleadssales[[#This Row],[Ad_ID]],'[1]pre processed data'!A:K,11,0)</f>
        <v>10</v>
      </c>
      <c r="H2184" s="2">
        <f>Googleadssales[[#This Row],[Conversions]]/Googleadssales[[#This Row],[Clicks]]</f>
        <v>0.10416666666666667</v>
      </c>
      <c r="I2184" t="str">
        <f>VLOOKUP(Googleadssales[[#This Row],[Ad_ID]],'[1]pre processed data'!A:O,15,0)</f>
        <v>$1653</v>
      </c>
      <c r="J2184" s="3">
        <f>VLOOKUP(Googleadssales[[#This Row],[Ad_ID]],'[1]pre processed data'!A:Q,17,0)</f>
        <v>45614</v>
      </c>
      <c r="K2184" t="str">
        <f>VLOOKUP(Googleadssales[[#This Row],[Ad_ID]],'[1]pre processed data'!A:R,18,0)</f>
        <v>Chennai</v>
      </c>
      <c r="L2184" t="str">
        <f>VLOOKUP(Googleadssales[[#This Row],[Ad_ID]],'[1]pre processed data'!A:S,19,0)</f>
        <v>Tablet</v>
      </c>
      <c r="M2184" t="str">
        <f>VLOOKUP(Googleadssales[[#This Row],[Ad_ID]],'[1]pre processed data'!A:T,20,0)</f>
        <v>online data analytic</v>
      </c>
    </row>
    <row r="2185" spans="1:13" x14ac:dyDescent="0.3">
      <c r="A2185" t="s">
        <v>2198</v>
      </c>
      <c r="B2185" t="s">
        <v>14</v>
      </c>
      <c r="C2185" s="4">
        <f>VLOOKUP(Googleadssales[[#This Row],[Ad_ID]],'[1]pre processed data'!A:C,3,0)</f>
        <v>128</v>
      </c>
      <c r="D2185" s="4">
        <f>VLOOKUP(Googleadssales[[#This Row],[Ad_ID]],'[1]pre processed data'!A:E,5,0)</f>
        <v>4445</v>
      </c>
      <c r="E2185" s="5" t="str">
        <f>VLOOKUP(Googleadssales[[#This Row],[Ad_ID]],[1]!Table3[[Ad_ID]:[Cost-imputed]],7,0)</f>
        <v>$200.52</v>
      </c>
      <c r="F2185" s="4">
        <f>VLOOKUP(Googleadssales[[#This Row],[Ad_ID]],'[1]pre processed data'!A:I,9,0)</f>
        <v>14</v>
      </c>
      <c r="G2185" s="4">
        <f>VLOOKUP(Googleadssales[[#This Row],[Ad_ID]],'[1]pre processed data'!A:K,11,0)</f>
        <v>4</v>
      </c>
      <c r="H2185" s="2">
        <f>Googleadssales[[#This Row],[Conversions]]/Googleadssales[[#This Row],[Clicks]]</f>
        <v>3.125E-2</v>
      </c>
      <c r="I2185" t="str">
        <f>VLOOKUP(Googleadssales[[#This Row],[Ad_ID]],'[1]pre processed data'!A:O,15,0)</f>
        <v>$1861</v>
      </c>
      <c r="J2185" s="3">
        <f>VLOOKUP(Googleadssales[[#This Row],[Ad_ID]],'[1]pre processed data'!A:Q,17,0)</f>
        <v>45601</v>
      </c>
      <c r="K2185" t="str">
        <f>VLOOKUP(Googleadssales[[#This Row],[Ad_ID]],'[1]pre processed data'!A:R,18,0)</f>
        <v>Bangaluru</v>
      </c>
      <c r="L2185" t="str">
        <f>VLOOKUP(Googleadssales[[#This Row],[Ad_ID]],'[1]pre processed data'!A:S,19,0)</f>
        <v>Tablet</v>
      </c>
      <c r="M2185" t="str">
        <f>VLOOKUP(Googleadssales[[#This Row],[Ad_ID]],'[1]pre processed data'!A:T,20,0)</f>
        <v>learn data analytics</v>
      </c>
    </row>
    <row r="2186" spans="1:13" x14ac:dyDescent="0.3">
      <c r="A2186" t="s">
        <v>2199</v>
      </c>
      <c r="B2186" t="s">
        <v>14</v>
      </c>
      <c r="C2186" s="4">
        <f>VLOOKUP(Googleadssales[[#This Row],[Ad_ID]],'[1]pre processed data'!A:C,3,0)</f>
        <v>151</v>
      </c>
      <c r="D2186" s="4">
        <f>VLOOKUP(Googleadssales[[#This Row],[Ad_ID]],'[1]pre processed data'!A:E,5,0)</f>
        <v>3656</v>
      </c>
      <c r="E2186" s="5" t="str">
        <f>VLOOKUP(Googleadssales[[#This Row],[Ad_ID]],[1]!Table3[[Ad_ID]:[Cost-imputed]],7,0)</f>
        <v>$199.96</v>
      </c>
      <c r="F2186" s="4">
        <f>VLOOKUP(Googleadssales[[#This Row],[Ad_ID]],'[1]pre processed data'!A:I,9,0)</f>
        <v>26</v>
      </c>
      <c r="G2186" s="4">
        <f>VLOOKUP(Googleadssales[[#This Row],[Ad_ID]],'[1]pre processed data'!A:K,11,0)</f>
        <v>7</v>
      </c>
      <c r="H2186" s="2">
        <f>Googleadssales[[#This Row],[Conversions]]/Googleadssales[[#This Row],[Clicks]]</f>
        <v>4.6357615894039736E-2</v>
      </c>
      <c r="I2186" t="str">
        <f>VLOOKUP(Googleadssales[[#This Row],[Ad_ID]],'[1]pre processed data'!A:O,15,0)</f>
        <v>$1566</v>
      </c>
      <c r="J2186" s="3">
        <f>VLOOKUP(Googleadssales[[#This Row],[Ad_ID]],'[1]pre processed data'!A:Q,17,0)</f>
        <v>45613</v>
      </c>
      <c r="K2186" t="str">
        <f>VLOOKUP(Googleadssales[[#This Row],[Ad_ID]],'[1]pre processed data'!A:R,18,0)</f>
        <v>Hyderabad</v>
      </c>
      <c r="L2186" t="str">
        <f>VLOOKUP(Googleadssales[[#This Row],[Ad_ID]],'[1]pre processed data'!A:S,19,0)</f>
        <v>Desktop</v>
      </c>
      <c r="M2186" t="str">
        <f>VLOOKUP(Googleadssales[[#This Row],[Ad_ID]],'[1]pre processed data'!A:T,20,0)</f>
        <v>online data analytic</v>
      </c>
    </row>
    <row r="2187" spans="1:13" x14ac:dyDescent="0.3">
      <c r="A2187" t="s">
        <v>2200</v>
      </c>
      <c r="B2187" t="s">
        <v>14</v>
      </c>
      <c r="C2187" s="4">
        <f>VLOOKUP(Googleadssales[[#This Row],[Ad_ID]],'[1]pre processed data'!A:C,3,0)</f>
        <v>95</v>
      </c>
      <c r="D2187" s="4">
        <f>VLOOKUP(Googleadssales[[#This Row],[Ad_ID]],'[1]pre processed data'!A:E,5,0)</f>
        <v>3583</v>
      </c>
      <c r="E2187" s="5" t="str">
        <f>VLOOKUP(Googleadssales[[#This Row],[Ad_ID]],[1]!Table3[[Ad_ID]:[Cost-imputed]],7,0)</f>
        <v>$223.37</v>
      </c>
      <c r="F2187" s="4">
        <f>VLOOKUP(Googleadssales[[#This Row],[Ad_ID]],'[1]pre processed data'!A:I,9,0)</f>
        <v>22</v>
      </c>
      <c r="G2187" s="4">
        <f>VLOOKUP(Googleadssales[[#This Row],[Ad_ID]],'[1]pre processed data'!A:K,11,0)</f>
        <v>9</v>
      </c>
      <c r="H2187" s="2">
        <f>Googleadssales[[#This Row],[Conversions]]/Googleadssales[[#This Row],[Clicks]]</f>
        <v>9.4736842105263161E-2</v>
      </c>
      <c r="I2187" t="str">
        <f>VLOOKUP(Googleadssales[[#This Row],[Ad_ID]],'[1]pre processed data'!A:O,15,0)</f>
        <v>$1821</v>
      </c>
      <c r="J2187" s="3">
        <f>VLOOKUP(Googleadssales[[#This Row],[Ad_ID]],'[1]pre processed data'!A:Q,17,0)</f>
        <v>45625</v>
      </c>
      <c r="K2187" t="str">
        <f>VLOOKUP(Googleadssales[[#This Row],[Ad_ID]],'[1]pre processed data'!A:R,18,0)</f>
        <v>Chennai</v>
      </c>
      <c r="L2187" t="str">
        <f>VLOOKUP(Googleadssales[[#This Row],[Ad_ID]],'[1]pre processed data'!A:S,19,0)</f>
        <v>Desktop</v>
      </c>
      <c r="M2187" t="str">
        <f>VLOOKUP(Googleadssales[[#This Row],[Ad_ID]],'[1]pre processed data'!A:T,20,0)</f>
        <v>online data analytic</v>
      </c>
    </row>
    <row r="2188" spans="1:13" x14ac:dyDescent="0.3">
      <c r="A2188" t="s">
        <v>2201</v>
      </c>
      <c r="B2188" t="s">
        <v>18</v>
      </c>
      <c r="C2188" s="4">
        <f>VLOOKUP(Googleadssales[[#This Row],[Ad_ID]],'[1]pre processed data'!A:C,3,0)</f>
        <v>193</v>
      </c>
      <c r="D2188" s="4">
        <f>VLOOKUP(Googleadssales[[#This Row],[Ad_ID]],'[1]pre processed data'!A:E,5,0)</f>
        <v>4790</v>
      </c>
      <c r="E2188" s="5" t="str">
        <f>VLOOKUP(Googleadssales[[#This Row],[Ad_ID]],[1]!Table3[[Ad_ID]:[Cost-imputed]],7,0)</f>
        <v>$247.69</v>
      </c>
      <c r="F2188" s="4">
        <f>VLOOKUP(Googleadssales[[#This Row],[Ad_ID]],'[1]pre processed data'!A:I,9,0)</f>
        <v>23</v>
      </c>
      <c r="G2188" s="4">
        <f>VLOOKUP(Googleadssales[[#This Row],[Ad_ID]],'[1]pre processed data'!A:K,11,0)</f>
        <v>5</v>
      </c>
      <c r="H2188" s="2">
        <f>Googleadssales[[#This Row],[Conversions]]/Googleadssales[[#This Row],[Clicks]]</f>
        <v>2.5906735751295335E-2</v>
      </c>
      <c r="I2188" t="str">
        <f>VLOOKUP(Googleadssales[[#This Row],[Ad_ID]],'[1]pre processed data'!A:O,15,0)</f>
        <v>$1687</v>
      </c>
      <c r="J2188" s="3">
        <f>VLOOKUP(Googleadssales[[#This Row],[Ad_ID]],'[1]pre processed data'!A:Q,17,0)</f>
        <v>45620</v>
      </c>
      <c r="K2188" t="str">
        <f>VLOOKUP(Googleadssales[[#This Row],[Ad_ID]],'[1]pre processed data'!A:R,18,0)</f>
        <v>Hyderabad</v>
      </c>
      <c r="L2188" t="str">
        <f>VLOOKUP(Googleadssales[[#This Row],[Ad_ID]],'[1]pre processed data'!A:S,19,0)</f>
        <v>Mobile</v>
      </c>
      <c r="M2188" t="str">
        <f>VLOOKUP(Googleadssales[[#This Row],[Ad_ID]],'[1]pre processed data'!A:T,20,0)</f>
        <v>data analytics online</v>
      </c>
    </row>
    <row r="2189" spans="1:13" x14ac:dyDescent="0.3">
      <c r="A2189" t="s">
        <v>2202</v>
      </c>
      <c r="B2189" t="s">
        <v>18</v>
      </c>
      <c r="C2189" s="4">
        <f>VLOOKUP(Googleadssales[[#This Row],[Ad_ID]],'[1]pre processed data'!A:C,3,0)</f>
        <v>90</v>
      </c>
      <c r="D2189" s="4">
        <f>VLOOKUP(Googleadssales[[#This Row],[Ad_ID]],'[1]pre processed data'!A:E,5,0)</f>
        <v>3235</v>
      </c>
      <c r="E2189" s="5" t="str">
        <f>VLOOKUP(Googleadssales[[#This Row],[Ad_ID]],[1]!Table3[[Ad_ID]:[Cost-imputed]],7,0)</f>
        <v>$211.4</v>
      </c>
      <c r="F2189" s="4">
        <f>VLOOKUP(Googleadssales[[#This Row],[Ad_ID]],'[1]pre processed data'!A:I,9,0)</f>
        <v>29</v>
      </c>
      <c r="G2189" s="4">
        <f>VLOOKUP(Googleadssales[[#This Row],[Ad_ID]],'[1]pre processed data'!A:K,11,0)</f>
        <v>10</v>
      </c>
      <c r="H2189" s="2">
        <f>Googleadssales[[#This Row],[Conversions]]/Googleadssales[[#This Row],[Clicks]]</f>
        <v>0.1111111111111111</v>
      </c>
      <c r="I2189" t="str">
        <f>VLOOKUP(Googleadssales[[#This Row],[Ad_ID]],'[1]pre processed data'!A:O,15,0)</f>
        <v>$1290</v>
      </c>
      <c r="J2189" s="3">
        <f>VLOOKUP(Googleadssales[[#This Row],[Ad_ID]],'[1]pre processed data'!A:Q,17,0)</f>
        <v>45615</v>
      </c>
      <c r="K2189" t="str">
        <f>VLOOKUP(Googleadssales[[#This Row],[Ad_ID]],'[1]pre processed data'!A:R,18,0)</f>
        <v>Hyderabad</v>
      </c>
      <c r="L2189" t="str">
        <f>VLOOKUP(Googleadssales[[#This Row],[Ad_ID]],'[1]pre processed data'!A:S,19,0)</f>
        <v>Tablet</v>
      </c>
      <c r="M2189" t="str">
        <f>VLOOKUP(Googleadssales[[#This Row],[Ad_ID]],'[1]pre processed data'!A:T,20,0)</f>
        <v>analytics for data</v>
      </c>
    </row>
    <row r="2190" spans="1:13" x14ac:dyDescent="0.3">
      <c r="A2190" t="s">
        <v>2203</v>
      </c>
      <c r="B2190" t="s">
        <v>14</v>
      </c>
      <c r="C2190" s="4">
        <f>VLOOKUP(Googleadssales[[#This Row],[Ad_ID]],'[1]pre processed data'!A:C,3,0)</f>
        <v>175</v>
      </c>
      <c r="D2190" s="4">
        <f>VLOOKUP(Googleadssales[[#This Row],[Ad_ID]],'[1]pre processed data'!A:E,5,0)</f>
        <v>3832</v>
      </c>
      <c r="E2190" s="5" t="str">
        <f>VLOOKUP(Googleadssales[[#This Row],[Ad_ID]],[1]!Table3[[Ad_ID]:[Cost-imputed]],7,0)</f>
        <v>$245.61</v>
      </c>
      <c r="F2190" s="4">
        <f>VLOOKUP(Googleadssales[[#This Row],[Ad_ID]],'[1]pre processed data'!A:I,9,0)</f>
        <v>27</v>
      </c>
      <c r="G2190" s="4">
        <f>VLOOKUP(Googleadssales[[#This Row],[Ad_ID]],'[1]pre processed data'!A:K,11,0)</f>
        <v>5</v>
      </c>
      <c r="H2190" s="2">
        <f>Googleadssales[[#This Row],[Conversions]]/Googleadssales[[#This Row],[Clicks]]</f>
        <v>2.8571428571428571E-2</v>
      </c>
      <c r="I2190" t="str">
        <f>VLOOKUP(Googleadssales[[#This Row],[Ad_ID]],'[1]pre processed data'!A:O,15,0)</f>
        <v>$1388</v>
      </c>
      <c r="J2190" s="3">
        <f>VLOOKUP(Googleadssales[[#This Row],[Ad_ID]],'[1]pre processed data'!A:Q,17,0)</f>
        <v>45622</v>
      </c>
      <c r="K2190" t="str">
        <f>VLOOKUP(Googleadssales[[#This Row],[Ad_ID]],'[1]pre processed data'!A:R,18,0)</f>
        <v>Chennai</v>
      </c>
      <c r="L2190" t="str">
        <f>VLOOKUP(Googleadssales[[#This Row],[Ad_ID]],'[1]pre processed data'!A:S,19,0)</f>
        <v>Desktop</v>
      </c>
      <c r="M2190" t="str">
        <f>VLOOKUP(Googleadssales[[#This Row],[Ad_ID]],'[1]pre processed data'!A:T,20,0)</f>
        <v>data analytics online</v>
      </c>
    </row>
    <row r="2191" spans="1:13" x14ac:dyDescent="0.3">
      <c r="A2191" t="s">
        <v>2204</v>
      </c>
      <c r="B2191" t="s">
        <v>14</v>
      </c>
      <c r="C2191" s="4">
        <f>VLOOKUP(Googleadssales[[#This Row],[Ad_ID]],'[1]pre processed data'!A:C,3,0)</f>
        <v>153</v>
      </c>
      <c r="D2191" s="4">
        <f>VLOOKUP(Googleadssales[[#This Row],[Ad_ID]],'[1]pre processed data'!A:E,5,0)</f>
        <v>4261</v>
      </c>
      <c r="E2191" s="5" t="str">
        <f>VLOOKUP(Googleadssales[[#This Row],[Ad_ID]],[1]!Table3[[Ad_ID]:[Cost-imputed]],7,0)</f>
        <v>$230.25</v>
      </c>
      <c r="F2191" s="4">
        <f>VLOOKUP(Googleadssales[[#This Row],[Ad_ID]],'[1]pre processed data'!A:I,9,0)</f>
        <v>27</v>
      </c>
      <c r="G2191" s="4">
        <f>VLOOKUP(Googleadssales[[#This Row],[Ad_ID]],'[1]pre processed data'!A:K,11,0)</f>
        <v>7</v>
      </c>
      <c r="H2191" s="2">
        <f>Googleadssales[[#This Row],[Conversions]]/Googleadssales[[#This Row],[Clicks]]</f>
        <v>4.5751633986928102E-2</v>
      </c>
      <c r="I2191" t="str">
        <f>VLOOKUP(Googleadssales[[#This Row],[Ad_ID]],'[1]pre processed data'!A:O,15,0)</f>
        <v>$1027</v>
      </c>
      <c r="J2191" s="3">
        <f>VLOOKUP(Googleadssales[[#This Row],[Ad_ID]],'[1]pre processed data'!A:Q,17,0)</f>
        <v>45601</v>
      </c>
      <c r="K2191" t="str">
        <f>VLOOKUP(Googleadssales[[#This Row],[Ad_ID]],'[1]pre processed data'!A:R,18,0)</f>
        <v>Bangaluru</v>
      </c>
      <c r="L2191" t="str">
        <f>VLOOKUP(Googleadssales[[#This Row],[Ad_ID]],'[1]pre processed data'!A:S,19,0)</f>
        <v>Desktop</v>
      </c>
      <c r="M2191" t="str">
        <f>VLOOKUP(Googleadssales[[#This Row],[Ad_ID]],'[1]pre processed data'!A:T,20,0)</f>
        <v>analytics for data</v>
      </c>
    </row>
    <row r="2192" spans="1:13" x14ac:dyDescent="0.3">
      <c r="A2192" t="s">
        <v>2205</v>
      </c>
      <c r="B2192" t="s">
        <v>18</v>
      </c>
      <c r="C2192" s="4">
        <f>VLOOKUP(Googleadssales[[#This Row],[Ad_ID]],'[1]pre processed data'!A:C,3,0)</f>
        <v>103</v>
      </c>
      <c r="D2192" s="4">
        <f>VLOOKUP(Googleadssales[[#This Row],[Ad_ID]],'[1]pre processed data'!A:E,5,0)</f>
        <v>4796</v>
      </c>
      <c r="E2192" s="5" t="str">
        <f>VLOOKUP(Googleadssales[[#This Row],[Ad_ID]],[1]!Table3[[Ad_ID]:[Cost-imputed]],7,0)</f>
        <v>$180.64</v>
      </c>
      <c r="F2192" s="4">
        <f>VLOOKUP(Googleadssales[[#This Row],[Ad_ID]],'[1]pre processed data'!A:I,9,0)</f>
        <v>26</v>
      </c>
      <c r="G2192" s="4">
        <f>VLOOKUP(Googleadssales[[#This Row],[Ad_ID]],'[1]pre processed data'!A:K,11,0)</f>
        <v>7</v>
      </c>
      <c r="H2192" s="2">
        <f>Googleadssales[[#This Row],[Conversions]]/Googleadssales[[#This Row],[Clicks]]</f>
        <v>6.7961165048543687E-2</v>
      </c>
      <c r="I2192" t="str">
        <f>VLOOKUP(Googleadssales[[#This Row],[Ad_ID]],'[1]pre processed data'!A:O,15,0)</f>
        <v>$1102</v>
      </c>
      <c r="J2192" s="3">
        <f>VLOOKUP(Googleadssales[[#This Row],[Ad_ID]],'[1]pre processed data'!A:Q,17,0)</f>
        <v>45599</v>
      </c>
      <c r="K2192" t="str">
        <f>VLOOKUP(Googleadssales[[#This Row],[Ad_ID]],'[1]pre processed data'!A:R,18,0)</f>
        <v>Chennai</v>
      </c>
      <c r="L2192" t="str">
        <f>VLOOKUP(Googleadssales[[#This Row],[Ad_ID]],'[1]pre processed data'!A:S,19,0)</f>
        <v>Mobile</v>
      </c>
      <c r="M2192" t="str">
        <f>VLOOKUP(Googleadssales[[#This Row],[Ad_ID]],'[1]pre processed data'!A:T,20,0)</f>
        <v>data analytics training</v>
      </c>
    </row>
    <row r="2193" spans="1:13" x14ac:dyDescent="0.3">
      <c r="A2193" t="s">
        <v>2206</v>
      </c>
      <c r="B2193" t="s">
        <v>14</v>
      </c>
      <c r="C2193" s="4">
        <f>VLOOKUP(Googleadssales[[#This Row],[Ad_ID]],'[1]pre processed data'!A:C,3,0)</f>
        <v>102</v>
      </c>
      <c r="D2193" s="4">
        <f>VLOOKUP(Googleadssales[[#This Row],[Ad_ID]],'[1]pre processed data'!A:E,5,0)</f>
        <v>5229</v>
      </c>
      <c r="E2193" s="5" t="str">
        <f>VLOOKUP(Googleadssales[[#This Row],[Ad_ID]],[1]!Table3[[Ad_ID]:[Cost-imputed]],7,0)</f>
        <v>$208.55</v>
      </c>
      <c r="F2193" s="4">
        <f>VLOOKUP(Googleadssales[[#This Row],[Ad_ID]],'[1]pre processed data'!A:I,9,0)</f>
        <v>30</v>
      </c>
      <c r="G2193" s="4">
        <f>VLOOKUP(Googleadssales[[#This Row],[Ad_ID]],'[1]pre processed data'!A:K,11,0)</f>
        <v>5</v>
      </c>
      <c r="H2193" s="2">
        <f>Googleadssales[[#This Row],[Conversions]]/Googleadssales[[#This Row],[Clicks]]</f>
        <v>4.9019607843137254E-2</v>
      </c>
      <c r="I2193" t="str">
        <f>VLOOKUP(Googleadssales[[#This Row],[Ad_ID]],'[1]pre processed data'!A:O,15,0)</f>
        <v>$1065</v>
      </c>
      <c r="J2193" s="3">
        <f>VLOOKUP(Googleadssales[[#This Row],[Ad_ID]],'[1]pre processed data'!A:Q,17,0)</f>
        <v>45611</v>
      </c>
      <c r="K2193" t="str">
        <f>VLOOKUP(Googleadssales[[#This Row],[Ad_ID]],'[1]pre processed data'!A:R,18,0)</f>
        <v>Chennai</v>
      </c>
      <c r="L2193" t="str">
        <f>VLOOKUP(Googleadssales[[#This Row],[Ad_ID]],'[1]pre processed data'!A:S,19,0)</f>
        <v>Mobile</v>
      </c>
      <c r="M2193" t="str">
        <f>VLOOKUP(Googleadssales[[#This Row],[Ad_ID]],'[1]pre processed data'!A:T,20,0)</f>
        <v>analytics for data</v>
      </c>
    </row>
    <row r="2194" spans="1:13" x14ac:dyDescent="0.3">
      <c r="A2194" t="s">
        <v>2207</v>
      </c>
      <c r="B2194" t="s">
        <v>18</v>
      </c>
      <c r="C2194" s="4">
        <f>VLOOKUP(Googleadssales[[#This Row],[Ad_ID]],'[1]pre processed data'!A:C,3,0)</f>
        <v>199</v>
      </c>
      <c r="D2194" s="4">
        <f>VLOOKUP(Googleadssales[[#This Row],[Ad_ID]],'[1]pre processed data'!A:E,5,0)</f>
        <v>3754</v>
      </c>
      <c r="E2194" s="5" t="str">
        <f>VLOOKUP(Googleadssales[[#This Row],[Ad_ID]],[1]!Table3[[Ad_ID]:[Cost-imputed]],7,0)</f>
        <v>$220.16</v>
      </c>
      <c r="F2194" s="4">
        <f>VLOOKUP(Googleadssales[[#This Row],[Ad_ID]],'[1]pre processed data'!A:I,9,0)</f>
        <v>26</v>
      </c>
      <c r="G2194" s="4">
        <f>VLOOKUP(Googleadssales[[#This Row],[Ad_ID]],'[1]pre processed data'!A:K,11,0)</f>
        <v>6.5938303341902316</v>
      </c>
      <c r="H2194" s="2">
        <f>Googleadssales[[#This Row],[Conversions]]/Googleadssales[[#This Row],[Clicks]]</f>
        <v>3.3134825799950911E-2</v>
      </c>
      <c r="I2194" t="str">
        <f>VLOOKUP(Googleadssales[[#This Row],[Ad_ID]],'[1]pre processed data'!A:O,15,0)</f>
        <v>$1262</v>
      </c>
      <c r="J2194" s="3">
        <f>VLOOKUP(Googleadssales[[#This Row],[Ad_ID]],'[1]pre processed data'!A:Q,17,0)</f>
        <v>45616</v>
      </c>
      <c r="K2194" t="str">
        <f>VLOOKUP(Googleadssales[[#This Row],[Ad_ID]],'[1]pre processed data'!A:R,18,0)</f>
        <v>Hyderabad</v>
      </c>
      <c r="L2194" t="str">
        <f>VLOOKUP(Googleadssales[[#This Row],[Ad_ID]],'[1]pre processed data'!A:S,19,0)</f>
        <v>Tablet</v>
      </c>
      <c r="M2194" t="str">
        <f>VLOOKUP(Googleadssales[[#This Row],[Ad_ID]],'[1]pre processed data'!A:T,20,0)</f>
        <v>data analytics course</v>
      </c>
    </row>
    <row r="2195" spans="1:13" x14ac:dyDescent="0.3">
      <c r="A2195" t="s">
        <v>2208</v>
      </c>
      <c r="B2195" t="s">
        <v>14</v>
      </c>
      <c r="C2195" s="4">
        <f>VLOOKUP(Googleadssales[[#This Row],[Ad_ID]],'[1]pre processed data'!A:C,3,0)</f>
        <v>96</v>
      </c>
      <c r="D2195" s="4">
        <f>VLOOKUP(Googleadssales[[#This Row],[Ad_ID]],'[1]pre processed data'!A:E,5,0)</f>
        <v>4851</v>
      </c>
      <c r="E2195" s="5" t="str">
        <f>VLOOKUP(Googleadssales[[#This Row],[Ad_ID]],[1]!Table3[[Ad_ID]:[Cost-imputed]],7,0)</f>
        <v>$229.12</v>
      </c>
      <c r="F2195" s="4">
        <f>VLOOKUP(Googleadssales[[#This Row],[Ad_ID]],'[1]pre processed data'!A:I,9,0)</f>
        <v>27</v>
      </c>
      <c r="G2195" s="4">
        <f>VLOOKUP(Googleadssales[[#This Row],[Ad_ID]],'[1]pre processed data'!A:K,11,0)</f>
        <v>6</v>
      </c>
      <c r="H2195" s="2">
        <f>Googleadssales[[#This Row],[Conversions]]/Googleadssales[[#This Row],[Clicks]]</f>
        <v>6.25E-2</v>
      </c>
      <c r="I2195" t="str">
        <f>VLOOKUP(Googleadssales[[#This Row],[Ad_ID]],'[1]pre processed data'!A:O,15,0)</f>
        <v>$1271</v>
      </c>
      <c r="J2195" s="3">
        <f>VLOOKUP(Googleadssales[[#This Row],[Ad_ID]],'[1]pre processed data'!A:Q,17,0)</f>
        <v>45599</v>
      </c>
      <c r="K2195" t="str">
        <f>VLOOKUP(Googleadssales[[#This Row],[Ad_ID]],'[1]pre processed data'!A:R,18,0)</f>
        <v>Hyderabad</v>
      </c>
      <c r="L2195" t="str">
        <f>VLOOKUP(Googleadssales[[#This Row],[Ad_ID]],'[1]pre processed data'!A:S,19,0)</f>
        <v>Tablet</v>
      </c>
      <c r="M2195" t="str">
        <f>VLOOKUP(Googleadssales[[#This Row],[Ad_ID]],'[1]pre processed data'!A:T,20,0)</f>
        <v>data analytics training</v>
      </c>
    </row>
    <row r="2196" spans="1:13" x14ac:dyDescent="0.3">
      <c r="A2196" t="s">
        <v>2209</v>
      </c>
      <c r="B2196" t="s">
        <v>18</v>
      </c>
      <c r="C2196" s="4">
        <f>VLOOKUP(Googleadssales[[#This Row],[Ad_ID]],'[1]pre processed data'!A:C,3,0)</f>
        <v>107</v>
      </c>
      <c r="D2196" s="4">
        <f>VLOOKUP(Googleadssales[[#This Row],[Ad_ID]],'[1]pre processed data'!A:E,5,0)</f>
        <v>4816</v>
      </c>
      <c r="E2196" s="5" t="str">
        <f>VLOOKUP(Googleadssales[[#This Row],[Ad_ID]],[1]!Table3[[Ad_ID]:[Cost-imputed]],7,0)</f>
        <v>$243.41</v>
      </c>
      <c r="F2196" s="4">
        <f>VLOOKUP(Googleadssales[[#This Row],[Ad_ID]],'[1]pre processed data'!A:I,9,0)</f>
        <v>20</v>
      </c>
      <c r="G2196" s="4">
        <f>VLOOKUP(Googleadssales[[#This Row],[Ad_ID]],'[1]pre processed data'!A:K,11,0)</f>
        <v>5</v>
      </c>
      <c r="H2196" s="2">
        <f>Googleadssales[[#This Row],[Conversions]]/Googleadssales[[#This Row],[Clicks]]</f>
        <v>4.6728971962616821E-2</v>
      </c>
      <c r="I2196" t="str">
        <f>VLOOKUP(Googleadssales[[#This Row],[Ad_ID]],'[1]pre processed data'!A:O,15,0)</f>
        <v>$1500</v>
      </c>
      <c r="J2196" s="3">
        <f>VLOOKUP(Googleadssales[[#This Row],[Ad_ID]],'[1]pre processed data'!A:Q,17,0)</f>
        <v>45621</v>
      </c>
      <c r="K2196" t="str">
        <f>VLOOKUP(Googleadssales[[#This Row],[Ad_ID]],'[1]pre processed data'!A:R,18,0)</f>
        <v>Hyderabad</v>
      </c>
      <c r="L2196" t="str">
        <f>VLOOKUP(Googleadssales[[#This Row],[Ad_ID]],'[1]pre processed data'!A:S,19,0)</f>
        <v>Tablet</v>
      </c>
      <c r="M2196" t="str">
        <f>VLOOKUP(Googleadssales[[#This Row],[Ad_ID]],'[1]pre processed data'!A:T,20,0)</f>
        <v>data analytics course</v>
      </c>
    </row>
    <row r="2197" spans="1:13" x14ac:dyDescent="0.3">
      <c r="A2197" t="s">
        <v>2210</v>
      </c>
      <c r="B2197" t="s">
        <v>14</v>
      </c>
      <c r="C2197" s="4">
        <f>VLOOKUP(Googleadssales[[#This Row],[Ad_ID]],'[1]pre processed data'!A:C,3,0)</f>
        <v>170</v>
      </c>
      <c r="D2197" s="4">
        <f>VLOOKUP(Googleadssales[[#This Row],[Ad_ID]],'[1]pre processed data'!A:E,5,0)</f>
        <v>5404</v>
      </c>
      <c r="E2197" s="5" t="str">
        <f>VLOOKUP(Googleadssales[[#This Row],[Ad_ID]],[1]!Table3[[Ad_ID]:[Cost-imputed]],7,0)</f>
        <v>$218.24</v>
      </c>
      <c r="F2197" s="4">
        <f>VLOOKUP(Googleadssales[[#This Row],[Ad_ID]],'[1]pre processed data'!A:I,9,0)</f>
        <v>24</v>
      </c>
      <c r="G2197" s="4">
        <f>VLOOKUP(Googleadssales[[#This Row],[Ad_ID]],'[1]pre processed data'!A:K,11,0)</f>
        <v>5</v>
      </c>
      <c r="H2197" s="2">
        <f>Googleadssales[[#This Row],[Conversions]]/Googleadssales[[#This Row],[Clicks]]</f>
        <v>2.9411764705882353E-2</v>
      </c>
      <c r="I2197" t="str">
        <f>VLOOKUP(Googleadssales[[#This Row],[Ad_ID]],'[1]pre processed data'!A:O,15,0)</f>
        <v>$1818</v>
      </c>
      <c r="J2197" s="3">
        <f>VLOOKUP(Googleadssales[[#This Row],[Ad_ID]],'[1]pre processed data'!A:Q,17,0)</f>
        <v>45625</v>
      </c>
      <c r="K2197" t="str">
        <f>VLOOKUP(Googleadssales[[#This Row],[Ad_ID]],'[1]pre processed data'!A:R,18,0)</f>
        <v>Bangaluru</v>
      </c>
      <c r="L2197" t="str">
        <f>VLOOKUP(Googleadssales[[#This Row],[Ad_ID]],'[1]pre processed data'!A:S,19,0)</f>
        <v>Desktop</v>
      </c>
      <c r="M2197" t="str">
        <f>VLOOKUP(Googleadssales[[#This Row],[Ad_ID]],'[1]pre processed data'!A:T,20,0)</f>
        <v>data analytics online</v>
      </c>
    </row>
    <row r="2198" spans="1:13" x14ac:dyDescent="0.3">
      <c r="A2198" t="s">
        <v>2211</v>
      </c>
      <c r="B2198" t="s">
        <v>14</v>
      </c>
      <c r="C2198" s="4">
        <f>VLOOKUP(Googleadssales[[#This Row],[Ad_ID]],'[1]pre processed data'!A:C,3,0)</f>
        <v>145</v>
      </c>
      <c r="D2198" s="4">
        <f>VLOOKUP(Googleadssales[[#This Row],[Ad_ID]],'[1]pre processed data'!A:E,5,0)</f>
        <v>3068</v>
      </c>
      <c r="E2198" s="5" t="str">
        <f>VLOOKUP(Googleadssales[[#This Row],[Ad_ID]],[1]!Table3[[Ad_ID]:[Cost-imputed]],7,0)</f>
        <v>$237.7</v>
      </c>
      <c r="F2198" s="4">
        <f>VLOOKUP(Googleadssales[[#This Row],[Ad_ID]],'[1]pre processed data'!A:I,9,0)</f>
        <v>24</v>
      </c>
      <c r="G2198" s="4">
        <f>VLOOKUP(Googleadssales[[#This Row],[Ad_ID]],'[1]pre processed data'!A:K,11,0)</f>
        <v>7</v>
      </c>
      <c r="H2198" s="2">
        <f>Googleadssales[[#This Row],[Conversions]]/Googleadssales[[#This Row],[Clicks]]</f>
        <v>4.8275862068965517E-2</v>
      </c>
      <c r="I2198" t="str">
        <f>VLOOKUP(Googleadssales[[#This Row],[Ad_ID]],'[1]pre processed data'!A:O,15,0)</f>
        <v>$1494</v>
      </c>
      <c r="J2198" s="3">
        <f>VLOOKUP(Googleadssales[[#This Row],[Ad_ID]],'[1]pre processed data'!A:Q,17,0)</f>
        <v>45615</v>
      </c>
      <c r="K2198" t="str">
        <f>VLOOKUP(Googleadssales[[#This Row],[Ad_ID]],'[1]pre processed data'!A:R,18,0)</f>
        <v>Chennai</v>
      </c>
      <c r="L2198" t="str">
        <f>VLOOKUP(Googleadssales[[#This Row],[Ad_ID]],'[1]pre processed data'!A:S,19,0)</f>
        <v>Mobile</v>
      </c>
      <c r="M2198" t="str">
        <f>VLOOKUP(Googleadssales[[#This Row],[Ad_ID]],'[1]pre processed data'!A:T,20,0)</f>
        <v>data analytics course</v>
      </c>
    </row>
    <row r="2199" spans="1:13" x14ac:dyDescent="0.3">
      <c r="A2199" t="s">
        <v>2212</v>
      </c>
      <c r="B2199" t="s">
        <v>14</v>
      </c>
      <c r="C2199" s="4">
        <f>VLOOKUP(Googleadssales[[#This Row],[Ad_ID]],'[1]pre processed data'!A:C,3,0)</f>
        <v>148</v>
      </c>
      <c r="D2199" s="4">
        <f>VLOOKUP(Googleadssales[[#This Row],[Ad_ID]],'[1]pre processed data'!A:E,5,0)</f>
        <v>5877</v>
      </c>
      <c r="E2199" s="5" t="str">
        <f>VLOOKUP(Googleadssales[[#This Row],[Ad_ID]],[1]!Table3[[Ad_ID]:[Cost-imputed]],7,0)</f>
        <v>$213.84</v>
      </c>
      <c r="F2199" s="4">
        <f>VLOOKUP(Googleadssales[[#This Row],[Ad_ID]],'[1]pre processed data'!A:I,9,0)</f>
        <v>25</v>
      </c>
      <c r="G2199" s="4">
        <f>VLOOKUP(Googleadssales[[#This Row],[Ad_ID]],'[1]pre processed data'!A:K,11,0)</f>
        <v>8</v>
      </c>
      <c r="H2199" s="2">
        <f>Googleadssales[[#This Row],[Conversions]]/Googleadssales[[#This Row],[Clicks]]</f>
        <v>5.4054054054054057E-2</v>
      </c>
      <c r="I2199" t="str">
        <f>VLOOKUP(Googleadssales[[#This Row],[Ad_ID]],'[1]pre processed data'!A:O,15,0)</f>
        <v>$1371</v>
      </c>
      <c r="J2199" s="3">
        <f>VLOOKUP(Googleadssales[[#This Row],[Ad_ID]],'[1]pre processed data'!A:Q,17,0)</f>
        <v>45614</v>
      </c>
      <c r="K2199" t="str">
        <f>VLOOKUP(Googleadssales[[#This Row],[Ad_ID]],'[1]pre processed data'!A:R,18,0)</f>
        <v>Bangaluru</v>
      </c>
      <c r="L2199" t="str">
        <f>VLOOKUP(Googleadssales[[#This Row],[Ad_ID]],'[1]pre processed data'!A:S,19,0)</f>
        <v>Desktop</v>
      </c>
      <c r="M2199" t="str">
        <f>VLOOKUP(Googleadssales[[#This Row],[Ad_ID]],'[1]pre processed data'!A:T,20,0)</f>
        <v>learn data analytics</v>
      </c>
    </row>
    <row r="2200" spans="1:13" x14ac:dyDescent="0.3">
      <c r="A2200" t="s">
        <v>2213</v>
      </c>
      <c r="B2200" t="s">
        <v>18</v>
      </c>
      <c r="C2200" s="4">
        <f>VLOOKUP(Googleadssales[[#This Row],[Ad_ID]],'[1]pre processed data'!A:C,3,0)</f>
        <v>141</v>
      </c>
      <c r="D2200" s="4">
        <f>VLOOKUP(Googleadssales[[#This Row],[Ad_ID]],'[1]pre processed data'!A:E,5,0)</f>
        <v>4188</v>
      </c>
      <c r="E2200" s="5" t="str">
        <f>VLOOKUP(Googleadssales[[#This Row],[Ad_ID]],[1]!Table3[[Ad_ID]:[Cost-imputed]],7,0)</f>
        <v>$228.12</v>
      </c>
      <c r="F2200" s="4">
        <f>VLOOKUP(Googleadssales[[#This Row],[Ad_ID]],'[1]pre processed data'!A:I,9,0)</f>
        <v>16</v>
      </c>
      <c r="G2200" s="4">
        <f>VLOOKUP(Googleadssales[[#This Row],[Ad_ID]],'[1]pre processed data'!A:K,11,0)</f>
        <v>9</v>
      </c>
      <c r="H2200" s="2">
        <f>Googleadssales[[#This Row],[Conversions]]/Googleadssales[[#This Row],[Clicks]]</f>
        <v>6.3829787234042548E-2</v>
      </c>
      <c r="I2200" t="str">
        <f>VLOOKUP(Googleadssales[[#This Row],[Ad_ID]],'[1]pre processed data'!A:O,15,0)</f>
        <v>$1204</v>
      </c>
      <c r="J2200" s="3">
        <f>VLOOKUP(Googleadssales[[#This Row],[Ad_ID]],'[1]pre processed data'!A:Q,17,0)</f>
        <v>45626</v>
      </c>
      <c r="K2200" t="str">
        <f>VLOOKUP(Googleadssales[[#This Row],[Ad_ID]],'[1]pre processed data'!A:R,18,0)</f>
        <v>Hyderabad</v>
      </c>
      <c r="L2200" t="str">
        <f>VLOOKUP(Googleadssales[[#This Row],[Ad_ID]],'[1]pre processed data'!A:S,19,0)</f>
        <v>Desktop</v>
      </c>
      <c r="M2200" t="str">
        <f>VLOOKUP(Googleadssales[[#This Row],[Ad_ID]],'[1]pre processed data'!A:T,20,0)</f>
        <v>data analytics online</v>
      </c>
    </row>
    <row r="2201" spans="1:13" x14ac:dyDescent="0.3">
      <c r="A2201" t="s">
        <v>2214</v>
      </c>
      <c r="B2201" t="s">
        <v>14</v>
      </c>
      <c r="C2201" s="4">
        <f>VLOOKUP(Googleadssales[[#This Row],[Ad_ID]],'[1]pre processed data'!A:C,3,0)</f>
        <v>89</v>
      </c>
      <c r="D2201" s="4">
        <f>VLOOKUP(Googleadssales[[#This Row],[Ad_ID]],'[1]pre processed data'!A:E,5,0)</f>
        <v>5676</v>
      </c>
      <c r="E2201" s="5" t="str">
        <f>VLOOKUP(Googleadssales[[#This Row],[Ad_ID]],[1]!Table3[[Ad_ID]:[Cost-imputed]],7,0)</f>
        <v>$183.58</v>
      </c>
      <c r="F2201" s="4">
        <f>VLOOKUP(Googleadssales[[#This Row],[Ad_ID]],'[1]pre processed data'!A:I,9,0)</f>
        <v>14</v>
      </c>
      <c r="G2201" s="4">
        <f>VLOOKUP(Googleadssales[[#This Row],[Ad_ID]],'[1]pre processed data'!A:K,11,0)</f>
        <v>6.5926892950391647</v>
      </c>
      <c r="H2201" s="2">
        <f>Googleadssales[[#This Row],[Conversions]]/Googleadssales[[#This Row],[Clicks]]</f>
        <v>7.4075160618417582E-2</v>
      </c>
      <c r="I2201" t="str">
        <f>VLOOKUP(Googleadssales[[#This Row],[Ad_ID]],'[1]pre processed data'!A:O,15,0)</f>
        <v>$1254</v>
      </c>
      <c r="J2201" s="3">
        <f>VLOOKUP(Googleadssales[[#This Row],[Ad_ID]],'[1]pre processed data'!A:Q,17,0)</f>
        <v>45612</v>
      </c>
      <c r="K2201" t="str">
        <f>VLOOKUP(Googleadssales[[#This Row],[Ad_ID]],'[1]pre processed data'!A:R,18,0)</f>
        <v>Bangaluru</v>
      </c>
      <c r="L2201" t="str">
        <f>VLOOKUP(Googleadssales[[#This Row],[Ad_ID]],'[1]pre processed data'!A:S,19,0)</f>
        <v>Mobile</v>
      </c>
      <c r="M2201" t="str">
        <f>VLOOKUP(Googleadssales[[#This Row],[Ad_ID]],'[1]pre processed data'!A:T,20,0)</f>
        <v>data analytics online</v>
      </c>
    </row>
    <row r="2202" spans="1:13" x14ac:dyDescent="0.3">
      <c r="A2202" t="s">
        <v>2215</v>
      </c>
      <c r="B2202" t="s">
        <v>14</v>
      </c>
      <c r="C2202" s="4">
        <f>VLOOKUP(Googleadssales[[#This Row],[Ad_ID]],'[1]pre processed data'!A:C,3,0)</f>
        <v>140</v>
      </c>
      <c r="D2202" s="4">
        <f>VLOOKUP(Googleadssales[[#This Row],[Ad_ID]],'[1]pre processed data'!A:E,5,0)</f>
        <v>4677</v>
      </c>
      <c r="E2202" s="5" t="str">
        <f>VLOOKUP(Googleadssales[[#This Row],[Ad_ID]],[1]!Table3[[Ad_ID]:[Cost-imputed]],7,0)</f>
        <v>$223.74</v>
      </c>
      <c r="F2202" s="4">
        <f>VLOOKUP(Googleadssales[[#This Row],[Ad_ID]],'[1]pre processed data'!A:I,9,0)</f>
        <v>20</v>
      </c>
      <c r="G2202" s="4">
        <f>VLOOKUP(Googleadssales[[#This Row],[Ad_ID]],'[1]pre processed data'!A:K,11,0)</f>
        <v>9</v>
      </c>
      <c r="H2202" s="2">
        <f>Googleadssales[[#This Row],[Conversions]]/Googleadssales[[#This Row],[Clicks]]</f>
        <v>6.4285714285714279E-2</v>
      </c>
      <c r="I2202" t="str">
        <f>VLOOKUP(Googleadssales[[#This Row],[Ad_ID]],'[1]pre processed data'!A:O,15,0)</f>
        <v>$1610</v>
      </c>
      <c r="J2202" s="3">
        <f>VLOOKUP(Googleadssales[[#This Row],[Ad_ID]],'[1]pre processed data'!A:Q,17,0)</f>
        <v>45600</v>
      </c>
      <c r="K2202" t="str">
        <f>VLOOKUP(Googleadssales[[#This Row],[Ad_ID]],'[1]pre processed data'!A:R,18,0)</f>
        <v>Hyderabad</v>
      </c>
      <c r="L2202" t="str">
        <f>VLOOKUP(Googleadssales[[#This Row],[Ad_ID]],'[1]pre processed data'!A:S,19,0)</f>
        <v>Mobile</v>
      </c>
      <c r="M2202" t="str">
        <f>VLOOKUP(Googleadssales[[#This Row],[Ad_ID]],'[1]pre processed data'!A:T,20,0)</f>
        <v>learn data analytics</v>
      </c>
    </row>
    <row r="2203" spans="1:13" x14ac:dyDescent="0.3">
      <c r="A2203" t="s">
        <v>2216</v>
      </c>
      <c r="B2203" t="s">
        <v>14</v>
      </c>
      <c r="C2203" s="4">
        <f>VLOOKUP(Googleadssales[[#This Row],[Ad_ID]],'[1]pre processed data'!A:C,3,0)</f>
        <v>135</v>
      </c>
      <c r="D2203" s="4">
        <f>VLOOKUP(Googleadssales[[#This Row],[Ad_ID]],'[1]pre processed data'!A:E,5,0)</f>
        <v>3793</v>
      </c>
      <c r="E2203" s="5" t="str">
        <f>VLOOKUP(Googleadssales[[#This Row],[Ad_ID]],[1]!Table3[[Ad_ID]:[Cost-imputed]],7,0)</f>
        <v>$190.88</v>
      </c>
      <c r="F2203" s="4">
        <f>VLOOKUP(Googleadssales[[#This Row],[Ad_ID]],'[1]pre processed data'!A:I,9,0)</f>
        <v>24</v>
      </c>
      <c r="G2203" s="4">
        <f>VLOOKUP(Googleadssales[[#This Row],[Ad_ID]],'[1]pre processed data'!A:K,11,0)</f>
        <v>9</v>
      </c>
      <c r="H2203" s="2">
        <f>Googleadssales[[#This Row],[Conversions]]/Googleadssales[[#This Row],[Clicks]]</f>
        <v>6.6666666666666666E-2</v>
      </c>
      <c r="I2203" t="str">
        <f>VLOOKUP(Googleadssales[[#This Row],[Ad_ID]],'[1]pre processed data'!A:O,15,0)</f>
        <v>$1500</v>
      </c>
      <c r="J2203" s="3">
        <f>VLOOKUP(Googleadssales[[#This Row],[Ad_ID]],'[1]pre processed data'!A:Q,17,0)</f>
        <v>45615</v>
      </c>
      <c r="K2203" t="str">
        <f>VLOOKUP(Googleadssales[[#This Row],[Ad_ID]],'[1]pre processed data'!A:R,18,0)</f>
        <v>Chennai</v>
      </c>
      <c r="L2203" t="str">
        <f>VLOOKUP(Googleadssales[[#This Row],[Ad_ID]],'[1]pre processed data'!A:S,19,0)</f>
        <v>Desktop</v>
      </c>
      <c r="M2203" t="str">
        <f>VLOOKUP(Googleadssales[[#This Row],[Ad_ID]],'[1]pre processed data'!A:T,20,0)</f>
        <v>data analytics online</v>
      </c>
    </row>
    <row r="2204" spans="1:13" x14ac:dyDescent="0.3">
      <c r="A2204" t="s">
        <v>2217</v>
      </c>
      <c r="B2204" t="s">
        <v>14</v>
      </c>
      <c r="C2204" s="4">
        <f>VLOOKUP(Googleadssales[[#This Row],[Ad_ID]],'[1]pre processed data'!A:C,3,0)</f>
        <v>105</v>
      </c>
      <c r="D2204" s="4">
        <f>VLOOKUP(Googleadssales[[#This Row],[Ad_ID]],'[1]pre processed data'!A:E,5,0)</f>
        <v>3548</v>
      </c>
      <c r="E2204" s="5" t="str">
        <f>VLOOKUP(Googleadssales[[#This Row],[Ad_ID]],[1]!Table3[[Ad_ID]:[Cost-imputed]],7,0)</f>
        <v>$216.8</v>
      </c>
      <c r="F2204" s="4">
        <f>VLOOKUP(Googleadssales[[#This Row],[Ad_ID]],'[1]pre processed data'!A:I,9,0)</f>
        <v>30</v>
      </c>
      <c r="G2204" s="4">
        <f>VLOOKUP(Googleadssales[[#This Row],[Ad_ID]],'[1]pre processed data'!A:K,11,0)</f>
        <v>7</v>
      </c>
      <c r="H2204" s="2">
        <f>Googleadssales[[#This Row],[Conversions]]/Googleadssales[[#This Row],[Clicks]]</f>
        <v>6.6666666666666666E-2</v>
      </c>
      <c r="I2204" t="str">
        <f>VLOOKUP(Googleadssales[[#This Row],[Ad_ID]],'[1]pre processed data'!A:O,15,0)</f>
        <v>$1663</v>
      </c>
      <c r="J2204" s="3">
        <f>VLOOKUP(Googleadssales[[#This Row],[Ad_ID]],'[1]pre processed data'!A:Q,17,0)</f>
        <v>45610</v>
      </c>
      <c r="K2204" t="str">
        <f>VLOOKUP(Googleadssales[[#This Row],[Ad_ID]],'[1]pre processed data'!A:R,18,0)</f>
        <v>Chennai</v>
      </c>
      <c r="L2204" t="str">
        <f>VLOOKUP(Googleadssales[[#This Row],[Ad_ID]],'[1]pre processed data'!A:S,19,0)</f>
        <v>Tablet</v>
      </c>
      <c r="M2204" t="str">
        <f>VLOOKUP(Googleadssales[[#This Row],[Ad_ID]],'[1]pre processed data'!A:T,20,0)</f>
        <v>learn data analytics</v>
      </c>
    </row>
    <row r="2205" spans="1:13" x14ac:dyDescent="0.3">
      <c r="A2205" t="s">
        <v>2218</v>
      </c>
      <c r="B2205" t="s">
        <v>14</v>
      </c>
      <c r="C2205" s="4">
        <f>VLOOKUP(Googleadssales[[#This Row],[Ad_ID]],'[1]pre processed data'!A:C,3,0)</f>
        <v>119</v>
      </c>
      <c r="D2205" s="4">
        <f>VLOOKUP(Googleadssales[[#This Row],[Ad_ID]],'[1]pre processed data'!A:E,5,0)</f>
        <v>5944</v>
      </c>
      <c r="E2205" s="5" t="str">
        <f>VLOOKUP(Googleadssales[[#This Row],[Ad_ID]],[1]!Table3[[Ad_ID]:[Cost-imputed]],7,0)</f>
        <v>$225.75</v>
      </c>
      <c r="F2205" s="4">
        <f>VLOOKUP(Googleadssales[[#This Row],[Ad_ID]],'[1]pre processed data'!A:I,9,0)</f>
        <v>24</v>
      </c>
      <c r="G2205" s="4">
        <f>VLOOKUP(Googleadssales[[#This Row],[Ad_ID]],'[1]pre processed data'!A:K,11,0)</f>
        <v>6.5789473684210522</v>
      </c>
      <c r="H2205" s="2">
        <f>Googleadssales[[#This Row],[Conversions]]/Googleadssales[[#This Row],[Clicks]]</f>
        <v>5.5285272003538256E-2</v>
      </c>
      <c r="I2205" t="str">
        <f>VLOOKUP(Googleadssales[[#This Row],[Ad_ID]],'[1]pre processed data'!A:O,15,0)</f>
        <v>$1516</v>
      </c>
      <c r="J2205" s="3">
        <f>VLOOKUP(Googleadssales[[#This Row],[Ad_ID]],'[1]pre processed data'!A:Q,17,0)</f>
        <v>45609</v>
      </c>
      <c r="K2205" t="str">
        <f>VLOOKUP(Googleadssales[[#This Row],[Ad_ID]],'[1]pre processed data'!A:R,18,0)</f>
        <v>Hyderabad</v>
      </c>
      <c r="L2205" t="str">
        <f>VLOOKUP(Googleadssales[[#This Row],[Ad_ID]],'[1]pre processed data'!A:S,19,0)</f>
        <v>Tablet</v>
      </c>
      <c r="M2205" t="str">
        <f>VLOOKUP(Googleadssales[[#This Row],[Ad_ID]],'[1]pre processed data'!A:T,20,0)</f>
        <v>analytics for data</v>
      </c>
    </row>
    <row r="2206" spans="1:13" x14ac:dyDescent="0.3">
      <c r="A2206" t="s">
        <v>2219</v>
      </c>
      <c r="B2206" t="s">
        <v>14</v>
      </c>
      <c r="C2206" s="4">
        <f>VLOOKUP(Googleadssales[[#This Row],[Ad_ID]],'[1]pre processed data'!A:C,3,0)</f>
        <v>128</v>
      </c>
      <c r="D2206" s="4">
        <f>VLOOKUP(Googleadssales[[#This Row],[Ad_ID]],'[1]pre processed data'!A:E,5,0)</f>
        <v>4662</v>
      </c>
      <c r="E2206" s="5" t="str">
        <f>VLOOKUP(Googleadssales[[#This Row],[Ad_ID]],[1]!Table3[[Ad_ID]:[Cost-imputed]],7,0)</f>
        <v>$187.28</v>
      </c>
      <c r="F2206" s="4">
        <f>VLOOKUP(Googleadssales[[#This Row],[Ad_ID]],'[1]pre processed data'!A:I,9,0)</f>
        <v>23</v>
      </c>
      <c r="G2206" s="4">
        <f>VLOOKUP(Googleadssales[[#This Row],[Ad_ID]],'[1]pre processed data'!A:K,11,0)</f>
        <v>9</v>
      </c>
      <c r="H2206" s="2">
        <f>Googleadssales[[#This Row],[Conversions]]/Googleadssales[[#This Row],[Clicks]]</f>
        <v>7.03125E-2</v>
      </c>
      <c r="I2206" t="str">
        <f>VLOOKUP(Googleadssales[[#This Row],[Ad_ID]],'[1]pre processed data'!A:O,15,0)</f>
        <v>$1710</v>
      </c>
      <c r="J2206" s="3">
        <f>VLOOKUP(Googleadssales[[#This Row],[Ad_ID]],'[1]pre processed data'!A:Q,17,0)</f>
        <v>45609</v>
      </c>
      <c r="K2206" t="str">
        <f>VLOOKUP(Googleadssales[[#This Row],[Ad_ID]],'[1]pre processed data'!A:R,18,0)</f>
        <v>Hyderabad</v>
      </c>
      <c r="L2206" t="str">
        <f>VLOOKUP(Googleadssales[[#This Row],[Ad_ID]],'[1]pre processed data'!A:S,19,0)</f>
        <v>Desktop</v>
      </c>
      <c r="M2206" t="str">
        <f>VLOOKUP(Googleadssales[[#This Row],[Ad_ID]],'[1]pre processed data'!A:T,20,0)</f>
        <v>data analytics training</v>
      </c>
    </row>
    <row r="2207" spans="1:13" x14ac:dyDescent="0.3">
      <c r="A2207" t="s">
        <v>2220</v>
      </c>
      <c r="B2207" t="s">
        <v>18</v>
      </c>
      <c r="C2207" s="4">
        <f>VLOOKUP(Googleadssales[[#This Row],[Ad_ID]],'[1]pre processed data'!A:C,3,0)</f>
        <v>120</v>
      </c>
      <c r="D2207" s="4">
        <f>VLOOKUP(Googleadssales[[#This Row],[Ad_ID]],'[1]pre processed data'!A:E,5,0)</f>
        <v>4453</v>
      </c>
      <c r="E2207" s="5" t="str">
        <f>VLOOKUP(Googleadssales[[#This Row],[Ad_ID]],[1]!Table3[[Ad_ID]:[Cost-imputed]],7,0)</f>
        <v>$240.34</v>
      </c>
      <c r="F2207" s="4">
        <f>VLOOKUP(Googleadssales[[#This Row],[Ad_ID]],'[1]pre processed data'!A:I,9,0)</f>
        <v>23</v>
      </c>
      <c r="G2207" s="4">
        <f>VLOOKUP(Googleadssales[[#This Row],[Ad_ID]],'[1]pre processed data'!A:K,11,0)</f>
        <v>8</v>
      </c>
      <c r="H2207" s="2">
        <f>Googleadssales[[#This Row],[Conversions]]/Googleadssales[[#This Row],[Clicks]]</f>
        <v>6.6666666666666666E-2</v>
      </c>
      <c r="I2207" t="str">
        <f>VLOOKUP(Googleadssales[[#This Row],[Ad_ID]],'[1]pre processed data'!A:O,15,0)</f>
        <v>$1452</v>
      </c>
      <c r="J2207" s="3">
        <f>VLOOKUP(Googleadssales[[#This Row],[Ad_ID]],'[1]pre processed data'!A:Q,17,0)</f>
        <v>45622</v>
      </c>
      <c r="K2207" t="str">
        <f>VLOOKUP(Googleadssales[[#This Row],[Ad_ID]],'[1]pre processed data'!A:R,18,0)</f>
        <v>Bangaluru</v>
      </c>
      <c r="L2207" t="str">
        <f>VLOOKUP(Googleadssales[[#This Row],[Ad_ID]],'[1]pre processed data'!A:S,19,0)</f>
        <v>Tablet</v>
      </c>
      <c r="M2207" t="str">
        <f>VLOOKUP(Googleadssales[[#This Row],[Ad_ID]],'[1]pre processed data'!A:T,20,0)</f>
        <v>online data analytic</v>
      </c>
    </row>
    <row r="2208" spans="1:13" x14ac:dyDescent="0.3">
      <c r="A2208" t="s">
        <v>2221</v>
      </c>
      <c r="B2208" t="s">
        <v>14</v>
      </c>
      <c r="C2208" s="4">
        <f>VLOOKUP(Googleadssales[[#This Row],[Ad_ID]],'[1]pre processed data'!A:C,3,0)</f>
        <v>163</v>
      </c>
      <c r="D2208" s="4">
        <f>VLOOKUP(Googleadssales[[#This Row],[Ad_ID]],'[1]pre processed data'!A:E,5,0)</f>
        <v>5052</v>
      </c>
      <c r="E2208" s="5" t="str">
        <f>VLOOKUP(Googleadssales[[#This Row],[Ad_ID]],[1]!Table3[[Ad_ID]:[Cost-imputed]],7,0)</f>
        <v>$234.73</v>
      </c>
      <c r="F2208" s="4">
        <f>VLOOKUP(Googleadssales[[#This Row],[Ad_ID]],'[1]pre processed data'!A:I,9,0)</f>
        <v>24</v>
      </c>
      <c r="G2208" s="4">
        <f>VLOOKUP(Googleadssales[[#This Row],[Ad_ID]],'[1]pre processed data'!A:K,11,0)</f>
        <v>6</v>
      </c>
      <c r="H2208" s="2">
        <f>Googleadssales[[#This Row],[Conversions]]/Googleadssales[[#This Row],[Clicks]]</f>
        <v>3.6809815950920248E-2</v>
      </c>
      <c r="I2208" t="str">
        <f>VLOOKUP(Googleadssales[[#This Row],[Ad_ID]],'[1]pre processed data'!A:O,15,0)</f>
        <v>$1848</v>
      </c>
      <c r="J2208" s="3">
        <f>VLOOKUP(Googleadssales[[#This Row],[Ad_ID]],'[1]pre processed data'!A:Q,17,0)</f>
        <v>45613</v>
      </c>
      <c r="K2208" t="str">
        <f>VLOOKUP(Googleadssales[[#This Row],[Ad_ID]],'[1]pre processed data'!A:R,18,0)</f>
        <v>Bangaluru</v>
      </c>
      <c r="L2208" t="str">
        <f>VLOOKUP(Googleadssales[[#This Row],[Ad_ID]],'[1]pre processed data'!A:S,19,0)</f>
        <v>Mobile</v>
      </c>
      <c r="M2208" t="str">
        <f>VLOOKUP(Googleadssales[[#This Row],[Ad_ID]],'[1]pre processed data'!A:T,20,0)</f>
        <v>online data analytic</v>
      </c>
    </row>
    <row r="2209" spans="1:13" x14ac:dyDescent="0.3">
      <c r="A2209" t="s">
        <v>2222</v>
      </c>
      <c r="B2209" t="s">
        <v>14</v>
      </c>
      <c r="C2209" s="4">
        <f>VLOOKUP(Googleadssales[[#This Row],[Ad_ID]],'[1]pre processed data'!A:C,3,0)</f>
        <v>94</v>
      </c>
      <c r="D2209" s="4">
        <f>VLOOKUP(Googleadssales[[#This Row],[Ad_ID]],'[1]pre processed data'!A:E,5,0)</f>
        <v>4457</v>
      </c>
      <c r="E2209" s="5" t="str">
        <f>VLOOKUP(Googleadssales[[#This Row],[Ad_ID]],[1]!Table3[[Ad_ID]:[Cost-imputed]],7,0)</f>
        <v>$246.18</v>
      </c>
      <c r="F2209" s="4">
        <f>VLOOKUP(Googleadssales[[#This Row],[Ad_ID]],'[1]pre processed data'!A:I,9,0)</f>
        <v>14</v>
      </c>
      <c r="G2209" s="4">
        <f>VLOOKUP(Googleadssales[[#This Row],[Ad_ID]],'[1]pre processed data'!A:K,11,0)</f>
        <v>6</v>
      </c>
      <c r="H2209" s="2">
        <f>Googleadssales[[#This Row],[Conversions]]/Googleadssales[[#This Row],[Clicks]]</f>
        <v>6.3829787234042548E-2</v>
      </c>
      <c r="I2209" t="str">
        <f>VLOOKUP(Googleadssales[[#This Row],[Ad_ID]],'[1]pre processed data'!A:O,15,0)</f>
        <v>$1492</v>
      </c>
      <c r="J2209" s="3">
        <f>VLOOKUP(Googleadssales[[#This Row],[Ad_ID]],'[1]pre processed data'!A:Q,17,0)</f>
        <v>45611</v>
      </c>
      <c r="K2209" t="str">
        <f>VLOOKUP(Googleadssales[[#This Row],[Ad_ID]],'[1]pre processed data'!A:R,18,0)</f>
        <v>Hyderabad</v>
      </c>
      <c r="L2209" t="str">
        <f>VLOOKUP(Googleadssales[[#This Row],[Ad_ID]],'[1]pre processed data'!A:S,19,0)</f>
        <v>Tablet</v>
      </c>
      <c r="M2209" t="str">
        <f>VLOOKUP(Googleadssales[[#This Row],[Ad_ID]],'[1]pre processed data'!A:T,20,0)</f>
        <v>data analytics online</v>
      </c>
    </row>
    <row r="2210" spans="1:13" x14ac:dyDescent="0.3">
      <c r="A2210" t="s">
        <v>2223</v>
      </c>
      <c r="B2210" t="s">
        <v>14</v>
      </c>
      <c r="C2210" s="4">
        <f>VLOOKUP(Googleadssales[[#This Row],[Ad_ID]],'[1]pre processed data'!A:C,3,0)</f>
        <v>138.95699356913184</v>
      </c>
      <c r="D2210" s="4">
        <f>VLOOKUP(Googleadssales[[#This Row],[Ad_ID]],'[1]pre processed data'!A:E,5,0)</f>
        <v>5528</v>
      </c>
      <c r="E2210" s="5" t="str">
        <f>VLOOKUP(Googleadssales[[#This Row],[Ad_ID]],[1]!Table3[[Ad_ID]:[Cost-imputed]],7,0)</f>
        <v>$185.93</v>
      </c>
      <c r="F2210" s="4">
        <f>VLOOKUP(Googleadssales[[#This Row],[Ad_ID]],'[1]pre processed data'!A:I,9,0)</f>
        <v>21</v>
      </c>
      <c r="G2210" s="4">
        <f>VLOOKUP(Googleadssales[[#This Row],[Ad_ID]],'[1]pre processed data'!A:K,11,0)</f>
        <v>5</v>
      </c>
      <c r="H2210" s="2">
        <f>Googleadssales[[#This Row],[Conversions]]/Googleadssales[[#This Row],[Clicks]]</f>
        <v>3.5982355918721523E-2</v>
      </c>
      <c r="I2210" t="str">
        <f>VLOOKUP(Googleadssales[[#This Row],[Ad_ID]],'[1]pre processed data'!A:O,15,0)</f>
        <v>$1719</v>
      </c>
      <c r="J2210" s="3">
        <f>VLOOKUP(Googleadssales[[#This Row],[Ad_ID]],'[1]pre processed data'!A:Q,17,0)</f>
        <v>45611</v>
      </c>
      <c r="K2210" t="str">
        <f>VLOOKUP(Googleadssales[[#This Row],[Ad_ID]],'[1]pre processed data'!A:R,18,0)</f>
        <v>Bangaluru</v>
      </c>
      <c r="L2210" t="str">
        <f>VLOOKUP(Googleadssales[[#This Row],[Ad_ID]],'[1]pre processed data'!A:S,19,0)</f>
        <v>Mobile</v>
      </c>
      <c r="M2210" t="str">
        <f>VLOOKUP(Googleadssales[[#This Row],[Ad_ID]],'[1]pre processed data'!A:T,20,0)</f>
        <v>data analytics training</v>
      </c>
    </row>
    <row r="2211" spans="1:13" x14ac:dyDescent="0.3">
      <c r="A2211" t="s">
        <v>2224</v>
      </c>
      <c r="B2211" t="s">
        <v>18</v>
      </c>
      <c r="C2211" s="4">
        <f>VLOOKUP(Googleadssales[[#This Row],[Ad_ID]],'[1]pre processed data'!A:C,3,0)</f>
        <v>146</v>
      </c>
      <c r="D2211" s="4">
        <f>VLOOKUP(Googleadssales[[#This Row],[Ad_ID]],'[1]pre processed data'!A:E,5,0)</f>
        <v>4474</v>
      </c>
      <c r="E2211" s="5" t="str">
        <f>VLOOKUP(Googleadssales[[#This Row],[Ad_ID]],[1]!Table3[[Ad_ID]:[Cost-imputed]],7,0)</f>
        <v>$190.94</v>
      </c>
      <c r="F2211" s="4">
        <f>VLOOKUP(Googleadssales[[#This Row],[Ad_ID]],'[1]pre processed data'!A:I,9,0)</f>
        <v>18</v>
      </c>
      <c r="G2211" s="4">
        <f>VLOOKUP(Googleadssales[[#This Row],[Ad_ID]],'[1]pre processed data'!A:K,11,0)</f>
        <v>10</v>
      </c>
      <c r="H2211" s="2">
        <f>Googleadssales[[#This Row],[Conversions]]/Googleadssales[[#This Row],[Clicks]]</f>
        <v>6.8493150684931503E-2</v>
      </c>
      <c r="I2211" t="str">
        <f>VLOOKUP(Googleadssales[[#This Row],[Ad_ID]],'[1]pre processed data'!A:O,15,0)</f>
        <v>$1872</v>
      </c>
      <c r="J2211" s="3">
        <f>VLOOKUP(Googleadssales[[#This Row],[Ad_ID]],'[1]pre processed data'!A:Q,17,0)</f>
        <v>45603</v>
      </c>
      <c r="K2211" t="str">
        <f>VLOOKUP(Googleadssales[[#This Row],[Ad_ID]],'[1]pre processed data'!A:R,18,0)</f>
        <v>Chennai</v>
      </c>
      <c r="L2211" t="str">
        <f>VLOOKUP(Googleadssales[[#This Row],[Ad_ID]],'[1]pre processed data'!A:S,19,0)</f>
        <v>Tablet</v>
      </c>
      <c r="M2211" t="str">
        <f>VLOOKUP(Googleadssales[[#This Row],[Ad_ID]],'[1]pre processed data'!A:T,20,0)</f>
        <v>data analytics online</v>
      </c>
    </row>
    <row r="2212" spans="1:13" x14ac:dyDescent="0.3">
      <c r="A2212" t="s">
        <v>2225</v>
      </c>
      <c r="B2212" t="s">
        <v>18</v>
      </c>
      <c r="C2212" s="4">
        <f>VLOOKUP(Googleadssales[[#This Row],[Ad_ID]],'[1]pre processed data'!A:C,3,0)</f>
        <v>193</v>
      </c>
      <c r="D2212" s="4">
        <f>VLOOKUP(Googleadssales[[#This Row],[Ad_ID]],'[1]pre processed data'!A:E,5,0)</f>
        <v>5129</v>
      </c>
      <c r="E2212" s="5" t="str">
        <f>VLOOKUP(Googleadssales[[#This Row],[Ad_ID]],[1]!Table3[[Ad_ID]:[Cost-imputed]],7,0)</f>
        <v>$243.78</v>
      </c>
      <c r="F2212" s="4">
        <f>VLOOKUP(Googleadssales[[#This Row],[Ad_ID]],'[1]pre processed data'!A:I,9,0)</f>
        <v>13</v>
      </c>
      <c r="G2212" s="4">
        <f>VLOOKUP(Googleadssales[[#This Row],[Ad_ID]],'[1]pre processed data'!A:K,11,0)</f>
        <v>10</v>
      </c>
      <c r="H2212" s="2">
        <f>Googleadssales[[#This Row],[Conversions]]/Googleadssales[[#This Row],[Clicks]]</f>
        <v>5.181347150259067E-2</v>
      </c>
      <c r="I2212" t="str">
        <f>VLOOKUP(Googleadssales[[#This Row],[Ad_ID]],'[1]pre processed data'!A:O,15,0)</f>
        <v>$1583</v>
      </c>
      <c r="J2212" s="3">
        <f>VLOOKUP(Googleadssales[[#This Row],[Ad_ID]],'[1]pre processed data'!A:Q,17,0)</f>
        <v>45602</v>
      </c>
      <c r="K2212" t="str">
        <f>VLOOKUP(Googleadssales[[#This Row],[Ad_ID]],'[1]pre processed data'!A:R,18,0)</f>
        <v>Bangaluru</v>
      </c>
      <c r="L2212" t="str">
        <f>VLOOKUP(Googleadssales[[#This Row],[Ad_ID]],'[1]pre processed data'!A:S,19,0)</f>
        <v>Tablet</v>
      </c>
      <c r="M2212" t="str">
        <f>VLOOKUP(Googleadssales[[#This Row],[Ad_ID]],'[1]pre processed data'!A:T,20,0)</f>
        <v>data analytics course</v>
      </c>
    </row>
    <row r="2213" spans="1:13" x14ac:dyDescent="0.3">
      <c r="A2213" t="s">
        <v>2226</v>
      </c>
      <c r="B2213" t="s">
        <v>14</v>
      </c>
      <c r="C2213" s="4">
        <f>VLOOKUP(Googleadssales[[#This Row],[Ad_ID]],'[1]pre processed data'!A:C,3,0)</f>
        <v>96</v>
      </c>
      <c r="D2213" s="4">
        <f>VLOOKUP(Googleadssales[[#This Row],[Ad_ID]],'[1]pre processed data'!A:E,5,0)</f>
        <v>5210</v>
      </c>
      <c r="E2213" s="5" t="str">
        <f>VLOOKUP(Googleadssales[[#This Row],[Ad_ID]],[1]!Table3[[Ad_ID]:[Cost-imputed]],7,0)</f>
        <v>$223.05</v>
      </c>
      <c r="F2213" s="4">
        <f>VLOOKUP(Googleadssales[[#This Row],[Ad_ID]],'[1]pre processed data'!A:I,9,0)</f>
        <v>10</v>
      </c>
      <c r="G2213" s="4">
        <f>VLOOKUP(Googleadssales[[#This Row],[Ad_ID]],'[1]pre processed data'!A:K,11,0)</f>
        <v>8</v>
      </c>
      <c r="H2213" s="2">
        <f>Googleadssales[[#This Row],[Conversions]]/Googleadssales[[#This Row],[Clicks]]</f>
        <v>8.3333333333333329E-2</v>
      </c>
      <c r="I2213" t="str">
        <f>VLOOKUP(Googleadssales[[#This Row],[Ad_ID]],'[1]pre processed data'!A:O,15,0)</f>
        <v>$1483</v>
      </c>
      <c r="J2213" s="3">
        <f>VLOOKUP(Googleadssales[[#This Row],[Ad_ID]],'[1]pre processed data'!A:Q,17,0)</f>
        <v>45625</v>
      </c>
      <c r="K2213" t="str">
        <f>VLOOKUP(Googleadssales[[#This Row],[Ad_ID]],'[1]pre processed data'!A:R,18,0)</f>
        <v>Hyderabad</v>
      </c>
      <c r="L2213" t="str">
        <f>VLOOKUP(Googleadssales[[#This Row],[Ad_ID]],'[1]pre processed data'!A:S,19,0)</f>
        <v>Tablet</v>
      </c>
      <c r="M2213" t="str">
        <f>VLOOKUP(Googleadssales[[#This Row],[Ad_ID]],'[1]pre processed data'!A:T,20,0)</f>
        <v>online data analytic</v>
      </c>
    </row>
    <row r="2214" spans="1:13" x14ac:dyDescent="0.3">
      <c r="A2214" t="s">
        <v>2227</v>
      </c>
      <c r="B2214" t="s">
        <v>18</v>
      </c>
      <c r="C2214" s="4">
        <f>VLOOKUP(Googleadssales[[#This Row],[Ad_ID]],'[1]pre processed data'!A:C,3,0)</f>
        <v>150</v>
      </c>
      <c r="D2214" s="4">
        <f>VLOOKUP(Googleadssales[[#This Row],[Ad_ID]],'[1]pre processed data'!A:E,5,0)</f>
        <v>3456</v>
      </c>
      <c r="E2214" s="5" t="str">
        <f>VLOOKUP(Googleadssales[[#This Row],[Ad_ID]],[1]!Table3[[Ad_ID]:[Cost-imputed]],7,0)</f>
        <v>$242.22</v>
      </c>
      <c r="F2214" s="4">
        <f>VLOOKUP(Googleadssales[[#This Row],[Ad_ID]],'[1]pre processed data'!A:I,9,0)</f>
        <v>16</v>
      </c>
      <c r="G2214" s="4">
        <f>VLOOKUP(Googleadssales[[#This Row],[Ad_ID]],'[1]pre processed data'!A:K,11,0)</f>
        <v>7</v>
      </c>
      <c r="H2214" s="2">
        <f>Googleadssales[[#This Row],[Conversions]]/Googleadssales[[#This Row],[Clicks]]</f>
        <v>4.6666666666666669E-2</v>
      </c>
      <c r="I2214" t="str">
        <f>VLOOKUP(Googleadssales[[#This Row],[Ad_ID]],'[1]pre processed data'!A:O,15,0)</f>
        <v>$1215</v>
      </c>
      <c r="J2214" s="3">
        <f>VLOOKUP(Googleadssales[[#This Row],[Ad_ID]],'[1]pre processed data'!A:Q,17,0)</f>
        <v>45598</v>
      </c>
      <c r="K2214" t="str">
        <f>VLOOKUP(Googleadssales[[#This Row],[Ad_ID]],'[1]pre processed data'!A:R,18,0)</f>
        <v>Chennai</v>
      </c>
      <c r="L2214" t="str">
        <f>VLOOKUP(Googleadssales[[#This Row],[Ad_ID]],'[1]pre processed data'!A:S,19,0)</f>
        <v>Desktop</v>
      </c>
      <c r="M2214" t="str">
        <f>VLOOKUP(Googleadssales[[#This Row],[Ad_ID]],'[1]pre processed data'!A:T,20,0)</f>
        <v>data analytics training</v>
      </c>
    </row>
    <row r="2215" spans="1:13" x14ac:dyDescent="0.3">
      <c r="A2215" t="s">
        <v>2228</v>
      </c>
      <c r="B2215" t="s">
        <v>14</v>
      </c>
      <c r="C2215" s="4">
        <f>VLOOKUP(Googleadssales[[#This Row],[Ad_ID]],'[1]pre processed data'!A:C,3,0)</f>
        <v>130</v>
      </c>
      <c r="D2215" s="4">
        <f>VLOOKUP(Googleadssales[[#This Row],[Ad_ID]],'[1]pre processed data'!A:E,5,0)</f>
        <v>4109</v>
      </c>
      <c r="E2215" s="5" t="str">
        <f>VLOOKUP(Googleadssales[[#This Row],[Ad_ID]],[1]!Table3[[Ad_ID]:[Cost-imputed]],7,0)</f>
        <v>$207.1</v>
      </c>
      <c r="F2215" s="4">
        <f>VLOOKUP(Googleadssales[[#This Row],[Ad_ID]],'[1]pre processed data'!A:I,9,0)</f>
        <v>19</v>
      </c>
      <c r="G2215" s="4">
        <f>VLOOKUP(Googleadssales[[#This Row],[Ad_ID]],'[1]pre processed data'!A:K,11,0)</f>
        <v>6</v>
      </c>
      <c r="H2215" s="2">
        <f>Googleadssales[[#This Row],[Conversions]]/Googleadssales[[#This Row],[Clicks]]</f>
        <v>4.6153846153846156E-2</v>
      </c>
      <c r="I2215" t="str">
        <f>VLOOKUP(Googleadssales[[#This Row],[Ad_ID]],'[1]pre processed data'!A:O,15,0)</f>
        <v>$1521</v>
      </c>
      <c r="J2215" s="3">
        <f>VLOOKUP(Googleadssales[[#This Row],[Ad_ID]],'[1]pre processed data'!A:Q,17,0)</f>
        <v>45612</v>
      </c>
      <c r="K2215" t="str">
        <f>VLOOKUP(Googleadssales[[#This Row],[Ad_ID]],'[1]pre processed data'!A:R,18,0)</f>
        <v>Chennai</v>
      </c>
      <c r="L2215" t="str">
        <f>VLOOKUP(Googleadssales[[#This Row],[Ad_ID]],'[1]pre processed data'!A:S,19,0)</f>
        <v>Mobile</v>
      </c>
      <c r="M2215" t="str">
        <f>VLOOKUP(Googleadssales[[#This Row],[Ad_ID]],'[1]pre processed data'!A:T,20,0)</f>
        <v>learn data analytics</v>
      </c>
    </row>
    <row r="2216" spans="1:13" x14ac:dyDescent="0.3">
      <c r="A2216" t="s">
        <v>2229</v>
      </c>
      <c r="B2216" t="s">
        <v>14</v>
      </c>
      <c r="C2216" s="4">
        <f>VLOOKUP(Googleadssales[[#This Row],[Ad_ID]],'[1]pre processed data'!A:C,3,0)</f>
        <v>99</v>
      </c>
      <c r="D2216" s="4">
        <f>VLOOKUP(Googleadssales[[#This Row],[Ad_ID]],'[1]pre processed data'!A:E,5,0)</f>
        <v>3522</v>
      </c>
      <c r="E2216" s="5" t="str">
        <f>VLOOKUP(Googleadssales[[#This Row],[Ad_ID]],[1]!Table3[[Ad_ID]:[Cost-imputed]],7,0)</f>
        <v>$210.01</v>
      </c>
      <c r="F2216" s="4">
        <f>VLOOKUP(Googleadssales[[#This Row],[Ad_ID]],'[1]pre processed data'!A:I,9,0)</f>
        <v>28</v>
      </c>
      <c r="G2216" s="4">
        <f>VLOOKUP(Googleadssales[[#This Row],[Ad_ID]],'[1]pre processed data'!A:K,11,0)</f>
        <v>9</v>
      </c>
      <c r="H2216" s="2">
        <f>Googleadssales[[#This Row],[Conversions]]/Googleadssales[[#This Row],[Clicks]]</f>
        <v>9.0909090909090912E-2</v>
      </c>
      <c r="I2216" t="str">
        <f>VLOOKUP(Googleadssales[[#This Row],[Ad_ID]],'[1]pre processed data'!A:O,15,0)</f>
        <v>$1932</v>
      </c>
      <c r="J2216" s="3">
        <f>VLOOKUP(Googleadssales[[#This Row],[Ad_ID]],'[1]pre processed data'!A:Q,17,0)</f>
        <v>45619</v>
      </c>
      <c r="K2216" t="str">
        <f>VLOOKUP(Googleadssales[[#This Row],[Ad_ID]],'[1]pre processed data'!A:R,18,0)</f>
        <v>Chennai</v>
      </c>
      <c r="L2216" t="str">
        <f>VLOOKUP(Googleadssales[[#This Row],[Ad_ID]],'[1]pre processed data'!A:S,19,0)</f>
        <v>Mobile</v>
      </c>
      <c r="M2216" t="str">
        <f>VLOOKUP(Googleadssales[[#This Row],[Ad_ID]],'[1]pre processed data'!A:T,20,0)</f>
        <v>analytics for data</v>
      </c>
    </row>
    <row r="2217" spans="1:13" x14ac:dyDescent="0.3">
      <c r="A2217" t="s">
        <v>2230</v>
      </c>
      <c r="B2217" t="s">
        <v>18</v>
      </c>
      <c r="C2217" s="4">
        <f>VLOOKUP(Googleadssales[[#This Row],[Ad_ID]],'[1]pre processed data'!A:C,3,0)</f>
        <v>143</v>
      </c>
      <c r="D2217" s="4">
        <f>VLOOKUP(Googleadssales[[#This Row],[Ad_ID]],'[1]pre processed data'!A:E,5,0)</f>
        <v>3600</v>
      </c>
      <c r="E2217" s="5" t="str">
        <f>VLOOKUP(Googleadssales[[#This Row],[Ad_ID]],[1]!Table3[[Ad_ID]:[Cost-imputed]],7,0)</f>
        <v>$238.14</v>
      </c>
      <c r="F2217" s="4">
        <f>VLOOKUP(Googleadssales[[#This Row],[Ad_ID]],'[1]pre processed data'!A:I,9,0)</f>
        <v>26</v>
      </c>
      <c r="G2217" s="4">
        <f>VLOOKUP(Googleadssales[[#This Row],[Ad_ID]],'[1]pre processed data'!A:K,11,0)</f>
        <v>7</v>
      </c>
      <c r="H2217" s="2">
        <f>Googleadssales[[#This Row],[Conversions]]/Googleadssales[[#This Row],[Clicks]]</f>
        <v>4.8951048951048952E-2</v>
      </c>
      <c r="I2217" t="str">
        <f>VLOOKUP(Googleadssales[[#This Row],[Ad_ID]],'[1]pre processed data'!A:O,15,0)</f>
        <v>$1891</v>
      </c>
      <c r="J2217" s="3">
        <f>VLOOKUP(Googleadssales[[#This Row],[Ad_ID]],'[1]pre processed data'!A:Q,17,0)</f>
        <v>45605</v>
      </c>
      <c r="K2217" t="str">
        <f>VLOOKUP(Googleadssales[[#This Row],[Ad_ID]],'[1]pre processed data'!A:R,18,0)</f>
        <v>Bangaluru</v>
      </c>
      <c r="L2217" t="str">
        <f>VLOOKUP(Googleadssales[[#This Row],[Ad_ID]],'[1]pre processed data'!A:S,19,0)</f>
        <v>Tablet</v>
      </c>
      <c r="M2217" t="str">
        <f>VLOOKUP(Googleadssales[[#This Row],[Ad_ID]],'[1]pre processed data'!A:T,20,0)</f>
        <v>analytics for data</v>
      </c>
    </row>
    <row r="2218" spans="1:13" x14ac:dyDescent="0.3">
      <c r="A2218" t="s">
        <v>2231</v>
      </c>
      <c r="B2218" t="s">
        <v>18</v>
      </c>
      <c r="C2218" s="4">
        <f>VLOOKUP(Googleadssales[[#This Row],[Ad_ID]],'[1]pre processed data'!A:C,3,0)</f>
        <v>116</v>
      </c>
      <c r="D2218" s="4">
        <f>VLOOKUP(Googleadssales[[#This Row],[Ad_ID]],'[1]pre processed data'!A:E,5,0)</f>
        <v>3026</v>
      </c>
      <c r="E2218" s="5" t="str">
        <f>VLOOKUP(Googleadssales[[#This Row],[Ad_ID]],[1]!Table3[[Ad_ID]:[Cost-imputed]],7,0)</f>
        <v>$209.03</v>
      </c>
      <c r="F2218" s="4">
        <f>VLOOKUP(Googleadssales[[#This Row],[Ad_ID]],'[1]pre processed data'!A:I,9,0)</f>
        <v>24</v>
      </c>
      <c r="G2218" s="4">
        <f>VLOOKUP(Googleadssales[[#This Row],[Ad_ID]],'[1]pre processed data'!A:K,11,0)</f>
        <v>9</v>
      </c>
      <c r="H2218" s="2">
        <f>Googleadssales[[#This Row],[Conversions]]/Googleadssales[[#This Row],[Clicks]]</f>
        <v>7.7586206896551727E-2</v>
      </c>
      <c r="I2218" t="str">
        <f>VLOOKUP(Googleadssales[[#This Row],[Ad_ID]],'[1]pre processed data'!A:O,15,0)</f>
        <v>$1819</v>
      </c>
      <c r="J2218" s="3">
        <f>VLOOKUP(Googleadssales[[#This Row],[Ad_ID]],'[1]pre processed data'!A:Q,17,0)</f>
        <v>45606</v>
      </c>
      <c r="K2218" t="str">
        <f>VLOOKUP(Googleadssales[[#This Row],[Ad_ID]],'[1]pre processed data'!A:R,18,0)</f>
        <v>Hyderabad</v>
      </c>
      <c r="L2218" t="str">
        <f>VLOOKUP(Googleadssales[[#This Row],[Ad_ID]],'[1]pre processed data'!A:S,19,0)</f>
        <v>Desktop</v>
      </c>
      <c r="M2218" t="str">
        <f>VLOOKUP(Googleadssales[[#This Row],[Ad_ID]],'[1]pre processed data'!A:T,20,0)</f>
        <v>data analytics online</v>
      </c>
    </row>
    <row r="2219" spans="1:13" x14ac:dyDescent="0.3">
      <c r="A2219" t="s">
        <v>2232</v>
      </c>
      <c r="B2219" t="s">
        <v>18</v>
      </c>
      <c r="C2219" s="4">
        <f>VLOOKUP(Googleadssales[[#This Row],[Ad_ID]],'[1]pre processed data'!A:C,3,0)</f>
        <v>120</v>
      </c>
      <c r="D2219" s="4">
        <f>VLOOKUP(Googleadssales[[#This Row],[Ad_ID]],'[1]pre processed data'!A:E,5,0)</f>
        <v>4523.2808326787117</v>
      </c>
      <c r="E2219" s="5" t="str">
        <f>VLOOKUP(Googleadssales[[#This Row],[Ad_ID]],[1]!Table3[[Ad_ID]:[Cost-imputed]],7,0)</f>
        <v>$214.76</v>
      </c>
      <c r="F2219" s="4">
        <f>VLOOKUP(Googleadssales[[#This Row],[Ad_ID]],'[1]pre processed data'!A:I,9,0)</f>
        <v>29</v>
      </c>
      <c r="G2219" s="4">
        <f>VLOOKUP(Googleadssales[[#This Row],[Ad_ID]],'[1]pre processed data'!A:K,11,0)</f>
        <v>5</v>
      </c>
      <c r="H2219" s="2">
        <f>Googleadssales[[#This Row],[Conversions]]/Googleadssales[[#This Row],[Clicks]]</f>
        <v>4.1666666666666664E-2</v>
      </c>
      <c r="I2219" t="str">
        <f>VLOOKUP(Googleadssales[[#This Row],[Ad_ID]],'[1]pre processed data'!A:O,15,0)</f>
        <v>$1926</v>
      </c>
      <c r="J2219" s="3">
        <f>VLOOKUP(Googleadssales[[#This Row],[Ad_ID]],'[1]pre processed data'!A:Q,17,0)</f>
        <v>45626</v>
      </c>
      <c r="K2219" t="str">
        <f>VLOOKUP(Googleadssales[[#This Row],[Ad_ID]],'[1]pre processed data'!A:R,18,0)</f>
        <v>Chennai</v>
      </c>
      <c r="L2219" t="str">
        <f>VLOOKUP(Googleadssales[[#This Row],[Ad_ID]],'[1]pre processed data'!A:S,19,0)</f>
        <v>Mobile</v>
      </c>
      <c r="M2219" t="str">
        <f>VLOOKUP(Googleadssales[[#This Row],[Ad_ID]],'[1]pre processed data'!A:T,20,0)</f>
        <v>data analytics training</v>
      </c>
    </row>
    <row r="2220" spans="1:13" x14ac:dyDescent="0.3">
      <c r="A2220" t="s">
        <v>2233</v>
      </c>
      <c r="B2220" t="s">
        <v>18</v>
      </c>
      <c r="C2220" s="4">
        <f>VLOOKUP(Googleadssales[[#This Row],[Ad_ID]],'[1]pre processed data'!A:C,3,0)</f>
        <v>115</v>
      </c>
      <c r="D2220" s="4">
        <f>VLOOKUP(Googleadssales[[#This Row],[Ad_ID]],'[1]pre processed data'!A:E,5,0)</f>
        <v>4857</v>
      </c>
      <c r="E2220" s="5" t="str">
        <f>VLOOKUP(Googleadssales[[#This Row],[Ad_ID]],[1]!Table3[[Ad_ID]:[Cost-imputed]],7,0)</f>
        <v>$195.05</v>
      </c>
      <c r="F2220" s="4">
        <f>VLOOKUP(Googleadssales[[#This Row],[Ad_ID]],'[1]pre processed data'!A:I,9,0)</f>
        <v>29</v>
      </c>
      <c r="G2220" s="4">
        <f>VLOOKUP(Googleadssales[[#This Row],[Ad_ID]],'[1]pre processed data'!A:K,11,0)</f>
        <v>9</v>
      </c>
      <c r="H2220" s="2">
        <f>Googleadssales[[#This Row],[Conversions]]/Googleadssales[[#This Row],[Clicks]]</f>
        <v>7.8260869565217397E-2</v>
      </c>
      <c r="I2220" t="str">
        <f>VLOOKUP(Googleadssales[[#This Row],[Ad_ID]],'[1]pre processed data'!A:O,15,0)</f>
        <v>$1644</v>
      </c>
      <c r="J2220" s="3">
        <f>VLOOKUP(Googleadssales[[#This Row],[Ad_ID]],'[1]pre processed data'!A:Q,17,0)</f>
        <v>45613</v>
      </c>
      <c r="K2220" t="str">
        <f>VLOOKUP(Googleadssales[[#This Row],[Ad_ID]],'[1]pre processed data'!A:R,18,0)</f>
        <v>Bangaluru</v>
      </c>
      <c r="L2220" t="str">
        <f>VLOOKUP(Googleadssales[[#This Row],[Ad_ID]],'[1]pre processed data'!A:S,19,0)</f>
        <v>Desktop</v>
      </c>
      <c r="M2220" t="str">
        <f>VLOOKUP(Googleadssales[[#This Row],[Ad_ID]],'[1]pre processed data'!A:T,20,0)</f>
        <v>data analytics training</v>
      </c>
    </row>
    <row r="2221" spans="1:13" x14ac:dyDescent="0.3">
      <c r="A2221" t="s">
        <v>2234</v>
      </c>
      <c r="B2221" t="s">
        <v>14</v>
      </c>
      <c r="C2221" s="4">
        <f>VLOOKUP(Googleadssales[[#This Row],[Ad_ID]],'[1]pre processed data'!A:C,3,0)</f>
        <v>175</v>
      </c>
      <c r="D2221" s="4">
        <f>VLOOKUP(Googleadssales[[#This Row],[Ad_ID]],'[1]pre processed data'!A:E,5,0)</f>
        <v>5915</v>
      </c>
      <c r="E2221" s="5" t="str">
        <f>VLOOKUP(Googleadssales[[#This Row],[Ad_ID]],[1]!Table3[[Ad_ID]:[Cost-imputed]],7,0)</f>
        <v>$223.39</v>
      </c>
      <c r="F2221" s="4">
        <f>VLOOKUP(Googleadssales[[#This Row],[Ad_ID]],'[1]pre processed data'!A:I,9,0)</f>
        <v>23</v>
      </c>
      <c r="G2221" s="4">
        <f>VLOOKUP(Googleadssales[[#This Row],[Ad_ID]],'[1]pre processed data'!A:K,11,0)</f>
        <v>8</v>
      </c>
      <c r="H2221" s="2">
        <f>Googleadssales[[#This Row],[Conversions]]/Googleadssales[[#This Row],[Clicks]]</f>
        <v>4.5714285714285714E-2</v>
      </c>
      <c r="I2221" t="str">
        <f>VLOOKUP(Googleadssales[[#This Row],[Ad_ID]],'[1]pre processed data'!A:O,15,0)</f>
        <v>$1595</v>
      </c>
      <c r="J2221" s="3">
        <f>VLOOKUP(Googleadssales[[#This Row],[Ad_ID]],'[1]pre processed data'!A:Q,17,0)</f>
        <v>45604</v>
      </c>
      <c r="K2221" t="str">
        <f>VLOOKUP(Googleadssales[[#This Row],[Ad_ID]],'[1]pre processed data'!A:R,18,0)</f>
        <v>Bangaluru</v>
      </c>
      <c r="L2221" t="str">
        <f>VLOOKUP(Googleadssales[[#This Row],[Ad_ID]],'[1]pre processed data'!A:S,19,0)</f>
        <v>Tablet</v>
      </c>
      <c r="M2221" t="str">
        <f>VLOOKUP(Googleadssales[[#This Row],[Ad_ID]],'[1]pre processed data'!A:T,20,0)</f>
        <v>learn data analytics</v>
      </c>
    </row>
    <row r="2222" spans="1:13" x14ac:dyDescent="0.3">
      <c r="A2222" t="s">
        <v>2235</v>
      </c>
      <c r="B2222" t="s">
        <v>14</v>
      </c>
      <c r="C2222" s="4">
        <f>VLOOKUP(Googleadssales[[#This Row],[Ad_ID]],'[1]pre processed data'!A:C,3,0)</f>
        <v>100</v>
      </c>
      <c r="D2222" s="4">
        <f>VLOOKUP(Googleadssales[[#This Row],[Ad_ID]],'[1]pre processed data'!A:E,5,0)</f>
        <v>3948</v>
      </c>
      <c r="E2222" s="5" t="str">
        <f>VLOOKUP(Googleadssales[[#This Row],[Ad_ID]],[1]!Table3[[Ad_ID]:[Cost-imputed]],7,0)</f>
        <v>$230.56</v>
      </c>
      <c r="F2222" s="4">
        <f>VLOOKUP(Googleadssales[[#This Row],[Ad_ID]],'[1]pre processed data'!A:I,9,0)</f>
        <v>30</v>
      </c>
      <c r="G2222" s="4">
        <f>VLOOKUP(Googleadssales[[#This Row],[Ad_ID]],'[1]pre processed data'!A:K,11,0)</f>
        <v>6</v>
      </c>
      <c r="H2222" s="2">
        <f>Googleadssales[[#This Row],[Conversions]]/Googleadssales[[#This Row],[Clicks]]</f>
        <v>0.06</v>
      </c>
      <c r="I2222" t="str">
        <f>VLOOKUP(Googleadssales[[#This Row],[Ad_ID]],'[1]pre processed data'!A:O,15,0)</f>
        <v>$1234</v>
      </c>
      <c r="J2222" s="3">
        <f>VLOOKUP(Googleadssales[[#This Row],[Ad_ID]],'[1]pre processed data'!A:Q,17,0)</f>
        <v>45608</v>
      </c>
      <c r="K2222" t="str">
        <f>VLOOKUP(Googleadssales[[#This Row],[Ad_ID]],'[1]pre processed data'!A:R,18,0)</f>
        <v>Hyderabad</v>
      </c>
      <c r="L2222" t="str">
        <f>VLOOKUP(Googleadssales[[#This Row],[Ad_ID]],'[1]pre processed data'!A:S,19,0)</f>
        <v>Tablet</v>
      </c>
      <c r="M2222" t="str">
        <f>VLOOKUP(Googleadssales[[#This Row],[Ad_ID]],'[1]pre processed data'!A:T,20,0)</f>
        <v>analytics for data</v>
      </c>
    </row>
    <row r="2223" spans="1:13" x14ac:dyDescent="0.3">
      <c r="A2223" t="s">
        <v>2236</v>
      </c>
      <c r="B2223" t="s">
        <v>14</v>
      </c>
      <c r="C2223" s="4">
        <f>VLOOKUP(Googleadssales[[#This Row],[Ad_ID]],'[1]pre processed data'!A:C,3,0)</f>
        <v>114</v>
      </c>
      <c r="D2223" s="4">
        <f>VLOOKUP(Googleadssales[[#This Row],[Ad_ID]],'[1]pre processed data'!A:E,5,0)</f>
        <v>5446</v>
      </c>
      <c r="E2223" s="5" t="str">
        <f>VLOOKUP(Googleadssales[[#This Row],[Ad_ID]],[1]!Table3[[Ad_ID]:[Cost-imputed]],7,0)</f>
        <v>$207.62</v>
      </c>
      <c r="F2223" s="4">
        <f>VLOOKUP(Googleadssales[[#This Row],[Ad_ID]],'[1]pre processed data'!A:I,9,0)</f>
        <v>11</v>
      </c>
      <c r="G2223" s="4">
        <f>VLOOKUP(Googleadssales[[#This Row],[Ad_ID]],'[1]pre processed data'!A:K,11,0)</f>
        <v>8</v>
      </c>
      <c r="H2223" s="2">
        <f>Googleadssales[[#This Row],[Conversions]]/Googleadssales[[#This Row],[Clicks]]</f>
        <v>7.0175438596491224E-2</v>
      </c>
      <c r="I2223" t="str">
        <f>VLOOKUP(Googleadssales[[#This Row],[Ad_ID]],'[1]pre processed data'!A:O,15,0)</f>
        <v>$1355</v>
      </c>
      <c r="J2223" s="3">
        <f>VLOOKUP(Googleadssales[[#This Row],[Ad_ID]],'[1]pre processed data'!A:Q,17,0)</f>
        <v>45608</v>
      </c>
      <c r="K2223" t="str">
        <f>VLOOKUP(Googleadssales[[#This Row],[Ad_ID]],'[1]pre processed data'!A:R,18,0)</f>
        <v>Hyderabad</v>
      </c>
      <c r="L2223" t="str">
        <f>VLOOKUP(Googleadssales[[#This Row],[Ad_ID]],'[1]pre processed data'!A:S,19,0)</f>
        <v>Mobile</v>
      </c>
      <c r="M2223" t="str">
        <f>VLOOKUP(Googleadssales[[#This Row],[Ad_ID]],'[1]pre processed data'!A:T,20,0)</f>
        <v>data analytics online</v>
      </c>
    </row>
    <row r="2224" spans="1:13" x14ac:dyDescent="0.3">
      <c r="A2224" t="s">
        <v>2237</v>
      </c>
      <c r="B2224" t="s">
        <v>14</v>
      </c>
      <c r="C2224" s="4">
        <f>VLOOKUP(Googleadssales[[#This Row],[Ad_ID]],'[1]pre processed data'!A:C,3,0)</f>
        <v>109</v>
      </c>
      <c r="D2224" s="4">
        <f>VLOOKUP(Googleadssales[[#This Row],[Ad_ID]],'[1]pre processed data'!A:E,5,0)</f>
        <v>5388</v>
      </c>
      <c r="E2224" s="5" t="str">
        <f>VLOOKUP(Googleadssales[[#This Row],[Ad_ID]],[1]!Table3[[Ad_ID]:[Cost-imputed]],7,0)</f>
        <v>$205.68</v>
      </c>
      <c r="F2224" s="4">
        <f>VLOOKUP(Googleadssales[[#This Row],[Ad_ID]],'[1]pre processed data'!A:I,9,0)</f>
        <v>22</v>
      </c>
      <c r="G2224" s="4">
        <f>VLOOKUP(Googleadssales[[#This Row],[Ad_ID]],'[1]pre processed data'!A:K,11,0)</f>
        <v>6</v>
      </c>
      <c r="H2224" s="2">
        <f>Googleadssales[[#This Row],[Conversions]]/Googleadssales[[#This Row],[Clicks]]</f>
        <v>5.5045871559633031E-2</v>
      </c>
      <c r="I2224" t="str">
        <f>VLOOKUP(Googleadssales[[#This Row],[Ad_ID]],'[1]pre processed data'!A:O,15,0)</f>
        <v>$1339</v>
      </c>
      <c r="J2224" s="3">
        <f>VLOOKUP(Googleadssales[[#This Row],[Ad_ID]],'[1]pre processed data'!A:Q,17,0)</f>
        <v>45615</v>
      </c>
      <c r="K2224" t="str">
        <f>VLOOKUP(Googleadssales[[#This Row],[Ad_ID]],'[1]pre processed data'!A:R,18,0)</f>
        <v>Bangaluru</v>
      </c>
      <c r="L2224" t="str">
        <f>VLOOKUP(Googleadssales[[#This Row],[Ad_ID]],'[1]pre processed data'!A:S,19,0)</f>
        <v>Desktop</v>
      </c>
      <c r="M2224" t="str">
        <f>VLOOKUP(Googleadssales[[#This Row],[Ad_ID]],'[1]pre processed data'!A:T,20,0)</f>
        <v>data analytics training</v>
      </c>
    </row>
    <row r="2225" spans="1:13" x14ac:dyDescent="0.3">
      <c r="A2225" t="s">
        <v>2238</v>
      </c>
      <c r="B2225" t="s">
        <v>14</v>
      </c>
      <c r="C2225" s="4">
        <f>VLOOKUP(Googleadssales[[#This Row],[Ad_ID]],'[1]pre processed data'!A:C,3,0)</f>
        <v>154</v>
      </c>
      <c r="D2225" s="4">
        <f>VLOOKUP(Googleadssales[[#This Row],[Ad_ID]],'[1]pre processed data'!A:E,5,0)</f>
        <v>5138</v>
      </c>
      <c r="E2225" s="5" t="str">
        <f>VLOOKUP(Googleadssales[[#This Row],[Ad_ID]],[1]!Table3[[Ad_ID]:[Cost-imputed]],7,0)</f>
        <v>$194.15</v>
      </c>
      <c r="F2225" s="4">
        <f>VLOOKUP(Googleadssales[[#This Row],[Ad_ID]],'[1]pre processed data'!A:I,9,0)</f>
        <v>17</v>
      </c>
      <c r="G2225" s="4">
        <f>VLOOKUP(Googleadssales[[#This Row],[Ad_ID]],'[1]pre processed data'!A:K,11,0)</f>
        <v>7</v>
      </c>
      <c r="H2225" s="2">
        <f>Googleadssales[[#This Row],[Conversions]]/Googleadssales[[#This Row],[Clicks]]</f>
        <v>4.5454545454545456E-2</v>
      </c>
      <c r="I2225" t="str">
        <f>VLOOKUP(Googleadssales[[#This Row],[Ad_ID]],'[1]pre processed data'!A:O,15,0)</f>
        <v>$1295</v>
      </c>
      <c r="J2225" s="3">
        <f>VLOOKUP(Googleadssales[[#This Row],[Ad_ID]],'[1]pre processed data'!A:Q,17,0)</f>
        <v>45613</v>
      </c>
      <c r="K2225" t="str">
        <f>VLOOKUP(Googleadssales[[#This Row],[Ad_ID]],'[1]pre processed data'!A:R,18,0)</f>
        <v>Hyderabad</v>
      </c>
      <c r="L2225" t="str">
        <f>VLOOKUP(Googleadssales[[#This Row],[Ad_ID]],'[1]pre processed data'!A:S,19,0)</f>
        <v>Mobile</v>
      </c>
      <c r="M2225" t="str">
        <f>VLOOKUP(Googleadssales[[#This Row],[Ad_ID]],'[1]pre processed data'!A:T,20,0)</f>
        <v>data analytics course</v>
      </c>
    </row>
    <row r="2226" spans="1:13" x14ac:dyDescent="0.3">
      <c r="A2226" t="s">
        <v>2239</v>
      </c>
      <c r="B2226" t="s">
        <v>18</v>
      </c>
      <c r="C2226" s="4">
        <f>VLOOKUP(Googleadssales[[#This Row],[Ad_ID]],'[1]pre processed data'!A:C,3,0)</f>
        <v>199</v>
      </c>
      <c r="D2226" s="4">
        <f>VLOOKUP(Googleadssales[[#This Row],[Ad_ID]],'[1]pre processed data'!A:E,5,0)</f>
        <v>3534</v>
      </c>
      <c r="E2226" s="5" t="str">
        <f>VLOOKUP(Googleadssales[[#This Row],[Ad_ID]],[1]!Table3[[Ad_ID]:[Cost-imputed]],7,0)</f>
        <v>$238.67</v>
      </c>
      <c r="F2226" s="4">
        <f>VLOOKUP(Googleadssales[[#This Row],[Ad_ID]],'[1]pre processed data'!A:I,9,0)</f>
        <v>24</v>
      </c>
      <c r="G2226" s="4">
        <f>VLOOKUP(Googleadssales[[#This Row],[Ad_ID]],'[1]pre processed data'!A:K,11,0)</f>
        <v>5</v>
      </c>
      <c r="H2226" s="2">
        <f>Googleadssales[[#This Row],[Conversions]]/Googleadssales[[#This Row],[Clicks]]</f>
        <v>2.5125628140703519E-2</v>
      </c>
      <c r="I2226" t="str">
        <f>VLOOKUP(Googleadssales[[#This Row],[Ad_ID]],'[1]pre processed data'!A:O,15,0)</f>
        <v>$1776</v>
      </c>
      <c r="J2226" s="3">
        <f>VLOOKUP(Googleadssales[[#This Row],[Ad_ID]],'[1]pre processed data'!A:Q,17,0)</f>
        <v>45617</v>
      </c>
      <c r="K2226" t="str">
        <f>VLOOKUP(Googleadssales[[#This Row],[Ad_ID]],'[1]pre processed data'!A:R,18,0)</f>
        <v>Hyderabad</v>
      </c>
      <c r="L2226" t="str">
        <f>VLOOKUP(Googleadssales[[#This Row],[Ad_ID]],'[1]pre processed data'!A:S,19,0)</f>
        <v>Mobile</v>
      </c>
      <c r="M2226" t="str">
        <f>VLOOKUP(Googleadssales[[#This Row],[Ad_ID]],'[1]pre processed data'!A:T,20,0)</f>
        <v>data analytics training</v>
      </c>
    </row>
    <row r="2227" spans="1:13" x14ac:dyDescent="0.3">
      <c r="A2227" t="s">
        <v>2240</v>
      </c>
      <c r="B2227" t="s">
        <v>14</v>
      </c>
      <c r="C2227" s="4">
        <f>VLOOKUP(Googleadssales[[#This Row],[Ad_ID]],'[1]pre processed data'!A:C,3,0)</f>
        <v>98</v>
      </c>
      <c r="D2227" s="4">
        <f>VLOOKUP(Googleadssales[[#This Row],[Ad_ID]],'[1]pre processed data'!A:E,5,0)</f>
        <v>4302</v>
      </c>
      <c r="E2227" s="5" t="str">
        <f>VLOOKUP(Googleadssales[[#This Row],[Ad_ID]],[1]!Table3[[Ad_ID]:[Cost-imputed]],7,0)</f>
        <v>$183.4</v>
      </c>
      <c r="F2227" s="4">
        <f>VLOOKUP(Googleadssales[[#This Row],[Ad_ID]],'[1]pre processed data'!A:I,9,0)</f>
        <v>16</v>
      </c>
      <c r="G2227" s="4">
        <f>VLOOKUP(Googleadssales[[#This Row],[Ad_ID]],'[1]pre processed data'!A:K,11,0)</f>
        <v>9</v>
      </c>
      <c r="H2227" s="2">
        <f>Googleadssales[[#This Row],[Conversions]]/Googleadssales[[#This Row],[Clicks]]</f>
        <v>9.1836734693877556E-2</v>
      </c>
      <c r="I2227" t="str">
        <f>VLOOKUP(Googleadssales[[#This Row],[Ad_ID]],'[1]pre processed data'!A:O,15,0)</f>
        <v>$1765</v>
      </c>
      <c r="J2227" s="3">
        <f>VLOOKUP(Googleadssales[[#This Row],[Ad_ID]],'[1]pre processed data'!A:Q,17,0)</f>
        <v>45615</v>
      </c>
      <c r="K2227" t="str">
        <f>VLOOKUP(Googleadssales[[#This Row],[Ad_ID]],'[1]pre processed data'!A:R,18,0)</f>
        <v>Hyderabad</v>
      </c>
      <c r="L2227" t="str">
        <f>VLOOKUP(Googleadssales[[#This Row],[Ad_ID]],'[1]pre processed data'!A:S,19,0)</f>
        <v>Desktop</v>
      </c>
      <c r="M2227" t="str">
        <f>VLOOKUP(Googleadssales[[#This Row],[Ad_ID]],'[1]pre processed data'!A:T,20,0)</f>
        <v>data analytics course</v>
      </c>
    </row>
    <row r="2228" spans="1:13" x14ac:dyDescent="0.3">
      <c r="A2228" t="s">
        <v>2241</v>
      </c>
      <c r="B2228" t="s">
        <v>18</v>
      </c>
      <c r="C2228" s="4">
        <f>VLOOKUP(Googleadssales[[#This Row],[Ad_ID]],'[1]pre processed data'!A:C,3,0)</f>
        <v>196</v>
      </c>
      <c r="D2228" s="4">
        <f>VLOOKUP(Googleadssales[[#This Row],[Ad_ID]],'[1]pre processed data'!A:E,5,0)</f>
        <v>4367</v>
      </c>
      <c r="E2228" s="5" t="str">
        <f>VLOOKUP(Googleadssales[[#This Row],[Ad_ID]],[1]!Table3[[Ad_ID]:[Cost-imputed]],7,0)</f>
        <v>$238.44</v>
      </c>
      <c r="F2228" s="4">
        <f>VLOOKUP(Googleadssales[[#This Row],[Ad_ID]],'[1]pre processed data'!A:I,9,0)</f>
        <v>20</v>
      </c>
      <c r="G2228" s="4">
        <f>VLOOKUP(Googleadssales[[#This Row],[Ad_ID]],'[1]pre processed data'!A:K,11,0)</f>
        <v>7</v>
      </c>
      <c r="H2228" s="2">
        <f>Googleadssales[[#This Row],[Conversions]]/Googleadssales[[#This Row],[Clicks]]</f>
        <v>3.5714285714285712E-2</v>
      </c>
      <c r="I2228" t="str">
        <f>VLOOKUP(Googleadssales[[#This Row],[Ad_ID]],'[1]pre processed data'!A:O,15,0)</f>
        <v>$1931</v>
      </c>
      <c r="J2228" s="3">
        <f>VLOOKUP(Googleadssales[[#This Row],[Ad_ID]],'[1]pre processed data'!A:Q,17,0)</f>
        <v>45623</v>
      </c>
      <c r="K2228" t="str">
        <f>VLOOKUP(Googleadssales[[#This Row],[Ad_ID]],'[1]pre processed data'!A:R,18,0)</f>
        <v>Chennai</v>
      </c>
      <c r="L2228" t="str">
        <f>VLOOKUP(Googleadssales[[#This Row],[Ad_ID]],'[1]pre processed data'!A:S,19,0)</f>
        <v>Desktop</v>
      </c>
      <c r="M2228" t="str">
        <f>VLOOKUP(Googleadssales[[#This Row],[Ad_ID]],'[1]pre processed data'!A:T,20,0)</f>
        <v>data analytics online</v>
      </c>
    </row>
    <row r="2229" spans="1:13" x14ac:dyDescent="0.3">
      <c r="A2229" t="s">
        <v>2242</v>
      </c>
      <c r="B2229" t="s">
        <v>14</v>
      </c>
      <c r="C2229" s="4">
        <f>VLOOKUP(Googleadssales[[#This Row],[Ad_ID]],'[1]pre processed data'!A:C,3,0)</f>
        <v>81</v>
      </c>
      <c r="D2229" s="4">
        <f>VLOOKUP(Googleadssales[[#This Row],[Ad_ID]],'[1]pre processed data'!A:E,5,0)</f>
        <v>3721</v>
      </c>
      <c r="E2229" s="5" t="str">
        <f>VLOOKUP(Googleadssales[[#This Row],[Ad_ID]],[1]!Table3[[Ad_ID]:[Cost-imputed]],7,0)</f>
        <v>$222.89</v>
      </c>
      <c r="F2229" s="4">
        <f>VLOOKUP(Googleadssales[[#This Row],[Ad_ID]],'[1]pre processed data'!A:I,9,0)</f>
        <v>17</v>
      </c>
      <c r="G2229" s="4">
        <f>VLOOKUP(Googleadssales[[#This Row],[Ad_ID]],'[1]pre processed data'!A:K,11,0)</f>
        <v>4</v>
      </c>
      <c r="H2229" s="2">
        <f>Googleadssales[[#This Row],[Conversions]]/Googleadssales[[#This Row],[Clicks]]</f>
        <v>4.9382716049382713E-2</v>
      </c>
      <c r="I2229" t="str">
        <f>VLOOKUP(Googleadssales[[#This Row],[Ad_ID]],'[1]pre processed data'!A:O,15,0)</f>
        <v>$1690</v>
      </c>
      <c r="J2229" s="3">
        <f>VLOOKUP(Googleadssales[[#This Row],[Ad_ID]],'[1]pre processed data'!A:Q,17,0)</f>
        <v>45611</v>
      </c>
      <c r="K2229" t="str">
        <f>VLOOKUP(Googleadssales[[#This Row],[Ad_ID]],'[1]pre processed data'!A:R,18,0)</f>
        <v>Hyderabad</v>
      </c>
      <c r="L2229" t="str">
        <f>VLOOKUP(Googleadssales[[#This Row],[Ad_ID]],'[1]pre processed data'!A:S,19,0)</f>
        <v>Desktop</v>
      </c>
      <c r="M2229" t="str">
        <f>VLOOKUP(Googleadssales[[#This Row],[Ad_ID]],'[1]pre processed data'!A:T,20,0)</f>
        <v>data analytics course</v>
      </c>
    </row>
    <row r="2230" spans="1:13" x14ac:dyDescent="0.3">
      <c r="A2230" t="s">
        <v>2243</v>
      </c>
      <c r="B2230" t="s">
        <v>14</v>
      </c>
      <c r="C2230" s="4">
        <f>VLOOKUP(Googleadssales[[#This Row],[Ad_ID]],'[1]pre processed data'!A:C,3,0)</f>
        <v>150</v>
      </c>
      <c r="D2230" s="4">
        <f>VLOOKUP(Googleadssales[[#This Row],[Ad_ID]],'[1]pre processed data'!A:E,5,0)</f>
        <v>4351</v>
      </c>
      <c r="E2230" s="5" t="str">
        <f>VLOOKUP(Googleadssales[[#This Row],[Ad_ID]],[1]!Table3[[Ad_ID]:[Cost-imputed]],7,0)</f>
        <v>$203.7</v>
      </c>
      <c r="F2230" s="4">
        <f>VLOOKUP(Googleadssales[[#This Row],[Ad_ID]],'[1]pre processed data'!A:I,9,0)</f>
        <v>26</v>
      </c>
      <c r="G2230" s="4">
        <f>VLOOKUP(Googleadssales[[#This Row],[Ad_ID]],'[1]pre processed data'!A:K,11,0)</f>
        <v>8</v>
      </c>
      <c r="H2230" s="2">
        <f>Googleadssales[[#This Row],[Conversions]]/Googleadssales[[#This Row],[Clicks]]</f>
        <v>5.3333333333333337E-2</v>
      </c>
      <c r="I2230" t="str">
        <f>VLOOKUP(Googleadssales[[#This Row],[Ad_ID]],'[1]pre processed data'!A:O,15,0)</f>
        <v>$1765</v>
      </c>
      <c r="J2230" s="3">
        <f>VLOOKUP(Googleadssales[[#This Row],[Ad_ID]],'[1]pre processed data'!A:Q,17,0)</f>
        <v>45614</v>
      </c>
      <c r="K2230" t="str">
        <f>VLOOKUP(Googleadssales[[#This Row],[Ad_ID]],'[1]pre processed data'!A:R,18,0)</f>
        <v>Chennai</v>
      </c>
      <c r="L2230" t="str">
        <f>VLOOKUP(Googleadssales[[#This Row],[Ad_ID]],'[1]pre processed data'!A:S,19,0)</f>
        <v>Desktop</v>
      </c>
      <c r="M2230" t="str">
        <f>VLOOKUP(Googleadssales[[#This Row],[Ad_ID]],'[1]pre processed data'!A:T,20,0)</f>
        <v>data analytics training</v>
      </c>
    </row>
    <row r="2231" spans="1:13" x14ac:dyDescent="0.3">
      <c r="A2231" t="s">
        <v>2244</v>
      </c>
      <c r="B2231" t="s">
        <v>14</v>
      </c>
      <c r="C2231" s="4">
        <f>VLOOKUP(Googleadssales[[#This Row],[Ad_ID]],'[1]pre processed data'!A:C,3,0)</f>
        <v>121</v>
      </c>
      <c r="D2231" s="4">
        <f>VLOOKUP(Googleadssales[[#This Row],[Ad_ID]],'[1]pre processed data'!A:E,5,0)</f>
        <v>3122</v>
      </c>
      <c r="E2231" s="5" t="str">
        <f>VLOOKUP(Googleadssales[[#This Row],[Ad_ID]],[1]!Table3[[Ad_ID]:[Cost-imputed]],7,0)</f>
        <v>$237.57</v>
      </c>
      <c r="F2231" s="4">
        <f>VLOOKUP(Googleadssales[[#This Row],[Ad_ID]],'[1]pre processed data'!A:I,9,0)</f>
        <v>29</v>
      </c>
      <c r="G2231" s="4">
        <f>VLOOKUP(Googleadssales[[#This Row],[Ad_ID]],'[1]pre processed data'!A:K,11,0)</f>
        <v>6</v>
      </c>
      <c r="H2231" s="2">
        <f>Googleadssales[[#This Row],[Conversions]]/Googleadssales[[#This Row],[Clicks]]</f>
        <v>4.9586776859504134E-2</v>
      </c>
      <c r="I2231" t="str">
        <f>VLOOKUP(Googleadssales[[#This Row],[Ad_ID]],'[1]pre processed data'!A:O,15,0)</f>
        <v>$1796</v>
      </c>
      <c r="J2231" s="3">
        <f>VLOOKUP(Googleadssales[[#This Row],[Ad_ID]],'[1]pre processed data'!A:Q,17,0)</f>
        <v>45603</v>
      </c>
      <c r="K2231" t="str">
        <f>VLOOKUP(Googleadssales[[#This Row],[Ad_ID]],'[1]pre processed data'!A:R,18,0)</f>
        <v>Hyderabad</v>
      </c>
      <c r="L2231" t="str">
        <f>VLOOKUP(Googleadssales[[#This Row],[Ad_ID]],'[1]pre processed data'!A:S,19,0)</f>
        <v>Mobile</v>
      </c>
      <c r="M2231" t="str">
        <f>VLOOKUP(Googleadssales[[#This Row],[Ad_ID]],'[1]pre processed data'!A:T,20,0)</f>
        <v>learn data analytics</v>
      </c>
    </row>
    <row r="2232" spans="1:13" x14ac:dyDescent="0.3">
      <c r="A2232" t="s">
        <v>2245</v>
      </c>
      <c r="B2232" t="s">
        <v>14</v>
      </c>
      <c r="C2232" s="4">
        <f>VLOOKUP(Googleadssales[[#This Row],[Ad_ID]],'[1]pre processed data'!A:C,3,0)</f>
        <v>124</v>
      </c>
      <c r="D2232" s="4">
        <f>VLOOKUP(Googleadssales[[#This Row],[Ad_ID]],'[1]pre processed data'!A:E,5,0)</f>
        <v>3924</v>
      </c>
      <c r="E2232" s="5" t="str">
        <f>VLOOKUP(Googleadssales[[#This Row],[Ad_ID]],[1]!Table3[[Ad_ID]:[Cost-imputed]],7,0)</f>
        <v>$188.66</v>
      </c>
      <c r="F2232" s="4">
        <f>VLOOKUP(Googleadssales[[#This Row],[Ad_ID]],'[1]pre processed data'!A:I,9,0)</f>
        <v>24</v>
      </c>
      <c r="G2232" s="4">
        <f>VLOOKUP(Googleadssales[[#This Row],[Ad_ID]],'[1]pre processed data'!A:K,11,0)</f>
        <v>6</v>
      </c>
      <c r="H2232" s="2">
        <f>Googleadssales[[#This Row],[Conversions]]/Googleadssales[[#This Row],[Clicks]]</f>
        <v>4.8387096774193547E-2</v>
      </c>
      <c r="I2232" t="str">
        <f>VLOOKUP(Googleadssales[[#This Row],[Ad_ID]],'[1]pre processed data'!A:O,15,0)</f>
        <v>$1472</v>
      </c>
      <c r="J2232" s="3">
        <f>VLOOKUP(Googleadssales[[#This Row],[Ad_ID]],'[1]pre processed data'!A:Q,17,0)</f>
        <v>45600</v>
      </c>
      <c r="K2232" t="str">
        <f>VLOOKUP(Googleadssales[[#This Row],[Ad_ID]],'[1]pre processed data'!A:R,18,0)</f>
        <v>Hyderabad</v>
      </c>
      <c r="L2232" t="str">
        <f>VLOOKUP(Googleadssales[[#This Row],[Ad_ID]],'[1]pre processed data'!A:S,19,0)</f>
        <v>Tablet</v>
      </c>
      <c r="M2232" t="str">
        <f>VLOOKUP(Googleadssales[[#This Row],[Ad_ID]],'[1]pre processed data'!A:T,20,0)</f>
        <v>data analytics training</v>
      </c>
    </row>
    <row r="2233" spans="1:13" x14ac:dyDescent="0.3">
      <c r="A2233" t="s">
        <v>2246</v>
      </c>
      <c r="B2233" t="s">
        <v>18</v>
      </c>
      <c r="C2233" s="4">
        <f>VLOOKUP(Googleadssales[[#This Row],[Ad_ID]],'[1]pre processed data'!A:C,3,0)</f>
        <v>108</v>
      </c>
      <c r="D2233" s="4">
        <f>VLOOKUP(Googleadssales[[#This Row],[Ad_ID]],'[1]pre processed data'!A:E,5,0)</f>
        <v>4126</v>
      </c>
      <c r="E2233" s="5" t="str">
        <f>VLOOKUP(Googleadssales[[#This Row],[Ad_ID]],[1]!Table3[[Ad_ID]:[Cost-imputed]],7,0)</f>
        <v>$219.33</v>
      </c>
      <c r="F2233" s="4">
        <f>VLOOKUP(Googleadssales[[#This Row],[Ad_ID]],'[1]pre processed data'!A:I,9,0)</f>
        <v>22</v>
      </c>
      <c r="G2233" s="4">
        <f>VLOOKUP(Googleadssales[[#This Row],[Ad_ID]],'[1]pre processed data'!A:K,11,0)</f>
        <v>3</v>
      </c>
      <c r="H2233" s="2">
        <f>Googleadssales[[#This Row],[Conversions]]/Googleadssales[[#This Row],[Clicks]]</f>
        <v>2.7777777777777776E-2</v>
      </c>
      <c r="I2233" t="str">
        <f>VLOOKUP(Googleadssales[[#This Row],[Ad_ID]],'[1]pre processed data'!A:O,15,0)</f>
        <v>$1275</v>
      </c>
      <c r="J2233" s="3">
        <f>VLOOKUP(Googleadssales[[#This Row],[Ad_ID]],'[1]pre processed data'!A:Q,17,0)</f>
        <v>45625</v>
      </c>
      <c r="K2233" t="str">
        <f>VLOOKUP(Googleadssales[[#This Row],[Ad_ID]],'[1]pre processed data'!A:R,18,0)</f>
        <v>Hyderabad</v>
      </c>
      <c r="L2233" t="str">
        <f>VLOOKUP(Googleadssales[[#This Row],[Ad_ID]],'[1]pre processed data'!A:S,19,0)</f>
        <v>Mobile</v>
      </c>
      <c r="M2233" t="str">
        <f>VLOOKUP(Googleadssales[[#This Row],[Ad_ID]],'[1]pre processed data'!A:T,20,0)</f>
        <v>data analytics course</v>
      </c>
    </row>
    <row r="2234" spans="1:13" x14ac:dyDescent="0.3">
      <c r="A2234" t="s">
        <v>2247</v>
      </c>
      <c r="B2234" t="s">
        <v>14</v>
      </c>
      <c r="C2234" s="4">
        <f>VLOOKUP(Googleadssales[[#This Row],[Ad_ID]],'[1]pre processed data'!A:C,3,0)</f>
        <v>192</v>
      </c>
      <c r="D2234" s="4">
        <f>VLOOKUP(Googleadssales[[#This Row],[Ad_ID]],'[1]pre processed data'!A:E,5,0)</f>
        <v>3499</v>
      </c>
      <c r="E2234" s="5" t="str">
        <f>VLOOKUP(Googleadssales[[#This Row],[Ad_ID]],[1]!Table3[[Ad_ID]:[Cost-imputed]],7,0)</f>
        <v>$237.83</v>
      </c>
      <c r="F2234" s="4">
        <f>VLOOKUP(Googleadssales[[#This Row],[Ad_ID]],'[1]pre processed data'!A:I,9,0)</f>
        <v>20</v>
      </c>
      <c r="G2234" s="4">
        <f>VLOOKUP(Googleadssales[[#This Row],[Ad_ID]],'[1]pre processed data'!A:K,11,0)</f>
        <v>10</v>
      </c>
      <c r="H2234" s="2">
        <f>Googleadssales[[#This Row],[Conversions]]/Googleadssales[[#This Row],[Clicks]]</f>
        <v>5.2083333333333336E-2</v>
      </c>
      <c r="I2234" t="str">
        <f>VLOOKUP(Googleadssales[[#This Row],[Ad_ID]],'[1]pre processed data'!A:O,15,0)</f>
        <v>$1500</v>
      </c>
      <c r="J2234" s="3">
        <f>VLOOKUP(Googleadssales[[#This Row],[Ad_ID]],'[1]pre processed data'!A:Q,17,0)</f>
        <v>45608</v>
      </c>
      <c r="K2234" t="str">
        <f>VLOOKUP(Googleadssales[[#This Row],[Ad_ID]],'[1]pre processed data'!A:R,18,0)</f>
        <v>Hyderabad</v>
      </c>
      <c r="L2234" t="str">
        <f>VLOOKUP(Googleadssales[[#This Row],[Ad_ID]],'[1]pre processed data'!A:S,19,0)</f>
        <v>Tablet</v>
      </c>
      <c r="M2234" t="str">
        <f>VLOOKUP(Googleadssales[[#This Row],[Ad_ID]],'[1]pre processed data'!A:T,20,0)</f>
        <v>analytics for data</v>
      </c>
    </row>
    <row r="2235" spans="1:13" x14ac:dyDescent="0.3">
      <c r="A2235" t="s">
        <v>2248</v>
      </c>
      <c r="B2235" t="s">
        <v>14</v>
      </c>
      <c r="C2235" s="4">
        <f>VLOOKUP(Googleadssales[[#This Row],[Ad_ID]],'[1]pre processed data'!A:C,3,0)</f>
        <v>178</v>
      </c>
      <c r="D2235" s="4">
        <f>VLOOKUP(Googleadssales[[#This Row],[Ad_ID]],'[1]pre processed data'!A:E,5,0)</f>
        <v>3708</v>
      </c>
      <c r="E2235" s="5" t="str">
        <f>VLOOKUP(Googleadssales[[#This Row],[Ad_ID]],[1]!Table3[[Ad_ID]:[Cost-imputed]],7,0)</f>
        <v>$192.77</v>
      </c>
      <c r="F2235" s="4">
        <f>VLOOKUP(Googleadssales[[#This Row],[Ad_ID]],'[1]pre processed data'!A:I,9,0)</f>
        <v>20</v>
      </c>
      <c r="G2235" s="4">
        <f>VLOOKUP(Googleadssales[[#This Row],[Ad_ID]],'[1]pre processed data'!A:K,11,0)</f>
        <v>10</v>
      </c>
      <c r="H2235" s="2">
        <f>Googleadssales[[#This Row],[Conversions]]/Googleadssales[[#This Row],[Clicks]]</f>
        <v>5.6179775280898875E-2</v>
      </c>
      <c r="I2235" t="str">
        <f>VLOOKUP(Googleadssales[[#This Row],[Ad_ID]],'[1]pre processed data'!A:O,15,0)</f>
        <v>$1292</v>
      </c>
      <c r="J2235" s="3">
        <f>VLOOKUP(Googleadssales[[#This Row],[Ad_ID]],'[1]pre processed data'!A:Q,17,0)</f>
        <v>45612</v>
      </c>
      <c r="K2235" t="str">
        <f>VLOOKUP(Googleadssales[[#This Row],[Ad_ID]],'[1]pre processed data'!A:R,18,0)</f>
        <v>Chennai</v>
      </c>
      <c r="L2235" t="str">
        <f>VLOOKUP(Googleadssales[[#This Row],[Ad_ID]],'[1]pre processed data'!A:S,19,0)</f>
        <v>Tablet</v>
      </c>
      <c r="M2235" t="str">
        <f>VLOOKUP(Googleadssales[[#This Row],[Ad_ID]],'[1]pre processed data'!A:T,20,0)</f>
        <v>data analytics online</v>
      </c>
    </row>
    <row r="2236" spans="1:13" x14ac:dyDescent="0.3">
      <c r="A2236" t="s">
        <v>2249</v>
      </c>
      <c r="B2236" t="s">
        <v>14</v>
      </c>
      <c r="C2236" s="4">
        <f>VLOOKUP(Googleadssales[[#This Row],[Ad_ID]],'[1]pre processed data'!A:C,3,0)</f>
        <v>191</v>
      </c>
      <c r="D2236" s="4">
        <f>VLOOKUP(Googleadssales[[#This Row],[Ad_ID]],'[1]pre processed data'!A:E,5,0)</f>
        <v>3302</v>
      </c>
      <c r="E2236" s="5" t="str">
        <f>VLOOKUP(Googleadssales[[#This Row],[Ad_ID]],[1]!Table3[[Ad_ID]:[Cost-imputed]],7,0)</f>
        <v>$207.75</v>
      </c>
      <c r="F2236" s="4">
        <f>VLOOKUP(Googleadssales[[#This Row],[Ad_ID]],'[1]pre processed data'!A:I,9,0)</f>
        <v>18</v>
      </c>
      <c r="G2236" s="4">
        <f>VLOOKUP(Googleadssales[[#This Row],[Ad_ID]],'[1]pre processed data'!A:K,11,0)</f>
        <v>9</v>
      </c>
      <c r="H2236" s="2">
        <f>Googleadssales[[#This Row],[Conversions]]/Googleadssales[[#This Row],[Clicks]]</f>
        <v>4.712041884816754E-2</v>
      </c>
      <c r="I2236" t="str">
        <f>VLOOKUP(Googleadssales[[#This Row],[Ad_ID]],'[1]pre processed data'!A:O,15,0)</f>
        <v>$1500</v>
      </c>
      <c r="J2236" s="3">
        <f>VLOOKUP(Googleadssales[[#This Row],[Ad_ID]],'[1]pre processed data'!A:Q,17,0)</f>
        <v>45622</v>
      </c>
      <c r="K2236" t="str">
        <f>VLOOKUP(Googleadssales[[#This Row],[Ad_ID]],'[1]pre processed data'!A:R,18,0)</f>
        <v>Hyderabad</v>
      </c>
      <c r="L2236" t="str">
        <f>VLOOKUP(Googleadssales[[#This Row],[Ad_ID]],'[1]pre processed data'!A:S,19,0)</f>
        <v>Mobile</v>
      </c>
      <c r="M2236" t="str">
        <f>VLOOKUP(Googleadssales[[#This Row],[Ad_ID]],'[1]pre processed data'!A:T,20,0)</f>
        <v>learn data analytics</v>
      </c>
    </row>
    <row r="2237" spans="1:13" x14ac:dyDescent="0.3">
      <c r="A2237" t="s">
        <v>2250</v>
      </c>
      <c r="B2237" t="s">
        <v>14</v>
      </c>
      <c r="C2237" s="4">
        <f>VLOOKUP(Googleadssales[[#This Row],[Ad_ID]],'[1]pre processed data'!A:C,3,0)</f>
        <v>147</v>
      </c>
      <c r="D2237" s="4">
        <f>VLOOKUP(Googleadssales[[#This Row],[Ad_ID]],'[1]pre processed data'!A:E,5,0)</f>
        <v>3131</v>
      </c>
      <c r="E2237" s="5" t="str">
        <f>VLOOKUP(Googleadssales[[#This Row],[Ad_ID]],[1]!Table3[[Ad_ID]:[Cost-imputed]],7,0)</f>
        <v>$242.53</v>
      </c>
      <c r="F2237" s="4">
        <f>VLOOKUP(Googleadssales[[#This Row],[Ad_ID]],'[1]pre processed data'!A:I,9,0)</f>
        <v>10</v>
      </c>
      <c r="G2237" s="4">
        <f>VLOOKUP(Googleadssales[[#This Row],[Ad_ID]],'[1]pre processed data'!A:K,11,0)</f>
        <v>4</v>
      </c>
      <c r="H2237" s="2">
        <f>Googleadssales[[#This Row],[Conversions]]/Googleadssales[[#This Row],[Clicks]]</f>
        <v>2.7210884353741496E-2</v>
      </c>
      <c r="I2237" t="str">
        <f>VLOOKUP(Googleadssales[[#This Row],[Ad_ID]],'[1]pre processed data'!A:O,15,0)</f>
        <v>$1231</v>
      </c>
      <c r="J2237" s="3">
        <f>VLOOKUP(Googleadssales[[#This Row],[Ad_ID]],'[1]pre processed data'!A:Q,17,0)</f>
        <v>45614</v>
      </c>
      <c r="K2237" t="str">
        <f>VLOOKUP(Googleadssales[[#This Row],[Ad_ID]],'[1]pre processed data'!A:R,18,0)</f>
        <v>Chennai</v>
      </c>
      <c r="L2237" t="str">
        <f>VLOOKUP(Googleadssales[[#This Row],[Ad_ID]],'[1]pre processed data'!A:S,19,0)</f>
        <v>Desktop</v>
      </c>
      <c r="M2237" t="str">
        <f>VLOOKUP(Googleadssales[[#This Row],[Ad_ID]],'[1]pre processed data'!A:T,20,0)</f>
        <v>data analytics course</v>
      </c>
    </row>
    <row r="2238" spans="1:13" x14ac:dyDescent="0.3">
      <c r="A2238" t="s">
        <v>2251</v>
      </c>
      <c r="B2238" t="s">
        <v>14</v>
      </c>
      <c r="C2238" s="4">
        <f>VLOOKUP(Googleadssales[[#This Row],[Ad_ID]],'[1]pre processed data'!A:C,3,0)</f>
        <v>88</v>
      </c>
      <c r="D2238" s="4">
        <f>VLOOKUP(Googleadssales[[#This Row],[Ad_ID]],'[1]pre processed data'!A:E,5,0)</f>
        <v>5145</v>
      </c>
      <c r="E2238" s="5" t="str">
        <f>VLOOKUP(Googleadssales[[#This Row],[Ad_ID]],[1]!Table3[[Ad_ID]:[Cost-imputed]],7,0)</f>
        <v>$242.9</v>
      </c>
      <c r="F2238" s="4">
        <f>VLOOKUP(Googleadssales[[#This Row],[Ad_ID]],'[1]pre processed data'!A:I,9,0)</f>
        <v>16</v>
      </c>
      <c r="G2238" s="4">
        <f>VLOOKUP(Googleadssales[[#This Row],[Ad_ID]],'[1]pre processed data'!A:K,11,0)</f>
        <v>10</v>
      </c>
      <c r="H2238" s="2">
        <f>Googleadssales[[#This Row],[Conversions]]/Googleadssales[[#This Row],[Clicks]]</f>
        <v>0.11363636363636363</v>
      </c>
      <c r="I2238" t="str">
        <f>VLOOKUP(Googleadssales[[#This Row],[Ad_ID]],'[1]pre processed data'!A:O,15,0)</f>
        <v>$1963</v>
      </c>
      <c r="J2238" s="3">
        <f>VLOOKUP(Googleadssales[[#This Row],[Ad_ID]],'[1]pre processed data'!A:Q,17,0)</f>
        <v>45610</v>
      </c>
      <c r="K2238" t="str">
        <f>VLOOKUP(Googleadssales[[#This Row],[Ad_ID]],'[1]pre processed data'!A:R,18,0)</f>
        <v>Chennai</v>
      </c>
      <c r="L2238" t="str">
        <f>VLOOKUP(Googleadssales[[#This Row],[Ad_ID]],'[1]pre processed data'!A:S,19,0)</f>
        <v>Tablet</v>
      </c>
      <c r="M2238" t="str">
        <f>VLOOKUP(Googleadssales[[#This Row],[Ad_ID]],'[1]pre processed data'!A:T,20,0)</f>
        <v>analytics for data</v>
      </c>
    </row>
    <row r="2239" spans="1:13" x14ac:dyDescent="0.3">
      <c r="A2239" t="s">
        <v>2252</v>
      </c>
      <c r="B2239" t="s">
        <v>18</v>
      </c>
      <c r="C2239" s="4">
        <f>VLOOKUP(Googleadssales[[#This Row],[Ad_ID]],'[1]pre processed data'!A:C,3,0)</f>
        <v>92</v>
      </c>
      <c r="D2239" s="4">
        <f>VLOOKUP(Googleadssales[[#This Row],[Ad_ID]],'[1]pre processed data'!A:E,5,0)</f>
        <v>5241</v>
      </c>
      <c r="E2239" s="5" t="str">
        <f>VLOOKUP(Googleadssales[[#This Row],[Ad_ID]],[1]!Table3[[Ad_ID]:[Cost-imputed]],7,0)</f>
        <v>$223.48</v>
      </c>
      <c r="F2239" s="4">
        <f>VLOOKUP(Googleadssales[[#This Row],[Ad_ID]],'[1]pre processed data'!A:I,9,0)</f>
        <v>23</v>
      </c>
      <c r="G2239" s="4">
        <f>VLOOKUP(Googleadssales[[#This Row],[Ad_ID]],'[1]pre processed data'!A:K,11,0)</f>
        <v>9</v>
      </c>
      <c r="H2239" s="2">
        <f>Googleadssales[[#This Row],[Conversions]]/Googleadssales[[#This Row],[Clicks]]</f>
        <v>9.7826086956521743E-2</v>
      </c>
      <c r="I2239" t="str">
        <f>VLOOKUP(Googleadssales[[#This Row],[Ad_ID]],'[1]pre processed data'!A:O,15,0)</f>
        <v>$1050</v>
      </c>
      <c r="J2239" s="3">
        <f>VLOOKUP(Googleadssales[[#This Row],[Ad_ID]],'[1]pre processed data'!A:Q,17,0)</f>
        <v>45614</v>
      </c>
      <c r="K2239" t="str">
        <f>VLOOKUP(Googleadssales[[#This Row],[Ad_ID]],'[1]pre processed data'!A:R,18,0)</f>
        <v>Hyderabad</v>
      </c>
      <c r="L2239" t="str">
        <f>VLOOKUP(Googleadssales[[#This Row],[Ad_ID]],'[1]pre processed data'!A:S,19,0)</f>
        <v>Desktop</v>
      </c>
      <c r="M2239" t="str">
        <f>VLOOKUP(Googleadssales[[#This Row],[Ad_ID]],'[1]pre processed data'!A:T,20,0)</f>
        <v>data analytics online</v>
      </c>
    </row>
    <row r="2240" spans="1:13" x14ac:dyDescent="0.3">
      <c r="A2240" t="s">
        <v>2253</v>
      </c>
      <c r="B2240" t="s">
        <v>18</v>
      </c>
      <c r="C2240" s="4">
        <f>VLOOKUP(Googleadssales[[#This Row],[Ad_ID]],'[1]pre processed data'!A:C,3,0)</f>
        <v>148</v>
      </c>
      <c r="D2240" s="4">
        <f>VLOOKUP(Googleadssales[[#This Row],[Ad_ID]],'[1]pre processed data'!A:E,5,0)</f>
        <v>4149</v>
      </c>
      <c r="E2240" s="5" t="str">
        <f>VLOOKUP(Googleadssales[[#This Row],[Ad_ID]],[1]!Table3[[Ad_ID]:[Cost-imputed]],7,0)</f>
        <v>$223.33</v>
      </c>
      <c r="F2240" s="4">
        <f>VLOOKUP(Googleadssales[[#This Row],[Ad_ID]],'[1]pre processed data'!A:I,9,0)</f>
        <v>30</v>
      </c>
      <c r="G2240" s="4">
        <f>VLOOKUP(Googleadssales[[#This Row],[Ad_ID]],'[1]pre processed data'!A:K,11,0)</f>
        <v>6</v>
      </c>
      <c r="H2240" s="2">
        <f>Googleadssales[[#This Row],[Conversions]]/Googleadssales[[#This Row],[Clicks]]</f>
        <v>4.0540540540540543E-2</v>
      </c>
      <c r="I2240" t="str">
        <f>VLOOKUP(Googleadssales[[#This Row],[Ad_ID]],'[1]pre processed data'!A:O,15,0)</f>
        <v>$1318</v>
      </c>
      <c r="J2240" s="3">
        <f>VLOOKUP(Googleadssales[[#This Row],[Ad_ID]],'[1]pre processed data'!A:Q,17,0)</f>
        <v>45604</v>
      </c>
      <c r="K2240" t="str">
        <f>VLOOKUP(Googleadssales[[#This Row],[Ad_ID]],'[1]pre processed data'!A:R,18,0)</f>
        <v>Chennai</v>
      </c>
      <c r="L2240" t="str">
        <f>VLOOKUP(Googleadssales[[#This Row],[Ad_ID]],'[1]pre processed data'!A:S,19,0)</f>
        <v>Tablet</v>
      </c>
      <c r="M2240" t="str">
        <f>VLOOKUP(Googleadssales[[#This Row],[Ad_ID]],'[1]pre processed data'!A:T,20,0)</f>
        <v>data analytics course</v>
      </c>
    </row>
    <row r="2241" spans="1:13" x14ac:dyDescent="0.3">
      <c r="A2241" t="s">
        <v>2254</v>
      </c>
      <c r="B2241" t="s">
        <v>14</v>
      </c>
      <c r="C2241" s="4">
        <f>VLOOKUP(Googleadssales[[#This Row],[Ad_ID]],'[1]pre processed data'!A:C,3,0)</f>
        <v>127</v>
      </c>
      <c r="D2241" s="4">
        <f>VLOOKUP(Googleadssales[[#This Row],[Ad_ID]],'[1]pre processed data'!A:E,5,0)</f>
        <v>3791</v>
      </c>
      <c r="E2241" s="5" t="str">
        <f>VLOOKUP(Googleadssales[[#This Row],[Ad_ID]],[1]!Table3[[Ad_ID]:[Cost-imputed]],7,0)</f>
        <v>$231.06</v>
      </c>
      <c r="F2241" s="4">
        <f>VLOOKUP(Googleadssales[[#This Row],[Ad_ID]],'[1]pre processed data'!A:I,9,0)</f>
        <v>11</v>
      </c>
      <c r="G2241" s="4">
        <f>VLOOKUP(Googleadssales[[#This Row],[Ad_ID]],'[1]pre processed data'!A:K,11,0)</f>
        <v>6</v>
      </c>
      <c r="H2241" s="2">
        <f>Googleadssales[[#This Row],[Conversions]]/Googleadssales[[#This Row],[Clicks]]</f>
        <v>4.7244094488188976E-2</v>
      </c>
      <c r="I2241" t="str">
        <f>VLOOKUP(Googleadssales[[#This Row],[Ad_ID]],'[1]pre processed data'!A:O,15,0)</f>
        <v>$1351</v>
      </c>
      <c r="J2241" s="3">
        <f>VLOOKUP(Googleadssales[[#This Row],[Ad_ID]],'[1]pre processed data'!A:Q,17,0)</f>
        <v>45599</v>
      </c>
      <c r="K2241" t="str">
        <f>VLOOKUP(Googleadssales[[#This Row],[Ad_ID]],'[1]pre processed data'!A:R,18,0)</f>
        <v>Hyderabad</v>
      </c>
      <c r="L2241" t="str">
        <f>VLOOKUP(Googleadssales[[#This Row],[Ad_ID]],'[1]pre processed data'!A:S,19,0)</f>
        <v>Desktop</v>
      </c>
      <c r="M2241" t="str">
        <f>VLOOKUP(Googleadssales[[#This Row],[Ad_ID]],'[1]pre processed data'!A:T,20,0)</f>
        <v>online data analytic</v>
      </c>
    </row>
    <row r="2242" spans="1:13" x14ac:dyDescent="0.3">
      <c r="A2242" t="s">
        <v>2255</v>
      </c>
      <c r="B2242" t="s">
        <v>18</v>
      </c>
      <c r="C2242" s="4">
        <f>VLOOKUP(Googleadssales[[#This Row],[Ad_ID]],'[1]pre processed data'!A:C,3,0)</f>
        <v>156</v>
      </c>
      <c r="D2242" s="4">
        <f>VLOOKUP(Googleadssales[[#This Row],[Ad_ID]],'[1]pre processed data'!A:E,5,0)</f>
        <v>4375</v>
      </c>
      <c r="E2242" s="5" t="str">
        <f>VLOOKUP(Googleadssales[[#This Row],[Ad_ID]],[1]!Table3[[Ad_ID]:[Cost-imputed]],7,0)</f>
        <v>$249.33</v>
      </c>
      <c r="F2242" s="4">
        <f>VLOOKUP(Googleadssales[[#This Row],[Ad_ID]],'[1]pre processed data'!A:I,9,0)</f>
        <v>26</v>
      </c>
      <c r="G2242" s="4">
        <f>VLOOKUP(Googleadssales[[#This Row],[Ad_ID]],'[1]pre processed data'!A:K,11,0)</f>
        <v>6</v>
      </c>
      <c r="H2242" s="2">
        <f>Googleadssales[[#This Row],[Conversions]]/Googleadssales[[#This Row],[Clicks]]</f>
        <v>3.8461538461538464E-2</v>
      </c>
      <c r="I2242" t="str">
        <f>VLOOKUP(Googleadssales[[#This Row],[Ad_ID]],'[1]pre processed data'!A:O,15,0)</f>
        <v>$1663</v>
      </c>
      <c r="J2242" s="3">
        <f>VLOOKUP(Googleadssales[[#This Row],[Ad_ID]],'[1]pre processed data'!A:Q,17,0)</f>
        <v>45611</v>
      </c>
      <c r="K2242" t="str">
        <f>VLOOKUP(Googleadssales[[#This Row],[Ad_ID]],'[1]pre processed data'!A:R,18,0)</f>
        <v>Hyderabad</v>
      </c>
      <c r="L2242" t="str">
        <f>VLOOKUP(Googleadssales[[#This Row],[Ad_ID]],'[1]pre processed data'!A:S,19,0)</f>
        <v>Tablet</v>
      </c>
      <c r="M2242" t="str">
        <f>VLOOKUP(Googleadssales[[#This Row],[Ad_ID]],'[1]pre processed data'!A:T,20,0)</f>
        <v>data analytics course</v>
      </c>
    </row>
    <row r="2243" spans="1:13" x14ac:dyDescent="0.3">
      <c r="A2243" t="s">
        <v>2256</v>
      </c>
      <c r="B2243" t="s">
        <v>14</v>
      </c>
      <c r="C2243" s="4">
        <f>VLOOKUP(Googleadssales[[#This Row],[Ad_ID]],'[1]pre processed data'!A:C,3,0)</f>
        <v>176</v>
      </c>
      <c r="D2243" s="4">
        <f>VLOOKUP(Googleadssales[[#This Row],[Ad_ID]],'[1]pre processed data'!A:E,5,0)</f>
        <v>3753</v>
      </c>
      <c r="E2243" s="5" t="str">
        <f>VLOOKUP(Googleadssales[[#This Row],[Ad_ID]],[1]!Table3[[Ad_ID]:[Cost-imputed]],7,0)</f>
        <v>$201.76</v>
      </c>
      <c r="F2243" s="4">
        <f>VLOOKUP(Googleadssales[[#This Row],[Ad_ID]],'[1]pre processed data'!A:I,9,0)</f>
        <v>11</v>
      </c>
      <c r="G2243" s="4">
        <f>VLOOKUP(Googleadssales[[#This Row],[Ad_ID]],'[1]pre processed data'!A:K,11,0)</f>
        <v>4</v>
      </c>
      <c r="H2243" s="2">
        <f>Googleadssales[[#This Row],[Conversions]]/Googleadssales[[#This Row],[Clicks]]</f>
        <v>2.2727272727272728E-2</v>
      </c>
      <c r="I2243" t="str">
        <f>VLOOKUP(Googleadssales[[#This Row],[Ad_ID]],'[1]pre processed data'!A:O,15,0)</f>
        <v>$1070</v>
      </c>
      <c r="J2243" s="3">
        <f>VLOOKUP(Googleadssales[[#This Row],[Ad_ID]],'[1]pre processed data'!A:Q,17,0)</f>
        <v>45603</v>
      </c>
      <c r="K2243" t="str">
        <f>VLOOKUP(Googleadssales[[#This Row],[Ad_ID]],'[1]pre processed data'!A:R,18,0)</f>
        <v>Hyderabad</v>
      </c>
      <c r="L2243" t="str">
        <f>VLOOKUP(Googleadssales[[#This Row],[Ad_ID]],'[1]pre processed data'!A:S,19,0)</f>
        <v>Mobile</v>
      </c>
      <c r="M2243" t="str">
        <f>VLOOKUP(Googleadssales[[#This Row],[Ad_ID]],'[1]pre processed data'!A:T,20,0)</f>
        <v>data analytics training</v>
      </c>
    </row>
    <row r="2244" spans="1:13" x14ac:dyDescent="0.3">
      <c r="A2244" t="s">
        <v>2257</v>
      </c>
      <c r="B2244" t="s">
        <v>14</v>
      </c>
      <c r="C2244" s="4">
        <f>VLOOKUP(Googleadssales[[#This Row],[Ad_ID]],'[1]pre processed data'!A:C,3,0)</f>
        <v>145</v>
      </c>
      <c r="D2244" s="4">
        <f>VLOOKUP(Googleadssales[[#This Row],[Ad_ID]],'[1]pre processed data'!A:E,5,0)</f>
        <v>4275</v>
      </c>
      <c r="E2244" s="5" t="str">
        <f>VLOOKUP(Googleadssales[[#This Row],[Ad_ID]],[1]!Table3[[Ad_ID]:[Cost-imputed]],7,0)</f>
        <v>$185.05</v>
      </c>
      <c r="F2244" s="4">
        <f>VLOOKUP(Googleadssales[[#This Row],[Ad_ID]],'[1]pre processed data'!A:I,9,0)</f>
        <v>25</v>
      </c>
      <c r="G2244" s="4">
        <f>VLOOKUP(Googleadssales[[#This Row],[Ad_ID]],'[1]pre processed data'!A:K,11,0)</f>
        <v>7</v>
      </c>
      <c r="H2244" s="2">
        <f>Googleadssales[[#This Row],[Conversions]]/Googleadssales[[#This Row],[Clicks]]</f>
        <v>4.8275862068965517E-2</v>
      </c>
      <c r="I2244" t="str">
        <f>VLOOKUP(Googleadssales[[#This Row],[Ad_ID]],'[1]pre processed data'!A:O,15,0)</f>
        <v>$1574</v>
      </c>
      <c r="J2244" s="3">
        <f>VLOOKUP(Googleadssales[[#This Row],[Ad_ID]],'[1]pre processed data'!A:Q,17,0)</f>
        <v>45605</v>
      </c>
      <c r="K2244" t="str">
        <f>VLOOKUP(Googleadssales[[#This Row],[Ad_ID]],'[1]pre processed data'!A:R,18,0)</f>
        <v>Hyderabad</v>
      </c>
      <c r="L2244" t="str">
        <f>VLOOKUP(Googleadssales[[#This Row],[Ad_ID]],'[1]pre processed data'!A:S,19,0)</f>
        <v>Desktop</v>
      </c>
      <c r="M2244" t="str">
        <f>VLOOKUP(Googleadssales[[#This Row],[Ad_ID]],'[1]pre processed data'!A:T,20,0)</f>
        <v>data analytics training</v>
      </c>
    </row>
    <row r="2245" spans="1:13" x14ac:dyDescent="0.3">
      <c r="A2245" t="s">
        <v>2258</v>
      </c>
      <c r="B2245" t="s">
        <v>14</v>
      </c>
      <c r="C2245" s="4">
        <f>VLOOKUP(Googleadssales[[#This Row],[Ad_ID]],'[1]pre processed data'!A:C,3,0)</f>
        <v>136</v>
      </c>
      <c r="D2245" s="4">
        <f>VLOOKUP(Googleadssales[[#This Row],[Ad_ID]],'[1]pre processed data'!A:E,5,0)</f>
        <v>4332</v>
      </c>
      <c r="E2245" s="5" t="str">
        <f>VLOOKUP(Googleadssales[[#This Row],[Ad_ID]],[1]!Table3[[Ad_ID]:[Cost-imputed]],7,0)</f>
        <v>$234.52</v>
      </c>
      <c r="F2245" s="4">
        <f>VLOOKUP(Googleadssales[[#This Row],[Ad_ID]],'[1]pre processed data'!A:I,9,0)</f>
        <v>19</v>
      </c>
      <c r="G2245" s="4">
        <f>VLOOKUP(Googleadssales[[#This Row],[Ad_ID]],'[1]pre processed data'!A:K,11,0)</f>
        <v>6</v>
      </c>
      <c r="H2245" s="2">
        <f>Googleadssales[[#This Row],[Conversions]]/Googleadssales[[#This Row],[Clicks]]</f>
        <v>4.4117647058823532E-2</v>
      </c>
      <c r="I2245" t="str">
        <f>VLOOKUP(Googleadssales[[#This Row],[Ad_ID]],'[1]pre processed data'!A:O,15,0)</f>
        <v>$1162</v>
      </c>
      <c r="J2245" s="3">
        <f>VLOOKUP(Googleadssales[[#This Row],[Ad_ID]],'[1]pre processed data'!A:Q,17,0)</f>
        <v>45614</v>
      </c>
      <c r="K2245" t="str">
        <f>VLOOKUP(Googleadssales[[#This Row],[Ad_ID]],'[1]pre processed data'!A:R,18,0)</f>
        <v>Hyderabad</v>
      </c>
      <c r="L2245" t="str">
        <f>VLOOKUP(Googleadssales[[#This Row],[Ad_ID]],'[1]pre processed data'!A:S,19,0)</f>
        <v>Desktop</v>
      </c>
      <c r="M2245" t="str">
        <f>VLOOKUP(Googleadssales[[#This Row],[Ad_ID]],'[1]pre processed data'!A:T,20,0)</f>
        <v>learn data analytics</v>
      </c>
    </row>
    <row r="2246" spans="1:13" x14ac:dyDescent="0.3">
      <c r="A2246" t="s">
        <v>2259</v>
      </c>
      <c r="B2246" t="s">
        <v>14</v>
      </c>
      <c r="C2246" s="4">
        <f>VLOOKUP(Googleadssales[[#This Row],[Ad_ID]],'[1]pre processed data'!A:C,3,0)</f>
        <v>150</v>
      </c>
      <c r="D2246" s="4">
        <f>VLOOKUP(Googleadssales[[#This Row],[Ad_ID]],'[1]pre processed data'!A:E,5,0)</f>
        <v>4001</v>
      </c>
      <c r="E2246" s="5" t="str">
        <f>VLOOKUP(Googleadssales[[#This Row],[Ad_ID]],[1]!Table3[[Ad_ID]:[Cost-imputed]],7,0)</f>
        <v>$219.1</v>
      </c>
      <c r="F2246" s="4">
        <f>VLOOKUP(Googleadssales[[#This Row],[Ad_ID]],'[1]pre processed data'!A:I,9,0)</f>
        <v>25</v>
      </c>
      <c r="G2246" s="4">
        <f>VLOOKUP(Googleadssales[[#This Row],[Ad_ID]],'[1]pre processed data'!A:K,11,0)</f>
        <v>6</v>
      </c>
      <c r="H2246" s="2">
        <f>Googleadssales[[#This Row],[Conversions]]/Googleadssales[[#This Row],[Clicks]]</f>
        <v>0.04</v>
      </c>
      <c r="I2246" t="str">
        <f>VLOOKUP(Googleadssales[[#This Row],[Ad_ID]],'[1]pre processed data'!A:O,15,0)</f>
        <v>$1365</v>
      </c>
      <c r="J2246" s="3">
        <f>VLOOKUP(Googleadssales[[#This Row],[Ad_ID]],'[1]pre processed data'!A:Q,17,0)</f>
        <v>45605</v>
      </c>
      <c r="K2246" t="str">
        <f>VLOOKUP(Googleadssales[[#This Row],[Ad_ID]],'[1]pre processed data'!A:R,18,0)</f>
        <v>Chennai</v>
      </c>
      <c r="L2246" t="str">
        <f>VLOOKUP(Googleadssales[[#This Row],[Ad_ID]],'[1]pre processed data'!A:S,19,0)</f>
        <v>Tablet</v>
      </c>
      <c r="M2246" t="str">
        <f>VLOOKUP(Googleadssales[[#This Row],[Ad_ID]],'[1]pre processed data'!A:T,20,0)</f>
        <v>online data analytic</v>
      </c>
    </row>
    <row r="2247" spans="1:13" x14ac:dyDescent="0.3">
      <c r="A2247" t="s">
        <v>2260</v>
      </c>
      <c r="B2247" t="s">
        <v>14</v>
      </c>
      <c r="C2247" s="4">
        <f>VLOOKUP(Googleadssales[[#This Row],[Ad_ID]],'[1]pre processed data'!A:C,3,0)</f>
        <v>145</v>
      </c>
      <c r="D2247" s="4">
        <f>VLOOKUP(Googleadssales[[#This Row],[Ad_ID]],'[1]pre processed data'!A:E,5,0)</f>
        <v>4436</v>
      </c>
      <c r="E2247" s="5" t="str">
        <f>VLOOKUP(Googleadssales[[#This Row],[Ad_ID]],[1]!Table3[[Ad_ID]:[Cost-imputed]],7,0)</f>
        <v>$190.63</v>
      </c>
      <c r="F2247" s="4">
        <f>VLOOKUP(Googleadssales[[#This Row],[Ad_ID]],'[1]pre processed data'!A:I,9,0)</f>
        <v>13</v>
      </c>
      <c r="G2247" s="4">
        <f>VLOOKUP(Googleadssales[[#This Row],[Ad_ID]],'[1]pre processed data'!A:K,11,0)</f>
        <v>10</v>
      </c>
      <c r="H2247" s="2">
        <f>Googleadssales[[#This Row],[Conversions]]/Googleadssales[[#This Row],[Clicks]]</f>
        <v>6.8965517241379309E-2</v>
      </c>
      <c r="I2247" t="str">
        <f>VLOOKUP(Googleadssales[[#This Row],[Ad_ID]],'[1]pre processed data'!A:O,15,0)</f>
        <v>$1502</v>
      </c>
      <c r="J2247" s="3">
        <f>VLOOKUP(Googleadssales[[#This Row],[Ad_ID]],'[1]pre processed data'!A:Q,17,0)</f>
        <v>45617</v>
      </c>
      <c r="K2247" t="str">
        <f>VLOOKUP(Googleadssales[[#This Row],[Ad_ID]],'[1]pre processed data'!A:R,18,0)</f>
        <v>Hyderabad</v>
      </c>
      <c r="L2247" t="str">
        <f>VLOOKUP(Googleadssales[[#This Row],[Ad_ID]],'[1]pre processed data'!A:S,19,0)</f>
        <v>Tablet</v>
      </c>
      <c r="M2247" t="str">
        <f>VLOOKUP(Googleadssales[[#This Row],[Ad_ID]],'[1]pre processed data'!A:T,20,0)</f>
        <v>data analytics course</v>
      </c>
    </row>
    <row r="2248" spans="1:13" x14ac:dyDescent="0.3">
      <c r="A2248" t="s">
        <v>2261</v>
      </c>
      <c r="B2248" t="s">
        <v>14</v>
      </c>
      <c r="C2248" s="4">
        <f>VLOOKUP(Googleadssales[[#This Row],[Ad_ID]],'[1]pre processed data'!A:C,3,0)</f>
        <v>165</v>
      </c>
      <c r="D2248" s="4">
        <f>VLOOKUP(Googleadssales[[#This Row],[Ad_ID]],'[1]pre processed data'!A:E,5,0)</f>
        <v>5661</v>
      </c>
      <c r="E2248" s="5" t="str">
        <f>VLOOKUP(Googleadssales[[#This Row],[Ad_ID]],[1]!Table3[[Ad_ID]:[Cost-imputed]],7,0)</f>
        <v>$200.00</v>
      </c>
      <c r="F2248" s="4">
        <f>VLOOKUP(Googleadssales[[#This Row],[Ad_ID]],'[1]pre processed data'!A:I,9,0)</f>
        <v>28</v>
      </c>
      <c r="G2248" s="4">
        <f>VLOOKUP(Googleadssales[[#This Row],[Ad_ID]],'[1]pre processed data'!A:K,11,0)</f>
        <v>6</v>
      </c>
      <c r="H2248" s="2">
        <f>Googleadssales[[#This Row],[Conversions]]/Googleadssales[[#This Row],[Clicks]]</f>
        <v>3.6363636363636362E-2</v>
      </c>
      <c r="I2248" t="str">
        <f>VLOOKUP(Googleadssales[[#This Row],[Ad_ID]],'[1]pre processed data'!A:O,15,0)</f>
        <v>$1848</v>
      </c>
      <c r="J2248" s="3">
        <f>VLOOKUP(Googleadssales[[#This Row],[Ad_ID]],'[1]pre processed data'!A:Q,17,0)</f>
        <v>45598</v>
      </c>
      <c r="K2248" t="str">
        <f>VLOOKUP(Googleadssales[[#This Row],[Ad_ID]],'[1]pre processed data'!A:R,18,0)</f>
        <v>Chennai</v>
      </c>
      <c r="L2248" t="str">
        <f>VLOOKUP(Googleadssales[[#This Row],[Ad_ID]],'[1]pre processed data'!A:S,19,0)</f>
        <v>Desktop</v>
      </c>
      <c r="M2248" t="str">
        <f>VLOOKUP(Googleadssales[[#This Row],[Ad_ID]],'[1]pre processed data'!A:T,20,0)</f>
        <v>data analytics online</v>
      </c>
    </row>
    <row r="2249" spans="1:13" x14ac:dyDescent="0.3">
      <c r="A2249" t="s">
        <v>2262</v>
      </c>
      <c r="B2249" t="s">
        <v>18</v>
      </c>
      <c r="C2249" s="4">
        <f>VLOOKUP(Googleadssales[[#This Row],[Ad_ID]],'[1]pre processed data'!A:C,3,0)</f>
        <v>183</v>
      </c>
      <c r="D2249" s="4">
        <f>VLOOKUP(Googleadssales[[#This Row],[Ad_ID]],'[1]pre processed data'!A:E,5,0)</f>
        <v>5746</v>
      </c>
      <c r="E2249" s="5" t="str">
        <f>VLOOKUP(Googleadssales[[#This Row],[Ad_ID]],[1]!Table3[[Ad_ID]:[Cost-imputed]],7,0)</f>
        <v>$248.15</v>
      </c>
      <c r="F2249" s="4">
        <f>VLOOKUP(Googleadssales[[#This Row],[Ad_ID]],'[1]pre processed data'!A:I,9,0)</f>
        <v>14</v>
      </c>
      <c r="G2249" s="4">
        <f>VLOOKUP(Googleadssales[[#This Row],[Ad_ID]],'[1]pre processed data'!A:K,11,0)</f>
        <v>5</v>
      </c>
      <c r="H2249" s="2">
        <f>Googleadssales[[#This Row],[Conversions]]/Googleadssales[[#This Row],[Clicks]]</f>
        <v>2.7322404371584699E-2</v>
      </c>
      <c r="I2249" t="str">
        <f>VLOOKUP(Googleadssales[[#This Row],[Ad_ID]],'[1]pre processed data'!A:O,15,0)</f>
        <v>$1012</v>
      </c>
      <c r="J2249" s="3">
        <f>VLOOKUP(Googleadssales[[#This Row],[Ad_ID]],'[1]pre processed data'!A:Q,17,0)</f>
        <v>45621</v>
      </c>
      <c r="K2249" t="str">
        <f>VLOOKUP(Googleadssales[[#This Row],[Ad_ID]],'[1]pre processed data'!A:R,18,0)</f>
        <v>Chennai</v>
      </c>
      <c r="L2249" t="str">
        <f>VLOOKUP(Googleadssales[[#This Row],[Ad_ID]],'[1]pre processed data'!A:S,19,0)</f>
        <v>Tablet</v>
      </c>
      <c r="M2249" t="str">
        <f>VLOOKUP(Googleadssales[[#This Row],[Ad_ID]],'[1]pre processed data'!A:T,20,0)</f>
        <v>data analytics course</v>
      </c>
    </row>
    <row r="2250" spans="1:13" x14ac:dyDescent="0.3">
      <c r="A2250" t="s">
        <v>2263</v>
      </c>
      <c r="B2250" t="s">
        <v>14</v>
      </c>
      <c r="C2250" s="4">
        <f>VLOOKUP(Googleadssales[[#This Row],[Ad_ID]],'[1]pre processed data'!A:C,3,0)</f>
        <v>176</v>
      </c>
      <c r="D2250" s="4">
        <f>VLOOKUP(Googleadssales[[#This Row],[Ad_ID]],'[1]pre processed data'!A:E,5,0)</f>
        <v>3906</v>
      </c>
      <c r="E2250" s="5" t="str">
        <f>VLOOKUP(Googleadssales[[#This Row],[Ad_ID]],[1]!Table3[[Ad_ID]:[Cost-imputed]],7,0)</f>
        <v>$214.0</v>
      </c>
      <c r="F2250" s="4">
        <f>VLOOKUP(Googleadssales[[#This Row],[Ad_ID]],'[1]pre processed data'!A:I,9,0)</f>
        <v>29</v>
      </c>
      <c r="G2250" s="4">
        <f>VLOOKUP(Googleadssales[[#This Row],[Ad_ID]],'[1]pre processed data'!A:K,11,0)</f>
        <v>4</v>
      </c>
      <c r="H2250" s="2">
        <f>Googleadssales[[#This Row],[Conversions]]/Googleadssales[[#This Row],[Clicks]]</f>
        <v>2.2727272727272728E-2</v>
      </c>
      <c r="I2250" t="str">
        <f>VLOOKUP(Googleadssales[[#This Row],[Ad_ID]],'[1]pre processed data'!A:O,15,0)</f>
        <v>$1382</v>
      </c>
      <c r="J2250" s="3">
        <f>VLOOKUP(Googleadssales[[#This Row],[Ad_ID]],'[1]pre processed data'!A:Q,17,0)</f>
        <v>45621</v>
      </c>
      <c r="K2250" t="str">
        <f>VLOOKUP(Googleadssales[[#This Row],[Ad_ID]],'[1]pre processed data'!A:R,18,0)</f>
        <v>Hyderabad</v>
      </c>
      <c r="L2250" t="str">
        <f>VLOOKUP(Googleadssales[[#This Row],[Ad_ID]],'[1]pre processed data'!A:S,19,0)</f>
        <v>Tablet</v>
      </c>
      <c r="M2250" t="str">
        <f>VLOOKUP(Googleadssales[[#This Row],[Ad_ID]],'[1]pre processed data'!A:T,20,0)</f>
        <v>online data analytic</v>
      </c>
    </row>
    <row r="2251" spans="1:13" x14ac:dyDescent="0.3">
      <c r="A2251" t="s">
        <v>2264</v>
      </c>
      <c r="B2251" t="s">
        <v>14</v>
      </c>
      <c r="C2251" s="4">
        <f>VLOOKUP(Googleadssales[[#This Row],[Ad_ID]],'[1]pre processed data'!A:C,3,0)</f>
        <v>164</v>
      </c>
      <c r="D2251" s="4">
        <f>VLOOKUP(Googleadssales[[#This Row],[Ad_ID]],'[1]pre processed data'!A:E,5,0)</f>
        <v>5127</v>
      </c>
      <c r="E2251" s="5" t="str">
        <f>VLOOKUP(Googleadssales[[#This Row],[Ad_ID]],[1]!Table3[[Ad_ID]:[Cost-imputed]],7,0)</f>
        <v>$194.76</v>
      </c>
      <c r="F2251" s="4">
        <f>VLOOKUP(Googleadssales[[#This Row],[Ad_ID]],'[1]pre processed data'!A:I,9,0)</f>
        <v>20</v>
      </c>
      <c r="G2251" s="4">
        <f>VLOOKUP(Googleadssales[[#This Row],[Ad_ID]],'[1]pre processed data'!A:K,11,0)</f>
        <v>5</v>
      </c>
      <c r="H2251" s="2">
        <f>Googleadssales[[#This Row],[Conversions]]/Googleadssales[[#This Row],[Clicks]]</f>
        <v>3.048780487804878E-2</v>
      </c>
      <c r="I2251" t="str">
        <f>VLOOKUP(Googleadssales[[#This Row],[Ad_ID]],'[1]pre processed data'!A:O,15,0)</f>
        <v>$1500</v>
      </c>
      <c r="J2251" s="3">
        <f>VLOOKUP(Googleadssales[[#This Row],[Ad_ID]],'[1]pre processed data'!A:Q,17,0)</f>
        <v>45608</v>
      </c>
      <c r="K2251" t="str">
        <f>VLOOKUP(Googleadssales[[#This Row],[Ad_ID]],'[1]pre processed data'!A:R,18,0)</f>
        <v>Chennai</v>
      </c>
      <c r="L2251" t="str">
        <f>VLOOKUP(Googleadssales[[#This Row],[Ad_ID]],'[1]pre processed data'!A:S,19,0)</f>
        <v>Tablet</v>
      </c>
      <c r="M2251" t="str">
        <f>VLOOKUP(Googleadssales[[#This Row],[Ad_ID]],'[1]pre processed data'!A:T,20,0)</f>
        <v>analytics for data</v>
      </c>
    </row>
    <row r="2252" spans="1:13" x14ac:dyDescent="0.3">
      <c r="A2252" t="s">
        <v>2265</v>
      </c>
      <c r="B2252" t="s">
        <v>14</v>
      </c>
      <c r="C2252" s="4">
        <f>VLOOKUP(Googleadssales[[#This Row],[Ad_ID]],'[1]pre processed data'!A:C,3,0)</f>
        <v>138.95699356913184</v>
      </c>
      <c r="D2252" s="4">
        <f>VLOOKUP(Googleadssales[[#This Row],[Ad_ID]],'[1]pre processed data'!A:E,5,0)</f>
        <v>4093</v>
      </c>
      <c r="E2252" s="5" t="str">
        <f>VLOOKUP(Googleadssales[[#This Row],[Ad_ID]],[1]!Table3[[Ad_ID]:[Cost-imputed]],7,0)</f>
        <v>$230.81</v>
      </c>
      <c r="F2252" s="4">
        <f>VLOOKUP(Googleadssales[[#This Row],[Ad_ID]],'[1]pre processed data'!A:I,9,0)</f>
        <v>15</v>
      </c>
      <c r="G2252" s="4">
        <f>VLOOKUP(Googleadssales[[#This Row],[Ad_ID]],'[1]pre processed data'!A:K,11,0)</f>
        <v>6</v>
      </c>
      <c r="H2252" s="2">
        <f>Googleadssales[[#This Row],[Conversions]]/Googleadssales[[#This Row],[Clicks]]</f>
        <v>4.317882710246583E-2</v>
      </c>
      <c r="I2252" t="str">
        <f>VLOOKUP(Googleadssales[[#This Row],[Ad_ID]],'[1]pre processed data'!A:O,15,0)</f>
        <v>$1713</v>
      </c>
      <c r="J2252" s="3">
        <f>VLOOKUP(Googleadssales[[#This Row],[Ad_ID]],'[1]pre processed data'!A:Q,17,0)</f>
        <v>45598</v>
      </c>
      <c r="K2252" t="str">
        <f>VLOOKUP(Googleadssales[[#This Row],[Ad_ID]],'[1]pre processed data'!A:R,18,0)</f>
        <v>Chennai</v>
      </c>
      <c r="L2252" t="str">
        <f>VLOOKUP(Googleadssales[[#This Row],[Ad_ID]],'[1]pre processed data'!A:S,19,0)</f>
        <v>Desktop</v>
      </c>
      <c r="M2252" t="str">
        <f>VLOOKUP(Googleadssales[[#This Row],[Ad_ID]],'[1]pre processed data'!A:T,20,0)</f>
        <v>data analytics course</v>
      </c>
    </row>
    <row r="2253" spans="1:13" x14ac:dyDescent="0.3">
      <c r="A2253" t="s">
        <v>2266</v>
      </c>
      <c r="B2253" t="s">
        <v>18</v>
      </c>
      <c r="C2253" s="4">
        <f>VLOOKUP(Googleadssales[[#This Row],[Ad_ID]],'[1]pre processed data'!A:C,3,0)</f>
        <v>95</v>
      </c>
      <c r="D2253" s="4">
        <f>VLOOKUP(Googleadssales[[#This Row],[Ad_ID]],'[1]pre processed data'!A:E,5,0)</f>
        <v>4933</v>
      </c>
      <c r="E2253" s="5" t="str">
        <f>VLOOKUP(Googleadssales[[#This Row],[Ad_ID]],[1]!Table3[[Ad_ID]:[Cost-imputed]],7,0)</f>
        <v>$220.04</v>
      </c>
      <c r="F2253" s="4">
        <f>VLOOKUP(Googleadssales[[#This Row],[Ad_ID]],'[1]pre processed data'!A:I,9,0)</f>
        <v>15</v>
      </c>
      <c r="G2253" s="4">
        <f>VLOOKUP(Googleadssales[[#This Row],[Ad_ID]],'[1]pre processed data'!A:K,11,0)</f>
        <v>3</v>
      </c>
      <c r="H2253" s="2">
        <f>Googleadssales[[#This Row],[Conversions]]/Googleadssales[[#This Row],[Clicks]]</f>
        <v>3.1578947368421054E-2</v>
      </c>
      <c r="I2253" t="str">
        <f>VLOOKUP(Googleadssales[[#This Row],[Ad_ID]],'[1]pre processed data'!A:O,15,0)</f>
        <v>$1366</v>
      </c>
      <c r="J2253" s="3">
        <f>VLOOKUP(Googleadssales[[#This Row],[Ad_ID]],'[1]pre processed data'!A:Q,17,0)</f>
        <v>45600</v>
      </c>
      <c r="K2253" t="str">
        <f>VLOOKUP(Googleadssales[[#This Row],[Ad_ID]],'[1]pre processed data'!A:R,18,0)</f>
        <v>Hyderabad</v>
      </c>
      <c r="L2253" t="str">
        <f>VLOOKUP(Googleadssales[[#This Row],[Ad_ID]],'[1]pre processed data'!A:S,19,0)</f>
        <v>Mobile</v>
      </c>
      <c r="M2253" t="str">
        <f>VLOOKUP(Googleadssales[[#This Row],[Ad_ID]],'[1]pre processed data'!A:T,20,0)</f>
        <v>data analytics training</v>
      </c>
    </row>
    <row r="2254" spans="1:13" x14ac:dyDescent="0.3">
      <c r="A2254" t="s">
        <v>2267</v>
      </c>
      <c r="B2254" t="s">
        <v>18</v>
      </c>
      <c r="C2254" s="4">
        <f>VLOOKUP(Googleadssales[[#This Row],[Ad_ID]],'[1]pre processed data'!A:C,3,0)</f>
        <v>83</v>
      </c>
      <c r="D2254" s="4">
        <f>VLOOKUP(Googleadssales[[#This Row],[Ad_ID]],'[1]pre processed data'!A:E,5,0)</f>
        <v>5180</v>
      </c>
      <c r="E2254" s="5" t="str">
        <f>VLOOKUP(Googleadssales[[#This Row],[Ad_ID]],[1]!Table3[[Ad_ID]:[Cost-imputed]],7,0)</f>
        <v>$209.62</v>
      </c>
      <c r="F2254" s="4">
        <f>VLOOKUP(Googleadssales[[#This Row],[Ad_ID]],'[1]pre processed data'!A:I,9,0)</f>
        <v>30</v>
      </c>
      <c r="G2254" s="4">
        <f>VLOOKUP(Googleadssales[[#This Row],[Ad_ID]],'[1]pre processed data'!A:K,11,0)</f>
        <v>4</v>
      </c>
      <c r="H2254" s="2">
        <f>Googleadssales[[#This Row],[Conversions]]/Googleadssales[[#This Row],[Clicks]]</f>
        <v>4.8192771084337352E-2</v>
      </c>
      <c r="I2254" t="str">
        <f>VLOOKUP(Googleadssales[[#This Row],[Ad_ID]],'[1]pre processed data'!A:O,15,0)</f>
        <v>$1972</v>
      </c>
      <c r="J2254" s="3">
        <f>VLOOKUP(Googleadssales[[#This Row],[Ad_ID]],'[1]pre processed data'!A:Q,17,0)</f>
        <v>45609</v>
      </c>
      <c r="K2254" t="str">
        <f>VLOOKUP(Googleadssales[[#This Row],[Ad_ID]],'[1]pre processed data'!A:R,18,0)</f>
        <v>Chennai</v>
      </c>
      <c r="L2254" t="str">
        <f>VLOOKUP(Googleadssales[[#This Row],[Ad_ID]],'[1]pre processed data'!A:S,19,0)</f>
        <v>Desktop</v>
      </c>
      <c r="M2254" t="str">
        <f>VLOOKUP(Googleadssales[[#This Row],[Ad_ID]],'[1]pre processed data'!A:T,20,0)</f>
        <v>analytics for data</v>
      </c>
    </row>
    <row r="2255" spans="1:13" x14ac:dyDescent="0.3">
      <c r="A2255" t="s">
        <v>2268</v>
      </c>
      <c r="B2255" t="s">
        <v>14</v>
      </c>
      <c r="C2255" s="4">
        <f>VLOOKUP(Googleadssales[[#This Row],[Ad_ID]],'[1]pre processed data'!A:C,3,0)</f>
        <v>91</v>
      </c>
      <c r="D2255" s="4">
        <f>VLOOKUP(Googleadssales[[#This Row],[Ad_ID]],'[1]pre processed data'!A:E,5,0)</f>
        <v>4988</v>
      </c>
      <c r="E2255" s="5" t="str">
        <f>VLOOKUP(Googleadssales[[#This Row],[Ad_ID]],[1]!Table3[[Ad_ID]:[Cost-imputed]],7,0)</f>
        <v>$217.34</v>
      </c>
      <c r="F2255" s="4">
        <f>VLOOKUP(Googleadssales[[#This Row],[Ad_ID]],'[1]pre processed data'!A:I,9,0)</f>
        <v>10</v>
      </c>
      <c r="G2255" s="4">
        <f>VLOOKUP(Googleadssales[[#This Row],[Ad_ID]],'[1]pre processed data'!A:K,11,0)</f>
        <v>10</v>
      </c>
      <c r="H2255" s="2">
        <f>Googleadssales[[#This Row],[Conversions]]/Googleadssales[[#This Row],[Clicks]]</f>
        <v>0.10989010989010989</v>
      </c>
      <c r="I2255" t="str">
        <f>VLOOKUP(Googleadssales[[#This Row],[Ad_ID]],'[1]pre processed data'!A:O,15,0)</f>
        <v>$1508</v>
      </c>
      <c r="J2255" s="3">
        <f>VLOOKUP(Googleadssales[[#This Row],[Ad_ID]],'[1]pre processed data'!A:Q,17,0)</f>
        <v>45625</v>
      </c>
      <c r="K2255" t="str">
        <f>VLOOKUP(Googleadssales[[#This Row],[Ad_ID]],'[1]pre processed data'!A:R,18,0)</f>
        <v>Bangaluru</v>
      </c>
      <c r="L2255" t="str">
        <f>VLOOKUP(Googleadssales[[#This Row],[Ad_ID]],'[1]pre processed data'!A:S,19,0)</f>
        <v>Mobile</v>
      </c>
      <c r="M2255" t="str">
        <f>VLOOKUP(Googleadssales[[#This Row],[Ad_ID]],'[1]pre processed data'!A:T,20,0)</f>
        <v>learn data analytics</v>
      </c>
    </row>
    <row r="2256" spans="1:13" x14ac:dyDescent="0.3">
      <c r="A2256" t="s">
        <v>2269</v>
      </c>
      <c r="B2256" t="s">
        <v>14</v>
      </c>
      <c r="C2256" s="4">
        <f>VLOOKUP(Googleadssales[[#This Row],[Ad_ID]],'[1]pre processed data'!A:C,3,0)</f>
        <v>107</v>
      </c>
      <c r="D2256" s="4">
        <f>VLOOKUP(Googleadssales[[#This Row],[Ad_ID]],'[1]pre processed data'!A:E,5,0)</f>
        <v>5510</v>
      </c>
      <c r="E2256" s="5" t="str">
        <f>VLOOKUP(Googleadssales[[#This Row],[Ad_ID]],[1]!Table3[[Ad_ID]:[Cost-imputed]],7,0)</f>
        <v>$216.1</v>
      </c>
      <c r="F2256" s="4">
        <f>VLOOKUP(Googleadssales[[#This Row],[Ad_ID]],'[1]pre processed data'!A:I,9,0)</f>
        <v>14</v>
      </c>
      <c r="G2256" s="4">
        <f>VLOOKUP(Googleadssales[[#This Row],[Ad_ID]],'[1]pre processed data'!A:K,11,0)</f>
        <v>8</v>
      </c>
      <c r="H2256" s="2">
        <f>Googleadssales[[#This Row],[Conversions]]/Googleadssales[[#This Row],[Clicks]]</f>
        <v>7.476635514018691E-2</v>
      </c>
      <c r="I2256" t="str">
        <f>VLOOKUP(Googleadssales[[#This Row],[Ad_ID]],'[1]pre processed data'!A:O,15,0)</f>
        <v>$1857</v>
      </c>
      <c r="J2256" s="3">
        <f>VLOOKUP(Googleadssales[[#This Row],[Ad_ID]],'[1]pre processed data'!A:Q,17,0)</f>
        <v>45615</v>
      </c>
      <c r="K2256" t="str">
        <f>VLOOKUP(Googleadssales[[#This Row],[Ad_ID]],'[1]pre processed data'!A:R,18,0)</f>
        <v>Bangaluru</v>
      </c>
      <c r="L2256" t="str">
        <f>VLOOKUP(Googleadssales[[#This Row],[Ad_ID]],'[1]pre processed data'!A:S,19,0)</f>
        <v>Mobile</v>
      </c>
      <c r="M2256" t="str">
        <f>VLOOKUP(Googleadssales[[#This Row],[Ad_ID]],'[1]pre processed data'!A:T,20,0)</f>
        <v>online data analytic</v>
      </c>
    </row>
    <row r="2257" spans="1:13" x14ac:dyDescent="0.3">
      <c r="A2257" t="s">
        <v>2270</v>
      </c>
      <c r="B2257" t="s">
        <v>14</v>
      </c>
      <c r="C2257" s="4">
        <f>VLOOKUP(Googleadssales[[#This Row],[Ad_ID]],'[1]pre processed data'!A:C,3,0)</f>
        <v>83</v>
      </c>
      <c r="D2257" s="4">
        <f>VLOOKUP(Googleadssales[[#This Row],[Ad_ID]],'[1]pre processed data'!A:E,5,0)</f>
        <v>3187</v>
      </c>
      <c r="E2257" s="5" t="str">
        <f>VLOOKUP(Googleadssales[[#This Row],[Ad_ID]],[1]!Table3[[Ad_ID]:[Cost-imputed]],7,0)</f>
        <v>$200.00</v>
      </c>
      <c r="F2257" s="4">
        <f>VLOOKUP(Googleadssales[[#This Row],[Ad_ID]],'[1]pre processed data'!A:I,9,0)</f>
        <v>25</v>
      </c>
      <c r="G2257" s="4">
        <f>VLOOKUP(Googleadssales[[#This Row],[Ad_ID]],'[1]pre processed data'!A:K,11,0)</f>
        <v>10</v>
      </c>
      <c r="H2257" s="2">
        <f>Googleadssales[[#This Row],[Conversions]]/Googleadssales[[#This Row],[Clicks]]</f>
        <v>0.12048192771084337</v>
      </c>
      <c r="I2257" t="str">
        <f>VLOOKUP(Googleadssales[[#This Row],[Ad_ID]],'[1]pre processed data'!A:O,15,0)</f>
        <v>$1571</v>
      </c>
      <c r="J2257" s="3">
        <f>VLOOKUP(Googleadssales[[#This Row],[Ad_ID]],'[1]pre processed data'!A:Q,17,0)</f>
        <v>45603</v>
      </c>
      <c r="K2257" t="str">
        <f>VLOOKUP(Googleadssales[[#This Row],[Ad_ID]],'[1]pre processed data'!A:R,18,0)</f>
        <v>Chennai</v>
      </c>
      <c r="L2257" t="str">
        <f>VLOOKUP(Googleadssales[[#This Row],[Ad_ID]],'[1]pre processed data'!A:S,19,0)</f>
        <v>Mobile</v>
      </c>
      <c r="M2257" t="str">
        <f>VLOOKUP(Googleadssales[[#This Row],[Ad_ID]],'[1]pre processed data'!A:T,20,0)</f>
        <v>learn data analytics</v>
      </c>
    </row>
    <row r="2258" spans="1:13" x14ac:dyDescent="0.3">
      <c r="A2258" t="s">
        <v>2271</v>
      </c>
      <c r="B2258" t="s">
        <v>14</v>
      </c>
      <c r="C2258" s="4">
        <f>VLOOKUP(Googleadssales[[#This Row],[Ad_ID]],'[1]pre processed data'!A:C,3,0)</f>
        <v>166</v>
      </c>
      <c r="D2258" s="4">
        <f>VLOOKUP(Googleadssales[[#This Row],[Ad_ID]],'[1]pre processed data'!A:E,5,0)</f>
        <v>3788</v>
      </c>
      <c r="E2258" s="5" t="str">
        <f>VLOOKUP(Googleadssales[[#This Row],[Ad_ID]],[1]!Table3[[Ad_ID]:[Cost-imputed]],7,0)</f>
        <v>$238.56</v>
      </c>
      <c r="F2258" s="4">
        <f>VLOOKUP(Googleadssales[[#This Row],[Ad_ID]],'[1]pre processed data'!A:I,9,0)</f>
        <v>18</v>
      </c>
      <c r="G2258" s="4">
        <f>VLOOKUP(Googleadssales[[#This Row],[Ad_ID]],'[1]pre processed data'!A:K,11,0)</f>
        <v>8</v>
      </c>
      <c r="H2258" s="2">
        <f>Googleadssales[[#This Row],[Conversions]]/Googleadssales[[#This Row],[Clicks]]</f>
        <v>4.8192771084337352E-2</v>
      </c>
      <c r="I2258" t="str">
        <f>VLOOKUP(Googleadssales[[#This Row],[Ad_ID]],'[1]pre processed data'!A:O,15,0)</f>
        <v>$1657</v>
      </c>
      <c r="J2258" s="3">
        <f>VLOOKUP(Googleadssales[[#This Row],[Ad_ID]],'[1]pre processed data'!A:Q,17,0)</f>
        <v>45602</v>
      </c>
      <c r="K2258" t="str">
        <f>VLOOKUP(Googleadssales[[#This Row],[Ad_ID]],'[1]pre processed data'!A:R,18,0)</f>
        <v>Hyderabad</v>
      </c>
      <c r="L2258" t="str">
        <f>VLOOKUP(Googleadssales[[#This Row],[Ad_ID]],'[1]pre processed data'!A:S,19,0)</f>
        <v>Mobile</v>
      </c>
      <c r="M2258" t="str">
        <f>VLOOKUP(Googleadssales[[#This Row],[Ad_ID]],'[1]pre processed data'!A:T,20,0)</f>
        <v>learn data analytics</v>
      </c>
    </row>
    <row r="2259" spans="1:13" x14ac:dyDescent="0.3">
      <c r="A2259" t="s">
        <v>2272</v>
      </c>
      <c r="B2259" t="s">
        <v>18</v>
      </c>
      <c r="C2259" s="4">
        <f>VLOOKUP(Googleadssales[[#This Row],[Ad_ID]],'[1]pre processed data'!A:C,3,0)</f>
        <v>182</v>
      </c>
      <c r="D2259" s="4">
        <f>VLOOKUP(Googleadssales[[#This Row],[Ad_ID]],'[1]pre processed data'!A:E,5,0)</f>
        <v>4575</v>
      </c>
      <c r="E2259" s="5" t="str">
        <f>VLOOKUP(Googleadssales[[#This Row],[Ad_ID]],[1]!Table3[[Ad_ID]:[Cost-imputed]],7,0)</f>
        <v>$233.74</v>
      </c>
      <c r="F2259" s="4">
        <f>VLOOKUP(Googleadssales[[#This Row],[Ad_ID]],'[1]pre processed data'!A:I,9,0)</f>
        <v>24</v>
      </c>
      <c r="G2259" s="4">
        <f>VLOOKUP(Googleadssales[[#This Row],[Ad_ID]],'[1]pre processed data'!A:K,11,0)</f>
        <v>10</v>
      </c>
      <c r="H2259" s="2">
        <f>Googleadssales[[#This Row],[Conversions]]/Googleadssales[[#This Row],[Clicks]]</f>
        <v>5.4945054945054944E-2</v>
      </c>
      <c r="I2259" t="str">
        <f>VLOOKUP(Googleadssales[[#This Row],[Ad_ID]],'[1]pre processed data'!A:O,15,0)</f>
        <v>$1844</v>
      </c>
      <c r="J2259" s="3">
        <f>VLOOKUP(Googleadssales[[#This Row],[Ad_ID]],'[1]pre processed data'!A:Q,17,0)</f>
        <v>45609</v>
      </c>
      <c r="K2259" t="str">
        <f>VLOOKUP(Googleadssales[[#This Row],[Ad_ID]],'[1]pre processed data'!A:R,18,0)</f>
        <v>Chennai</v>
      </c>
      <c r="L2259" t="str">
        <f>VLOOKUP(Googleadssales[[#This Row],[Ad_ID]],'[1]pre processed data'!A:S,19,0)</f>
        <v>Mobile</v>
      </c>
      <c r="M2259" t="str">
        <f>VLOOKUP(Googleadssales[[#This Row],[Ad_ID]],'[1]pre processed data'!A:T,20,0)</f>
        <v>learn data analytics</v>
      </c>
    </row>
    <row r="2260" spans="1:13" x14ac:dyDescent="0.3">
      <c r="A2260" t="s">
        <v>2273</v>
      </c>
      <c r="B2260" t="s">
        <v>14</v>
      </c>
      <c r="C2260" s="4">
        <f>VLOOKUP(Googleadssales[[#This Row],[Ad_ID]],'[1]pre processed data'!A:C,3,0)</f>
        <v>188</v>
      </c>
      <c r="D2260" s="4">
        <f>VLOOKUP(Googleadssales[[#This Row],[Ad_ID]],'[1]pre processed data'!A:E,5,0)</f>
        <v>4382</v>
      </c>
      <c r="E2260" s="5" t="str">
        <f>VLOOKUP(Googleadssales[[#This Row],[Ad_ID]],[1]!Table3[[Ad_ID]:[Cost-imputed]],7,0)</f>
        <v>$249.5</v>
      </c>
      <c r="F2260" s="4">
        <f>VLOOKUP(Googleadssales[[#This Row],[Ad_ID]],'[1]pre processed data'!A:I,9,0)</f>
        <v>12</v>
      </c>
      <c r="G2260" s="4">
        <f>VLOOKUP(Googleadssales[[#This Row],[Ad_ID]],'[1]pre processed data'!A:K,11,0)</f>
        <v>9</v>
      </c>
      <c r="H2260" s="2">
        <f>Googleadssales[[#This Row],[Conversions]]/Googleadssales[[#This Row],[Clicks]]</f>
        <v>4.7872340425531915E-2</v>
      </c>
      <c r="I2260" t="str">
        <f>VLOOKUP(Googleadssales[[#This Row],[Ad_ID]],'[1]pre processed data'!A:O,15,0)</f>
        <v>$1746</v>
      </c>
      <c r="J2260" s="3">
        <f>VLOOKUP(Googleadssales[[#This Row],[Ad_ID]],'[1]pre processed data'!A:Q,17,0)</f>
        <v>45609</v>
      </c>
      <c r="K2260" t="str">
        <f>VLOOKUP(Googleadssales[[#This Row],[Ad_ID]],'[1]pre processed data'!A:R,18,0)</f>
        <v>Chennai</v>
      </c>
      <c r="L2260" t="str">
        <f>VLOOKUP(Googleadssales[[#This Row],[Ad_ID]],'[1]pre processed data'!A:S,19,0)</f>
        <v>Desktop</v>
      </c>
      <c r="M2260" t="str">
        <f>VLOOKUP(Googleadssales[[#This Row],[Ad_ID]],'[1]pre processed data'!A:T,20,0)</f>
        <v>analytics for data</v>
      </c>
    </row>
    <row r="2261" spans="1:13" x14ac:dyDescent="0.3">
      <c r="A2261" t="s">
        <v>2274</v>
      </c>
      <c r="B2261" t="s">
        <v>14</v>
      </c>
      <c r="C2261" s="4">
        <f>VLOOKUP(Googleadssales[[#This Row],[Ad_ID]],'[1]pre processed data'!A:C,3,0)</f>
        <v>107</v>
      </c>
      <c r="D2261" s="4">
        <f>VLOOKUP(Googleadssales[[#This Row],[Ad_ID]],'[1]pre processed data'!A:E,5,0)</f>
        <v>4605</v>
      </c>
      <c r="E2261" s="5" t="str">
        <f>VLOOKUP(Googleadssales[[#This Row],[Ad_ID]],[1]!Table3[[Ad_ID]:[Cost-imputed]],7,0)</f>
        <v>$230.74</v>
      </c>
      <c r="F2261" s="4">
        <f>VLOOKUP(Googleadssales[[#This Row],[Ad_ID]],'[1]pre processed data'!A:I,9,0)</f>
        <v>17</v>
      </c>
      <c r="G2261" s="4">
        <f>VLOOKUP(Googleadssales[[#This Row],[Ad_ID]],'[1]pre processed data'!A:K,11,0)</f>
        <v>7</v>
      </c>
      <c r="H2261" s="2">
        <f>Googleadssales[[#This Row],[Conversions]]/Googleadssales[[#This Row],[Clicks]]</f>
        <v>6.5420560747663545E-2</v>
      </c>
      <c r="I2261" t="str">
        <f>VLOOKUP(Googleadssales[[#This Row],[Ad_ID]],'[1]pre processed data'!A:O,15,0)</f>
        <v>$1590</v>
      </c>
      <c r="J2261" s="3">
        <f>VLOOKUP(Googleadssales[[#This Row],[Ad_ID]],'[1]pre processed data'!A:Q,17,0)</f>
        <v>45614</v>
      </c>
      <c r="K2261" t="str">
        <f>VLOOKUP(Googleadssales[[#This Row],[Ad_ID]],'[1]pre processed data'!A:R,18,0)</f>
        <v>Chennai</v>
      </c>
      <c r="L2261" t="str">
        <f>VLOOKUP(Googleadssales[[#This Row],[Ad_ID]],'[1]pre processed data'!A:S,19,0)</f>
        <v>Tablet</v>
      </c>
      <c r="M2261" t="str">
        <f>VLOOKUP(Googleadssales[[#This Row],[Ad_ID]],'[1]pre processed data'!A:T,20,0)</f>
        <v>online data analytic</v>
      </c>
    </row>
    <row r="2262" spans="1:13" x14ac:dyDescent="0.3">
      <c r="A2262" t="s">
        <v>2275</v>
      </c>
      <c r="B2262" t="s">
        <v>14</v>
      </c>
      <c r="C2262" s="4">
        <f>VLOOKUP(Googleadssales[[#This Row],[Ad_ID]],'[1]pre processed data'!A:C,3,0)</f>
        <v>169</v>
      </c>
      <c r="D2262" s="4">
        <f>VLOOKUP(Googleadssales[[#This Row],[Ad_ID]],'[1]pre processed data'!A:E,5,0)</f>
        <v>4857</v>
      </c>
      <c r="E2262" s="5" t="str">
        <f>VLOOKUP(Googleadssales[[#This Row],[Ad_ID]],[1]!Table3[[Ad_ID]:[Cost-imputed]],7,0)</f>
        <v>$194.79</v>
      </c>
      <c r="F2262" s="4">
        <f>VLOOKUP(Googleadssales[[#This Row],[Ad_ID]],'[1]pre processed data'!A:I,9,0)</f>
        <v>18</v>
      </c>
      <c r="G2262" s="4">
        <f>VLOOKUP(Googleadssales[[#This Row],[Ad_ID]],'[1]pre processed data'!A:K,11,0)</f>
        <v>7</v>
      </c>
      <c r="H2262" s="2">
        <f>Googleadssales[[#This Row],[Conversions]]/Googleadssales[[#This Row],[Clicks]]</f>
        <v>4.142011834319527E-2</v>
      </c>
      <c r="I2262" t="str">
        <f>VLOOKUP(Googleadssales[[#This Row],[Ad_ID]],'[1]pre processed data'!A:O,15,0)</f>
        <v>$1391</v>
      </c>
      <c r="J2262" s="3">
        <f>VLOOKUP(Googleadssales[[#This Row],[Ad_ID]],'[1]pre processed data'!A:Q,17,0)</f>
        <v>45618</v>
      </c>
      <c r="K2262" t="str">
        <f>VLOOKUP(Googleadssales[[#This Row],[Ad_ID]],'[1]pre processed data'!A:R,18,0)</f>
        <v>Hyderabad</v>
      </c>
      <c r="L2262" t="str">
        <f>VLOOKUP(Googleadssales[[#This Row],[Ad_ID]],'[1]pre processed data'!A:S,19,0)</f>
        <v>Mobile</v>
      </c>
      <c r="M2262" t="str">
        <f>VLOOKUP(Googleadssales[[#This Row],[Ad_ID]],'[1]pre processed data'!A:T,20,0)</f>
        <v>data analytics online</v>
      </c>
    </row>
    <row r="2263" spans="1:13" x14ac:dyDescent="0.3">
      <c r="A2263" t="s">
        <v>2276</v>
      </c>
      <c r="B2263" t="s">
        <v>14</v>
      </c>
      <c r="C2263" s="4">
        <f>VLOOKUP(Googleadssales[[#This Row],[Ad_ID]],'[1]pre processed data'!A:C,3,0)</f>
        <v>165</v>
      </c>
      <c r="D2263" s="4">
        <f>VLOOKUP(Googleadssales[[#This Row],[Ad_ID]],'[1]pre processed data'!A:E,5,0)</f>
        <v>3150</v>
      </c>
      <c r="E2263" s="5" t="str">
        <f>VLOOKUP(Googleadssales[[#This Row],[Ad_ID]],[1]!Table3[[Ad_ID]:[Cost-imputed]],7,0)</f>
        <v>$190.3</v>
      </c>
      <c r="F2263" s="4">
        <f>VLOOKUP(Googleadssales[[#This Row],[Ad_ID]],'[1]pre processed data'!A:I,9,0)</f>
        <v>18</v>
      </c>
      <c r="G2263" s="4">
        <f>VLOOKUP(Googleadssales[[#This Row],[Ad_ID]],'[1]pre processed data'!A:K,11,0)</f>
        <v>3</v>
      </c>
      <c r="H2263" s="2">
        <f>Googleadssales[[#This Row],[Conversions]]/Googleadssales[[#This Row],[Clicks]]</f>
        <v>1.8181818181818181E-2</v>
      </c>
      <c r="I2263" t="str">
        <f>VLOOKUP(Googleadssales[[#This Row],[Ad_ID]],'[1]pre processed data'!A:O,15,0)</f>
        <v>$1129</v>
      </c>
      <c r="J2263" s="3">
        <f>VLOOKUP(Googleadssales[[#This Row],[Ad_ID]],'[1]pre processed data'!A:Q,17,0)</f>
        <v>45614</v>
      </c>
      <c r="K2263" t="str">
        <f>VLOOKUP(Googleadssales[[#This Row],[Ad_ID]],'[1]pre processed data'!A:R,18,0)</f>
        <v>Hyderabad</v>
      </c>
      <c r="L2263" t="str">
        <f>VLOOKUP(Googleadssales[[#This Row],[Ad_ID]],'[1]pre processed data'!A:S,19,0)</f>
        <v>Desktop</v>
      </c>
      <c r="M2263" t="str">
        <f>VLOOKUP(Googleadssales[[#This Row],[Ad_ID]],'[1]pre processed data'!A:T,20,0)</f>
        <v>data analytics training</v>
      </c>
    </row>
    <row r="2264" spans="1:13" x14ac:dyDescent="0.3">
      <c r="A2264" t="s">
        <v>2277</v>
      </c>
      <c r="B2264" t="s">
        <v>14</v>
      </c>
      <c r="C2264" s="4">
        <f>VLOOKUP(Googleadssales[[#This Row],[Ad_ID]],'[1]pre processed data'!A:C,3,0)</f>
        <v>137</v>
      </c>
      <c r="D2264" s="4">
        <f>VLOOKUP(Googleadssales[[#This Row],[Ad_ID]],'[1]pre processed data'!A:E,5,0)</f>
        <v>4630</v>
      </c>
      <c r="E2264" s="5" t="str">
        <f>VLOOKUP(Googleadssales[[#This Row],[Ad_ID]],[1]!Table3[[Ad_ID]:[Cost-imputed]],7,0)</f>
        <v>$201.14</v>
      </c>
      <c r="F2264" s="4">
        <f>VLOOKUP(Googleadssales[[#This Row],[Ad_ID]],'[1]pre processed data'!A:I,9,0)</f>
        <v>10</v>
      </c>
      <c r="G2264" s="4">
        <f>VLOOKUP(Googleadssales[[#This Row],[Ad_ID]],'[1]pre processed data'!A:K,11,0)</f>
        <v>4</v>
      </c>
      <c r="H2264" s="2">
        <f>Googleadssales[[#This Row],[Conversions]]/Googleadssales[[#This Row],[Clicks]]</f>
        <v>2.9197080291970802E-2</v>
      </c>
      <c r="I2264" t="str">
        <f>VLOOKUP(Googleadssales[[#This Row],[Ad_ID]],'[1]pre processed data'!A:O,15,0)</f>
        <v>$1680</v>
      </c>
      <c r="J2264" s="3">
        <f>VLOOKUP(Googleadssales[[#This Row],[Ad_ID]],'[1]pre processed data'!A:Q,17,0)</f>
        <v>45623</v>
      </c>
      <c r="K2264" t="str">
        <f>VLOOKUP(Googleadssales[[#This Row],[Ad_ID]],'[1]pre processed data'!A:R,18,0)</f>
        <v>Hyderabad</v>
      </c>
      <c r="L2264" t="str">
        <f>VLOOKUP(Googleadssales[[#This Row],[Ad_ID]],'[1]pre processed data'!A:S,19,0)</f>
        <v>Tablet</v>
      </c>
      <c r="M2264" t="str">
        <f>VLOOKUP(Googleadssales[[#This Row],[Ad_ID]],'[1]pre processed data'!A:T,20,0)</f>
        <v>learn data analytics</v>
      </c>
    </row>
    <row r="2265" spans="1:13" x14ac:dyDescent="0.3">
      <c r="A2265" t="s">
        <v>2278</v>
      </c>
      <c r="B2265" t="s">
        <v>14</v>
      </c>
      <c r="C2265" s="4">
        <f>VLOOKUP(Googleadssales[[#This Row],[Ad_ID]],'[1]pre processed data'!A:C,3,0)</f>
        <v>135</v>
      </c>
      <c r="D2265" s="4">
        <f>VLOOKUP(Googleadssales[[#This Row],[Ad_ID]],'[1]pre processed data'!A:E,5,0)</f>
        <v>3712</v>
      </c>
      <c r="E2265" s="5" t="str">
        <f>VLOOKUP(Googleadssales[[#This Row],[Ad_ID]],[1]!Table3[[Ad_ID]:[Cost-imputed]],7,0)</f>
        <v>$207.14</v>
      </c>
      <c r="F2265" s="4">
        <f>VLOOKUP(Googleadssales[[#This Row],[Ad_ID]],'[1]pre processed data'!A:I,9,0)</f>
        <v>14</v>
      </c>
      <c r="G2265" s="4">
        <f>VLOOKUP(Googleadssales[[#This Row],[Ad_ID]],'[1]pre processed data'!A:K,11,0)</f>
        <v>3</v>
      </c>
      <c r="H2265" s="2">
        <f>Googleadssales[[#This Row],[Conversions]]/Googleadssales[[#This Row],[Clicks]]</f>
        <v>2.2222222222222223E-2</v>
      </c>
      <c r="I2265" t="str">
        <f>VLOOKUP(Googleadssales[[#This Row],[Ad_ID]],'[1]pre processed data'!A:O,15,0)</f>
        <v>$1788</v>
      </c>
      <c r="J2265" s="3">
        <f>VLOOKUP(Googleadssales[[#This Row],[Ad_ID]],'[1]pre processed data'!A:Q,17,0)</f>
        <v>45617</v>
      </c>
      <c r="K2265" t="str">
        <f>VLOOKUP(Googleadssales[[#This Row],[Ad_ID]],'[1]pre processed data'!A:R,18,0)</f>
        <v>Hyderabad</v>
      </c>
      <c r="L2265" t="str">
        <f>VLOOKUP(Googleadssales[[#This Row],[Ad_ID]],'[1]pre processed data'!A:S,19,0)</f>
        <v>Tablet</v>
      </c>
      <c r="M2265" t="str">
        <f>VLOOKUP(Googleadssales[[#This Row],[Ad_ID]],'[1]pre processed data'!A:T,20,0)</f>
        <v>data analytics training</v>
      </c>
    </row>
    <row r="2266" spans="1:13" x14ac:dyDescent="0.3">
      <c r="A2266" t="s">
        <v>2279</v>
      </c>
      <c r="B2266" t="s">
        <v>18</v>
      </c>
      <c r="C2266" s="4">
        <f>VLOOKUP(Googleadssales[[#This Row],[Ad_ID]],'[1]pre processed data'!A:C,3,0)</f>
        <v>130</v>
      </c>
      <c r="D2266" s="4">
        <f>VLOOKUP(Googleadssales[[#This Row],[Ad_ID]],'[1]pre processed data'!A:E,5,0)</f>
        <v>5739</v>
      </c>
      <c r="E2266" s="5" t="str">
        <f>VLOOKUP(Googleadssales[[#This Row],[Ad_ID]],[1]!Table3[[Ad_ID]:[Cost-imputed]],7,0)</f>
        <v>$200.00</v>
      </c>
      <c r="F2266" s="4">
        <f>VLOOKUP(Googleadssales[[#This Row],[Ad_ID]],'[1]pre processed data'!A:I,9,0)</f>
        <v>23</v>
      </c>
      <c r="G2266" s="4">
        <f>VLOOKUP(Googleadssales[[#This Row],[Ad_ID]],'[1]pre processed data'!A:K,11,0)</f>
        <v>8</v>
      </c>
      <c r="H2266" s="2">
        <f>Googleadssales[[#This Row],[Conversions]]/Googleadssales[[#This Row],[Clicks]]</f>
        <v>6.1538461538461542E-2</v>
      </c>
      <c r="I2266" t="str">
        <f>VLOOKUP(Googleadssales[[#This Row],[Ad_ID]],'[1]pre processed data'!A:O,15,0)</f>
        <v>$1500</v>
      </c>
      <c r="J2266" s="3">
        <f>VLOOKUP(Googleadssales[[#This Row],[Ad_ID]],'[1]pre processed data'!A:Q,17,0)</f>
        <v>45626</v>
      </c>
      <c r="K2266" t="str">
        <f>VLOOKUP(Googleadssales[[#This Row],[Ad_ID]],'[1]pre processed data'!A:R,18,0)</f>
        <v>Chennai</v>
      </c>
      <c r="L2266" t="str">
        <f>VLOOKUP(Googleadssales[[#This Row],[Ad_ID]],'[1]pre processed data'!A:S,19,0)</f>
        <v>Mobile</v>
      </c>
      <c r="M2266" t="str">
        <f>VLOOKUP(Googleadssales[[#This Row],[Ad_ID]],'[1]pre processed data'!A:T,20,0)</f>
        <v>data analytics online</v>
      </c>
    </row>
    <row r="2267" spans="1:13" x14ac:dyDescent="0.3">
      <c r="A2267" t="s">
        <v>2280</v>
      </c>
      <c r="B2267" t="s">
        <v>14</v>
      </c>
      <c r="C2267" s="4">
        <f>VLOOKUP(Googleadssales[[#This Row],[Ad_ID]],'[1]pre processed data'!A:C,3,0)</f>
        <v>193</v>
      </c>
      <c r="D2267" s="4">
        <f>VLOOKUP(Googleadssales[[#This Row],[Ad_ID]],'[1]pre processed data'!A:E,5,0)</f>
        <v>4523.2808326787117</v>
      </c>
      <c r="E2267" s="5" t="str">
        <f>VLOOKUP(Googleadssales[[#This Row],[Ad_ID]],[1]!Table3[[Ad_ID]:[Cost-imputed]],7,0)</f>
        <v>$230.95</v>
      </c>
      <c r="F2267" s="4">
        <f>VLOOKUP(Googleadssales[[#This Row],[Ad_ID]],'[1]pre processed data'!A:I,9,0)</f>
        <v>26</v>
      </c>
      <c r="G2267" s="4">
        <f>VLOOKUP(Googleadssales[[#This Row],[Ad_ID]],'[1]pre processed data'!A:K,11,0)</f>
        <v>8</v>
      </c>
      <c r="H2267" s="2">
        <f>Googleadssales[[#This Row],[Conversions]]/Googleadssales[[#This Row],[Clicks]]</f>
        <v>4.145077720207254E-2</v>
      </c>
      <c r="I2267" t="str">
        <f>VLOOKUP(Googleadssales[[#This Row],[Ad_ID]],'[1]pre processed data'!A:O,15,0)</f>
        <v>$1055</v>
      </c>
      <c r="J2267" s="3">
        <f>VLOOKUP(Googleadssales[[#This Row],[Ad_ID]],'[1]pre processed data'!A:Q,17,0)</f>
        <v>45607</v>
      </c>
      <c r="K2267" t="str">
        <f>VLOOKUP(Googleadssales[[#This Row],[Ad_ID]],'[1]pre processed data'!A:R,18,0)</f>
        <v>Hyderabad</v>
      </c>
      <c r="L2267" t="str">
        <f>VLOOKUP(Googleadssales[[#This Row],[Ad_ID]],'[1]pre processed data'!A:S,19,0)</f>
        <v>Desktop</v>
      </c>
      <c r="M2267" t="str">
        <f>VLOOKUP(Googleadssales[[#This Row],[Ad_ID]],'[1]pre processed data'!A:T,20,0)</f>
        <v>data analytics online</v>
      </c>
    </row>
    <row r="2268" spans="1:13" x14ac:dyDescent="0.3">
      <c r="A2268" t="s">
        <v>2281</v>
      </c>
      <c r="B2268" t="s">
        <v>18</v>
      </c>
      <c r="C2268" s="4">
        <f>VLOOKUP(Googleadssales[[#This Row],[Ad_ID]],'[1]pre processed data'!A:C,3,0)</f>
        <v>122</v>
      </c>
      <c r="D2268" s="4">
        <f>VLOOKUP(Googleadssales[[#This Row],[Ad_ID]],'[1]pre processed data'!A:E,5,0)</f>
        <v>4556</v>
      </c>
      <c r="E2268" s="5" t="str">
        <f>VLOOKUP(Googleadssales[[#This Row],[Ad_ID]],[1]!Table3[[Ad_ID]:[Cost-imputed]],7,0)</f>
        <v>$243.84</v>
      </c>
      <c r="F2268" s="4">
        <f>VLOOKUP(Googleadssales[[#This Row],[Ad_ID]],'[1]pre processed data'!A:I,9,0)</f>
        <v>26</v>
      </c>
      <c r="G2268" s="4">
        <f>VLOOKUP(Googleadssales[[#This Row],[Ad_ID]],'[1]pre processed data'!A:K,11,0)</f>
        <v>4</v>
      </c>
      <c r="H2268" s="2">
        <f>Googleadssales[[#This Row],[Conversions]]/Googleadssales[[#This Row],[Clicks]]</f>
        <v>3.2786885245901641E-2</v>
      </c>
      <c r="I2268" t="str">
        <f>VLOOKUP(Googleadssales[[#This Row],[Ad_ID]],'[1]pre processed data'!A:O,15,0)</f>
        <v>$1164</v>
      </c>
      <c r="J2268" s="3">
        <f>VLOOKUP(Googleadssales[[#This Row],[Ad_ID]],'[1]pre processed data'!A:Q,17,0)</f>
        <v>45620</v>
      </c>
      <c r="K2268" t="str">
        <f>VLOOKUP(Googleadssales[[#This Row],[Ad_ID]],'[1]pre processed data'!A:R,18,0)</f>
        <v>Chennai</v>
      </c>
      <c r="L2268" t="str">
        <f>VLOOKUP(Googleadssales[[#This Row],[Ad_ID]],'[1]pre processed data'!A:S,19,0)</f>
        <v>Mobile</v>
      </c>
      <c r="M2268" t="str">
        <f>VLOOKUP(Googleadssales[[#This Row],[Ad_ID]],'[1]pre processed data'!A:T,20,0)</f>
        <v>online data analytic</v>
      </c>
    </row>
    <row r="2269" spans="1:13" x14ac:dyDescent="0.3">
      <c r="A2269" t="s">
        <v>2282</v>
      </c>
      <c r="B2269" t="s">
        <v>14</v>
      </c>
      <c r="C2269" s="4">
        <f>VLOOKUP(Googleadssales[[#This Row],[Ad_ID]],'[1]pre processed data'!A:C,3,0)</f>
        <v>167</v>
      </c>
      <c r="D2269" s="4">
        <f>VLOOKUP(Googleadssales[[#This Row],[Ad_ID]],'[1]pre processed data'!A:E,5,0)</f>
        <v>5824</v>
      </c>
      <c r="E2269" s="5" t="str">
        <f>VLOOKUP(Googleadssales[[#This Row],[Ad_ID]],[1]!Table3[[Ad_ID]:[Cost-imputed]],7,0)</f>
        <v>$204.18</v>
      </c>
      <c r="F2269" s="4">
        <f>VLOOKUP(Googleadssales[[#This Row],[Ad_ID]],'[1]pre processed data'!A:I,9,0)</f>
        <v>20.495412844036696</v>
      </c>
      <c r="G2269" s="4">
        <f>VLOOKUP(Googleadssales[[#This Row],[Ad_ID]],'[1]pre processed data'!A:K,11,0)</f>
        <v>6.5236593059936911</v>
      </c>
      <c r="H2269" s="2">
        <f>Googleadssales[[#This Row],[Conversions]]/Googleadssales[[#This Row],[Clicks]]</f>
        <v>3.9063828179602939E-2</v>
      </c>
      <c r="I2269" t="str">
        <f>VLOOKUP(Googleadssales[[#This Row],[Ad_ID]],'[1]pre processed data'!A:O,15,0)</f>
        <v>$1452</v>
      </c>
      <c r="J2269" s="3">
        <f>VLOOKUP(Googleadssales[[#This Row],[Ad_ID]],'[1]pre processed data'!A:Q,17,0)</f>
        <v>45605</v>
      </c>
      <c r="K2269" t="str">
        <f>VLOOKUP(Googleadssales[[#This Row],[Ad_ID]],'[1]pre processed data'!A:R,18,0)</f>
        <v>Bangaluru</v>
      </c>
      <c r="L2269" t="str">
        <f>VLOOKUP(Googleadssales[[#This Row],[Ad_ID]],'[1]pre processed data'!A:S,19,0)</f>
        <v>Mobile</v>
      </c>
      <c r="M2269" t="str">
        <f>VLOOKUP(Googleadssales[[#This Row],[Ad_ID]],'[1]pre processed data'!A:T,20,0)</f>
        <v>data analytics course</v>
      </c>
    </row>
    <row r="2270" spans="1:13" x14ac:dyDescent="0.3">
      <c r="A2270" t="s">
        <v>2283</v>
      </c>
      <c r="B2270" t="s">
        <v>14</v>
      </c>
      <c r="C2270" s="4">
        <f>VLOOKUP(Googleadssales[[#This Row],[Ad_ID]],'[1]pre processed data'!A:C,3,0)</f>
        <v>145</v>
      </c>
      <c r="D2270" s="4">
        <f>VLOOKUP(Googleadssales[[#This Row],[Ad_ID]],'[1]pre processed data'!A:E,5,0)</f>
        <v>5765</v>
      </c>
      <c r="E2270" s="5" t="str">
        <f>VLOOKUP(Googleadssales[[#This Row],[Ad_ID]],[1]!Table3[[Ad_ID]:[Cost-imputed]],7,0)</f>
        <v>$240.62</v>
      </c>
      <c r="F2270" s="4">
        <f>VLOOKUP(Googleadssales[[#This Row],[Ad_ID]],'[1]pre processed data'!A:I,9,0)</f>
        <v>18</v>
      </c>
      <c r="G2270" s="4">
        <f>VLOOKUP(Googleadssales[[#This Row],[Ad_ID]],'[1]pre processed data'!A:K,11,0)</f>
        <v>6</v>
      </c>
      <c r="H2270" s="2">
        <f>Googleadssales[[#This Row],[Conversions]]/Googleadssales[[#This Row],[Clicks]]</f>
        <v>4.1379310344827586E-2</v>
      </c>
      <c r="I2270" t="str">
        <f>VLOOKUP(Googleadssales[[#This Row],[Ad_ID]],'[1]pre processed data'!A:O,15,0)</f>
        <v>$1056</v>
      </c>
      <c r="J2270" s="3">
        <f>VLOOKUP(Googleadssales[[#This Row],[Ad_ID]],'[1]pre processed data'!A:Q,17,0)</f>
        <v>45615</v>
      </c>
      <c r="K2270" t="str">
        <f>VLOOKUP(Googleadssales[[#This Row],[Ad_ID]],'[1]pre processed data'!A:R,18,0)</f>
        <v>Chennai</v>
      </c>
      <c r="L2270" t="str">
        <f>VLOOKUP(Googleadssales[[#This Row],[Ad_ID]],'[1]pre processed data'!A:S,19,0)</f>
        <v>Desktop</v>
      </c>
      <c r="M2270" t="str">
        <f>VLOOKUP(Googleadssales[[#This Row],[Ad_ID]],'[1]pre processed data'!A:T,20,0)</f>
        <v>data analytics training</v>
      </c>
    </row>
    <row r="2271" spans="1:13" x14ac:dyDescent="0.3">
      <c r="A2271" t="s">
        <v>2284</v>
      </c>
      <c r="B2271" t="s">
        <v>14</v>
      </c>
      <c r="C2271" s="4">
        <f>VLOOKUP(Googleadssales[[#This Row],[Ad_ID]],'[1]pre processed data'!A:C,3,0)</f>
        <v>80</v>
      </c>
      <c r="D2271" s="4">
        <f>VLOOKUP(Googleadssales[[#This Row],[Ad_ID]],'[1]pre processed data'!A:E,5,0)</f>
        <v>5653</v>
      </c>
      <c r="E2271" s="5" t="str">
        <f>VLOOKUP(Googleadssales[[#This Row],[Ad_ID]],[1]!Table3[[Ad_ID]:[Cost-imputed]],7,0)</f>
        <v>$228.06</v>
      </c>
      <c r="F2271" s="4">
        <f>VLOOKUP(Googleadssales[[#This Row],[Ad_ID]],'[1]pre processed data'!A:I,9,0)</f>
        <v>19</v>
      </c>
      <c r="G2271" s="4">
        <f>VLOOKUP(Googleadssales[[#This Row],[Ad_ID]],'[1]pre processed data'!A:K,11,0)</f>
        <v>8</v>
      </c>
      <c r="H2271" s="2">
        <f>Googleadssales[[#This Row],[Conversions]]/Googleadssales[[#This Row],[Clicks]]</f>
        <v>0.1</v>
      </c>
      <c r="I2271" t="str">
        <f>VLOOKUP(Googleadssales[[#This Row],[Ad_ID]],'[1]pre processed data'!A:O,15,0)</f>
        <v>$1795</v>
      </c>
      <c r="J2271" s="3">
        <f>VLOOKUP(Googleadssales[[#This Row],[Ad_ID]],'[1]pre processed data'!A:Q,17,0)</f>
        <v>45609</v>
      </c>
      <c r="K2271" t="str">
        <f>VLOOKUP(Googleadssales[[#This Row],[Ad_ID]],'[1]pre processed data'!A:R,18,0)</f>
        <v>Chennai</v>
      </c>
      <c r="L2271" t="str">
        <f>VLOOKUP(Googleadssales[[#This Row],[Ad_ID]],'[1]pre processed data'!A:S,19,0)</f>
        <v>Tablet</v>
      </c>
      <c r="M2271" t="str">
        <f>VLOOKUP(Googleadssales[[#This Row],[Ad_ID]],'[1]pre processed data'!A:T,20,0)</f>
        <v>analytics for data</v>
      </c>
    </row>
    <row r="2272" spans="1:13" x14ac:dyDescent="0.3">
      <c r="A2272" t="s">
        <v>2285</v>
      </c>
      <c r="B2272" t="s">
        <v>14</v>
      </c>
      <c r="C2272" s="4">
        <f>VLOOKUP(Googleadssales[[#This Row],[Ad_ID]],'[1]pre processed data'!A:C,3,0)</f>
        <v>138.95699356913184</v>
      </c>
      <c r="D2272" s="4">
        <f>VLOOKUP(Googleadssales[[#This Row],[Ad_ID]],'[1]pre processed data'!A:E,5,0)</f>
        <v>4379</v>
      </c>
      <c r="E2272" s="5" t="str">
        <f>VLOOKUP(Googleadssales[[#This Row],[Ad_ID]],[1]!Table3[[Ad_ID]:[Cost-imputed]],7,0)</f>
        <v>$238.75</v>
      </c>
      <c r="F2272" s="4">
        <f>VLOOKUP(Googleadssales[[#This Row],[Ad_ID]],'[1]pre processed data'!A:I,9,0)</f>
        <v>24</v>
      </c>
      <c r="G2272" s="4">
        <f>VLOOKUP(Googleadssales[[#This Row],[Ad_ID]],'[1]pre processed data'!A:K,11,0)</f>
        <v>8</v>
      </c>
      <c r="H2272" s="2">
        <f>Googleadssales[[#This Row],[Conversions]]/Googleadssales[[#This Row],[Clicks]]</f>
        <v>5.7571769469954438E-2</v>
      </c>
      <c r="I2272" t="str">
        <f>VLOOKUP(Googleadssales[[#This Row],[Ad_ID]],'[1]pre processed data'!A:O,15,0)</f>
        <v>$1500</v>
      </c>
      <c r="J2272" s="3">
        <f>VLOOKUP(Googleadssales[[#This Row],[Ad_ID]],'[1]pre processed data'!A:Q,17,0)</f>
        <v>45606</v>
      </c>
      <c r="K2272" t="str">
        <f>VLOOKUP(Googleadssales[[#This Row],[Ad_ID]],'[1]pre processed data'!A:R,18,0)</f>
        <v>Hyderabad</v>
      </c>
      <c r="L2272" t="str">
        <f>VLOOKUP(Googleadssales[[#This Row],[Ad_ID]],'[1]pre processed data'!A:S,19,0)</f>
        <v>Mobile</v>
      </c>
      <c r="M2272" t="str">
        <f>VLOOKUP(Googleadssales[[#This Row],[Ad_ID]],'[1]pre processed data'!A:T,20,0)</f>
        <v>data analytics training</v>
      </c>
    </row>
    <row r="2273" spans="1:13" x14ac:dyDescent="0.3">
      <c r="A2273" t="s">
        <v>2286</v>
      </c>
      <c r="B2273" t="s">
        <v>14</v>
      </c>
      <c r="C2273" s="4">
        <f>VLOOKUP(Googleadssales[[#This Row],[Ad_ID]],'[1]pre processed data'!A:C,3,0)</f>
        <v>141</v>
      </c>
      <c r="D2273" s="4">
        <f>VLOOKUP(Googleadssales[[#This Row],[Ad_ID]],'[1]pre processed data'!A:E,5,0)</f>
        <v>5612</v>
      </c>
      <c r="E2273" s="5" t="str">
        <f>VLOOKUP(Googleadssales[[#This Row],[Ad_ID]],[1]!Table3[[Ad_ID]:[Cost-imputed]],7,0)</f>
        <v>$224.45</v>
      </c>
      <c r="F2273" s="4">
        <f>VLOOKUP(Googleadssales[[#This Row],[Ad_ID]],'[1]pre processed data'!A:I,9,0)</f>
        <v>19</v>
      </c>
      <c r="G2273" s="4">
        <f>VLOOKUP(Googleadssales[[#This Row],[Ad_ID]],'[1]pre processed data'!A:K,11,0)</f>
        <v>5</v>
      </c>
      <c r="H2273" s="2">
        <f>Googleadssales[[#This Row],[Conversions]]/Googleadssales[[#This Row],[Clicks]]</f>
        <v>3.5460992907801421E-2</v>
      </c>
      <c r="I2273" t="str">
        <f>VLOOKUP(Googleadssales[[#This Row],[Ad_ID]],'[1]pre processed data'!A:O,15,0)</f>
        <v>$1150</v>
      </c>
      <c r="J2273" s="3">
        <f>VLOOKUP(Googleadssales[[#This Row],[Ad_ID]],'[1]pre processed data'!A:Q,17,0)</f>
        <v>45612</v>
      </c>
      <c r="K2273" t="str">
        <f>VLOOKUP(Googleadssales[[#This Row],[Ad_ID]],'[1]pre processed data'!A:R,18,0)</f>
        <v>Hyderabad</v>
      </c>
      <c r="L2273" t="str">
        <f>VLOOKUP(Googleadssales[[#This Row],[Ad_ID]],'[1]pre processed data'!A:S,19,0)</f>
        <v>Mobile</v>
      </c>
      <c r="M2273" t="str">
        <f>VLOOKUP(Googleadssales[[#This Row],[Ad_ID]],'[1]pre processed data'!A:T,20,0)</f>
        <v>online data analytic</v>
      </c>
    </row>
    <row r="2274" spans="1:13" x14ac:dyDescent="0.3">
      <c r="A2274" t="s">
        <v>2287</v>
      </c>
      <c r="B2274" t="s">
        <v>14</v>
      </c>
      <c r="C2274" s="4">
        <f>VLOOKUP(Googleadssales[[#This Row],[Ad_ID]],'[1]pre processed data'!A:C,3,0)</f>
        <v>180</v>
      </c>
      <c r="D2274" s="4">
        <f>VLOOKUP(Googleadssales[[#This Row],[Ad_ID]],'[1]pre processed data'!A:E,5,0)</f>
        <v>3102</v>
      </c>
      <c r="E2274" s="5" t="str">
        <f>VLOOKUP(Googleadssales[[#This Row],[Ad_ID]],[1]!Table3[[Ad_ID]:[Cost-imputed]],7,0)</f>
        <v>$198.37</v>
      </c>
      <c r="F2274" s="4">
        <f>VLOOKUP(Googleadssales[[#This Row],[Ad_ID]],'[1]pre processed data'!A:I,9,0)</f>
        <v>19</v>
      </c>
      <c r="G2274" s="4">
        <f>VLOOKUP(Googleadssales[[#This Row],[Ad_ID]],'[1]pre processed data'!A:K,11,0)</f>
        <v>3</v>
      </c>
      <c r="H2274" s="2">
        <f>Googleadssales[[#This Row],[Conversions]]/Googleadssales[[#This Row],[Clicks]]</f>
        <v>1.6666666666666666E-2</v>
      </c>
      <c r="I2274" t="str">
        <f>VLOOKUP(Googleadssales[[#This Row],[Ad_ID]],'[1]pre processed data'!A:O,15,0)</f>
        <v>$1500</v>
      </c>
      <c r="J2274" s="3">
        <f>VLOOKUP(Googleadssales[[#This Row],[Ad_ID]],'[1]pre processed data'!A:Q,17,0)</f>
        <v>45625</v>
      </c>
      <c r="K2274" t="str">
        <f>VLOOKUP(Googleadssales[[#This Row],[Ad_ID]],'[1]pre processed data'!A:R,18,0)</f>
        <v>Chennai</v>
      </c>
      <c r="L2274" t="str">
        <f>VLOOKUP(Googleadssales[[#This Row],[Ad_ID]],'[1]pre processed data'!A:S,19,0)</f>
        <v>Mobile</v>
      </c>
      <c r="M2274" t="str">
        <f>VLOOKUP(Googleadssales[[#This Row],[Ad_ID]],'[1]pre processed data'!A:T,20,0)</f>
        <v>online data analytic</v>
      </c>
    </row>
    <row r="2275" spans="1:13" x14ac:dyDescent="0.3">
      <c r="A2275" t="s">
        <v>2288</v>
      </c>
      <c r="B2275" t="s">
        <v>18</v>
      </c>
      <c r="C2275" s="4">
        <f>VLOOKUP(Googleadssales[[#This Row],[Ad_ID]],'[1]pre processed data'!A:C,3,0)</f>
        <v>196</v>
      </c>
      <c r="D2275" s="4">
        <f>VLOOKUP(Googleadssales[[#This Row],[Ad_ID]],'[1]pre processed data'!A:E,5,0)</f>
        <v>5812</v>
      </c>
      <c r="E2275" s="5" t="str">
        <f>VLOOKUP(Googleadssales[[#This Row],[Ad_ID]],[1]!Table3[[Ad_ID]:[Cost-imputed]],7,0)</f>
        <v>$246.88</v>
      </c>
      <c r="F2275" s="4">
        <f>VLOOKUP(Googleadssales[[#This Row],[Ad_ID]],'[1]pre processed data'!A:I,9,0)</f>
        <v>22</v>
      </c>
      <c r="G2275" s="4">
        <f>VLOOKUP(Googleadssales[[#This Row],[Ad_ID]],'[1]pre processed data'!A:K,11,0)</f>
        <v>9</v>
      </c>
      <c r="H2275" s="2">
        <f>Googleadssales[[#This Row],[Conversions]]/Googleadssales[[#This Row],[Clicks]]</f>
        <v>4.5918367346938778E-2</v>
      </c>
      <c r="I2275" t="str">
        <f>VLOOKUP(Googleadssales[[#This Row],[Ad_ID]],'[1]pre processed data'!A:O,15,0)</f>
        <v>$1715</v>
      </c>
      <c r="J2275" s="3">
        <f>VLOOKUP(Googleadssales[[#This Row],[Ad_ID]],'[1]pre processed data'!A:Q,17,0)</f>
        <v>45610</v>
      </c>
      <c r="K2275" t="str">
        <f>VLOOKUP(Googleadssales[[#This Row],[Ad_ID]],'[1]pre processed data'!A:R,18,0)</f>
        <v>Hyderabad</v>
      </c>
      <c r="L2275" t="str">
        <f>VLOOKUP(Googleadssales[[#This Row],[Ad_ID]],'[1]pre processed data'!A:S,19,0)</f>
        <v>Mobile</v>
      </c>
      <c r="M2275" t="str">
        <f>VLOOKUP(Googleadssales[[#This Row],[Ad_ID]],'[1]pre processed data'!A:T,20,0)</f>
        <v>online data analytic</v>
      </c>
    </row>
    <row r="2276" spans="1:13" x14ac:dyDescent="0.3">
      <c r="A2276" t="s">
        <v>2289</v>
      </c>
      <c r="B2276" t="s">
        <v>14</v>
      </c>
      <c r="C2276" s="4">
        <f>VLOOKUP(Googleadssales[[#This Row],[Ad_ID]],'[1]pre processed data'!A:C,3,0)</f>
        <v>168</v>
      </c>
      <c r="D2276" s="4">
        <f>VLOOKUP(Googleadssales[[#This Row],[Ad_ID]],'[1]pre processed data'!A:E,5,0)</f>
        <v>4904</v>
      </c>
      <c r="E2276" s="5" t="str">
        <f>VLOOKUP(Googleadssales[[#This Row],[Ad_ID]],[1]!Table3[[Ad_ID]:[Cost-imputed]],7,0)</f>
        <v>$219.0</v>
      </c>
      <c r="F2276" s="4">
        <f>VLOOKUP(Googleadssales[[#This Row],[Ad_ID]],'[1]pre processed data'!A:I,9,0)</f>
        <v>22</v>
      </c>
      <c r="G2276" s="4">
        <f>VLOOKUP(Googleadssales[[#This Row],[Ad_ID]],'[1]pre processed data'!A:K,11,0)</f>
        <v>5</v>
      </c>
      <c r="H2276" s="2">
        <f>Googleadssales[[#This Row],[Conversions]]/Googleadssales[[#This Row],[Clicks]]</f>
        <v>2.976190476190476E-2</v>
      </c>
      <c r="I2276" t="str">
        <f>VLOOKUP(Googleadssales[[#This Row],[Ad_ID]],'[1]pre processed data'!A:O,15,0)</f>
        <v>$1541</v>
      </c>
      <c r="J2276" s="3">
        <f>VLOOKUP(Googleadssales[[#This Row],[Ad_ID]],'[1]pre processed data'!A:Q,17,0)</f>
        <v>45611</v>
      </c>
      <c r="K2276" t="str">
        <f>VLOOKUP(Googleadssales[[#This Row],[Ad_ID]],'[1]pre processed data'!A:R,18,0)</f>
        <v>Bangaluru</v>
      </c>
      <c r="L2276" t="str">
        <f>VLOOKUP(Googleadssales[[#This Row],[Ad_ID]],'[1]pre processed data'!A:S,19,0)</f>
        <v>Tablet</v>
      </c>
      <c r="M2276" t="str">
        <f>VLOOKUP(Googleadssales[[#This Row],[Ad_ID]],'[1]pre processed data'!A:T,20,0)</f>
        <v>online data analytic</v>
      </c>
    </row>
    <row r="2277" spans="1:13" x14ac:dyDescent="0.3">
      <c r="A2277" t="s">
        <v>2290</v>
      </c>
      <c r="B2277" t="s">
        <v>14</v>
      </c>
      <c r="C2277" s="4">
        <f>VLOOKUP(Googleadssales[[#This Row],[Ad_ID]],'[1]pre processed data'!A:C,3,0)</f>
        <v>138.95699356913184</v>
      </c>
      <c r="D2277" s="4">
        <f>VLOOKUP(Googleadssales[[#This Row],[Ad_ID]],'[1]pre processed data'!A:E,5,0)</f>
        <v>4562</v>
      </c>
      <c r="E2277" s="5" t="str">
        <f>VLOOKUP(Googleadssales[[#This Row],[Ad_ID]],[1]!Table3[[Ad_ID]:[Cost-imputed]],7,0)</f>
        <v>$183.58</v>
      </c>
      <c r="F2277" s="4">
        <f>VLOOKUP(Googleadssales[[#This Row],[Ad_ID]],'[1]pre processed data'!A:I,9,0)</f>
        <v>17</v>
      </c>
      <c r="G2277" s="4">
        <f>VLOOKUP(Googleadssales[[#This Row],[Ad_ID]],'[1]pre processed data'!A:K,11,0)</f>
        <v>9</v>
      </c>
      <c r="H2277" s="2">
        <f>Googleadssales[[#This Row],[Conversions]]/Googleadssales[[#This Row],[Clicks]]</f>
        <v>6.4768240653698753E-2</v>
      </c>
      <c r="I2277" t="str">
        <f>VLOOKUP(Googleadssales[[#This Row],[Ad_ID]],'[1]pre processed data'!A:O,15,0)</f>
        <v>$1668</v>
      </c>
      <c r="J2277" s="3">
        <f>VLOOKUP(Googleadssales[[#This Row],[Ad_ID]],'[1]pre processed data'!A:Q,17,0)</f>
        <v>45626</v>
      </c>
      <c r="K2277" t="str">
        <f>VLOOKUP(Googleadssales[[#This Row],[Ad_ID]],'[1]pre processed data'!A:R,18,0)</f>
        <v>Hyderabad</v>
      </c>
      <c r="L2277" t="str">
        <f>VLOOKUP(Googleadssales[[#This Row],[Ad_ID]],'[1]pre processed data'!A:S,19,0)</f>
        <v>Desktop</v>
      </c>
      <c r="M2277" t="str">
        <f>VLOOKUP(Googleadssales[[#This Row],[Ad_ID]],'[1]pre processed data'!A:T,20,0)</f>
        <v>data analytics course</v>
      </c>
    </row>
    <row r="2278" spans="1:13" x14ac:dyDescent="0.3">
      <c r="A2278" t="s">
        <v>2291</v>
      </c>
      <c r="B2278" t="s">
        <v>14</v>
      </c>
      <c r="C2278" s="4">
        <f>VLOOKUP(Googleadssales[[#This Row],[Ad_ID]],'[1]pre processed data'!A:C,3,0)</f>
        <v>178</v>
      </c>
      <c r="D2278" s="4">
        <f>VLOOKUP(Googleadssales[[#This Row],[Ad_ID]],'[1]pre processed data'!A:E,5,0)</f>
        <v>4708</v>
      </c>
      <c r="E2278" s="5" t="str">
        <f>VLOOKUP(Googleadssales[[#This Row],[Ad_ID]],[1]!Table3[[Ad_ID]:[Cost-imputed]],7,0)</f>
        <v>$237.77</v>
      </c>
      <c r="F2278" s="4">
        <f>VLOOKUP(Googleadssales[[#This Row],[Ad_ID]],'[1]pre processed data'!A:I,9,0)</f>
        <v>14</v>
      </c>
      <c r="G2278" s="4">
        <f>VLOOKUP(Googleadssales[[#This Row],[Ad_ID]],'[1]pre processed data'!A:K,11,0)</f>
        <v>10</v>
      </c>
      <c r="H2278" s="2">
        <f>Googleadssales[[#This Row],[Conversions]]/Googleadssales[[#This Row],[Clicks]]</f>
        <v>5.6179775280898875E-2</v>
      </c>
      <c r="I2278" t="str">
        <f>VLOOKUP(Googleadssales[[#This Row],[Ad_ID]],'[1]pre processed data'!A:O,15,0)</f>
        <v>$1449</v>
      </c>
      <c r="J2278" s="3">
        <f>VLOOKUP(Googleadssales[[#This Row],[Ad_ID]],'[1]pre processed data'!A:Q,17,0)</f>
        <v>45617</v>
      </c>
      <c r="K2278" t="str">
        <f>VLOOKUP(Googleadssales[[#This Row],[Ad_ID]],'[1]pre processed data'!A:R,18,0)</f>
        <v>Bangaluru</v>
      </c>
      <c r="L2278" t="str">
        <f>VLOOKUP(Googleadssales[[#This Row],[Ad_ID]],'[1]pre processed data'!A:S,19,0)</f>
        <v>Mobile</v>
      </c>
      <c r="M2278" t="str">
        <f>VLOOKUP(Googleadssales[[#This Row],[Ad_ID]],'[1]pre processed data'!A:T,20,0)</f>
        <v>learn data analytics</v>
      </c>
    </row>
    <row r="2279" spans="1:13" x14ac:dyDescent="0.3">
      <c r="A2279" t="s">
        <v>2292</v>
      </c>
      <c r="B2279" t="s">
        <v>14</v>
      </c>
      <c r="C2279" s="4">
        <f>VLOOKUP(Googleadssales[[#This Row],[Ad_ID]],'[1]pre processed data'!A:C,3,0)</f>
        <v>93</v>
      </c>
      <c r="D2279" s="4">
        <f>VLOOKUP(Googleadssales[[#This Row],[Ad_ID]],'[1]pre processed data'!A:E,5,0)</f>
        <v>3945</v>
      </c>
      <c r="E2279" s="5" t="str">
        <f>VLOOKUP(Googleadssales[[#This Row],[Ad_ID]],[1]!Table3[[Ad_ID]:[Cost-imputed]],7,0)</f>
        <v>$189.53</v>
      </c>
      <c r="F2279" s="4">
        <f>VLOOKUP(Googleadssales[[#This Row],[Ad_ID]],'[1]pre processed data'!A:I,9,0)</f>
        <v>27</v>
      </c>
      <c r="G2279" s="4">
        <f>VLOOKUP(Googleadssales[[#This Row],[Ad_ID]],'[1]pre processed data'!A:K,11,0)</f>
        <v>3</v>
      </c>
      <c r="H2279" s="2">
        <f>Googleadssales[[#This Row],[Conversions]]/Googleadssales[[#This Row],[Clicks]]</f>
        <v>3.2258064516129031E-2</v>
      </c>
      <c r="I2279" t="str">
        <f>VLOOKUP(Googleadssales[[#This Row],[Ad_ID]],'[1]pre processed data'!A:O,15,0)</f>
        <v>$1560</v>
      </c>
      <c r="J2279" s="3">
        <f>VLOOKUP(Googleadssales[[#This Row],[Ad_ID]],'[1]pre processed data'!A:Q,17,0)</f>
        <v>45614</v>
      </c>
      <c r="K2279" t="str">
        <f>VLOOKUP(Googleadssales[[#This Row],[Ad_ID]],'[1]pre processed data'!A:R,18,0)</f>
        <v>Hyderabad</v>
      </c>
      <c r="L2279" t="str">
        <f>VLOOKUP(Googleadssales[[#This Row],[Ad_ID]],'[1]pre processed data'!A:S,19,0)</f>
        <v>Tablet</v>
      </c>
      <c r="M2279" t="str">
        <f>VLOOKUP(Googleadssales[[#This Row],[Ad_ID]],'[1]pre processed data'!A:T,20,0)</f>
        <v>learn data analytics</v>
      </c>
    </row>
    <row r="2280" spans="1:13" x14ac:dyDescent="0.3">
      <c r="A2280" t="s">
        <v>2293</v>
      </c>
      <c r="B2280" t="s">
        <v>14</v>
      </c>
      <c r="C2280" s="4">
        <f>VLOOKUP(Googleadssales[[#This Row],[Ad_ID]],'[1]pre processed data'!A:C,3,0)</f>
        <v>138</v>
      </c>
      <c r="D2280" s="4">
        <f>VLOOKUP(Googleadssales[[#This Row],[Ad_ID]],'[1]pre processed data'!A:E,5,0)</f>
        <v>5863</v>
      </c>
      <c r="E2280" s="5" t="str">
        <f>VLOOKUP(Googleadssales[[#This Row],[Ad_ID]],[1]!Table3[[Ad_ID]:[Cost-imputed]],7,0)</f>
        <v>$201.19</v>
      </c>
      <c r="F2280" s="4">
        <f>VLOOKUP(Googleadssales[[#This Row],[Ad_ID]],'[1]pre processed data'!A:I,9,0)</f>
        <v>30</v>
      </c>
      <c r="G2280" s="4">
        <f>VLOOKUP(Googleadssales[[#This Row],[Ad_ID]],'[1]pre processed data'!A:K,11,0)</f>
        <v>10</v>
      </c>
      <c r="H2280" s="2">
        <f>Googleadssales[[#This Row],[Conversions]]/Googleadssales[[#This Row],[Clicks]]</f>
        <v>7.2463768115942032E-2</v>
      </c>
      <c r="I2280" t="str">
        <f>VLOOKUP(Googleadssales[[#This Row],[Ad_ID]],'[1]pre processed data'!A:O,15,0)</f>
        <v>$1898</v>
      </c>
      <c r="J2280" s="3">
        <f>VLOOKUP(Googleadssales[[#This Row],[Ad_ID]],'[1]pre processed data'!A:Q,17,0)</f>
        <v>45614</v>
      </c>
      <c r="K2280" t="str">
        <f>VLOOKUP(Googleadssales[[#This Row],[Ad_ID]],'[1]pre processed data'!A:R,18,0)</f>
        <v>Hyderabad</v>
      </c>
      <c r="L2280" t="str">
        <f>VLOOKUP(Googleadssales[[#This Row],[Ad_ID]],'[1]pre processed data'!A:S,19,0)</f>
        <v>Desktop</v>
      </c>
      <c r="M2280" t="str">
        <f>VLOOKUP(Googleadssales[[#This Row],[Ad_ID]],'[1]pre processed data'!A:T,20,0)</f>
        <v>analytics for data</v>
      </c>
    </row>
    <row r="2281" spans="1:13" x14ac:dyDescent="0.3">
      <c r="A2281" t="s">
        <v>2294</v>
      </c>
      <c r="B2281" t="s">
        <v>14</v>
      </c>
      <c r="C2281" s="4">
        <f>VLOOKUP(Googleadssales[[#This Row],[Ad_ID]],'[1]pre processed data'!A:C,3,0)</f>
        <v>143</v>
      </c>
      <c r="D2281" s="4">
        <f>VLOOKUP(Googleadssales[[#This Row],[Ad_ID]],'[1]pre processed data'!A:E,5,0)</f>
        <v>4470</v>
      </c>
      <c r="E2281" s="5" t="str">
        <f>VLOOKUP(Googleadssales[[#This Row],[Ad_ID]],[1]!Table3[[Ad_ID]:[Cost-imputed]],7,0)</f>
        <v>$214.42</v>
      </c>
      <c r="F2281" s="4">
        <f>VLOOKUP(Googleadssales[[#This Row],[Ad_ID]],'[1]pre processed data'!A:I,9,0)</f>
        <v>14</v>
      </c>
      <c r="G2281" s="4">
        <f>VLOOKUP(Googleadssales[[#This Row],[Ad_ID]],'[1]pre processed data'!A:K,11,0)</f>
        <v>8</v>
      </c>
      <c r="H2281" s="2">
        <f>Googleadssales[[#This Row],[Conversions]]/Googleadssales[[#This Row],[Clicks]]</f>
        <v>5.5944055944055944E-2</v>
      </c>
      <c r="I2281" t="str">
        <f>VLOOKUP(Googleadssales[[#This Row],[Ad_ID]],'[1]pre processed data'!A:O,15,0)</f>
        <v>$1353</v>
      </c>
      <c r="J2281" s="3">
        <f>VLOOKUP(Googleadssales[[#This Row],[Ad_ID]],'[1]pre processed data'!A:Q,17,0)</f>
        <v>45618</v>
      </c>
      <c r="K2281" t="str">
        <f>VLOOKUP(Googleadssales[[#This Row],[Ad_ID]],'[1]pre processed data'!A:R,18,0)</f>
        <v>Bangaluru</v>
      </c>
      <c r="L2281" t="str">
        <f>VLOOKUP(Googleadssales[[#This Row],[Ad_ID]],'[1]pre processed data'!A:S,19,0)</f>
        <v>Mobile</v>
      </c>
      <c r="M2281" t="str">
        <f>VLOOKUP(Googleadssales[[#This Row],[Ad_ID]],'[1]pre processed data'!A:T,20,0)</f>
        <v>data analytics course</v>
      </c>
    </row>
    <row r="2282" spans="1:13" x14ac:dyDescent="0.3">
      <c r="A2282" t="s">
        <v>2295</v>
      </c>
      <c r="B2282" t="s">
        <v>14</v>
      </c>
      <c r="C2282" s="4">
        <f>VLOOKUP(Googleadssales[[#This Row],[Ad_ID]],'[1]pre processed data'!A:C,3,0)</f>
        <v>138.95699356913184</v>
      </c>
      <c r="D2282" s="4">
        <f>VLOOKUP(Googleadssales[[#This Row],[Ad_ID]],'[1]pre processed data'!A:E,5,0)</f>
        <v>5800</v>
      </c>
      <c r="E2282" s="5" t="str">
        <f>VLOOKUP(Googleadssales[[#This Row],[Ad_ID]],[1]!Table3[[Ad_ID]:[Cost-imputed]],7,0)</f>
        <v>$200.00</v>
      </c>
      <c r="F2282" s="4">
        <f>VLOOKUP(Googleadssales[[#This Row],[Ad_ID]],'[1]pre processed data'!A:I,9,0)</f>
        <v>22</v>
      </c>
      <c r="G2282" s="4">
        <f>VLOOKUP(Googleadssales[[#This Row],[Ad_ID]],'[1]pre processed data'!A:K,11,0)</f>
        <v>9</v>
      </c>
      <c r="H2282" s="2">
        <f>Googleadssales[[#This Row],[Conversions]]/Googleadssales[[#This Row],[Clicks]]</f>
        <v>6.4768240653698753E-2</v>
      </c>
      <c r="I2282" t="str">
        <f>VLOOKUP(Googleadssales[[#This Row],[Ad_ID]],'[1]pre processed data'!A:O,15,0)</f>
        <v>$1369</v>
      </c>
      <c r="J2282" s="3">
        <f>VLOOKUP(Googleadssales[[#This Row],[Ad_ID]],'[1]pre processed data'!A:Q,17,0)</f>
        <v>45610</v>
      </c>
      <c r="K2282" t="str">
        <f>VLOOKUP(Googleadssales[[#This Row],[Ad_ID]],'[1]pre processed data'!A:R,18,0)</f>
        <v>Bangaluru</v>
      </c>
      <c r="L2282" t="str">
        <f>VLOOKUP(Googleadssales[[#This Row],[Ad_ID]],'[1]pre processed data'!A:S,19,0)</f>
        <v>Tablet</v>
      </c>
      <c r="M2282" t="str">
        <f>VLOOKUP(Googleadssales[[#This Row],[Ad_ID]],'[1]pre processed data'!A:T,20,0)</f>
        <v>data analytics course</v>
      </c>
    </row>
    <row r="2283" spans="1:13" x14ac:dyDescent="0.3">
      <c r="A2283" t="s">
        <v>2296</v>
      </c>
      <c r="B2283" t="s">
        <v>14</v>
      </c>
      <c r="C2283" s="4">
        <f>VLOOKUP(Googleadssales[[#This Row],[Ad_ID]],'[1]pre processed data'!A:C,3,0)</f>
        <v>147</v>
      </c>
      <c r="D2283" s="4">
        <f>VLOOKUP(Googleadssales[[#This Row],[Ad_ID]],'[1]pre processed data'!A:E,5,0)</f>
        <v>4041</v>
      </c>
      <c r="E2283" s="5" t="str">
        <f>VLOOKUP(Googleadssales[[#This Row],[Ad_ID]],[1]!Table3[[Ad_ID]:[Cost-imputed]],7,0)</f>
        <v>$229.19</v>
      </c>
      <c r="F2283" s="4">
        <f>VLOOKUP(Googleadssales[[#This Row],[Ad_ID]],'[1]pre processed data'!A:I,9,0)</f>
        <v>16</v>
      </c>
      <c r="G2283" s="4">
        <f>VLOOKUP(Googleadssales[[#This Row],[Ad_ID]],'[1]pre processed data'!A:K,11,0)</f>
        <v>10</v>
      </c>
      <c r="H2283" s="2">
        <f>Googleadssales[[#This Row],[Conversions]]/Googleadssales[[#This Row],[Clicks]]</f>
        <v>6.8027210884353748E-2</v>
      </c>
      <c r="I2283" t="str">
        <f>VLOOKUP(Googleadssales[[#This Row],[Ad_ID]],'[1]pre processed data'!A:O,15,0)</f>
        <v>$1558</v>
      </c>
      <c r="J2283" s="3">
        <f>VLOOKUP(Googleadssales[[#This Row],[Ad_ID]],'[1]pre processed data'!A:Q,17,0)</f>
        <v>45623</v>
      </c>
      <c r="K2283" t="str">
        <f>VLOOKUP(Googleadssales[[#This Row],[Ad_ID]],'[1]pre processed data'!A:R,18,0)</f>
        <v>Chennai</v>
      </c>
      <c r="L2283" t="str">
        <f>VLOOKUP(Googleadssales[[#This Row],[Ad_ID]],'[1]pre processed data'!A:S,19,0)</f>
        <v>Desktop</v>
      </c>
      <c r="M2283" t="str">
        <f>VLOOKUP(Googleadssales[[#This Row],[Ad_ID]],'[1]pre processed data'!A:T,20,0)</f>
        <v>analytics for data</v>
      </c>
    </row>
    <row r="2284" spans="1:13" x14ac:dyDescent="0.3">
      <c r="A2284" t="s">
        <v>2297</v>
      </c>
      <c r="B2284" t="s">
        <v>14</v>
      </c>
      <c r="C2284" s="4">
        <f>VLOOKUP(Googleadssales[[#This Row],[Ad_ID]],'[1]pre processed data'!A:C,3,0)</f>
        <v>101</v>
      </c>
      <c r="D2284" s="4">
        <f>VLOOKUP(Googleadssales[[#This Row],[Ad_ID]],'[1]pre processed data'!A:E,5,0)</f>
        <v>3449</v>
      </c>
      <c r="E2284" s="5" t="str">
        <f>VLOOKUP(Googleadssales[[#This Row],[Ad_ID]],[1]!Table3[[Ad_ID]:[Cost-imputed]],7,0)</f>
        <v>$188.39</v>
      </c>
      <c r="F2284" s="4">
        <f>VLOOKUP(Googleadssales[[#This Row],[Ad_ID]],'[1]pre processed data'!A:I,9,0)</f>
        <v>16</v>
      </c>
      <c r="G2284" s="4">
        <f>VLOOKUP(Googleadssales[[#This Row],[Ad_ID]],'[1]pre processed data'!A:K,11,0)</f>
        <v>10</v>
      </c>
      <c r="H2284" s="2">
        <f>Googleadssales[[#This Row],[Conversions]]/Googleadssales[[#This Row],[Clicks]]</f>
        <v>9.9009900990099015E-2</v>
      </c>
      <c r="I2284" t="str">
        <f>VLOOKUP(Googleadssales[[#This Row],[Ad_ID]],'[1]pre processed data'!A:O,15,0)</f>
        <v>$1318</v>
      </c>
      <c r="J2284" s="3">
        <f>VLOOKUP(Googleadssales[[#This Row],[Ad_ID]],'[1]pre processed data'!A:Q,17,0)</f>
        <v>45604</v>
      </c>
      <c r="K2284" t="str">
        <f>VLOOKUP(Googleadssales[[#This Row],[Ad_ID]],'[1]pre processed data'!A:R,18,0)</f>
        <v>Bangaluru</v>
      </c>
      <c r="L2284" t="str">
        <f>VLOOKUP(Googleadssales[[#This Row],[Ad_ID]],'[1]pre processed data'!A:S,19,0)</f>
        <v>Desktop</v>
      </c>
      <c r="M2284" t="str">
        <f>VLOOKUP(Googleadssales[[#This Row],[Ad_ID]],'[1]pre processed data'!A:T,20,0)</f>
        <v>online data analytic</v>
      </c>
    </row>
    <row r="2285" spans="1:13" x14ac:dyDescent="0.3">
      <c r="A2285" t="s">
        <v>2298</v>
      </c>
      <c r="B2285" t="s">
        <v>14</v>
      </c>
      <c r="C2285" s="4">
        <f>VLOOKUP(Googleadssales[[#This Row],[Ad_ID]],'[1]pre processed data'!A:C,3,0)</f>
        <v>195</v>
      </c>
      <c r="D2285" s="4">
        <f>VLOOKUP(Googleadssales[[#This Row],[Ad_ID]],'[1]pre processed data'!A:E,5,0)</f>
        <v>4195</v>
      </c>
      <c r="E2285" s="5" t="str">
        <f>VLOOKUP(Googleadssales[[#This Row],[Ad_ID]],[1]!Table3[[Ad_ID]:[Cost-imputed]],7,0)</f>
        <v>$231.87</v>
      </c>
      <c r="F2285" s="4">
        <f>VLOOKUP(Googleadssales[[#This Row],[Ad_ID]],'[1]pre processed data'!A:I,9,0)</f>
        <v>13</v>
      </c>
      <c r="G2285" s="4">
        <f>VLOOKUP(Googleadssales[[#This Row],[Ad_ID]],'[1]pre processed data'!A:K,11,0)</f>
        <v>10</v>
      </c>
      <c r="H2285" s="2">
        <f>Googleadssales[[#This Row],[Conversions]]/Googleadssales[[#This Row],[Clicks]]</f>
        <v>5.128205128205128E-2</v>
      </c>
      <c r="I2285" t="str">
        <f>VLOOKUP(Googleadssales[[#This Row],[Ad_ID]],'[1]pre processed data'!A:O,15,0)</f>
        <v>$1834</v>
      </c>
      <c r="J2285" s="3">
        <f>VLOOKUP(Googleadssales[[#This Row],[Ad_ID]],'[1]pre processed data'!A:Q,17,0)</f>
        <v>45621</v>
      </c>
      <c r="K2285" t="str">
        <f>VLOOKUP(Googleadssales[[#This Row],[Ad_ID]],'[1]pre processed data'!A:R,18,0)</f>
        <v>Hyderabad</v>
      </c>
      <c r="L2285" t="str">
        <f>VLOOKUP(Googleadssales[[#This Row],[Ad_ID]],'[1]pre processed data'!A:S,19,0)</f>
        <v>Desktop</v>
      </c>
      <c r="M2285" t="str">
        <f>VLOOKUP(Googleadssales[[#This Row],[Ad_ID]],'[1]pre processed data'!A:T,20,0)</f>
        <v>learn data analytics</v>
      </c>
    </row>
    <row r="2286" spans="1:13" x14ac:dyDescent="0.3">
      <c r="A2286" t="s">
        <v>2299</v>
      </c>
      <c r="B2286" t="s">
        <v>14</v>
      </c>
      <c r="C2286" s="4">
        <f>VLOOKUP(Googleadssales[[#This Row],[Ad_ID]],'[1]pre processed data'!A:C,3,0)</f>
        <v>142</v>
      </c>
      <c r="D2286" s="4">
        <f>VLOOKUP(Googleadssales[[#This Row],[Ad_ID]],'[1]pre processed data'!A:E,5,0)</f>
        <v>5365</v>
      </c>
      <c r="E2286" s="5" t="str">
        <f>VLOOKUP(Googleadssales[[#This Row],[Ad_ID]],[1]!Table3[[Ad_ID]:[Cost-imputed]],7,0)</f>
        <v>$237.95</v>
      </c>
      <c r="F2286" s="4">
        <f>VLOOKUP(Googleadssales[[#This Row],[Ad_ID]],'[1]pre processed data'!A:I,9,0)</f>
        <v>17</v>
      </c>
      <c r="G2286" s="4">
        <f>VLOOKUP(Googleadssales[[#This Row],[Ad_ID]],'[1]pre processed data'!A:K,11,0)</f>
        <v>10</v>
      </c>
      <c r="H2286" s="2">
        <f>Googleadssales[[#This Row],[Conversions]]/Googleadssales[[#This Row],[Clicks]]</f>
        <v>7.0422535211267609E-2</v>
      </c>
      <c r="I2286" t="str">
        <f>VLOOKUP(Googleadssales[[#This Row],[Ad_ID]],'[1]pre processed data'!A:O,15,0)</f>
        <v>$1548</v>
      </c>
      <c r="J2286" s="3">
        <f>VLOOKUP(Googleadssales[[#This Row],[Ad_ID]],'[1]pre processed data'!A:Q,17,0)</f>
        <v>45623</v>
      </c>
      <c r="K2286" t="str">
        <f>VLOOKUP(Googleadssales[[#This Row],[Ad_ID]],'[1]pre processed data'!A:R,18,0)</f>
        <v>Hyderabad</v>
      </c>
      <c r="L2286" t="str">
        <f>VLOOKUP(Googleadssales[[#This Row],[Ad_ID]],'[1]pre processed data'!A:S,19,0)</f>
        <v>Tablet</v>
      </c>
      <c r="M2286" t="str">
        <f>VLOOKUP(Googleadssales[[#This Row],[Ad_ID]],'[1]pre processed data'!A:T,20,0)</f>
        <v>data analytics online</v>
      </c>
    </row>
    <row r="2287" spans="1:13" x14ac:dyDescent="0.3">
      <c r="A2287" t="s">
        <v>2300</v>
      </c>
      <c r="B2287" t="s">
        <v>14</v>
      </c>
      <c r="C2287" s="4">
        <f>VLOOKUP(Googleadssales[[#This Row],[Ad_ID]],'[1]pre processed data'!A:C,3,0)</f>
        <v>139</v>
      </c>
      <c r="D2287" s="4">
        <f>VLOOKUP(Googleadssales[[#This Row],[Ad_ID]],'[1]pre processed data'!A:E,5,0)</f>
        <v>3854</v>
      </c>
      <c r="E2287" s="5" t="str">
        <f>VLOOKUP(Googleadssales[[#This Row],[Ad_ID]],[1]!Table3[[Ad_ID]:[Cost-imputed]],7,0)</f>
        <v>$234.73</v>
      </c>
      <c r="F2287" s="4">
        <f>VLOOKUP(Googleadssales[[#This Row],[Ad_ID]],'[1]pre processed data'!A:I,9,0)</f>
        <v>10</v>
      </c>
      <c r="G2287" s="4">
        <f>VLOOKUP(Googleadssales[[#This Row],[Ad_ID]],'[1]pre processed data'!A:K,11,0)</f>
        <v>3</v>
      </c>
      <c r="H2287" s="2">
        <f>Googleadssales[[#This Row],[Conversions]]/Googleadssales[[#This Row],[Clicks]]</f>
        <v>2.1582733812949641E-2</v>
      </c>
      <c r="I2287" t="str">
        <f>VLOOKUP(Googleadssales[[#This Row],[Ad_ID]],'[1]pre processed data'!A:O,15,0)</f>
        <v>$1802</v>
      </c>
      <c r="J2287" s="3">
        <f>VLOOKUP(Googleadssales[[#This Row],[Ad_ID]],'[1]pre processed data'!A:Q,17,0)</f>
        <v>45614</v>
      </c>
      <c r="K2287" t="str">
        <f>VLOOKUP(Googleadssales[[#This Row],[Ad_ID]],'[1]pre processed data'!A:R,18,0)</f>
        <v>Hyderabad</v>
      </c>
      <c r="L2287" t="str">
        <f>VLOOKUP(Googleadssales[[#This Row],[Ad_ID]],'[1]pre processed data'!A:S,19,0)</f>
        <v>Tablet</v>
      </c>
      <c r="M2287" t="str">
        <f>VLOOKUP(Googleadssales[[#This Row],[Ad_ID]],'[1]pre processed data'!A:T,20,0)</f>
        <v>learn data analytics</v>
      </c>
    </row>
    <row r="2288" spans="1:13" x14ac:dyDescent="0.3">
      <c r="A2288" t="s">
        <v>2301</v>
      </c>
      <c r="B2288" t="s">
        <v>14</v>
      </c>
      <c r="C2288" s="4">
        <f>VLOOKUP(Googleadssales[[#This Row],[Ad_ID]],'[1]pre processed data'!A:C,3,0)</f>
        <v>84</v>
      </c>
      <c r="D2288" s="4">
        <f>VLOOKUP(Googleadssales[[#This Row],[Ad_ID]],'[1]pre processed data'!A:E,5,0)</f>
        <v>5597</v>
      </c>
      <c r="E2288" s="5" t="str">
        <f>VLOOKUP(Googleadssales[[#This Row],[Ad_ID]],[1]!Table3[[Ad_ID]:[Cost-imputed]],7,0)</f>
        <v>$244.39</v>
      </c>
      <c r="F2288" s="4">
        <f>VLOOKUP(Googleadssales[[#This Row],[Ad_ID]],'[1]pre processed data'!A:I,9,0)</f>
        <v>22</v>
      </c>
      <c r="G2288" s="4">
        <f>VLOOKUP(Googleadssales[[#This Row],[Ad_ID]],'[1]pre processed data'!A:K,11,0)</f>
        <v>10</v>
      </c>
      <c r="H2288" s="2">
        <f>Googleadssales[[#This Row],[Conversions]]/Googleadssales[[#This Row],[Clicks]]</f>
        <v>0.11904761904761904</v>
      </c>
      <c r="I2288" t="str">
        <f>VLOOKUP(Googleadssales[[#This Row],[Ad_ID]],'[1]pre processed data'!A:O,15,0)</f>
        <v>$1685</v>
      </c>
      <c r="J2288" s="3">
        <f>VLOOKUP(Googleadssales[[#This Row],[Ad_ID]],'[1]pre processed data'!A:Q,17,0)</f>
        <v>45599</v>
      </c>
      <c r="K2288" t="str">
        <f>VLOOKUP(Googleadssales[[#This Row],[Ad_ID]],'[1]pre processed data'!A:R,18,0)</f>
        <v>Chennai</v>
      </c>
      <c r="L2288" t="str">
        <f>VLOOKUP(Googleadssales[[#This Row],[Ad_ID]],'[1]pre processed data'!A:S,19,0)</f>
        <v>Tablet</v>
      </c>
      <c r="M2288" t="str">
        <f>VLOOKUP(Googleadssales[[#This Row],[Ad_ID]],'[1]pre processed data'!A:T,20,0)</f>
        <v>data analytics training</v>
      </c>
    </row>
    <row r="2289" spans="1:13" x14ac:dyDescent="0.3">
      <c r="A2289" t="s">
        <v>2302</v>
      </c>
      <c r="B2289" t="s">
        <v>14</v>
      </c>
      <c r="C2289" s="4">
        <f>VLOOKUP(Googleadssales[[#This Row],[Ad_ID]],'[1]pre processed data'!A:C,3,0)</f>
        <v>103</v>
      </c>
      <c r="D2289" s="4">
        <f>VLOOKUP(Googleadssales[[#This Row],[Ad_ID]],'[1]pre processed data'!A:E,5,0)</f>
        <v>5488</v>
      </c>
      <c r="E2289" s="5" t="str">
        <f>VLOOKUP(Googleadssales[[#This Row],[Ad_ID]],[1]!Table3[[Ad_ID]:[Cost-imputed]],7,0)</f>
        <v>$237.06</v>
      </c>
      <c r="F2289" s="4">
        <f>VLOOKUP(Googleadssales[[#This Row],[Ad_ID]],'[1]pre processed data'!A:I,9,0)</f>
        <v>21</v>
      </c>
      <c r="G2289" s="4">
        <f>VLOOKUP(Googleadssales[[#This Row],[Ad_ID]],'[1]pre processed data'!A:K,11,0)</f>
        <v>7</v>
      </c>
      <c r="H2289" s="2">
        <f>Googleadssales[[#This Row],[Conversions]]/Googleadssales[[#This Row],[Clicks]]</f>
        <v>6.7961165048543687E-2</v>
      </c>
      <c r="I2289" t="str">
        <f>VLOOKUP(Googleadssales[[#This Row],[Ad_ID]],'[1]pre processed data'!A:O,15,0)</f>
        <v>$1874</v>
      </c>
      <c r="J2289" s="3">
        <f>VLOOKUP(Googleadssales[[#This Row],[Ad_ID]],'[1]pre processed data'!A:Q,17,0)</f>
        <v>45618</v>
      </c>
      <c r="K2289" t="str">
        <f>VLOOKUP(Googleadssales[[#This Row],[Ad_ID]],'[1]pre processed data'!A:R,18,0)</f>
        <v>Chennai</v>
      </c>
      <c r="L2289" t="str">
        <f>VLOOKUP(Googleadssales[[#This Row],[Ad_ID]],'[1]pre processed data'!A:S,19,0)</f>
        <v>Tablet</v>
      </c>
      <c r="M2289" t="str">
        <f>VLOOKUP(Googleadssales[[#This Row],[Ad_ID]],'[1]pre processed data'!A:T,20,0)</f>
        <v>analytics for data</v>
      </c>
    </row>
    <row r="2290" spans="1:13" x14ac:dyDescent="0.3">
      <c r="A2290" t="s">
        <v>2303</v>
      </c>
      <c r="B2290" t="s">
        <v>18</v>
      </c>
      <c r="C2290" s="4">
        <f>VLOOKUP(Googleadssales[[#This Row],[Ad_ID]],'[1]pre processed data'!A:C,3,0)</f>
        <v>108</v>
      </c>
      <c r="D2290" s="4">
        <f>VLOOKUP(Googleadssales[[#This Row],[Ad_ID]],'[1]pre processed data'!A:E,5,0)</f>
        <v>3676</v>
      </c>
      <c r="E2290" s="5" t="str">
        <f>VLOOKUP(Googleadssales[[#This Row],[Ad_ID]],[1]!Table3[[Ad_ID]:[Cost-imputed]],7,0)</f>
        <v>$203.45</v>
      </c>
      <c r="F2290" s="4">
        <f>VLOOKUP(Googleadssales[[#This Row],[Ad_ID]],'[1]pre processed data'!A:I,9,0)</f>
        <v>29</v>
      </c>
      <c r="G2290" s="4">
        <f>VLOOKUP(Googleadssales[[#This Row],[Ad_ID]],'[1]pre processed data'!A:K,11,0)</f>
        <v>8</v>
      </c>
      <c r="H2290" s="2">
        <f>Googleadssales[[#This Row],[Conversions]]/Googleadssales[[#This Row],[Clicks]]</f>
        <v>7.407407407407407E-2</v>
      </c>
      <c r="I2290" t="str">
        <f>VLOOKUP(Googleadssales[[#This Row],[Ad_ID]],'[1]pre processed data'!A:O,15,0)</f>
        <v>$1369</v>
      </c>
      <c r="J2290" s="3">
        <f>VLOOKUP(Googleadssales[[#This Row],[Ad_ID]],'[1]pre processed data'!A:Q,17,0)</f>
        <v>45597</v>
      </c>
      <c r="K2290" t="str">
        <f>VLOOKUP(Googleadssales[[#This Row],[Ad_ID]],'[1]pre processed data'!A:R,18,0)</f>
        <v>Hyderabad</v>
      </c>
      <c r="L2290" t="str">
        <f>VLOOKUP(Googleadssales[[#This Row],[Ad_ID]],'[1]pre processed data'!A:S,19,0)</f>
        <v>Mobile</v>
      </c>
      <c r="M2290" t="str">
        <f>VLOOKUP(Googleadssales[[#This Row],[Ad_ID]],'[1]pre processed data'!A:T,20,0)</f>
        <v>data analytics online</v>
      </c>
    </row>
    <row r="2291" spans="1:13" x14ac:dyDescent="0.3">
      <c r="A2291" t="s">
        <v>2304</v>
      </c>
      <c r="B2291" t="s">
        <v>14</v>
      </c>
      <c r="C2291" s="4">
        <f>VLOOKUP(Googleadssales[[#This Row],[Ad_ID]],'[1]pre processed data'!A:C,3,0)</f>
        <v>171</v>
      </c>
      <c r="D2291" s="4">
        <f>VLOOKUP(Googleadssales[[#This Row],[Ad_ID]],'[1]pre processed data'!A:E,5,0)</f>
        <v>4307</v>
      </c>
      <c r="E2291" s="5" t="str">
        <f>VLOOKUP(Googleadssales[[#This Row],[Ad_ID]],[1]!Table3[[Ad_ID]:[Cost-imputed]],7,0)</f>
        <v>$220.89</v>
      </c>
      <c r="F2291" s="4">
        <f>VLOOKUP(Googleadssales[[#This Row],[Ad_ID]],'[1]pre processed data'!A:I,9,0)</f>
        <v>20.558823529411764</v>
      </c>
      <c r="G2291" s="4">
        <f>VLOOKUP(Googleadssales[[#This Row],[Ad_ID]],'[1]pre processed data'!A:K,11,0)</f>
        <v>8</v>
      </c>
      <c r="H2291" s="2">
        <f>Googleadssales[[#This Row],[Conversions]]/Googleadssales[[#This Row],[Clicks]]</f>
        <v>4.6783625730994149E-2</v>
      </c>
      <c r="I2291" t="str">
        <f>VLOOKUP(Googleadssales[[#This Row],[Ad_ID]],'[1]pre processed data'!A:O,15,0)</f>
        <v>$1187</v>
      </c>
      <c r="J2291" s="3">
        <f>VLOOKUP(Googleadssales[[#This Row],[Ad_ID]],'[1]pre processed data'!A:Q,17,0)</f>
        <v>45597</v>
      </c>
      <c r="K2291" t="str">
        <f>VLOOKUP(Googleadssales[[#This Row],[Ad_ID]],'[1]pre processed data'!A:R,18,0)</f>
        <v>Chennai</v>
      </c>
      <c r="L2291" t="str">
        <f>VLOOKUP(Googleadssales[[#This Row],[Ad_ID]],'[1]pre processed data'!A:S,19,0)</f>
        <v>Tablet</v>
      </c>
      <c r="M2291" t="str">
        <f>VLOOKUP(Googleadssales[[#This Row],[Ad_ID]],'[1]pre processed data'!A:T,20,0)</f>
        <v>data analytics online</v>
      </c>
    </row>
    <row r="2292" spans="1:13" x14ac:dyDescent="0.3">
      <c r="A2292" t="s">
        <v>2305</v>
      </c>
      <c r="B2292" t="s">
        <v>14</v>
      </c>
      <c r="C2292" s="4">
        <f>VLOOKUP(Googleadssales[[#This Row],[Ad_ID]],'[1]pre processed data'!A:C,3,0)</f>
        <v>80</v>
      </c>
      <c r="D2292" s="4">
        <f>VLOOKUP(Googleadssales[[#This Row],[Ad_ID]],'[1]pre processed data'!A:E,5,0)</f>
        <v>4204</v>
      </c>
      <c r="E2292" s="5" t="str">
        <f>VLOOKUP(Googleadssales[[#This Row],[Ad_ID]],[1]!Table3[[Ad_ID]:[Cost-imputed]],7,0)</f>
        <v>$226.79</v>
      </c>
      <c r="F2292" s="4">
        <f>VLOOKUP(Googleadssales[[#This Row],[Ad_ID]],'[1]pre processed data'!A:I,9,0)</f>
        <v>14</v>
      </c>
      <c r="G2292" s="4">
        <f>VLOOKUP(Googleadssales[[#This Row],[Ad_ID]],'[1]pre processed data'!A:K,11,0)</f>
        <v>3</v>
      </c>
      <c r="H2292" s="2">
        <f>Googleadssales[[#This Row],[Conversions]]/Googleadssales[[#This Row],[Clicks]]</f>
        <v>3.7499999999999999E-2</v>
      </c>
      <c r="I2292" t="str">
        <f>VLOOKUP(Googleadssales[[#This Row],[Ad_ID]],'[1]pre processed data'!A:O,15,0)</f>
        <v>$1434</v>
      </c>
      <c r="J2292" s="3">
        <f>VLOOKUP(Googleadssales[[#This Row],[Ad_ID]],'[1]pre processed data'!A:Q,17,0)</f>
        <v>45617</v>
      </c>
      <c r="K2292" t="str">
        <f>VLOOKUP(Googleadssales[[#This Row],[Ad_ID]],'[1]pre processed data'!A:R,18,0)</f>
        <v>Hyderabad</v>
      </c>
      <c r="L2292" t="str">
        <f>VLOOKUP(Googleadssales[[#This Row],[Ad_ID]],'[1]pre processed data'!A:S,19,0)</f>
        <v>Tablet</v>
      </c>
      <c r="M2292" t="str">
        <f>VLOOKUP(Googleadssales[[#This Row],[Ad_ID]],'[1]pre processed data'!A:T,20,0)</f>
        <v>data analytics course</v>
      </c>
    </row>
    <row r="2293" spans="1:13" x14ac:dyDescent="0.3">
      <c r="A2293" t="s">
        <v>2306</v>
      </c>
      <c r="B2293" t="s">
        <v>14</v>
      </c>
      <c r="C2293" s="4">
        <f>VLOOKUP(Googleadssales[[#This Row],[Ad_ID]],'[1]pre processed data'!A:C,3,0)</f>
        <v>169</v>
      </c>
      <c r="D2293" s="4">
        <f>VLOOKUP(Googleadssales[[#This Row],[Ad_ID]],'[1]pre processed data'!A:E,5,0)</f>
        <v>3589</v>
      </c>
      <c r="E2293" s="5" t="str">
        <f>VLOOKUP(Googleadssales[[#This Row],[Ad_ID]],[1]!Table3[[Ad_ID]:[Cost-imputed]],7,0)</f>
        <v>$237.83</v>
      </c>
      <c r="F2293" s="4">
        <f>VLOOKUP(Googleadssales[[#This Row],[Ad_ID]],'[1]pre processed data'!A:I,9,0)</f>
        <v>15</v>
      </c>
      <c r="G2293" s="4">
        <f>VLOOKUP(Googleadssales[[#This Row],[Ad_ID]],'[1]pre processed data'!A:K,11,0)</f>
        <v>3</v>
      </c>
      <c r="H2293" s="2">
        <f>Googleadssales[[#This Row],[Conversions]]/Googleadssales[[#This Row],[Clicks]]</f>
        <v>1.7751479289940829E-2</v>
      </c>
      <c r="I2293" t="str">
        <f>VLOOKUP(Googleadssales[[#This Row],[Ad_ID]],'[1]pre processed data'!A:O,15,0)</f>
        <v>$1754</v>
      </c>
      <c r="J2293" s="3">
        <f>VLOOKUP(Googleadssales[[#This Row],[Ad_ID]],'[1]pre processed data'!A:Q,17,0)</f>
        <v>45617</v>
      </c>
      <c r="K2293" t="str">
        <f>VLOOKUP(Googleadssales[[#This Row],[Ad_ID]],'[1]pre processed data'!A:R,18,0)</f>
        <v>Hyderabad</v>
      </c>
      <c r="L2293" t="str">
        <f>VLOOKUP(Googleadssales[[#This Row],[Ad_ID]],'[1]pre processed data'!A:S,19,0)</f>
        <v>Mobile</v>
      </c>
      <c r="M2293" t="str">
        <f>VLOOKUP(Googleadssales[[#This Row],[Ad_ID]],'[1]pre processed data'!A:T,20,0)</f>
        <v>analytics for data</v>
      </c>
    </row>
    <row r="2294" spans="1:13" x14ac:dyDescent="0.3">
      <c r="A2294" t="s">
        <v>2307</v>
      </c>
      <c r="B2294" t="s">
        <v>14</v>
      </c>
      <c r="C2294" s="4">
        <f>VLOOKUP(Googleadssales[[#This Row],[Ad_ID]],'[1]pre processed data'!A:C,3,0)</f>
        <v>138.95699356913184</v>
      </c>
      <c r="D2294" s="4">
        <f>VLOOKUP(Googleadssales[[#This Row],[Ad_ID]],'[1]pre processed data'!A:E,5,0)</f>
        <v>3048</v>
      </c>
      <c r="E2294" s="5" t="str">
        <f>VLOOKUP(Googleadssales[[#This Row],[Ad_ID]],[1]!Table3[[Ad_ID]:[Cost-imputed]],7,0)</f>
        <v>$189.48</v>
      </c>
      <c r="F2294" s="4">
        <f>VLOOKUP(Googleadssales[[#This Row],[Ad_ID]],'[1]pre processed data'!A:I,9,0)</f>
        <v>22</v>
      </c>
      <c r="G2294" s="4">
        <f>VLOOKUP(Googleadssales[[#This Row],[Ad_ID]],'[1]pre processed data'!A:K,11,0)</f>
        <v>7</v>
      </c>
      <c r="H2294" s="2">
        <f>Googleadssales[[#This Row],[Conversions]]/Googleadssales[[#This Row],[Clicks]]</f>
        <v>5.0375298286210138E-2</v>
      </c>
      <c r="I2294" t="str">
        <f>VLOOKUP(Googleadssales[[#This Row],[Ad_ID]],'[1]pre processed data'!A:O,15,0)</f>
        <v>$1740</v>
      </c>
      <c r="J2294" s="3">
        <f>VLOOKUP(Googleadssales[[#This Row],[Ad_ID]],'[1]pre processed data'!A:Q,17,0)</f>
        <v>45614</v>
      </c>
      <c r="K2294" t="str">
        <f>VLOOKUP(Googleadssales[[#This Row],[Ad_ID]],'[1]pre processed data'!A:R,18,0)</f>
        <v>Chennai</v>
      </c>
      <c r="L2294" t="str">
        <f>VLOOKUP(Googleadssales[[#This Row],[Ad_ID]],'[1]pre processed data'!A:S,19,0)</f>
        <v>Mobile</v>
      </c>
      <c r="M2294" t="str">
        <f>VLOOKUP(Googleadssales[[#This Row],[Ad_ID]],'[1]pre processed data'!A:T,20,0)</f>
        <v>analytics for data</v>
      </c>
    </row>
    <row r="2295" spans="1:13" x14ac:dyDescent="0.3">
      <c r="A2295" t="s">
        <v>2308</v>
      </c>
      <c r="B2295" t="s">
        <v>14</v>
      </c>
      <c r="C2295" s="4">
        <f>VLOOKUP(Googleadssales[[#This Row],[Ad_ID]],'[1]pre processed data'!A:C,3,0)</f>
        <v>92</v>
      </c>
      <c r="D2295" s="4">
        <f>VLOOKUP(Googleadssales[[#This Row],[Ad_ID]],'[1]pre processed data'!A:E,5,0)</f>
        <v>4631</v>
      </c>
      <c r="E2295" s="5" t="str">
        <f>VLOOKUP(Googleadssales[[#This Row],[Ad_ID]],[1]!Table3[[Ad_ID]:[Cost-imputed]],7,0)</f>
        <v>$233.3</v>
      </c>
      <c r="F2295" s="4">
        <f>VLOOKUP(Googleadssales[[#This Row],[Ad_ID]],'[1]pre processed data'!A:I,9,0)</f>
        <v>19</v>
      </c>
      <c r="G2295" s="4">
        <f>VLOOKUP(Googleadssales[[#This Row],[Ad_ID]],'[1]pre processed data'!A:K,11,0)</f>
        <v>10</v>
      </c>
      <c r="H2295" s="2">
        <f>Googleadssales[[#This Row],[Conversions]]/Googleadssales[[#This Row],[Clicks]]</f>
        <v>0.10869565217391304</v>
      </c>
      <c r="I2295" t="str">
        <f>VLOOKUP(Googleadssales[[#This Row],[Ad_ID]],'[1]pre processed data'!A:O,15,0)</f>
        <v>$1521</v>
      </c>
      <c r="J2295" s="3">
        <f>VLOOKUP(Googleadssales[[#This Row],[Ad_ID]],'[1]pre processed data'!A:Q,17,0)</f>
        <v>45623</v>
      </c>
      <c r="K2295" t="str">
        <f>VLOOKUP(Googleadssales[[#This Row],[Ad_ID]],'[1]pre processed data'!A:R,18,0)</f>
        <v>Bangaluru</v>
      </c>
      <c r="L2295" t="str">
        <f>VLOOKUP(Googleadssales[[#This Row],[Ad_ID]],'[1]pre processed data'!A:S,19,0)</f>
        <v>Mobile</v>
      </c>
      <c r="M2295" t="str">
        <f>VLOOKUP(Googleadssales[[#This Row],[Ad_ID]],'[1]pre processed data'!A:T,20,0)</f>
        <v>learn data analytics</v>
      </c>
    </row>
    <row r="2296" spans="1:13" x14ac:dyDescent="0.3">
      <c r="A2296" t="s">
        <v>2309</v>
      </c>
      <c r="B2296" t="s">
        <v>14</v>
      </c>
      <c r="C2296" s="4">
        <f>VLOOKUP(Googleadssales[[#This Row],[Ad_ID]],'[1]pre processed data'!A:C,3,0)</f>
        <v>189</v>
      </c>
      <c r="D2296" s="4">
        <f>VLOOKUP(Googleadssales[[#This Row],[Ad_ID]],'[1]pre processed data'!A:E,5,0)</f>
        <v>5624</v>
      </c>
      <c r="E2296" s="5" t="str">
        <f>VLOOKUP(Googleadssales[[#This Row],[Ad_ID]],[1]!Table3[[Ad_ID]:[Cost-imputed]],7,0)</f>
        <v>$248.03</v>
      </c>
      <c r="F2296" s="4">
        <f>VLOOKUP(Googleadssales[[#This Row],[Ad_ID]],'[1]pre processed data'!A:I,9,0)</f>
        <v>23</v>
      </c>
      <c r="G2296" s="4">
        <f>VLOOKUP(Googleadssales[[#This Row],[Ad_ID]],'[1]pre processed data'!A:K,11,0)</f>
        <v>7</v>
      </c>
      <c r="H2296" s="2">
        <f>Googleadssales[[#This Row],[Conversions]]/Googleadssales[[#This Row],[Clicks]]</f>
        <v>3.7037037037037035E-2</v>
      </c>
      <c r="I2296" t="str">
        <f>VLOOKUP(Googleadssales[[#This Row],[Ad_ID]],'[1]pre processed data'!A:O,15,0)</f>
        <v>$1500</v>
      </c>
      <c r="J2296" s="3">
        <f>VLOOKUP(Googleadssales[[#This Row],[Ad_ID]],'[1]pre processed data'!A:Q,17,0)</f>
        <v>45606</v>
      </c>
      <c r="K2296" t="str">
        <f>VLOOKUP(Googleadssales[[#This Row],[Ad_ID]],'[1]pre processed data'!A:R,18,0)</f>
        <v>Hyderabad</v>
      </c>
      <c r="L2296" t="str">
        <f>VLOOKUP(Googleadssales[[#This Row],[Ad_ID]],'[1]pre processed data'!A:S,19,0)</f>
        <v>Tablet</v>
      </c>
      <c r="M2296" t="str">
        <f>VLOOKUP(Googleadssales[[#This Row],[Ad_ID]],'[1]pre processed data'!A:T,20,0)</f>
        <v>analytics for data</v>
      </c>
    </row>
    <row r="2297" spans="1:13" x14ac:dyDescent="0.3">
      <c r="A2297" t="s">
        <v>2310</v>
      </c>
      <c r="B2297" t="s">
        <v>14</v>
      </c>
      <c r="C2297" s="4">
        <f>VLOOKUP(Googleadssales[[#This Row],[Ad_ID]],'[1]pre processed data'!A:C,3,0)</f>
        <v>124</v>
      </c>
      <c r="D2297" s="4">
        <f>VLOOKUP(Googleadssales[[#This Row],[Ad_ID]],'[1]pre processed data'!A:E,5,0)</f>
        <v>5931</v>
      </c>
      <c r="E2297" s="5" t="str">
        <f>VLOOKUP(Googleadssales[[#This Row],[Ad_ID]],[1]!Table3[[Ad_ID]:[Cost-imputed]],7,0)</f>
        <v>$214.41</v>
      </c>
      <c r="F2297" s="4">
        <f>VLOOKUP(Googleadssales[[#This Row],[Ad_ID]],'[1]pre processed data'!A:I,9,0)</f>
        <v>21</v>
      </c>
      <c r="G2297" s="4">
        <f>VLOOKUP(Googleadssales[[#This Row],[Ad_ID]],'[1]pre processed data'!A:K,11,0)</f>
        <v>3</v>
      </c>
      <c r="H2297" s="2">
        <f>Googleadssales[[#This Row],[Conversions]]/Googleadssales[[#This Row],[Clicks]]</f>
        <v>2.4193548387096774E-2</v>
      </c>
      <c r="I2297" t="str">
        <f>VLOOKUP(Googleadssales[[#This Row],[Ad_ID]],'[1]pre processed data'!A:O,15,0)</f>
        <v>$1906</v>
      </c>
      <c r="J2297" s="3">
        <f>VLOOKUP(Googleadssales[[#This Row],[Ad_ID]],'[1]pre processed data'!A:Q,17,0)</f>
        <v>45601</v>
      </c>
      <c r="K2297" t="str">
        <f>VLOOKUP(Googleadssales[[#This Row],[Ad_ID]],'[1]pre processed data'!A:R,18,0)</f>
        <v>Hyderabad</v>
      </c>
      <c r="L2297" t="str">
        <f>VLOOKUP(Googleadssales[[#This Row],[Ad_ID]],'[1]pre processed data'!A:S,19,0)</f>
        <v>Tablet</v>
      </c>
      <c r="M2297" t="str">
        <f>VLOOKUP(Googleadssales[[#This Row],[Ad_ID]],'[1]pre processed data'!A:T,20,0)</f>
        <v>online data analytic</v>
      </c>
    </row>
    <row r="2298" spans="1:13" x14ac:dyDescent="0.3">
      <c r="A2298" t="s">
        <v>2311</v>
      </c>
      <c r="B2298" t="s">
        <v>14</v>
      </c>
      <c r="C2298" s="4">
        <f>VLOOKUP(Googleadssales[[#This Row],[Ad_ID]],'[1]pre processed data'!A:C,3,0)</f>
        <v>138</v>
      </c>
      <c r="D2298" s="4">
        <f>VLOOKUP(Googleadssales[[#This Row],[Ad_ID]],'[1]pre processed data'!A:E,5,0)</f>
        <v>5891</v>
      </c>
      <c r="E2298" s="5" t="str">
        <f>VLOOKUP(Googleadssales[[#This Row],[Ad_ID]],[1]!Table3[[Ad_ID]:[Cost-imputed]],7,0)</f>
        <v>$247.47</v>
      </c>
      <c r="F2298" s="4">
        <f>VLOOKUP(Googleadssales[[#This Row],[Ad_ID]],'[1]pre processed data'!A:I,9,0)</f>
        <v>14</v>
      </c>
      <c r="G2298" s="4">
        <f>VLOOKUP(Googleadssales[[#This Row],[Ad_ID]],'[1]pre processed data'!A:K,11,0)</f>
        <v>7</v>
      </c>
      <c r="H2298" s="2">
        <f>Googleadssales[[#This Row],[Conversions]]/Googleadssales[[#This Row],[Clicks]]</f>
        <v>5.0724637681159424E-2</v>
      </c>
      <c r="I2298" t="str">
        <f>VLOOKUP(Googleadssales[[#This Row],[Ad_ID]],'[1]pre processed data'!A:O,15,0)</f>
        <v>$1138</v>
      </c>
      <c r="J2298" s="3">
        <f>VLOOKUP(Googleadssales[[#This Row],[Ad_ID]],'[1]pre processed data'!A:Q,17,0)</f>
        <v>45610</v>
      </c>
      <c r="K2298" t="str">
        <f>VLOOKUP(Googleadssales[[#This Row],[Ad_ID]],'[1]pre processed data'!A:R,18,0)</f>
        <v>Hyderabad</v>
      </c>
      <c r="L2298" t="str">
        <f>VLOOKUP(Googleadssales[[#This Row],[Ad_ID]],'[1]pre processed data'!A:S,19,0)</f>
        <v>Desktop</v>
      </c>
      <c r="M2298" t="str">
        <f>VLOOKUP(Googleadssales[[#This Row],[Ad_ID]],'[1]pre processed data'!A:T,20,0)</f>
        <v>online data analytic</v>
      </c>
    </row>
    <row r="2299" spans="1:13" x14ac:dyDescent="0.3">
      <c r="A2299" t="s">
        <v>2312</v>
      </c>
      <c r="B2299" t="s">
        <v>14</v>
      </c>
      <c r="C2299" s="4">
        <f>VLOOKUP(Googleadssales[[#This Row],[Ad_ID]],'[1]pre processed data'!A:C,3,0)</f>
        <v>186</v>
      </c>
      <c r="D2299" s="4">
        <f>VLOOKUP(Googleadssales[[#This Row],[Ad_ID]],'[1]pre processed data'!A:E,5,0)</f>
        <v>5774</v>
      </c>
      <c r="E2299" s="5" t="str">
        <f>VLOOKUP(Googleadssales[[#This Row],[Ad_ID]],[1]!Table3[[Ad_ID]:[Cost-imputed]],7,0)</f>
        <v>$236.22</v>
      </c>
      <c r="F2299" s="4">
        <f>VLOOKUP(Googleadssales[[#This Row],[Ad_ID]],'[1]pre processed data'!A:I,9,0)</f>
        <v>15</v>
      </c>
      <c r="G2299" s="4">
        <f>VLOOKUP(Googleadssales[[#This Row],[Ad_ID]],'[1]pre processed data'!A:K,11,0)</f>
        <v>6</v>
      </c>
      <c r="H2299" s="2">
        <f>Googleadssales[[#This Row],[Conversions]]/Googleadssales[[#This Row],[Clicks]]</f>
        <v>3.2258064516129031E-2</v>
      </c>
      <c r="I2299" t="str">
        <f>VLOOKUP(Googleadssales[[#This Row],[Ad_ID]],'[1]pre processed data'!A:O,15,0)</f>
        <v>$1288</v>
      </c>
      <c r="J2299" s="3">
        <f>VLOOKUP(Googleadssales[[#This Row],[Ad_ID]],'[1]pre processed data'!A:Q,17,0)</f>
        <v>45608</v>
      </c>
      <c r="K2299" t="str">
        <f>VLOOKUP(Googleadssales[[#This Row],[Ad_ID]],'[1]pre processed data'!A:R,18,0)</f>
        <v>Chennai</v>
      </c>
      <c r="L2299" t="str">
        <f>VLOOKUP(Googleadssales[[#This Row],[Ad_ID]],'[1]pre processed data'!A:S,19,0)</f>
        <v>Mobile</v>
      </c>
      <c r="M2299" t="str">
        <f>VLOOKUP(Googleadssales[[#This Row],[Ad_ID]],'[1]pre processed data'!A:T,20,0)</f>
        <v>learn data analytics</v>
      </c>
    </row>
    <row r="2300" spans="1:13" x14ac:dyDescent="0.3">
      <c r="A2300" t="s">
        <v>2313</v>
      </c>
      <c r="B2300" t="s">
        <v>14</v>
      </c>
      <c r="C2300" s="4">
        <f>VLOOKUP(Googleadssales[[#This Row],[Ad_ID]],'[1]pre processed data'!A:C,3,0)</f>
        <v>100</v>
      </c>
      <c r="D2300" s="4">
        <f>VLOOKUP(Googleadssales[[#This Row],[Ad_ID]],'[1]pre processed data'!A:E,5,0)</f>
        <v>4869</v>
      </c>
      <c r="E2300" s="5" t="str">
        <f>VLOOKUP(Googleadssales[[#This Row],[Ad_ID]],[1]!Table3[[Ad_ID]:[Cost-imputed]],7,0)</f>
        <v>$234.37</v>
      </c>
      <c r="F2300" s="4">
        <f>VLOOKUP(Googleadssales[[#This Row],[Ad_ID]],'[1]pre processed data'!A:I,9,0)</f>
        <v>21</v>
      </c>
      <c r="G2300" s="4">
        <f>VLOOKUP(Googleadssales[[#This Row],[Ad_ID]],'[1]pre processed data'!A:K,11,0)</f>
        <v>7</v>
      </c>
      <c r="H2300" s="2">
        <f>Googleadssales[[#This Row],[Conversions]]/Googleadssales[[#This Row],[Clicks]]</f>
        <v>7.0000000000000007E-2</v>
      </c>
      <c r="I2300" t="str">
        <f>VLOOKUP(Googleadssales[[#This Row],[Ad_ID]],'[1]pre processed data'!A:O,15,0)</f>
        <v>$1890</v>
      </c>
      <c r="J2300" s="3">
        <f>VLOOKUP(Googleadssales[[#This Row],[Ad_ID]],'[1]pre processed data'!A:Q,17,0)</f>
        <v>45597</v>
      </c>
      <c r="K2300" t="str">
        <f>VLOOKUP(Googleadssales[[#This Row],[Ad_ID]],'[1]pre processed data'!A:R,18,0)</f>
        <v>Chennai</v>
      </c>
      <c r="L2300" t="str">
        <f>VLOOKUP(Googleadssales[[#This Row],[Ad_ID]],'[1]pre processed data'!A:S,19,0)</f>
        <v>Tablet</v>
      </c>
      <c r="M2300" t="str">
        <f>VLOOKUP(Googleadssales[[#This Row],[Ad_ID]],'[1]pre processed data'!A:T,20,0)</f>
        <v>data analytics online</v>
      </c>
    </row>
    <row r="2301" spans="1:13" x14ac:dyDescent="0.3">
      <c r="A2301" t="s">
        <v>2314</v>
      </c>
      <c r="B2301" t="s">
        <v>14</v>
      </c>
      <c r="C2301" s="4">
        <f>VLOOKUP(Googleadssales[[#This Row],[Ad_ID]],'[1]pre processed data'!A:C,3,0)</f>
        <v>151</v>
      </c>
      <c r="D2301" s="4">
        <f>VLOOKUP(Googleadssales[[#This Row],[Ad_ID]],'[1]pre processed data'!A:E,5,0)</f>
        <v>5403</v>
      </c>
      <c r="E2301" s="5" t="str">
        <f>VLOOKUP(Googleadssales[[#This Row],[Ad_ID]],[1]!Table3[[Ad_ID]:[Cost-imputed]],7,0)</f>
        <v>$180.74</v>
      </c>
      <c r="F2301" s="4">
        <f>VLOOKUP(Googleadssales[[#This Row],[Ad_ID]],'[1]pre processed data'!A:I,9,0)</f>
        <v>22</v>
      </c>
      <c r="G2301" s="4">
        <f>VLOOKUP(Googleadssales[[#This Row],[Ad_ID]],'[1]pre processed data'!A:K,11,0)</f>
        <v>3</v>
      </c>
      <c r="H2301" s="2">
        <f>Googleadssales[[#This Row],[Conversions]]/Googleadssales[[#This Row],[Clicks]]</f>
        <v>1.9867549668874173E-2</v>
      </c>
      <c r="I2301" t="str">
        <f>VLOOKUP(Googleadssales[[#This Row],[Ad_ID]],'[1]pre processed data'!A:O,15,0)</f>
        <v>$1610</v>
      </c>
      <c r="J2301" s="3">
        <f>VLOOKUP(Googleadssales[[#This Row],[Ad_ID]],'[1]pre processed data'!A:Q,17,0)</f>
        <v>45625</v>
      </c>
      <c r="K2301" t="str">
        <f>VLOOKUP(Googleadssales[[#This Row],[Ad_ID]],'[1]pre processed data'!A:R,18,0)</f>
        <v>Hyderabad</v>
      </c>
      <c r="L2301" t="str">
        <f>VLOOKUP(Googleadssales[[#This Row],[Ad_ID]],'[1]pre processed data'!A:S,19,0)</f>
        <v>Tablet</v>
      </c>
      <c r="M2301" t="str">
        <f>VLOOKUP(Googleadssales[[#This Row],[Ad_ID]],'[1]pre processed data'!A:T,20,0)</f>
        <v>data analytics online</v>
      </c>
    </row>
    <row r="2302" spans="1:13" x14ac:dyDescent="0.3">
      <c r="A2302" t="s">
        <v>2315</v>
      </c>
      <c r="B2302" t="s">
        <v>18</v>
      </c>
      <c r="C2302" s="4">
        <f>VLOOKUP(Googleadssales[[#This Row],[Ad_ID]],'[1]pre processed data'!A:C,3,0)</f>
        <v>176</v>
      </c>
      <c r="D2302" s="4">
        <f>VLOOKUP(Googleadssales[[#This Row],[Ad_ID]],'[1]pre processed data'!A:E,5,0)</f>
        <v>4577</v>
      </c>
      <c r="E2302" s="5" t="str">
        <f>VLOOKUP(Googleadssales[[#This Row],[Ad_ID]],[1]!Table3[[Ad_ID]:[Cost-imputed]],7,0)</f>
        <v>$207.98</v>
      </c>
      <c r="F2302" s="4">
        <f>VLOOKUP(Googleadssales[[#This Row],[Ad_ID]],'[1]pre processed data'!A:I,9,0)</f>
        <v>23</v>
      </c>
      <c r="G2302" s="4">
        <f>VLOOKUP(Googleadssales[[#This Row],[Ad_ID]],'[1]pre processed data'!A:K,11,0)</f>
        <v>6.4666666666666668</v>
      </c>
      <c r="H2302" s="2">
        <f>Googleadssales[[#This Row],[Conversions]]/Googleadssales[[#This Row],[Clicks]]</f>
        <v>3.6742424242424243E-2</v>
      </c>
      <c r="I2302" t="str">
        <f>VLOOKUP(Googleadssales[[#This Row],[Ad_ID]],'[1]pre processed data'!A:O,15,0)</f>
        <v>$1396</v>
      </c>
      <c r="J2302" s="3">
        <f>VLOOKUP(Googleadssales[[#This Row],[Ad_ID]],'[1]pre processed data'!A:Q,17,0)</f>
        <v>45625</v>
      </c>
      <c r="K2302" t="str">
        <f>VLOOKUP(Googleadssales[[#This Row],[Ad_ID]],'[1]pre processed data'!A:R,18,0)</f>
        <v>Chennai</v>
      </c>
      <c r="L2302" t="str">
        <f>VLOOKUP(Googleadssales[[#This Row],[Ad_ID]],'[1]pre processed data'!A:S,19,0)</f>
        <v>Tablet</v>
      </c>
      <c r="M2302" t="str">
        <f>VLOOKUP(Googleadssales[[#This Row],[Ad_ID]],'[1]pre processed data'!A:T,20,0)</f>
        <v>data analytics training</v>
      </c>
    </row>
    <row r="2303" spans="1:13" x14ac:dyDescent="0.3">
      <c r="A2303" t="s">
        <v>2316</v>
      </c>
      <c r="B2303" t="s">
        <v>18</v>
      </c>
      <c r="C2303" s="4">
        <f>VLOOKUP(Googleadssales[[#This Row],[Ad_ID]],'[1]pre processed data'!A:C,3,0)</f>
        <v>138.95699356913184</v>
      </c>
      <c r="D2303" s="4">
        <f>VLOOKUP(Googleadssales[[#This Row],[Ad_ID]],'[1]pre processed data'!A:E,5,0)</f>
        <v>3978</v>
      </c>
      <c r="E2303" s="5" t="str">
        <f>VLOOKUP(Googleadssales[[#This Row],[Ad_ID]],[1]!Table3[[Ad_ID]:[Cost-imputed]],7,0)</f>
        <v>$230.19</v>
      </c>
      <c r="F2303" s="4">
        <f>VLOOKUP(Googleadssales[[#This Row],[Ad_ID]],'[1]pre processed data'!A:I,9,0)</f>
        <v>23</v>
      </c>
      <c r="G2303" s="4">
        <f>VLOOKUP(Googleadssales[[#This Row],[Ad_ID]],'[1]pre processed data'!A:K,11,0)</f>
        <v>9</v>
      </c>
      <c r="H2303" s="2">
        <f>Googleadssales[[#This Row],[Conversions]]/Googleadssales[[#This Row],[Clicks]]</f>
        <v>6.4768240653698753E-2</v>
      </c>
      <c r="I2303" t="str">
        <f>VLOOKUP(Googleadssales[[#This Row],[Ad_ID]],'[1]pre processed data'!A:O,15,0)</f>
        <v>$1792</v>
      </c>
      <c r="J2303" s="3">
        <f>VLOOKUP(Googleadssales[[#This Row],[Ad_ID]],'[1]pre processed data'!A:Q,17,0)</f>
        <v>45615</v>
      </c>
      <c r="K2303" t="str">
        <f>VLOOKUP(Googleadssales[[#This Row],[Ad_ID]],'[1]pre processed data'!A:R,18,0)</f>
        <v>Bangaluru</v>
      </c>
      <c r="L2303" t="str">
        <f>VLOOKUP(Googleadssales[[#This Row],[Ad_ID]],'[1]pre processed data'!A:S,19,0)</f>
        <v>Desktop</v>
      </c>
      <c r="M2303" t="str">
        <f>VLOOKUP(Googleadssales[[#This Row],[Ad_ID]],'[1]pre processed data'!A:T,20,0)</f>
        <v>analytics for data</v>
      </c>
    </row>
    <row r="2304" spans="1:13" x14ac:dyDescent="0.3">
      <c r="A2304" t="s">
        <v>2317</v>
      </c>
      <c r="B2304" t="s">
        <v>18</v>
      </c>
      <c r="C2304" s="4">
        <f>VLOOKUP(Googleadssales[[#This Row],[Ad_ID]],'[1]pre processed data'!A:C,3,0)</f>
        <v>141</v>
      </c>
      <c r="D2304" s="4">
        <f>VLOOKUP(Googleadssales[[#This Row],[Ad_ID]],'[1]pre processed data'!A:E,5,0)</f>
        <v>4483</v>
      </c>
      <c r="E2304" s="5" t="str">
        <f>VLOOKUP(Googleadssales[[#This Row],[Ad_ID]],[1]!Table3[[Ad_ID]:[Cost-imputed]],7,0)</f>
        <v>$240.23</v>
      </c>
      <c r="F2304" s="4">
        <f>VLOOKUP(Googleadssales[[#This Row],[Ad_ID]],'[1]pre processed data'!A:I,9,0)</f>
        <v>25</v>
      </c>
      <c r="G2304" s="4">
        <f>VLOOKUP(Googleadssales[[#This Row],[Ad_ID]],'[1]pre processed data'!A:K,11,0)</f>
        <v>4</v>
      </c>
      <c r="H2304" s="2">
        <f>Googleadssales[[#This Row],[Conversions]]/Googleadssales[[#This Row],[Clicks]]</f>
        <v>2.8368794326241134E-2</v>
      </c>
      <c r="I2304" t="str">
        <f>VLOOKUP(Googleadssales[[#This Row],[Ad_ID]],'[1]pre processed data'!A:O,15,0)</f>
        <v>$1516</v>
      </c>
      <c r="J2304" s="3">
        <f>VLOOKUP(Googleadssales[[#This Row],[Ad_ID]],'[1]pre processed data'!A:Q,17,0)</f>
        <v>45610</v>
      </c>
      <c r="K2304" t="str">
        <f>VLOOKUP(Googleadssales[[#This Row],[Ad_ID]],'[1]pre processed data'!A:R,18,0)</f>
        <v>Chennai</v>
      </c>
      <c r="L2304" t="str">
        <f>VLOOKUP(Googleadssales[[#This Row],[Ad_ID]],'[1]pre processed data'!A:S,19,0)</f>
        <v>Tablet</v>
      </c>
      <c r="M2304" t="str">
        <f>VLOOKUP(Googleadssales[[#This Row],[Ad_ID]],'[1]pre processed data'!A:T,20,0)</f>
        <v>analytics for data</v>
      </c>
    </row>
    <row r="2305" spans="1:13" x14ac:dyDescent="0.3">
      <c r="A2305" t="s">
        <v>2318</v>
      </c>
      <c r="B2305" t="s">
        <v>14</v>
      </c>
      <c r="C2305" s="4">
        <f>VLOOKUP(Googleadssales[[#This Row],[Ad_ID]],'[1]pre processed data'!A:C,3,0)</f>
        <v>117</v>
      </c>
      <c r="D2305" s="4">
        <f>VLOOKUP(Googleadssales[[#This Row],[Ad_ID]],'[1]pre processed data'!A:E,5,0)</f>
        <v>5754</v>
      </c>
      <c r="E2305" s="5" t="str">
        <f>VLOOKUP(Googleadssales[[#This Row],[Ad_ID]],[1]!Table3[[Ad_ID]:[Cost-imputed]],7,0)</f>
        <v>$228.8</v>
      </c>
      <c r="F2305" s="4">
        <f>VLOOKUP(Googleadssales[[#This Row],[Ad_ID]],'[1]pre processed data'!A:I,9,0)</f>
        <v>20.593856655290104</v>
      </c>
      <c r="G2305" s="4">
        <f>VLOOKUP(Googleadssales[[#This Row],[Ad_ID]],'[1]pre processed data'!A:K,11,0)</f>
        <v>3</v>
      </c>
      <c r="H2305" s="2">
        <f>Googleadssales[[#This Row],[Conversions]]/Googleadssales[[#This Row],[Clicks]]</f>
        <v>2.564102564102564E-2</v>
      </c>
      <c r="I2305" t="str">
        <f>VLOOKUP(Googleadssales[[#This Row],[Ad_ID]],'[1]pre processed data'!A:O,15,0)</f>
        <v>$1500</v>
      </c>
      <c r="J2305" s="3">
        <f>VLOOKUP(Googleadssales[[#This Row],[Ad_ID]],'[1]pre processed data'!A:Q,17,0)</f>
        <v>45610</v>
      </c>
      <c r="K2305" t="str">
        <f>VLOOKUP(Googleadssales[[#This Row],[Ad_ID]],'[1]pre processed data'!A:R,18,0)</f>
        <v>Chennai</v>
      </c>
      <c r="L2305" t="str">
        <f>VLOOKUP(Googleadssales[[#This Row],[Ad_ID]],'[1]pre processed data'!A:S,19,0)</f>
        <v>Mobile</v>
      </c>
      <c r="M2305" t="str">
        <f>VLOOKUP(Googleadssales[[#This Row],[Ad_ID]],'[1]pre processed data'!A:T,20,0)</f>
        <v>data analytics online</v>
      </c>
    </row>
    <row r="2306" spans="1:13" x14ac:dyDescent="0.3">
      <c r="A2306" t="s">
        <v>2319</v>
      </c>
      <c r="B2306" t="s">
        <v>14</v>
      </c>
      <c r="C2306" s="4">
        <f>VLOOKUP(Googleadssales[[#This Row],[Ad_ID]],'[1]pre processed data'!A:C,3,0)</f>
        <v>131</v>
      </c>
      <c r="D2306" s="4">
        <f>VLOOKUP(Googleadssales[[#This Row],[Ad_ID]],'[1]pre processed data'!A:E,5,0)</f>
        <v>5528</v>
      </c>
      <c r="E2306" s="5" t="str">
        <f>VLOOKUP(Googleadssales[[#This Row],[Ad_ID]],[1]!Table3[[Ad_ID]:[Cost-imputed]],7,0)</f>
        <v>$182.38</v>
      </c>
      <c r="F2306" s="4">
        <f>VLOOKUP(Googleadssales[[#This Row],[Ad_ID]],'[1]pre processed data'!A:I,9,0)</f>
        <v>27</v>
      </c>
      <c r="G2306" s="4">
        <f>VLOOKUP(Googleadssales[[#This Row],[Ad_ID]],'[1]pre processed data'!A:K,11,0)</f>
        <v>6</v>
      </c>
      <c r="H2306" s="2">
        <f>Googleadssales[[#This Row],[Conversions]]/Googleadssales[[#This Row],[Clicks]]</f>
        <v>4.5801526717557252E-2</v>
      </c>
      <c r="I2306" t="str">
        <f>VLOOKUP(Googleadssales[[#This Row],[Ad_ID]],'[1]pre processed data'!A:O,15,0)</f>
        <v>$1168</v>
      </c>
      <c r="J2306" s="3">
        <f>VLOOKUP(Googleadssales[[#This Row],[Ad_ID]],'[1]pre processed data'!A:Q,17,0)</f>
        <v>45599</v>
      </c>
      <c r="K2306" t="str">
        <f>VLOOKUP(Googleadssales[[#This Row],[Ad_ID]],'[1]pre processed data'!A:R,18,0)</f>
        <v>Hyderabad</v>
      </c>
      <c r="L2306" t="str">
        <f>VLOOKUP(Googleadssales[[#This Row],[Ad_ID]],'[1]pre processed data'!A:S,19,0)</f>
        <v>Desktop</v>
      </c>
      <c r="M2306" t="str">
        <f>VLOOKUP(Googleadssales[[#This Row],[Ad_ID]],'[1]pre processed data'!A:T,20,0)</f>
        <v>analytics for data</v>
      </c>
    </row>
    <row r="2307" spans="1:13" x14ac:dyDescent="0.3">
      <c r="A2307" t="s">
        <v>2320</v>
      </c>
      <c r="B2307" t="s">
        <v>14</v>
      </c>
      <c r="C2307" s="4">
        <f>VLOOKUP(Googleadssales[[#This Row],[Ad_ID]],'[1]pre processed data'!A:C,3,0)</f>
        <v>173</v>
      </c>
      <c r="D2307" s="4">
        <f>VLOOKUP(Googleadssales[[#This Row],[Ad_ID]],'[1]pre processed data'!A:E,5,0)</f>
        <v>3639</v>
      </c>
      <c r="E2307" s="5" t="str">
        <f>VLOOKUP(Googleadssales[[#This Row],[Ad_ID]],[1]!Table3[[Ad_ID]:[Cost-imputed]],7,0)</f>
        <v>$225.73</v>
      </c>
      <c r="F2307" s="4">
        <f>VLOOKUP(Googleadssales[[#This Row],[Ad_ID]],'[1]pre processed data'!A:I,9,0)</f>
        <v>10</v>
      </c>
      <c r="G2307" s="4">
        <f>VLOOKUP(Googleadssales[[#This Row],[Ad_ID]],'[1]pre processed data'!A:K,11,0)</f>
        <v>4</v>
      </c>
      <c r="H2307" s="2">
        <f>Googleadssales[[#This Row],[Conversions]]/Googleadssales[[#This Row],[Clicks]]</f>
        <v>2.3121387283236993E-2</v>
      </c>
      <c r="I2307" t="str">
        <f>VLOOKUP(Googleadssales[[#This Row],[Ad_ID]],'[1]pre processed data'!A:O,15,0)</f>
        <v>$1804</v>
      </c>
      <c r="J2307" s="3">
        <f>VLOOKUP(Googleadssales[[#This Row],[Ad_ID]],'[1]pre processed data'!A:Q,17,0)</f>
        <v>45623</v>
      </c>
      <c r="K2307" t="str">
        <f>VLOOKUP(Googleadssales[[#This Row],[Ad_ID]],'[1]pre processed data'!A:R,18,0)</f>
        <v>Chennai</v>
      </c>
      <c r="L2307" t="str">
        <f>VLOOKUP(Googleadssales[[#This Row],[Ad_ID]],'[1]pre processed data'!A:S,19,0)</f>
        <v>Tablet</v>
      </c>
      <c r="M2307" t="str">
        <f>VLOOKUP(Googleadssales[[#This Row],[Ad_ID]],'[1]pre processed data'!A:T,20,0)</f>
        <v>data analytics online</v>
      </c>
    </row>
    <row r="2308" spans="1:13" x14ac:dyDescent="0.3">
      <c r="A2308" t="s">
        <v>2321</v>
      </c>
      <c r="B2308" t="s">
        <v>14</v>
      </c>
      <c r="C2308" s="4">
        <f>VLOOKUP(Googleadssales[[#This Row],[Ad_ID]],'[1]pre processed data'!A:C,3,0)</f>
        <v>195</v>
      </c>
      <c r="D2308" s="4">
        <f>VLOOKUP(Googleadssales[[#This Row],[Ad_ID]],'[1]pre processed data'!A:E,5,0)</f>
        <v>4067</v>
      </c>
      <c r="E2308" s="5" t="str">
        <f>VLOOKUP(Googleadssales[[#This Row],[Ad_ID]],[1]!Table3[[Ad_ID]:[Cost-imputed]],7,0)</f>
        <v>$220.61</v>
      </c>
      <c r="F2308" s="4">
        <f>VLOOKUP(Googleadssales[[#This Row],[Ad_ID]],'[1]pre processed data'!A:I,9,0)</f>
        <v>20</v>
      </c>
      <c r="G2308" s="4">
        <f>VLOOKUP(Googleadssales[[#This Row],[Ad_ID]],'[1]pre processed data'!A:K,11,0)</f>
        <v>8</v>
      </c>
      <c r="H2308" s="2">
        <f>Googleadssales[[#This Row],[Conversions]]/Googleadssales[[#This Row],[Clicks]]</f>
        <v>4.1025641025641026E-2</v>
      </c>
      <c r="I2308" t="str">
        <f>VLOOKUP(Googleadssales[[#This Row],[Ad_ID]],'[1]pre processed data'!A:O,15,0)</f>
        <v>$1767</v>
      </c>
      <c r="J2308" s="3">
        <f>VLOOKUP(Googleadssales[[#This Row],[Ad_ID]],'[1]pre processed data'!A:Q,17,0)</f>
        <v>45604</v>
      </c>
      <c r="K2308" t="str">
        <f>VLOOKUP(Googleadssales[[#This Row],[Ad_ID]],'[1]pre processed data'!A:R,18,0)</f>
        <v>Hyderabad</v>
      </c>
      <c r="L2308" t="str">
        <f>VLOOKUP(Googleadssales[[#This Row],[Ad_ID]],'[1]pre processed data'!A:S,19,0)</f>
        <v>Desktop</v>
      </c>
      <c r="M2308" t="str">
        <f>VLOOKUP(Googleadssales[[#This Row],[Ad_ID]],'[1]pre processed data'!A:T,20,0)</f>
        <v>data analytics course</v>
      </c>
    </row>
    <row r="2309" spans="1:13" x14ac:dyDescent="0.3">
      <c r="A2309" t="s">
        <v>2322</v>
      </c>
      <c r="B2309" t="s">
        <v>14</v>
      </c>
      <c r="C2309" s="4">
        <f>VLOOKUP(Googleadssales[[#This Row],[Ad_ID]],'[1]pre processed data'!A:C,3,0)</f>
        <v>126</v>
      </c>
      <c r="D2309" s="4">
        <f>VLOOKUP(Googleadssales[[#This Row],[Ad_ID]],'[1]pre processed data'!A:E,5,0)</f>
        <v>3931</v>
      </c>
      <c r="E2309" s="5" t="str">
        <f>VLOOKUP(Googleadssales[[#This Row],[Ad_ID]],[1]!Table3[[Ad_ID]:[Cost-imputed]],7,0)</f>
        <v>$212.16</v>
      </c>
      <c r="F2309" s="4">
        <f>VLOOKUP(Googleadssales[[#This Row],[Ad_ID]],'[1]pre processed data'!A:I,9,0)</f>
        <v>20</v>
      </c>
      <c r="G2309" s="4">
        <f>VLOOKUP(Googleadssales[[#This Row],[Ad_ID]],'[1]pre processed data'!A:K,11,0)</f>
        <v>9</v>
      </c>
      <c r="H2309" s="2">
        <f>Googleadssales[[#This Row],[Conversions]]/Googleadssales[[#This Row],[Clicks]]</f>
        <v>7.1428571428571425E-2</v>
      </c>
      <c r="I2309" t="str">
        <f>VLOOKUP(Googleadssales[[#This Row],[Ad_ID]],'[1]pre processed data'!A:O,15,0)</f>
        <v>$1537</v>
      </c>
      <c r="J2309" s="3">
        <f>VLOOKUP(Googleadssales[[#This Row],[Ad_ID]],'[1]pre processed data'!A:Q,17,0)</f>
        <v>45605</v>
      </c>
      <c r="K2309" t="str">
        <f>VLOOKUP(Googleadssales[[#This Row],[Ad_ID]],'[1]pre processed data'!A:R,18,0)</f>
        <v>Chennai</v>
      </c>
      <c r="L2309" t="str">
        <f>VLOOKUP(Googleadssales[[#This Row],[Ad_ID]],'[1]pre processed data'!A:S,19,0)</f>
        <v>Desktop</v>
      </c>
      <c r="M2309" t="str">
        <f>VLOOKUP(Googleadssales[[#This Row],[Ad_ID]],'[1]pre processed data'!A:T,20,0)</f>
        <v>learn data analytics</v>
      </c>
    </row>
    <row r="2310" spans="1:13" x14ac:dyDescent="0.3">
      <c r="A2310" t="s">
        <v>2323</v>
      </c>
      <c r="B2310" t="s">
        <v>14</v>
      </c>
      <c r="C2310" s="4">
        <f>VLOOKUP(Googleadssales[[#This Row],[Ad_ID]],'[1]pre processed data'!A:C,3,0)</f>
        <v>119</v>
      </c>
      <c r="D2310" s="4">
        <f>VLOOKUP(Googleadssales[[#This Row],[Ad_ID]],'[1]pre processed data'!A:E,5,0)</f>
        <v>3602</v>
      </c>
      <c r="E2310" s="5" t="str">
        <f>VLOOKUP(Googleadssales[[#This Row],[Ad_ID]],[1]!Table3[[Ad_ID]:[Cost-imputed]],7,0)</f>
        <v>$191.83</v>
      </c>
      <c r="F2310" s="4">
        <f>VLOOKUP(Googleadssales[[#This Row],[Ad_ID]],'[1]pre processed data'!A:I,9,0)</f>
        <v>26</v>
      </c>
      <c r="G2310" s="4">
        <f>VLOOKUP(Googleadssales[[#This Row],[Ad_ID]],'[1]pre processed data'!A:K,11,0)</f>
        <v>3</v>
      </c>
      <c r="H2310" s="2">
        <f>Googleadssales[[#This Row],[Conversions]]/Googleadssales[[#This Row],[Clicks]]</f>
        <v>2.5210084033613446E-2</v>
      </c>
      <c r="I2310" t="str">
        <f>VLOOKUP(Googleadssales[[#This Row],[Ad_ID]],'[1]pre processed data'!A:O,15,0)</f>
        <v>$1052</v>
      </c>
      <c r="J2310" s="3">
        <f>VLOOKUP(Googleadssales[[#This Row],[Ad_ID]],'[1]pre processed data'!A:Q,17,0)</f>
        <v>45606</v>
      </c>
      <c r="K2310" t="str">
        <f>VLOOKUP(Googleadssales[[#This Row],[Ad_ID]],'[1]pre processed data'!A:R,18,0)</f>
        <v>Hyderabad</v>
      </c>
      <c r="L2310" t="str">
        <f>VLOOKUP(Googleadssales[[#This Row],[Ad_ID]],'[1]pre processed data'!A:S,19,0)</f>
        <v>Tablet</v>
      </c>
      <c r="M2310" t="str">
        <f>VLOOKUP(Googleadssales[[#This Row],[Ad_ID]],'[1]pre processed data'!A:T,20,0)</f>
        <v>analytics for data</v>
      </c>
    </row>
    <row r="2311" spans="1:13" x14ac:dyDescent="0.3">
      <c r="A2311" t="s">
        <v>2324</v>
      </c>
      <c r="B2311" t="s">
        <v>18</v>
      </c>
      <c r="C2311" s="4">
        <f>VLOOKUP(Googleadssales[[#This Row],[Ad_ID]],'[1]pre processed data'!A:C,3,0)</f>
        <v>141</v>
      </c>
      <c r="D2311" s="4">
        <f>VLOOKUP(Googleadssales[[#This Row],[Ad_ID]],'[1]pre processed data'!A:E,5,0)</f>
        <v>5663</v>
      </c>
      <c r="E2311" s="5" t="str">
        <f>VLOOKUP(Googleadssales[[#This Row],[Ad_ID]],[1]!Table3[[Ad_ID]:[Cost-imputed]],7,0)</f>
        <v>$237.57</v>
      </c>
      <c r="F2311" s="4">
        <f>VLOOKUP(Googleadssales[[#This Row],[Ad_ID]],'[1]pre processed data'!A:I,9,0)</f>
        <v>16</v>
      </c>
      <c r="G2311" s="4">
        <f>VLOOKUP(Googleadssales[[#This Row],[Ad_ID]],'[1]pre processed data'!A:K,11,0)</f>
        <v>3</v>
      </c>
      <c r="H2311" s="2">
        <f>Googleadssales[[#This Row],[Conversions]]/Googleadssales[[#This Row],[Clicks]]</f>
        <v>2.1276595744680851E-2</v>
      </c>
      <c r="I2311" t="str">
        <f>VLOOKUP(Googleadssales[[#This Row],[Ad_ID]],'[1]pre processed data'!A:O,15,0)</f>
        <v>$1269</v>
      </c>
      <c r="J2311" s="3">
        <f>VLOOKUP(Googleadssales[[#This Row],[Ad_ID]],'[1]pre processed data'!A:Q,17,0)</f>
        <v>45614</v>
      </c>
      <c r="K2311" t="str">
        <f>VLOOKUP(Googleadssales[[#This Row],[Ad_ID]],'[1]pre processed data'!A:R,18,0)</f>
        <v>Bangaluru</v>
      </c>
      <c r="L2311" t="str">
        <f>VLOOKUP(Googleadssales[[#This Row],[Ad_ID]],'[1]pre processed data'!A:S,19,0)</f>
        <v>Tablet</v>
      </c>
      <c r="M2311" t="str">
        <f>VLOOKUP(Googleadssales[[#This Row],[Ad_ID]],'[1]pre processed data'!A:T,20,0)</f>
        <v>data analytics course</v>
      </c>
    </row>
    <row r="2312" spans="1:13" x14ac:dyDescent="0.3">
      <c r="A2312" t="s">
        <v>2325</v>
      </c>
      <c r="B2312" t="s">
        <v>18</v>
      </c>
      <c r="C2312" s="4">
        <f>VLOOKUP(Googleadssales[[#This Row],[Ad_ID]],'[1]pre processed data'!A:C,3,0)</f>
        <v>182</v>
      </c>
      <c r="D2312" s="4">
        <f>VLOOKUP(Googleadssales[[#This Row],[Ad_ID]],'[1]pre processed data'!A:E,5,0)</f>
        <v>4021</v>
      </c>
      <c r="E2312" s="5" t="str">
        <f>VLOOKUP(Googleadssales[[#This Row],[Ad_ID]],[1]!Table3[[Ad_ID]:[Cost-imputed]],7,0)</f>
        <v>$200.00</v>
      </c>
      <c r="F2312" s="4">
        <f>VLOOKUP(Googleadssales[[#This Row],[Ad_ID]],'[1]pre processed data'!A:I,9,0)</f>
        <v>24</v>
      </c>
      <c r="G2312" s="4">
        <f>VLOOKUP(Googleadssales[[#This Row],[Ad_ID]],'[1]pre processed data'!A:K,11,0)</f>
        <v>7</v>
      </c>
      <c r="H2312" s="2">
        <f>Googleadssales[[#This Row],[Conversions]]/Googleadssales[[#This Row],[Clicks]]</f>
        <v>3.8461538461538464E-2</v>
      </c>
      <c r="I2312" t="str">
        <f>VLOOKUP(Googleadssales[[#This Row],[Ad_ID]],'[1]pre processed data'!A:O,15,0)</f>
        <v>$1444</v>
      </c>
      <c r="J2312" s="3">
        <f>VLOOKUP(Googleadssales[[#This Row],[Ad_ID]],'[1]pre processed data'!A:Q,17,0)</f>
        <v>45626</v>
      </c>
      <c r="K2312" t="str">
        <f>VLOOKUP(Googleadssales[[#This Row],[Ad_ID]],'[1]pre processed data'!A:R,18,0)</f>
        <v>Hyderabad</v>
      </c>
      <c r="L2312" t="str">
        <f>VLOOKUP(Googleadssales[[#This Row],[Ad_ID]],'[1]pre processed data'!A:S,19,0)</f>
        <v>Tablet</v>
      </c>
      <c r="M2312" t="str">
        <f>VLOOKUP(Googleadssales[[#This Row],[Ad_ID]],'[1]pre processed data'!A:T,20,0)</f>
        <v>online data analytic</v>
      </c>
    </row>
    <row r="2313" spans="1:13" x14ac:dyDescent="0.3">
      <c r="A2313" t="s">
        <v>2326</v>
      </c>
      <c r="B2313" t="s">
        <v>18</v>
      </c>
      <c r="C2313" s="4">
        <f>VLOOKUP(Googleadssales[[#This Row],[Ad_ID]],'[1]pre processed data'!A:C,3,0)</f>
        <v>192</v>
      </c>
      <c r="D2313" s="4">
        <f>VLOOKUP(Googleadssales[[#This Row],[Ad_ID]],'[1]pre processed data'!A:E,5,0)</f>
        <v>4551</v>
      </c>
      <c r="E2313" s="5" t="str">
        <f>VLOOKUP(Googleadssales[[#This Row],[Ad_ID]],[1]!Table3[[Ad_ID]:[Cost-imputed]],7,0)</f>
        <v>$223.93</v>
      </c>
      <c r="F2313" s="4">
        <f>VLOOKUP(Googleadssales[[#This Row],[Ad_ID]],'[1]pre processed data'!A:I,9,0)</f>
        <v>22</v>
      </c>
      <c r="G2313" s="4">
        <f>VLOOKUP(Googleadssales[[#This Row],[Ad_ID]],'[1]pre processed data'!A:K,11,0)</f>
        <v>10</v>
      </c>
      <c r="H2313" s="2">
        <f>Googleadssales[[#This Row],[Conversions]]/Googleadssales[[#This Row],[Clicks]]</f>
        <v>5.2083333333333336E-2</v>
      </c>
      <c r="I2313" t="str">
        <f>VLOOKUP(Googleadssales[[#This Row],[Ad_ID]],'[1]pre processed data'!A:O,15,0)</f>
        <v>$1231</v>
      </c>
      <c r="J2313" s="3">
        <f>VLOOKUP(Googleadssales[[#This Row],[Ad_ID]],'[1]pre processed data'!A:Q,17,0)</f>
        <v>45615</v>
      </c>
      <c r="K2313" t="str">
        <f>VLOOKUP(Googleadssales[[#This Row],[Ad_ID]],'[1]pre processed data'!A:R,18,0)</f>
        <v>Chennai</v>
      </c>
      <c r="L2313" t="str">
        <f>VLOOKUP(Googleadssales[[#This Row],[Ad_ID]],'[1]pre processed data'!A:S,19,0)</f>
        <v>Desktop</v>
      </c>
      <c r="M2313" t="str">
        <f>VLOOKUP(Googleadssales[[#This Row],[Ad_ID]],'[1]pre processed data'!A:T,20,0)</f>
        <v>data analytics training</v>
      </c>
    </row>
    <row r="2314" spans="1:13" x14ac:dyDescent="0.3">
      <c r="A2314" t="s">
        <v>2327</v>
      </c>
      <c r="B2314" t="s">
        <v>14</v>
      </c>
      <c r="C2314" s="4">
        <f>VLOOKUP(Googleadssales[[#This Row],[Ad_ID]],'[1]pre processed data'!A:C,3,0)</f>
        <v>138.95699356913184</v>
      </c>
      <c r="D2314" s="4">
        <f>VLOOKUP(Googleadssales[[#This Row],[Ad_ID]],'[1]pre processed data'!A:E,5,0)</f>
        <v>5123</v>
      </c>
      <c r="E2314" s="5" t="str">
        <f>VLOOKUP(Googleadssales[[#This Row],[Ad_ID]],[1]!Table3[[Ad_ID]:[Cost-imputed]],7,0)</f>
        <v>$231.93</v>
      </c>
      <c r="F2314" s="4">
        <f>VLOOKUP(Googleadssales[[#This Row],[Ad_ID]],'[1]pre processed data'!A:I,9,0)</f>
        <v>18</v>
      </c>
      <c r="G2314" s="4">
        <f>VLOOKUP(Googleadssales[[#This Row],[Ad_ID]],'[1]pre processed data'!A:K,11,0)</f>
        <v>9</v>
      </c>
      <c r="H2314" s="2">
        <f>Googleadssales[[#This Row],[Conversions]]/Googleadssales[[#This Row],[Clicks]]</f>
        <v>6.4768240653698753E-2</v>
      </c>
      <c r="I2314" t="str">
        <f>VLOOKUP(Googleadssales[[#This Row],[Ad_ID]],'[1]pre processed data'!A:O,15,0)</f>
        <v>$1031</v>
      </c>
      <c r="J2314" s="3">
        <f>VLOOKUP(Googleadssales[[#This Row],[Ad_ID]],'[1]pre processed data'!A:Q,17,0)</f>
        <v>45614</v>
      </c>
      <c r="K2314" t="str">
        <f>VLOOKUP(Googleadssales[[#This Row],[Ad_ID]],'[1]pre processed data'!A:R,18,0)</f>
        <v>Hyderabad</v>
      </c>
      <c r="L2314" t="str">
        <f>VLOOKUP(Googleadssales[[#This Row],[Ad_ID]],'[1]pre processed data'!A:S,19,0)</f>
        <v>Desktop</v>
      </c>
      <c r="M2314" t="str">
        <f>VLOOKUP(Googleadssales[[#This Row],[Ad_ID]],'[1]pre processed data'!A:T,20,0)</f>
        <v>analytics for data</v>
      </c>
    </row>
    <row r="2315" spans="1:13" x14ac:dyDescent="0.3">
      <c r="A2315" t="s">
        <v>2328</v>
      </c>
      <c r="B2315" t="s">
        <v>18</v>
      </c>
      <c r="C2315" s="4">
        <f>VLOOKUP(Googleadssales[[#This Row],[Ad_ID]],'[1]pre processed data'!A:C,3,0)</f>
        <v>160</v>
      </c>
      <c r="D2315" s="4">
        <f>VLOOKUP(Googleadssales[[#This Row],[Ad_ID]],'[1]pre processed data'!A:E,5,0)</f>
        <v>3816</v>
      </c>
      <c r="E2315" s="5" t="str">
        <f>VLOOKUP(Googleadssales[[#This Row],[Ad_ID]],[1]!Table3[[Ad_ID]:[Cost-imputed]],7,0)</f>
        <v>$207.93</v>
      </c>
      <c r="F2315" s="4">
        <f>VLOOKUP(Googleadssales[[#This Row],[Ad_ID]],'[1]pre processed data'!A:I,9,0)</f>
        <v>27</v>
      </c>
      <c r="G2315" s="4">
        <f>VLOOKUP(Googleadssales[[#This Row],[Ad_ID]],'[1]pre processed data'!A:K,11,0)</f>
        <v>9</v>
      </c>
      <c r="H2315" s="2">
        <f>Googleadssales[[#This Row],[Conversions]]/Googleadssales[[#This Row],[Clicks]]</f>
        <v>5.6250000000000001E-2</v>
      </c>
      <c r="I2315" t="str">
        <f>VLOOKUP(Googleadssales[[#This Row],[Ad_ID]],'[1]pre processed data'!A:O,15,0)</f>
        <v>$1884</v>
      </c>
      <c r="J2315" s="3">
        <f>VLOOKUP(Googleadssales[[#This Row],[Ad_ID]],'[1]pre processed data'!A:Q,17,0)</f>
        <v>45599</v>
      </c>
      <c r="K2315" t="str">
        <f>VLOOKUP(Googleadssales[[#This Row],[Ad_ID]],'[1]pre processed data'!A:R,18,0)</f>
        <v>Bangaluru</v>
      </c>
      <c r="L2315" t="str">
        <f>VLOOKUP(Googleadssales[[#This Row],[Ad_ID]],'[1]pre processed data'!A:S,19,0)</f>
        <v>Mobile</v>
      </c>
      <c r="M2315" t="str">
        <f>VLOOKUP(Googleadssales[[#This Row],[Ad_ID]],'[1]pre processed data'!A:T,20,0)</f>
        <v>analytics for data</v>
      </c>
    </row>
    <row r="2316" spans="1:13" x14ac:dyDescent="0.3">
      <c r="A2316" t="s">
        <v>2329</v>
      </c>
      <c r="B2316" t="s">
        <v>14</v>
      </c>
      <c r="C2316" s="4">
        <f>VLOOKUP(Googleadssales[[#This Row],[Ad_ID]],'[1]pre processed data'!A:C,3,0)</f>
        <v>140</v>
      </c>
      <c r="D2316" s="4">
        <f>VLOOKUP(Googleadssales[[#This Row],[Ad_ID]],'[1]pre processed data'!A:E,5,0)</f>
        <v>3154</v>
      </c>
      <c r="E2316" s="5" t="str">
        <f>VLOOKUP(Googleadssales[[#This Row],[Ad_ID]],[1]!Table3[[Ad_ID]:[Cost-imputed]],7,0)</f>
        <v>$212.73</v>
      </c>
      <c r="F2316" s="4">
        <f>VLOOKUP(Googleadssales[[#This Row],[Ad_ID]],'[1]pre processed data'!A:I,9,0)</f>
        <v>21</v>
      </c>
      <c r="G2316" s="4">
        <f>VLOOKUP(Googleadssales[[#This Row],[Ad_ID]],'[1]pre processed data'!A:K,11,0)</f>
        <v>4</v>
      </c>
      <c r="H2316" s="2">
        <f>Googleadssales[[#This Row],[Conversions]]/Googleadssales[[#This Row],[Clicks]]</f>
        <v>2.8571428571428571E-2</v>
      </c>
      <c r="I2316" t="str">
        <f>VLOOKUP(Googleadssales[[#This Row],[Ad_ID]],'[1]pre processed data'!A:O,15,0)</f>
        <v>$1024</v>
      </c>
      <c r="J2316" s="3">
        <f>VLOOKUP(Googleadssales[[#This Row],[Ad_ID]],'[1]pre processed data'!A:Q,17,0)</f>
        <v>45610</v>
      </c>
      <c r="K2316" t="str">
        <f>VLOOKUP(Googleadssales[[#This Row],[Ad_ID]],'[1]pre processed data'!A:R,18,0)</f>
        <v>Hyderabad</v>
      </c>
      <c r="L2316" t="str">
        <f>VLOOKUP(Googleadssales[[#This Row],[Ad_ID]],'[1]pre processed data'!A:S,19,0)</f>
        <v>Tablet</v>
      </c>
      <c r="M2316" t="str">
        <f>VLOOKUP(Googleadssales[[#This Row],[Ad_ID]],'[1]pre processed data'!A:T,20,0)</f>
        <v>learn data analytics</v>
      </c>
    </row>
    <row r="2317" spans="1:13" x14ac:dyDescent="0.3">
      <c r="A2317" t="s">
        <v>2330</v>
      </c>
      <c r="B2317" t="s">
        <v>14</v>
      </c>
      <c r="C2317" s="4">
        <f>VLOOKUP(Googleadssales[[#This Row],[Ad_ID]],'[1]pre processed data'!A:C,3,0)</f>
        <v>134</v>
      </c>
      <c r="D2317" s="4">
        <f>VLOOKUP(Googleadssales[[#This Row],[Ad_ID]],'[1]pre processed data'!A:E,5,0)</f>
        <v>3700</v>
      </c>
      <c r="E2317" s="5" t="str">
        <f>VLOOKUP(Googleadssales[[#This Row],[Ad_ID]],[1]!Table3[[Ad_ID]:[Cost-imputed]],7,0)</f>
        <v>$226.57</v>
      </c>
      <c r="F2317" s="4">
        <f>VLOOKUP(Googleadssales[[#This Row],[Ad_ID]],'[1]pre processed data'!A:I,9,0)</f>
        <v>28</v>
      </c>
      <c r="G2317" s="4">
        <f>VLOOKUP(Googleadssales[[#This Row],[Ad_ID]],'[1]pre processed data'!A:K,11,0)</f>
        <v>7</v>
      </c>
      <c r="H2317" s="2">
        <f>Googleadssales[[#This Row],[Conversions]]/Googleadssales[[#This Row],[Clicks]]</f>
        <v>5.2238805970149252E-2</v>
      </c>
      <c r="I2317" t="str">
        <f>VLOOKUP(Googleadssales[[#This Row],[Ad_ID]],'[1]pre processed data'!A:O,15,0)</f>
        <v>$1836</v>
      </c>
      <c r="J2317" s="3">
        <f>VLOOKUP(Googleadssales[[#This Row],[Ad_ID]],'[1]pre processed data'!A:Q,17,0)</f>
        <v>45600</v>
      </c>
      <c r="K2317" t="str">
        <f>VLOOKUP(Googleadssales[[#This Row],[Ad_ID]],'[1]pre processed data'!A:R,18,0)</f>
        <v>Hyderabad</v>
      </c>
      <c r="L2317" t="str">
        <f>VLOOKUP(Googleadssales[[#This Row],[Ad_ID]],'[1]pre processed data'!A:S,19,0)</f>
        <v>Tablet</v>
      </c>
      <c r="M2317" t="str">
        <f>VLOOKUP(Googleadssales[[#This Row],[Ad_ID]],'[1]pre processed data'!A:T,20,0)</f>
        <v>data analytics online</v>
      </c>
    </row>
    <row r="2318" spans="1:13" x14ac:dyDescent="0.3">
      <c r="A2318" t="s">
        <v>2331</v>
      </c>
      <c r="B2318" t="s">
        <v>14</v>
      </c>
      <c r="C2318" s="4">
        <f>VLOOKUP(Googleadssales[[#This Row],[Ad_ID]],'[1]pre processed data'!A:C,3,0)</f>
        <v>92</v>
      </c>
      <c r="D2318" s="4">
        <f>VLOOKUP(Googleadssales[[#This Row],[Ad_ID]],'[1]pre processed data'!A:E,5,0)</f>
        <v>3963</v>
      </c>
      <c r="E2318" s="5" t="str">
        <f>VLOOKUP(Googleadssales[[#This Row],[Ad_ID]],[1]!Table3[[Ad_ID]:[Cost-imputed]],7,0)</f>
        <v>$219.39</v>
      </c>
      <c r="F2318" s="4">
        <f>VLOOKUP(Googleadssales[[#This Row],[Ad_ID]],'[1]pre processed data'!A:I,9,0)</f>
        <v>22</v>
      </c>
      <c r="G2318" s="4">
        <f>VLOOKUP(Googleadssales[[#This Row],[Ad_ID]],'[1]pre processed data'!A:K,11,0)</f>
        <v>10</v>
      </c>
      <c r="H2318" s="2">
        <f>Googleadssales[[#This Row],[Conversions]]/Googleadssales[[#This Row],[Clicks]]</f>
        <v>0.10869565217391304</v>
      </c>
      <c r="I2318" t="str">
        <f>VLOOKUP(Googleadssales[[#This Row],[Ad_ID]],'[1]pre processed data'!A:O,15,0)</f>
        <v>$1834</v>
      </c>
      <c r="J2318" s="3">
        <f>VLOOKUP(Googleadssales[[#This Row],[Ad_ID]],'[1]pre processed data'!A:Q,17,0)</f>
        <v>45622</v>
      </c>
      <c r="K2318" t="str">
        <f>VLOOKUP(Googleadssales[[#This Row],[Ad_ID]],'[1]pre processed data'!A:R,18,0)</f>
        <v>Chennai</v>
      </c>
      <c r="L2318" t="str">
        <f>VLOOKUP(Googleadssales[[#This Row],[Ad_ID]],'[1]pre processed data'!A:S,19,0)</f>
        <v>Mobile</v>
      </c>
      <c r="M2318" t="str">
        <f>VLOOKUP(Googleadssales[[#This Row],[Ad_ID]],'[1]pre processed data'!A:T,20,0)</f>
        <v>online data analytic</v>
      </c>
    </row>
    <row r="2319" spans="1:13" x14ac:dyDescent="0.3">
      <c r="A2319" t="s">
        <v>2332</v>
      </c>
      <c r="B2319" t="s">
        <v>14</v>
      </c>
      <c r="C2319" s="4">
        <f>VLOOKUP(Googleadssales[[#This Row],[Ad_ID]],'[1]pre processed data'!A:C,3,0)</f>
        <v>163</v>
      </c>
      <c r="D2319" s="4">
        <f>VLOOKUP(Googleadssales[[#This Row],[Ad_ID]],'[1]pre processed data'!A:E,5,0)</f>
        <v>3978</v>
      </c>
      <c r="E2319" s="5" t="str">
        <f>VLOOKUP(Googleadssales[[#This Row],[Ad_ID]],[1]!Table3[[Ad_ID]:[Cost-imputed]],7,0)</f>
        <v>$232.7</v>
      </c>
      <c r="F2319" s="4">
        <f>VLOOKUP(Googleadssales[[#This Row],[Ad_ID]],'[1]pre processed data'!A:I,9,0)</f>
        <v>25</v>
      </c>
      <c r="G2319" s="4">
        <f>VLOOKUP(Googleadssales[[#This Row],[Ad_ID]],'[1]pre processed data'!A:K,11,0)</f>
        <v>9</v>
      </c>
      <c r="H2319" s="2">
        <f>Googleadssales[[#This Row],[Conversions]]/Googleadssales[[#This Row],[Clicks]]</f>
        <v>5.5214723926380369E-2</v>
      </c>
      <c r="I2319" t="str">
        <f>VLOOKUP(Googleadssales[[#This Row],[Ad_ID]],'[1]pre processed data'!A:O,15,0)</f>
        <v>$1380</v>
      </c>
      <c r="J2319" s="3">
        <f>VLOOKUP(Googleadssales[[#This Row],[Ad_ID]],'[1]pre processed data'!A:Q,17,0)</f>
        <v>45604</v>
      </c>
      <c r="K2319" t="str">
        <f>VLOOKUP(Googleadssales[[#This Row],[Ad_ID]],'[1]pre processed data'!A:R,18,0)</f>
        <v>Hyderabad</v>
      </c>
      <c r="L2319" t="str">
        <f>VLOOKUP(Googleadssales[[#This Row],[Ad_ID]],'[1]pre processed data'!A:S,19,0)</f>
        <v>Desktop</v>
      </c>
      <c r="M2319" t="str">
        <f>VLOOKUP(Googleadssales[[#This Row],[Ad_ID]],'[1]pre processed data'!A:T,20,0)</f>
        <v>data analytics online</v>
      </c>
    </row>
    <row r="2320" spans="1:13" x14ac:dyDescent="0.3">
      <c r="A2320" t="s">
        <v>2333</v>
      </c>
      <c r="B2320" t="s">
        <v>18</v>
      </c>
      <c r="C2320" s="4">
        <f>VLOOKUP(Googleadssales[[#This Row],[Ad_ID]],'[1]pre processed data'!A:C,3,0)</f>
        <v>155</v>
      </c>
      <c r="D2320" s="4">
        <f>VLOOKUP(Googleadssales[[#This Row],[Ad_ID]],'[1]pre processed data'!A:E,5,0)</f>
        <v>5105</v>
      </c>
      <c r="E2320" s="5" t="str">
        <f>VLOOKUP(Googleadssales[[#This Row],[Ad_ID]],[1]!Table3[[Ad_ID]:[Cost-imputed]],7,0)</f>
        <v>$239.11</v>
      </c>
      <c r="F2320" s="4">
        <f>VLOOKUP(Googleadssales[[#This Row],[Ad_ID]],'[1]pre processed data'!A:I,9,0)</f>
        <v>20</v>
      </c>
      <c r="G2320" s="4">
        <f>VLOOKUP(Googleadssales[[#This Row],[Ad_ID]],'[1]pre processed data'!A:K,11,0)</f>
        <v>5</v>
      </c>
      <c r="H2320" s="2">
        <f>Googleadssales[[#This Row],[Conversions]]/Googleadssales[[#This Row],[Clicks]]</f>
        <v>3.2258064516129031E-2</v>
      </c>
      <c r="I2320" t="str">
        <f>VLOOKUP(Googleadssales[[#This Row],[Ad_ID]],'[1]pre processed data'!A:O,15,0)</f>
        <v>$1009</v>
      </c>
      <c r="J2320" s="3">
        <f>VLOOKUP(Googleadssales[[#This Row],[Ad_ID]],'[1]pre processed data'!A:Q,17,0)</f>
        <v>45601</v>
      </c>
      <c r="K2320" t="str">
        <f>VLOOKUP(Googleadssales[[#This Row],[Ad_ID]],'[1]pre processed data'!A:R,18,0)</f>
        <v>Hyderabad</v>
      </c>
      <c r="L2320" t="str">
        <f>VLOOKUP(Googleadssales[[#This Row],[Ad_ID]],'[1]pre processed data'!A:S,19,0)</f>
        <v>Mobile</v>
      </c>
      <c r="M2320" t="str">
        <f>VLOOKUP(Googleadssales[[#This Row],[Ad_ID]],'[1]pre processed data'!A:T,20,0)</f>
        <v>analytics for data</v>
      </c>
    </row>
    <row r="2321" spans="1:13" x14ac:dyDescent="0.3">
      <c r="A2321" t="s">
        <v>2334</v>
      </c>
      <c r="B2321" t="s">
        <v>14</v>
      </c>
      <c r="C2321" s="4">
        <f>VLOOKUP(Googleadssales[[#This Row],[Ad_ID]],'[1]pre processed data'!A:C,3,0)</f>
        <v>194</v>
      </c>
      <c r="D2321" s="4">
        <f>VLOOKUP(Googleadssales[[#This Row],[Ad_ID]],'[1]pre processed data'!A:E,5,0)</f>
        <v>3559</v>
      </c>
      <c r="E2321" s="5" t="str">
        <f>VLOOKUP(Googleadssales[[#This Row],[Ad_ID]],[1]!Table3[[Ad_ID]:[Cost-imputed]],7,0)</f>
        <v>$205.78</v>
      </c>
      <c r="F2321" s="4">
        <f>VLOOKUP(Googleadssales[[#This Row],[Ad_ID]],'[1]pre processed data'!A:I,9,0)</f>
        <v>15</v>
      </c>
      <c r="G2321" s="4">
        <f>VLOOKUP(Googleadssales[[#This Row],[Ad_ID]],'[1]pre processed data'!A:K,11,0)</f>
        <v>9</v>
      </c>
      <c r="H2321" s="2">
        <f>Googleadssales[[#This Row],[Conversions]]/Googleadssales[[#This Row],[Clicks]]</f>
        <v>4.6391752577319589E-2</v>
      </c>
      <c r="I2321" t="str">
        <f>VLOOKUP(Googleadssales[[#This Row],[Ad_ID]],'[1]pre processed data'!A:O,15,0)</f>
        <v>$1765</v>
      </c>
      <c r="J2321" s="3">
        <f>VLOOKUP(Googleadssales[[#This Row],[Ad_ID]],'[1]pre processed data'!A:Q,17,0)</f>
        <v>45599</v>
      </c>
      <c r="K2321" t="str">
        <f>VLOOKUP(Googleadssales[[#This Row],[Ad_ID]],'[1]pre processed data'!A:R,18,0)</f>
        <v>Chennai</v>
      </c>
      <c r="L2321" t="str">
        <f>VLOOKUP(Googleadssales[[#This Row],[Ad_ID]],'[1]pre processed data'!A:S,19,0)</f>
        <v>Desktop</v>
      </c>
      <c r="M2321" t="str">
        <f>VLOOKUP(Googleadssales[[#This Row],[Ad_ID]],'[1]pre processed data'!A:T,20,0)</f>
        <v>online data analytic</v>
      </c>
    </row>
    <row r="2322" spans="1:13" x14ac:dyDescent="0.3">
      <c r="A2322" t="s">
        <v>2335</v>
      </c>
      <c r="B2322" t="s">
        <v>14</v>
      </c>
      <c r="C2322" s="4">
        <f>VLOOKUP(Googleadssales[[#This Row],[Ad_ID]],'[1]pre processed data'!A:C,3,0)</f>
        <v>165</v>
      </c>
      <c r="D2322" s="4">
        <f>VLOOKUP(Googleadssales[[#This Row],[Ad_ID]],'[1]pre processed data'!A:E,5,0)</f>
        <v>3005</v>
      </c>
      <c r="E2322" s="5" t="str">
        <f>VLOOKUP(Googleadssales[[#This Row],[Ad_ID]],[1]!Table3[[Ad_ID]:[Cost-imputed]],7,0)</f>
        <v>$239.14</v>
      </c>
      <c r="F2322" s="4">
        <f>VLOOKUP(Googleadssales[[#This Row],[Ad_ID]],'[1]pre processed data'!A:I,9,0)</f>
        <v>23</v>
      </c>
      <c r="G2322" s="4">
        <f>VLOOKUP(Googleadssales[[#This Row],[Ad_ID]],'[1]pre processed data'!A:K,11,0)</f>
        <v>6</v>
      </c>
      <c r="H2322" s="2">
        <f>Googleadssales[[#This Row],[Conversions]]/Googleadssales[[#This Row],[Clicks]]</f>
        <v>3.6363636363636362E-2</v>
      </c>
      <c r="I2322" t="str">
        <f>VLOOKUP(Googleadssales[[#This Row],[Ad_ID]],'[1]pre processed data'!A:O,15,0)</f>
        <v>$1989</v>
      </c>
      <c r="J2322" s="3">
        <f>VLOOKUP(Googleadssales[[#This Row],[Ad_ID]],'[1]pre processed data'!A:Q,17,0)</f>
        <v>45623</v>
      </c>
      <c r="K2322" t="str">
        <f>VLOOKUP(Googleadssales[[#This Row],[Ad_ID]],'[1]pre processed data'!A:R,18,0)</f>
        <v>Chennai</v>
      </c>
      <c r="L2322" t="str">
        <f>VLOOKUP(Googleadssales[[#This Row],[Ad_ID]],'[1]pre processed data'!A:S,19,0)</f>
        <v>Tablet</v>
      </c>
      <c r="M2322" t="str">
        <f>VLOOKUP(Googleadssales[[#This Row],[Ad_ID]],'[1]pre processed data'!A:T,20,0)</f>
        <v>learn data analytics</v>
      </c>
    </row>
    <row r="2323" spans="1:13" x14ac:dyDescent="0.3">
      <c r="A2323" t="s">
        <v>2336</v>
      </c>
      <c r="B2323" t="s">
        <v>14</v>
      </c>
      <c r="C2323" s="4">
        <f>VLOOKUP(Googleadssales[[#This Row],[Ad_ID]],'[1]pre processed data'!A:C,3,0)</f>
        <v>135</v>
      </c>
      <c r="D2323" s="4">
        <f>VLOOKUP(Googleadssales[[#This Row],[Ad_ID]],'[1]pre processed data'!A:E,5,0)</f>
        <v>4740</v>
      </c>
      <c r="E2323" s="5" t="str">
        <f>VLOOKUP(Googleadssales[[#This Row],[Ad_ID]],[1]!Table3[[Ad_ID]:[Cost-imputed]],7,0)</f>
        <v>$235.55</v>
      </c>
      <c r="F2323" s="4">
        <f>VLOOKUP(Googleadssales[[#This Row],[Ad_ID]],'[1]pre processed data'!A:I,9,0)</f>
        <v>24</v>
      </c>
      <c r="G2323" s="4">
        <f>VLOOKUP(Googleadssales[[#This Row],[Ad_ID]],'[1]pre processed data'!A:K,11,0)</f>
        <v>4</v>
      </c>
      <c r="H2323" s="2">
        <f>Googleadssales[[#This Row],[Conversions]]/Googleadssales[[#This Row],[Clicks]]</f>
        <v>2.9629629629629631E-2</v>
      </c>
      <c r="I2323" t="str">
        <f>VLOOKUP(Googleadssales[[#This Row],[Ad_ID]],'[1]pre processed data'!A:O,15,0)</f>
        <v>$1715</v>
      </c>
      <c r="J2323" s="3">
        <f>VLOOKUP(Googleadssales[[#This Row],[Ad_ID]],'[1]pre processed data'!A:Q,17,0)</f>
        <v>45603</v>
      </c>
      <c r="K2323" t="str">
        <f>VLOOKUP(Googleadssales[[#This Row],[Ad_ID]],'[1]pre processed data'!A:R,18,0)</f>
        <v>Chennai</v>
      </c>
      <c r="L2323" t="str">
        <f>VLOOKUP(Googleadssales[[#This Row],[Ad_ID]],'[1]pre processed data'!A:S,19,0)</f>
        <v>Desktop</v>
      </c>
      <c r="M2323" t="str">
        <f>VLOOKUP(Googleadssales[[#This Row],[Ad_ID]],'[1]pre processed data'!A:T,20,0)</f>
        <v>analytics for data</v>
      </c>
    </row>
    <row r="2324" spans="1:13" x14ac:dyDescent="0.3">
      <c r="A2324" t="s">
        <v>2337</v>
      </c>
      <c r="B2324" t="s">
        <v>14</v>
      </c>
      <c r="C2324" s="4">
        <f>VLOOKUP(Googleadssales[[#This Row],[Ad_ID]],'[1]pre processed data'!A:C,3,0)</f>
        <v>87</v>
      </c>
      <c r="D2324" s="4">
        <f>VLOOKUP(Googleadssales[[#This Row],[Ad_ID]],'[1]pre processed data'!A:E,5,0)</f>
        <v>4379</v>
      </c>
      <c r="E2324" s="5" t="str">
        <f>VLOOKUP(Googleadssales[[#This Row],[Ad_ID]],[1]!Table3[[Ad_ID]:[Cost-imputed]],7,0)</f>
        <v>$209.25</v>
      </c>
      <c r="F2324" s="4">
        <f>VLOOKUP(Googleadssales[[#This Row],[Ad_ID]],'[1]pre processed data'!A:I,9,0)</f>
        <v>29</v>
      </c>
      <c r="G2324" s="4">
        <f>VLOOKUP(Googleadssales[[#This Row],[Ad_ID]],'[1]pre processed data'!A:K,11,0)</f>
        <v>10</v>
      </c>
      <c r="H2324" s="2">
        <f>Googleadssales[[#This Row],[Conversions]]/Googleadssales[[#This Row],[Clicks]]</f>
        <v>0.11494252873563218</v>
      </c>
      <c r="I2324" t="str">
        <f>VLOOKUP(Googleadssales[[#This Row],[Ad_ID]],'[1]pre processed data'!A:O,15,0)</f>
        <v>$1348</v>
      </c>
      <c r="J2324" s="3">
        <f>VLOOKUP(Googleadssales[[#This Row],[Ad_ID]],'[1]pre processed data'!A:Q,17,0)</f>
        <v>45601</v>
      </c>
      <c r="K2324" t="str">
        <f>VLOOKUP(Googleadssales[[#This Row],[Ad_ID]],'[1]pre processed data'!A:R,18,0)</f>
        <v>Hyderabad</v>
      </c>
      <c r="L2324" t="str">
        <f>VLOOKUP(Googleadssales[[#This Row],[Ad_ID]],'[1]pre processed data'!A:S,19,0)</f>
        <v>Desktop</v>
      </c>
      <c r="M2324" t="str">
        <f>VLOOKUP(Googleadssales[[#This Row],[Ad_ID]],'[1]pre processed data'!A:T,20,0)</f>
        <v>learn data analytics</v>
      </c>
    </row>
    <row r="2325" spans="1:13" x14ac:dyDescent="0.3">
      <c r="A2325" t="s">
        <v>2338</v>
      </c>
      <c r="B2325" t="s">
        <v>14</v>
      </c>
      <c r="C2325" s="4">
        <f>VLOOKUP(Googleadssales[[#This Row],[Ad_ID]],'[1]pre processed data'!A:C,3,0)</f>
        <v>164</v>
      </c>
      <c r="D2325" s="4">
        <f>VLOOKUP(Googleadssales[[#This Row],[Ad_ID]],'[1]pre processed data'!A:E,5,0)</f>
        <v>4151</v>
      </c>
      <c r="E2325" s="5" t="str">
        <f>VLOOKUP(Googleadssales[[#This Row],[Ad_ID]],[1]!Table3[[Ad_ID]:[Cost-imputed]],7,0)</f>
        <v>$219.97</v>
      </c>
      <c r="F2325" s="4">
        <f>VLOOKUP(Googleadssales[[#This Row],[Ad_ID]],'[1]pre processed data'!A:I,9,0)</f>
        <v>30</v>
      </c>
      <c r="G2325" s="4">
        <f>VLOOKUP(Googleadssales[[#This Row],[Ad_ID]],'[1]pre processed data'!A:K,11,0)</f>
        <v>9</v>
      </c>
      <c r="H2325" s="2">
        <f>Googleadssales[[#This Row],[Conversions]]/Googleadssales[[#This Row],[Clicks]]</f>
        <v>5.4878048780487805E-2</v>
      </c>
      <c r="I2325" t="str">
        <f>VLOOKUP(Googleadssales[[#This Row],[Ad_ID]],'[1]pre processed data'!A:O,15,0)</f>
        <v>$1500</v>
      </c>
      <c r="J2325" s="3">
        <f>VLOOKUP(Googleadssales[[#This Row],[Ad_ID]],'[1]pre processed data'!A:Q,17,0)</f>
        <v>45621</v>
      </c>
      <c r="K2325" t="str">
        <f>VLOOKUP(Googleadssales[[#This Row],[Ad_ID]],'[1]pre processed data'!A:R,18,0)</f>
        <v>Bangaluru</v>
      </c>
      <c r="L2325" t="str">
        <f>VLOOKUP(Googleadssales[[#This Row],[Ad_ID]],'[1]pre processed data'!A:S,19,0)</f>
        <v>Desktop</v>
      </c>
      <c r="M2325" t="str">
        <f>VLOOKUP(Googleadssales[[#This Row],[Ad_ID]],'[1]pre processed data'!A:T,20,0)</f>
        <v>online data analytic</v>
      </c>
    </row>
    <row r="2326" spans="1:13" x14ac:dyDescent="0.3">
      <c r="A2326" t="s">
        <v>2339</v>
      </c>
      <c r="B2326" t="s">
        <v>18</v>
      </c>
      <c r="C2326" s="4">
        <f>VLOOKUP(Googleadssales[[#This Row],[Ad_ID]],'[1]pre processed data'!A:C,3,0)</f>
        <v>138.95699356913184</v>
      </c>
      <c r="D2326" s="4">
        <f>VLOOKUP(Googleadssales[[#This Row],[Ad_ID]],'[1]pre processed data'!A:E,5,0)</f>
        <v>3185</v>
      </c>
      <c r="E2326" s="5" t="str">
        <f>VLOOKUP(Googleadssales[[#This Row],[Ad_ID]],[1]!Table3[[Ad_ID]:[Cost-imputed]],7,0)</f>
        <v>$217.33</v>
      </c>
      <c r="F2326" s="4">
        <f>VLOOKUP(Googleadssales[[#This Row],[Ad_ID]],'[1]pre processed data'!A:I,9,0)</f>
        <v>21</v>
      </c>
      <c r="G2326" s="4">
        <f>VLOOKUP(Googleadssales[[#This Row],[Ad_ID]],'[1]pre processed data'!A:K,11,0)</f>
        <v>3</v>
      </c>
      <c r="H2326" s="2">
        <f>Googleadssales[[#This Row],[Conversions]]/Googleadssales[[#This Row],[Clicks]]</f>
        <v>2.1589413551232915E-2</v>
      </c>
      <c r="I2326" t="str">
        <f>VLOOKUP(Googleadssales[[#This Row],[Ad_ID]],'[1]pre processed data'!A:O,15,0)</f>
        <v>$1500</v>
      </c>
      <c r="J2326" s="3">
        <f>VLOOKUP(Googleadssales[[#This Row],[Ad_ID]],'[1]pre processed data'!A:Q,17,0)</f>
        <v>45611</v>
      </c>
      <c r="K2326" t="str">
        <f>VLOOKUP(Googleadssales[[#This Row],[Ad_ID]],'[1]pre processed data'!A:R,18,0)</f>
        <v>Hyderabad</v>
      </c>
      <c r="L2326" t="str">
        <f>VLOOKUP(Googleadssales[[#This Row],[Ad_ID]],'[1]pre processed data'!A:S,19,0)</f>
        <v>Mobile</v>
      </c>
      <c r="M2326" t="str">
        <f>VLOOKUP(Googleadssales[[#This Row],[Ad_ID]],'[1]pre processed data'!A:T,20,0)</f>
        <v>data analytics training</v>
      </c>
    </row>
    <row r="2327" spans="1:13" x14ac:dyDescent="0.3">
      <c r="A2327" t="s">
        <v>2340</v>
      </c>
      <c r="B2327" t="s">
        <v>14</v>
      </c>
      <c r="C2327" s="4">
        <f>VLOOKUP(Googleadssales[[#This Row],[Ad_ID]],'[1]pre processed data'!A:C,3,0)</f>
        <v>84</v>
      </c>
      <c r="D2327" s="4">
        <f>VLOOKUP(Googleadssales[[#This Row],[Ad_ID]],'[1]pre processed data'!A:E,5,0)</f>
        <v>5652</v>
      </c>
      <c r="E2327" s="5" t="str">
        <f>VLOOKUP(Googleadssales[[#This Row],[Ad_ID]],[1]!Table3[[Ad_ID]:[Cost-imputed]],7,0)</f>
        <v>$191.93</v>
      </c>
      <c r="F2327" s="4">
        <f>VLOOKUP(Googleadssales[[#This Row],[Ad_ID]],'[1]pre processed data'!A:I,9,0)</f>
        <v>30</v>
      </c>
      <c r="G2327" s="4">
        <f>VLOOKUP(Googleadssales[[#This Row],[Ad_ID]],'[1]pre processed data'!A:K,11,0)</f>
        <v>8</v>
      </c>
      <c r="H2327" s="2">
        <f>Googleadssales[[#This Row],[Conversions]]/Googleadssales[[#This Row],[Clicks]]</f>
        <v>9.5238095238095233E-2</v>
      </c>
      <c r="I2327" t="str">
        <f>VLOOKUP(Googleadssales[[#This Row],[Ad_ID]],'[1]pre processed data'!A:O,15,0)</f>
        <v>$1729</v>
      </c>
      <c r="J2327" s="3">
        <f>VLOOKUP(Googleadssales[[#This Row],[Ad_ID]],'[1]pre processed data'!A:Q,17,0)</f>
        <v>45609</v>
      </c>
      <c r="K2327" t="str">
        <f>VLOOKUP(Googleadssales[[#This Row],[Ad_ID]],'[1]pre processed data'!A:R,18,0)</f>
        <v>Hyderabad</v>
      </c>
      <c r="L2327" t="str">
        <f>VLOOKUP(Googleadssales[[#This Row],[Ad_ID]],'[1]pre processed data'!A:S,19,0)</f>
        <v>Mobile</v>
      </c>
      <c r="M2327" t="str">
        <f>VLOOKUP(Googleadssales[[#This Row],[Ad_ID]],'[1]pre processed data'!A:T,20,0)</f>
        <v>data analytics online</v>
      </c>
    </row>
    <row r="2328" spans="1:13" x14ac:dyDescent="0.3">
      <c r="A2328" t="s">
        <v>2341</v>
      </c>
      <c r="B2328" t="s">
        <v>14</v>
      </c>
      <c r="C2328" s="4">
        <f>VLOOKUP(Googleadssales[[#This Row],[Ad_ID]],'[1]pre processed data'!A:C,3,0)</f>
        <v>158</v>
      </c>
      <c r="D2328" s="4">
        <f>VLOOKUP(Googleadssales[[#This Row],[Ad_ID]],'[1]pre processed data'!A:E,5,0)</f>
        <v>4819</v>
      </c>
      <c r="E2328" s="5" t="str">
        <f>VLOOKUP(Googleadssales[[#This Row],[Ad_ID]],[1]!Table3[[Ad_ID]:[Cost-imputed]],7,0)</f>
        <v>$185.34</v>
      </c>
      <c r="F2328" s="4">
        <f>VLOOKUP(Googleadssales[[#This Row],[Ad_ID]],'[1]pre processed data'!A:I,9,0)</f>
        <v>17</v>
      </c>
      <c r="G2328" s="4">
        <f>VLOOKUP(Googleadssales[[#This Row],[Ad_ID]],'[1]pre processed data'!A:K,11,0)</f>
        <v>9</v>
      </c>
      <c r="H2328" s="2">
        <f>Googleadssales[[#This Row],[Conversions]]/Googleadssales[[#This Row],[Clicks]]</f>
        <v>5.6962025316455694E-2</v>
      </c>
      <c r="I2328" t="str">
        <f>VLOOKUP(Googleadssales[[#This Row],[Ad_ID]],'[1]pre processed data'!A:O,15,0)</f>
        <v>$1066</v>
      </c>
      <c r="J2328" s="3">
        <f>VLOOKUP(Googleadssales[[#This Row],[Ad_ID]],'[1]pre processed data'!A:Q,17,0)</f>
        <v>45620</v>
      </c>
      <c r="K2328" t="str">
        <f>VLOOKUP(Googleadssales[[#This Row],[Ad_ID]],'[1]pre processed data'!A:R,18,0)</f>
        <v>Hyderabad</v>
      </c>
      <c r="L2328" t="str">
        <f>VLOOKUP(Googleadssales[[#This Row],[Ad_ID]],'[1]pre processed data'!A:S,19,0)</f>
        <v>Mobile</v>
      </c>
      <c r="M2328" t="str">
        <f>VLOOKUP(Googleadssales[[#This Row],[Ad_ID]],'[1]pre processed data'!A:T,20,0)</f>
        <v>data analytics training</v>
      </c>
    </row>
    <row r="2329" spans="1:13" x14ac:dyDescent="0.3">
      <c r="A2329" t="s">
        <v>2342</v>
      </c>
      <c r="B2329" t="s">
        <v>14</v>
      </c>
      <c r="C2329" s="4">
        <f>VLOOKUP(Googleadssales[[#This Row],[Ad_ID]],'[1]pre processed data'!A:C,3,0)</f>
        <v>90</v>
      </c>
      <c r="D2329" s="4">
        <f>VLOOKUP(Googleadssales[[#This Row],[Ad_ID]],'[1]pre processed data'!A:E,5,0)</f>
        <v>4472</v>
      </c>
      <c r="E2329" s="5" t="str">
        <f>VLOOKUP(Googleadssales[[#This Row],[Ad_ID]],[1]!Table3[[Ad_ID]:[Cost-imputed]],7,0)</f>
        <v>$237.16</v>
      </c>
      <c r="F2329" s="4">
        <f>VLOOKUP(Googleadssales[[#This Row],[Ad_ID]],'[1]pre processed data'!A:I,9,0)</f>
        <v>28</v>
      </c>
      <c r="G2329" s="4">
        <f>VLOOKUP(Googleadssales[[#This Row],[Ad_ID]],'[1]pre processed data'!A:K,11,0)</f>
        <v>10</v>
      </c>
      <c r="H2329" s="2">
        <f>Googleadssales[[#This Row],[Conversions]]/Googleadssales[[#This Row],[Clicks]]</f>
        <v>0.1111111111111111</v>
      </c>
      <c r="I2329" t="str">
        <f>VLOOKUP(Googleadssales[[#This Row],[Ad_ID]],'[1]pre processed data'!A:O,15,0)</f>
        <v>$1629</v>
      </c>
      <c r="J2329" s="3">
        <f>VLOOKUP(Googleadssales[[#This Row],[Ad_ID]],'[1]pre processed data'!A:Q,17,0)</f>
        <v>45609</v>
      </c>
      <c r="K2329" t="str">
        <f>VLOOKUP(Googleadssales[[#This Row],[Ad_ID]],'[1]pre processed data'!A:R,18,0)</f>
        <v>Chennai</v>
      </c>
      <c r="L2329" t="str">
        <f>VLOOKUP(Googleadssales[[#This Row],[Ad_ID]],'[1]pre processed data'!A:S,19,0)</f>
        <v>Mobile</v>
      </c>
      <c r="M2329" t="str">
        <f>VLOOKUP(Googleadssales[[#This Row],[Ad_ID]],'[1]pre processed data'!A:T,20,0)</f>
        <v>learn data analytics</v>
      </c>
    </row>
    <row r="2330" spans="1:13" x14ac:dyDescent="0.3">
      <c r="A2330" t="s">
        <v>2343</v>
      </c>
      <c r="B2330" t="s">
        <v>14</v>
      </c>
      <c r="C2330" s="4">
        <f>VLOOKUP(Googleadssales[[#This Row],[Ad_ID]],'[1]pre processed data'!A:C,3,0)</f>
        <v>197</v>
      </c>
      <c r="D2330" s="4">
        <f>VLOOKUP(Googleadssales[[#This Row],[Ad_ID]],'[1]pre processed data'!A:E,5,0)</f>
        <v>3186</v>
      </c>
      <c r="E2330" s="5" t="str">
        <f>VLOOKUP(Googleadssales[[#This Row],[Ad_ID]],[1]!Table3[[Ad_ID]:[Cost-imputed]],7,0)</f>
        <v>$194.44</v>
      </c>
      <c r="F2330" s="4">
        <f>VLOOKUP(Googleadssales[[#This Row],[Ad_ID]],'[1]pre processed data'!A:I,9,0)</f>
        <v>19</v>
      </c>
      <c r="G2330" s="4">
        <f>VLOOKUP(Googleadssales[[#This Row],[Ad_ID]],'[1]pre processed data'!A:K,11,0)</f>
        <v>6</v>
      </c>
      <c r="H2330" s="2">
        <f>Googleadssales[[#This Row],[Conversions]]/Googleadssales[[#This Row],[Clicks]]</f>
        <v>3.0456852791878174E-2</v>
      </c>
      <c r="I2330" t="str">
        <f>VLOOKUP(Googleadssales[[#This Row],[Ad_ID]],'[1]pre processed data'!A:O,15,0)</f>
        <v>$1857</v>
      </c>
      <c r="J2330" s="3">
        <f>VLOOKUP(Googleadssales[[#This Row],[Ad_ID]],'[1]pre processed data'!A:Q,17,0)</f>
        <v>45610</v>
      </c>
      <c r="K2330" t="str">
        <f>VLOOKUP(Googleadssales[[#This Row],[Ad_ID]],'[1]pre processed data'!A:R,18,0)</f>
        <v>Bangaluru</v>
      </c>
      <c r="L2330" t="str">
        <f>VLOOKUP(Googleadssales[[#This Row],[Ad_ID]],'[1]pre processed data'!A:S,19,0)</f>
        <v>Tablet</v>
      </c>
      <c r="M2330" t="str">
        <f>VLOOKUP(Googleadssales[[#This Row],[Ad_ID]],'[1]pre processed data'!A:T,20,0)</f>
        <v>data analytics course</v>
      </c>
    </row>
    <row r="2331" spans="1:13" x14ac:dyDescent="0.3">
      <c r="A2331" t="s">
        <v>2344</v>
      </c>
      <c r="B2331" t="s">
        <v>18</v>
      </c>
      <c r="C2331" s="4">
        <f>VLOOKUP(Googleadssales[[#This Row],[Ad_ID]],'[1]pre processed data'!A:C,3,0)</f>
        <v>133</v>
      </c>
      <c r="D2331" s="4">
        <f>VLOOKUP(Googleadssales[[#This Row],[Ad_ID]],'[1]pre processed data'!A:E,5,0)</f>
        <v>4241</v>
      </c>
      <c r="E2331" s="5" t="str">
        <f>VLOOKUP(Googleadssales[[#This Row],[Ad_ID]],[1]!Table3[[Ad_ID]:[Cost-imputed]],7,0)</f>
        <v>$197.26</v>
      </c>
      <c r="F2331" s="4">
        <f>VLOOKUP(Googleadssales[[#This Row],[Ad_ID]],'[1]pre processed data'!A:I,9,0)</f>
        <v>25</v>
      </c>
      <c r="G2331" s="4">
        <f>VLOOKUP(Googleadssales[[#This Row],[Ad_ID]],'[1]pre processed data'!A:K,11,0)</f>
        <v>9</v>
      </c>
      <c r="H2331" s="2">
        <f>Googleadssales[[#This Row],[Conversions]]/Googleadssales[[#This Row],[Clicks]]</f>
        <v>6.7669172932330823E-2</v>
      </c>
      <c r="I2331" t="str">
        <f>VLOOKUP(Googleadssales[[#This Row],[Ad_ID]],'[1]pre processed data'!A:O,15,0)</f>
        <v>$1325</v>
      </c>
      <c r="J2331" s="3">
        <f>VLOOKUP(Googleadssales[[#This Row],[Ad_ID]],'[1]pre processed data'!A:Q,17,0)</f>
        <v>45622</v>
      </c>
      <c r="K2331" t="str">
        <f>VLOOKUP(Googleadssales[[#This Row],[Ad_ID]],'[1]pre processed data'!A:R,18,0)</f>
        <v>Hyderabad</v>
      </c>
      <c r="L2331" t="str">
        <f>VLOOKUP(Googleadssales[[#This Row],[Ad_ID]],'[1]pre processed data'!A:S,19,0)</f>
        <v>Tablet</v>
      </c>
      <c r="M2331" t="str">
        <f>VLOOKUP(Googleadssales[[#This Row],[Ad_ID]],'[1]pre processed data'!A:T,20,0)</f>
        <v>data analytics training</v>
      </c>
    </row>
    <row r="2332" spans="1:13" x14ac:dyDescent="0.3">
      <c r="A2332" t="s">
        <v>2345</v>
      </c>
      <c r="B2332" t="s">
        <v>18</v>
      </c>
      <c r="C2332" s="4">
        <f>VLOOKUP(Googleadssales[[#This Row],[Ad_ID]],'[1]pre processed data'!A:C,3,0)</f>
        <v>149</v>
      </c>
      <c r="D2332" s="4">
        <f>VLOOKUP(Googleadssales[[#This Row],[Ad_ID]],'[1]pre processed data'!A:E,5,0)</f>
        <v>5035</v>
      </c>
      <c r="E2332" s="5" t="str">
        <f>VLOOKUP(Googleadssales[[#This Row],[Ad_ID]],[1]!Table3[[Ad_ID]:[Cost-imputed]],7,0)</f>
        <v>$234.52</v>
      </c>
      <c r="F2332" s="4">
        <f>VLOOKUP(Googleadssales[[#This Row],[Ad_ID]],'[1]pre processed data'!A:I,9,0)</f>
        <v>28</v>
      </c>
      <c r="G2332" s="4">
        <f>VLOOKUP(Googleadssales[[#This Row],[Ad_ID]],'[1]pre processed data'!A:K,11,0)</f>
        <v>5</v>
      </c>
      <c r="H2332" s="2">
        <f>Googleadssales[[#This Row],[Conversions]]/Googleadssales[[#This Row],[Clicks]]</f>
        <v>3.3557046979865772E-2</v>
      </c>
      <c r="I2332" t="str">
        <f>VLOOKUP(Googleadssales[[#This Row],[Ad_ID]],'[1]pre processed data'!A:O,15,0)</f>
        <v>$1304</v>
      </c>
      <c r="J2332" s="3">
        <f>VLOOKUP(Googleadssales[[#This Row],[Ad_ID]],'[1]pre processed data'!A:Q,17,0)</f>
        <v>45600</v>
      </c>
      <c r="K2332" t="str">
        <f>VLOOKUP(Googleadssales[[#This Row],[Ad_ID]],'[1]pre processed data'!A:R,18,0)</f>
        <v>Hyderabad</v>
      </c>
      <c r="L2332" t="str">
        <f>VLOOKUP(Googleadssales[[#This Row],[Ad_ID]],'[1]pre processed data'!A:S,19,0)</f>
        <v>Desktop</v>
      </c>
      <c r="M2332" t="str">
        <f>VLOOKUP(Googleadssales[[#This Row],[Ad_ID]],'[1]pre processed data'!A:T,20,0)</f>
        <v>online data analytic</v>
      </c>
    </row>
    <row r="2333" spans="1:13" x14ac:dyDescent="0.3">
      <c r="A2333" t="s">
        <v>2346</v>
      </c>
      <c r="B2333" t="s">
        <v>18</v>
      </c>
      <c r="C2333" s="4">
        <f>VLOOKUP(Googleadssales[[#This Row],[Ad_ID]],'[1]pre processed data'!A:C,3,0)</f>
        <v>197</v>
      </c>
      <c r="D2333" s="4">
        <f>VLOOKUP(Googleadssales[[#This Row],[Ad_ID]],'[1]pre processed data'!A:E,5,0)</f>
        <v>5686</v>
      </c>
      <c r="E2333" s="5" t="str">
        <f>VLOOKUP(Googleadssales[[#This Row],[Ad_ID]],[1]!Table3[[Ad_ID]:[Cost-imputed]],7,0)</f>
        <v>$239.76</v>
      </c>
      <c r="F2333" s="4">
        <f>VLOOKUP(Googleadssales[[#This Row],[Ad_ID]],'[1]pre processed data'!A:I,9,0)</f>
        <v>27</v>
      </c>
      <c r="G2333" s="4">
        <f>VLOOKUP(Googleadssales[[#This Row],[Ad_ID]],'[1]pre processed data'!A:K,11,0)</f>
        <v>9</v>
      </c>
      <c r="H2333" s="2">
        <f>Googleadssales[[#This Row],[Conversions]]/Googleadssales[[#This Row],[Clicks]]</f>
        <v>4.5685279187817257E-2</v>
      </c>
      <c r="I2333" t="str">
        <f>VLOOKUP(Googleadssales[[#This Row],[Ad_ID]],'[1]pre processed data'!A:O,15,0)</f>
        <v>$1462</v>
      </c>
      <c r="J2333" s="3">
        <f>VLOOKUP(Googleadssales[[#This Row],[Ad_ID]],'[1]pre processed data'!A:Q,17,0)</f>
        <v>45613</v>
      </c>
      <c r="K2333" t="str">
        <f>VLOOKUP(Googleadssales[[#This Row],[Ad_ID]],'[1]pre processed data'!A:R,18,0)</f>
        <v>Hyderabad</v>
      </c>
      <c r="L2333" t="str">
        <f>VLOOKUP(Googleadssales[[#This Row],[Ad_ID]],'[1]pre processed data'!A:S,19,0)</f>
        <v>Desktop</v>
      </c>
      <c r="M2333" t="str">
        <f>VLOOKUP(Googleadssales[[#This Row],[Ad_ID]],'[1]pre processed data'!A:T,20,0)</f>
        <v>data analytics online</v>
      </c>
    </row>
    <row r="2334" spans="1:13" x14ac:dyDescent="0.3">
      <c r="A2334" t="s">
        <v>2347</v>
      </c>
      <c r="B2334" t="s">
        <v>14</v>
      </c>
      <c r="C2334" s="4">
        <f>VLOOKUP(Googleadssales[[#This Row],[Ad_ID]],'[1]pre processed data'!A:C,3,0)</f>
        <v>157</v>
      </c>
      <c r="D2334" s="4">
        <f>VLOOKUP(Googleadssales[[#This Row],[Ad_ID]],'[1]pre processed data'!A:E,5,0)</f>
        <v>4062</v>
      </c>
      <c r="E2334" s="5" t="str">
        <f>VLOOKUP(Googleadssales[[#This Row],[Ad_ID]],[1]!Table3[[Ad_ID]:[Cost-imputed]],7,0)</f>
        <v>$223.72</v>
      </c>
      <c r="F2334" s="4">
        <f>VLOOKUP(Googleadssales[[#This Row],[Ad_ID]],'[1]pre processed data'!A:I,9,0)</f>
        <v>24</v>
      </c>
      <c r="G2334" s="4">
        <f>VLOOKUP(Googleadssales[[#This Row],[Ad_ID]],'[1]pre processed data'!A:K,11,0)</f>
        <v>8</v>
      </c>
      <c r="H2334" s="2">
        <f>Googleadssales[[#This Row],[Conversions]]/Googleadssales[[#This Row],[Clicks]]</f>
        <v>5.0955414012738856E-2</v>
      </c>
      <c r="I2334" t="str">
        <f>VLOOKUP(Googleadssales[[#This Row],[Ad_ID]],'[1]pre processed data'!A:O,15,0)</f>
        <v>$1500</v>
      </c>
      <c r="J2334" s="3">
        <f>VLOOKUP(Googleadssales[[#This Row],[Ad_ID]],'[1]pre processed data'!A:Q,17,0)</f>
        <v>45621</v>
      </c>
      <c r="K2334" t="str">
        <f>VLOOKUP(Googleadssales[[#This Row],[Ad_ID]],'[1]pre processed data'!A:R,18,0)</f>
        <v>Hyderabad</v>
      </c>
      <c r="L2334" t="str">
        <f>VLOOKUP(Googleadssales[[#This Row],[Ad_ID]],'[1]pre processed data'!A:S,19,0)</f>
        <v>Tablet</v>
      </c>
      <c r="M2334" t="str">
        <f>VLOOKUP(Googleadssales[[#This Row],[Ad_ID]],'[1]pre processed data'!A:T,20,0)</f>
        <v>data analytics online</v>
      </c>
    </row>
    <row r="2335" spans="1:13" x14ac:dyDescent="0.3">
      <c r="A2335" t="s">
        <v>2348</v>
      </c>
      <c r="B2335" t="s">
        <v>14</v>
      </c>
      <c r="C2335" s="4">
        <f>VLOOKUP(Googleadssales[[#This Row],[Ad_ID]],'[1]pre processed data'!A:C,3,0)</f>
        <v>102</v>
      </c>
      <c r="D2335" s="4">
        <f>VLOOKUP(Googleadssales[[#This Row],[Ad_ID]],'[1]pre processed data'!A:E,5,0)</f>
        <v>3113</v>
      </c>
      <c r="E2335" s="5" t="str">
        <f>VLOOKUP(Googleadssales[[#This Row],[Ad_ID]],[1]!Table3[[Ad_ID]:[Cost-imputed]],7,0)</f>
        <v>$202.77</v>
      </c>
      <c r="F2335" s="4">
        <f>VLOOKUP(Googleadssales[[#This Row],[Ad_ID]],'[1]pre processed data'!A:I,9,0)</f>
        <v>22</v>
      </c>
      <c r="G2335" s="4">
        <f>VLOOKUP(Googleadssales[[#This Row],[Ad_ID]],'[1]pre processed data'!A:K,11,0)</f>
        <v>7</v>
      </c>
      <c r="H2335" s="2">
        <f>Googleadssales[[#This Row],[Conversions]]/Googleadssales[[#This Row],[Clicks]]</f>
        <v>6.8627450980392163E-2</v>
      </c>
      <c r="I2335" t="str">
        <f>VLOOKUP(Googleadssales[[#This Row],[Ad_ID]],'[1]pre processed data'!A:O,15,0)</f>
        <v>$1997</v>
      </c>
      <c r="J2335" s="3">
        <f>VLOOKUP(Googleadssales[[#This Row],[Ad_ID]],'[1]pre processed data'!A:Q,17,0)</f>
        <v>45602</v>
      </c>
      <c r="K2335" t="str">
        <f>VLOOKUP(Googleadssales[[#This Row],[Ad_ID]],'[1]pre processed data'!A:R,18,0)</f>
        <v>Bangaluru</v>
      </c>
      <c r="L2335" t="str">
        <f>VLOOKUP(Googleadssales[[#This Row],[Ad_ID]],'[1]pre processed data'!A:S,19,0)</f>
        <v>Desktop</v>
      </c>
      <c r="M2335" t="str">
        <f>VLOOKUP(Googleadssales[[#This Row],[Ad_ID]],'[1]pre processed data'!A:T,20,0)</f>
        <v>online data analytic</v>
      </c>
    </row>
    <row r="2336" spans="1:13" x14ac:dyDescent="0.3">
      <c r="A2336" t="s">
        <v>2349</v>
      </c>
      <c r="B2336" t="s">
        <v>14</v>
      </c>
      <c r="C2336" s="4">
        <f>VLOOKUP(Googleadssales[[#This Row],[Ad_ID]],'[1]pre processed data'!A:C,3,0)</f>
        <v>175</v>
      </c>
      <c r="D2336" s="4">
        <f>VLOOKUP(Googleadssales[[#This Row],[Ad_ID]],'[1]pre processed data'!A:E,5,0)</f>
        <v>3958</v>
      </c>
      <c r="E2336" s="5" t="str">
        <f>VLOOKUP(Googleadssales[[#This Row],[Ad_ID]],[1]!Table3[[Ad_ID]:[Cost-imputed]],7,0)</f>
        <v>$193.52</v>
      </c>
      <c r="F2336" s="4">
        <f>VLOOKUP(Googleadssales[[#This Row],[Ad_ID]],'[1]pre processed data'!A:I,9,0)</f>
        <v>23</v>
      </c>
      <c r="G2336" s="4">
        <f>VLOOKUP(Googleadssales[[#This Row],[Ad_ID]],'[1]pre processed data'!A:K,11,0)</f>
        <v>8</v>
      </c>
      <c r="H2336" s="2">
        <f>Googleadssales[[#This Row],[Conversions]]/Googleadssales[[#This Row],[Clicks]]</f>
        <v>4.5714285714285714E-2</v>
      </c>
      <c r="I2336" t="str">
        <f>VLOOKUP(Googleadssales[[#This Row],[Ad_ID]],'[1]pre processed data'!A:O,15,0)</f>
        <v>$1064</v>
      </c>
      <c r="J2336" s="3">
        <f>VLOOKUP(Googleadssales[[#This Row],[Ad_ID]],'[1]pre processed data'!A:Q,17,0)</f>
        <v>45600</v>
      </c>
      <c r="K2336" t="str">
        <f>VLOOKUP(Googleadssales[[#This Row],[Ad_ID]],'[1]pre processed data'!A:R,18,0)</f>
        <v>Hyderabad</v>
      </c>
      <c r="L2336" t="str">
        <f>VLOOKUP(Googleadssales[[#This Row],[Ad_ID]],'[1]pre processed data'!A:S,19,0)</f>
        <v>Mobile</v>
      </c>
      <c r="M2336" t="str">
        <f>VLOOKUP(Googleadssales[[#This Row],[Ad_ID]],'[1]pre processed data'!A:T,20,0)</f>
        <v>data analytics course</v>
      </c>
    </row>
    <row r="2337" spans="1:13" x14ac:dyDescent="0.3">
      <c r="A2337" t="s">
        <v>2350</v>
      </c>
      <c r="B2337" t="s">
        <v>18</v>
      </c>
      <c r="C2337" s="4">
        <f>VLOOKUP(Googleadssales[[#This Row],[Ad_ID]],'[1]pre processed data'!A:C,3,0)</f>
        <v>101</v>
      </c>
      <c r="D2337" s="4">
        <f>VLOOKUP(Googleadssales[[#This Row],[Ad_ID]],'[1]pre processed data'!A:E,5,0)</f>
        <v>3317</v>
      </c>
      <c r="E2337" s="5" t="str">
        <f>VLOOKUP(Googleadssales[[#This Row],[Ad_ID]],[1]!Table3[[Ad_ID]:[Cost-imputed]],7,0)</f>
        <v>$200.00</v>
      </c>
      <c r="F2337" s="4">
        <f>VLOOKUP(Googleadssales[[#This Row],[Ad_ID]],'[1]pre processed data'!A:I,9,0)</f>
        <v>23</v>
      </c>
      <c r="G2337" s="4">
        <f>VLOOKUP(Googleadssales[[#This Row],[Ad_ID]],'[1]pre processed data'!A:K,11,0)</f>
        <v>4</v>
      </c>
      <c r="H2337" s="2">
        <f>Googleadssales[[#This Row],[Conversions]]/Googleadssales[[#This Row],[Clicks]]</f>
        <v>3.9603960396039604E-2</v>
      </c>
      <c r="I2337" t="str">
        <f>VLOOKUP(Googleadssales[[#This Row],[Ad_ID]],'[1]pre processed data'!A:O,15,0)</f>
        <v>$1716</v>
      </c>
      <c r="J2337" s="3">
        <f>VLOOKUP(Googleadssales[[#This Row],[Ad_ID]],'[1]pre processed data'!A:Q,17,0)</f>
        <v>45606</v>
      </c>
      <c r="K2337" t="str">
        <f>VLOOKUP(Googleadssales[[#This Row],[Ad_ID]],'[1]pre processed data'!A:R,18,0)</f>
        <v>Chennai</v>
      </c>
      <c r="L2337" t="str">
        <f>VLOOKUP(Googleadssales[[#This Row],[Ad_ID]],'[1]pre processed data'!A:S,19,0)</f>
        <v>Desktop</v>
      </c>
      <c r="M2337" t="str">
        <f>VLOOKUP(Googleadssales[[#This Row],[Ad_ID]],'[1]pre processed data'!A:T,20,0)</f>
        <v>data analytics course</v>
      </c>
    </row>
    <row r="2338" spans="1:13" x14ac:dyDescent="0.3">
      <c r="A2338" t="s">
        <v>2351</v>
      </c>
      <c r="B2338" t="s">
        <v>14</v>
      </c>
      <c r="C2338" s="4">
        <f>VLOOKUP(Googleadssales[[#This Row],[Ad_ID]],'[1]pre processed data'!A:C,3,0)</f>
        <v>127</v>
      </c>
      <c r="D2338" s="4">
        <f>VLOOKUP(Googleadssales[[#This Row],[Ad_ID]],'[1]pre processed data'!A:E,5,0)</f>
        <v>4226</v>
      </c>
      <c r="E2338" s="5" t="str">
        <f>VLOOKUP(Googleadssales[[#This Row],[Ad_ID]],[1]!Table3[[Ad_ID]:[Cost-imputed]],7,0)</f>
        <v>$184.46</v>
      </c>
      <c r="F2338" s="4">
        <f>VLOOKUP(Googleadssales[[#This Row],[Ad_ID]],'[1]pre processed data'!A:I,9,0)</f>
        <v>10</v>
      </c>
      <c r="G2338" s="4">
        <f>VLOOKUP(Googleadssales[[#This Row],[Ad_ID]],'[1]pre processed data'!A:K,11,0)</f>
        <v>9</v>
      </c>
      <c r="H2338" s="2">
        <f>Googleadssales[[#This Row],[Conversions]]/Googleadssales[[#This Row],[Clicks]]</f>
        <v>7.0866141732283464E-2</v>
      </c>
      <c r="I2338" t="str">
        <f>VLOOKUP(Googleadssales[[#This Row],[Ad_ID]],'[1]pre processed data'!A:O,15,0)</f>
        <v>$1427</v>
      </c>
      <c r="J2338" s="3">
        <f>VLOOKUP(Googleadssales[[#This Row],[Ad_ID]],'[1]pre processed data'!A:Q,17,0)</f>
        <v>45604</v>
      </c>
      <c r="K2338" t="str">
        <f>VLOOKUP(Googleadssales[[#This Row],[Ad_ID]],'[1]pre processed data'!A:R,18,0)</f>
        <v>Bangaluru</v>
      </c>
      <c r="L2338" t="str">
        <f>VLOOKUP(Googleadssales[[#This Row],[Ad_ID]],'[1]pre processed data'!A:S,19,0)</f>
        <v>Desktop</v>
      </c>
      <c r="M2338" t="str">
        <f>VLOOKUP(Googleadssales[[#This Row],[Ad_ID]],'[1]pre processed data'!A:T,20,0)</f>
        <v>data analytics course</v>
      </c>
    </row>
    <row r="2339" spans="1:13" x14ac:dyDescent="0.3">
      <c r="A2339" t="s">
        <v>2352</v>
      </c>
      <c r="B2339" t="s">
        <v>14</v>
      </c>
      <c r="C2339" s="4">
        <f>VLOOKUP(Googleadssales[[#This Row],[Ad_ID]],'[1]pre processed data'!A:C,3,0)</f>
        <v>148</v>
      </c>
      <c r="D2339" s="4">
        <f>VLOOKUP(Googleadssales[[#This Row],[Ad_ID]],'[1]pre processed data'!A:E,5,0)</f>
        <v>3469</v>
      </c>
      <c r="E2339" s="5" t="str">
        <f>VLOOKUP(Googleadssales[[#This Row],[Ad_ID]],[1]!Table3[[Ad_ID]:[Cost-imputed]],7,0)</f>
        <v>$212.07</v>
      </c>
      <c r="F2339" s="4">
        <f>VLOOKUP(Googleadssales[[#This Row],[Ad_ID]],'[1]pre processed data'!A:I,9,0)</f>
        <v>14</v>
      </c>
      <c r="G2339" s="4">
        <f>VLOOKUP(Googleadssales[[#This Row],[Ad_ID]],'[1]pre processed data'!A:K,11,0)</f>
        <v>9</v>
      </c>
      <c r="H2339" s="2">
        <f>Googleadssales[[#This Row],[Conversions]]/Googleadssales[[#This Row],[Clicks]]</f>
        <v>6.0810810810810814E-2</v>
      </c>
      <c r="I2339" t="str">
        <f>VLOOKUP(Googleadssales[[#This Row],[Ad_ID]],'[1]pre processed data'!A:O,15,0)</f>
        <v>$1898</v>
      </c>
      <c r="J2339" s="3">
        <f>VLOOKUP(Googleadssales[[#This Row],[Ad_ID]],'[1]pre processed data'!A:Q,17,0)</f>
        <v>45626</v>
      </c>
      <c r="K2339" t="str">
        <f>VLOOKUP(Googleadssales[[#This Row],[Ad_ID]],'[1]pre processed data'!A:R,18,0)</f>
        <v>Bangaluru</v>
      </c>
      <c r="L2339" t="str">
        <f>VLOOKUP(Googleadssales[[#This Row],[Ad_ID]],'[1]pre processed data'!A:S,19,0)</f>
        <v>Tablet</v>
      </c>
      <c r="M2339" t="str">
        <f>VLOOKUP(Googleadssales[[#This Row],[Ad_ID]],'[1]pre processed data'!A:T,20,0)</f>
        <v>data analytics online</v>
      </c>
    </row>
    <row r="2340" spans="1:13" x14ac:dyDescent="0.3">
      <c r="A2340" t="s">
        <v>2353</v>
      </c>
      <c r="B2340" t="s">
        <v>14</v>
      </c>
      <c r="C2340" s="4">
        <f>VLOOKUP(Googleadssales[[#This Row],[Ad_ID]],'[1]pre processed data'!A:C,3,0)</f>
        <v>181</v>
      </c>
      <c r="D2340" s="4">
        <f>VLOOKUP(Googleadssales[[#This Row],[Ad_ID]],'[1]pre processed data'!A:E,5,0)</f>
        <v>3859</v>
      </c>
      <c r="E2340" s="5" t="str">
        <f>VLOOKUP(Googleadssales[[#This Row],[Ad_ID]],[1]!Table3[[Ad_ID]:[Cost-imputed]],7,0)</f>
        <v>$246.36</v>
      </c>
      <c r="F2340" s="4">
        <f>VLOOKUP(Googleadssales[[#This Row],[Ad_ID]],'[1]pre processed data'!A:I,9,0)</f>
        <v>22</v>
      </c>
      <c r="G2340" s="4">
        <f>VLOOKUP(Googleadssales[[#This Row],[Ad_ID]],'[1]pre processed data'!A:K,11,0)</f>
        <v>9</v>
      </c>
      <c r="H2340" s="2">
        <f>Googleadssales[[#This Row],[Conversions]]/Googleadssales[[#This Row],[Clicks]]</f>
        <v>4.9723756906077346E-2</v>
      </c>
      <c r="I2340" t="str">
        <f>VLOOKUP(Googleadssales[[#This Row],[Ad_ID]],'[1]pre processed data'!A:O,15,0)</f>
        <v>$1769</v>
      </c>
      <c r="J2340" s="3">
        <f>VLOOKUP(Googleadssales[[#This Row],[Ad_ID]],'[1]pre processed data'!A:Q,17,0)</f>
        <v>45597</v>
      </c>
      <c r="K2340" t="str">
        <f>VLOOKUP(Googleadssales[[#This Row],[Ad_ID]],'[1]pre processed data'!A:R,18,0)</f>
        <v>Chennai</v>
      </c>
      <c r="L2340" t="str">
        <f>VLOOKUP(Googleadssales[[#This Row],[Ad_ID]],'[1]pre processed data'!A:S,19,0)</f>
        <v>Mobile</v>
      </c>
      <c r="M2340" t="str">
        <f>VLOOKUP(Googleadssales[[#This Row],[Ad_ID]],'[1]pre processed data'!A:T,20,0)</f>
        <v>online data analytic</v>
      </c>
    </row>
    <row r="2341" spans="1:13" x14ac:dyDescent="0.3">
      <c r="A2341" t="s">
        <v>2354</v>
      </c>
      <c r="B2341" t="s">
        <v>14</v>
      </c>
      <c r="C2341" s="4">
        <f>VLOOKUP(Googleadssales[[#This Row],[Ad_ID]],'[1]pre processed data'!A:C,3,0)</f>
        <v>140</v>
      </c>
      <c r="D2341" s="4">
        <f>VLOOKUP(Googleadssales[[#This Row],[Ad_ID]],'[1]pre processed data'!A:E,5,0)</f>
        <v>3389</v>
      </c>
      <c r="E2341" s="5" t="str">
        <f>VLOOKUP(Googleadssales[[#This Row],[Ad_ID]],[1]!Table3[[Ad_ID]:[Cost-imputed]],7,0)</f>
        <v>$183.33</v>
      </c>
      <c r="F2341" s="4">
        <f>VLOOKUP(Googleadssales[[#This Row],[Ad_ID]],'[1]pre processed data'!A:I,9,0)</f>
        <v>28</v>
      </c>
      <c r="G2341" s="4">
        <f>VLOOKUP(Googleadssales[[#This Row],[Ad_ID]],'[1]pre processed data'!A:K,11,0)</f>
        <v>6</v>
      </c>
      <c r="H2341" s="2">
        <f>Googleadssales[[#This Row],[Conversions]]/Googleadssales[[#This Row],[Clicks]]</f>
        <v>4.2857142857142858E-2</v>
      </c>
      <c r="I2341" t="str">
        <f>VLOOKUP(Googleadssales[[#This Row],[Ad_ID]],'[1]pre processed data'!A:O,15,0)</f>
        <v>$1385</v>
      </c>
      <c r="J2341" s="3">
        <f>VLOOKUP(Googleadssales[[#This Row],[Ad_ID]],'[1]pre processed data'!A:Q,17,0)</f>
        <v>45604</v>
      </c>
      <c r="K2341" t="str">
        <f>VLOOKUP(Googleadssales[[#This Row],[Ad_ID]],'[1]pre processed data'!A:R,18,0)</f>
        <v>Hyderabad</v>
      </c>
      <c r="L2341" t="str">
        <f>VLOOKUP(Googleadssales[[#This Row],[Ad_ID]],'[1]pre processed data'!A:S,19,0)</f>
        <v>Mobile</v>
      </c>
      <c r="M2341" t="str">
        <f>VLOOKUP(Googleadssales[[#This Row],[Ad_ID]],'[1]pre processed data'!A:T,20,0)</f>
        <v>online data analytic</v>
      </c>
    </row>
    <row r="2342" spans="1:13" x14ac:dyDescent="0.3">
      <c r="A2342" t="s">
        <v>2355</v>
      </c>
      <c r="B2342" t="s">
        <v>18</v>
      </c>
      <c r="C2342" s="4">
        <f>VLOOKUP(Googleadssales[[#This Row],[Ad_ID]],'[1]pre processed data'!A:C,3,0)</f>
        <v>146</v>
      </c>
      <c r="D2342" s="4">
        <f>VLOOKUP(Googleadssales[[#This Row],[Ad_ID]],'[1]pre processed data'!A:E,5,0)</f>
        <v>5075</v>
      </c>
      <c r="E2342" s="5" t="str">
        <f>VLOOKUP(Googleadssales[[#This Row],[Ad_ID]],[1]!Table3[[Ad_ID]:[Cost-imputed]],7,0)</f>
        <v>$200.00</v>
      </c>
      <c r="F2342" s="4">
        <f>VLOOKUP(Googleadssales[[#This Row],[Ad_ID]],'[1]pre processed data'!A:I,9,0)</f>
        <v>13</v>
      </c>
      <c r="G2342" s="4">
        <f>VLOOKUP(Googleadssales[[#This Row],[Ad_ID]],'[1]pre processed data'!A:K,11,0)</f>
        <v>9</v>
      </c>
      <c r="H2342" s="2">
        <f>Googleadssales[[#This Row],[Conversions]]/Googleadssales[[#This Row],[Clicks]]</f>
        <v>6.1643835616438353E-2</v>
      </c>
      <c r="I2342" t="str">
        <f>VLOOKUP(Googleadssales[[#This Row],[Ad_ID]],'[1]pre processed data'!A:O,15,0)</f>
        <v>$1353</v>
      </c>
      <c r="J2342" s="3">
        <f>VLOOKUP(Googleadssales[[#This Row],[Ad_ID]],'[1]pre processed data'!A:Q,17,0)</f>
        <v>45622</v>
      </c>
      <c r="K2342" t="str">
        <f>VLOOKUP(Googleadssales[[#This Row],[Ad_ID]],'[1]pre processed data'!A:R,18,0)</f>
        <v>Bangaluru</v>
      </c>
      <c r="L2342" t="str">
        <f>VLOOKUP(Googleadssales[[#This Row],[Ad_ID]],'[1]pre processed data'!A:S,19,0)</f>
        <v>Tablet</v>
      </c>
      <c r="M2342" t="str">
        <f>VLOOKUP(Googleadssales[[#This Row],[Ad_ID]],'[1]pre processed data'!A:T,20,0)</f>
        <v>analytics for data</v>
      </c>
    </row>
    <row r="2343" spans="1:13" x14ac:dyDescent="0.3">
      <c r="A2343" t="s">
        <v>2356</v>
      </c>
      <c r="B2343" t="s">
        <v>14</v>
      </c>
      <c r="C2343" s="4">
        <f>VLOOKUP(Googleadssales[[#This Row],[Ad_ID]],'[1]pre processed data'!A:C,3,0)</f>
        <v>148</v>
      </c>
      <c r="D2343" s="4">
        <f>VLOOKUP(Googleadssales[[#This Row],[Ad_ID]],'[1]pre processed data'!A:E,5,0)</f>
        <v>3269</v>
      </c>
      <c r="E2343" s="5" t="str">
        <f>VLOOKUP(Googleadssales[[#This Row],[Ad_ID]],[1]!Table3[[Ad_ID]:[Cost-imputed]],7,0)</f>
        <v>$191.73</v>
      </c>
      <c r="F2343" s="4">
        <f>VLOOKUP(Googleadssales[[#This Row],[Ad_ID]],'[1]pre processed data'!A:I,9,0)</f>
        <v>18</v>
      </c>
      <c r="G2343" s="4">
        <f>VLOOKUP(Googleadssales[[#This Row],[Ad_ID]],'[1]pre processed data'!A:K,11,0)</f>
        <v>9</v>
      </c>
      <c r="H2343" s="2">
        <f>Googleadssales[[#This Row],[Conversions]]/Googleadssales[[#This Row],[Clicks]]</f>
        <v>6.0810810810810814E-2</v>
      </c>
      <c r="I2343" t="str">
        <f>VLOOKUP(Googleadssales[[#This Row],[Ad_ID]],'[1]pre processed data'!A:O,15,0)</f>
        <v>$1396</v>
      </c>
      <c r="J2343" s="3">
        <f>VLOOKUP(Googleadssales[[#This Row],[Ad_ID]],'[1]pre processed data'!A:Q,17,0)</f>
        <v>45606</v>
      </c>
      <c r="K2343" t="str">
        <f>VLOOKUP(Googleadssales[[#This Row],[Ad_ID]],'[1]pre processed data'!A:R,18,0)</f>
        <v>Chennai</v>
      </c>
      <c r="L2343" t="str">
        <f>VLOOKUP(Googleadssales[[#This Row],[Ad_ID]],'[1]pre processed data'!A:S,19,0)</f>
        <v>Mobile</v>
      </c>
      <c r="M2343" t="str">
        <f>VLOOKUP(Googleadssales[[#This Row],[Ad_ID]],'[1]pre processed data'!A:T,20,0)</f>
        <v>learn data analytics</v>
      </c>
    </row>
    <row r="2344" spans="1:13" x14ac:dyDescent="0.3">
      <c r="A2344" t="s">
        <v>2357</v>
      </c>
      <c r="B2344" t="s">
        <v>14</v>
      </c>
      <c r="C2344" s="4">
        <f>VLOOKUP(Googleadssales[[#This Row],[Ad_ID]],'[1]pre processed data'!A:C,3,0)</f>
        <v>101</v>
      </c>
      <c r="D2344" s="4">
        <f>VLOOKUP(Googleadssales[[#This Row],[Ad_ID]],'[1]pre processed data'!A:E,5,0)</f>
        <v>4814</v>
      </c>
      <c r="E2344" s="5" t="str">
        <f>VLOOKUP(Googleadssales[[#This Row],[Ad_ID]],[1]!Table3[[Ad_ID]:[Cost-imputed]],7,0)</f>
        <v>$191.43</v>
      </c>
      <c r="F2344" s="4">
        <f>VLOOKUP(Googleadssales[[#This Row],[Ad_ID]],'[1]pre processed data'!A:I,9,0)</f>
        <v>17</v>
      </c>
      <c r="G2344" s="4">
        <f>VLOOKUP(Googleadssales[[#This Row],[Ad_ID]],'[1]pre processed data'!A:K,11,0)</f>
        <v>7</v>
      </c>
      <c r="H2344" s="2">
        <f>Googleadssales[[#This Row],[Conversions]]/Googleadssales[[#This Row],[Clicks]]</f>
        <v>6.9306930693069313E-2</v>
      </c>
      <c r="I2344" t="str">
        <f>VLOOKUP(Googleadssales[[#This Row],[Ad_ID]],'[1]pre processed data'!A:O,15,0)</f>
        <v>$1112</v>
      </c>
      <c r="J2344" s="3">
        <f>VLOOKUP(Googleadssales[[#This Row],[Ad_ID]],'[1]pre processed data'!A:Q,17,0)</f>
        <v>45616</v>
      </c>
      <c r="K2344" t="str">
        <f>VLOOKUP(Googleadssales[[#This Row],[Ad_ID]],'[1]pre processed data'!A:R,18,0)</f>
        <v>Hyderabad</v>
      </c>
      <c r="L2344" t="str">
        <f>VLOOKUP(Googleadssales[[#This Row],[Ad_ID]],'[1]pre processed data'!A:S,19,0)</f>
        <v>Desktop</v>
      </c>
      <c r="M2344" t="str">
        <f>VLOOKUP(Googleadssales[[#This Row],[Ad_ID]],'[1]pre processed data'!A:T,20,0)</f>
        <v>learn data analytics</v>
      </c>
    </row>
    <row r="2345" spans="1:13" x14ac:dyDescent="0.3">
      <c r="A2345" t="s">
        <v>2358</v>
      </c>
      <c r="B2345" t="s">
        <v>18</v>
      </c>
      <c r="C2345" s="4">
        <f>VLOOKUP(Googleadssales[[#This Row],[Ad_ID]],'[1]pre processed data'!A:C,3,0)</f>
        <v>179</v>
      </c>
      <c r="D2345" s="4">
        <f>VLOOKUP(Googleadssales[[#This Row],[Ad_ID]],'[1]pre processed data'!A:E,5,0)</f>
        <v>5145</v>
      </c>
      <c r="E2345" s="5" t="str">
        <f>VLOOKUP(Googleadssales[[#This Row],[Ad_ID]],[1]!Table3[[Ad_ID]:[Cost-imputed]],7,0)</f>
        <v>$223.04</v>
      </c>
      <c r="F2345" s="4">
        <f>VLOOKUP(Googleadssales[[#This Row],[Ad_ID]],'[1]pre processed data'!A:I,9,0)</f>
        <v>29</v>
      </c>
      <c r="G2345" s="4">
        <f>VLOOKUP(Googleadssales[[#This Row],[Ad_ID]],'[1]pre processed data'!A:K,11,0)</f>
        <v>9</v>
      </c>
      <c r="H2345" s="2">
        <f>Googleadssales[[#This Row],[Conversions]]/Googleadssales[[#This Row],[Clicks]]</f>
        <v>5.027932960893855E-2</v>
      </c>
      <c r="I2345" t="str">
        <f>VLOOKUP(Googleadssales[[#This Row],[Ad_ID]],'[1]pre processed data'!A:O,15,0)</f>
        <v>$1002</v>
      </c>
      <c r="J2345" s="3">
        <f>VLOOKUP(Googleadssales[[#This Row],[Ad_ID]],'[1]pre processed data'!A:Q,17,0)</f>
        <v>45604</v>
      </c>
      <c r="K2345" t="str">
        <f>VLOOKUP(Googleadssales[[#This Row],[Ad_ID]],'[1]pre processed data'!A:R,18,0)</f>
        <v>Hyderabad</v>
      </c>
      <c r="L2345" t="str">
        <f>VLOOKUP(Googleadssales[[#This Row],[Ad_ID]],'[1]pre processed data'!A:S,19,0)</f>
        <v>Mobile</v>
      </c>
      <c r="M2345" t="str">
        <f>VLOOKUP(Googleadssales[[#This Row],[Ad_ID]],'[1]pre processed data'!A:T,20,0)</f>
        <v>data analytics training</v>
      </c>
    </row>
    <row r="2346" spans="1:13" x14ac:dyDescent="0.3">
      <c r="A2346" t="s">
        <v>2359</v>
      </c>
      <c r="B2346" t="s">
        <v>18</v>
      </c>
      <c r="C2346" s="4">
        <f>VLOOKUP(Googleadssales[[#This Row],[Ad_ID]],'[1]pre processed data'!A:C,3,0)</f>
        <v>151</v>
      </c>
      <c r="D2346" s="4">
        <f>VLOOKUP(Googleadssales[[#This Row],[Ad_ID]],'[1]pre processed data'!A:E,5,0)</f>
        <v>4107</v>
      </c>
      <c r="E2346" s="5" t="str">
        <f>VLOOKUP(Googleadssales[[#This Row],[Ad_ID]],[1]!Table3[[Ad_ID]:[Cost-imputed]],7,0)</f>
        <v>$183.81</v>
      </c>
      <c r="F2346" s="4">
        <f>VLOOKUP(Googleadssales[[#This Row],[Ad_ID]],'[1]pre processed data'!A:I,9,0)</f>
        <v>21</v>
      </c>
      <c r="G2346" s="4">
        <f>VLOOKUP(Googleadssales[[#This Row],[Ad_ID]],'[1]pre processed data'!A:K,11,0)</f>
        <v>10</v>
      </c>
      <c r="H2346" s="2">
        <f>Googleadssales[[#This Row],[Conversions]]/Googleadssales[[#This Row],[Clicks]]</f>
        <v>6.6225165562913912E-2</v>
      </c>
      <c r="I2346" t="str">
        <f>VLOOKUP(Googleadssales[[#This Row],[Ad_ID]],'[1]pre processed data'!A:O,15,0)</f>
        <v>$1872</v>
      </c>
      <c r="J2346" s="3">
        <f>VLOOKUP(Googleadssales[[#This Row],[Ad_ID]],'[1]pre processed data'!A:Q,17,0)</f>
        <v>45607</v>
      </c>
      <c r="K2346" t="str">
        <f>VLOOKUP(Googleadssales[[#This Row],[Ad_ID]],'[1]pre processed data'!A:R,18,0)</f>
        <v>Hyderabad</v>
      </c>
      <c r="L2346" t="str">
        <f>VLOOKUP(Googleadssales[[#This Row],[Ad_ID]],'[1]pre processed data'!A:S,19,0)</f>
        <v>Desktop</v>
      </c>
      <c r="M2346" t="str">
        <f>VLOOKUP(Googleadssales[[#This Row],[Ad_ID]],'[1]pre processed data'!A:T,20,0)</f>
        <v>data analytics course</v>
      </c>
    </row>
    <row r="2347" spans="1:13" x14ac:dyDescent="0.3">
      <c r="A2347" t="s">
        <v>2360</v>
      </c>
      <c r="B2347" t="s">
        <v>18</v>
      </c>
      <c r="C2347" s="4">
        <f>VLOOKUP(Googleadssales[[#This Row],[Ad_ID]],'[1]pre processed data'!A:C,3,0)</f>
        <v>195</v>
      </c>
      <c r="D2347" s="4">
        <f>VLOOKUP(Googleadssales[[#This Row],[Ad_ID]],'[1]pre processed data'!A:E,5,0)</f>
        <v>3221</v>
      </c>
      <c r="E2347" s="5" t="str">
        <f>VLOOKUP(Googleadssales[[#This Row],[Ad_ID]],[1]!Table3[[Ad_ID]:[Cost-imputed]],7,0)</f>
        <v>$185.08</v>
      </c>
      <c r="F2347" s="4">
        <f>VLOOKUP(Googleadssales[[#This Row],[Ad_ID]],'[1]pre processed data'!A:I,9,0)</f>
        <v>19</v>
      </c>
      <c r="G2347" s="4">
        <f>VLOOKUP(Googleadssales[[#This Row],[Ad_ID]],'[1]pre processed data'!A:K,11,0)</f>
        <v>10</v>
      </c>
      <c r="H2347" s="2">
        <f>Googleadssales[[#This Row],[Conversions]]/Googleadssales[[#This Row],[Clicks]]</f>
        <v>5.128205128205128E-2</v>
      </c>
      <c r="I2347" t="str">
        <f>VLOOKUP(Googleadssales[[#This Row],[Ad_ID]],'[1]pre processed data'!A:O,15,0)</f>
        <v>$1905</v>
      </c>
      <c r="J2347" s="3">
        <f>VLOOKUP(Googleadssales[[#This Row],[Ad_ID]],'[1]pre processed data'!A:Q,17,0)</f>
        <v>45622</v>
      </c>
      <c r="K2347" t="str">
        <f>VLOOKUP(Googleadssales[[#This Row],[Ad_ID]],'[1]pre processed data'!A:R,18,0)</f>
        <v>Bangaluru</v>
      </c>
      <c r="L2347" t="str">
        <f>VLOOKUP(Googleadssales[[#This Row],[Ad_ID]],'[1]pre processed data'!A:S,19,0)</f>
        <v>Tablet</v>
      </c>
      <c r="M2347" t="str">
        <f>VLOOKUP(Googleadssales[[#This Row],[Ad_ID]],'[1]pre processed data'!A:T,20,0)</f>
        <v>data analytics course</v>
      </c>
    </row>
    <row r="2348" spans="1:13" x14ac:dyDescent="0.3">
      <c r="A2348" t="s">
        <v>2361</v>
      </c>
      <c r="B2348" t="s">
        <v>14</v>
      </c>
      <c r="C2348" s="4">
        <f>VLOOKUP(Googleadssales[[#This Row],[Ad_ID]],'[1]pre processed data'!A:C,3,0)</f>
        <v>169</v>
      </c>
      <c r="D2348" s="4">
        <f>VLOOKUP(Googleadssales[[#This Row],[Ad_ID]],'[1]pre processed data'!A:E,5,0)</f>
        <v>4846</v>
      </c>
      <c r="E2348" s="5" t="str">
        <f>VLOOKUP(Googleadssales[[#This Row],[Ad_ID]],[1]!Table3[[Ad_ID]:[Cost-imputed]],7,0)</f>
        <v>$230.53</v>
      </c>
      <c r="F2348" s="4">
        <f>VLOOKUP(Googleadssales[[#This Row],[Ad_ID]],'[1]pre processed data'!A:I,9,0)</f>
        <v>15</v>
      </c>
      <c r="G2348" s="4">
        <f>VLOOKUP(Googleadssales[[#This Row],[Ad_ID]],'[1]pre processed data'!A:K,11,0)</f>
        <v>8</v>
      </c>
      <c r="H2348" s="2">
        <f>Googleadssales[[#This Row],[Conversions]]/Googleadssales[[#This Row],[Clicks]]</f>
        <v>4.7337278106508875E-2</v>
      </c>
      <c r="I2348" t="str">
        <f>VLOOKUP(Googleadssales[[#This Row],[Ad_ID]],'[1]pre processed data'!A:O,15,0)</f>
        <v>$1103</v>
      </c>
      <c r="J2348" s="3">
        <f>VLOOKUP(Googleadssales[[#This Row],[Ad_ID]],'[1]pre processed data'!A:Q,17,0)</f>
        <v>45600</v>
      </c>
      <c r="K2348" t="str">
        <f>VLOOKUP(Googleadssales[[#This Row],[Ad_ID]],'[1]pre processed data'!A:R,18,0)</f>
        <v>Chennai</v>
      </c>
      <c r="L2348" t="str">
        <f>VLOOKUP(Googleadssales[[#This Row],[Ad_ID]],'[1]pre processed data'!A:S,19,0)</f>
        <v>Mobile</v>
      </c>
      <c r="M2348" t="str">
        <f>VLOOKUP(Googleadssales[[#This Row],[Ad_ID]],'[1]pre processed data'!A:T,20,0)</f>
        <v>data analytics training</v>
      </c>
    </row>
    <row r="2349" spans="1:13" x14ac:dyDescent="0.3">
      <c r="A2349" t="s">
        <v>2362</v>
      </c>
      <c r="B2349" t="s">
        <v>14</v>
      </c>
      <c r="C2349" s="4">
        <f>VLOOKUP(Googleadssales[[#This Row],[Ad_ID]],'[1]pre processed data'!A:C,3,0)</f>
        <v>161</v>
      </c>
      <c r="D2349" s="4">
        <f>VLOOKUP(Googleadssales[[#This Row],[Ad_ID]],'[1]pre processed data'!A:E,5,0)</f>
        <v>3160</v>
      </c>
      <c r="E2349" s="5" t="str">
        <f>VLOOKUP(Googleadssales[[#This Row],[Ad_ID]],[1]!Table3[[Ad_ID]:[Cost-imputed]],7,0)</f>
        <v>$229.71</v>
      </c>
      <c r="F2349" s="4">
        <f>VLOOKUP(Googleadssales[[#This Row],[Ad_ID]],'[1]pre processed data'!A:I,9,0)</f>
        <v>17</v>
      </c>
      <c r="G2349" s="4">
        <f>VLOOKUP(Googleadssales[[#This Row],[Ad_ID]],'[1]pre processed data'!A:K,11,0)</f>
        <v>3</v>
      </c>
      <c r="H2349" s="2">
        <f>Googleadssales[[#This Row],[Conversions]]/Googleadssales[[#This Row],[Clicks]]</f>
        <v>1.8633540372670808E-2</v>
      </c>
      <c r="I2349" t="str">
        <f>VLOOKUP(Googleadssales[[#This Row],[Ad_ID]],'[1]pre processed data'!A:O,15,0)</f>
        <v>$1817</v>
      </c>
      <c r="J2349" s="3">
        <f>VLOOKUP(Googleadssales[[#This Row],[Ad_ID]],'[1]pre processed data'!A:Q,17,0)</f>
        <v>45597</v>
      </c>
      <c r="K2349" t="str">
        <f>VLOOKUP(Googleadssales[[#This Row],[Ad_ID]],'[1]pre processed data'!A:R,18,0)</f>
        <v>Hyderabad</v>
      </c>
      <c r="L2349" t="str">
        <f>VLOOKUP(Googleadssales[[#This Row],[Ad_ID]],'[1]pre processed data'!A:S,19,0)</f>
        <v>Mobile</v>
      </c>
      <c r="M2349" t="str">
        <f>VLOOKUP(Googleadssales[[#This Row],[Ad_ID]],'[1]pre processed data'!A:T,20,0)</f>
        <v>data analytics training</v>
      </c>
    </row>
    <row r="2350" spans="1:13" x14ac:dyDescent="0.3">
      <c r="A2350" t="s">
        <v>2363</v>
      </c>
      <c r="B2350" t="s">
        <v>14</v>
      </c>
      <c r="C2350" s="4">
        <f>VLOOKUP(Googleadssales[[#This Row],[Ad_ID]],'[1]pre processed data'!A:C,3,0)</f>
        <v>156</v>
      </c>
      <c r="D2350" s="4">
        <f>VLOOKUP(Googleadssales[[#This Row],[Ad_ID]],'[1]pre processed data'!A:E,5,0)</f>
        <v>5095</v>
      </c>
      <c r="E2350" s="5" t="str">
        <f>VLOOKUP(Googleadssales[[#This Row],[Ad_ID]],[1]!Table3[[Ad_ID]:[Cost-imputed]],7,0)</f>
        <v>$214.32</v>
      </c>
      <c r="F2350" s="4">
        <f>VLOOKUP(Googleadssales[[#This Row],[Ad_ID]],'[1]pre processed data'!A:I,9,0)</f>
        <v>30</v>
      </c>
      <c r="G2350" s="4">
        <f>VLOOKUP(Googleadssales[[#This Row],[Ad_ID]],'[1]pre processed data'!A:K,11,0)</f>
        <v>9</v>
      </c>
      <c r="H2350" s="2">
        <f>Googleadssales[[#This Row],[Conversions]]/Googleadssales[[#This Row],[Clicks]]</f>
        <v>5.7692307692307696E-2</v>
      </c>
      <c r="I2350" t="str">
        <f>VLOOKUP(Googleadssales[[#This Row],[Ad_ID]],'[1]pre processed data'!A:O,15,0)</f>
        <v>$1444</v>
      </c>
      <c r="J2350" s="3">
        <f>VLOOKUP(Googleadssales[[#This Row],[Ad_ID]],'[1]pre processed data'!A:Q,17,0)</f>
        <v>45623</v>
      </c>
      <c r="K2350" t="str">
        <f>VLOOKUP(Googleadssales[[#This Row],[Ad_ID]],'[1]pre processed data'!A:R,18,0)</f>
        <v>Hyderabad</v>
      </c>
      <c r="L2350" t="str">
        <f>VLOOKUP(Googleadssales[[#This Row],[Ad_ID]],'[1]pre processed data'!A:S,19,0)</f>
        <v>Mobile</v>
      </c>
      <c r="M2350" t="str">
        <f>VLOOKUP(Googleadssales[[#This Row],[Ad_ID]],'[1]pre processed data'!A:T,20,0)</f>
        <v>data analytics online</v>
      </c>
    </row>
    <row r="2351" spans="1:13" x14ac:dyDescent="0.3">
      <c r="A2351" t="s">
        <v>2364</v>
      </c>
      <c r="B2351" t="s">
        <v>14</v>
      </c>
      <c r="C2351" s="4">
        <f>VLOOKUP(Googleadssales[[#This Row],[Ad_ID]],'[1]pre processed data'!A:C,3,0)</f>
        <v>148</v>
      </c>
      <c r="D2351" s="4">
        <f>VLOOKUP(Googleadssales[[#This Row],[Ad_ID]],'[1]pre processed data'!A:E,5,0)</f>
        <v>3957</v>
      </c>
      <c r="E2351" s="5" t="str">
        <f>VLOOKUP(Googleadssales[[#This Row],[Ad_ID]],[1]!Table3[[Ad_ID]:[Cost-imputed]],7,0)</f>
        <v>$200.00</v>
      </c>
      <c r="F2351" s="4">
        <f>VLOOKUP(Googleadssales[[#This Row],[Ad_ID]],'[1]pre processed data'!A:I,9,0)</f>
        <v>20</v>
      </c>
      <c r="G2351" s="4">
        <f>VLOOKUP(Googleadssales[[#This Row],[Ad_ID]],'[1]pre processed data'!A:K,11,0)</f>
        <v>10</v>
      </c>
      <c r="H2351" s="2">
        <f>Googleadssales[[#This Row],[Conversions]]/Googleadssales[[#This Row],[Clicks]]</f>
        <v>6.7567567567567571E-2</v>
      </c>
      <c r="I2351" t="str">
        <f>VLOOKUP(Googleadssales[[#This Row],[Ad_ID]],'[1]pre processed data'!A:O,15,0)</f>
        <v>$1288</v>
      </c>
      <c r="J2351" s="3">
        <f>VLOOKUP(Googleadssales[[#This Row],[Ad_ID]],'[1]pre processed data'!A:Q,17,0)</f>
        <v>45606</v>
      </c>
      <c r="K2351" t="str">
        <f>VLOOKUP(Googleadssales[[#This Row],[Ad_ID]],'[1]pre processed data'!A:R,18,0)</f>
        <v>Chennai</v>
      </c>
      <c r="L2351" t="str">
        <f>VLOOKUP(Googleadssales[[#This Row],[Ad_ID]],'[1]pre processed data'!A:S,19,0)</f>
        <v>Tablet</v>
      </c>
      <c r="M2351" t="str">
        <f>VLOOKUP(Googleadssales[[#This Row],[Ad_ID]],'[1]pre processed data'!A:T,20,0)</f>
        <v>data analytics online</v>
      </c>
    </row>
    <row r="2352" spans="1:13" x14ac:dyDescent="0.3">
      <c r="A2352" t="s">
        <v>2365</v>
      </c>
      <c r="B2352" t="s">
        <v>18</v>
      </c>
      <c r="C2352" s="4">
        <f>VLOOKUP(Googleadssales[[#This Row],[Ad_ID]],'[1]pre processed data'!A:C,3,0)</f>
        <v>126</v>
      </c>
      <c r="D2352" s="4">
        <f>VLOOKUP(Googleadssales[[#This Row],[Ad_ID]],'[1]pre processed data'!A:E,5,0)</f>
        <v>4920</v>
      </c>
      <c r="E2352" s="5" t="str">
        <f>VLOOKUP(Googleadssales[[#This Row],[Ad_ID]],[1]!Table3[[Ad_ID]:[Cost-imputed]],7,0)</f>
        <v>$182.36</v>
      </c>
      <c r="F2352" s="4">
        <f>VLOOKUP(Googleadssales[[#This Row],[Ad_ID]],'[1]pre processed data'!A:I,9,0)</f>
        <v>27</v>
      </c>
      <c r="G2352" s="4">
        <f>VLOOKUP(Googleadssales[[#This Row],[Ad_ID]],'[1]pre processed data'!A:K,11,0)</f>
        <v>5</v>
      </c>
      <c r="H2352" s="2">
        <f>Googleadssales[[#This Row],[Conversions]]/Googleadssales[[#This Row],[Clicks]]</f>
        <v>3.968253968253968E-2</v>
      </c>
      <c r="I2352" t="str">
        <f>VLOOKUP(Googleadssales[[#This Row],[Ad_ID]],'[1]pre processed data'!A:O,15,0)</f>
        <v>$1933</v>
      </c>
      <c r="J2352" s="3">
        <f>VLOOKUP(Googleadssales[[#This Row],[Ad_ID]],'[1]pre processed data'!A:Q,17,0)</f>
        <v>45600</v>
      </c>
      <c r="K2352" t="str">
        <f>VLOOKUP(Googleadssales[[#This Row],[Ad_ID]],'[1]pre processed data'!A:R,18,0)</f>
        <v>Chennai</v>
      </c>
      <c r="L2352" t="str">
        <f>VLOOKUP(Googleadssales[[#This Row],[Ad_ID]],'[1]pre processed data'!A:S,19,0)</f>
        <v>Tablet</v>
      </c>
      <c r="M2352" t="str">
        <f>VLOOKUP(Googleadssales[[#This Row],[Ad_ID]],'[1]pre processed data'!A:T,20,0)</f>
        <v>data analytics online</v>
      </c>
    </row>
    <row r="2353" spans="1:13" x14ac:dyDescent="0.3">
      <c r="A2353" t="s">
        <v>2366</v>
      </c>
      <c r="B2353" t="s">
        <v>14</v>
      </c>
      <c r="C2353" s="4">
        <f>VLOOKUP(Googleadssales[[#This Row],[Ad_ID]],'[1]pre processed data'!A:C,3,0)</f>
        <v>189</v>
      </c>
      <c r="D2353" s="4">
        <f>VLOOKUP(Googleadssales[[#This Row],[Ad_ID]],'[1]pre processed data'!A:E,5,0)</f>
        <v>3588</v>
      </c>
      <c r="E2353" s="5" t="str">
        <f>VLOOKUP(Googleadssales[[#This Row],[Ad_ID]],[1]!Table3[[Ad_ID]:[Cost-imputed]],7,0)</f>
        <v>$191.74</v>
      </c>
      <c r="F2353" s="4">
        <f>VLOOKUP(Googleadssales[[#This Row],[Ad_ID]],'[1]pre processed data'!A:I,9,0)</f>
        <v>22</v>
      </c>
      <c r="G2353" s="4">
        <f>VLOOKUP(Googleadssales[[#This Row],[Ad_ID]],'[1]pre processed data'!A:K,11,0)</f>
        <v>9</v>
      </c>
      <c r="H2353" s="2">
        <f>Googleadssales[[#This Row],[Conversions]]/Googleadssales[[#This Row],[Clicks]]</f>
        <v>4.7619047619047616E-2</v>
      </c>
      <c r="I2353" t="str">
        <f>VLOOKUP(Googleadssales[[#This Row],[Ad_ID]],'[1]pre processed data'!A:O,15,0)</f>
        <v>$1893</v>
      </c>
      <c r="J2353" s="3">
        <f>VLOOKUP(Googleadssales[[#This Row],[Ad_ID]],'[1]pre processed data'!A:Q,17,0)</f>
        <v>45621</v>
      </c>
      <c r="K2353" t="str">
        <f>VLOOKUP(Googleadssales[[#This Row],[Ad_ID]],'[1]pre processed data'!A:R,18,0)</f>
        <v>Bangaluru</v>
      </c>
      <c r="L2353" t="str">
        <f>VLOOKUP(Googleadssales[[#This Row],[Ad_ID]],'[1]pre processed data'!A:S,19,0)</f>
        <v>Desktop</v>
      </c>
      <c r="M2353" t="str">
        <f>VLOOKUP(Googleadssales[[#This Row],[Ad_ID]],'[1]pre processed data'!A:T,20,0)</f>
        <v>data analytics course</v>
      </c>
    </row>
    <row r="2354" spans="1:13" x14ac:dyDescent="0.3">
      <c r="A2354" t="s">
        <v>2367</v>
      </c>
      <c r="B2354" t="s">
        <v>14</v>
      </c>
      <c r="C2354" s="4">
        <f>VLOOKUP(Googleadssales[[#This Row],[Ad_ID]],'[1]pre processed data'!A:C,3,0)</f>
        <v>119</v>
      </c>
      <c r="D2354" s="4">
        <f>VLOOKUP(Googleadssales[[#This Row],[Ad_ID]],'[1]pre processed data'!A:E,5,0)</f>
        <v>4927</v>
      </c>
      <c r="E2354" s="5" t="str">
        <f>VLOOKUP(Googleadssales[[#This Row],[Ad_ID]],[1]!Table3[[Ad_ID]:[Cost-imputed]],7,0)</f>
        <v>$223.35</v>
      </c>
      <c r="F2354" s="4">
        <f>VLOOKUP(Googleadssales[[#This Row],[Ad_ID]],'[1]pre processed data'!A:I,9,0)</f>
        <v>16</v>
      </c>
      <c r="G2354" s="4">
        <f>VLOOKUP(Googleadssales[[#This Row],[Ad_ID]],'[1]pre processed data'!A:K,11,0)</f>
        <v>3</v>
      </c>
      <c r="H2354" s="2">
        <f>Googleadssales[[#This Row],[Conversions]]/Googleadssales[[#This Row],[Clicks]]</f>
        <v>2.5210084033613446E-2</v>
      </c>
      <c r="I2354" t="str">
        <f>VLOOKUP(Googleadssales[[#This Row],[Ad_ID]],'[1]pre processed data'!A:O,15,0)</f>
        <v>$1377</v>
      </c>
      <c r="J2354" s="3">
        <f>VLOOKUP(Googleadssales[[#This Row],[Ad_ID]],'[1]pre processed data'!A:Q,17,0)</f>
        <v>45610</v>
      </c>
      <c r="K2354" t="str">
        <f>VLOOKUP(Googleadssales[[#This Row],[Ad_ID]],'[1]pre processed data'!A:R,18,0)</f>
        <v>Bangaluru</v>
      </c>
      <c r="L2354" t="str">
        <f>VLOOKUP(Googleadssales[[#This Row],[Ad_ID]],'[1]pre processed data'!A:S,19,0)</f>
        <v>Mobile</v>
      </c>
      <c r="M2354" t="str">
        <f>VLOOKUP(Googleadssales[[#This Row],[Ad_ID]],'[1]pre processed data'!A:T,20,0)</f>
        <v>data analytics training</v>
      </c>
    </row>
    <row r="2355" spans="1:13" x14ac:dyDescent="0.3">
      <c r="A2355" t="s">
        <v>2368</v>
      </c>
      <c r="B2355" t="s">
        <v>14</v>
      </c>
      <c r="C2355" s="4">
        <f>VLOOKUP(Googleadssales[[#This Row],[Ad_ID]],'[1]pre processed data'!A:C,3,0)</f>
        <v>138.95699356913184</v>
      </c>
      <c r="D2355" s="4">
        <f>VLOOKUP(Googleadssales[[#This Row],[Ad_ID]],'[1]pre processed data'!A:E,5,0)</f>
        <v>4523.2808326787117</v>
      </c>
      <c r="E2355" s="5" t="str">
        <f>VLOOKUP(Googleadssales[[#This Row],[Ad_ID]],[1]!Table3[[Ad_ID]:[Cost-imputed]],7,0)</f>
        <v>$200.54</v>
      </c>
      <c r="F2355" s="4">
        <f>VLOOKUP(Googleadssales[[#This Row],[Ad_ID]],'[1]pre processed data'!A:I,9,0)</f>
        <v>30</v>
      </c>
      <c r="G2355" s="4">
        <f>VLOOKUP(Googleadssales[[#This Row],[Ad_ID]],'[1]pre processed data'!A:K,11,0)</f>
        <v>5</v>
      </c>
      <c r="H2355" s="2">
        <f>Googleadssales[[#This Row],[Conversions]]/Googleadssales[[#This Row],[Clicks]]</f>
        <v>3.5982355918721523E-2</v>
      </c>
      <c r="I2355" t="str">
        <f>VLOOKUP(Googleadssales[[#This Row],[Ad_ID]],'[1]pre processed data'!A:O,15,0)</f>
        <v>$1500</v>
      </c>
      <c r="J2355" s="3">
        <f>VLOOKUP(Googleadssales[[#This Row],[Ad_ID]],'[1]pre processed data'!A:Q,17,0)</f>
        <v>45597</v>
      </c>
      <c r="K2355" t="str">
        <f>VLOOKUP(Googleadssales[[#This Row],[Ad_ID]],'[1]pre processed data'!A:R,18,0)</f>
        <v>Chennai</v>
      </c>
      <c r="L2355" t="str">
        <f>VLOOKUP(Googleadssales[[#This Row],[Ad_ID]],'[1]pre processed data'!A:S,19,0)</f>
        <v>Desktop</v>
      </c>
      <c r="M2355" t="str">
        <f>VLOOKUP(Googleadssales[[#This Row],[Ad_ID]],'[1]pre processed data'!A:T,20,0)</f>
        <v>analytics for data</v>
      </c>
    </row>
    <row r="2356" spans="1:13" x14ac:dyDescent="0.3">
      <c r="A2356" t="s">
        <v>2369</v>
      </c>
      <c r="B2356" t="s">
        <v>18</v>
      </c>
      <c r="C2356" s="4">
        <f>VLOOKUP(Googleadssales[[#This Row],[Ad_ID]],'[1]pre processed data'!A:C,3,0)</f>
        <v>127</v>
      </c>
      <c r="D2356" s="4">
        <f>VLOOKUP(Googleadssales[[#This Row],[Ad_ID]],'[1]pre processed data'!A:E,5,0)</f>
        <v>5742</v>
      </c>
      <c r="E2356" s="5" t="str">
        <f>VLOOKUP(Googleadssales[[#This Row],[Ad_ID]],[1]!Table3[[Ad_ID]:[Cost-imputed]],7,0)</f>
        <v>$233.98</v>
      </c>
      <c r="F2356" s="4">
        <f>VLOOKUP(Googleadssales[[#This Row],[Ad_ID]],'[1]pre processed data'!A:I,9,0)</f>
        <v>13</v>
      </c>
      <c r="G2356" s="4">
        <f>VLOOKUP(Googleadssales[[#This Row],[Ad_ID]],'[1]pre processed data'!A:K,11,0)</f>
        <v>4</v>
      </c>
      <c r="H2356" s="2">
        <f>Googleadssales[[#This Row],[Conversions]]/Googleadssales[[#This Row],[Clicks]]</f>
        <v>3.1496062992125984E-2</v>
      </c>
      <c r="I2356" t="str">
        <f>VLOOKUP(Googleadssales[[#This Row],[Ad_ID]],'[1]pre processed data'!A:O,15,0)</f>
        <v>$1743</v>
      </c>
      <c r="J2356" s="3">
        <f>VLOOKUP(Googleadssales[[#This Row],[Ad_ID]],'[1]pre processed data'!A:Q,17,0)</f>
        <v>45608</v>
      </c>
      <c r="K2356" t="str">
        <f>VLOOKUP(Googleadssales[[#This Row],[Ad_ID]],'[1]pre processed data'!A:R,18,0)</f>
        <v>Chennai</v>
      </c>
      <c r="L2356" t="str">
        <f>VLOOKUP(Googleadssales[[#This Row],[Ad_ID]],'[1]pre processed data'!A:S,19,0)</f>
        <v>Tablet</v>
      </c>
      <c r="M2356" t="str">
        <f>VLOOKUP(Googleadssales[[#This Row],[Ad_ID]],'[1]pre processed data'!A:T,20,0)</f>
        <v>data analytics course</v>
      </c>
    </row>
    <row r="2357" spans="1:13" x14ac:dyDescent="0.3">
      <c r="A2357" t="s">
        <v>2370</v>
      </c>
      <c r="B2357" t="s">
        <v>14</v>
      </c>
      <c r="C2357" s="4">
        <f>VLOOKUP(Googleadssales[[#This Row],[Ad_ID]],'[1]pre processed data'!A:C,3,0)</f>
        <v>106</v>
      </c>
      <c r="D2357" s="4">
        <f>VLOOKUP(Googleadssales[[#This Row],[Ad_ID]],'[1]pre processed data'!A:E,5,0)</f>
        <v>4474</v>
      </c>
      <c r="E2357" s="5" t="str">
        <f>VLOOKUP(Googleadssales[[#This Row],[Ad_ID]],[1]!Table3[[Ad_ID]:[Cost-imputed]],7,0)</f>
        <v>$181.48</v>
      </c>
      <c r="F2357" s="4">
        <f>VLOOKUP(Googleadssales[[#This Row],[Ad_ID]],'[1]pre processed data'!A:I,9,0)</f>
        <v>17</v>
      </c>
      <c r="G2357" s="4">
        <f>VLOOKUP(Googleadssales[[#This Row],[Ad_ID]],'[1]pre processed data'!A:K,11,0)</f>
        <v>10</v>
      </c>
      <c r="H2357" s="2">
        <f>Googleadssales[[#This Row],[Conversions]]/Googleadssales[[#This Row],[Clicks]]</f>
        <v>9.4339622641509441E-2</v>
      </c>
      <c r="I2357" t="str">
        <f>VLOOKUP(Googleadssales[[#This Row],[Ad_ID]],'[1]pre processed data'!A:O,15,0)</f>
        <v>$1189</v>
      </c>
      <c r="J2357" s="3">
        <f>VLOOKUP(Googleadssales[[#This Row],[Ad_ID]],'[1]pre processed data'!A:Q,17,0)</f>
        <v>45616</v>
      </c>
      <c r="K2357" t="str">
        <f>VLOOKUP(Googleadssales[[#This Row],[Ad_ID]],'[1]pre processed data'!A:R,18,0)</f>
        <v>Bangaluru</v>
      </c>
      <c r="L2357" t="str">
        <f>VLOOKUP(Googleadssales[[#This Row],[Ad_ID]],'[1]pre processed data'!A:S,19,0)</f>
        <v>Tablet</v>
      </c>
      <c r="M2357" t="str">
        <f>VLOOKUP(Googleadssales[[#This Row],[Ad_ID]],'[1]pre processed data'!A:T,20,0)</f>
        <v>analytics for data</v>
      </c>
    </row>
    <row r="2358" spans="1:13" x14ac:dyDescent="0.3">
      <c r="A2358" t="s">
        <v>2371</v>
      </c>
      <c r="B2358" t="s">
        <v>18</v>
      </c>
      <c r="C2358" s="4">
        <f>VLOOKUP(Googleadssales[[#This Row],[Ad_ID]],'[1]pre processed data'!A:C,3,0)</f>
        <v>119</v>
      </c>
      <c r="D2358" s="4">
        <f>VLOOKUP(Googleadssales[[#This Row],[Ad_ID]],'[1]pre processed data'!A:E,5,0)</f>
        <v>4322</v>
      </c>
      <c r="E2358" s="5" t="str">
        <f>VLOOKUP(Googleadssales[[#This Row],[Ad_ID]],[1]!Table3[[Ad_ID]:[Cost-imputed]],7,0)</f>
        <v>$183.0</v>
      </c>
      <c r="F2358" s="4">
        <f>VLOOKUP(Googleadssales[[#This Row],[Ad_ID]],'[1]pre processed data'!A:I,9,0)</f>
        <v>24</v>
      </c>
      <c r="G2358" s="4">
        <f>VLOOKUP(Googleadssales[[#This Row],[Ad_ID]],'[1]pre processed data'!A:K,11,0)</f>
        <v>5</v>
      </c>
      <c r="H2358" s="2">
        <f>Googleadssales[[#This Row],[Conversions]]/Googleadssales[[#This Row],[Clicks]]</f>
        <v>4.2016806722689079E-2</v>
      </c>
      <c r="I2358" t="str">
        <f>VLOOKUP(Googleadssales[[#This Row],[Ad_ID]],'[1]pre processed data'!A:O,15,0)</f>
        <v>$1108</v>
      </c>
      <c r="J2358" s="3">
        <f>VLOOKUP(Googleadssales[[#This Row],[Ad_ID]],'[1]pre processed data'!A:Q,17,0)</f>
        <v>45602</v>
      </c>
      <c r="K2358" t="str">
        <f>VLOOKUP(Googleadssales[[#This Row],[Ad_ID]],'[1]pre processed data'!A:R,18,0)</f>
        <v>Bangaluru</v>
      </c>
      <c r="L2358" t="str">
        <f>VLOOKUP(Googleadssales[[#This Row],[Ad_ID]],'[1]pre processed data'!A:S,19,0)</f>
        <v>Mobile</v>
      </c>
      <c r="M2358" t="str">
        <f>VLOOKUP(Googleadssales[[#This Row],[Ad_ID]],'[1]pre processed data'!A:T,20,0)</f>
        <v>data analytics online</v>
      </c>
    </row>
    <row r="2359" spans="1:13" x14ac:dyDescent="0.3">
      <c r="A2359" t="s">
        <v>2372</v>
      </c>
      <c r="B2359" t="s">
        <v>18</v>
      </c>
      <c r="C2359" s="4">
        <f>VLOOKUP(Googleadssales[[#This Row],[Ad_ID]],'[1]pre processed data'!A:C,3,0)</f>
        <v>81</v>
      </c>
      <c r="D2359" s="4">
        <f>VLOOKUP(Googleadssales[[#This Row],[Ad_ID]],'[1]pre processed data'!A:E,5,0)</f>
        <v>4144</v>
      </c>
      <c r="E2359" s="5" t="str">
        <f>VLOOKUP(Googleadssales[[#This Row],[Ad_ID]],[1]!Table3[[Ad_ID]:[Cost-imputed]],7,0)</f>
        <v>$180.01</v>
      </c>
      <c r="F2359" s="4">
        <f>VLOOKUP(Googleadssales[[#This Row],[Ad_ID]],'[1]pre processed data'!A:I,9,0)</f>
        <v>18</v>
      </c>
      <c r="G2359" s="4">
        <f>VLOOKUP(Googleadssales[[#This Row],[Ad_ID]],'[1]pre processed data'!A:K,11,0)</f>
        <v>3</v>
      </c>
      <c r="H2359" s="2">
        <f>Googleadssales[[#This Row],[Conversions]]/Googleadssales[[#This Row],[Clicks]]</f>
        <v>3.7037037037037035E-2</v>
      </c>
      <c r="I2359" t="str">
        <f>VLOOKUP(Googleadssales[[#This Row],[Ad_ID]],'[1]pre processed data'!A:O,15,0)</f>
        <v>$1648</v>
      </c>
      <c r="J2359" s="3">
        <f>VLOOKUP(Googleadssales[[#This Row],[Ad_ID]],'[1]pre processed data'!A:Q,17,0)</f>
        <v>45616</v>
      </c>
      <c r="K2359" t="str">
        <f>VLOOKUP(Googleadssales[[#This Row],[Ad_ID]],'[1]pre processed data'!A:R,18,0)</f>
        <v>Chennai</v>
      </c>
      <c r="L2359" t="str">
        <f>VLOOKUP(Googleadssales[[#This Row],[Ad_ID]],'[1]pre processed data'!A:S,19,0)</f>
        <v>Mobile</v>
      </c>
      <c r="M2359" t="str">
        <f>VLOOKUP(Googleadssales[[#This Row],[Ad_ID]],'[1]pre processed data'!A:T,20,0)</f>
        <v>data analytics online</v>
      </c>
    </row>
    <row r="2360" spans="1:13" x14ac:dyDescent="0.3">
      <c r="A2360" t="s">
        <v>2373</v>
      </c>
      <c r="B2360" t="s">
        <v>14</v>
      </c>
      <c r="C2360" s="4">
        <f>VLOOKUP(Googleadssales[[#This Row],[Ad_ID]],'[1]pre processed data'!A:C,3,0)</f>
        <v>152</v>
      </c>
      <c r="D2360" s="4">
        <f>VLOOKUP(Googleadssales[[#This Row],[Ad_ID]],'[1]pre processed data'!A:E,5,0)</f>
        <v>5007</v>
      </c>
      <c r="E2360" s="5" t="str">
        <f>VLOOKUP(Googleadssales[[#This Row],[Ad_ID]],[1]!Table3[[Ad_ID]:[Cost-imputed]],7,0)</f>
        <v>$208.84</v>
      </c>
      <c r="F2360" s="4">
        <f>VLOOKUP(Googleadssales[[#This Row],[Ad_ID]],'[1]pre processed data'!A:I,9,0)</f>
        <v>19</v>
      </c>
      <c r="G2360" s="4">
        <f>VLOOKUP(Googleadssales[[#This Row],[Ad_ID]],'[1]pre processed data'!A:K,11,0)</f>
        <v>10</v>
      </c>
      <c r="H2360" s="2">
        <f>Googleadssales[[#This Row],[Conversions]]/Googleadssales[[#This Row],[Clicks]]</f>
        <v>6.5789473684210523E-2</v>
      </c>
      <c r="I2360" t="str">
        <f>VLOOKUP(Googleadssales[[#This Row],[Ad_ID]],'[1]pre processed data'!A:O,15,0)</f>
        <v>$1628</v>
      </c>
      <c r="J2360" s="3">
        <f>VLOOKUP(Googleadssales[[#This Row],[Ad_ID]],'[1]pre processed data'!A:Q,17,0)</f>
        <v>45620</v>
      </c>
      <c r="K2360" t="str">
        <f>VLOOKUP(Googleadssales[[#This Row],[Ad_ID]],'[1]pre processed data'!A:R,18,0)</f>
        <v>Hyderabad</v>
      </c>
      <c r="L2360" t="str">
        <f>VLOOKUP(Googleadssales[[#This Row],[Ad_ID]],'[1]pre processed data'!A:S,19,0)</f>
        <v>Mobile</v>
      </c>
      <c r="M2360" t="str">
        <f>VLOOKUP(Googleadssales[[#This Row],[Ad_ID]],'[1]pre processed data'!A:T,20,0)</f>
        <v>online data analytic</v>
      </c>
    </row>
    <row r="2361" spans="1:13" x14ac:dyDescent="0.3">
      <c r="A2361" t="s">
        <v>2374</v>
      </c>
      <c r="B2361" t="s">
        <v>14</v>
      </c>
      <c r="C2361" s="4">
        <f>VLOOKUP(Googleadssales[[#This Row],[Ad_ID]],'[1]pre processed data'!A:C,3,0)</f>
        <v>153</v>
      </c>
      <c r="D2361" s="4">
        <f>VLOOKUP(Googleadssales[[#This Row],[Ad_ID]],'[1]pre processed data'!A:E,5,0)</f>
        <v>5388</v>
      </c>
      <c r="E2361" s="5" t="str">
        <f>VLOOKUP(Googleadssales[[#This Row],[Ad_ID]],[1]!Table3[[Ad_ID]:[Cost-imputed]],7,0)</f>
        <v>$219.93</v>
      </c>
      <c r="F2361" s="4">
        <f>VLOOKUP(Googleadssales[[#This Row],[Ad_ID]],'[1]pre processed data'!A:I,9,0)</f>
        <v>16</v>
      </c>
      <c r="G2361" s="4">
        <f>VLOOKUP(Googleadssales[[#This Row],[Ad_ID]],'[1]pre processed data'!A:K,11,0)</f>
        <v>4</v>
      </c>
      <c r="H2361" s="2">
        <f>Googleadssales[[#This Row],[Conversions]]/Googleadssales[[#This Row],[Clicks]]</f>
        <v>2.6143790849673203E-2</v>
      </c>
      <c r="I2361" t="str">
        <f>VLOOKUP(Googleadssales[[#This Row],[Ad_ID]],'[1]pre processed data'!A:O,15,0)</f>
        <v>$1602</v>
      </c>
      <c r="J2361" s="3">
        <f>VLOOKUP(Googleadssales[[#This Row],[Ad_ID]],'[1]pre processed data'!A:Q,17,0)</f>
        <v>45607</v>
      </c>
      <c r="K2361" t="str">
        <f>VLOOKUP(Googleadssales[[#This Row],[Ad_ID]],'[1]pre processed data'!A:R,18,0)</f>
        <v>Hyderabad</v>
      </c>
      <c r="L2361" t="str">
        <f>VLOOKUP(Googleadssales[[#This Row],[Ad_ID]],'[1]pre processed data'!A:S,19,0)</f>
        <v>Tablet</v>
      </c>
      <c r="M2361" t="str">
        <f>VLOOKUP(Googleadssales[[#This Row],[Ad_ID]],'[1]pre processed data'!A:T,20,0)</f>
        <v>data analytics course</v>
      </c>
    </row>
    <row r="2362" spans="1:13" x14ac:dyDescent="0.3">
      <c r="A2362" t="s">
        <v>2375</v>
      </c>
      <c r="B2362" t="s">
        <v>14</v>
      </c>
      <c r="C2362" s="4">
        <f>VLOOKUP(Googleadssales[[#This Row],[Ad_ID]],'[1]pre processed data'!A:C,3,0)</f>
        <v>120</v>
      </c>
      <c r="D2362" s="4">
        <f>VLOOKUP(Googleadssales[[#This Row],[Ad_ID]],'[1]pre processed data'!A:E,5,0)</f>
        <v>4229</v>
      </c>
      <c r="E2362" s="5" t="str">
        <f>VLOOKUP(Googleadssales[[#This Row],[Ad_ID]],[1]!Table3[[Ad_ID]:[Cost-imputed]],7,0)</f>
        <v>$244.13</v>
      </c>
      <c r="F2362" s="4">
        <f>VLOOKUP(Googleadssales[[#This Row],[Ad_ID]],'[1]pre processed data'!A:I,9,0)</f>
        <v>20</v>
      </c>
      <c r="G2362" s="4">
        <f>VLOOKUP(Googleadssales[[#This Row],[Ad_ID]],'[1]pre processed data'!A:K,11,0)</f>
        <v>9</v>
      </c>
      <c r="H2362" s="2">
        <f>Googleadssales[[#This Row],[Conversions]]/Googleadssales[[#This Row],[Clicks]]</f>
        <v>7.4999999999999997E-2</v>
      </c>
      <c r="I2362" t="str">
        <f>VLOOKUP(Googleadssales[[#This Row],[Ad_ID]],'[1]pre processed data'!A:O,15,0)</f>
        <v>$1380</v>
      </c>
      <c r="J2362" s="3">
        <f>VLOOKUP(Googleadssales[[#This Row],[Ad_ID]],'[1]pre processed data'!A:Q,17,0)</f>
        <v>45608</v>
      </c>
      <c r="K2362" t="str">
        <f>VLOOKUP(Googleadssales[[#This Row],[Ad_ID]],'[1]pre processed data'!A:R,18,0)</f>
        <v>Bangaluru</v>
      </c>
      <c r="L2362" t="str">
        <f>VLOOKUP(Googleadssales[[#This Row],[Ad_ID]],'[1]pre processed data'!A:S,19,0)</f>
        <v>Desktop</v>
      </c>
      <c r="M2362" t="str">
        <f>VLOOKUP(Googleadssales[[#This Row],[Ad_ID]],'[1]pre processed data'!A:T,20,0)</f>
        <v>data analytics course</v>
      </c>
    </row>
    <row r="2363" spans="1:13" x14ac:dyDescent="0.3">
      <c r="A2363" t="s">
        <v>2376</v>
      </c>
      <c r="B2363" t="s">
        <v>14</v>
      </c>
      <c r="C2363" s="4">
        <f>VLOOKUP(Googleadssales[[#This Row],[Ad_ID]],'[1]pre processed data'!A:C,3,0)</f>
        <v>167</v>
      </c>
      <c r="D2363" s="4">
        <f>VLOOKUP(Googleadssales[[#This Row],[Ad_ID]],'[1]pre processed data'!A:E,5,0)</f>
        <v>5140</v>
      </c>
      <c r="E2363" s="5" t="str">
        <f>VLOOKUP(Googleadssales[[#This Row],[Ad_ID]],[1]!Table3[[Ad_ID]:[Cost-imputed]],7,0)</f>
        <v>$228.32</v>
      </c>
      <c r="F2363" s="4">
        <f>VLOOKUP(Googleadssales[[#This Row],[Ad_ID]],'[1]pre processed data'!A:I,9,0)</f>
        <v>28</v>
      </c>
      <c r="G2363" s="4">
        <f>VLOOKUP(Googleadssales[[#This Row],[Ad_ID]],'[1]pre processed data'!A:K,11,0)</f>
        <v>9</v>
      </c>
      <c r="H2363" s="2">
        <f>Googleadssales[[#This Row],[Conversions]]/Googleadssales[[#This Row],[Clicks]]</f>
        <v>5.3892215568862277E-2</v>
      </c>
      <c r="I2363" t="str">
        <f>VLOOKUP(Googleadssales[[#This Row],[Ad_ID]],'[1]pre processed data'!A:O,15,0)</f>
        <v>$1056</v>
      </c>
      <c r="J2363" s="3">
        <f>VLOOKUP(Googleadssales[[#This Row],[Ad_ID]],'[1]pre processed data'!A:Q,17,0)</f>
        <v>45604</v>
      </c>
      <c r="K2363" t="str">
        <f>VLOOKUP(Googleadssales[[#This Row],[Ad_ID]],'[1]pre processed data'!A:R,18,0)</f>
        <v>Bangaluru</v>
      </c>
      <c r="L2363" t="str">
        <f>VLOOKUP(Googleadssales[[#This Row],[Ad_ID]],'[1]pre processed data'!A:S,19,0)</f>
        <v>Mobile</v>
      </c>
      <c r="M2363" t="str">
        <f>VLOOKUP(Googleadssales[[#This Row],[Ad_ID]],'[1]pre processed data'!A:T,20,0)</f>
        <v>data analytics online</v>
      </c>
    </row>
    <row r="2364" spans="1:13" x14ac:dyDescent="0.3">
      <c r="A2364" t="s">
        <v>2377</v>
      </c>
      <c r="B2364" t="s">
        <v>18</v>
      </c>
      <c r="C2364" s="4">
        <f>VLOOKUP(Googleadssales[[#This Row],[Ad_ID]],'[1]pre processed data'!A:C,3,0)</f>
        <v>116</v>
      </c>
      <c r="D2364" s="4">
        <f>VLOOKUP(Googleadssales[[#This Row],[Ad_ID]],'[1]pre processed data'!A:E,5,0)</f>
        <v>5001</v>
      </c>
      <c r="E2364" s="5" t="str">
        <f>VLOOKUP(Googleadssales[[#This Row],[Ad_ID]],[1]!Table3[[Ad_ID]:[Cost-imputed]],7,0)</f>
        <v>$186.67</v>
      </c>
      <c r="F2364" s="4">
        <f>VLOOKUP(Googleadssales[[#This Row],[Ad_ID]],'[1]pre processed data'!A:I,9,0)</f>
        <v>17</v>
      </c>
      <c r="G2364" s="4">
        <f>VLOOKUP(Googleadssales[[#This Row],[Ad_ID]],'[1]pre processed data'!A:K,11,0)</f>
        <v>5</v>
      </c>
      <c r="H2364" s="2">
        <f>Googleadssales[[#This Row],[Conversions]]/Googleadssales[[#This Row],[Clicks]]</f>
        <v>4.3103448275862072E-2</v>
      </c>
      <c r="I2364" t="str">
        <f>VLOOKUP(Googleadssales[[#This Row],[Ad_ID]],'[1]pre processed data'!A:O,15,0)</f>
        <v>$1340</v>
      </c>
      <c r="J2364" s="3">
        <f>VLOOKUP(Googleadssales[[#This Row],[Ad_ID]],'[1]pre processed data'!A:Q,17,0)</f>
        <v>45603</v>
      </c>
      <c r="K2364" t="str">
        <f>VLOOKUP(Googleadssales[[#This Row],[Ad_ID]],'[1]pre processed data'!A:R,18,0)</f>
        <v>Hyderabad</v>
      </c>
      <c r="L2364" t="str">
        <f>VLOOKUP(Googleadssales[[#This Row],[Ad_ID]],'[1]pre processed data'!A:S,19,0)</f>
        <v>Desktop</v>
      </c>
      <c r="M2364" t="str">
        <f>VLOOKUP(Googleadssales[[#This Row],[Ad_ID]],'[1]pre processed data'!A:T,20,0)</f>
        <v>analytics for data</v>
      </c>
    </row>
    <row r="2365" spans="1:13" x14ac:dyDescent="0.3">
      <c r="A2365" t="s">
        <v>2378</v>
      </c>
      <c r="B2365" t="s">
        <v>14</v>
      </c>
      <c r="C2365" s="4">
        <f>VLOOKUP(Googleadssales[[#This Row],[Ad_ID]],'[1]pre processed data'!A:C,3,0)</f>
        <v>93</v>
      </c>
      <c r="D2365" s="4">
        <f>VLOOKUP(Googleadssales[[#This Row],[Ad_ID]],'[1]pre processed data'!A:E,5,0)</f>
        <v>3802</v>
      </c>
      <c r="E2365" s="5" t="str">
        <f>VLOOKUP(Googleadssales[[#This Row],[Ad_ID]],[1]!Table3[[Ad_ID]:[Cost-imputed]],7,0)</f>
        <v>$215.52</v>
      </c>
      <c r="F2365" s="4">
        <f>VLOOKUP(Googleadssales[[#This Row],[Ad_ID]],'[1]pre processed data'!A:I,9,0)</f>
        <v>22</v>
      </c>
      <c r="G2365" s="4">
        <f>VLOOKUP(Googleadssales[[#This Row],[Ad_ID]],'[1]pre processed data'!A:K,11,0)</f>
        <v>7</v>
      </c>
      <c r="H2365" s="2">
        <f>Googleadssales[[#This Row],[Conversions]]/Googleadssales[[#This Row],[Clicks]]</f>
        <v>7.5268817204301078E-2</v>
      </c>
      <c r="I2365" t="str">
        <f>VLOOKUP(Googleadssales[[#This Row],[Ad_ID]],'[1]pre processed data'!A:O,15,0)</f>
        <v>$1513</v>
      </c>
      <c r="J2365" s="3">
        <f>VLOOKUP(Googleadssales[[#This Row],[Ad_ID]],'[1]pre processed data'!A:Q,17,0)</f>
        <v>45619</v>
      </c>
      <c r="K2365" t="str">
        <f>VLOOKUP(Googleadssales[[#This Row],[Ad_ID]],'[1]pre processed data'!A:R,18,0)</f>
        <v>Hyderabad</v>
      </c>
      <c r="L2365" t="str">
        <f>VLOOKUP(Googleadssales[[#This Row],[Ad_ID]],'[1]pre processed data'!A:S,19,0)</f>
        <v>Mobile</v>
      </c>
      <c r="M2365" t="str">
        <f>VLOOKUP(Googleadssales[[#This Row],[Ad_ID]],'[1]pre processed data'!A:T,20,0)</f>
        <v>online data analytic</v>
      </c>
    </row>
    <row r="2366" spans="1:13" x14ac:dyDescent="0.3">
      <c r="A2366" t="s">
        <v>2379</v>
      </c>
      <c r="B2366" t="s">
        <v>14</v>
      </c>
      <c r="C2366" s="4">
        <f>VLOOKUP(Googleadssales[[#This Row],[Ad_ID]],'[1]pre processed data'!A:C,3,0)</f>
        <v>159</v>
      </c>
      <c r="D2366" s="4">
        <f>VLOOKUP(Googleadssales[[#This Row],[Ad_ID]],'[1]pre processed data'!A:E,5,0)</f>
        <v>5584</v>
      </c>
      <c r="E2366" s="5" t="str">
        <f>VLOOKUP(Googleadssales[[#This Row],[Ad_ID]],[1]!Table3[[Ad_ID]:[Cost-imputed]],7,0)</f>
        <v>$249.46</v>
      </c>
      <c r="F2366" s="4">
        <f>VLOOKUP(Googleadssales[[#This Row],[Ad_ID]],'[1]pre processed data'!A:I,9,0)</f>
        <v>18</v>
      </c>
      <c r="G2366" s="4">
        <f>VLOOKUP(Googleadssales[[#This Row],[Ad_ID]],'[1]pre processed data'!A:K,11,0)</f>
        <v>8</v>
      </c>
      <c r="H2366" s="2">
        <f>Googleadssales[[#This Row],[Conversions]]/Googleadssales[[#This Row],[Clicks]]</f>
        <v>5.0314465408805034E-2</v>
      </c>
      <c r="I2366" t="str">
        <f>VLOOKUP(Googleadssales[[#This Row],[Ad_ID]],'[1]pre processed data'!A:O,15,0)</f>
        <v>$1176</v>
      </c>
      <c r="J2366" s="3">
        <f>VLOOKUP(Googleadssales[[#This Row],[Ad_ID]],'[1]pre processed data'!A:Q,17,0)</f>
        <v>45605</v>
      </c>
      <c r="K2366" t="str">
        <f>VLOOKUP(Googleadssales[[#This Row],[Ad_ID]],'[1]pre processed data'!A:R,18,0)</f>
        <v>Hyderabad</v>
      </c>
      <c r="L2366" t="str">
        <f>VLOOKUP(Googleadssales[[#This Row],[Ad_ID]],'[1]pre processed data'!A:S,19,0)</f>
        <v>Desktop</v>
      </c>
      <c r="M2366" t="str">
        <f>VLOOKUP(Googleadssales[[#This Row],[Ad_ID]],'[1]pre processed data'!A:T,20,0)</f>
        <v>analytics for data</v>
      </c>
    </row>
    <row r="2367" spans="1:13" x14ac:dyDescent="0.3">
      <c r="A2367" t="s">
        <v>2380</v>
      </c>
      <c r="B2367" t="s">
        <v>14</v>
      </c>
      <c r="C2367" s="4">
        <f>VLOOKUP(Googleadssales[[#This Row],[Ad_ID]],'[1]pre processed data'!A:C,3,0)</f>
        <v>146</v>
      </c>
      <c r="D2367" s="4">
        <f>VLOOKUP(Googleadssales[[#This Row],[Ad_ID]],'[1]pre processed data'!A:E,5,0)</f>
        <v>5105</v>
      </c>
      <c r="E2367" s="5" t="str">
        <f>VLOOKUP(Googleadssales[[#This Row],[Ad_ID]],[1]!Table3[[Ad_ID]:[Cost-imputed]],7,0)</f>
        <v>$224.77</v>
      </c>
      <c r="F2367" s="4">
        <f>VLOOKUP(Googleadssales[[#This Row],[Ad_ID]],'[1]pre processed data'!A:I,9,0)</f>
        <v>12</v>
      </c>
      <c r="G2367" s="4">
        <f>VLOOKUP(Googleadssales[[#This Row],[Ad_ID]],'[1]pre processed data'!A:K,11,0)</f>
        <v>7</v>
      </c>
      <c r="H2367" s="2">
        <f>Googleadssales[[#This Row],[Conversions]]/Googleadssales[[#This Row],[Clicks]]</f>
        <v>4.7945205479452052E-2</v>
      </c>
      <c r="I2367" t="str">
        <f>VLOOKUP(Googleadssales[[#This Row],[Ad_ID]],'[1]pre processed data'!A:O,15,0)</f>
        <v>$1440</v>
      </c>
      <c r="J2367" s="3">
        <f>VLOOKUP(Googleadssales[[#This Row],[Ad_ID]],'[1]pre processed data'!A:Q,17,0)</f>
        <v>45601</v>
      </c>
      <c r="K2367" t="str">
        <f>VLOOKUP(Googleadssales[[#This Row],[Ad_ID]],'[1]pre processed data'!A:R,18,0)</f>
        <v>Hyderabad</v>
      </c>
      <c r="L2367" t="str">
        <f>VLOOKUP(Googleadssales[[#This Row],[Ad_ID]],'[1]pre processed data'!A:S,19,0)</f>
        <v>Mobile</v>
      </c>
      <c r="M2367" t="str">
        <f>VLOOKUP(Googleadssales[[#This Row],[Ad_ID]],'[1]pre processed data'!A:T,20,0)</f>
        <v>analytics for data</v>
      </c>
    </row>
    <row r="2368" spans="1:13" x14ac:dyDescent="0.3">
      <c r="A2368" t="s">
        <v>2381</v>
      </c>
      <c r="B2368" t="s">
        <v>18</v>
      </c>
      <c r="C2368" s="4">
        <f>VLOOKUP(Googleadssales[[#This Row],[Ad_ID]],'[1]pre processed data'!A:C,3,0)</f>
        <v>136</v>
      </c>
      <c r="D2368" s="4">
        <f>VLOOKUP(Googleadssales[[#This Row],[Ad_ID]],'[1]pre processed data'!A:E,5,0)</f>
        <v>5714</v>
      </c>
      <c r="E2368" s="5" t="str">
        <f>VLOOKUP(Googleadssales[[#This Row],[Ad_ID]],[1]!Table3[[Ad_ID]:[Cost-imputed]],7,0)</f>
        <v>$190.3</v>
      </c>
      <c r="F2368" s="4">
        <f>VLOOKUP(Googleadssales[[#This Row],[Ad_ID]],'[1]pre processed data'!A:I,9,0)</f>
        <v>19</v>
      </c>
      <c r="G2368" s="4">
        <f>VLOOKUP(Googleadssales[[#This Row],[Ad_ID]],'[1]pre processed data'!A:K,11,0)</f>
        <v>8</v>
      </c>
      <c r="H2368" s="2">
        <f>Googleadssales[[#This Row],[Conversions]]/Googleadssales[[#This Row],[Clicks]]</f>
        <v>5.8823529411764705E-2</v>
      </c>
      <c r="I2368" t="str">
        <f>VLOOKUP(Googleadssales[[#This Row],[Ad_ID]],'[1]pre processed data'!A:O,15,0)</f>
        <v>$1694</v>
      </c>
      <c r="J2368" s="3">
        <f>VLOOKUP(Googleadssales[[#This Row],[Ad_ID]],'[1]pre processed data'!A:Q,17,0)</f>
        <v>45626</v>
      </c>
      <c r="K2368" t="str">
        <f>VLOOKUP(Googleadssales[[#This Row],[Ad_ID]],'[1]pre processed data'!A:R,18,0)</f>
        <v>Bangaluru</v>
      </c>
      <c r="L2368" t="str">
        <f>VLOOKUP(Googleadssales[[#This Row],[Ad_ID]],'[1]pre processed data'!A:S,19,0)</f>
        <v>Desktop</v>
      </c>
      <c r="M2368" t="str">
        <f>VLOOKUP(Googleadssales[[#This Row],[Ad_ID]],'[1]pre processed data'!A:T,20,0)</f>
        <v>data analytics training</v>
      </c>
    </row>
    <row r="2369" spans="1:13" x14ac:dyDescent="0.3">
      <c r="A2369" t="s">
        <v>2382</v>
      </c>
      <c r="B2369" t="s">
        <v>14</v>
      </c>
      <c r="C2369" s="4">
        <f>VLOOKUP(Googleadssales[[#This Row],[Ad_ID]],'[1]pre processed data'!A:C,3,0)</f>
        <v>159</v>
      </c>
      <c r="D2369" s="4">
        <f>VLOOKUP(Googleadssales[[#This Row],[Ad_ID]],'[1]pre processed data'!A:E,5,0)</f>
        <v>5025</v>
      </c>
      <c r="E2369" s="5" t="str">
        <f>VLOOKUP(Googleadssales[[#This Row],[Ad_ID]],[1]!Table3[[Ad_ID]:[Cost-imputed]],7,0)</f>
        <v>$208.68</v>
      </c>
      <c r="F2369" s="4">
        <f>VLOOKUP(Googleadssales[[#This Row],[Ad_ID]],'[1]pre processed data'!A:I,9,0)</f>
        <v>16</v>
      </c>
      <c r="G2369" s="4">
        <f>VLOOKUP(Googleadssales[[#This Row],[Ad_ID]],'[1]pre processed data'!A:K,11,0)</f>
        <v>4</v>
      </c>
      <c r="H2369" s="2">
        <f>Googleadssales[[#This Row],[Conversions]]/Googleadssales[[#This Row],[Clicks]]</f>
        <v>2.5157232704402517E-2</v>
      </c>
      <c r="I2369" t="str">
        <f>VLOOKUP(Googleadssales[[#This Row],[Ad_ID]],'[1]pre processed data'!A:O,15,0)</f>
        <v>$1779</v>
      </c>
      <c r="J2369" s="3">
        <f>VLOOKUP(Googleadssales[[#This Row],[Ad_ID]],'[1]pre processed data'!A:Q,17,0)</f>
        <v>45617</v>
      </c>
      <c r="K2369" t="str">
        <f>VLOOKUP(Googleadssales[[#This Row],[Ad_ID]],'[1]pre processed data'!A:R,18,0)</f>
        <v>Hyderabad</v>
      </c>
      <c r="L2369" t="str">
        <f>VLOOKUP(Googleadssales[[#This Row],[Ad_ID]],'[1]pre processed data'!A:S,19,0)</f>
        <v>Mobile</v>
      </c>
      <c r="M2369" t="str">
        <f>VLOOKUP(Googleadssales[[#This Row],[Ad_ID]],'[1]pre processed data'!A:T,20,0)</f>
        <v>online data analytic</v>
      </c>
    </row>
    <row r="2370" spans="1:13" x14ac:dyDescent="0.3">
      <c r="A2370" t="s">
        <v>2383</v>
      </c>
      <c r="B2370" t="s">
        <v>14</v>
      </c>
      <c r="C2370" s="4">
        <f>VLOOKUP(Googleadssales[[#This Row],[Ad_ID]],'[1]pre processed data'!A:C,3,0)</f>
        <v>83</v>
      </c>
      <c r="D2370" s="4">
        <f>VLOOKUP(Googleadssales[[#This Row],[Ad_ID]],'[1]pre processed data'!A:E,5,0)</f>
        <v>3781</v>
      </c>
      <c r="E2370" s="5" t="str">
        <f>VLOOKUP(Googleadssales[[#This Row],[Ad_ID]],[1]!Table3[[Ad_ID]:[Cost-imputed]],7,0)</f>
        <v>$220.82</v>
      </c>
      <c r="F2370" s="4">
        <f>VLOOKUP(Googleadssales[[#This Row],[Ad_ID]],'[1]pre processed data'!A:I,9,0)</f>
        <v>11</v>
      </c>
      <c r="G2370" s="4">
        <f>VLOOKUP(Googleadssales[[#This Row],[Ad_ID]],'[1]pre processed data'!A:K,11,0)</f>
        <v>4</v>
      </c>
      <c r="H2370" s="2">
        <f>Googleadssales[[#This Row],[Conversions]]/Googleadssales[[#This Row],[Clicks]]</f>
        <v>4.8192771084337352E-2</v>
      </c>
      <c r="I2370" t="str">
        <f>VLOOKUP(Googleadssales[[#This Row],[Ad_ID]],'[1]pre processed data'!A:O,15,0)</f>
        <v>$1866</v>
      </c>
      <c r="J2370" s="3">
        <f>VLOOKUP(Googleadssales[[#This Row],[Ad_ID]],'[1]pre processed data'!A:Q,17,0)</f>
        <v>45611</v>
      </c>
      <c r="K2370" t="str">
        <f>VLOOKUP(Googleadssales[[#This Row],[Ad_ID]],'[1]pre processed data'!A:R,18,0)</f>
        <v>Chennai</v>
      </c>
      <c r="L2370" t="str">
        <f>VLOOKUP(Googleadssales[[#This Row],[Ad_ID]],'[1]pre processed data'!A:S,19,0)</f>
        <v>Mobile</v>
      </c>
      <c r="M2370" t="str">
        <f>VLOOKUP(Googleadssales[[#This Row],[Ad_ID]],'[1]pre processed data'!A:T,20,0)</f>
        <v>data analytics training</v>
      </c>
    </row>
    <row r="2371" spans="1:13" x14ac:dyDescent="0.3">
      <c r="A2371" t="s">
        <v>2384</v>
      </c>
      <c r="B2371" t="s">
        <v>14</v>
      </c>
      <c r="C2371" s="4">
        <f>VLOOKUP(Googleadssales[[#This Row],[Ad_ID]],'[1]pre processed data'!A:C,3,0)</f>
        <v>136</v>
      </c>
      <c r="D2371" s="4">
        <f>VLOOKUP(Googleadssales[[#This Row],[Ad_ID]],'[1]pre processed data'!A:E,5,0)</f>
        <v>3318</v>
      </c>
      <c r="E2371" s="5" t="str">
        <f>VLOOKUP(Googleadssales[[#This Row],[Ad_ID]],[1]!Table3[[Ad_ID]:[Cost-imputed]],7,0)</f>
        <v>$215.86</v>
      </c>
      <c r="F2371" s="4">
        <f>VLOOKUP(Googleadssales[[#This Row],[Ad_ID]],'[1]pre processed data'!A:I,9,0)</f>
        <v>20</v>
      </c>
      <c r="G2371" s="4">
        <f>VLOOKUP(Googleadssales[[#This Row],[Ad_ID]],'[1]pre processed data'!A:K,11,0)</f>
        <v>8</v>
      </c>
      <c r="H2371" s="2">
        <f>Googleadssales[[#This Row],[Conversions]]/Googleadssales[[#This Row],[Clicks]]</f>
        <v>5.8823529411764705E-2</v>
      </c>
      <c r="I2371" t="str">
        <f>VLOOKUP(Googleadssales[[#This Row],[Ad_ID]],'[1]pre processed data'!A:O,15,0)</f>
        <v>$1712</v>
      </c>
      <c r="J2371" s="3">
        <f>VLOOKUP(Googleadssales[[#This Row],[Ad_ID]],'[1]pre processed data'!A:Q,17,0)</f>
        <v>45617</v>
      </c>
      <c r="K2371" t="str">
        <f>VLOOKUP(Googleadssales[[#This Row],[Ad_ID]],'[1]pre processed data'!A:R,18,0)</f>
        <v>Hyderabad</v>
      </c>
      <c r="L2371" t="str">
        <f>VLOOKUP(Googleadssales[[#This Row],[Ad_ID]],'[1]pre processed data'!A:S,19,0)</f>
        <v>Tablet</v>
      </c>
      <c r="M2371" t="str">
        <f>VLOOKUP(Googleadssales[[#This Row],[Ad_ID]],'[1]pre processed data'!A:T,20,0)</f>
        <v>data analytics online</v>
      </c>
    </row>
    <row r="2372" spans="1:13" x14ac:dyDescent="0.3">
      <c r="A2372" t="s">
        <v>2385</v>
      </c>
      <c r="B2372" t="s">
        <v>18</v>
      </c>
      <c r="C2372" s="4">
        <f>VLOOKUP(Googleadssales[[#This Row],[Ad_ID]],'[1]pre processed data'!A:C,3,0)</f>
        <v>136</v>
      </c>
      <c r="D2372" s="4">
        <f>VLOOKUP(Googleadssales[[#This Row],[Ad_ID]],'[1]pre processed data'!A:E,5,0)</f>
        <v>3939</v>
      </c>
      <c r="E2372" s="5" t="str">
        <f>VLOOKUP(Googleadssales[[#This Row],[Ad_ID]],[1]!Table3[[Ad_ID]:[Cost-imputed]],7,0)</f>
        <v>$213.66</v>
      </c>
      <c r="F2372" s="4">
        <f>VLOOKUP(Googleadssales[[#This Row],[Ad_ID]],'[1]pre processed data'!A:I,9,0)</f>
        <v>16</v>
      </c>
      <c r="G2372" s="4">
        <f>VLOOKUP(Googleadssales[[#This Row],[Ad_ID]],'[1]pre processed data'!A:K,11,0)</f>
        <v>6</v>
      </c>
      <c r="H2372" s="2">
        <f>Googleadssales[[#This Row],[Conversions]]/Googleadssales[[#This Row],[Clicks]]</f>
        <v>4.4117647058823532E-2</v>
      </c>
      <c r="I2372" t="str">
        <f>VLOOKUP(Googleadssales[[#This Row],[Ad_ID]],'[1]pre processed data'!A:O,15,0)</f>
        <v>$1708</v>
      </c>
      <c r="J2372" s="3">
        <f>VLOOKUP(Googleadssales[[#This Row],[Ad_ID]],'[1]pre processed data'!A:Q,17,0)</f>
        <v>45617</v>
      </c>
      <c r="K2372" t="str">
        <f>VLOOKUP(Googleadssales[[#This Row],[Ad_ID]],'[1]pre processed data'!A:R,18,0)</f>
        <v>Hyderabad</v>
      </c>
      <c r="L2372" t="str">
        <f>VLOOKUP(Googleadssales[[#This Row],[Ad_ID]],'[1]pre processed data'!A:S,19,0)</f>
        <v>Tablet</v>
      </c>
      <c r="M2372" t="str">
        <f>VLOOKUP(Googleadssales[[#This Row],[Ad_ID]],'[1]pre processed data'!A:T,20,0)</f>
        <v>online data analytic</v>
      </c>
    </row>
    <row r="2373" spans="1:13" x14ac:dyDescent="0.3">
      <c r="A2373" t="s">
        <v>2386</v>
      </c>
      <c r="B2373" t="s">
        <v>14</v>
      </c>
      <c r="C2373" s="4">
        <f>VLOOKUP(Googleadssales[[#This Row],[Ad_ID]],'[1]pre processed data'!A:C,3,0)</f>
        <v>166</v>
      </c>
      <c r="D2373" s="4">
        <f>VLOOKUP(Googleadssales[[#This Row],[Ad_ID]],'[1]pre processed data'!A:E,5,0)</f>
        <v>3546</v>
      </c>
      <c r="E2373" s="5" t="str">
        <f>VLOOKUP(Googleadssales[[#This Row],[Ad_ID]],[1]!Table3[[Ad_ID]:[Cost-imputed]],7,0)</f>
        <v>$221.99</v>
      </c>
      <c r="F2373" s="4">
        <f>VLOOKUP(Googleadssales[[#This Row],[Ad_ID]],'[1]pre processed data'!A:I,9,0)</f>
        <v>10</v>
      </c>
      <c r="G2373" s="4">
        <f>VLOOKUP(Googleadssales[[#This Row],[Ad_ID]],'[1]pre processed data'!A:K,11,0)</f>
        <v>3</v>
      </c>
      <c r="H2373" s="2">
        <f>Googleadssales[[#This Row],[Conversions]]/Googleadssales[[#This Row],[Clicks]]</f>
        <v>1.8072289156626505E-2</v>
      </c>
      <c r="I2373" t="str">
        <f>VLOOKUP(Googleadssales[[#This Row],[Ad_ID]],'[1]pre processed data'!A:O,15,0)</f>
        <v>$1796</v>
      </c>
      <c r="J2373" s="3">
        <f>VLOOKUP(Googleadssales[[#This Row],[Ad_ID]],'[1]pre processed data'!A:Q,17,0)</f>
        <v>45608</v>
      </c>
      <c r="K2373" t="str">
        <f>VLOOKUP(Googleadssales[[#This Row],[Ad_ID]],'[1]pre processed data'!A:R,18,0)</f>
        <v>Hyderabad</v>
      </c>
      <c r="L2373" t="str">
        <f>VLOOKUP(Googleadssales[[#This Row],[Ad_ID]],'[1]pre processed data'!A:S,19,0)</f>
        <v>Desktop</v>
      </c>
      <c r="M2373" t="str">
        <f>VLOOKUP(Googleadssales[[#This Row],[Ad_ID]],'[1]pre processed data'!A:T,20,0)</f>
        <v>learn data analytics</v>
      </c>
    </row>
    <row r="2374" spans="1:13" x14ac:dyDescent="0.3">
      <c r="A2374" t="s">
        <v>2387</v>
      </c>
      <c r="B2374" t="s">
        <v>14</v>
      </c>
      <c r="C2374" s="4">
        <f>VLOOKUP(Googleadssales[[#This Row],[Ad_ID]],'[1]pre processed data'!A:C,3,0)</f>
        <v>192</v>
      </c>
      <c r="D2374" s="4">
        <f>VLOOKUP(Googleadssales[[#This Row],[Ad_ID]],'[1]pre processed data'!A:E,5,0)</f>
        <v>5845</v>
      </c>
      <c r="E2374" s="5" t="str">
        <f>VLOOKUP(Googleadssales[[#This Row],[Ad_ID]],[1]!Table3[[Ad_ID]:[Cost-imputed]],7,0)</f>
        <v>$247.56</v>
      </c>
      <c r="F2374" s="4">
        <f>VLOOKUP(Googleadssales[[#This Row],[Ad_ID]],'[1]pre processed data'!A:I,9,0)</f>
        <v>28</v>
      </c>
      <c r="G2374" s="4">
        <f>VLOOKUP(Googleadssales[[#This Row],[Ad_ID]],'[1]pre processed data'!A:K,11,0)</f>
        <v>3</v>
      </c>
      <c r="H2374" s="2">
        <f>Googleadssales[[#This Row],[Conversions]]/Googleadssales[[#This Row],[Clicks]]</f>
        <v>1.5625E-2</v>
      </c>
      <c r="I2374" t="str">
        <f>VLOOKUP(Googleadssales[[#This Row],[Ad_ID]],'[1]pre processed data'!A:O,15,0)</f>
        <v>$1542</v>
      </c>
      <c r="J2374" s="3">
        <f>VLOOKUP(Googleadssales[[#This Row],[Ad_ID]],'[1]pre processed data'!A:Q,17,0)</f>
        <v>45615</v>
      </c>
      <c r="K2374" t="str">
        <f>VLOOKUP(Googleadssales[[#This Row],[Ad_ID]],'[1]pre processed data'!A:R,18,0)</f>
        <v>Chennai</v>
      </c>
      <c r="L2374" t="str">
        <f>VLOOKUP(Googleadssales[[#This Row],[Ad_ID]],'[1]pre processed data'!A:S,19,0)</f>
        <v>Desktop</v>
      </c>
      <c r="M2374" t="str">
        <f>VLOOKUP(Googleadssales[[#This Row],[Ad_ID]],'[1]pre processed data'!A:T,20,0)</f>
        <v>analytics for data</v>
      </c>
    </row>
    <row r="2375" spans="1:13" x14ac:dyDescent="0.3">
      <c r="A2375" t="s">
        <v>2388</v>
      </c>
      <c r="B2375" t="s">
        <v>14</v>
      </c>
      <c r="C2375" s="4">
        <f>VLOOKUP(Googleadssales[[#This Row],[Ad_ID]],'[1]pre processed data'!A:C,3,0)</f>
        <v>138.95699356913184</v>
      </c>
      <c r="D2375" s="4">
        <f>VLOOKUP(Googleadssales[[#This Row],[Ad_ID]],'[1]pre processed data'!A:E,5,0)</f>
        <v>3580</v>
      </c>
      <c r="E2375" s="5" t="str">
        <f>VLOOKUP(Googleadssales[[#This Row],[Ad_ID]],[1]!Table3[[Ad_ID]:[Cost-imputed]],7,0)</f>
        <v>$223.48</v>
      </c>
      <c r="F2375" s="4">
        <f>VLOOKUP(Googleadssales[[#This Row],[Ad_ID]],'[1]pre processed data'!A:I,9,0)</f>
        <v>21</v>
      </c>
      <c r="G2375" s="4">
        <f>VLOOKUP(Googleadssales[[#This Row],[Ad_ID]],'[1]pre processed data'!A:K,11,0)</f>
        <v>6</v>
      </c>
      <c r="H2375" s="2">
        <f>Googleadssales[[#This Row],[Conversions]]/Googleadssales[[#This Row],[Clicks]]</f>
        <v>4.317882710246583E-2</v>
      </c>
      <c r="I2375" t="str">
        <f>VLOOKUP(Googleadssales[[#This Row],[Ad_ID]],'[1]pre processed data'!A:O,15,0)</f>
        <v>$1555</v>
      </c>
      <c r="J2375" s="3">
        <f>VLOOKUP(Googleadssales[[#This Row],[Ad_ID]],'[1]pre processed data'!A:Q,17,0)</f>
        <v>45623</v>
      </c>
      <c r="K2375" t="str">
        <f>VLOOKUP(Googleadssales[[#This Row],[Ad_ID]],'[1]pre processed data'!A:R,18,0)</f>
        <v>Hyderabad</v>
      </c>
      <c r="L2375" t="str">
        <f>VLOOKUP(Googleadssales[[#This Row],[Ad_ID]],'[1]pre processed data'!A:S,19,0)</f>
        <v>Tablet</v>
      </c>
      <c r="M2375" t="str">
        <f>VLOOKUP(Googleadssales[[#This Row],[Ad_ID]],'[1]pre processed data'!A:T,20,0)</f>
        <v>data analytics course</v>
      </c>
    </row>
    <row r="2376" spans="1:13" x14ac:dyDescent="0.3">
      <c r="A2376" t="s">
        <v>2389</v>
      </c>
      <c r="B2376" t="s">
        <v>18</v>
      </c>
      <c r="C2376" s="4">
        <f>VLOOKUP(Googleadssales[[#This Row],[Ad_ID]],'[1]pre processed data'!A:C,3,0)</f>
        <v>108</v>
      </c>
      <c r="D2376" s="4">
        <f>VLOOKUP(Googleadssales[[#This Row],[Ad_ID]],'[1]pre processed data'!A:E,5,0)</f>
        <v>4019</v>
      </c>
      <c r="E2376" s="5" t="str">
        <f>VLOOKUP(Googleadssales[[#This Row],[Ad_ID]],[1]!Table3[[Ad_ID]:[Cost-imputed]],7,0)</f>
        <v>$199.85</v>
      </c>
      <c r="F2376" s="4">
        <f>VLOOKUP(Googleadssales[[#This Row],[Ad_ID]],'[1]pre processed data'!A:I,9,0)</f>
        <v>25</v>
      </c>
      <c r="G2376" s="4">
        <f>VLOOKUP(Googleadssales[[#This Row],[Ad_ID]],'[1]pre processed data'!A:K,11,0)</f>
        <v>8</v>
      </c>
      <c r="H2376" s="2">
        <f>Googleadssales[[#This Row],[Conversions]]/Googleadssales[[#This Row],[Clicks]]</f>
        <v>7.407407407407407E-2</v>
      </c>
      <c r="I2376" t="str">
        <f>VLOOKUP(Googleadssales[[#This Row],[Ad_ID]],'[1]pre processed data'!A:O,15,0)</f>
        <v>$1657</v>
      </c>
      <c r="J2376" s="3">
        <f>VLOOKUP(Googleadssales[[#This Row],[Ad_ID]],'[1]pre processed data'!A:Q,17,0)</f>
        <v>45598</v>
      </c>
      <c r="K2376" t="str">
        <f>VLOOKUP(Googleadssales[[#This Row],[Ad_ID]],'[1]pre processed data'!A:R,18,0)</f>
        <v>Hyderabad</v>
      </c>
      <c r="L2376" t="str">
        <f>VLOOKUP(Googleadssales[[#This Row],[Ad_ID]],'[1]pre processed data'!A:S,19,0)</f>
        <v>Tablet</v>
      </c>
      <c r="M2376" t="str">
        <f>VLOOKUP(Googleadssales[[#This Row],[Ad_ID]],'[1]pre processed data'!A:T,20,0)</f>
        <v>learn data analytics</v>
      </c>
    </row>
    <row r="2377" spans="1:13" x14ac:dyDescent="0.3">
      <c r="A2377" t="s">
        <v>2390</v>
      </c>
      <c r="B2377" t="s">
        <v>18</v>
      </c>
      <c r="C2377" s="4">
        <f>VLOOKUP(Googleadssales[[#This Row],[Ad_ID]],'[1]pre processed data'!A:C,3,0)</f>
        <v>175</v>
      </c>
      <c r="D2377" s="4">
        <f>VLOOKUP(Googleadssales[[#This Row],[Ad_ID]],'[1]pre processed data'!A:E,5,0)</f>
        <v>3345</v>
      </c>
      <c r="E2377" s="5" t="str">
        <f>VLOOKUP(Googleadssales[[#This Row],[Ad_ID]],[1]!Table3[[Ad_ID]:[Cost-imputed]],7,0)</f>
        <v>$185.48</v>
      </c>
      <c r="F2377" s="4">
        <f>VLOOKUP(Googleadssales[[#This Row],[Ad_ID]],'[1]pre processed data'!A:I,9,0)</f>
        <v>23</v>
      </c>
      <c r="G2377" s="4">
        <f>VLOOKUP(Googleadssales[[#This Row],[Ad_ID]],'[1]pre processed data'!A:K,11,0)</f>
        <v>9</v>
      </c>
      <c r="H2377" s="2">
        <f>Googleadssales[[#This Row],[Conversions]]/Googleadssales[[#This Row],[Clicks]]</f>
        <v>5.1428571428571428E-2</v>
      </c>
      <c r="I2377" t="str">
        <f>VLOOKUP(Googleadssales[[#This Row],[Ad_ID]],'[1]pre processed data'!A:O,15,0)</f>
        <v>$1193</v>
      </c>
      <c r="J2377" s="3">
        <f>VLOOKUP(Googleadssales[[#This Row],[Ad_ID]],'[1]pre processed data'!A:Q,17,0)</f>
        <v>45616</v>
      </c>
      <c r="K2377" t="str">
        <f>VLOOKUP(Googleadssales[[#This Row],[Ad_ID]],'[1]pre processed data'!A:R,18,0)</f>
        <v>Hyderabad</v>
      </c>
      <c r="L2377" t="str">
        <f>VLOOKUP(Googleadssales[[#This Row],[Ad_ID]],'[1]pre processed data'!A:S,19,0)</f>
        <v>Desktop</v>
      </c>
      <c r="M2377" t="str">
        <f>VLOOKUP(Googleadssales[[#This Row],[Ad_ID]],'[1]pre processed data'!A:T,20,0)</f>
        <v>data analytics online</v>
      </c>
    </row>
    <row r="2378" spans="1:13" x14ac:dyDescent="0.3">
      <c r="A2378" t="s">
        <v>2391</v>
      </c>
      <c r="B2378" t="s">
        <v>14</v>
      </c>
      <c r="C2378" s="4">
        <f>VLOOKUP(Googleadssales[[#This Row],[Ad_ID]],'[1]pre processed data'!A:C,3,0)</f>
        <v>80</v>
      </c>
      <c r="D2378" s="4">
        <f>VLOOKUP(Googleadssales[[#This Row],[Ad_ID]],'[1]pre processed data'!A:E,5,0)</f>
        <v>4413</v>
      </c>
      <c r="E2378" s="5" t="str">
        <f>VLOOKUP(Googleadssales[[#This Row],[Ad_ID]],[1]!Table3[[Ad_ID]:[Cost-imputed]],7,0)</f>
        <v>$245.4</v>
      </c>
      <c r="F2378" s="4">
        <f>VLOOKUP(Googleadssales[[#This Row],[Ad_ID]],'[1]pre processed data'!A:I,9,0)</f>
        <v>10</v>
      </c>
      <c r="G2378" s="4">
        <f>VLOOKUP(Googleadssales[[#This Row],[Ad_ID]],'[1]pre processed data'!A:K,11,0)</f>
        <v>5</v>
      </c>
      <c r="H2378" s="2">
        <f>Googleadssales[[#This Row],[Conversions]]/Googleadssales[[#This Row],[Clicks]]</f>
        <v>6.25E-2</v>
      </c>
      <c r="I2378" t="str">
        <f>VLOOKUP(Googleadssales[[#This Row],[Ad_ID]],'[1]pre processed data'!A:O,15,0)</f>
        <v>$1650</v>
      </c>
      <c r="J2378" s="3">
        <f>VLOOKUP(Googleadssales[[#This Row],[Ad_ID]],'[1]pre processed data'!A:Q,17,0)</f>
        <v>45599</v>
      </c>
      <c r="K2378" t="str">
        <f>VLOOKUP(Googleadssales[[#This Row],[Ad_ID]],'[1]pre processed data'!A:R,18,0)</f>
        <v>Hyderabad</v>
      </c>
      <c r="L2378" t="str">
        <f>VLOOKUP(Googleadssales[[#This Row],[Ad_ID]],'[1]pre processed data'!A:S,19,0)</f>
        <v>Mobile</v>
      </c>
      <c r="M2378" t="str">
        <f>VLOOKUP(Googleadssales[[#This Row],[Ad_ID]],'[1]pre processed data'!A:T,20,0)</f>
        <v>data analytics course</v>
      </c>
    </row>
    <row r="2379" spans="1:13" x14ac:dyDescent="0.3">
      <c r="A2379" t="s">
        <v>2392</v>
      </c>
      <c r="B2379" t="s">
        <v>14</v>
      </c>
      <c r="C2379" s="4">
        <f>VLOOKUP(Googleadssales[[#This Row],[Ad_ID]],'[1]pre processed data'!A:C,3,0)</f>
        <v>192</v>
      </c>
      <c r="D2379" s="4">
        <f>VLOOKUP(Googleadssales[[#This Row],[Ad_ID]],'[1]pre processed data'!A:E,5,0)</f>
        <v>4969</v>
      </c>
      <c r="E2379" s="5" t="str">
        <f>VLOOKUP(Googleadssales[[#This Row],[Ad_ID]],[1]!Table3[[Ad_ID]:[Cost-imputed]],7,0)</f>
        <v>$234.27</v>
      </c>
      <c r="F2379" s="4">
        <f>VLOOKUP(Googleadssales[[#This Row],[Ad_ID]],'[1]pre processed data'!A:I,9,0)</f>
        <v>30</v>
      </c>
      <c r="G2379" s="4">
        <f>VLOOKUP(Googleadssales[[#This Row],[Ad_ID]],'[1]pre processed data'!A:K,11,0)</f>
        <v>5</v>
      </c>
      <c r="H2379" s="2">
        <f>Googleadssales[[#This Row],[Conversions]]/Googleadssales[[#This Row],[Clicks]]</f>
        <v>2.6041666666666668E-2</v>
      </c>
      <c r="I2379" t="str">
        <f>VLOOKUP(Googleadssales[[#This Row],[Ad_ID]],'[1]pre processed data'!A:O,15,0)</f>
        <v>$1627</v>
      </c>
      <c r="J2379" s="3">
        <f>VLOOKUP(Googleadssales[[#This Row],[Ad_ID]],'[1]pre processed data'!A:Q,17,0)</f>
        <v>45613</v>
      </c>
      <c r="K2379" t="str">
        <f>VLOOKUP(Googleadssales[[#This Row],[Ad_ID]],'[1]pre processed data'!A:R,18,0)</f>
        <v>Hyderabad</v>
      </c>
      <c r="L2379" t="str">
        <f>VLOOKUP(Googleadssales[[#This Row],[Ad_ID]],'[1]pre processed data'!A:S,19,0)</f>
        <v>Tablet</v>
      </c>
      <c r="M2379" t="str">
        <f>VLOOKUP(Googleadssales[[#This Row],[Ad_ID]],'[1]pre processed data'!A:T,20,0)</f>
        <v>data analytics course</v>
      </c>
    </row>
    <row r="2380" spans="1:13" x14ac:dyDescent="0.3">
      <c r="A2380" t="s">
        <v>2393</v>
      </c>
      <c r="B2380" t="s">
        <v>14</v>
      </c>
      <c r="C2380" s="4">
        <f>VLOOKUP(Googleadssales[[#This Row],[Ad_ID]],'[1]pre processed data'!A:C,3,0)</f>
        <v>85</v>
      </c>
      <c r="D2380" s="4">
        <f>VLOOKUP(Googleadssales[[#This Row],[Ad_ID]],'[1]pre processed data'!A:E,5,0)</f>
        <v>5083</v>
      </c>
      <c r="E2380" s="5" t="str">
        <f>VLOOKUP(Googleadssales[[#This Row],[Ad_ID]],[1]!Table3[[Ad_ID]:[Cost-imputed]],7,0)</f>
        <v>$181.19</v>
      </c>
      <c r="F2380" s="4">
        <f>VLOOKUP(Googleadssales[[#This Row],[Ad_ID]],'[1]pre processed data'!A:I,9,0)</f>
        <v>13</v>
      </c>
      <c r="G2380" s="4">
        <f>VLOOKUP(Googleadssales[[#This Row],[Ad_ID]],'[1]pre processed data'!A:K,11,0)</f>
        <v>3</v>
      </c>
      <c r="H2380" s="2">
        <f>Googleadssales[[#This Row],[Conversions]]/Googleadssales[[#This Row],[Clicks]]</f>
        <v>3.5294117647058823E-2</v>
      </c>
      <c r="I2380" t="str">
        <f>VLOOKUP(Googleadssales[[#This Row],[Ad_ID]],'[1]pre processed data'!A:O,15,0)</f>
        <v>$1048</v>
      </c>
      <c r="J2380" s="3">
        <f>VLOOKUP(Googleadssales[[#This Row],[Ad_ID]],'[1]pre processed data'!A:Q,17,0)</f>
        <v>45607</v>
      </c>
      <c r="K2380" t="str">
        <f>VLOOKUP(Googleadssales[[#This Row],[Ad_ID]],'[1]pre processed data'!A:R,18,0)</f>
        <v>Hyderabad</v>
      </c>
      <c r="L2380" t="str">
        <f>VLOOKUP(Googleadssales[[#This Row],[Ad_ID]],'[1]pre processed data'!A:S,19,0)</f>
        <v>Mobile</v>
      </c>
      <c r="M2380" t="str">
        <f>VLOOKUP(Googleadssales[[#This Row],[Ad_ID]],'[1]pre processed data'!A:T,20,0)</f>
        <v>data analytics course</v>
      </c>
    </row>
    <row r="2381" spans="1:13" x14ac:dyDescent="0.3">
      <c r="A2381" t="s">
        <v>2394</v>
      </c>
      <c r="B2381" t="s">
        <v>14</v>
      </c>
      <c r="C2381" s="4">
        <f>VLOOKUP(Googleadssales[[#This Row],[Ad_ID]],'[1]pre processed data'!A:C,3,0)</f>
        <v>91</v>
      </c>
      <c r="D2381" s="4">
        <f>VLOOKUP(Googleadssales[[#This Row],[Ad_ID]],'[1]pre processed data'!A:E,5,0)</f>
        <v>4176</v>
      </c>
      <c r="E2381" s="5" t="str">
        <f>VLOOKUP(Googleadssales[[#This Row],[Ad_ID]],[1]!Table3[[Ad_ID]:[Cost-imputed]],7,0)</f>
        <v>$216.63</v>
      </c>
      <c r="F2381" s="4">
        <f>VLOOKUP(Googleadssales[[#This Row],[Ad_ID]],'[1]pre processed data'!A:I,9,0)</f>
        <v>20</v>
      </c>
      <c r="G2381" s="4">
        <f>VLOOKUP(Googleadssales[[#This Row],[Ad_ID]],'[1]pre processed data'!A:K,11,0)</f>
        <v>8</v>
      </c>
      <c r="H2381" s="2">
        <f>Googleadssales[[#This Row],[Conversions]]/Googleadssales[[#This Row],[Clicks]]</f>
        <v>8.7912087912087919E-2</v>
      </c>
      <c r="I2381" t="str">
        <f>VLOOKUP(Googleadssales[[#This Row],[Ad_ID]],'[1]pre processed data'!A:O,15,0)</f>
        <v>$1502</v>
      </c>
      <c r="J2381" s="3">
        <f>VLOOKUP(Googleadssales[[#This Row],[Ad_ID]],'[1]pre processed data'!A:Q,17,0)</f>
        <v>45605</v>
      </c>
      <c r="K2381" t="str">
        <f>VLOOKUP(Googleadssales[[#This Row],[Ad_ID]],'[1]pre processed data'!A:R,18,0)</f>
        <v>Bangaluru</v>
      </c>
      <c r="L2381" t="str">
        <f>VLOOKUP(Googleadssales[[#This Row],[Ad_ID]],'[1]pre processed data'!A:S,19,0)</f>
        <v>Mobile</v>
      </c>
      <c r="M2381" t="str">
        <f>VLOOKUP(Googleadssales[[#This Row],[Ad_ID]],'[1]pre processed data'!A:T,20,0)</f>
        <v>data analytics course</v>
      </c>
    </row>
    <row r="2382" spans="1:13" x14ac:dyDescent="0.3">
      <c r="A2382" t="s">
        <v>2395</v>
      </c>
      <c r="B2382" t="s">
        <v>14</v>
      </c>
      <c r="C2382" s="4">
        <f>VLOOKUP(Googleadssales[[#This Row],[Ad_ID]],'[1]pre processed data'!A:C,3,0)</f>
        <v>94</v>
      </c>
      <c r="D2382" s="4">
        <f>VLOOKUP(Googleadssales[[#This Row],[Ad_ID]],'[1]pre processed data'!A:E,5,0)</f>
        <v>5389</v>
      </c>
      <c r="E2382" s="5" t="str">
        <f>VLOOKUP(Googleadssales[[#This Row],[Ad_ID]],[1]!Table3[[Ad_ID]:[Cost-imputed]],7,0)</f>
        <v>$220.53</v>
      </c>
      <c r="F2382" s="4">
        <f>VLOOKUP(Googleadssales[[#This Row],[Ad_ID]],'[1]pre processed data'!A:I,9,0)</f>
        <v>11</v>
      </c>
      <c r="G2382" s="4">
        <f>VLOOKUP(Googleadssales[[#This Row],[Ad_ID]],'[1]pre processed data'!A:K,11,0)</f>
        <v>10</v>
      </c>
      <c r="H2382" s="2">
        <f>Googleadssales[[#This Row],[Conversions]]/Googleadssales[[#This Row],[Clicks]]</f>
        <v>0.10638297872340426</v>
      </c>
      <c r="I2382" t="str">
        <f>VLOOKUP(Googleadssales[[#This Row],[Ad_ID]],'[1]pre processed data'!A:O,15,0)</f>
        <v>$1670</v>
      </c>
      <c r="J2382" s="3">
        <f>VLOOKUP(Googleadssales[[#This Row],[Ad_ID]],'[1]pre processed data'!A:Q,17,0)</f>
        <v>45623</v>
      </c>
      <c r="K2382" t="str">
        <f>VLOOKUP(Googleadssales[[#This Row],[Ad_ID]],'[1]pre processed data'!A:R,18,0)</f>
        <v>Bangaluru</v>
      </c>
      <c r="L2382" t="str">
        <f>VLOOKUP(Googleadssales[[#This Row],[Ad_ID]],'[1]pre processed data'!A:S,19,0)</f>
        <v>Mobile</v>
      </c>
      <c r="M2382" t="str">
        <f>VLOOKUP(Googleadssales[[#This Row],[Ad_ID]],'[1]pre processed data'!A:T,20,0)</f>
        <v>data analytics training</v>
      </c>
    </row>
    <row r="2383" spans="1:13" x14ac:dyDescent="0.3">
      <c r="A2383" t="s">
        <v>2396</v>
      </c>
      <c r="B2383" t="s">
        <v>18</v>
      </c>
      <c r="C2383" s="4">
        <f>VLOOKUP(Googleadssales[[#This Row],[Ad_ID]],'[1]pre processed data'!A:C,3,0)</f>
        <v>119</v>
      </c>
      <c r="D2383" s="4">
        <f>VLOOKUP(Googleadssales[[#This Row],[Ad_ID]],'[1]pre processed data'!A:E,5,0)</f>
        <v>4653</v>
      </c>
      <c r="E2383" s="5" t="str">
        <f>VLOOKUP(Googleadssales[[#This Row],[Ad_ID]],[1]!Table3[[Ad_ID]:[Cost-imputed]],7,0)</f>
        <v>$224.68</v>
      </c>
      <c r="F2383" s="4">
        <f>VLOOKUP(Googleadssales[[#This Row],[Ad_ID]],'[1]pre processed data'!A:I,9,0)</f>
        <v>20.532407407407408</v>
      </c>
      <c r="G2383" s="4">
        <f>VLOOKUP(Googleadssales[[#This Row],[Ad_ID]],'[1]pre processed data'!A:K,11,0)</f>
        <v>4</v>
      </c>
      <c r="H2383" s="2">
        <f>Googleadssales[[#This Row],[Conversions]]/Googleadssales[[#This Row],[Clicks]]</f>
        <v>3.3613445378151259E-2</v>
      </c>
      <c r="I2383" t="str">
        <f>VLOOKUP(Googleadssales[[#This Row],[Ad_ID]],'[1]pre processed data'!A:O,15,0)</f>
        <v>$1773</v>
      </c>
      <c r="J2383" s="3">
        <f>VLOOKUP(Googleadssales[[#This Row],[Ad_ID]],'[1]pre processed data'!A:Q,17,0)</f>
        <v>45610</v>
      </c>
      <c r="K2383" t="str">
        <f>VLOOKUP(Googleadssales[[#This Row],[Ad_ID]],'[1]pre processed data'!A:R,18,0)</f>
        <v>Chennai</v>
      </c>
      <c r="L2383" t="str">
        <f>VLOOKUP(Googleadssales[[#This Row],[Ad_ID]],'[1]pre processed data'!A:S,19,0)</f>
        <v>Tablet</v>
      </c>
      <c r="M2383" t="str">
        <f>VLOOKUP(Googleadssales[[#This Row],[Ad_ID]],'[1]pre processed data'!A:T,20,0)</f>
        <v>learn data analytics</v>
      </c>
    </row>
    <row r="2384" spans="1:13" x14ac:dyDescent="0.3">
      <c r="A2384" t="s">
        <v>2397</v>
      </c>
      <c r="B2384" t="s">
        <v>14</v>
      </c>
      <c r="C2384" s="4">
        <f>VLOOKUP(Googleadssales[[#This Row],[Ad_ID]],'[1]pre processed data'!A:C,3,0)</f>
        <v>198</v>
      </c>
      <c r="D2384" s="4">
        <f>VLOOKUP(Googleadssales[[#This Row],[Ad_ID]],'[1]pre processed data'!A:E,5,0)</f>
        <v>3926</v>
      </c>
      <c r="E2384" s="5" t="str">
        <f>VLOOKUP(Googleadssales[[#This Row],[Ad_ID]],[1]!Table3[[Ad_ID]:[Cost-imputed]],7,0)</f>
        <v>$195.25</v>
      </c>
      <c r="F2384" s="4">
        <f>VLOOKUP(Googleadssales[[#This Row],[Ad_ID]],'[1]pre processed data'!A:I,9,0)</f>
        <v>25</v>
      </c>
      <c r="G2384" s="4">
        <f>VLOOKUP(Googleadssales[[#This Row],[Ad_ID]],'[1]pre processed data'!A:K,11,0)</f>
        <v>7</v>
      </c>
      <c r="H2384" s="2">
        <f>Googleadssales[[#This Row],[Conversions]]/Googleadssales[[#This Row],[Clicks]]</f>
        <v>3.5353535353535352E-2</v>
      </c>
      <c r="I2384" t="str">
        <f>VLOOKUP(Googleadssales[[#This Row],[Ad_ID]],'[1]pre processed data'!A:O,15,0)</f>
        <v>$1060</v>
      </c>
      <c r="J2384" s="3">
        <f>VLOOKUP(Googleadssales[[#This Row],[Ad_ID]],'[1]pre processed data'!A:Q,17,0)</f>
        <v>45608</v>
      </c>
      <c r="K2384" t="str">
        <f>VLOOKUP(Googleadssales[[#This Row],[Ad_ID]],'[1]pre processed data'!A:R,18,0)</f>
        <v>Chennai</v>
      </c>
      <c r="L2384" t="str">
        <f>VLOOKUP(Googleadssales[[#This Row],[Ad_ID]],'[1]pre processed data'!A:S,19,0)</f>
        <v>Desktop</v>
      </c>
      <c r="M2384" t="str">
        <f>VLOOKUP(Googleadssales[[#This Row],[Ad_ID]],'[1]pre processed data'!A:T,20,0)</f>
        <v>data analytics online</v>
      </c>
    </row>
    <row r="2385" spans="1:13" x14ac:dyDescent="0.3">
      <c r="A2385" t="s">
        <v>2398</v>
      </c>
      <c r="B2385" t="s">
        <v>18</v>
      </c>
      <c r="C2385" s="4">
        <f>VLOOKUP(Googleadssales[[#This Row],[Ad_ID]],'[1]pre processed data'!A:C,3,0)</f>
        <v>87</v>
      </c>
      <c r="D2385" s="4">
        <f>VLOOKUP(Googleadssales[[#This Row],[Ad_ID]],'[1]pre processed data'!A:E,5,0)</f>
        <v>4154</v>
      </c>
      <c r="E2385" s="5" t="str">
        <f>VLOOKUP(Googleadssales[[#This Row],[Ad_ID]],[1]!Table3[[Ad_ID]:[Cost-imputed]],7,0)</f>
        <v>$232.88</v>
      </c>
      <c r="F2385" s="4">
        <f>VLOOKUP(Googleadssales[[#This Row],[Ad_ID]],'[1]pre processed data'!A:I,9,0)</f>
        <v>13</v>
      </c>
      <c r="G2385" s="4">
        <f>VLOOKUP(Googleadssales[[#This Row],[Ad_ID]],'[1]pre processed data'!A:K,11,0)</f>
        <v>3</v>
      </c>
      <c r="H2385" s="2">
        <f>Googleadssales[[#This Row],[Conversions]]/Googleadssales[[#This Row],[Clicks]]</f>
        <v>3.4482758620689655E-2</v>
      </c>
      <c r="I2385" t="str">
        <f>VLOOKUP(Googleadssales[[#This Row],[Ad_ID]],'[1]pre processed data'!A:O,15,0)</f>
        <v>$1099</v>
      </c>
      <c r="J2385" s="3">
        <f>VLOOKUP(Googleadssales[[#This Row],[Ad_ID]],'[1]pre processed data'!A:Q,17,0)</f>
        <v>45606</v>
      </c>
      <c r="K2385" t="str">
        <f>VLOOKUP(Googleadssales[[#This Row],[Ad_ID]],'[1]pre processed data'!A:R,18,0)</f>
        <v>Hyderabad</v>
      </c>
      <c r="L2385" t="str">
        <f>VLOOKUP(Googleadssales[[#This Row],[Ad_ID]],'[1]pre processed data'!A:S,19,0)</f>
        <v>Desktop</v>
      </c>
      <c r="M2385" t="str">
        <f>VLOOKUP(Googleadssales[[#This Row],[Ad_ID]],'[1]pre processed data'!A:T,20,0)</f>
        <v>online data analytic</v>
      </c>
    </row>
    <row r="2386" spans="1:13" x14ac:dyDescent="0.3">
      <c r="A2386" t="s">
        <v>2399</v>
      </c>
      <c r="B2386" t="s">
        <v>18</v>
      </c>
      <c r="C2386" s="4">
        <f>VLOOKUP(Googleadssales[[#This Row],[Ad_ID]],'[1]pre processed data'!A:C,3,0)</f>
        <v>101</v>
      </c>
      <c r="D2386" s="4">
        <f>VLOOKUP(Googleadssales[[#This Row],[Ad_ID]],'[1]pre processed data'!A:E,5,0)</f>
        <v>3286</v>
      </c>
      <c r="E2386" s="5" t="str">
        <f>VLOOKUP(Googleadssales[[#This Row],[Ad_ID]],[1]!Table3[[Ad_ID]:[Cost-imputed]],7,0)</f>
        <v>$196.59</v>
      </c>
      <c r="F2386" s="4">
        <f>VLOOKUP(Googleadssales[[#This Row],[Ad_ID]],'[1]pre processed data'!A:I,9,0)</f>
        <v>12</v>
      </c>
      <c r="G2386" s="4">
        <f>VLOOKUP(Googleadssales[[#This Row],[Ad_ID]],'[1]pre processed data'!A:K,11,0)</f>
        <v>9</v>
      </c>
      <c r="H2386" s="2">
        <f>Googleadssales[[#This Row],[Conversions]]/Googleadssales[[#This Row],[Clicks]]</f>
        <v>8.9108910891089105E-2</v>
      </c>
      <c r="I2386" t="str">
        <f>VLOOKUP(Googleadssales[[#This Row],[Ad_ID]],'[1]pre processed data'!A:O,15,0)</f>
        <v>$1034</v>
      </c>
      <c r="J2386" s="3">
        <f>VLOOKUP(Googleadssales[[#This Row],[Ad_ID]],'[1]pre processed data'!A:Q,17,0)</f>
        <v>45598</v>
      </c>
      <c r="K2386" t="str">
        <f>VLOOKUP(Googleadssales[[#This Row],[Ad_ID]],'[1]pre processed data'!A:R,18,0)</f>
        <v>Bangaluru</v>
      </c>
      <c r="L2386" t="str">
        <f>VLOOKUP(Googleadssales[[#This Row],[Ad_ID]],'[1]pre processed data'!A:S,19,0)</f>
        <v>Tablet</v>
      </c>
      <c r="M2386" t="str">
        <f>VLOOKUP(Googleadssales[[#This Row],[Ad_ID]],'[1]pre processed data'!A:T,20,0)</f>
        <v>analytics for data</v>
      </c>
    </row>
    <row r="2387" spans="1:13" x14ac:dyDescent="0.3">
      <c r="A2387" t="s">
        <v>2400</v>
      </c>
      <c r="B2387" t="s">
        <v>14</v>
      </c>
      <c r="C2387" s="4">
        <f>VLOOKUP(Googleadssales[[#This Row],[Ad_ID]],'[1]pre processed data'!A:C,3,0)</f>
        <v>142</v>
      </c>
      <c r="D2387" s="4">
        <f>VLOOKUP(Googleadssales[[#This Row],[Ad_ID]],'[1]pre processed data'!A:E,5,0)</f>
        <v>4593</v>
      </c>
      <c r="E2387" s="5" t="str">
        <f>VLOOKUP(Googleadssales[[#This Row],[Ad_ID]],[1]!Table3[[Ad_ID]:[Cost-imputed]],7,0)</f>
        <v>$230.69</v>
      </c>
      <c r="F2387" s="4">
        <f>VLOOKUP(Googleadssales[[#This Row],[Ad_ID]],'[1]pre processed data'!A:I,9,0)</f>
        <v>20</v>
      </c>
      <c r="G2387" s="4">
        <f>VLOOKUP(Googleadssales[[#This Row],[Ad_ID]],'[1]pre processed data'!A:K,11,0)</f>
        <v>5</v>
      </c>
      <c r="H2387" s="2">
        <f>Googleadssales[[#This Row],[Conversions]]/Googleadssales[[#This Row],[Clicks]]</f>
        <v>3.5211267605633804E-2</v>
      </c>
      <c r="I2387" t="str">
        <f>VLOOKUP(Googleadssales[[#This Row],[Ad_ID]],'[1]pre processed data'!A:O,15,0)</f>
        <v>$1537</v>
      </c>
      <c r="J2387" s="3">
        <f>VLOOKUP(Googleadssales[[#This Row],[Ad_ID]],'[1]pre processed data'!A:Q,17,0)</f>
        <v>45618</v>
      </c>
      <c r="K2387" t="str">
        <f>VLOOKUP(Googleadssales[[#This Row],[Ad_ID]],'[1]pre processed data'!A:R,18,0)</f>
        <v>Chennai</v>
      </c>
      <c r="L2387" t="str">
        <f>VLOOKUP(Googleadssales[[#This Row],[Ad_ID]],'[1]pre processed data'!A:S,19,0)</f>
        <v>Mobile</v>
      </c>
      <c r="M2387" t="str">
        <f>VLOOKUP(Googleadssales[[#This Row],[Ad_ID]],'[1]pre processed data'!A:T,20,0)</f>
        <v>data analytics course</v>
      </c>
    </row>
    <row r="2388" spans="1:13" x14ac:dyDescent="0.3">
      <c r="A2388" t="s">
        <v>2401</v>
      </c>
      <c r="B2388" t="s">
        <v>14</v>
      </c>
      <c r="C2388" s="4">
        <f>VLOOKUP(Googleadssales[[#This Row],[Ad_ID]],'[1]pre processed data'!A:C,3,0)</f>
        <v>111</v>
      </c>
      <c r="D2388" s="4">
        <f>VLOOKUP(Googleadssales[[#This Row],[Ad_ID]],'[1]pre processed data'!A:E,5,0)</f>
        <v>5689</v>
      </c>
      <c r="E2388" s="5" t="str">
        <f>VLOOKUP(Googleadssales[[#This Row],[Ad_ID]],[1]!Table3[[Ad_ID]:[Cost-imputed]],7,0)</f>
        <v>$195.94</v>
      </c>
      <c r="F2388" s="4">
        <f>VLOOKUP(Googleadssales[[#This Row],[Ad_ID]],'[1]pre processed data'!A:I,9,0)</f>
        <v>12</v>
      </c>
      <c r="G2388" s="4">
        <f>VLOOKUP(Googleadssales[[#This Row],[Ad_ID]],'[1]pre processed data'!A:K,11,0)</f>
        <v>4</v>
      </c>
      <c r="H2388" s="2">
        <f>Googleadssales[[#This Row],[Conversions]]/Googleadssales[[#This Row],[Clicks]]</f>
        <v>3.6036036036036036E-2</v>
      </c>
      <c r="I2388" t="str">
        <f>VLOOKUP(Googleadssales[[#This Row],[Ad_ID]],'[1]pre processed data'!A:O,15,0)</f>
        <v>$1377</v>
      </c>
      <c r="J2388" s="3">
        <f>VLOOKUP(Googleadssales[[#This Row],[Ad_ID]],'[1]pre processed data'!A:Q,17,0)</f>
        <v>45610</v>
      </c>
      <c r="K2388" t="str">
        <f>VLOOKUP(Googleadssales[[#This Row],[Ad_ID]],'[1]pre processed data'!A:R,18,0)</f>
        <v>Chennai</v>
      </c>
      <c r="L2388" t="str">
        <f>VLOOKUP(Googleadssales[[#This Row],[Ad_ID]],'[1]pre processed data'!A:S,19,0)</f>
        <v>Desktop</v>
      </c>
      <c r="M2388" t="str">
        <f>VLOOKUP(Googleadssales[[#This Row],[Ad_ID]],'[1]pre processed data'!A:T,20,0)</f>
        <v>analytics for data</v>
      </c>
    </row>
    <row r="2389" spans="1:13" x14ac:dyDescent="0.3">
      <c r="A2389" t="s">
        <v>2402</v>
      </c>
      <c r="B2389" t="s">
        <v>14</v>
      </c>
      <c r="C2389" s="4">
        <f>VLOOKUP(Googleadssales[[#This Row],[Ad_ID]],'[1]pre processed data'!A:C,3,0)</f>
        <v>152</v>
      </c>
      <c r="D2389" s="4">
        <f>VLOOKUP(Googleadssales[[#This Row],[Ad_ID]],'[1]pre processed data'!A:E,5,0)</f>
        <v>5040</v>
      </c>
      <c r="E2389" s="5" t="str">
        <f>VLOOKUP(Googleadssales[[#This Row],[Ad_ID]],[1]!Table3[[Ad_ID]:[Cost-imputed]],7,0)</f>
        <v>$238.61</v>
      </c>
      <c r="F2389" s="4">
        <f>VLOOKUP(Googleadssales[[#This Row],[Ad_ID]],'[1]pre processed data'!A:I,9,0)</f>
        <v>30</v>
      </c>
      <c r="G2389" s="4">
        <f>VLOOKUP(Googleadssales[[#This Row],[Ad_ID]],'[1]pre processed data'!A:K,11,0)</f>
        <v>9</v>
      </c>
      <c r="H2389" s="2">
        <f>Googleadssales[[#This Row],[Conversions]]/Googleadssales[[#This Row],[Clicks]]</f>
        <v>5.921052631578947E-2</v>
      </c>
      <c r="I2389" t="str">
        <f>VLOOKUP(Googleadssales[[#This Row],[Ad_ID]],'[1]pre processed data'!A:O,15,0)</f>
        <v>$1795</v>
      </c>
      <c r="J2389" s="3">
        <f>VLOOKUP(Googleadssales[[#This Row],[Ad_ID]],'[1]pre processed data'!A:Q,17,0)</f>
        <v>45611</v>
      </c>
      <c r="K2389" t="str">
        <f>VLOOKUP(Googleadssales[[#This Row],[Ad_ID]],'[1]pre processed data'!A:R,18,0)</f>
        <v>Chennai</v>
      </c>
      <c r="L2389" t="str">
        <f>VLOOKUP(Googleadssales[[#This Row],[Ad_ID]],'[1]pre processed data'!A:S,19,0)</f>
        <v>Desktop</v>
      </c>
      <c r="M2389" t="str">
        <f>VLOOKUP(Googleadssales[[#This Row],[Ad_ID]],'[1]pre processed data'!A:T,20,0)</f>
        <v>data analytics course</v>
      </c>
    </row>
    <row r="2390" spans="1:13" x14ac:dyDescent="0.3">
      <c r="A2390" t="s">
        <v>2403</v>
      </c>
      <c r="B2390" t="s">
        <v>18</v>
      </c>
      <c r="C2390" s="4">
        <f>VLOOKUP(Googleadssales[[#This Row],[Ad_ID]],'[1]pre processed data'!A:C,3,0)</f>
        <v>89</v>
      </c>
      <c r="D2390" s="4">
        <f>VLOOKUP(Googleadssales[[#This Row],[Ad_ID]],'[1]pre processed data'!A:E,5,0)</f>
        <v>3623</v>
      </c>
      <c r="E2390" s="5" t="str">
        <f>VLOOKUP(Googleadssales[[#This Row],[Ad_ID]],[1]!Table3[[Ad_ID]:[Cost-imputed]],7,0)</f>
        <v>$218.35</v>
      </c>
      <c r="F2390" s="4">
        <f>VLOOKUP(Googleadssales[[#This Row],[Ad_ID]],'[1]pre processed data'!A:I,9,0)</f>
        <v>22</v>
      </c>
      <c r="G2390" s="4">
        <f>VLOOKUP(Googleadssales[[#This Row],[Ad_ID]],'[1]pre processed data'!A:K,11,0)</f>
        <v>6</v>
      </c>
      <c r="H2390" s="2">
        <f>Googleadssales[[#This Row],[Conversions]]/Googleadssales[[#This Row],[Clicks]]</f>
        <v>6.741573033707865E-2</v>
      </c>
      <c r="I2390" t="str">
        <f>VLOOKUP(Googleadssales[[#This Row],[Ad_ID]],'[1]pre processed data'!A:O,15,0)</f>
        <v>$1311</v>
      </c>
      <c r="J2390" s="3">
        <f>VLOOKUP(Googleadssales[[#This Row],[Ad_ID]],'[1]pre processed data'!A:Q,17,0)</f>
        <v>45597</v>
      </c>
      <c r="K2390" t="str">
        <f>VLOOKUP(Googleadssales[[#This Row],[Ad_ID]],'[1]pre processed data'!A:R,18,0)</f>
        <v>Hyderabad</v>
      </c>
      <c r="L2390" t="str">
        <f>VLOOKUP(Googleadssales[[#This Row],[Ad_ID]],'[1]pre processed data'!A:S,19,0)</f>
        <v>Mobile</v>
      </c>
      <c r="M2390" t="str">
        <f>VLOOKUP(Googleadssales[[#This Row],[Ad_ID]],'[1]pre processed data'!A:T,20,0)</f>
        <v>learn data analytics</v>
      </c>
    </row>
    <row r="2391" spans="1:13" x14ac:dyDescent="0.3">
      <c r="A2391" t="s">
        <v>2404</v>
      </c>
      <c r="B2391" t="s">
        <v>14</v>
      </c>
      <c r="C2391" s="4">
        <f>VLOOKUP(Googleadssales[[#This Row],[Ad_ID]],'[1]pre processed data'!A:C,3,0)</f>
        <v>115</v>
      </c>
      <c r="D2391" s="4">
        <f>VLOOKUP(Googleadssales[[#This Row],[Ad_ID]],'[1]pre processed data'!A:E,5,0)</f>
        <v>3999</v>
      </c>
      <c r="E2391" s="5" t="str">
        <f>VLOOKUP(Googleadssales[[#This Row],[Ad_ID]],[1]!Table3[[Ad_ID]:[Cost-imputed]],7,0)</f>
        <v>$216.67</v>
      </c>
      <c r="F2391" s="4">
        <f>VLOOKUP(Googleadssales[[#This Row],[Ad_ID]],'[1]pre processed data'!A:I,9,0)</f>
        <v>16</v>
      </c>
      <c r="G2391" s="4">
        <f>VLOOKUP(Googleadssales[[#This Row],[Ad_ID]],'[1]pre processed data'!A:K,11,0)</f>
        <v>6</v>
      </c>
      <c r="H2391" s="2">
        <f>Googleadssales[[#This Row],[Conversions]]/Googleadssales[[#This Row],[Clicks]]</f>
        <v>5.2173913043478258E-2</v>
      </c>
      <c r="I2391" t="str">
        <f>VLOOKUP(Googleadssales[[#This Row],[Ad_ID]],'[1]pre processed data'!A:O,15,0)</f>
        <v>$1777</v>
      </c>
      <c r="J2391" s="3">
        <f>VLOOKUP(Googleadssales[[#This Row],[Ad_ID]],'[1]pre processed data'!A:Q,17,0)</f>
        <v>45601</v>
      </c>
      <c r="K2391" t="str">
        <f>VLOOKUP(Googleadssales[[#This Row],[Ad_ID]],'[1]pre processed data'!A:R,18,0)</f>
        <v>Hyderabad</v>
      </c>
      <c r="L2391" t="str">
        <f>VLOOKUP(Googleadssales[[#This Row],[Ad_ID]],'[1]pre processed data'!A:S,19,0)</f>
        <v>Mobile</v>
      </c>
      <c r="M2391" t="str">
        <f>VLOOKUP(Googleadssales[[#This Row],[Ad_ID]],'[1]pre processed data'!A:T,20,0)</f>
        <v>data analytics course</v>
      </c>
    </row>
    <row r="2392" spans="1:13" x14ac:dyDescent="0.3">
      <c r="A2392" t="s">
        <v>2405</v>
      </c>
      <c r="B2392" t="s">
        <v>18</v>
      </c>
      <c r="C2392" s="4">
        <f>VLOOKUP(Googleadssales[[#This Row],[Ad_ID]],'[1]pre processed data'!A:C,3,0)</f>
        <v>131</v>
      </c>
      <c r="D2392" s="4">
        <f>VLOOKUP(Googleadssales[[#This Row],[Ad_ID]],'[1]pre processed data'!A:E,5,0)</f>
        <v>4320</v>
      </c>
      <c r="E2392" s="5" t="str">
        <f>VLOOKUP(Googleadssales[[#This Row],[Ad_ID]],[1]!Table3[[Ad_ID]:[Cost-imputed]],7,0)</f>
        <v>$223.08</v>
      </c>
      <c r="F2392" s="4">
        <f>VLOOKUP(Googleadssales[[#This Row],[Ad_ID]],'[1]pre processed data'!A:I,9,0)</f>
        <v>30</v>
      </c>
      <c r="G2392" s="4">
        <f>VLOOKUP(Googleadssales[[#This Row],[Ad_ID]],'[1]pre processed data'!A:K,11,0)</f>
        <v>7</v>
      </c>
      <c r="H2392" s="2">
        <f>Googleadssales[[#This Row],[Conversions]]/Googleadssales[[#This Row],[Clicks]]</f>
        <v>5.3435114503816793E-2</v>
      </c>
      <c r="I2392" t="str">
        <f>VLOOKUP(Googleadssales[[#This Row],[Ad_ID]],'[1]pre processed data'!A:O,15,0)</f>
        <v>$1500</v>
      </c>
      <c r="J2392" s="3">
        <f>VLOOKUP(Googleadssales[[#This Row],[Ad_ID]],'[1]pre processed data'!A:Q,17,0)</f>
        <v>45600</v>
      </c>
      <c r="K2392" t="str">
        <f>VLOOKUP(Googleadssales[[#This Row],[Ad_ID]],'[1]pre processed data'!A:R,18,0)</f>
        <v>Chennai</v>
      </c>
      <c r="L2392" t="str">
        <f>VLOOKUP(Googleadssales[[#This Row],[Ad_ID]],'[1]pre processed data'!A:S,19,0)</f>
        <v>Mobile</v>
      </c>
      <c r="M2392" t="str">
        <f>VLOOKUP(Googleadssales[[#This Row],[Ad_ID]],'[1]pre processed data'!A:T,20,0)</f>
        <v>analytics for data</v>
      </c>
    </row>
    <row r="2393" spans="1:13" x14ac:dyDescent="0.3">
      <c r="A2393" t="s">
        <v>2406</v>
      </c>
      <c r="B2393" t="s">
        <v>14</v>
      </c>
      <c r="C2393" s="4">
        <f>VLOOKUP(Googleadssales[[#This Row],[Ad_ID]],'[1]pre processed data'!A:C,3,0)</f>
        <v>153</v>
      </c>
      <c r="D2393" s="4">
        <f>VLOOKUP(Googleadssales[[#This Row],[Ad_ID]],'[1]pre processed data'!A:E,5,0)</f>
        <v>4027</v>
      </c>
      <c r="E2393" s="5" t="str">
        <f>VLOOKUP(Googleadssales[[#This Row],[Ad_ID]],[1]!Table3[[Ad_ID]:[Cost-imputed]],7,0)</f>
        <v>$182.11</v>
      </c>
      <c r="F2393" s="4">
        <f>VLOOKUP(Googleadssales[[#This Row],[Ad_ID]],'[1]pre processed data'!A:I,9,0)</f>
        <v>10</v>
      </c>
      <c r="G2393" s="4">
        <f>VLOOKUP(Googleadssales[[#This Row],[Ad_ID]],'[1]pre processed data'!A:K,11,0)</f>
        <v>5</v>
      </c>
      <c r="H2393" s="2">
        <f>Googleadssales[[#This Row],[Conversions]]/Googleadssales[[#This Row],[Clicks]]</f>
        <v>3.2679738562091505E-2</v>
      </c>
      <c r="I2393" t="str">
        <f>VLOOKUP(Googleadssales[[#This Row],[Ad_ID]],'[1]pre processed data'!A:O,15,0)</f>
        <v>$1332</v>
      </c>
      <c r="J2393" s="3">
        <f>VLOOKUP(Googleadssales[[#This Row],[Ad_ID]],'[1]pre processed data'!A:Q,17,0)</f>
        <v>45624</v>
      </c>
      <c r="K2393" t="str">
        <f>VLOOKUP(Googleadssales[[#This Row],[Ad_ID]],'[1]pre processed data'!A:R,18,0)</f>
        <v>Hyderabad</v>
      </c>
      <c r="L2393" t="str">
        <f>VLOOKUP(Googleadssales[[#This Row],[Ad_ID]],'[1]pre processed data'!A:S,19,0)</f>
        <v>Tablet</v>
      </c>
      <c r="M2393" t="str">
        <f>VLOOKUP(Googleadssales[[#This Row],[Ad_ID]],'[1]pre processed data'!A:T,20,0)</f>
        <v>learn data analytics</v>
      </c>
    </row>
    <row r="2394" spans="1:13" x14ac:dyDescent="0.3">
      <c r="A2394" t="s">
        <v>2407</v>
      </c>
      <c r="B2394" t="s">
        <v>14</v>
      </c>
      <c r="C2394" s="4">
        <f>VLOOKUP(Googleadssales[[#This Row],[Ad_ID]],'[1]pre processed data'!A:C,3,0)</f>
        <v>108</v>
      </c>
      <c r="D2394" s="4">
        <f>VLOOKUP(Googleadssales[[#This Row],[Ad_ID]],'[1]pre processed data'!A:E,5,0)</f>
        <v>4523.2808326787117</v>
      </c>
      <c r="E2394" s="5" t="str">
        <f>VLOOKUP(Googleadssales[[#This Row],[Ad_ID]],[1]!Table3[[Ad_ID]:[Cost-imputed]],7,0)</f>
        <v>$208.9</v>
      </c>
      <c r="F2394" s="4">
        <f>VLOOKUP(Googleadssales[[#This Row],[Ad_ID]],'[1]pre processed data'!A:I,9,0)</f>
        <v>10</v>
      </c>
      <c r="G2394" s="4">
        <f>VLOOKUP(Googleadssales[[#This Row],[Ad_ID]],'[1]pre processed data'!A:K,11,0)</f>
        <v>6.3144329896907214</v>
      </c>
      <c r="H2394" s="2">
        <f>Googleadssales[[#This Row],[Conversions]]/Googleadssales[[#This Row],[Clicks]]</f>
        <v>5.8466972126765937E-2</v>
      </c>
      <c r="I2394" t="str">
        <f>VLOOKUP(Googleadssales[[#This Row],[Ad_ID]],'[1]pre processed data'!A:O,15,0)</f>
        <v>$1313</v>
      </c>
      <c r="J2394" s="3">
        <f>VLOOKUP(Googleadssales[[#This Row],[Ad_ID]],'[1]pre processed data'!A:Q,17,0)</f>
        <v>45625</v>
      </c>
      <c r="K2394" t="str">
        <f>VLOOKUP(Googleadssales[[#This Row],[Ad_ID]],'[1]pre processed data'!A:R,18,0)</f>
        <v>Hyderabad</v>
      </c>
      <c r="L2394" t="str">
        <f>VLOOKUP(Googleadssales[[#This Row],[Ad_ID]],'[1]pre processed data'!A:S,19,0)</f>
        <v>Desktop</v>
      </c>
      <c r="M2394" t="str">
        <f>VLOOKUP(Googleadssales[[#This Row],[Ad_ID]],'[1]pre processed data'!A:T,20,0)</f>
        <v>learn data analytics</v>
      </c>
    </row>
    <row r="2395" spans="1:13" x14ac:dyDescent="0.3">
      <c r="A2395" t="s">
        <v>2408</v>
      </c>
      <c r="B2395" t="s">
        <v>18</v>
      </c>
      <c r="C2395" s="4">
        <f>VLOOKUP(Googleadssales[[#This Row],[Ad_ID]],'[1]pre processed data'!A:C,3,0)</f>
        <v>172</v>
      </c>
      <c r="D2395" s="4">
        <f>VLOOKUP(Googleadssales[[#This Row],[Ad_ID]],'[1]pre processed data'!A:E,5,0)</f>
        <v>5712</v>
      </c>
      <c r="E2395" s="5" t="str">
        <f>VLOOKUP(Googleadssales[[#This Row],[Ad_ID]],[1]!Table3[[Ad_ID]:[Cost-imputed]],7,0)</f>
        <v>$204.06</v>
      </c>
      <c r="F2395" s="4">
        <f>VLOOKUP(Googleadssales[[#This Row],[Ad_ID]],'[1]pre processed data'!A:I,9,0)</f>
        <v>28</v>
      </c>
      <c r="G2395" s="4">
        <f>VLOOKUP(Googleadssales[[#This Row],[Ad_ID]],'[1]pre processed data'!A:K,11,0)</f>
        <v>7</v>
      </c>
      <c r="H2395" s="2">
        <f>Googleadssales[[#This Row],[Conversions]]/Googleadssales[[#This Row],[Clicks]]</f>
        <v>4.0697674418604654E-2</v>
      </c>
      <c r="I2395" t="str">
        <f>VLOOKUP(Googleadssales[[#This Row],[Ad_ID]],'[1]pre processed data'!A:O,15,0)</f>
        <v>$1407</v>
      </c>
      <c r="J2395" s="3">
        <f>VLOOKUP(Googleadssales[[#This Row],[Ad_ID]],'[1]pre processed data'!A:Q,17,0)</f>
        <v>45617</v>
      </c>
      <c r="K2395" t="str">
        <f>VLOOKUP(Googleadssales[[#This Row],[Ad_ID]],'[1]pre processed data'!A:R,18,0)</f>
        <v>Hyderabad</v>
      </c>
      <c r="L2395" t="str">
        <f>VLOOKUP(Googleadssales[[#This Row],[Ad_ID]],'[1]pre processed data'!A:S,19,0)</f>
        <v>Tablet</v>
      </c>
      <c r="M2395" t="str">
        <f>VLOOKUP(Googleadssales[[#This Row],[Ad_ID]],'[1]pre processed data'!A:T,20,0)</f>
        <v>analytics for data</v>
      </c>
    </row>
    <row r="2396" spans="1:13" x14ac:dyDescent="0.3">
      <c r="A2396" t="s">
        <v>2409</v>
      </c>
      <c r="B2396" t="s">
        <v>14</v>
      </c>
      <c r="C2396" s="4">
        <f>VLOOKUP(Googleadssales[[#This Row],[Ad_ID]],'[1]pre processed data'!A:C,3,0)</f>
        <v>118</v>
      </c>
      <c r="D2396" s="4">
        <f>VLOOKUP(Googleadssales[[#This Row],[Ad_ID]],'[1]pre processed data'!A:E,5,0)</f>
        <v>5514</v>
      </c>
      <c r="E2396" s="5" t="str">
        <f>VLOOKUP(Googleadssales[[#This Row],[Ad_ID]],[1]!Table3[[Ad_ID]:[Cost-imputed]],7,0)</f>
        <v>$237.88</v>
      </c>
      <c r="F2396" s="4">
        <f>VLOOKUP(Googleadssales[[#This Row],[Ad_ID]],'[1]pre processed data'!A:I,9,0)</f>
        <v>27</v>
      </c>
      <c r="G2396" s="4">
        <f>VLOOKUP(Googleadssales[[#This Row],[Ad_ID]],'[1]pre processed data'!A:K,11,0)</f>
        <v>9</v>
      </c>
      <c r="H2396" s="2">
        <f>Googleadssales[[#This Row],[Conversions]]/Googleadssales[[#This Row],[Clicks]]</f>
        <v>7.6271186440677971E-2</v>
      </c>
      <c r="I2396" t="str">
        <f>VLOOKUP(Googleadssales[[#This Row],[Ad_ID]],'[1]pre processed data'!A:O,15,0)</f>
        <v>$1401</v>
      </c>
      <c r="J2396" s="3">
        <f>VLOOKUP(Googleadssales[[#This Row],[Ad_ID]],'[1]pre processed data'!A:Q,17,0)</f>
        <v>45623</v>
      </c>
      <c r="K2396" t="str">
        <f>VLOOKUP(Googleadssales[[#This Row],[Ad_ID]],'[1]pre processed data'!A:R,18,0)</f>
        <v>Hyderabad</v>
      </c>
      <c r="L2396" t="str">
        <f>VLOOKUP(Googleadssales[[#This Row],[Ad_ID]],'[1]pre processed data'!A:S,19,0)</f>
        <v>Mobile</v>
      </c>
      <c r="M2396" t="str">
        <f>VLOOKUP(Googleadssales[[#This Row],[Ad_ID]],'[1]pre processed data'!A:T,20,0)</f>
        <v>analytics for data</v>
      </c>
    </row>
    <row r="2397" spans="1:13" x14ac:dyDescent="0.3">
      <c r="A2397" t="s">
        <v>2410</v>
      </c>
      <c r="B2397" t="s">
        <v>18</v>
      </c>
      <c r="C2397" s="4">
        <f>VLOOKUP(Googleadssales[[#This Row],[Ad_ID]],'[1]pre processed data'!A:C,3,0)</f>
        <v>90</v>
      </c>
      <c r="D2397" s="4">
        <f>VLOOKUP(Googleadssales[[#This Row],[Ad_ID]],'[1]pre processed data'!A:E,5,0)</f>
        <v>3776</v>
      </c>
      <c r="E2397" s="5" t="str">
        <f>VLOOKUP(Googleadssales[[#This Row],[Ad_ID]],[1]!Table3[[Ad_ID]:[Cost-imputed]],7,0)</f>
        <v>$186.92</v>
      </c>
      <c r="F2397" s="4">
        <f>VLOOKUP(Googleadssales[[#This Row],[Ad_ID]],'[1]pre processed data'!A:I,9,0)</f>
        <v>19</v>
      </c>
      <c r="G2397" s="4">
        <f>VLOOKUP(Googleadssales[[#This Row],[Ad_ID]],'[1]pre processed data'!A:K,11,0)</f>
        <v>4</v>
      </c>
      <c r="H2397" s="2">
        <f>Googleadssales[[#This Row],[Conversions]]/Googleadssales[[#This Row],[Clicks]]</f>
        <v>4.4444444444444446E-2</v>
      </c>
      <c r="I2397" t="str">
        <f>VLOOKUP(Googleadssales[[#This Row],[Ad_ID]],'[1]pre processed data'!A:O,15,0)</f>
        <v>$1053</v>
      </c>
      <c r="J2397" s="3">
        <f>VLOOKUP(Googleadssales[[#This Row],[Ad_ID]],'[1]pre processed data'!A:Q,17,0)</f>
        <v>45611</v>
      </c>
      <c r="K2397" t="str">
        <f>VLOOKUP(Googleadssales[[#This Row],[Ad_ID]],'[1]pre processed data'!A:R,18,0)</f>
        <v>Hyderabad</v>
      </c>
      <c r="L2397" t="str">
        <f>VLOOKUP(Googleadssales[[#This Row],[Ad_ID]],'[1]pre processed data'!A:S,19,0)</f>
        <v>Tablet</v>
      </c>
      <c r="M2397" t="str">
        <f>VLOOKUP(Googleadssales[[#This Row],[Ad_ID]],'[1]pre processed data'!A:T,20,0)</f>
        <v>learn data analytics</v>
      </c>
    </row>
    <row r="2398" spans="1:13" x14ac:dyDescent="0.3">
      <c r="A2398" t="s">
        <v>2411</v>
      </c>
      <c r="B2398" t="s">
        <v>18</v>
      </c>
      <c r="C2398" s="4">
        <f>VLOOKUP(Googleadssales[[#This Row],[Ad_ID]],'[1]pre processed data'!A:C,3,0)</f>
        <v>97</v>
      </c>
      <c r="D2398" s="4">
        <f>VLOOKUP(Googleadssales[[#This Row],[Ad_ID]],'[1]pre processed data'!A:E,5,0)</f>
        <v>3370</v>
      </c>
      <c r="E2398" s="5" t="str">
        <f>VLOOKUP(Googleadssales[[#This Row],[Ad_ID]],[1]!Table3[[Ad_ID]:[Cost-imputed]],7,0)</f>
        <v>$236.35</v>
      </c>
      <c r="F2398" s="4">
        <f>VLOOKUP(Googleadssales[[#This Row],[Ad_ID]],'[1]pre processed data'!A:I,9,0)</f>
        <v>20</v>
      </c>
      <c r="G2398" s="4">
        <f>VLOOKUP(Googleadssales[[#This Row],[Ad_ID]],'[1]pre processed data'!A:K,11,0)</f>
        <v>7</v>
      </c>
      <c r="H2398" s="2">
        <f>Googleadssales[[#This Row],[Conversions]]/Googleadssales[[#This Row],[Clicks]]</f>
        <v>7.2164948453608241E-2</v>
      </c>
      <c r="I2398" t="str">
        <f>VLOOKUP(Googleadssales[[#This Row],[Ad_ID]],'[1]pre processed data'!A:O,15,0)</f>
        <v>$1500</v>
      </c>
      <c r="J2398" s="3">
        <f>VLOOKUP(Googleadssales[[#This Row],[Ad_ID]],'[1]pre processed data'!A:Q,17,0)</f>
        <v>45600</v>
      </c>
      <c r="K2398" t="str">
        <f>VLOOKUP(Googleadssales[[#This Row],[Ad_ID]],'[1]pre processed data'!A:R,18,0)</f>
        <v>Bangaluru</v>
      </c>
      <c r="L2398" t="str">
        <f>VLOOKUP(Googleadssales[[#This Row],[Ad_ID]],'[1]pre processed data'!A:S,19,0)</f>
        <v>Mobile</v>
      </c>
      <c r="M2398" t="str">
        <f>VLOOKUP(Googleadssales[[#This Row],[Ad_ID]],'[1]pre processed data'!A:T,20,0)</f>
        <v>data analytics course</v>
      </c>
    </row>
    <row r="2399" spans="1:13" x14ac:dyDescent="0.3">
      <c r="A2399" t="s">
        <v>2412</v>
      </c>
      <c r="B2399" t="s">
        <v>14</v>
      </c>
      <c r="C2399" s="4">
        <f>VLOOKUP(Googleadssales[[#This Row],[Ad_ID]],'[1]pre processed data'!A:C,3,0)</f>
        <v>149</v>
      </c>
      <c r="D2399" s="4">
        <f>VLOOKUP(Googleadssales[[#This Row],[Ad_ID]],'[1]pre processed data'!A:E,5,0)</f>
        <v>3814</v>
      </c>
      <c r="E2399" s="5" t="str">
        <f>VLOOKUP(Googleadssales[[#This Row],[Ad_ID]],[1]!Table3[[Ad_ID]:[Cost-imputed]],7,0)</f>
        <v>$213.11</v>
      </c>
      <c r="F2399" s="4">
        <f>VLOOKUP(Googleadssales[[#This Row],[Ad_ID]],'[1]pre processed data'!A:I,9,0)</f>
        <v>13</v>
      </c>
      <c r="G2399" s="4">
        <f>VLOOKUP(Googleadssales[[#This Row],[Ad_ID]],'[1]pre processed data'!A:K,11,0)</f>
        <v>7</v>
      </c>
      <c r="H2399" s="2">
        <f>Googleadssales[[#This Row],[Conversions]]/Googleadssales[[#This Row],[Clicks]]</f>
        <v>4.6979865771812082E-2</v>
      </c>
      <c r="I2399" t="str">
        <f>VLOOKUP(Googleadssales[[#This Row],[Ad_ID]],'[1]pre processed data'!A:O,15,0)</f>
        <v>$1057</v>
      </c>
      <c r="J2399" s="3">
        <f>VLOOKUP(Googleadssales[[#This Row],[Ad_ID]],'[1]pre processed data'!A:Q,17,0)</f>
        <v>45602</v>
      </c>
      <c r="K2399" t="str">
        <f>VLOOKUP(Googleadssales[[#This Row],[Ad_ID]],'[1]pre processed data'!A:R,18,0)</f>
        <v>Bangaluru</v>
      </c>
      <c r="L2399" t="str">
        <f>VLOOKUP(Googleadssales[[#This Row],[Ad_ID]],'[1]pre processed data'!A:S,19,0)</f>
        <v>Mobile</v>
      </c>
      <c r="M2399" t="str">
        <f>VLOOKUP(Googleadssales[[#This Row],[Ad_ID]],'[1]pre processed data'!A:T,20,0)</f>
        <v>analytics for data</v>
      </c>
    </row>
    <row r="2400" spans="1:13" x14ac:dyDescent="0.3">
      <c r="A2400" t="s">
        <v>2413</v>
      </c>
      <c r="B2400" t="s">
        <v>18</v>
      </c>
      <c r="C2400" s="4">
        <f>VLOOKUP(Googleadssales[[#This Row],[Ad_ID]],'[1]pre processed data'!A:C,3,0)</f>
        <v>137</v>
      </c>
      <c r="D2400" s="4">
        <f>VLOOKUP(Googleadssales[[#This Row],[Ad_ID]],'[1]pre processed data'!A:E,5,0)</f>
        <v>5434</v>
      </c>
      <c r="E2400" s="5" t="str">
        <f>VLOOKUP(Googleadssales[[#This Row],[Ad_ID]],[1]!Table3[[Ad_ID]:[Cost-imputed]],7,0)</f>
        <v>$182.57</v>
      </c>
      <c r="F2400" s="4">
        <f>VLOOKUP(Googleadssales[[#This Row],[Ad_ID]],'[1]pre processed data'!A:I,9,0)</f>
        <v>10</v>
      </c>
      <c r="G2400" s="4">
        <f>VLOOKUP(Googleadssales[[#This Row],[Ad_ID]],'[1]pre processed data'!A:K,11,0)</f>
        <v>7</v>
      </c>
      <c r="H2400" s="2">
        <f>Googleadssales[[#This Row],[Conversions]]/Googleadssales[[#This Row],[Clicks]]</f>
        <v>5.1094890510948905E-2</v>
      </c>
      <c r="I2400" t="str">
        <f>VLOOKUP(Googleadssales[[#This Row],[Ad_ID]],'[1]pre processed data'!A:O,15,0)</f>
        <v>$1852</v>
      </c>
      <c r="J2400" s="3">
        <f>VLOOKUP(Googleadssales[[#This Row],[Ad_ID]],'[1]pre processed data'!A:Q,17,0)</f>
        <v>45625</v>
      </c>
      <c r="K2400" t="str">
        <f>VLOOKUP(Googleadssales[[#This Row],[Ad_ID]],'[1]pre processed data'!A:R,18,0)</f>
        <v>Chennai</v>
      </c>
      <c r="L2400" t="str">
        <f>VLOOKUP(Googleadssales[[#This Row],[Ad_ID]],'[1]pre processed data'!A:S,19,0)</f>
        <v>Desktop</v>
      </c>
      <c r="M2400" t="str">
        <f>VLOOKUP(Googleadssales[[#This Row],[Ad_ID]],'[1]pre processed data'!A:T,20,0)</f>
        <v>online data analytic</v>
      </c>
    </row>
    <row r="2401" spans="1:13" x14ac:dyDescent="0.3">
      <c r="A2401" t="s">
        <v>2414</v>
      </c>
      <c r="B2401" t="s">
        <v>18</v>
      </c>
      <c r="C2401" s="4">
        <f>VLOOKUP(Googleadssales[[#This Row],[Ad_ID]],'[1]pre processed data'!A:C,3,0)</f>
        <v>172</v>
      </c>
      <c r="D2401" s="4">
        <f>VLOOKUP(Googleadssales[[#This Row],[Ad_ID]],'[1]pre processed data'!A:E,5,0)</f>
        <v>4079</v>
      </c>
      <c r="E2401" s="5" t="str">
        <f>VLOOKUP(Googleadssales[[#This Row],[Ad_ID]],[1]!Table3[[Ad_ID]:[Cost-imputed]],7,0)</f>
        <v>$183.05</v>
      </c>
      <c r="F2401" s="4">
        <f>VLOOKUP(Googleadssales[[#This Row],[Ad_ID]],'[1]pre processed data'!A:I,9,0)</f>
        <v>20</v>
      </c>
      <c r="G2401" s="4">
        <f>VLOOKUP(Googleadssales[[#This Row],[Ad_ID]],'[1]pre processed data'!A:K,11,0)</f>
        <v>8</v>
      </c>
      <c r="H2401" s="2">
        <f>Googleadssales[[#This Row],[Conversions]]/Googleadssales[[#This Row],[Clicks]]</f>
        <v>4.6511627906976744E-2</v>
      </c>
      <c r="I2401" t="str">
        <f>VLOOKUP(Googleadssales[[#This Row],[Ad_ID]],'[1]pre processed data'!A:O,15,0)</f>
        <v>$1988</v>
      </c>
      <c r="J2401" s="3">
        <f>VLOOKUP(Googleadssales[[#This Row],[Ad_ID]],'[1]pre processed data'!A:Q,17,0)</f>
        <v>45624</v>
      </c>
      <c r="K2401" t="str">
        <f>VLOOKUP(Googleadssales[[#This Row],[Ad_ID]],'[1]pre processed data'!A:R,18,0)</f>
        <v>Hyderabad</v>
      </c>
      <c r="L2401" t="str">
        <f>VLOOKUP(Googleadssales[[#This Row],[Ad_ID]],'[1]pre processed data'!A:S,19,0)</f>
        <v>Desktop</v>
      </c>
      <c r="M2401" t="str">
        <f>VLOOKUP(Googleadssales[[#This Row],[Ad_ID]],'[1]pre processed data'!A:T,20,0)</f>
        <v>data analytics course</v>
      </c>
    </row>
    <row r="2402" spans="1:13" x14ac:dyDescent="0.3">
      <c r="A2402" t="s">
        <v>2415</v>
      </c>
      <c r="B2402" t="s">
        <v>14</v>
      </c>
      <c r="C2402" s="4">
        <f>VLOOKUP(Googleadssales[[#This Row],[Ad_ID]],'[1]pre processed data'!A:C,3,0)</f>
        <v>116</v>
      </c>
      <c r="D2402" s="4">
        <f>VLOOKUP(Googleadssales[[#This Row],[Ad_ID]],'[1]pre processed data'!A:E,5,0)</f>
        <v>4252</v>
      </c>
      <c r="E2402" s="5" t="str">
        <f>VLOOKUP(Googleadssales[[#This Row],[Ad_ID]],[1]!Table3[[Ad_ID]:[Cost-imputed]],7,0)</f>
        <v>$180.05</v>
      </c>
      <c r="F2402" s="4">
        <f>VLOOKUP(Googleadssales[[#This Row],[Ad_ID]],'[1]pre processed data'!A:I,9,0)</f>
        <v>18</v>
      </c>
      <c r="G2402" s="4">
        <f>VLOOKUP(Googleadssales[[#This Row],[Ad_ID]],'[1]pre processed data'!A:K,11,0)</f>
        <v>8</v>
      </c>
      <c r="H2402" s="2">
        <f>Googleadssales[[#This Row],[Conversions]]/Googleadssales[[#This Row],[Clicks]]</f>
        <v>6.8965517241379309E-2</v>
      </c>
      <c r="I2402" t="str">
        <f>VLOOKUP(Googleadssales[[#This Row],[Ad_ID]],'[1]pre processed data'!A:O,15,0)</f>
        <v>$1568</v>
      </c>
      <c r="J2402" s="3">
        <f>VLOOKUP(Googleadssales[[#This Row],[Ad_ID]],'[1]pre processed data'!A:Q,17,0)</f>
        <v>45613</v>
      </c>
      <c r="K2402" t="str">
        <f>VLOOKUP(Googleadssales[[#This Row],[Ad_ID]],'[1]pre processed data'!A:R,18,0)</f>
        <v>Chennai</v>
      </c>
      <c r="L2402" t="str">
        <f>VLOOKUP(Googleadssales[[#This Row],[Ad_ID]],'[1]pre processed data'!A:S,19,0)</f>
        <v>Desktop</v>
      </c>
      <c r="M2402" t="str">
        <f>VLOOKUP(Googleadssales[[#This Row],[Ad_ID]],'[1]pre processed data'!A:T,20,0)</f>
        <v>online data analytic</v>
      </c>
    </row>
    <row r="2403" spans="1:13" x14ac:dyDescent="0.3">
      <c r="A2403" t="s">
        <v>2416</v>
      </c>
      <c r="B2403" t="s">
        <v>14</v>
      </c>
      <c r="C2403" s="4">
        <f>VLOOKUP(Googleadssales[[#This Row],[Ad_ID]],'[1]pre processed data'!A:C,3,0)</f>
        <v>187</v>
      </c>
      <c r="D2403" s="4">
        <f>VLOOKUP(Googleadssales[[#This Row],[Ad_ID]],'[1]pre processed data'!A:E,5,0)</f>
        <v>4793</v>
      </c>
      <c r="E2403" s="5" t="str">
        <f>VLOOKUP(Googleadssales[[#This Row],[Ad_ID]],[1]!Table3[[Ad_ID]:[Cost-imputed]],7,0)</f>
        <v>$186.41</v>
      </c>
      <c r="F2403" s="4">
        <f>VLOOKUP(Googleadssales[[#This Row],[Ad_ID]],'[1]pre processed data'!A:I,9,0)</f>
        <v>30</v>
      </c>
      <c r="G2403" s="4">
        <f>VLOOKUP(Googleadssales[[#This Row],[Ad_ID]],'[1]pre processed data'!A:K,11,0)</f>
        <v>9</v>
      </c>
      <c r="H2403" s="2">
        <f>Googleadssales[[#This Row],[Conversions]]/Googleadssales[[#This Row],[Clicks]]</f>
        <v>4.8128342245989303E-2</v>
      </c>
      <c r="I2403" t="str">
        <f>VLOOKUP(Googleadssales[[#This Row],[Ad_ID]],'[1]pre processed data'!A:O,15,0)</f>
        <v>$1120</v>
      </c>
      <c r="J2403" s="3">
        <f>VLOOKUP(Googleadssales[[#This Row],[Ad_ID]],'[1]pre processed data'!A:Q,17,0)</f>
        <v>45599</v>
      </c>
      <c r="K2403" t="str">
        <f>VLOOKUP(Googleadssales[[#This Row],[Ad_ID]],'[1]pre processed data'!A:R,18,0)</f>
        <v>Hyderabad</v>
      </c>
      <c r="L2403" t="str">
        <f>VLOOKUP(Googleadssales[[#This Row],[Ad_ID]],'[1]pre processed data'!A:S,19,0)</f>
        <v>Desktop</v>
      </c>
      <c r="M2403" t="str">
        <f>VLOOKUP(Googleadssales[[#This Row],[Ad_ID]],'[1]pre processed data'!A:T,20,0)</f>
        <v>data analytics course</v>
      </c>
    </row>
    <row r="2404" spans="1:13" x14ac:dyDescent="0.3">
      <c r="A2404" t="s">
        <v>2417</v>
      </c>
      <c r="B2404" t="s">
        <v>14</v>
      </c>
      <c r="C2404" s="4">
        <f>VLOOKUP(Googleadssales[[#This Row],[Ad_ID]],'[1]pre processed data'!A:C,3,0)</f>
        <v>126</v>
      </c>
      <c r="D2404" s="4">
        <f>VLOOKUP(Googleadssales[[#This Row],[Ad_ID]],'[1]pre processed data'!A:E,5,0)</f>
        <v>4140</v>
      </c>
      <c r="E2404" s="5" t="str">
        <f>VLOOKUP(Googleadssales[[#This Row],[Ad_ID]],[1]!Table3[[Ad_ID]:[Cost-imputed]],7,0)</f>
        <v>$193.49</v>
      </c>
      <c r="F2404" s="4">
        <f>VLOOKUP(Googleadssales[[#This Row],[Ad_ID]],'[1]pre processed data'!A:I,9,0)</f>
        <v>19</v>
      </c>
      <c r="G2404" s="4">
        <f>VLOOKUP(Googleadssales[[#This Row],[Ad_ID]],'[1]pre processed data'!A:K,11,0)</f>
        <v>6.2648648648648653</v>
      </c>
      <c r="H2404" s="2">
        <f>Googleadssales[[#This Row],[Conversions]]/Googleadssales[[#This Row],[Clicks]]</f>
        <v>4.9721149721149722E-2</v>
      </c>
      <c r="I2404" t="str">
        <f>VLOOKUP(Googleadssales[[#This Row],[Ad_ID]],'[1]pre processed data'!A:O,15,0)</f>
        <v>$1340</v>
      </c>
      <c r="J2404" s="3">
        <f>VLOOKUP(Googleadssales[[#This Row],[Ad_ID]],'[1]pre processed data'!A:Q,17,0)</f>
        <v>45615</v>
      </c>
      <c r="K2404" t="str">
        <f>VLOOKUP(Googleadssales[[#This Row],[Ad_ID]],'[1]pre processed data'!A:R,18,0)</f>
        <v>Bangaluru</v>
      </c>
      <c r="L2404" t="str">
        <f>VLOOKUP(Googleadssales[[#This Row],[Ad_ID]],'[1]pre processed data'!A:S,19,0)</f>
        <v>Tablet</v>
      </c>
      <c r="M2404" t="str">
        <f>VLOOKUP(Googleadssales[[#This Row],[Ad_ID]],'[1]pre processed data'!A:T,20,0)</f>
        <v>data analytics course</v>
      </c>
    </row>
    <row r="2405" spans="1:13" x14ac:dyDescent="0.3">
      <c r="A2405" t="s">
        <v>2418</v>
      </c>
      <c r="B2405" t="s">
        <v>14</v>
      </c>
      <c r="C2405" s="4">
        <f>VLOOKUP(Googleadssales[[#This Row],[Ad_ID]],'[1]pre processed data'!A:C,3,0)</f>
        <v>123</v>
      </c>
      <c r="D2405" s="4">
        <f>VLOOKUP(Googleadssales[[#This Row],[Ad_ID]],'[1]pre processed data'!A:E,5,0)</f>
        <v>5844</v>
      </c>
      <c r="E2405" s="5" t="str">
        <f>VLOOKUP(Googleadssales[[#This Row],[Ad_ID]],[1]!Table3[[Ad_ID]:[Cost-imputed]],7,0)</f>
        <v>$201.7</v>
      </c>
      <c r="F2405" s="4">
        <f>VLOOKUP(Googleadssales[[#This Row],[Ad_ID]],'[1]pre processed data'!A:I,9,0)</f>
        <v>12</v>
      </c>
      <c r="G2405" s="4">
        <f>VLOOKUP(Googleadssales[[#This Row],[Ad_ID]],'[1]pre processed data'!A:K,11,0)</f>
        <v>6</v>
      </c>
      <c r="H2405" s="2">
        <f>Googleadssales[[#This Row],[Conversions]]/Googleadssales[[#This Row],[Clicks]]</f>
        <v>4.878048780487805E-2</v>
      </c>
      <c r="I2405" t="str">
        <f>VLOOKUP(Googleadssales[[#This Row],[Ad_ID]],'[1]pre processed data'!A:O,15,0)</f>
        <v>$1636</v>
      </c>
      <c r="J2405" s="3">
        <f>VLOOKUP(Googleadssales[[#This Row],[Ad_ID]],'[1]pre processed data'!A:Q,17,0)</f>
        <v>45606</v>
      </c>
      <c r="K2405" t="str">
        <f>VLOOKUP(Googleadssales[[#This Row],[Ad_ID]],'[1]pre processed data'!A:R,18,0)</f>
        <v>Hyderabad</v>
      </c>
      <c r="L2405" t="str">
        <f>VLOOKUP(Googleadssales[[#This Row],[Ad_ID]],'[1]pre processed data'!A:S,19,0)</f>
        <v>Desktop</v>
      </c>
      <c r="M2405" t="str">
        <f>VLOOKUP(Googleadssales[[#This Row],[Ad_ID]],'[1]pre processed data'!A:T,20,0)</f>
        <v>data analytics online</v>
      </c>
    </row>
    <row r="2406" spans="1:13" x14ac:dyDescent="0.3">
      <c r="A2406" t="s">
        <v>2419</v>
      </c>
      <c r="B2406" t="s">
        <v>14</v>
      </c>
      <c r="C2406" s="4">
        <f>VLOOKUP(Googleadssales[[#This Row],[Ad_ID]],'[1]pre processed data'!A:C,3,0)</f>
        <v>132</v>
      </c>
      <c r="D2406" s="4">
        <f>VLOOKUP(Googleadssales[[#This Row],[Ad_ID]],'[1]pre processed data'!A:E,5,0)</f>
        <v>5845</v>
      </c>
      <c r="E2406" s="5" t="str">
        <f>VLOOKUP(Googleadssales[[#This Row],[Ad_ID]],[1]!Table3[[Ad_ID]:[Cost-imputed]],7,0)</f>
        <v>$249.74</v>
      </c>
      <c r="F2406" s="4">
        <f>VLOOKUP(Googleadssales[[#This Row],[Ad_ID]],'[1]pre processed data'!A:I,9,0)</f>
        <v>19</v>
      </c>
      <c r="G2406" s="4">
        <f>VLOOKUP(Googleadssales[[#This Row],[Ad_ID]],'[1]pre processed data'!A:K,11,0)</f>
        <v>6.2663043478260869</v>
      </c>
      <c r="H2406" s="2">
        <f>Googleadssales[[#This Row],[Conversions]]/Googleadssales[[#This Row],[Clicks]]</f>
        <v>4.7472002635046112E-2</v>
      </c>
      <c r="I2406" t="str">
        <f>VLOOKUP(Googleadssales[[#This Row],[Ad_ID]],'[1]pre processed data'!A:O,15,0)</f>
        <v>$1067</v>
      </c>
      <c r="J2406" s="3">
        <f>VLOOKUP(Googleadssales[[#This Row],[Ad_ID]],'[1]pre processed data'!A:Q,17,0)</f>
        <v>45599</v>
      </c>
      <c r="K2406" t="str">
        <f>VLOOKUP(Googleadssales[[#This Row],[Ad_ID]],'[1]pre processed data'!A:R,18,0)</f>
        <v>Hyderabad</v>
      </c>
      <c r="L2406" t="str">
        <f>VLOOKUP(Googleadssales[[#This Row],[Ad_ID]],'[1]pre processed data'!A:S,19,0)</f>
        <v>Mobile</v>
      </c>
      <c r="M2406" t="str">
        <f>VLOOKUP(Googleadssales[[#This Row],[Ad_ID]],'[1]pre processed data'!A:T,20,0)</f>
        <v>analytics for data</v>
      </c>
    </row>
    <row r="2407" spans="1:13" x14ac:dyDescent="0.3">
      <c r="A2407" t="s">
        <v>2420</v>
      </c>
      <c r="B2407" t="s">
        <v>14</v>
      </c>
      <c r="C2407" s="4">
        <f>VLOOKUP(Googleadssales[[#This Row],[Ad_ID]],'[1]pre processed data'!A:C,3,0)</f>
        <v>118</v>
      </c>
      <c r="D2407" s="4">
        <f>VLOOKUP(Googleadssales[[#This Row],[Ad_ID]],'[1]pre processed data'!A:E,5,0)</f>
        <v>3371</v>
      </c>
      <c r="E2407" s="5" t="str">
        <f>VLOOKUP(Googleadssales[[#This Row],[Ad_ID]],[1]!Table3[[Ad_ID]:[Cost-imputed]],7,0)</f>
        <v>$191.98</v>
      </c>
      <c r="F2407" s="4">
        <f>VLOOKUP(Googleadssales[[#This Row],[Ad_ID]],'[1]pre processed data'!A:I,9,0)</f>
        <v>10</v>
      </c>
      <c r="G2407" s="4">
        <f>VLOOKUP(Googleadssales[[#This Row],[Ad_ID]],'[1]pre processed data'!A:K,11,0)</f>
        <v>6</v>
      </c>
      <c r="H2407" s="2">
        <f>Googleadssales[[#This Row],[Conversions]]/Googleadssales[[#This Row],[Clicks]]</f>
        <v>5.0847457627118647E-2</v>
      </c>
      <c r="I2407" t="str">
        <f>VLOOKUP(Googleadssales[[#This Row],[Ad_ID]],'[1]pre processed data'!A:O,15,0)</f>
        <v>$1458</v>
      </c>
      <c r="J2407" s="3">
        <f>VLOOKUP(Googleadssales[[#This Row],[Ad_ID]],'[1]pre processed data'!A:Q,17,0)</f>
        <v>45609</v>
      </c>
      <c r="K2407" t="str">
        <f>VLOOKUP(Googleadssales[[#This Row],[Ad_ID]],'[1]pre processed data'!A:R,18,0)</f>
        <v>Bangaluru</v>
      </c>
      <c r="L2407" t="str">
        <f>VLOOKUP(Googleadssales[[#This Row],[Ad_ID]],'[1]pre processed data'!A:S,19,0)</f>
        <v>Mobile</v>
      </c>
      <c r="M2407" t="str">
        <f>VLOOKUP(Googleadssales[[#This Row],[Ad_ID]],'[1]pre processed data'!A:T,20,0)</f>
        <v>learn data analytics</v>
      </c>
    </row>
    <row r="2408" spans="1:13" x14ac:dyDescent="0.3">
      <c r="A2408" t="s">
        <v>2421</v>
      </c>
      <c r="B2408" t="s">
        <v>14</v>
      </c>
      <c r="C2408" s="4">
        <f>VLOOKUP(Googleadssales[[#This Row],[Ad_ID]],'[1]pre processed data'!A:C,3,0)</f>
        <v>92</v>
      </c>
      <c r="D2408" s="4">
        <f>VLOOKUP(Googleadssales[[#This Row],[Ad_ID]],'[1]pre processed data'!A:E,5,0)</f>
        <v>4853</v>
      </c>
      <c r="E2408" s="5" t="str">
        <f>VLOOKUP(Googleadssales[[#This Row],[Ad_ID]],[1]!Table3[[Ad_ID]:[Cost-imputed]],7,0)</f>
        <v>$189.19</v>
      </c>
      <c r="F2408" s="4">
        <f>VLOOKUP(Googleadssales[[#This Row],[Ad_ID]],'[1]pre processed data'!A:I,9,0)</f>
        <v>23</v>
      </c>
      <c r="G2408" s="4">
        <f>VLOOKUP(Googleadssales[[#This Row],[Ad_ID]],'[1]pre processed data'!A:K,11,0)</f>
        <v>9</v>
      </c>
      <c r="H2408" s="2">
        <f>Googleadssales[[#This Row],[Conversions]]/Googleadssales[[#This Row],[Clicks]]</f>
        <v>9.7826086956521743E-2</v>
      </c>
      <c r="I2408" t="str">
        <f>VLOOKUP(Googleadssales[[#This Row],[Ad_ID]],'[1]pre processed data'!A:O,15,0)</f>
        <v>$1189</v>
      </c>
      <c r="J2408" s="3">
        <f>VLOOKUP(Googleadssales[[#This Row],[Ad_ID]],'[1]pre processed data'!A:Q,17,0)</f>
        <v>45614</v>
      </c>
      <c r="K2408" t="str">
        <f>VLOOKUP(Googleadssales[[#This Row],[Ad_ID]],'[1]pre processed data'!A:R,18,0)</f>
        <v>Chennai</v>
      </c>
      <c r="L2408" t="str">
        <f>VLOOKUP(Googleadssales[[#This Row],[Ad_ID]],'[1]pre processed data'!A:S,19,0)</f>
        <v>Desktop</v>
      </c>
      <c r="M2408" t="str">
        <f>VLOOKUP(Googleadssales[[#This Row],[Ad_ID]],'[1]pre processed data'!A:T,20,0)</f>
        <v>online data analytic</v>
      </c>
    </row>
    <row r="2409" spans="1:13" x14ac:dyDescent="0.3">
      <c r="A2409" t="s">
        <v>2422</v>
      </c>
      <c r="B2409" t="s">
        <v>14</v>
      </c>
      <c r="C2409" s="4">
        <f>VLOOKUP(Googleadssales[[#This Row],[Ad_ID]],'[1]pre processed data'!A:C,3,0)</f>
        <v>100</v>
      </c>
      <c r="D2409" s="4">
        <f>VLOOKUP(Googleadssales[[#This Row],[Ad_ID]],'[1]pre processed data'!A:E,5,0)</f>
        <v>5781</v>
      </c>
      <c r="E2409" s="5" t="str">
        <f>VLOOKUP(Googleadssales[[#This Row],[Ad_ID]],[1]!Table3[[Ad_ID]:[Cost-imputed]],7,0)</f>
        <v>$202.96</v>
      </c>
      <c r="F2409" s="4">
        <f>VLOOKUP(Googleadssales[[#This Row],[Ad_ID]],'[1]pre processed data'!A:I,9,0)</f>
        <v>30</v>
      </c>
      <c r="G2409" s="4">
        <f>VLOOKUP(Googleadssales[[#This Row],[Ad_ID]],'[1]pre processed data'!A:K,11,0)</f>
        <v>7</v>
      </c>
      <c r="H2409" s="2">
        <f>Googleadssales[[#This Row],[Conversions]]/Googleadssales[[#This Row],[Clicks]]</f>
        <v>7.0000000000000007E-2</v>
      </c>
      <c r="I2409" t="str">
        <f>VLOOKUP(Googleadssales[[#This Row],[Ad_ID]],'[1]pre processed data'!A:O,15,0)</f>
        <v>$1132</v>
      </c>
      <c r="J2409" s="3">
        <f>VLOOKUP(Googleadssales[[#This Row],[Ad_ID]],'[1]pre processed data'!A:Q,17,0)</f>
        <v>45614</v>
      </c>
      <c r="K2409" t="str">
        <f>VLOOKUP(Googleadssales[[#This Row],[Ad_ID]],'[1]pre processed data'!A:R,18,0)</f>
        <v>Hyderabad</v>
      </c>
      <c r="L2409" t="str">
        <f>VLOOKUP(Googleadssales[[#This Row],[Ad_ID]],'[1]pre processed data'!A:S,19,0)</f>
        <v>Desktop</v>
      </c>
      <c r="M2409" t="str">
        <f>VLOOKUP(Googleadssales[[#This Row],[Ad_ID]],'[1]pre processed data'!A:T,20,0)</f>
        <v>data analytics training</v>
      </c>
    </row>
    <row r="2410" spans="1:13" x14ac:dyDescent="0.3">
      <c r="A2410" t="s">
        <v>2423</v>
      </c>
      <c r="B2410" t="s">
        <v>18</v>
      </c>
      <c r="C2410" s="4">
        <f>VLOOKUP(Googleadssales[[#This Row],[Ad_ID]],'[1]pre processed data'!A:C,3,0)</f>
        <v>100</v>
      </c>
      <c r="D2410" s="4">
        <f>VLOOKUP(Googleadssales[[#This Row],[Ad_ID]],'[1]pre processed data'!A:E,5,0)</f>
        <v>5435</v>
      </c>
      <c r="E2410" s="5" t="str">
        <f>VLOOKUP(Googleadssales[[#This Row],[Ad_ID]],[1]!Table3[[Ad_ID]:[Cost-imputed]],7,0)</f>
        <v>$205.99</v>
      </c>
      <c r="F2410" s="4">
        <f>VLOOKUP(Googleadssales[[#This Row],[Ad_ID]],'[1]pre processed data'!A:I,9,0)</f>
        <v>13</v>
      </c>
      <c r="G2410" s="4">
        <f>VLOOKUP(Googleadssales[[#This Row],[Ad_ID]],'[1]pre processed data'!A:K,11,0)</f>
        <v>6</v>
      </c>
      <c r="H2410" s="2">
        <f>Googleadssales[[#This Row],[Conversions]]/Googleadssales[[#This Row],[Clicks]]</f>
        <v>0.06</v>
      </c>
      <c r="I2410" t="str">
        <f>VLOOKUP(Googleadssales[[#This Row],[Ad_ID]],'[1]pre processed data'!A:O,15,0)</f>
        <v>$1607</v>
      </c>
      <c r="J2410" s="3">
        <f>VLOOKUP(Googleadssales[[#This Row],[Ad_ID]],'[1]pre processed data'!A:Q,17,0)</f>
        <v>45623</v>
      </c>
      <c r="K2410" t="str">
        <f>VLOOKUP(Googleadssales[[#This Row],[Ad_ID]],'[1]pre processed data'!A:R,18,0)</f>
        <v>Bangaluru</v>
      </c>
      <c r="L2410" t="str">
        <f>VLOOKUP(Googleadssales[[#This Row],[Ad_ID]],'[1]pre processed data'!A:S,19,0)</f>
        <v>Tablet</v>
      </c>
      <c r="M2410" t="str">
        <f>VLOOKUP(Googleadssales[[#This Row],[Ad_ID]],'[1]pre processed data'!A:T,20,0)</f>
        <v>analytics for data</v>
      </c>
    </row>
    <row r="2411" spans="1:13" x14ac:dyDescent="0.3">
      <c r="A2411" t="s">
        <v>2424</v>
      </c>
      <c r="B2411" t="s">
        <v>18</v>
      </c>
      <c r="C2411" s="4">
        <f>VLOOKUP(Googleadssales[[#This Row],[Ad_ID]],'[1]pre processed data'!A:C,3,0)</f>
        <v>89</v>
      </c>
      <c r="D2411" s="4">
        <f>VLOOKUP(Googleadssales[[#This Row],[Ad_ID]],'[1]pre processed data'!A:E,5,0)</f>
        <v>3915</v>
      </c>
      <c r="E2411" s="5" t="str">
        <f>VLOOKUP(Googleadssales[[#This Row],[Ad_ID]],[1]!Table3[[Ad_ID]:[Cost-imputed]],7,0)</f>
        <v>$207.63</v>
      </c>
      <c r="F2411" s="4">
        <f>VLOOKUP(Googleadssales[[#This Row],[Ad_ID]],'[1]pre processed data'!A:I,9,0)</f>
        <v>10</v>
      </c>
      <c r="G2411" s="4">
        <f>VLOOKUP(Googleadssales[[#This Row],[Ad_ID]],'[1]pre processed data'!A:K,11,0)</f>
        <v>7</v>
      </c>
      <c r="H2411" s="2">
        <f>Googleadssales[[#This Row],[Conversions]]/Googleadssales[[#This Row],[Clicks]]</f>
        <v>7.8651685393258425E-2</v>
      </c>
      <c r="I2411" t="str">
        <f>VLOOKUP(Googleadssales[[#This Row],[Ad_ID]],'[1]pre processed data'!A:O,15,0)</f>
        <v>$1454</v>
      </c>
      <c r="J2411" s="3">
        <f>VLOOKUP(Googleadssales[[#This Row],[Ad_ID]],'[1]pre processed data'!A:Q,17,0)</f>
        <v>45598</v>
      </c>
      <c r="K2411" t="str">
        <f>VLOOKUP(Googleadssales[[#This Row],[Ad_ID]],'[1]pre processed data'!A:R,18,0)</f>
        <v>Chennai</v>
      </c>
      <c r="L2411" t="str">
        <f>VLOOKUP(Googleadssales[[#This Row],[Ad_ID]],'[1]pre processed data'!A:S,19,0)</f>
        <v>Desktop</v>
      </c>
      <c r="M2411" t="str">
        <f>VLOOKUP(Googleadssales[[#This Row],[Ad_ID]],'[1]pre processed data'!A:T,20,0)</f>
        <v>data analytics course</v>
      </c>
    </row>
    <row r="2412" spans="1:13" x14ac:dyDescent="0.3">
      <c r="A2412" t="s">
        <v>2425</v>
      </c>
      <c r="B2412" t="s">
        <v>14</v>
      </c>
      <c r="C2412" s="4">
        <f>VLOOKUP(Googleadssales[[#This Row],[Ad_ID]],'[1]pre processed data'!A:C,3,0)</f>
        <v>147</v>
      </c>
      <c r="D2412" s="4">
        <f>VLOOKUP(Googleadssales[[#This Row],[Ad_ID]],'[1]pre processed data'!A:E,5,0)</f>
        <v>4231</v>
      </c>
      <c r="E2412" s="5" t="str">
        <f>VLOOKUP(Googleadssales[[#This Row],[Ad_ID]],[1]!Table3[[Ad_ID]:[Cost-imputed]],7,0)</f>
        <v>$186.73</v>
      </c>
      <c r="F2412" s="4">
        <f>VLOOKUP(Googleadssales[[#This Row],[Ad_ID]],'[1]pre processed data'!A:I,9,0)</f>
        <v>20</v>
      </c>
      <c r="G2412" s="4">
        <f>VLOOKUP(Googleadssales[[#This Row],[Ad_ID]],'[1]pre processed data'!A:K,11,0)</f>
        <v>5</v>
      </c>
      <c r="H2412" s="2">
        <f>Googleadssales[[#This Row],[Conversions]]/Googleadssales[[#This Row],[Clicks]]</f>
        <v>3.4013605442176874E-2</v>
      </c>
      <c r="I2412" t="str">
        <f>VLOOKUP(Googleadssales[[#This Row],[Ad_ID]],'[1]pre processed data'!A:O,15,0)</f>
        <v>$1271</v>
      </c>
      <c r="J2412" s="3">
        <f>VLOOKUP(Googleadssales[[#This Row],[Ad_ID]],'[1]pre processed data'!A:Q,17,0)</f>
        <v>45611</v>
      </c>
      <c r="K2412" t="str">
        <f>VLOOKUP(Googleadssales[[#This Row],[Ad_ID]],'[1]pre processed data'!A:R,18,0)</f>
        <v>Hyderabad</v>
      </c>
      <c r="L2412" t="str">
        <f>VLOOKUP(Googleadssales[[#This Row],[Ad_ID]],'[1]pre processed data'!A:S,19,0)</f>
        <v>Desktop</v>
      </c>
      <c r="M2412" t="str">
        <f>VLOOKUP(Googleadssales[[#This Row],[Ad_ID]],'[1]pre processed data'!A:T,20,0)</f>
        <v>learn data analytics</v>
      </c>
    </row>
    <row r="2413" spans="1:13" x14ac:dyDescent="0.3">
      <c r="A2413" t="s">
        <v>2426</v>
      </c>
      <c r="B2413" t="s">
        <v>14</v>
      </c>
      <c r="C2413" s="4">
        <f>VLOOKUP(Googleadssales[[#This Row],[Ad_ID]],'[1]pre processed data'!A:C,3,0)</f>
        <v>153</v>
      </c>
      <c r="D2413" s="4">
        <f>VLOOKUP(Googleadssales[[#This Row],[Ad_ID]],'[1]pre processed data'!A:E,5,0)</f>
        <v>3225</v>
      </c>
      <c r="E2413" s="5" t="str">
        <f>VLOOKUP(Googleadssales[[#This Row],[Ad_ID]],[1]!Table3[[Ad_ID]:[Cost-imputed]],7,0)</f>
        <v>$240.34</v>
      </c>
      <c r="F2413" s="4">
        <f>VLOOKUP(Googleadssales[[#This Row],[Ad_ID]],'[1]pre processed data'!A:I,9,0)</f>
        <v>20</v>
      </c>
      <c r="G2413" s="4">
        <f>VLOOKUP(Googleadssales[[#This Row],[Ad_ID]],'[1]pre processed data'!A:K,11,0)</f>
        <v>8</v>
      </c>
      <c r="H2413" s="2">
        <f>Googleadssales[[#This Row],[Conversions]]/Googleadssales[[#This Row],[Clicks]]</f>
        <v>5.2287581699346407E-2</v>
      </c>
      <c r="I2413" t="str">
        <f>VLOOKUP(Googleadssales[[#This Row],[Ad_ID]],'[1]pre processed data'!A:O,15,0)</f>
        <v>$1313</v>
      </c>
      <c r="J2413" s="3">
        <f>VLOOKUP(Googleadssales[[#This Row],[Ad_ID]],'[1]pre processed data'!A:Q,17,0)</f>
        <v>45624</v>
      </c>
      <c r="K2413" t="str">
        <f>VLOOKUP(Googleadssales[[#This Row],[Ad_ID]],'[1]pre processed data'!A:R,18,0)</f>
        <v>Bangaluru</v>
      </c>
      <c r="L2413" t="str">
        <f>VLOOKUP(Googleadssales[[#This Row],[Ad_ID]],'[1]pre processed data'!A:S,19,0)</f>
        <v>Tablet</v>
      </c>
      <c r="M2413" t="str">
        <f>VLOOKUP(Googleadssales[[#This Row],[Ad_ID]],'[1]pre processed data'!A:T,20,0)</f>
        <v>data analytics online</v>
      </c>
    </row>
    <row r="2414" spans="1:13" x14ac:dyDescent="0.3">
      <c r="A2414" t="s">
        <v>2427</v>
      </c>
      <c r="B2414" t="s">
        <v>18</v>
      </c>
      <c r="C2414" s="4">
        <f>VLOOKUP(Googleadssales[[#This Row],[Ad_ID]],'[1]pre processed data'!A:C,3,0)</f>
        <v>164</v>
      </c>
      <c r="D2414" s="4">
        <f>VLOOKUP(Googleadssales[[#This Row],[Ad_ID]],'[1]pre processed data'!A:E,5,0)</f>
        <v>3996</v>
      </c>
      <c r="E2414" s="5" t="str">
        <f>VLOOKUP(Googleadssales[[#This Row],[Ad_ID]],[1]!Table3[[Ad_ID]:[Cost-imputed]],7,0)</f>
        <v>$202.56</v>
      </c>
      <c r="F2414" s="4">
        <f>VLOOKUP(Googleadssales[[#This Row],[Ad_ID]],'[1]pre processed data'!A:I,9,0)</f>
        <v>19</v>
      </c>
      <c r="G2414" s="4">
        <f>VLOOKUP(Googleadssales[[#This Row],[Ad_ID]],'[1]pre processed data'!A:K,11,0)</f>
        <v>10</v>
      </c>
      <c r="H2414" s="2">
        <f>Googleadssales[[#This Row],[Conversions]]/Googleadssales[[#This Row],[Clicks]]</f>
        <v>6.097560975609756E-2</v>
      </c>
      <c r="I2414" t="str">
        <f>VLOOKUP(Googleadssales[[#This Row],[Ad_ID]],'[1]pre processed data'!A:O,15,0)</f>
        <v>$1880</v>
      </c>
      <c r="J2414" s="3">
        <f>VLOOKUP(Googleadssales[[#This Row],[Ad_ID]],'[1]pre processed data'!A:Q,17,0)</f>
        <v>45625</v>
      </c>
      <c r="K2414" t="str">
        <f>VLOOKUP(Googleadssales[[#This Row],[Ad_ID]],'[1]pre processed data'!A:R,18,0)</f>
        <v>Bangaluru</v>
      </c>
      <c r="L2414" t="str">
        <f>VLOOKUP(Googleadssales[[#This Row],[Ad_ID]],'[1]pre processed data'!A:S,19,0)</f>
        <v>Desktop</v>
      </c>
      <c r="M2414" t="str">
        <f>VLOOKUP(Googleadssales[[#This Row],[Ad_ID]],'[1]pre processed data'!A:T,20,0)</f>
        <v>data analytics online</v>
      </c>
    </row>
    <row r="2415" spans="1:13" x14ac:dyDescent="0.3">
      <c r="A2415" t="s">
        <v>2428</v>
      </c>
      <c r="B2415" t="s">
        <v>14</v>
      </c>
      <c r="C2415" s="4">
        <f>VLOOKUP(Googleadssales[[#This Row],[Ad_ID]],'[1]pre processed data'!A:C,3,0)</f>
        <v>124</v>
      </c>
      <c r="D2415" s="4">
        <f>VLOOKUP(Googleadssales[[#This Row],[Ad_ID]],'[1]pre processed data'!A:E,5,0)</f>
        <v>5949</v>
      </c>
      <c r="E2415" s="5" t="str">
        <f>VLOOKUP(Googleadssales[[#This Row],[Ad_ID]],[1]!Table3[[Ad_ID]:[Cost-imputed]],7,0)</f>
        <v>$218.12</v>
      </c>
      <c r="F2415" s="4">
        <f>VLOOKUP(Googleadssales[[#This Row],[Ad_ID]],'[1]pre processed data'!A:I,9,0)</f>
        <v>11</v>
      </c>
      <c r="G2415" s="4">
        <f>VLOOKUP(Googleadssales[[#This Row],[Ad_ID]],'[1]pre processed data'!A:K,11,0)</f>
        <v>10</v>
      </c>
      <c r="H2415" s="2">
        <f>Googleadssales[[#This Row],[Conversions]]/Googleadssales[[#This Row],[Clicks]]</f>
        <v>8.0645161290322578E-2</v>
      </c>
      <c r="I2415" t="str">
        <f>VLOOKUP(Googleadssales[[#This Row],[Ad_ID]],'[1]pre processed data'!A:O,15,0)</f>
        <v>$1019</v>
      </c>
      <c r="J2415" s="3">
        <f>VLOOKUP(Googleadssales[[#This Row],[Ad_ID]],'[1]pre processed data'!A:Q,17,0)</f>
        <v>45602</v>
      </c>
      <c r="K2415" t="str">
        <f>VLOOKUP(Googleadssales[[#This Row],[Ad_ID]],'[1]pre processed data'!A:R,18,0)</f>
        <v>Hyderabad</v>
      </c>
      <c r="L2415" t="str">
        <f>VLOOKUP(Googleadssales[[#This Row],[Ad_ID]],'[1]pre processed data'!A:S,19,0)</f>
        <v>Mobile</v>
      </c>
      <c r="M2415" t="str">
        <f>VLOOKUP(Googleadssales[[#This Row],[Ad_ID]],'[1]pre processed data'!A:T,20,0)</f>
        <v>online data analytic</v>
      </c>
    </row>
    <row r="2416" spans="1:13" x14ac:dyDescent="0.3">
      <c r="A2416" t="s">
        <v>2429</v>
      </c>
      <c r="B2416" t="s">
        <v>14</v>
      </c>
      <c r="C2416" s="4">
        <f>VLOOKUP(Googleadssales[[#This Row],[Ad_ID]],'[1]pre processed data'!A:C,3,0)</f>
        <v>189</v>
      </c>
      <c r="D2416" s="4">
        <f>VLOOKUP(Googleadssales[[#This Row],[Ad_ID]],'[1]pre processed data'!A:E,5,0)</f>
        <v>5740</v>
      </c>
      <c r="E2416" s="5" t="str">
        <f>VLOOKUP(Googleadssales[[#This Row],[Ad_ID]],[1]!Table3[[Ad_ID]:[Cost-imputed]],7,0)</f>
        <v>$231.73</v>
      </c>
      <c r="F2416" s="4">
        <f>VLOOKUP(Googleadssales[[#This Row],[Ad_ID]],'[1]pre processed data'!A:I,9,0)</f>
        <v>28</v>
      </c>
      <c r="G2416" s="4">
        <f>VLOOKUP(Googleadssales[[#This Row],[Ad_ID]],'[1]pre processed data'!A:K,11,0)</f>
        <v>5</v>
      </c>
      <c r="H2416" s="2">
        <f>Googleadssales[[#This Row],[Conversions]]/Googleadssales[[#This Row],[Clicks]]</f>
        <v>2.6455026455026454E-2</v>
      </c>
      <c r="I2416" t="str">
        <f>VLOOKUP(Googleadssales[[#This Row],[Ad_ID]],'[1]pre processed data'!A:O,15,0)</f>
        <v>$1306</v>
      </c>
      <c r="J2416" s="3">
        <f>VLOOKUP(Googleadssales[[#This Row],[Ad_ID]],'[1]pre processed data'!A:Q,17,0)</f>
        <v>45599</v>
      </c>
      <c r="K2416" t="str">
        <f>VLOOKUP(Googleadssales[[#This Row],[Ad_ID]],'[1]pre processed data'!A:R,18,0)</f>
        <v>Bangaluru</v>
      </c>
      <c r="L2416" t="str">
        <f>VLOOKUP(Googleadssales[[#This Row],[Ad_ID]],'[1]pre processed data'!A:S,19,0)</f>
        <v>Tablet</v>
      </c>
      <c r="M2416" t="str">
        <f>VLOOKUP(Googleadssales[[#This Row],[Ad_ID]],'[1]pre processed data'!A:T,20,0)</f>
        <v>online data analytic</v>
      </c>
    </row>
    <row r="2417" spans="1:13" x14ac:dyDescent="0.3">
      <c r="A2417" t="s">
        <v>2430</v>
      </c>
      <c r="B2417" t="s">
        <v>14</v>
      </c>
      <c r="C2417" s="4">
        <f>VLOOKUP(Googleadssales[[#This Row],[Ad_ID]],'[1]pre processed data'!A:C,3,0)</f>
        <v>142</v>
      </c>
      <c r="D2417" s="4">
        <f>VLOOKUP(Googleadssales[[#This Row],[Ad_ID]],'[1]pre processed data'!A:E,5,0)</f>
        <v>5354</v>
      </c>
      <c r="E2417" s="5" t="str">
        <f>VLOOKUP(Googleadssales[[#This Row],[Ad_ID]],[1]!Table3[[Ad_ID]:[Cost-imputed]],7,0)</f>
        <v>$247.32</v>
      </c>
      <c r="F2417" s="4">
        <f>VLOOKUP(Googleadssales[[#This Row],[Ad_ID]],'[1]pre processed data'!A:I,9,0)</f>
        <v>17</v>
      </c>
      <c r="G2417" s="4">
        <f>VLOOKUP(Googleadssales[[#This Row],[Ad_ID]],'[1]pre processed data'!A:K,11,0)</f>
        <v>4</v>
      </c>
      <c r="H2417" s="2">
        <f>Googleadssales[[#This Row],[Conversions]]/Googleadssales[[#This Row],[Clicks]]</f>
        <v>2.8169014084507043E-2</v>
      </c>
      <c r="I2417" t="str">
        <f>VLOOKUP(Googleadssales[[#This Row],[Ad_ID]],'[1]pre processed data'!A:O,15,0)</f>
        <v>$1828</v>
      </c>
      <c r="J2417" s="3">
        <f>VLOOKUP(Googleadssales[[#This Row],[Ad_ID]],'[1]pre processed data'!A:Q,17,0)</f>
        <v>45597</v>
      </c>
      <c r="K2417" t="str">
        <f>VLOOKUP(Googleadssales[[#This Row],[Ad_ID]],'[1]pre processed data'!A:R,18,0)</f>
        <v>Chennai</v>
      </c>
      <c r="L2417" t="str">
        <f>VLOOKUP(Googleadssales[[#This Row],[Ad_ID]],'[1]pre processed data'!A:S,19,0)</f>
        <v>Desktop</v>
      </c>
      <c r="M2417" t="str">
        <f>VLOOKUP(Googleadssales[[#This Row],[Ad_ID]],'[1]pre processed data'!A:T,20,0)</f>
        <v>online data analytic</v>
      </c>
    </row>
    <row r="2418" spans="1:13" x14ac:dyDescent="0.3">
      <c r="A2418" t="s">
        <v>2431</v>
      </c>
      <c r="B2418" t="s">
        <v>14</v>
      </c>
      <c r="C2418" s="4">
        <f>VLOOKUP(Googleadssales[[#This Row],[Ad_ID]],'[1]pre processed data'!A:C,3,0)</f>
        <v>127</v>
      </c>
      <c r="D2418" s="4">
        <f>VLOOKUP(Googleadssales[[#This Row],[Ad_ID]],'[1]pre processed data'!A:E,5,0)</f>
        <v>4587</v>
      </c>
      <c r="E2418" s="5" t="str">
        <f>VLOOKUP(Googleadssales[[#This Row],[Ad_ID]],[1]!Table3[[Ad_ID]:[Cost-imputed]],7,0)</f>
        <v>$199.63</v>
      </c>
      <c r="F2418" s="4">
        <f>VLOOKUP(Googleadssales[[#This Row],[Ad_ID]],'[1]pre processed data'!A:I,9,0)</f>
        <v>17</v>
      </c>
      <c r="G2418" s="4">
        <f>VLOOKUP(Googleadssales[[#This Row],[Ad_ID]],'[1]pre processed data'!A:K,11,0)</f>
        <v>5</v>
      </c>
      <c r="H2418" s="2">
        <f>Googleadssales[[#This Row],[Conversions]]/Googleadssales[[#This Row],[Clicks]]</f>
        <v>3.937007874015748E-2</v>
      </c>
      <c r="I2418" t="str">
        <f>VLOOKUP(Googleadssales[[#This Row],[Ad_ID]],'[1]pre processed data'!A:O,15,0)</f>
        <v>$1319</v>
      </c>
      <c r="J2418" s="3">
        <f>VLOOKUP(Googleadssales[[#This Row],[Ad_ID]],'[1]pre processed data'!A:Q,17,0)</f>
        <v>45623</v>
      </c>
      <c r="K2418" t="str">
        <f>VLOOKUP(Googleadssales[[#This Row],[Ad_ID]],'[1]pre processed data'!A:R,18,0)</f>
        <v>Hyderabad</v>
      </c>
      <c r="L2418" t="str">
        <f>VLOOKUP(Googleadssales[[#This Row],[Ad_ID]],'[1]pre processed data'!A:S,19,0)</f>
        <v>Tablet</v>
      </c>
      <c r="M2418" t="str">
        <f>VLOOKUP(Googleadssales[[#This Row],[Ad_ID]],'[1]pre processed data'!A:T,20,0)</f>
        <v>data analytics course</v>
      </c>
    </row>
    <row r="2419" spans="1:13" x14ac:dyDescent="0.3">
      <c r="A2419" t="s">
        <v>2432</v>
      </c>
      <c r="B2419" t="s">
        <v>14</v>
      </c>
      <c r="C2419" s="4">
        <f>VLOOKUP(Googleadssales[[#This Row],[Ad_ID]],'[1]pre processed data'!A:C,3,0)</f>
        <v>174</v>
      </c>
      <c r="D2419" s="4">
        <f>VLOOKUP(Googleadssales[[#This Row],[Ad_ID]],'[1]pre processed data'!A:E,5,0)</f>
        <v>3957</v>
      </c>
      <c r="E2419" s="5" t="str">
        <f>VLOOKUP(Googleadssales[[#This Row],[Ad_ID]],[1]!Table3[[Ad_ID]:[Cost-imputed]],7,0)</f>
        <v>$181.56</v>
      </c>
      <c r="F2419" s="4">
        <f>VLOOKUP(Googleadssales[[#This Row],[Ad_ID]],'[1]pre processed data'!A:I,9,0)</f>
        <v>12</v>
      </c>
      <c r="G2419" s="4">
        <f>VLOOKUP(Googleadssales[[#This Row],[Ad_ID]],'[1]pre processed data'!A:K,11,0)</f>
        <v>3</v>
      </c>
      <c r="H2419" s="2">
        <f>Googleadssales[[#This Row],[Conversions]]/Googleadssales[[#This Row],[Clicks]]</f>
        <v>1.7241379310344827E-2</v>
      </c>
      <c r="I2419" t="str">
        <f>VLOOKUP(Googleadssales[[#This Row],[Ad_ID]],'[1]pre processed data'!A:O,15,0)</f>
        <v>$1385</v>
      </c>
      <c r="J2419" s="3">
        <f>VLOOKUP(Googleadssales[[#This Row],[Ad_ID]],'[1]pre processed data'!A:Q,17,0)</f>
        <v>45598</v>
      </c>
      <c r="K2419" t="str">
        <f>VLOOKUP(Googleadssales[[#This Row],[Ad_ID]],'[1]pre processed data'!A:R,18,0)</f>
        <v>Hyderabad</v>
      </c>
      <c r="L2419" t="str">
        <f>VLOOKUP(Googleadssales[[#This Row],[Ad_ID]],'[1]pre processed data'!A:S,19,0)</f>
        <v>Desktop</v>
      </c>
      <c r="M2419" t="str">
        <f>VLOOKUP(Googleadssales[[#This Row],[Ad_ID]],'[1]pre processed data'!A:T,20,0)</f>
        <v>data analytics training</v>
      </c>
    </row>
    <row r="2420" spans="1:13" x14ac:dyDescent="0.3">
      <c r="A2420" t="s">
        <v>2433</v>
      </c>
      <c r="B2420" t="s">
        <v>14</v>
      </c>
      <c r="C2420" s="4">
        <f>VLOOKUP(Googleadssales[[#This Row],[Ad_ID]],'[1]pre processed data'!A:C,3,0)</f>
        <v>183</v>
      </c>
      <c r="D2420" s="4">
        <f>VLOOKUP(Googleadssales[[#This Row],[Ad_ID]],'[1]pre processed data'!A:E,5,0)</f>
        <v>5971</v>
      </c>
      <c r="E2420" s="5" t="str">
        <f>VLOOKUP(Googleadssales[[#This Row],[Ad_ID]],[1]!Table3[[Ad_ID]:[Cost-imputed]],7,0)</f>
        <v>$207.43</v>
      </c>
      <c r="F2420" s="4">
        <f>VLOOKUP(Googleadssales[[#This Row],[Ad_ID]],'[1]pre processed data'!A:I,9,0)</f>
        <v>10</v>
      </c>
      <c r="G2420" s="4">
        <f>VLOOKUP(Googleadssales[[#This Row],[Ad_ID]],'[1]pre processed data'!A:K,11,0)</f>
        <v>7</v>
      </c>
      <c r="H2420" s="2">
        <f>Googleadssales[[#This Row],[Conversions]]/Googleadssales[[#This Row],[Clicks]]</f>
        <v>3.825136612021858E-2</v>
      </c>
      <c r="I2420" t="str">
        <f>VLOOKUP(Googleadssales[[#This Row],[Ad_ID]],'[1]pre processed data'!A:O,15,0)</f>
        <v>$1325</v>
      </c>
      <c r="J2420" s="3">
        <f>VLOOKUP(Googleadssales[[#This Row],[Ad_ID]],'[1]pre processed data'!A:Q,17,0)</f>
        <v>45621</v>
      </c>
      <c r="K2420" t="str">
        <f>VLOOKUP(Googleadssales[[#This Row],[Ad_ID]],'[1]pre processed data'!A:R,18,0)</f>
        <v>Bangaluru</v>
      </c>
      <c r="L2420" t="str">
        <f>VLOOKUP(Googleadssales[[#This Row],[Ad_ID]],'[1]pre processed data'!A:S,19,0)</f>
        <v>Tablet</v>
      </c>
      <c r="M2420" t="str">
        <f>VLOOKUP(Googleadssales[[#This Row],[Ad_ID]],'[1]pre processed data'!A:T,20,0)</f>
        <v>online data analytic</v>
      </c>
    </row>
    <row r="2421" spans="1:13" x14ac:dyDescent="0.3">
      <c r="A2421" t="s">
        <v>2434</v>
      </c>
      <c r="B2421" t="s">
        <v>14</v>
      </c>
      <c r="C2421" s="4">
        <f>VLOOKUP(Googleadssales[[#This Row],[Ad_ID]],'[1]pre processed data'!A:C,3,0)</f>
        <v>190</v>
      </c>
      <c r="D2421" s="4">
        <f>VLOOKUP(Googleadssales[[#This Row],[Ad_ID]],'[1]pre processed data'!A:E,5,0)</f>
        <v>3455</v>
      </c>
      <c r="E2421" s="5" t="str">
        <f>VLOOKUP(Googleadssales[[#This Row],[Ad_ID]],[1]!Table3[[Ad_ID]:[Cost-imputed]],7,0)</f>
        <v>$213.11</v>
      </c>
      <c r="F2421" s="4">
        <f>VLOOKUP(Googleadssales[[#This Row],[Ad_ID]],'[1]pre processed data'!A:I,9,0)</f>
        <v>18</v>
      </c>
      <c r="G2421" s="4">
        <f>VLOOKUP(Googleadssales[[#This Row],[Ad_ID]],'[1]pre processed data'!A:K,11,0)</f>
        <v>7</v>
      </c>
      <c r="H2421" s="2">
        <f>Googleadssales[[#This Row],[Conversions]]/Googleadssales[[#This Row],[Clicks]]</f>
        <v>3.6842105263157891E-2</v>
      </c>
      <c r="I2421" t="str">
        <f>VLOOKUP(Googleadssales[[#This Row],[Ad_ID]],'[1]pre processed data'!A:O,15,0)</f>
        <v>$1730</v>
      </c>
      <c r="J2421" s="3">
        <f>VLOOKUP(Googleadssales[[#This Row],[Ad_ID]],'[1]pre processed data'!A:Q,17,0)</f>
        <v>45609</v>
      </c>
      <c r="K2421" t="str">
        <f>VLOOKUP(Googleadssales[[#This Row],[Ad_ID]],'[1]pre processed data'!A:R,18,0)</f>
        <v>Bangaluru</v>
      </c>
      <c r="L2421" t="str">
        <f>VLOOKUP(Googleadssales[[#This Row],[Ad_ID]],'[1]pre processed data'!A:S,19,0)</f>
        <v>Desktop</v>
      </c>
      <c r="M2421" t="str">
        <f>VLOOKUP(Googleadssales[[#This Row],[Ad_ID]],'[1]pre processed data'!A:T,20,0)</f>
        <v>data analytics training</v>
      </c>
    </row>
    <row r="2422" spans="1:13" x14ac:dyDescent="0.3">
      <c r="A2422" t="s">
        <v>2435</v>
      </c>
      <c r="B2422" t="s">
        <v>14</v>
      </c>
      <c r="C2422" s="4">
        <f>VLOOKUP(Googleadssales[[#This Row],[Ad_ID]],'[1]pre processed data'!A:C,3,0)</f>
        <v>116</v>
      </c>
      <c r="D2422" s="4">
        <f>VLOOKUP(Googleadssales[[#This Row],[Ad_ID]],'[1]pre processed data'!A:E,5,0)</f>
        <v>5748</v>
      </c>
      <c r="E2422" s="5" t="str">
        <f>VLOOKUP(Googleadssales[[#This Row],[Ad_ID]],[1]!Table3[[Ad_ID]:[Cost-imputed]],7,0)</f>
        <v>$188.91</v>
      </c>
      <c r="F2422" s="4">
        <f>VLOOKUP(Googleadssales[[#This Row],[Ad_ID]],'[1]pre processed data'!A:I,9,0)</f>
        <v>11</v>
      </c>
      <c r="G2422" s="4">
        <f>VLOOKUP(Googleadssales[[#This Row],[Ad_ID]],'[1]pre processed data'!A:K,11,0)</f>
        <v>7</v>
      </c>
      <c r="H2422" s="2">
        <f>Googleadssales[[#This Row],[Conversions]]/Googleadssales[[#This Row],[Clicks]]</f>
        <v>6.0344827586206899E-2</v>
      </c>
      <c r="I2422" t="str">
        <f>VLOOKUP(Googleadssales[[#This Row],[Ad_ID]],'[1]pre processed data'!A:O,15,0)</f>
        <v>$1368</v>
      </c>
      <c r="J2422" s="3">
        <f>VLOOKUP(Googleadssales[[#This Row],[Ad_ID]],'[1]pre processed data'!A:Q,17,0)</f>
        <v>45610</v>
      </c>
      <c r="K2422" t="str">
        <f>VLOOKUP(Googleadssales[[#This Row],[Ad_ID]],'[1]pre processed data'!A:R,18,0)</f>
        <v>Hyderabad</v>
      </c>
      <c r="L2422" t="str">
        <f>VLOOKUP(Googleadssales[[#This Row],[Ad_ID]],'[1]pre processed data'!A:S,19,0)</f>
        <v>Desktop</v>
      </c>
      <c r="M2422" t="str">
        <f>VLOOKUP(Googleadssales[[#This Row],[Ad_ID]],'[1]pre processed data'!A:T,20,0)</f>
        <v>data analytics online</v>
      </c>
    </row>
    <row r="2423" spans="1:13" x14ac:dyDescent="0.3">
      <c r="A2423" t="s">
        <v>2436</v>
      </c>
      <c r="B2423" t="s">
        <v>14</v>
      </c>
      <c r="C2423" s="4">
        <f>VLOOKUP(Googleadssales[[#This Row],[Ad_ID]],'[1]pre processed data'!A:C,3,0)</f>
        <v>199</v>
      </c>
      <c r="D2423" s="4">
        <f>VLOOKUP(Googleadssales[[#This Row],[Ad_ID]],'[1]pre processed data'!A:E,5,0)</f>
        <v>4387</v>
      </c>
      <c r="E2423" s="5" t="str">
        <f>VLOOKUP(Googleadssales[[#This Row],[Ad_ID]],[1]!Table3[[Ad_ID]:[Cost-imputed]],7,0)</f>
        <v>$206.92</v>
      </c>
      <c r="F2423" s="4">
        <f>VLOOKUP(Googleadssales[[#This Row],[Ad_ID]],'[1]pre processed data'!A:I,9,0)</f>
        <v>20</v>
      </c>
      <c r="G2423" s="4">
        <f>VLOOKUP(Googleadssales[[#This Row],[Ad_ID]],'[1]pre processed data'!A:K,11,0)</f>
        <v>9</v>
      </c>
      <c r="H2423" s="2">
        <f>Googleadssales[[#This Row],[Conversions]]/Googleadssales[[#This Row],[Clicks]]</f>
        <v>4.5226130653266333E-2</v>
      </c>
      <c r="I2423" t="str">
        <f>VLOOKUP(Googleadssales[[#This Row],[Ad_ID]],'[1]pre processed data'!A:O,15,0)</f>
        <v>$1054</v>
      </c>
      <c r="J2423" s="3">
        <f>VLOOKUP(Googleadssales[[#This Row],[Ad_ID]],'[1]pre processed data'!A:Q,17,0)</f>
        <v>45620</v>
      </c>
      <c r="K2423" t="str">
        <f>VLOOKUP(Googleadssales[[#This Row],[Ad_ID]],'[1]pre processed data'!A:R,18,0)</f>
        <v>Chennai</v>
      </c>
      <c r="L2423" t="str">
        <f>VLOOKUP(Googleadssales[[#This Row],[Ad_ID]],'[1]pre processed data'!A:S,19,0)</f>
        <v>Mobile</v>
      </c>
      <c r="M2423" t="str">
        <f>VLOOKUP(Googleadssales[[#This Row],[Ad_ID]],'[1]pre processed data'!A:T,20,0)</f>
        <v>data analytics training</v>
      </c>
    </row>
    <row r="2424" spans="1:13" x14ac:dyDescent="0.3">
      <c r="A2424" t="s">
        <v>2437</v>
      </c>
      <c r="B2424" t="s">
        <v>14</v>
      </c>
      <c r="C2424" s="4">
        <f>VLOOKUP(Googleadssales[[#This Row],[Ad_ID]],'[1]pre processed data'!A:C,3,0)</f>
        <v>181</v>
      </c>
      <c r="D2424" s="4">
        <f>VLOOKUP(Googleadssales[[#This Row],[Ad_ID]],'[1]pre processed data'!A:E,5,0)</f>
        <v>4103</v>
      </c>
      <c r="E2424" s="5" t="str">
        <f>VLOOKUP(Googleadssales[[#This Row],[Ad_ID]],[1]!Table3[[Ad_ID]:[Cost-imputed]],7,0)</f>
        <v>$200.00</v>
      </c>
      <c r="F2424" s="4">
        <f>VLOOKUP(Googleadssales[[#This Row],[Ad_ID]],'[1]pre processed data'!A:I,9,0)</f>
        <v>24</v>
      </c>
      <c r="G2424" s="4">
        <f>VLOOKUP(Googleadssales[[#This Row],[Ad_ID]],'[1]pre processed data'!A:K,11,0)</f>
        <v>8</v>
      </c>
      <c r="H2424" s="2">
        <f>Googleadssales[[#This Row],[Conversions]]/Googleadssales[[#This Row],[Clicks]]</f>
        <v>4.4198895027624308E-2</v>
      </c>
      <c r="I2424" t="str">
        <f>VLOOKUP(Googleadssales[[#This Row],[Ad_ID]],'[1]pre processed data'!A:O,15,0)</f>
        <v>$1103</v>
      </c>
      <c r="J2424" s="3">
        <f>VLOOKUP(Googleadssales[[#This Row],[Ad_ID]],'[1]pre processed data'!A:Q,17,0)</f>
        <v>45621</v>
      </c>
      <c r="K2424" t="str">
        <f>VLOOKUP(Googleadssales[[#This Row],[Ad_ID]],'[1]pre processed data'!A:R,18,0)</f>
        <v>Chennai</v>
      </c>
      <c r="L2424" t="str">
        <f>VLOOKUP(Googleadssales[[#This Row],[Ad_ID]],'[1]pre processed data'!A:S,19,0)</f>
        <v>Mobile</v>
      </c>
      <c r="M2424" t="str">
        <f>VLOOKUP(Googleadssales[[#This Row],[Ad_ID]],'[1]pre processed data'!A:T,20,0)</f>
        <v>data analytics online</v>
      </c>
    </row>
    <row r="2425" spans="1:13" x14ac:dyDescent="0.3">
      <c r="A2425" t="s">
        <v>2438</v>
      </c>
      <c r="B2425" t="s">
        <v>14</v>
      </c>
      <c r="C2425" s="4">
        <f>VLOOKUP(Googleadssales[[#This Row],[Ad_ID]],'[1]pre processed data'!A:C,3,0)</f>
        <v>197</v>
      </c>
      <c r="D2425" s="4">
        <f>VLOOKUP(Googleadssales[[#This Row],[Ad_ID]],'[1]pre processed data'!A:E,5,0)</f>
        <v>3253</v>
      </c>
      <c r="E2425" s="5" t="str">
        <f>VLOOKUP(Googleadssales[[#This Row],[Ad_ID]],[1]!Table3[[Ad_ID]:[Cost-imputed]],7,0)</f>
        <v>$243.38</v>
      </c>
      <c r="F2425" s="4">
        <f>VLOOKUP(Googleadssales[[#This Row],[Ad_ID]],'[1]pre processed data'!A:I,9,0)</f>
        <v>17</v>
      </c>
      <c r="G2425" s="4">
        <f>VLOOKUP(Googleadssales[[#This Row],[Ad_ID]],'[1]pre processed data'!A:K,11,0)</f>
        <v>3</v>
      </c>
      <c r="H2425" s="2">
        <f>Googleadssales[[#This Row],[Conversions]]/Googleadssales[[#This Row],[Clicks]]</f>
        <v>1.5228426395939087E-2</v>
      </c>
      <c r="I2425" t="str">
        <f>VLOOKUP(Googleadssales[[#This Row],[Ad_ID]],'[1]pre processed data'!A:O,15,0)</f>
        <v>$1606</v>
      </c>
      <c r="J2425" s="3">
        <f>VLOOKUP(Googleadssales[[#This Row],[Ad_ID]],'[1]pre processed data'!A:Q,17,0)</f>
        <v>45618</v>
      </c>
      <c r="K2425" t="str">
        <f>VLOOKUP(Googleadssales[[#This Row],[Ad_ID]],'[1]pre processed data'!A:R,18,0)</f>
        <v>Chennai</v>
      </c>
      <c r="L2425" t="str">
        <f>VLOOKUP(Googleadssales[[#This Row],[Ad_ID]],'[1]pre processed data'!A:S,19,0)</f>
        <v>Tablet</v>
      </c>
      <c r="M2425" t="str">
        <f>VLOOKUP(Googleadssales[[#This Row],[Ad_ID]],'[1]pre processed data'!A:T,20,0)</f>
        <v>data analytics course</v>
      </c>
    </row>
    <row r="2426" spans="1:13" x14ac:dyDescent="0.3">
      <c r="A2426" t="s">
        <v>2439</v>
      </c>
      <c r="B2426" t="s">
        <v>14</v>
      </c>
      <c r="C2426" s="4">
        <f>VLOOKUP(Googleadssales[[#This Row],[Ad_ID]],'[1]pre processed data'!A:C,3,0)</f>
        <v>136</v>
      </c>
      <c r="D2426" s="4">
        <f>VLOOKUP(Googleadssales[[#This Row],[Ad_ID]],'[1]pre processed data'!A:E,5,0)</f>
        <v>4492</v>
      </c>
      <c r="E2426" s="5" t="str">
        <f>VLOOKUP(Googleadssales[[#This Row],[Ad_ID]],[1]!Table3[[Ad_ID]:[Cost-imputed]],7,0)</f>
        <v>$205.0</v>
      </c>
      <c r="F2426" s="4">
        <f>VLOOKUP(Googleadssales[[#This Row],[Ad_ID]],'[1]pre processed data'!A:I,9,0)</f>
        <v>10</v>
      </c>
      <c r="G2426" s="4">
        <f>VLOOKUP(Googleadssales[[#This Row],[Ad_ID]],'[1]pre processed data'!A:K,11,0)</f>
        <v>4</v>
      </c>
      <c r="H2426" s="2">
        <f>Googleadssales[[#This Row],[Conversions]]/Googleadssales[[#This Row],[Clicks]]</f>
        <v>2.9411764705882353E-2</v>
      </c>
      <c r="I2426" t="str">
        <f>VLOOKUP(Googleadssales[[#This Row],[Ad_ID]],'[1]pre processed data'!A:O,15,0)</f>
        <v>$1319</v>
      </c>
      <c r="J2426" s="3">
        <f>VLOOKUP(Googleadssales[[#This Row],[Ad_ID]],'[1]pre processed data'!A:Q,17,0)</f>
        <v>45618</v>
      </c>
      <c r="K2426" t="str">
        <f>VLOOKUP(Googleadssales[[#This Row],[Ad_ID]],'[1]pre processed data'!A:R,18,0)</f>
        <v>Bangaluru</v>
      </c>
      <c r="L2426" t="str">
        <f>VLOOKUP(Googleadssales[[#This Row],[Ad_ID]],'[1]pre processed data'!A:S,19,0)</f>
        <v>Tablet</v>
      </c>
      <c r="M2426" t="str">
        <f>VLOOKUP(Googleadssales[[#This Row],[Ad_ID]],'[1]pre processed data'!A:T,20,0)</f>
        <v>online data analytic</v>
      </c>
    </row>
    <row r="2427" spans="1:13" x14ac:dyDescent="0.3">
      <c r="A2427" t="s">
        <v>2440</v>
      </c>
      <c r="B2427" t="s">
        <v>14</v>
      </c>
      <c r="C2427" s="4">
        <f>VLOOKUP(Googleadssales[[#This Row],[Ad_ID]],'[1]pre processed data'!A:C,3,0)</f>
        <v>128</v>
      </c>
      <c r="D2427" s="4">
        <f>VLOOKUP(Googleadssales[[#This Row],[Ad_ID]],'[1]pre processed data'!A:E,5,0)</f>
        <v>3153</v>
      </c>
      <c r="E2427" s="5" t="str">
        <f>VLOOKUP(Googleadssales[[#This Row],[Ad_ID]],[1]!Table3[[Ad_ID]:[Cost-imputed]],7,0)</f>
        <v>$236.34</v>
      </c>
      <c r="F2427" s="4">
        <f>VLOOKUP(Googleadssales[[#This Row],[Ad_ID]],'[1]pre processed data'!A:I,9,0)</f>
        <v>16</v>
      </c>
      <c r="G2427" s="4">
        <f>VLOOKUP(Googleadssales[[#This Row],[Ad_ID]],'[1]pre processed data'!A:K,11,0)</f>
        <v>6</v>
      </c>
      <c r="H2427" s="2">
        <f>Googleadssales[[#This Row],[Conversions]]/Googleadssales[[#This Row],[Clicks]]</f>
        <v>4.6875E-2</v>
      </c>
      <c r="I2427" t="str">
        <f>VLOOKUP(Googleadssales[[#This Row],[Ad_ID]],'[1]pre processed data'!A:O,15,0)</f>
        <v>$1050</v>
      </c>
      <c r="J2427" s="3">
        <f>VLOOKUP(Googleadssales[[#This Row],[Ad_ID]],'[1]pre processed data'!A:Q,17,0)</f>
        <v>45605</v>
      </c>
      <c r="K2427" t="str">
        <f>VLOOKUP(Googleadssales[[#This Row],[Ad_ID]],'[1]pre processed data'!A:R,18,0)</f>
        <v>Bangaluru</v>
      </c>
      <c r="L2427" t="str">
        <f>VLOOKUP(Googleadssales[[#This Row],[Ad_ID]],'[1]pre processed data'!A:S,19,0)</f>
        <v>Desktop</v>
      </c>
      <c r="M2427" t="str">
        <f>VLOOKUP(Googleadssales[[#This Row],[Ad_ID]],'[1]pre processed data'!A:T,20,0)</f>
        <v>online data analytic</v>
      </c>
    </row>
    <row r="2428" spans="1:13" x14ac:dyDescent="0.3">
      <c r="A2428" t="s">
        <v>2441</v>
      </c>
      <c r="B2428" t="s">
        <v>14</v>
      </c>
      <c r="C2428" s="4">
        <f>VLOOKUP(Googleadssales[[#This Row],[Ad_ID]],'[1]pre processed data'!A:C,3,0)</f>
        <v>163</v>
      </c>
      <c r="D2428" s="4">
        <f>VLOOKUP(Googleadssales[[#This Row],[Ad_ID]],'[1]pre processed data'!A:E,5,0)</f>
        <v>4794</v>
      </c>
      <c r="E2428" s="5" t="str">
        <f>VLOOKUP(Googleadssales[[#This Row],[Ad_ID]],[1]!Table3[[Ad_ID]:[Cost-imputed]],7,0)</f>
        <v>$204.35</v>
      </c>
      <c r="F2428" s="4">
        <f>VLOOKUP(Googleadssales[[#This Row],[Ad_ID]],'[1]pre processed data'!A:I,9,0)</f>
        <v>26</v>
      </c>
      <c r="G2428" s="4">
        <f>VLOOKUP(Googleadssales[[#This Row],[Ad_ID]],'[1]pre processed data'!A:K,11,0)</f>
        <v>3</v>
      </c>
      <c r="H2428" s="2">
        <f>Googleadssales[[#This Row],[Conversions]]/Googleadssales[[#This Row],[Clicks]]</f>
        <v>1.8404907975460124E-2</v>
      </c>
      <c r="I2428" t="str">
        <f>VLOOKUP(Googleadssales[[#This Row],[Ad_ID]],'[1]pre processed data'!A:O,15,0)</f>
        <v>$1978</v>
      </c>
      <c r="J2428" s="3">
        <f>VLOOKUP(Googleadssales[[#This Row],[Ad_ID]],'[1]pre processed data'!A:Q,17,0)</f>
        <v>45612</v>
      </c>
      <c r="K2428" t="str">
        <f>VLOOKUP(Googleadssales[[#This Row],[Ad_ID]],'[1]pre processed data'!A:R,18,0)</f>
        <v>Bangaluru</v>
      </c>
      <c r="L2428" t="str">
        <f>VLOOKUP(Googleadssales[[#This Row],[Ad_ID]],'[1]pre processed data'!A:S,19,0)</f>
        <v>Tablet</v>
      </c>
      <c r="M2428" t="str">
        <f>VLOOKUP(Googleadssales[[#This Row],[Ad_ID]],'[1]pre processed data'!A:T,20,0)</f>
        <v>data analytics online</v>
      </c>
    </row>
    <row r="2429" spans="1:13" x14ac:dyDescent="0.3">
      <c r="A2429" t="s">
        <v>2442</v>
      </c>
      <c r="B2429" t="s">
        <v>14</v>
      </c>
      <c r="C2429" s="4">
        <f>VLOOKUP(Googleadssales[[#This Row],[Ad_ID]],'[1]pre processed data'!A:C,3,0)</f>
        <v>199</v>
      </c>
      <c r="D2429" s="4">
        <f>VLOOKUP(Googleadssales[[#This Row],[Ad_ID]],'[1]pre processed data'!A:E,5,0)</f>
        <v>5210</v>
      </c>
      <c r="E2429" s="5" t="str">
        <f>VLOOKUP(Googleadssales[[#This Row],[Ad_ID]],[1]!Table3[[Ad_ID]:[Cost-imputed]],7,0)</f>
        <v>$212.53</v>
      </c>
      <c r="F2429" s="4">
        <f>VLOOKUP(Googleadssales[[#This Row],[Ad_ID]],'[1]pre processed data'!A:I,9,0)</f>
        <v>30</v>
      </c>
      <c r="G2429" s="4">
        <f>VLOOKUP(Googleadssales[[#This Row],[Ad_ID]],'[1]pre processed data'!A:K,11,0)</f>
        <v>10</v>
      </c>
      <c r="H2429" s="2">
        <f>Googleadssales[[#This Row],[Conversions]]/Googleadssales[[#This Row],[Clicks]]</f>
        <v>5.0251256281407038E-2</v>
      </c>
      <c r="I2429" t="str">
        <f>VLOOKUP(Googleadssales[[#This Row],[Ad_ID]],'[1]pre processed data'!A:O,15,0)</f>
        <v>$1749</v>
      </c>
      <c r="J2429" s="3">
        <f>VLOOKUP(Googleadssales[[#This Row],[Ad_ID]],'[1]pre processed data'!A:Q,17,0)</f>
        <v>45622</v>
      </c>
      <c r="K2429" t="str">
        <f>VLOOKUP(Googleadssales[[#This Row],[Ad_ID]],'[1]pre processed data'!A:R,18,0)</f>
        <v>Chennai</v>
      </c>
      <c r="L2429" t="str">
        <f>VLOOKUP(Googleadssales[[#This Row],[Ad_ID]],'[1]pre processed data'!A:S,19,0)</f>
        <v>Mobile</v>
      </c>
      <c r="M2429" t="str">
        <f>VLOOKUP(Googleadssales[[#This Row],[Ad_ID]],'[1]pre processed data'!A:T,20,0)</f>
        <v>analytics for data</v>
      </c>
    </row>
    <row r="2430" spans="1:13" x14ac:dyDescent="0.3">
      <c r="A2430" t="s">
        <v>2443</v>
      </c>
      <c r="B2430" t="s">
        <v>14</v>
      </c>
      <c r="C2430" s="4">
        <f>VLOOKUP(Googleadssales[[#This Row],[Ad_ID]],'[1]pre processed data'!A:C,3,0)</f>
        <v>169</v>
      </c>
      <c r="D2430" s="4">
        <f>VLOOKUP(Googleadssales[[#This Row],[Ad_ID]],'[1]pre processed data'!A:E,5,0)</f>
        <v>5326</v>
      </c>
      <c r="E2430" s="5" t="str">
        <f>VLOOKUP(Googleadssales[[#This Row],[Ad_ID]],[1]!Table3[[Ad_ID]:[Cost-imputed]],7,0)</f>
        <v>$200.00</v>
      </c>
      <c r="F2430" s="4">
        <f>VLOOKUP(Googleadssales[[#This Row],[Ad_ID]],'[1]pre processed data'!A:I,9,0)</f>
        <v>30</v>
      </c>
      <c r="G2430" s="4">
        <f>VLOOKUP(Googleadssales[[#This Row],[Ad_ID]],'[1]pre processed data'!A:K,11,0)</f>
        <v>5</v>
      </c>
      <c r="H2430" s="2">
        <f>Googleadssales[[#This Row],[Conversions]]/Googleadssales[[#This Row],[Clicks]]</f>
        <v>2.9585798816568046E-2</v>
      </c>
      <c r="I2430" t="str">
        <f>VLOOKUP(Googleadssales[[#This Row],[Ad_ID]],'[1]pre processed data'!A:O,15,0)</f>
        <v>$1030</v>
      </c>
      <c r="J2430" s="3">
        <f>VLOOKUP(Googleadssales[[#This Row],[Ad_ID]],'[1]pre processed data'!A:Q,17,0)</f>
        <v>45621</v>
      </c>
      <c r="K2430" t="str">
        <f>VLOOKUP(Googleadssales[[#This Row],[Ad_ID]],'[1]pre processed data'!A:R,18,0)</f>
        <v>Chennai</v>
      </c>
      <c r="L2430" t="str">
        <f>VLOOKUP(Googleadssales[[#This Row],[Ad_ID]],'[1]pre processed data'!A:S,19,0)</f>
        <v>Desktop</v>
      </c>
      <c r="M2430" t="str">
        <f>VLOOKUP(Googleadssales[[#This Row],[Ad_ID]],'[1]pre processed data'!A:T,20,0)</f>
        <v>data analytics online</v>
      </c>
    </row>
    <row r="2431" spans="1:13" x14ac:dyDescent="0.3">
      <c r="A2431" t="s">
        <v>2444</v>
      </c>
      <c r="B2431" t="s">
        <v>14</v>
      </c>
      <c r="C2431" s="4">
        <f>VLOOKUP(Googleadssales[[#This Row],[Ad_ID]],'[1]pre processed data'!A:C,3,0)</f>
        <v>138</v>
      </c>
      <c r="D2431" s="4">
        <f>VLOOKUP(Googleadssales[[#This Row],[Ad_ID]],'[1]pre processed data'!A:E,5,0)</f>
        <v>3961</v>
      </c>
      <c r="E2431" s="5" t="str">
        <f>VLOOKUP(Googleadssales[[#This Row],[Ad_ID]],[1]!Table3[[Ad_ID]:[Cost-imputed]],7,0)</f>
        <v>$247.45</v>
      </c>
      <c r="F2431" s="4">
        <f>VLOOKUP(Googleadssales[[#This Row],[Ad_ID]],'[1]pre processed data'!A:I,9,0)</f>
        <v>13</v>
      </c>
      <c r="G2431" s="4">
        <f>VLOOKUP(Googleadssales[[#This Row],[Ad_ID]],'[1]pre processed data'!A:K,11,0)</f>
        <v>3</v>
      </c>
      <c r="H2431" s="2">
        <f>Googleadssales[[#This Row],[Conversions]]/Googleadssales[[#This Row],[Clicks]]</f>
        <v>2.1739130434782608E-2</v>
      </c>
      <c r="I2431" t="str">
        <f>VLOOKUP(Googleadssales[[#This Row],[Ad_ID]],'[1]pre processed data'!A:O,15,0)</f>
        <v>$1601</v>
      </c>
      <c r="J2431" s="3">
        <f>VLOOKUP(Googleadssales[[#This Row],[Ad_ID]],'[1]pre processed data'!A:Q,17,0)</f>
        <v>45614</v>
      </c>
      <c r="K2431" t="str">
        <f>VLOOKUP(Googleadssales[[#This Row],[Ad_ID]],'[1]pre processed data'!A:R,18,0)</f>
        <v>Hyderabad</v>
      </c>
      <c r="L2431" t="str">
        <f>VLOOKUP(Googleadssales[[#This Row],[Ad_ID]],'[1]pre processed data'!A:S,19,0)</f>
        <v>Mobile</v>
      </c>
      <c r="M2431" t="str">
        <f>VLOOKUP(Googleadssales[[#This Row],[Ad_ID]],'[1]pre processed data'!A:T,20,0)</f>
        <v>data analytics course</v>
      </c>
    </row>
    <row r="2432" spans="1:13" x14ac:dyDescent="0.3">
      <c r="A2432" t="s">
        <v>2445</v>
      </c>
      <c r="B2432" t="s">
        <v>14</v>
      </c>
      <c r="C2432" s="4">
        <f>VLOOKUP(Googleadssales[[#This Row],[Ad_ID]],'[1]pre processed data'!A:C,3,0)</f>
        <v>138.95699356913184</v>
      </c>
      <c r="D2432" s="4">
        <f>VLOOKUP(Googleadssales[[#This Row],[Ad_ID]],'[1]pre processed data'!A:E,5,0)</f>
        <v>5937</v>
      </c>
      <c r="E2432" s="5" t="str">
        <f>VLOOKUP(Googleadssales[[#This Row],[Ad_ID]],[1]!Table3[[Ad_ID]:[Cost-imputed]],7,0)</f>
        <v>$231.01</v>
      </c>
      <c r="F2432" s="4">
        <f>VLOOKUP(Googleadssales[[#This Row],[Ad_ID]],'[1]pre processed data'!A:I,9,0)</f>
        <v>25</v>
      </c>
      <c r="G2432" s="4">
        <f>VLOOKUP(Googleadssales[[#This Row],[Ad_ID]],'[1]pre processed data'!A:K,11,0)</f>
        <v>4</v>
      </c>
      <c r="H2432" s="2">
        <f>Googleadssales[[#This Row],[Conversions]]/Googleadssales[[#This Row],[Clicks]]</f>
        <v>2.8785884734977219E-2</v>
      </c>
      <c r="I2432" t="str">
        <f>VLOOKUP(Googleadssales[[#This Row],[Ad_ID]],'[1]pre processed data'!A:O,15,0)</f>
        <v>$1448</v>
      </c>
      <c r="J2432" s="3">
        <f>VLOOKUP(Googleadssales[[#This Row],[Ad_ID]],'[1]pre processed data'!A:Q,17,0)</f>
        <v>45616</v>
      </c>
      <c r="K2432" t="str">
        <f>VLOOKUP(Googleadssales[[#This Row],[Ad_ID]],'[1]pre processed data'!A:R,18,0)</f>
        <v>Hyderabad</v>
      </c>
      <c r="L2432" t="str">
        <f>VLOOKUP(Googleadssales[[#This Row],[Ad_ID]],'[1]pre processed data'!A:S,19,0)</f>
        <v>Tablet</v>
      </c>
      <c r="M2432" t="str">
        <f>VLOOKUP(Googleadssales[[#This Row],[Ad_ID]],'[1]pre processed data'!A:T,20,0)</f>
        <v>online data analytic</v>
      </c>
    </row>
    <row r="2433" spans="1:13" x14ac:dyDescent="0.3">
      <c r="A2433" t="s">
        <v>2446</v>
      </c>
      <c r="B2433" t="s">
        <v>14</v>
      </c>
      <c r="C2433" s="4">
        <f>VLOOKUP(Googleadssales[[#This Row],[Ad_ID]],'[1]pre processed data'!A:C,3,0)</f>
        <v>154</v>
      </c>
      <c r="D2433" s="4">
        <f>VLOOKUP(Googleadssales[[#This Row],[Ad_ID]],'[1]pre processed data'!A:E,5,0)</f>
        <v>4904</v>
      </c>
      <c r="E2433" s="5" t="str">
        <f>VLOOKUP(Googleadssales[[#This Row],[Ad_ID]],[1]!Table3[[Ad_ID]:[Cost-imputed]],7,0)</f>
        <v>$247.11</v>
      </c>
      <c r="F2433" s="4">
        <f>VLOOKUP(Googleadssales[[#This Row],[Ad_ID]],'[1]pre processed data'!A:I,9,0)</f>
        <v>11</v>
      </c>
      <c r="G2433" s="4">
        <f>VLOOKUP(Googleadssales[[#This Row],[Ad_ID]],'[1]pre processed data'!A:K,11,0)</f>
        <v>8</v>
      </c>
      <c r="H2433" s="2">
        <f>Googleadssales[[#This Row],[Conversions]]/Googleadssales[[#This Row],[Clicks]]</f>
        <v>5.1948051948051951E-2</v>
      </c>
      <c r="I2433" t="str">
        <f>VLOOKUP(Googleadssales[[#This Row],[Ad_ID]],'[1]pre processed data'!A:O,15,0)</f>
        <v>$1500</v>
      </c>
      <c r="J2433" s="3">
        <f>VLOOKUP(Googleadssales[[#This Row],[Ad_ID]],'[1]pre processed data'!A:Q,17,0)</f>
        <v>45618</v>
      </c>
      <c r="K2433" t="str">
        <f>VLOOKUP(Googleadssales[[#This Row],[Ad_ID]],'[1]pre processed data'!A:R,18,0)</f>
        <v>Bangaluru</v>
      </c>
      <c r="L2433" t="str">
        <f>VLOOKUP(Googleadssales[[#This Row],[Ad_ID]],'[1]pre processed data'!A:S,19,0)</f>
        <v>Tablet</v>
      </c>
      <c r="M2433" t="str">
        <f>VLOOKUP(Googleadssales[[#This Row],[Ad_ID]],'[1]pre processed data'!A:T,20,0)</f>
        <v>learn data analytics</v>
      </c>
    </row>
    <row r="2434" spans="1:13" x14ac:dyDescent="0.3">
      <c r="A2434" t="s">
        <v>2447</v>
      </c>
      <c r="B2434" t="s">
        <v>14</v>
      </c>
      <c r="C2434" s="4">
        <f>VLOOKUP(Googleadssales[[#This Row],[Ad_ID]],'[1]pre processed data'!A:C,3,0)</f>
        <v>105</v>
      </c>
      <c r="D2434" s="4">
        <f>VLOOKUP(Googleadssales[[#This Row],[Ad_ID]],'[1]pre processed data'!A:E,5,0)</f>
        <v>3149</v>
      </c>
      <c r="E2434" s="5" t="str">
        <f>VLOOKUP(Googleadssales[[#This Row],[Ad_ID]],[1]!Table3[[Ad_ID]:[Cost-imputed]],7,0)</f>
        <v>$233.19</v>
      </c>
      <c r="F2434" s="4">
        <f>VLOOKUP(Googleadssales[[#This Row],[Ad_ID]],'[1]pre processed data'!A:I,9,0)</f>
        <v>13</v>
      </c>
      <c r="G2434" s="4">
        <f>VLOOKUP(Googleadssales[[#This Row],[Ad_ID]],'[1]pre processed data'!A:K,11,0)</f>
        <v>10</v>
      </c>
      <c r="H2434" s="2">
        <f>Googleadssales[[#This Row],[Conversions]]/Googleadssales[[#This Row],[Clicks]]</f>
        <v>9.5238095238095233E-2</v>
      </c>
      <c r="I2434" t="str">
        <f>VLOOKUP(Googleadssales[[#This Row],[Ad_ID]],'[1]pre processed data'!A:O,15,0)</f>
        <v>$1135</v>
      </c>
      <c r="J2434" s="3">
        <f>VLOOKUP(Googleadssales[[#This Row],[Ad_ID]],'[1]pre processed data'!A:Q,17,0)</f>
        <v>45605</v>
      </c>
      <c r="K2434" t="str">
        <f>VLOOKUP(Googleadssales[[#This Row],[Ad_ID]],'[1]pre processed data'!A:R,18,0)</f>
        <v>Bangaluru</v>
      </c>
      <c r="L2434" t="str">
        <f>VLOOKUP(Googleadssales[[#This Row],[Ad_ID]],'[1]pre processed data'!A:S,19,0)</f>
        <v>Tablet</v>
      </c>
      <c r="M2434" t="str">
        <f>VLOOKUP(Googleadssales[[#This Row],[Ad_ID]],'[1]pre processed data'!A:T,20,0)</f>
        <v>learn data analytics</v>
      </c>
    </row>
    <row r="2435" spans="1:13" x14ac:dyDescent="0.3">
      <c r="A2435" t="s">
        <v>2448</v>
      </c>
      <c r="B2435" t="s">
        <v>18</v>
      </c>
      <c r="C2435" s="4">
        <f>VLOOKUP(Googleadssales[[#This Row],[Ad_ID]],'[1]pre processed data'!A:C,3,0)</f>
        <v>89</v>
      </c>
      <c r="D2435" s="4">
        <f>VLOOKUP(Googleadssales[[#This Row],[Ad_ID]],'[1]pre processed data'!A:E,5,0)</f>
        <v>5963</v>
      </c>
      <c r="E2435" s="5" t="str">
        <f>VLOOKUP(Googleadssales[[#This Row],[Ad_ID]],[1]!Table3[[Ad_ID]:[Cost-imputed]],7,0)</f>
        <v>$209.41</v>
      </c>
      <c r="F2435" s="4">
        <f>VLOOKUP(Googleadssales[[#This Row],[Ad_ID]],'[1]pre processed data'!A:I,9,0)</f>
        <v>29</v>
      </c>
      <c r="G2435" s="4">
        <f>VLOOKUP(Googleadssales[[#This Row],[Ad_ID]],'[1]pre processed data'!A:K,11,0)</f>
        <v>9</v>
      </c>
      <c r="H2435" s="2">
        <f>Googleadssales[[#This Row],[Conversions]]/Googleadssales[[#This Row],[Clicks]]</f>
        <v>0.10112359550561797</v>
      </c>
      <c r="I2435" t="str">
        <f>VLOOKUP(Googleadssales[[#This Row],[Ad_ID]],'[1]pre processed data'!A:O,15,0)</f>
        <v>$1066</v>
      </c>
      <c r="J2435" s="3">
        <f>VLOOKUP(Googleadssales[[#This Row],[Ad_ID]],'[1]pre processed data'!A:Q,17,0)</f>
        <v>45614</v>
      </c>
      <c r="K2435" t="str">
        <f>VLOOKUP(Googleadssales[[#This Row],[Ad_ID]],'[1]pre processed data'!A:R,18,0)</f>
        <v>Chennai</v>
      </c>
      <c r="L2435" t="str">
        <f>VLOOKUP(Googleadssales[[#This Row],[Ad_ID]],'[1]pre processed data'!A:S,19,0)</f>
        <v>Desktop</v>
      </c>
      <c r="M2435" t="str">
        <f>VLOOKUP(Googleadssales[[#This Row],[Ad_ID]],'[1]pre processed data'!A:T,20,0)</f>
        <v>online data analytic</v>
      </c>
    </row>
    <row r="2436" spans="1:13" x14ac:dyDescent="0.3">
      <c r="A2436" t="s">
        <v>2449</v>
      </c>
      <c r="B2436" t="s">
        <v>14</v>
      </c>
      <c r="C2436" s="4">
        <f>VLOOKUP(Googleadssales[[#This Row],[Ad_ID]],'[1]pre processed data'!A:C,3,0)</f>
        <v>125</v>
      </c>
      <c r="D2436" s="4">
        <f>VLOOKUP(Googleadssales[[#This Row],[Ad_ID]],'[1]pre processed data'!A:E,5,0)</f>
        <v>3808</v>
      </c>
      <c r="E2436" s="5" t="str">
        <f>VLOOKUP(Googleadssales[[#This Row],[Ad_ID]],[1]!Table3[[Ad_ID]:[Cost-imputed]],7,0)</f>
        <v>$191.42</v>
      </c>
      <c r="F2436" s="4">
        <f>VLOOKUP(Googleadssales[[#This Row],[Ad_ID]],'[1]pre processed data'!A:I,9,0)</f>
        <v>29</v>
      </c>
      <c r="G2436" s="4">
        <f>VLOOKUP(Googleadssales[[#This Row],[Ad_ID]],'[1]pre processed data'!A:K,11,0)</f>
        <v>7</v>
      </c>
      <c r="H2436" s="2">
        <f>Googleadssales[[#This Row],[Conversions]]/Googleadssales[[#This Row],[Clicks]]</f>
        <v>5.6000000000000001E-2</v>
      </c>
      <c r="I2436" t="str">
        <f>VLOOKUP(Googleadssales[[#This Row],[Ad_ID]],'[1]pre processed data'!A:O,15,0)</f>
        <v>$1783</v>
      </c>
      <c r="J2436" s="3">
        <f>VLOOKUP(Googleadssales[[#This Row],[Ad_ID]],'[1]pre processed data'!A:Q,17,0)</f>
        <v>45606</v>
      </c>
      <c r="K2436" t="str">
        <f>VLOOKUP(Googleadssales[[#This Row],[Ad_ID]],'[1]pre processed data'!A:R,18,0)</f>
        <v>Hyderabad</v>
      </c>
      <c r="L2436" t="str">
        <f>VLOOKUP(Googleadssales[[#This Row],[Ad_ID]],'[1]pre processed data'!A:S,19,0)</f>
        <v>Tablet</v>
      </c>
      <c r="M2436" t="str">
        <f>VLOOKUP(Googleadssales[[#This Row],[Ad_ID]],'[1]pre processed data'!A:T,20,0)</f>
        <v>data analytics course</v>
      </c>
    </row>
    <row r="2437" spans="1:13" x14ac:dyDescent="0.3">
      <c r="A2437" t="s">
        <v>2450</v>
      </c>
      <c r="B2437" t="s">
        <v>14</v>
      </c>
      <c r="C2437" s="4">
        <f>VLOOKUP(Googleadssales[[#This Row],[Ad_ID]],'[1]pre processed data'!A:C,3,0)</f>
        <v>175</v>
      </c>
      <c r="D2437" s="4">
        <f>VLOOKUP(Googleadssales[[#This Row],[Ad_ID]],'[1]pre processed data'!A:E,5,0)</f>
        <v>3938</v>
      </c>
      <c r="E2437" s="5" t="str">
        <f>VLOOKUP(Googleadssales[[#This Row],[Ad_ID]],[1]!Table3[[Ad_ID]:[Cost-imputed]],7,0)</f>
        <v>$186.09</v>
      </c>
      <c r="F2437" s="4">
        <f>VLOOKUP(Googleadssales[[#This Row],[Ad_ID]],'[1]pre processed data'!A:I,9,0)</f>
        <v>22</v>
      </c>
      <c r="G2437" s="4">
        <f>VLOOKUP(Googleadssales[[#This Row],[Ad_ID]],'[1]pre processed data'!A:K,11,0)</f>
        <v>9</v>
      </c>
      <c r="H2437" s="2">
        <f>Googleadssales[[#This Row],[Conversions]]/Googleadssales[[#This Row],[Clicks]]</f>
        <v>5.1428571428571428E-2</v>
      </c>
      <c r="I2437" t="str">
        <f>VLOOKUP(Googleadssales[[#This Row],[Ad_ID]],'[1]pre processed data'!A:O,15,0)</f>
        <v>$1218</v>
      </c>
      <c r="J2437" s="3">
        <f>VLOOKUP(Googleadssales[[#This Row],[Ad_ID]],'[1]pre processed data'!A:Q,17,0)</f>
        <v>45601</v>
      </c>
      <c r="K2437" t="str">
        <f>VLOOKUP(Googleadssales[[#This Row],[Ad_ID]],'[1]pre processed data'!A:R,18,0)</f>
        <v>Hyderabad</v>
      </c>
      <c r="L2437" t="str">
        <f>VLOOKUP(Googleadssales[[#This Row],[Ad_ID]],'[1]pre processed data'!A:S,19,0)</f>
        <v>Mobile</v>
      </c>
      <c r="M2437" t="str">
        <f>VLOOKUP(Googleadssales[[#This Row],[Ad_ID]],'[1]pre processed data'!A:T,20,0)</f>
        <v>analytics for data</v>
      </c>
    </row>
    <row r="2438" spans="1:13" x14ac:dyDescent="0.3">
      <c r="A2438" t="s">
        <v>2451</v>
      </c>
      <c r="B2438" t="s">
        <v>14</v>
      </c>
      <c r="C2438" s="4">
        <f>VLOOKUP(Googleadssales[[#This Row],[Ad_ID]],'[1]pre processed data'!A:C,3,0)</f>
        <v>175</v>
      </c>
      <c r="D2438" s="4">
        <f>VLOOKUP(Googleadssales[[#This Row],[Ad_ID]],'[1]pre processed data'!A:E,5,0)</f>
        <v>5521</v>
      </c>
      <c r="E2438" s="5" t="str">
        <f>VLOOKUP(Googleadssales[[#This Row],[Ad_ID]],[1]!Table3[[Ad_ID]:[Cost-imputed]],7,0)</f>
        <v>$207.4</v>
      </c>
      <c r="F2438" s="4">
        <f>VLOOKUP(Googleadssales[[#This Row],[Ad_ID]],'[1]pre processed data'!A:I,9,0)</f>
        <v>25</v>
      </c>
      <c r="G2438" s="4">
        <f>VLOOKUP(Googleadssales[[#This Row],[Ad_ID]],'[1]pre processed data'!A:K,11,0)</f>
        <v>3</v>
      </c>
      <c r="H2438" s="2">
        <f>Googleadssales[[#This Row],[Conversions]]/Googleadssales[[#This Row],[Clicks]]</f>
        <v>1.7142857142857144E-2</v>
      </c>
      <c r="I2438" t="str">
        <f>VLOOKUP(Googleadssales[[#This Row],[Ad_ID]],'[1]pre processed data'!A:O,15,0)</f>
        <v>$1616</v>
      </c>
      <c r="J2438" s="3">
        <f>VLOOKUP(Googleadssales[[#This Row],[Ad_ID]],'[1]pre processed data'!A:Q,17,0)</f>
        <v>45600</v>
      </c>
      <c r="K2438" t="str">
        <f>VLOOKUP(Googleadssales[[#This Row],[Ad_ID]],'[1]pre processed data'!A:R,18,0)</f>
        <v>Chennai</v>
      </c>
      <c r="L2438" t="str">
        <f>VLOOKUP(Googleadssales[[#This Row],[Ad_ID]],'[1]pre processed data'!A:S,19,0)</f>
        <v>Mobile</v>
      </c>
      <c r="M2438" t="str">
        <f>VLOOKUP(Googleadssales[[#This Row],[Ad_ID]],'[1]pre processed data'!A:T,20,0)</f>
        <v>online data analytic</v>
      </c>
    </row>
    <row r="2439" spans="1:13" x14ac:dyDescent="0.3">
      <c r="A2439" t="s">
        <v>2452</v>
      </c>
      <c r="B2439" t="s">
        <v>14</v>
      </c>
      <c r="C2439" s="4">
        <f>VLOOKUP(Googleadssales[[#This Row],[Ad_ID]],'[1]pre processed data'!A:C,3,0)</f>
        <v>183</v>
      </c>
      <c r="D2439" s="4">
        <f>VLOOKUP(Googleadssales[[#This Row],[Ad_ID]],'[1]pre processed data'!A:E,5,0)</f>
        <v>4523.2808326787117</v>
      </c>
      <c r="E2439" s="5" t="str">
        <f>VLOOKUP(Googleadssales[[#This Row],[Ad_ID]],[1]!Table3[[Ad_ID]:[Cost-imputed]],7,0)</f>
        <v>$198.12</v>
      </c>
      <c r="F2439" s="4">
        <f>VLOOKUP(Googleadssales[[#This Row],[Ad_ID]],'[1]pre processed data'!A:I,9,0)</f>
        <v>27</v>
      </c>
      <c r="G2439" s="4">
        <f>VLOOKUP(Googleadssales[[#This Row],[Ad_ID]],'[1]pre processed data'!A:K,11,0)</f>
        <v>10</v>
      </c>
      <c r="H2439" s="2">
        <f>Googleadssales[[#This Row],[Conversions]]/Googleadssales[[#This Row],[Clicks]]</f>
        <v>5.4644808743169397E-2</v>
      </c>
      <c r="I2439" t="str">
        <f>VLOOKUP(Googleadssales[[#This Row],[Ad_ID]],'[1]pre processed data'!A:O,15,0)</f>
        <v>$1500</v>
      </c>
      <c r="J2439" s="3">
        <f>VLOOKUP(Googleadssales[[#This Row],[Ad_ID]],'[1]pre processed data'!A:Q,17,0)</f>
        <v>45618</v>
      </c>
      <c r="K2439" t="str">
        <f>VLOOKUP(Googleadssales[[#This Row],[Ad_ID]],'[1]pre processed data'!A:R,18,0)</f>
        <v>Chennai</v>
      </c>
      <c r="L2439" t="str">
        <f>VLOOKUP(Googleadssales[[#This Row],[Ad_ID]],'[1]pre processed data'!A:S,19,0)</f>
        <v>Mobile</v>
      </c>
      <c r="M2439" t="str">
        <f>VLOOKUP(Googleadssales[[#This Row],[Ad_ID]],'[1]pre processed data'!A:T,20,0)</f>
        <v>data analytics course</v>
      </c>
    </row>
    <row r="2440" spans="1:13" x14ac:dyDescent="0.3">
      <c r="A2440" t="s">
        <v>2453</v>
      </c>
      <c r="B2440" t="s">
        <v>14</v>
      </c>
      <c r="C2440" s="4">
        <f>VLOOKUP(Googleadssales[[#This Row],[Ad_ID]],'[1]pre processed data'!A:C,3,0)</f>
        <v>182</v>
      </c>
      <c r="D2440" s="4">
        <f>VLOOKUP(Googleadssales[[#This Row],[Ad_ID]],'[1]pre processed data'!A:E,5,0)</f>
        <v>5466</v>
      </c>
      <c r="E2440" s="5" t="str">
        <f>VLOOKUP(Googleadssales[[#This Row],[Ad_ID]],[1]!Table3[[Ad_ID]:[Cost-imputed]],7,0)</f>
        <v>$206.3</v>
      </c>
      <c r="F2440" s="4">
        <f>VLOOKUP(Googleadssales[[#This Row],[Ad_ID]],'[1]pre processed data'!A:I,9,0)</f>
        <v>26</v>
      </c>
      <c r="G2440" s="4">
        <f>VLOOKUP(Googleadssales[[#This Row],[Ad_ID]],'[1]pre processed data'!A:K,11,0)</f>
        <v>4</v>
      </c>
      <c r="H2440" s="2">
        <f>Googleadssales[[#This Row],[Conversions]]/Googleadssales[[#This Row],[Clicks]]</f>
        <v>2.197802197802198E-2</v>
      </c>
      <c r="I2440" t="str">
        <f>VLOOKUP(Googleadssales[[#This Row],[Ad_ID]],'[1]pre processed data'!A:O,15,0)</f>
        <v>$1816</v>
      </c>
      <c r="J2440" s="3">
        <f>VLOOKUP(Googleadssales[[#This Row],[Ad_ID]],'[1]pre processed data'!A:Q,17,0)</f>
        <v>45614</v>
      </c>
      <c r="K2440" t="str">
        <f>VLOOKUP(Googleadssales[[#This Row],[Ad_ID]],'[1]pre processed data'!A:R,18,0)</f>
        <v>Bangaluru</v>
      </c>
      <c r="L2440" t="str">
        <f>VLOOKUP(Googleadssales[[#This Row],[Ad_ID]],'[1]pre processed data'!A:S,19,0)</f>
        <v>Tablet</v>
      </c>
      <c r="M2440" t="str">
        <f>VLOOKUP(Googleadssales[[#This Row],[Ad_ID]],'[1]pre processed data'!A:T,20,0)</f>
        <v>data analytics course</v>
      </c>
    </row>
    <row r="2441" spans="1:13" x14ac:dyDescent="0.3">
      <c r="A2441" t="s">
        <v>2454</v>
      </c>
      <c r="B2441" t="s">
        <v>14</v>
      </c>
      <c r="C2441" s="4">
        <f>VLOOKUP(Googleadssales[[#This Row],[Ad_ID]],'[1]pre processed data'!A:C,3,0)</f>
        <v>138.95699356913184</v>
      </c>
      <c r="D2441" s="4">
        <f>VLOOKUP(Googleadssales[[#This Row],[Ad_ID]],'[1]pre processed data'!A:E,5,0)</f>
        <v>4528</v>
      </c>
      <c r="E2441" s="5" t="str">
        <f>VLOOKUP(Googleadssales[[#This Row],[Ad_ID]],[1]!Table3[[Ad_ID]:[Cost-imputed]],7,0)</f>
        <v>$235.96</v>
      </c>
      <c r="F2441" s="4">
        <f>VLOOKUP(Googleadssales[[#This Row],[Ad_ID]],'[1]pre processed data'!A:I,9,0)</f>
        <v>30</v>
      </c>
      <c r="G2441" s="4">
        <f>VLOOKUP(Googleadssales[[#This Row],[Ad_ID]],'[1]pre processed data'!A:K,11,0)</f>
        <v>4</v>
      </c>
      <c r="H2441" s="2">
        <f>Googleadssales[[#This Row],[Conversions]]/Googleadssales[[#This Row],[Clicks]]</f>
        <v>2.8785884734977219E-2</v>
      </c>
      <c r="I2441" t="str">
        <f>VLOOKUP(Googleadssales[[#This Row],[Ad_ID]],'[1]pre processed data'!A:O,15,0)</f>
        <v>$1926</v>
      </c>
      <c r="J2441" s="3">
        <f>VLOOKUP(Googleadssales[[#This Row],[Ad_ID]],'[1]pre processed data'!A:Q,17,0)</f>
        <v>45624</v>
      </c>
      <c r="K2441" t="str">
        <f>VLOOKUP(Googleadssales[[#This Row],[Ad_ID]],'[1]pre processed data'!A:R,18,0)</f>
        <v>Bangaluru</v>
      </c>
      <c r="L2441" t="str">
        <f>VLOOKUP(Googleadssales[[#This Row],[Ad_ID]],'[1]pre processed data'!A:S,19,0)</f>
        <v>Mobile</v>
      </c>
      <c r="M2441" t="str">
        <f>VLOOKUP(Googleadssales[[#This Row],[Ad_ID]],'[1]pre processed data'!A:T,20,0)</f>
        <v>data analytics training</v>
      </c>
    </row>
    <row r="2442" spans="1:13" x14ac:dyDescent="0.3">
      <c r="A2442" t="s">
        <v>2455</v>
      </c>
      <c r="B2442" t="s">
        <v>18</v>
      </c>
      <c r="C2442" s="4">
        <f>VLOOKUP(Googleadssales[[#This Row],[Ad_ID]],'[1]pre processed data'!A:C,3,0)</f>
        <v>168</v>
      </c>
      <c r="D2442" s="4">
        <f>VLOOKUP(Googleadssales[[#This Row],[Ad_ID]],'[1]pre processed data'!A:E,5,0)</f>
        <v>4904</v>
      </c>
      <c r="E2442" s="5" t="str">
        <f>VLOOKUP(Googleadssales[[#This Row],[Ad_ID]],[1]!Table3[[Ad_ID]:[Cost-imputed]],7,0)</f>
        <v>$220.19</v>
      </c>
      <c r="F2442" s="4">
        <f>VLOOKUP(Googleadssales[[#This Row],[Ad_ID]],'[1]pre processed data'!A:I,9,0)</f>
        <v>23</v>
      </c>
      <c r="G2442" s="4">
        <f>VLOOKUP(Googleadssales[[#This Row],[Ad_ID]],'[1]pre processed data'!A:K,11,0)</f>
        <v>6</v>
      </c>
      <c r="H2442" s="2">
        <f>Googleadssales[[#This Row],[Conversions]]/Googleadssales[[#This Row],[Clicks]]</f>
        <v>3.5714285714285712E-2</v>
      </c>
      <c r="I2442" t="str">
        <f>VLOOKUP(Googleadssales[[#This Row],[Ad_ID]],'[1]pre processed data'!A:O,15,0)</f>
        <v>$1870</v>
      </c>
      <c r="J2442" s="3">
        <f>VLOOKUP(Googleadssales[[#This Row],[Ad_ID]],'[1]pre processed data'!A:Q,17,0)</f>
        <v>45607</v>
      </c>
      <c r="K2442" t="str">
        <f>VLOOKUP(Googleadssales[[#This Row],[Ad_ID]],'[1]pre processed data'!A:R,18,0)</f>
        <v>Chennai</v>
      </c>
      <c r="L2442" t="str">
        <f>VLOOKUP(Googleadssales[[#This Row],[Ad_ID]],'[1]pre processed data'!A:S,19,0)</f>
        <v>Desktop</v>
      </c>
      <c r="M2442" t="str">
        <f>VLOOKUP(Googleadssales[[#This Row],[Ad_ID]],'[1]pre processed data'!A:T,20,0)</f>
        <v>learn data analytics</v>
      </c>
    </row>
    <row r="2443" spans="1:13" x14ac:dyDescent="0.3">
      <c r="A2443" t="s">
        <v>2456</v>
      </c>
      <c r="B2443" t="s">
        <v>14</v>
      </c>
      <c r="C2443" s="4">
        <f>VLOOKUP(Googleadssales[[#This Row],[Ad_ID]],'[1]pre processed data'!A:C,3,0)</f>
        <v>150</v>
      </c>
      <c r="D2443" s="4">
        <f>VLOOKUP(Googleadssales[[#This Row],[Ad_ID]],'[1]pre processed data'!A:E,5,0)</f>
        <v>5057</v>
      </c>
      <c r="E2443" s="5" t="str">
        <f>VLOOKUP(Googleadssales[[#This Row],[Ad_ID]],[1]!Table3[[Ad_ID]:[Cost-imputed]],7,0)</f>
        <v>$220.26</v>
      </c>
      <c r="F2443" s="4">
        <f>VLOOKUP(Googleadssales[[#This Row],[Ad_ID]],'[1]pre processed data'!A:I,9,0)</f>
        <v>24</v>
      </c>
      <c r="G2443" s="4">
        <f>VLOOKUP(Googleadssales[[#This Row],[Ad_ID]],'[1]pre processed data'!A:K,11,0)</f>
        <v>5</v>
      </c>
      <c r="H2443" s="2">
        <f>Googleadssales[[#This Row],[Conversions]]/Googleadssales[[#This Row],[Clicks]]</f>
        <v>3.3333333333333333E-2</v>
      </c>
      <c r="I2443" t="str">
        <f>VLOOKUP(Googleadssales[[#This Row],[Ad_ID]],'[1]pre processed data'!A:O,15,0)</f>
        <v>$1500</v>
      </c>
      <c r="J2443" s="3">
        <f>VLOOKUP(Googleadssales[[#This Row],[Ad_ID]],'[1]pre processed data'!A:Q,17,0)</f>
        <v>45597</v>
      </c>
      <c r="K2443" t="str">
        <f>VLOOKUP(Googleadssales[[#This Row],[Ad_ID]],'[1]pre processed data'!A:R,18,0)</f>
        <v>Hyderabad</v>
      </c>
      <c r="L2443" t="str">
        <f>VLOOKUP(Googleadssales[[#This Row],[Ad_ID]],'[1]pre processed data'!A:S,19,0)</f>
        <v>Desktop</v>
      </c>
      <c r="M2443" t="str">
        <f>VLOOKUP(Googleadssales[[#This Row],[Ad_ID]],'[1]pre processed data'!A:T,20,0)</f>
        <v>data analytics training</v>
      </c>
    </row>
    <row r="2444" spans="1:13" x14ac:dyDescent="0.3">
      <c r="A2444" t="s">
        <v>2457</v>
      </c>
      <c r="B2444" t="s">
        <v>18</v>
      </c>
      <c r="C2444" s="4">
        <f>VLOOKUP(Googleadssales[[#This Row],[Ad_ID]],'[1]pre processed data'!A:C,3,0)</f>
        <v>152</v>
      </c>
      <c r="D2444" s="4">
        <f>VLOOKUP(Googleadssales[[#This Row],[Ad_ID]],'[1]pre processed data'!A:E,5,0)</f>
        <v>3390</v>
      </c>
      <c r="E2444" s="5" t="str">
        <f>VLOOKUP(Googleadssales[[#This Row],[Ad_ID]],[1]!Table3[[Ad_ID]:[Cost-imputed]],7,0)</f>
        <v>$209.39</v>
      </c>
      <c r="F2444" s="4">
        <f>VLOOKUP(Googleadssales[[#This Row],[Ad_ID]],'[1]pre processed data'!A:I,9,0)</f>
        <v>18</v>
      </c>
      <c r="G2444" s="4">
        <f>VLOOKUP(Googleadssales[[#This Row],[Ad_ID]],'[1]pre processed data'!A:K,11,0)</f>
        <v>6</v>
      </c>
      <c r="H2444" s="2">
        <f>Googleadssales[[#This Row],[Conversions]]/Googleadssales[[#This Row],[Clicks]]</f>
        <v>3.9473684210526314E-2</v>
      </c>
      <c r="I2444" t="str">
        <f>VLOOKUP(Googleadssales[[#This Row],[Ad_ID]],'[1]pre processed data'!A:O,15,0)</f>
        <v>$1620</v>
      </c>
      <c r="J2444" s="3">
        <f>VLOOKUP(Googleadssales[[#This Row],[Ad_ID]],'[1]pre processed data'!A:Q,17,0)</f>
        <v>45600</v>
      </c>
      <c r="K2444" t="str">
        <f>VLOOKUP(Googleadssales[[#This Row],[Ad_ID]],'[1]pre processed data'!A:R,18,0)</f>
        <v>Hyderabad</v>
      </c>
      <c r="L2444" t="str">
        <f>VLOOKUP(Googleadssales[[#This Row],[Ad_ID]],'[1]pre processed data'!A:S,19,0)</f>
        <v>Desktop</v>
      </c>
      <c r="M2444" t="str">
        <f>VLOOKUP(Googleadssales[[#This Row],[Ad_ID]],'[1]pre processed data'!A:T,20,0)</f>
        <v>online data analytic</v>
      </c>
    </row>
    <row r="2445" spans="1:13" x14ac:dyDescent="0.3">
      <c r="A2445" t="s">
        <v>2458</v>
      </c>
      <c r="B2445" t="s">
        <v>14</v>
      </c>
      <c r="C2445" s="4">
        <f>VLOOKUP(Googleadssales[[#This Row],[Ad_ID]],'[1]pre processed data'!A:C,3,0)</f>
        <v>113</v>
      </c>
      <c r="D2445" s="4">
        <f>VLOOKUP(Googleadssales[[#This Row],[Ad_ID]],'[1]pre processed data'!A:E,5,0)</f>
        <v>3532</v>
      </c>
      <c r="E2445" s="5" t="str">
        <f>VLOOKUP(Googleadssales[[#This Row],[Ad_ID]],[1]!Table3[[Ad_ID]:[Cost-imputed]],7,0)</f>
        <v>$247.57</v>
      </c>
      <c r="F2445" s="4">
        <f>VLOOKUP(Googleadssales[[#This Row],[Ad_ID]],'[1]pre processed data'!A:I,9,0)</f>
        <v>29</v>
      </c>
      <c r="G2445" s="4">
        <f>VLOOKUP(Googleadssales[[#This Row],[Ad_ID]],'[1]pre processed data'!A:K,11,0)</f>
        <v>6</v>
      </c>
      <c r="H2445" s="2">
        <f>Googleadssales[[#This Row],[Conversions]]/Googleadssales[[#This Row],[Clicks]]</f>
        <v>5.3097345132743362E-2</v>
      </c>
      <c r="I2445" t="str">
        <f>VLOOKUP(Googleadssales[[#This Row],[Ad_ID]],'[1]pre processed data'!A:O,15,0)</f>
        <v>$1273</v>
      </c>
      <c r="J2445" s="3">
        <f>VLOOKUP(Googleadssales[[#This Row],[Ad_ID]],'[1]pre processed data'!A:Q,17,0)</f>
        <v>45616</v>
      </c>
      <c r="K2445" t="str">
        <f>VLOOKUP(Googleadssales[[#This Row],[Ad_ID]],'[1]pre processed data'!A:R,18,0)</f>
        <v>Hyderabad</v>
      </c>
      <c r="L2445" t="str">
        <f>VLOOKUP(Googleadssales[[#This Row],[Ad_ID]],'[1]pre processed data'!A:S,19,0)</f>
        <v>Mobile</v>
      </c>
      <c r="M2445" t="str">
        <f>VLOOKUP(Googleadssales[[#This Row],[Ad_ID]],'[1]pre processed data'!A:T,20,0)</f>
        <v>learn data analytics</v>
      </c>
    </row>
    <row r="2446" spans="1:13" x14ac:dyDescent="0.3">
      <c r="A2446" t="s">
        <v>2459</v>
      </c>
      <c r="B2446" t="s">
        <v>14</v>
      </c>
      <c r="C2446" s="4">
        <f>VLOOKUP(Googleadssales[[#This Row],[Ad_ID]],'[1]pre processed data'!A:C,3,0)</f>
        <v>93</v>
      </c>
      <c r="D2446" s="4">
        <f>VLOOKUP(Googleadssales[[#This Row],[Ad_ID]],'[1]pre processed data'!A:E,5,0)</f>
        <v>3683</v>
      </c>
      <c r="E2446" s="5" t="str">
        <f>VLOOKUP(Googleadssales[[#This Row],[Ad_ID]],[1]!Table3[[Ad_ID]:[Cost-imputed]],7,0)</f>
        <v>$201.45</v>
      </c>
      <c r="F2446" s="4">
        <f>VLOOKUP(Googleadssales[[#This Row],[Ad_ID]],'[1]pre processed data'!A:I,9,0)</f>
        <v>11</v>
      </c>
      <c r="G2446" s="4">
        <f>VLOOKUP(Googleadssales[[#This Row],[Ad_ID]],'[1]pre processed data'!A:K,11,0)</f>
        <v>10</v>
      </c>
      <c r="H2446" s="2">
        <f>Googleadssales[[#This Row],[Conversions]]/Googleadssales[[#This Row],[Clicks]]</f>
        <v>0.10752688172043011</v>
      </c>
      <c r="I2446" t="str">
        <f>VLOOKUP(Googleadssales[[#This Row],[Ad_ID]],'[1]pre processed data'!A:O,15,0)</f>
        <v>$1331</v>
      </c>
      <c r="J2446" s="3">
        <f>VLOOKUP(Googleadssales[[#This Row],[Ad_ID]],'[1]pre processed data'!A:Q,17,0)</f>
        <v>45610</v>
      </c>
      <c r="K2446" t="str">
        <f>VLOOKUP(Googleadssales[[#This Row],[Ad_ID]],'[1]pre processed data'!A:R,18,0)</f>
        <v>Hyderabad</v>
      </c>
      <c r="L2446" t="str">
        <f>VLOOKUP(Googleadssales[[#This Row],[Ad_ID]],'[1]pre processed data'!A:S,19,0)</f>
        <v>Mobile</v>
      </c>
      <c r="M2446" t="str">
        <f>VLOOKUP(Googleadssales[[#This Row],[Ad_ID]],'[1]pre processed data'!A:T,20,0)</f>
        <v>learn data analytics</v>
      </c>
    </row>
    <row r="2447" spans="1:13" x14ac:dyDescent="0.3">
      <c r="A2447" t="s">
        <v>2460</v>
      </c>
      <c r="B2447" t="s">
        <v>14</v>
      </c>
      <c r="C2447" s="4">
        <f>VLOOKUP(Googleadssales[[#This Row],[Ad_ID]],'[1]pre processed data'!A:C,3,0)</f>
        <v>141</v>
      </c>
      <c r="D2447" s="4">
        <f>VLOOKUP(Googleadssales[[#This Row],[Ad_ID]],'[1]pre processed data'!A:E,5,0)</f>
        <v>5031</v>
      </c>
      <c r="E2447" s="5" t="str">
        <f>VLOOKUP(Googleadssales[[#This Row],[Ad_ID]],[1]!Table3[[Ad_ID]:[Cost-imputed]],7,0)</f>
        <v>$189.92</v>
      </c>
      <c r="F2447" s="4">
        <f>VLOOKUP(Googleadssales[[#This Row],[Ad_ID]],'[1]pre processed data'!A:I,9,0)</f>
        <v>23</v>
      </c>
      <c r="G2447" s="4">
        <f>VLOOKUP(Googleadssales[[#This Row],[Ad_ID]],'[1]pre processed data'!A:K,11,0)</f>
        <v>5</v>
      </c>
      <c r="H2447" s="2">
        <f>Googleadssales[[#This Row],[Conversions]]/Googleadssales[[#This Row],[Clicks]]</f>
        <v>3.5460992907801421E-2</v>
      </c>
      <c r="I2447" t="str">
        <f>VLOOKUP(Googleadssales[[#This Row],[Ad_ID]],'[1]pre processed data'!A:O,15,0)</f>
        <v>$1093</v>
      </c>
      <c r="J2447" s="3">
        <f>VLOOKUP(Googleadssales[[#This Row],[Ad_ID]],'[1]pre processed data'!A:Q,17,0)</f>
        <v>45597</v>
      </c>
      <c r="K2447" t="str">
        <f>VLOOKUP(Googleadssales[[#This Row],[Ad_ID]],'[1]pre processed data'!A:R,18,0)</f>
        <v>Chennai</v>
      </c>
      <c r="L2447" t="str">
        <f>VLOOKUP(Googleadssales[[#This Row],[Ad_ID]],'[1]pre processed data'!A:S,19,0)</f>
        <v>Desktop</v>
      </c>
      <c r="M2447" t="str">
        <f>VLOOKUP(Googleadssales[[#This Row],[Ad_ID]],'[1]pre processed data'!A:T,20,0)</f>
        <v>data analytics online</v>
      </c>
    </row>
    <row r="2448" spans="1:13" x14ac:dyDescent="0.3">
      <c r="A2448" t="s">
        <v>2461</v>
      </c>
      <c r="B2448" t="s">
        <v>14</v>
      </c>
      <c r="C2448" s="4">
        <f>VLOOKUP(Googleadssales[[#This Row],[Ad_ID]],'[1]pre processed data'!A:C,3,0)</f>
        <v>191</v>
      </c>
      <c r="D2448" s="4">
        <f>VLOOKUP(Googleadssales[[#This Row],[Ad_ID]],'[1]pre processed data'!A:E,5,0)</f>
        <v>5660</v>
      </c>
      <c r="E2448" s="5" t="str">
        <f>VLOOKUP(Googleadssales[[#This Row],[Ad_ID]],[1]!Table3[[Ad_ID]:[Cost-imputed]],7,0)</f>
        <v>$192.49</v>
      </c>
      <c r="F2448" s="4">
        <f>VLOOKUP(Googleadssales[[#This Row],[Ad_ID]],'[1]pre processed data'!A:I,9,0)</f>
        <v>21</v>
      </c>
      <c r="G2448" s="4">
        <f>VLOOKUP(Googleadssales[[#This Row],[Ad_ID]],'[1]pre processed data'!A:K,11,0)</f>
        <v>5</v>
      </c>
      <c r="H2448" s="2">
        <f>Googleadssales[[#This Row],[Conversions]]/Googleadssales[[#This Row],[Clicks]]</f>
        <v>2.6178010471204188E-2</v>
      </c>
      <c r="I2448" t="str">
        <f>VLOOKUP(Googleadssales[[#This Row],[Ad_ID]],'[1]pre processed data'!A:O,15,0)</f>
        <v>$1023</v>
      </c>
      <c r="J2448" s="3">
        <f>VLOOKUP(Googleadssales[[#This Row],[Ad_ID]],'[1]pre processed data'!A:Q,17,0)</f>
        <v>45599</v>
      </c>
      <c r="K2448" t="str">
        <f>VLOOKUP(Googleadssales[[#This Row],[Ad_ID]],'[1]pre processed data'!A:R,18,0)</f>
        <v>Hyderabad</v>
      </c>
      <c r="L2448" t="str">
        <f>VLOOKUP(Googleadssales[[#This Row],[Ad_ID]],'[1]pre processed data'!A:S,19,0)</f>
        <v>Mobile</v>
      </c>
      <c r="M2448" t="str">
        <f>VLOOKUP(Googleadssales[[#This Row],[Ad_ID]],'[1]pre processed data'!A:T,20,0)</f>
        <v>data analytics course</v>
      </c>
    </row>
    <row r="2449" spans="1:13" x14ac:dyDescent="0.3">
      <c r="A2449" t="s">
        <v>2462</v>
      </c>
      <c r="B2449" t="s">
        <v>18</v>
      </c>
      <c r="C2449" s="4">
        <f>VLOOKUP(Googleadssales[[#This Row],[Ad_ID]],'[1]pre processed data'!A:C,3,0)</f>
        <v>187</v>
      </c>
      <c r="D2449" s="4">
        <f>VLOOKUP(Googleadssales[[#This Row],[Ad_ID]],'[1]pre processed data'!A:E,5,0)</f>
        <v>3450</v>
      </c>
      <c r="E2449" s="5" t="str">
        <f>VLOOKUP(Googleadssales[[#This Row],[Ad_ID]],[1]!Table3[[Ad_ID]:[Cost-imputed]],7,0)</f>
        <v>$234.31</v>
      </c>
      <c r="F2449" s="4">
        <f>VLOOKUP(Googleadssales[[#This Row],[Ad_ID]],'[1]pre processed data'!A:I,9,0)</f>
        <v>18</v>
      </c>
      <c r="G2449" s="4">
        <f>VLOOKUP(Googleadssales[[#This Row],[Ad_ID]],'[1]pre processed data'!A:K,11,0)</f>
        <v>9</v>
      </c>
      <c r="H2449" s="2">
        <f>Googleadssales[[#This Row],[Conversions]]/Googleadssales[[#This Row],[Clicks]]</f>
        <v>4.8128342245989303E-2</v>
      </c>
      <c r="I2449" t="str">
        <f>VLOOKUP(Googleadssales[[#This Row],[Ad_ID]],'[1]pre processed data'!A:O,15,0)</f>
        <v>$1609</v>
      </c>
      <c r="J2449" s="3">
        <f>VLOOKUP(Googleadssales[[#This Row],[Ad_ID]],'[1]pre processed data'!A:Q,17,0)</f>
        <v>45614</v>
      </c>
      <c r="K2449" t="str">
        <f>VLOOKUP(Googleadssales[[#This Row],[Ad_ID]],'[1]pre processed data'!A:R,18,0)</f>
        <v>Chennai</v>
      </c>
      <c r="L2449" t="str">
        <f>VLOOKUP(Googleadssales[[#This Row],[Ad_ID]],'[1]pre processed data'!A:S,19,0)</f>
        <v>Tablet</v>
      </c>
      <c r="M2449" t="str">
        <f>VLOOKUP(Googleadssales[[#This Row],[Ad_ID]],'[1]pre processed data'!A:T,20,0)</f>
        <v>online data analytic</v>
      </c>
    </row>
    <row r="2450" spans="1:13" x14ac:dyDescent="0.3">
      <c r="A2450" t="s">
        <v>2463</v>
      </c>
      <c r="B2450" t="s">
        <v>14</v>
      </c>
      <c r="C2450" s="4">
        <f>VLOOKUP(Googleadssales[[#This Row],[Ad_ID]],'[1]pre processed data'!A:C,3,0)</f>
        <v>118</v>
      </c>
      <c r="D2450" s="4">
        <f>VLOOKUP(Googleadssales[[#This Row],[Ad_ID]],'[1]pre processed data'!A:E,5,0)</f>
        <v>4804</v>
      </c>
      <c r="E2450" s="5" t="str">
        <f>VLOOKUP(Googleadssales[[#This Row],[Ad_ID]],[1]!Table3[[Ad_ID]:[Cost-imputed]],7,0)</f>
        <v>$227.98</v>
      </c>
      <c r="F2450" s="4">
        <f>VLOOKUP(Googleadssales[[#This Row],[Ad_ID]],'[1]pre processed data'!A:I,9,0)</f>
        <v>28</v>
      </c>
      <c r="G2450" s="4">
        <f>VLOOKUP(Googleadssales[[#This Row],[Ad_ID]],'[1]pre processed data'!A:K,11,0)</f>
        <v>9</v>
      </c>
      <c r="H2450" s="2">
        <f>Googleadssales[[#This Row],[Conversions]]/Googleadssales[[#This Row],[Clicks]]</f>
        <v>7.6271186440677971E-2</v>
      </c>
      <c r="I2450" t="str">
        <f>VLOOKUP(Googleadssales[[#This Row],[Ad_ID]],'[1]pre processed data'!A:O,15,0)</f>
        <v>$1064</v>
      </c>
      <c r="J2450" s="3">
        <f>VLOOKUP(Googleadssales[[#This Row],[Ad_ID]],'[1]pre processed data'!A:Q,17,0)</f>
        <v>45624</v>
      </c>
      <c r="K2450" t="str">
        <f>VLOOKUP(Googleadssales[[#This Row],[Ad_ID]],'[1]pre processed data'!A:R,18,0)</f>
        <v>Hyderabad</v>
      </c>
      <c r="L2450" t="str">
        <f>VLOOKUP(Googleadssales[[#This Row],[Ad_ID]],'[1]pre processed data'!A:S,19,0)</f>
        <v>Mobile</v>
      </c>
      <c r="M2450" t="str">
        <f>VLOOKUP(Googleadssales[[#This Row],[Ad_ID]],'[1]pre processed data'!A:T,20,0)</f>
        <v>learn data analytics</v>
      </c>
    </row>
    <row r="2451" spans="1:13" x14ac:dyDescent="0.3">
      <c r="A2451" t="s">
        <v>2464</v>
      </c>
      <c r="B2451" t="s">
        <v>14</v>
      </c>
      <c r="C2451" s="4">
        <f>VLOOKUP(Googleadssales[[#This Row],[Ad_ID]],'[1]pre processed data'!A:C,3,0)</f>
        <v>184</v>
      </c>
      <c r="D2451" s="4">
        <f>VLOOKUP(Googleadssales[[#This Row],[Ad_ID]],'[1]pre processed data'!A:E,5,0)</f>
        <v>5983</v>
      </c>
      <c r="E2451" s="5" t="str">
        <f>VLOOKUP(Googleadssales[[#This Row],[Ad_ID]],[1]!Table3[[Ad_ID]:[Cost-imputed]],7,0)</f>
        <v>$242.62</v>
      </c>
      <c r="F2451" s="4">
        <f>VLOOKUP(Googleadssales[[#This Row],[Ad_ID]],'[1]pre processed data'!A:I,9,0)</f>
        <v>25</v>
      </c>
      <c r="G2451" s="4">
        <f>VLOOKUP(Googleadssales[[#This Row],[Ad_ID]],'[1]pre processed data'!A:K,11,0)</f>
        <v>6</v>
      </c>
      <c r="H2451" s="2">
        <f>Googleadssales[[#This Row],[Conversions]]/Googleadssales[[#This Row],[Clicks]]</f>
        <v>3.2608695652173912E-2</v>
      </c>
      <c r="I2451" t="str">
        <f>VLOOKUP(Googleadssales[[#This Row],[Ad_ID]],'[1]pre processed data'!A:O,15,0)</f>
        <v>$1538</v>
      </c>
      <c r="J2451" s="3">
        <f>VLOOKUP(Googleadssales[[#This Row],[Ad_ID]],'[1]pre processed data'!A:Q,17,0)</f>
        <v>45599</v>
      </c>
      <c r="K2451" t="str">
        <f>VLOOKUP(Googleadssales[[#This Row],[Ad_ID]],'[1]pre processed data'!A:R,18,0)</f>
        <v>Hyderabad</v>
      </c>
      <c r="L2451" t="str">
        <f>VLOOKUP(Googleadssales[[#This Row],[Ad_ID]],'[1]pre processed data'!A:S,19,0)</f>
        <v>Desktop</v>
      </c>
      <c r="M2451" t="str">
        <f>VLOOKUP(Googleadssales[[#This Row],[Ad_ID]],'[1]pre processed data'!A:T,20,0)</f>
        <v>data analytics course</v>
      </c>
    </row>
    <row r="2452" spans="1:13" x14ac:dyDescent="0.3">
      <c r="A2452" t="s">
        <v>2465</v>
      </c>
      <c r="B2452" t="s">
        <v>14</v>
      </c>
      <c r="C2452" s="4">
        <f>VLOOKUP(Googleadssales[[#This Row],[Ad_ID]],'[1]pre processed data'!A:C,3,0)</f>
        <v>167</v>
      </c>
      <c r="D2452" s="4">
        <f>VLOOKUP(Googleadssales[[#This Row],[Ad_ID]],'[1]pre processed data'!A:E,5,0)</f>
        <v>5051</v>
      </c>
      <c r="E2452" s="5" t="str">
        <f>VLOOKUP(Googleadssales[[#This Row],[Ad_ID]],[1]!Table3[[Ad_ID]:[Cost-imputed]],7,0)</f>
        <v>$202.95</v>
      </c>
      <c r="F2452" s="4">
        <f>VLOOKUP(Googleadssales[[#This Row],[Ad_ID]],'[1]pre processed data'!A:I,9,0)</f>
        <v>21</v>
      </c>
      <c r="G2452" s="4">
        <f>VLOOKUP(Googleadssales[[#This Row],[Ad_ID]],'[1]pre processed data'!A:K,11,0)</f>
        <v>10</v>
      </c>
      <c r="H2452" s="2">
        <f>Googleadssales[[#This Row],[Conversions]]/Googleadssales[[#This Row],[Clicks]]</f>
        <v>5.9880239520958084E-2</v>
      </c>
      <c r="I2452" t="str">
        <f>VLOOKUP(Googleadssales[[#This Row],[Ad_ID]],'[1]pre processed data'!A:O,15,0)</f>
        <v>$1812</v>
      </c>
      <c r="J2452" s="3">
        <f>VLOOKUP(Googleadssales[[#This Row],[Ad_ID]],'[1]pre processed data'!A:Q,17,0)</f>
        <v>45606</v>
      </c>
      <c r="K2452" t="str">
        <f>VLOOKUP(Googleadssales[[#This Row],[Ad_ID]],'[1]pre processed data'!A:R,18,0)</f>
        <v>Hyderabad</v>
      </c>
      <c r="L2452" t="str">
        <f>VLOOKUP(Googleadssales[[#This Row],[Ad_ID]],'[1]pre processed data'!A:S,19,0)</f>
        <v>Mobile</v>
      </c>
      <c r="M2452" t="str">
        <f>VLOOKUP(Googleadssales[[#This Row],[Ad_ID]],'[1]pre processed data'!A:T,20,0)</f>
        <v>learn data analytics</v>
      </c>
    </row>
    <row r="2453" spans="1:13" x14ac:dyDescent="0.3">
      <c r="A2453" t="s">
        <v>2466</v>
      </c>
      <c r="B2453" t="s">
        <v>14</v>
      </c>
      <c r="C2453" s="4">
        <f>VLOOKUP(Googleadssales[[#This Row],[Ad_ID]],'[1]pre processed data'!A:C,3,0)</f>
        <v>162</v>
      </c>
      <c r="D2453" s="4">
        <f>VLOOKUP(Googleadssales[[#This Row],[Ad_ID]],'[1]pre processed data'!A:E,5,0)</f>
        <v>3815</v>
      </c>
      <c r="E2453" s="5" t="str">
        <f>VLOOKUP(Googleadssales[[#This Row],[Ad_ID]],[1]!Table3[[Ad_ID]:[Cost-imputed]],7,0)</f>
        <v>$221.44</v>
      </c>
      <c r="F2453" s="4">
        <f>VLOOKUP(Googleadssales[[#This Row],[Ad_ID]],'[1]pre processed data'!A:I,9,0)</f>
        <v>13</v>
      </c>
      <c r="G2453" s="4">
        <f>VLOOKUP(Googleadssales[[#This Row],[Ad_ID]],'[1]pre processed data'!A:K,11,0)</f>
        <v>7</v>
      </c>
      <c r="H2453" s="2">
        <f>Googleadssales[[#This Row],[Conversions]]/Googleadssales[[#This Row],[Clicks]]</f>
        <v>4.3209876543209874E-2</v>
      </c>
      <c r="I2453" t="str">
        <f>VLOOKUP(Googleadssales[[#This Row],[Ad_ID]],'[1]pre processed data'!A:O,15,0)</f>
        <v>$1728</v>
      </c>
      <c r="J2453" s="3">
        <f>VLOOKUP(Googleadssales[[#This Row],[Ad_ID]],'[1]pre processed data'!A:Q,17,0)</f>
        <v>45617</v>
      </c>
      <c r="K2453" t="str">
        <f>VLOOKUP(Googleadssales[[#This Row],[Ad_ID]],'[1]pre processed data'!A:R,18,0)</f>
        <v>Hyderabad</v>
      </c>
      <c r="L2453" t="str">
        <f>VLOOKUP(Googleadssales[[#This Row],[Ad_ID]],'[1]pre processed data'!A:S,19,0)</f>
        <v>Desktop</v>
      </c>
      <c r="M2453" t="str">
        <f>VLOOKUP(Googleadssales[[#This Row],[Ad_ID]],'[1]pre processed data'!A:T,20,0)</f>
        <v>data analytics course</v>
      </c>
    </row>
    <row r="2454" spans="1:13" x14ac:dyDescent="0.3">
      <c r="A2454" t="s">
        <v>2467</v>
      </c>
      <c r="B2454" t="s">
        <v>18</v>
      </c>
      <c r="C2454" s="4">
        <f>VLOOKUP(Googleadssales[[#This Row],[Ad_ID]],'[1]pre processed data'!A:C,3,0)</f>
        <v>125</v>
      </c>
      <c r="D2454" s="4">
        <f>VLOOKUP(Googleadssales[[#This Row],[Ad_ID]],'[1]pre processed data'!A:E,5,0)</f>
        <v>5370</v>
      </c>
      <c r="E2454" s="5" t="str">
        <f>VLOOKUP(Googleadssales[[#This Row],[Ad_ID]],[1]!Table3[[Ad_ID]:[Cost-imputed]],7,0)</f>
        <v>$183.67</v>
      </c>
      <c r="F2454" s="4">
        <f>VLOOKUP(Googleadssales[[#This Row],[Ad_ID]],'[1]pre processed data'!A:I,9,0)</f>
        <v>18</v>
      </c>
      <c r="G2454" s="4">
        <f>VLOOKUP(Googleadssales[[#This Row],[Ad_ID]],'[1]pre processed data'!A:K,11,0)</f>
        <v>10</v>
      </c>
      <c r="H2454" s="2">
        <f>Googleadssales[[#This Row],[Conversions]]/Googleadssales[[#This Row],[Clicks]]</f>
        <v>0.08</v>
      </c>
      <c r="I2454" t="str">
        <f>VLOOKUP(Googleadssales[[#This Row],[Ad_ID]],'[1]pre processed data'!A:O,15,0)</f>
        <v>$1815</v>
      </c>
      <c r="J2454" s="3">
        <f>VLOOKUP(Googleadssales[[#This Row],[Ad_ID]],'[1]pre processed data'!A:Q,17,0)</f>
        <v>45610</v>
      </c>
      <c r="K2454" t="str">
        <f>VLOOKUP(Googleadssales[[#This Row],[Ad_ID]],'[1]pre processed data'!A:R,18,0)</f>
        <v>Hyderabad</v>
      </c>
      <c r="L2454" t="str">
        <f>VLOOKUP(Googleadssales[[#This Row],[Ad_ID]],'[1]pre processed data'!A:S,19,0)</f>
        <v>Tablet</v>
      </c>
      <c r="M2454" t="str">
        <f>VLOOKUP(Googleadssales[[#This Row],[Ad_ID]],'[1]pre processed data'!A:T,20,0)</f>
        <v>data analytics course</v>
      </c>
    </row>
    <row r="2455" spans="1:13" x14ac:dyDescent="0.3">
      <c r="A2455" t="s">
        <v>2468</v>
      </c>
      <c r="B2455" t="s">
        <v>14</v>
      </c>
      <c r="C2455" s="4">
        <f>VLOOKUP(Googleadssales[[#This Row],[Ad_ID]],'[1]pre processed data'!A:C,3,0)</f>
        <v>102</v>
      </c>
      <c r="D2455" s="4">
        <f>VLOOKUP(Googleadssales[[#This Row],[Ad_ID]],'[1]pre processed data'!A:E,5,0)</f>
        <v>4451</v>
      </c>
      <c r="E2455" s="5" t="str">
        <f>VLOOKUP(Googleadssales[[#This Row],[Ad_ID]],[1]!Table3[[Ad_ID]:[Cost-imputed]],7,0)</f>
        <v>$219.15</v>
      </c>
      <c r="F2455" s="4">
        <f>VLOOKUP(Googleadssales[[#This Row],[Ad_ID]],'[1]pre processed data'!A:I,9,0)</f>
        <v>29</v>
      </c>
      <c r="G2455" s="4">
        <f>VLOOKUP(Googleadssales[[#This Row],[Ad_ID]],'[1]pre processed data'!A:K,11,0)</f>
        <v>7</v>
      </c>
      <c r="H2455" s="2">
        <f>Googleadssales[[#This Row],[Conversions]]/Googleadssales[[#This Row],[Clicks]]</f>
        <v>6.8627450980392163E-2</v>
      </c>
      <c r="I2455" t="str">
        <f>VLOOKUP(Googleadssales[[#This Row],[Ad_ID]],'[1]pre processed data'!A:O,15,0)</f>
        <v>$1491</v>
      </c>
      <c r="J2455" s="3">
        <f>VLOOKUP(Googleadssales[[#This Row],[Ad_ID]],'[1]pre processed data'!A:Q,17,0)</f>
        <v>45625</v>
      </c>
      <c r="K2455" t="str">
        <f>VLOOKUP(Googleadssales[[#This Row],[Ad_ID]],'[1]pre processed data'!A:R,18,0)</f>
        <v>Chennai</v>
      </c>
      <c r="L2455" t="str">
        <f>VLOOKUP(Googleadssales[[#This Row],[Ad_ID]],'[1]pre processed data'!A:S,19,0)</f>
        <v>Mobile</v>
      </c>
      <c r="M2455" t="str">
        <f>VLOOKUP(Googleadssales[[#This Row],[Ad_ID]],'[1]pre processed data'!A:T,20,0)</f>
        <v>data analytics online</v>
      </c>
    </row>
    <row r="2456" spans="1:13" x14ac:dyDescent="0.3">
      <c r="A2456" t="s">
        <v>2469</v>
      </c>
      <c r="B2456" t="s">
        <v>18</v>
      </c>
      <c r="C2456" s="4">
        <f>VLOOKUP(Googleadssales[[#This Row],[Ad_ID]],'[1]pre processed data'!A:C,3,0)</f>
        <v>141</v>
      </c>
      <c r="D2456" s="4">
        <f>VLOOKUP(Googleadssales[[#This Row],[Ad_ID]],'[1]pre processed data'!A:E,5,0)</f>
        <v>4243</v>
      </c>
      <c r="E2456" s="5" t="str">
        <f>VLOOKUP(Googleadssales[[#This Row],[Ad_ID]],[1]!Table3[[Ad_ID]:[Cost-imputed]],7,0)</f>
        <v>$190.94</v>
      </c>
      <c r="F2456" s="4">
        <f>VLOOKUP(Googleadssales[[#This Row],[Ad_ID]],'[1]pre processed data'!A:I,9,0)</f>
        <v>24</v>
      </c>
      <c r="G2456" s="4">
        <f>VLOOKUP(Googleadssales[[#This Row],[Ad_ID]],'[1]pre processed data'!A:K,11,0)</f>
        <v>6</v>
      </c>
      <c r="H2456" s="2">
        <f>Googleadssales[[#This Row],[Conversions]]/Googleadssales[[#This Row],[Clicks]]</f>
        <v>4.2553191489361701E-2</v>
      </c>
      <c r="I2456" t="str">
        <f>VLOOKUP(Googleadssales[[#This Row],[Ad_ID]],'[1]pre processed data'!A:O,15,0)</f>
        <v>$1500</v>
      </c>
      <c r="J2456" s="3">
        <f>VLOOKUP(Googleadssales[[#This Row],[Ad_ID]],'[1]pre processed data'!A:Q,17,0)</f>
        <v>45618</v>
      </c>
      <c r="K2456" t="str">
        <f>VLOOKUP(Googleadssales[[#This Row],[Ad_ID]],'[1]pre processed data'!A:R,18,0)</f>
        <v>Chennai</v>
      </c>
      <c r="L2456" t="str">
        <f>VLOOKUP(Googleadssales[[#This Row],[Ad_ID]],'[1]pre processed data'!A:S,19,0)</f>
        <v>Desktop</v>
      </c>
      <c r="M2456" t="str">
        <f>VLOOKUP(Googleadssales[[#This Row],[Ad_ID]],'[1]pre processed data'!A:T,20,0)</f>
        <v>data analytics training</v>
      </c>
    </row>
    <row r="2457" spans="1:13" x14ac:dyDescent="0.3">
      <c r="A2457" t="s">
        <v>2470</v>
      </c>
      <c r="B2457" t="s">
        <v>14</v>
      </c>
      <c r="C2457" s="4">
        <f>VLOOKUP(Googleadssales[[#This Row],[Ad_ID]],'[1]pre processed data'!A:C,3,0)</f>
        <v>121</v>
      </c>
      <c r="D2457" s="4">
        <f>VLOOKUP(Googleadssales[[#This Row],[Ad_ID]],'[1]pre processed data'!A:E,5,0)</f>
        <v>3844</v>
      </c>
      <c r="E2457" s="5" t="str">
        <f>VLOOKUP(Googleadssales[[#This Row],[Ad_ID]],[1]!Table3[[Ad_ID]:[Cost-imputed]],7,0)</f>
        <v>$242.19</v>
      </c>
      <c r="F2457" s="4">
        <f>VLOOKUP(Googleadssales[[#This Row],[Ad_ID]],'[1]pre processed data'!A:I,9,0)</f>
        <v>29</v>
      </c>
      <c r="G2457" s="4">
        <f>VLOOKUP(Googleadssales[[#This Row],[Ad_ID]],'[1]pre processed data'!A:K,11,0)</f>
        <v>3</v>
      </c>
      <c r="H2457" s="2">
        <f>Googleadssales[[#This Row],[Conversions]]/Googleadssales[[#This Row],[Clicks]]</f>
        <v>2.4793388429752067E-2</v>
      </c>
      <c r="I2457" t="str">
        <f>VLOOKUP(Googleadssales[[#This Row],[Ad_ID]],'[1]pre processed data'!A:O,15,0)</f>
        <v>$1897</v>
      </c>
      <c r="J2457" s="3">
        <f>VLOOKUP(Googleadssales[[#This Row],[Ad_ID]],'[1]pre processed data'!A:Q,17,0)</f>
        <v>45606</v>
      </c>
      <c r="K2457" t="str">
        <f>VLOOKUP(Googleadssales[[#This Row],[Ad_ID]],'[1]pre processed data'!A:R,18,0)</f>
        <v>Hyderabad</v>
      </c>
      <c r="L2457" t="str">
        <f>VLOOKUP(Googleadssales[[#This Row],[Ad_ID]],'[1]pre processed data'!A:S,19,0)</f>
        <v>Mobile</v>
      </c>
      <c r="M2457" t="str">
        <f>VLOOKUP(Googleadssales[[#This Row],[Ad_ID]],'[1]pre processed data'!A:T,20,0)</f>
        <v>learn data analytics</v>
      </c>
    </row>
    <row r="2458" spans="1:13" x14ac:dyDescent="0.3">
      <c r="A2458" t="s">
        <v>2471</v>
      </c>
      <c r="B2458" t="s">
        <v>14</v>
      </c>
      <c r="C2458" s="4">
        <f>VLOOKUP(Googleadssales[[#This Row],[Ad_ID]],'[1]pre processed data'!A:C,3,0)</f>
        <v>142</v>
      </c>
      <c r="D2458" s="4">
        <f>VLOOKUP(Googleadssales[[#This Row],[Ad_ID]],'[1]pre processed data'!A:E,5,0)</f>
        <v>4023</v>
      </c>
      <c r="E2458" s="5" t="str">
        <f>VLOOKUP(Googleadssales[[#This Row],[Ad_ID]],[1]!Table3[[Ad_ID]:[Cost-imputed]],7,0)</f>
        <v>$186.79</v>
      </c>
      <c r="F2458" s="4">
        <f>VLOOKUP(Googleadssales[[#This Row],[Ad_ID]],'[1]pre processed data'!A:I,9,0)</f>
        <v>17</v>
      </c>
      <c r="G2458" s="4">
        <f>VLOOKUP(Googleadssales[[#This Row],[Ad_ID]],'[1]pre processed data'!A:K,11,0)</f>
        <v>3</v>
      </c>
      <c r="H2458" s="2">
        <f>Googleadssales[[#This Row],[Conversions]]/Googleadssales[[#This Row],[Clicks]]</f>
        <v>2.1126760563380281E-2</v>
      </c>
      <c r="I2458" t="str">
        <f>VLOOKUP(Googleadssales[[#This Row],[Ad_ID]],'[1]pre processed data'!A:O,15,0)</f>
        <v>$1172</v>
      </c>
      <c r="J2458" s="3">
        <f>VLOOKUP(Googleadssales[[#This Row],[Ad_ID]],'[1]pre processed data'!A:Q,17,0)</f>
        <v>45619</v>
      </c>
      <c r="K2458" t="str">
        <f>VLOOKUP(Googleadssales[[#This Row],[Ad_ID]],'[1]pre processed data'!A:R,18,0)</f>
        <v>Hyderabad</v>
      </c>
      <c r="L2458" t="str">
        <f>VLOOKUP(Googleadssales[[#This Row],[Ad_ID]],'[1]pre processed data'!A:S,19,0)</f>
        <v>Tablet</v>
      </c>
      <c r="M2458" t="str">
        <f>VLOOKUP(Googleadssales[[#This Row],[Ad_ID]],'[1]pre processed data'!A:T,20,0)</f>
        <v>data analytics training</v>
      </c>
    </row>
    <row r="2459" spans="1:13" x14ac:dyDescent="0.3">
      <c r="A2459" t="s">
        <v>2472</v>
      </c>
      <c r="B2459" t="s">
        <v>14</v>
      </c>
      <c r="C2459" s="4">
        <f>VLOOKUP(Googleadssales[[#This Row],[Ad_ID]],'[1]pre processed data'!A:C,3,0)</f>
        <v>150</v>
      </c>
      <c r="D2459" s="4">
        <f>VLOOKUP(Googleadssales[[#This Row],[Ad_ID]],'[1]pre processed data'!A:E,5,0)</f>
        <v>4409</v>
      </c>
      <c r="E2459" s="5" t="str">
        <f>VLOOKUP(Googleadssales[[#This Row],[Ad_ID]],[1]!Table3[[Ad_ID]:[Cost-imputed]],7,0)</f>
        <v>$223.45</v>
      </c>
      <c r="F2459" s="4">
        <f>VLOOKUP(Googleadssales[[#This Row],[Ad_ID]],'[1]pre processed data'!A:I,9,0)</f>
        <v>23</v>
      </c>
      <c r="G2459" s="4">
        <f>VLOOKUP(Googleadssales[[#This Row],[Ad_ID]],'[1]pre processed data'!A:K,11,0)</f>
        <v>7</v>
      </c>
      <c r="H2459" s="2">
        <f>Googleadssales[[#This Row],[Conversions]]/Googleadssales[[#This Row],[Clicks]]</f>
        <v>4.6666666666666669E-2</v>
      </c>
      <c r="I2459" t="str">
        <f>VLOOKUP(Googleadssales[[#This Row],[Ad_ID]],'[1]pre processed data'!A:O,15,0)</f>
        <v>$1578</v>
      </c>
      <c r="J2459" s="3">
        <f>VLOOKUP(Googleadssales[[#This Row],[Ad_ID]],'[1]pre processed data'!A:Q,17,0)</f>
        <v>45609</v>
      </c>
      <c r="K2459" t="str">
        <f>VLOOKUP(Googleadssales[[#This Row],[Ad_ID]],'[1]pre processed data'!A:R,18,0)</f>
        <v>Hyderabad</v>
      </c>
      <c r="L2459" t="str">
        <f>VLOOKUP(Googleadssales[[#This Row],[Ad_ID]],'[1]pre processed data'!A:S,19,0)</f>
        <v>Desktop</v>
      </c>
      <c r="M2459" t="str">
        <f>VLOOKUP(Googleadssales[[#This Row],[Ad_ID]],'[1]pre processed data'!A:T,20,0)</f>
        <v>learn data analytics</v>
      </c>
    </row>
    <row r="2460" spans="1:13" x14ac:dyDescent="0.3">
      <c r="A2460" t="s">
        <v>2473</v>
      </c>
      <c r="B2460" t="s">
        <v>14</v>
      </c>
      <c r="C2460" s="4">
        <f>VLOOKUP(Googleadssales[[#This Row],[Ad_ID]],'[1]pre processed data'!A:C,3,0)</f>
        <v>117</v>
      </c>
      <c r="D2460" s="4">
        <f>VLOOKUP(Googleadssales[[#This Row],[Ad_ID]],'[1]pre processed data'!A:E,5,0)</f>
        <v>3109</v>
      </c>
      <c r="E2460" s="5" t="str">
        <f>VLOOKUP(Googleadssales[[#This Row],[Ad_ID]],[1]!Table3[[Ad_ID]:[Cost-imputed]],7,0)</f>
        <v>$239.1</v>
      </c>
      <c r="F2460" s="4">
        <f>VLOOKUP(Googleadssales[[#This Row],[Ad_ID]],'[1]pre processed data'!A:I,9,0)</f>
        <v>21</v>
      </c>
      <c r="G2460" s="4">
        <f>VLOOKUP(Googleadssales[[#This Row],[Ad_ID]],'[1]pre processed data'!A:K,11,0)</f>
        <v>3</v>
      </c>
      <c r="H2460" s="2">
        <f>Googleadssales[[#This Row],[Conversions]]/Googleadssales[[#This Row],[Clicks]]</f>
        <v>2.564102564102564E-2</v>
      </c>
      <c r="I2460" t="str">
        <f>VLOOKUP(Googleadssales[[#This Row],[Ad_ID]],'[1]pre processed data'!A:O,15,0)</f>
        <v>$1500</v>
      </c>
      <c r="J2460" s="3">
        <f>VLOOKUP(Googleadssales[[#This Row],[Ad_ID]],'[1]pre processed data'!A:Q,17,0)</f>
        <v>45623</v>
      </c>
      <c r="K2460" t="str">
        <f>VLOOKUP(Googleadssales[[#This Row],[Ad_ID]],'[1]pre processed data'!A:R,18,0)</f>
        <v>Hyderabad</v>
      </c>
      <c r="L2460" t="str">
        <f>VLOOKUP(Googleadssales[[#This Row],[Ad_ID]],'[1]pre processed data'!A:S,19,0)</f>
        <v>Tablet</v>
      </c>
      <c r="M2460" t="str">
        <f>VLOOKUP(Googleadssales[[#This Row],[Ad_ID]],'[1]pre processed data'!A:T,20,0)</f>
        <v>data analytics course</v>
      </c>
    </row>
    <row r="2461" spans="1:13" x14ac:dyDescent="0.3">
      <c r="A2461" t="s">
        <v>2474</v>
      </c>
      <c r="B2461" t="s">
        <v>18</v>
      </c>
      <c r="C2461" s="4">
        <f>VLOOKUP(Googleadssales[[#This Row],[Ad_ID]],'[1]pre processed data'!A:C,3,0)</f>
        <v>142</v>
      </c>
      <c r="D2461" s="4">
        <f>VLOOKUP(Googleadssales[[#This Row],[Ad_ID]],'[1]pre processed data'!A:E,5,0)</f>
        <v>5613</v>
      </c>
      <c r="E2461" s="5" t="str">
        <f>VLOOKUP(Googleadssales[[#This Row],[Ad_ID]],[1]!Table3[[Ad_ID]:[Cost-imputed]],7,0)</f>
        <v>$180.45</v>
      </c>
      <c r="F2461" s="4">
        <f>VLOOKUP(Googleadssales[[#This Row],[Ad_ID]],'[1]pre processed data'!A:I,9,0)</f>
        <v>11</v>
      </c>
      <c r="G2461" s="4">
        <f>VLOOKUP(Googleadssales[[#This Row],[Ad_ID]],'[1]pre processed data'!A:K,11,0)</f>
        <v>9</v>
      </c>
      <c r="H2461" s="2">
        <f>Googleadssales[[#This Row],[Conversions]]/Googleadssales[[#This Row],[Clicks]]</f>
        <v>6.3380281690140844E-2</v>
      </c>
      <c r="I2461" t="str">
        <f>VLOOKUP(Googleadssales[[#This Row],[Ad_ID]],'[1]pre processed data'!A:O,15,0)</f>
        <v>$1978</v>
      </c>
      <c r="J2461" s="3">
        <f>VLOOKUP(Googleadssales[[#This Row],[Ad_ID]],'[1]pre processed data'!A:Q,17,0)</f>
        <v>45624</v>
      </c>
      <c r="K2461" t="str">
        <f>VLOOKUP(Googleadssales[[#This Row],[Ad_ID]],'[1]pre processed data'!A:R,18,0)</f>
        <v>Chennai</v>
      </c>
      <c r="L2461" t="str">
        <f>VLOOKUP(Googleadssales[[#This Row],[Ad_ID]],'[1]pre processed data'!A:S,19,0)</f>
        <v>Mobile</v>
      </c>
      <c r="M2461" t="str">
        <f>VLOOKUP(Googleadssales[[#This Row],[Ad_ID]],'[1]pre processed data'!A:T,20,0)</f>
        <v>data analytics training</v>
      </c>
    </row>
    <row r="2462" spans="1:13" x14ac:dyDescent="0.3">
      <c r="A2462" t="s">
        <v>2475</v>
      </c>
      <c r="B2462" t="s">
        <v>18</v>
      </c>
      <c r="C2462" s="4">
        <f>VLOOKUP(Googleadssales[[#This Row],[Ad_ID]],'[1]pre processed data'!A:C,3,0)</f>
        <v>103</v>
      </c>
      <c r="D2462" s="4">
        <f>VLOOKUP(Googleadssales[[#This Row],[Ad_ID]],'[1]pre processed data'!A:E,5,0)</f>
        <v>4821</v>
      </c>
      <c r="E2462" s="5" t="str">
        <f>VLOOKUP(Googleadssales[[#This Row],[Ad_ID]],[1]!Table3[[Ad_ID]:[Cost-imputed]],7,0)</f>
        <v>$214.54</v>
      </c>
      <c r="F2462" s="4">
        <f>VLOOKUP(Googleadssales[[#This Row],[Ad_ID]],'[1]pre processed data'!A:I,9,0)</f>
        <v>30</v>
      </c>
      <c r="G2462" s="4">
        <f>VLOOKUP(Googleadssales[[#This Row],[Ad_ID]],'[1]pre processed data'!A:K,11,0)</f>
        <v>6</v>
      </c>
      <c r="H2462" s="2">
        <f>Googleadssales[[#This Row],[Conversions]]/Googleadssales[[#This Row],[Clicks]]</f>
        <v>5.8252427184466021E-2</v>
      </c>
      <c r="I2462" t="str">
        <f>VLOOKUP(Googleadssales[[#This Row],[Ad_ID]],'[1]pre processed data'!A:O,15,0)</f>
        <v>$1408</v>
      </c>
      <c r="J2462" s="3">
        <f>VLOOKUP(Googleadssales[[#This Row],[Ad_ID]],'[1]pre processed data'!A:Q,17,0)</f>
        <v>45609</v>
      </c>
      <c r="K2462" t="str">
        <f>VLOOKUP(Googleadssales[[#This Row],[Ad_ID]],'[1]pre processed data'!A:R,18,0)</f>
        <v>Bangaluru</v>
      </c>
      <c r="L2462" t="str">
        <f>VLOOKUP(Googleadssales[[#This Row],[Ad_ID]],'[1]pre processed data'!A:S,19,0)</f>
        <v>Tablet</v>
      </c>
      <c r="M2462" t="str">
        <f>VLOOKUP(Googleadssales[[#This Row],[Ad_ID]],'[1]pre processed data'!A:T,20,0)</f>
        <v>data analytics online</v>
      </c>
    </row>
    <row r="2463" spans="1:13" x14ac:dyDescent="0.3">
      <c r="A2463" t="s">
        <v>2476</v>
      </c>
      <c r="B2463" t="s">
        <v>14</v>
      </c>
      <c r="C2463" s="4">
        <f>VLOOKUP(Googleadssales[[#This Row],[Ad_ID]],'[1]pre processed data'!A:C,3,0)</f>
        <v>187</v>
      </c>
      <c r="D2463" s="4">
        <f>VLOOKUP(Googleadssales[[#This Row],[Ad_ID]],'[1]pre processed data'!A:E,5,0)</f>
        <v>3289</v>
      </c>
      <c r="E2463" s="5" t="str">
        <f>VLOOKUP(Googleadssales[[#This Row],[Ad_ID]],[1]!Table3[[Ad_ID]:[Cost-imputed]],7,0)</f>
        <v>$186.04</v>
      </c>
      <c r="F2463" s="4">
        <f>VLOOKUP(Googleadssales[[#This Row],[Ad_ID]],'[1]pre processed data'!A:I,9,0)</f>
        <v>23</v>
      </c>
      <c r="G2463" s="4">
        <f>VLOOKUP(Googleadssales[[#This Row],[Ad_ID]],'[1]pre processed data'!A:K,11,0)</f>
        <v>5</v>
      </c>
      <c r="H2463" s="2">
        <f>Googleadssales[[#This Row],[Conversions]]/Googleadssales[[#This Row],[Clicks]]</f>
        <v>2.6737967914438502E-2</v>
      </c>
      <c r="I2463" t="str">
        <f>VLOOKUP(Googleadssales[[#This Row],[Ad_ID]],'[1]pre processed data'!A:O,15,0)</f>
        <v>$1645</v>
      </c>
      <c r="J2463" s="3">
        <f>VLOOKUP(Googleadssales[[#This Row],[Ad_ID]],'[1]pre processed data'!A:Q,17,0)</f>
        <v>45602</v>
      </c>
      <c r="K2463" t="str">
        <f>VLOOKUP(Googleadssales[[#This Row],[Ad_ID]],'[1]pre processed data'!A:R,18,0)</f>
        <v>Hyderabad</v>
      </c>
      <c r="L2463" t="str">
        <f>VLOOKUP(Googleadssales[[#This Row],[Ad_ID]],'[1]pre processed data'!A:S,19,0)</f>
        <v>Desktop</v>
      </c>
      <c r="M2463" t="str">
        <f>VLOOKUP(Googleadssales[[#This Row],[Ad_ID]],'[1]pre processed data'!A:T,20,0)</f>
        <v>data analytics course</v>
      </c>
    </row>
    <row r="2464" spans="1:13" x14ac:dyDescent="0.3">
      <c r="A2464" t="s">
        <v>2477</v>
      </c>
      <c r="B2464" t="s">
        <v>14</v>
      </c>
      <c r="C2464" s="4">
        <f>VLOOKUP(Googleadssales[[#This Row],[Ad_ID]],'[1]pre processed data'!A:C,3,0)</f>
        <v>172</v>
      </c>
      <c r="D2464" s="4">
        <f>VLOOKUP(Googleadssales[[#This Row],[Ad_ID]],'[1]pre processed data'!A:E,5,0)</f>
        <v>4441</v>
      </c>
      <c r="E2464" s="5" t="str">
        <f>VLOOKUP(Googleadssales[[#This Row],[Ad_ID]],[1]!Table3[[Ad_ID]:[Cost-imputed]],7,0)</f>
        <v>$209.18</v>
      </c>
      <c r="F2464" s="4">
        <f>VLOOKUP(Googleadssales[[#This Row],[Ad_ID]],'[1]pre processed data'!A:I,9,0)</f>
        <v>17</v>
      </c>
      <c r="G2464" s="4">
        <f>VLOOKUP(Googleadssales[[#This Row],[Ad_ID]],'[1]pre processed data'!A:K,11,0)</f>
        <v>10</v>
      </c>
      <c r="H2464" s="2">
        <f>Googleadssales[[#This Row],[Conversions]]/Googleadssales[[#This Row],[Clicks]]</f>
        <v>5.8139534883720929E-2</v>
      </c>
      <c r="I2464" t="str">
        <f>VLOOKUP(Googleadssales[[#This Row],[Ad_ID]],'[1]pre processed data'!A:O,15,0)</f>
        <v>$1500</v>
      </c>
      <c r="J2464" s="3">
        <f>VLOOKUP(Googleadssales[[#This Row],[Ad_ID]],'[1]pre processed data'!A:Q,17,0)</f>
        <v>45625</v>
      </c>
      <c r="K2464" t="str">
        <f>VLOOKUP(Googleadssales[[#This Row],[Ad_ID]],'[1]pre processed data'!A:R,18,0)</f>
        <v>Bangaluru</v>
      </c>
      <c r="L2464" t="str">
        <f>VLOOKUP(Googleadssales[[#This Row],[Ad_ID]],'[1]pre processed data'!A:S,19,0)</f>
        <v>Desktop</v>
      </c>
      <c r="M2464" t="str">
        <f>VLOOKUP(Googleadssales[[#This Row],[Ad_ID]],'[1]pre processed data'!A:T,20,0)</f>
        <v>data analytics online</v>
      </c>
    </row>
    <row r="2465" spans="1:13" x14ac:dyDescent="0.3">
      <c r="A2465" t="s">
        <v>2478</v>
      </c>
      <c r="B2465" t="s">
        <v>18</v>
      </c>
      <c r="C2465" s="4">
        <f>VLOOKUP(Googleadssales[[#This Row],[Ad_ID]],'[1]pre processed data'!A:C,3,0)</f>
        <v>105</v>
      </c>
      <c r="D2465" s="4">
        <f>VLOOKUP(Googleadssales[[#This Row],[Ad_ID]],'[1]pre processed data'!A:E,5,0)</f>
        <v>3000</v>
      </c>
      <c r="E2465" s="5" t="str">
        <f>VLOOKUP(Googleadssales[[#This Row],[Ad_ID]],[1]!Table3[[Ad_ID]:[Cost-imputed]],7,0)</f>
        <v>$185.97</v>
      </c>
      <c r="F2465" s="4">
        <f>VLOOKUP(Googleadssales[[#This Row],[Ad_ID]],'[1]pre processed data'!A:I,9,0)</f>
        <v>17</v>
      </c>
      <c r="G2465" s="4">
        <f>VLOOKUP(Googleadssales[[#This Row],[Ad_ID]],'[1]pre processed data'!A:K,11,0)</f>
        <v>6</v>
      </c>
      <c r="H2465" s="2">
        <f>Googleadssales[[#This Row],[Conversions]]/Googleadssales[[#This Row],[Clicks]]</f>
        <v>5.7142857142857141E-2</v>
      </c>
      <c r="I2465" t="str">
        <f>VLOOKUP(Googleadssales[[#This Row],[Ad_ID]],'[1]pre processed data'!A:O,15,0)</f>
        <v>$1993</v>
      </c>
      <c r="J2465" s="3">
        <f>VLOOKUP(Googleadssales[[#This Row],[Ad_ID]],'[1]pre processed data'!A:Q,17,0)</f>
        <v>45625</v>
      </c>
      <c r="K2465" t="str">
        <f>VLOOKUP(Googleadssales[[#This Row],[Ad_ID]],'[1]pre processed data'!A:R,18,0)</f>
        <v>Bangaluru</v>
      </c>
      <c r="L2465" t="str">
        <f>VLOOKUP(Googleadssales[[#This Row],[Ad_ID]],'[1]pre processed data'!A:S,19,0)</f>
        <v>Mobile</v>
      </c>
      <c r="M2465" t="str">
        <f>VLOOKUP(Googleadssales[[#This Row],[Ad_ID]],'[1]pre processed data'!A:T,20,0)</f>
        <v>data analytics online</v>
      </c>
    </row>
    <row r="2466" spans="1:13" x14ac:dyDescent="0.3">
      <c r="A2466" t="s">
        <v>2479</v>
      </c>
      <c r="B2466" t="s">
        <v>14</v>
      </c>
      <c r="C2466" s="4">
        <f>VLOOKUP(Googleadssales[[#This Row],[Ad_ID]],'[1]pre processed data'!A:C,3,0)</f>
        <v>181</v>
      </c>
      <c r="D2466" s="4">
        <f>VLOOKUP(Googleadssales[[#This Row],[Ad_ID]],'[1]pre processed data'!A:E,5,0)</f>
        <v>4156</v>
      </c>
      <c r="E2466" s="5" t="str">
        <f>VLOOKUP(Googleadssales[[#This Row],[Ad_ID]],[1]!Table3[[Ad_ID]:[Cost-imputed]],7,0)</f>
        <v>$245.68</v>
      </c>
      <c r="F2466" s="4">
        <f>VLOOKUP(Googleadssales[[#This Row],[Ad_ID]],'[1]pre processed data'!A:I,9,0)</f>
        <v>22</v>
      </c>
      <c r="G2466" s="4">
        <f>VLOOKUP(Googleadssales[[#This Row],[Ad_ID]],'[1]pre processed data'!A:K,11,0)</f>
        <v>10</v>
      </c>
      <c r="H2466" s="2">
        <f>Googleadssales[[#This Row],[Conversions]]/Googleadssales[[#This Row],[Clicks]]</f>
        <v>5.5248618784530384E-2</v>
      </c>
      <c r="I2466" t="str">
        <f>VLOOKUP(Googleadssales[[#This Row],[Ad_ID]],'[1]pre processed data'!A:O,15,0)</f>
        <v>$1336</v>
      </c>
      <c r="J2466" s="3">
        <f>VLOOKUP(Googleadssales[[#This Row],[Ad_ID]],'[1]pre processed data'!A:Q,17,0)</f>
        <v>45610</v>
      </c>
      <c r="K2466" t="str">
        <f>VLOOKUP(Googleadssales[[#This Row],[Ad_ID]],'[1]pre processed data'!A:R,18,0)</f>
        <v>Hyderabad</v>
      </c>
      <c r="L2466" t="str">
        <f>VLOOKUP(Googleadssales[[#This Row],[Ad_ID]],'[1]pre processed data'!A:S,19,0)</f>
        <v>Mobile</v>
      </c>
      <c r="M2466" t="str">
        <f>VLOOKUP(Googleadssales[[#This Row],[Ad_ID]],'[1]pre processed data'!A:T,20,0)</f>
        <v>learn data analytics</v>
      </c>
    </row>
    <row r="2467" spans="1:13" x14ac:dyDescent="0.3">
      <c r="A2467" t="s">
        <v>2480</v>
      </c>
      <c r="B2467" t="s">
        <v>14</v>
      </c>
      <c r="C2467" s="4">
        <f>VLOOKUP(Googleadssales[[#This Row],[Ad_ID]],'[1]pre processed data'!A:C,3,0)</f>
        <v>172</v>
      </c>
      <c r="D2467" s="4">
        <f>VLOOKUP(Googleadssales[[#This Row],[Ad_ID]],'[1]pre processed data'!A:E,5,0)</f>
        <v>5314</v>
      </c>
      <c r="E2467" s="5" t="str">
        <f>VLOOKUP(Googleadssales[[#This Row],[Ad_ID]],[1]!Table3[[Ad_ID]:[Cost-imputed]],7,0)</f>
        <v>$240.69</v>
      </c>
      <c r="F2467" s="4">
        <f>VLOOKUP(Googleadssales[[#This Row],[Ad_ID]],'[1]pre processed data'!A:I,9,0)</f>
        <v>14</v>
      </c>
      <c r="G2467" s="4">
        <f>VLOOKUP(Googleadssales[[#This Row],[Ad_ID]],'[1]pre processed data'!A:K,11,0)</f>
        <v>9</v>
      </c>
      <c r="H2467" s="2">
        <f>Googleadssales[[#This Row],[Conversions]]/Googleadssales[[#This Row],[Clicks]]</f>
        <v>5.232558139534884E-2</v>
      </c>
      <c r="I2467" t="str">
        <f>VLOOKUP(Googleadssales[[#This Row],[Ad_ID]],'[1]pre processed data'!A:O,15,0)</f>
        <v>$1998</v>
      </c>
      <c r="J2467" s="3">
        <f>VLOOKUP(Googleadssales[[#This Row],[Ad_ID]],'[1]pre processed data'!A:Q,17,0)</f>
        <v>45619</v>
      </c>
      <c r="K2467" t="str">
        <f>VLOOKUP(Googleadssales[[#This Row],[Ad_ID]],'[1]pre processed data'!A:R,18,0)</f>
        <v>Hyderabad</v>
      </c>
      <c r="L2467" t="str">
        <f>VLOOKUP(Googleadssales[[#This Row],[Ad_ID]],'[1]pre processed data'!A:S,19,0)</f>
        <v>Tablet</v>
      </c>
      <c r="M2467" t="str">
        <f>VLOOKUP(Googleadssales[[#This Row],[Ad_ID]],'[1]pre processed data'!A:T,20,0)</f>
        <v>learn data analytics</v>
      </c>
    </row>
    <row r="2468" spans="1:13" x14ac:dyDescent="0.3">
      <c r="A2468" t="s">
        <v>2481</v>
      </c>
      <c r="B2468" t="s">
        <v>14</v>
      </c>
      <c r="C2468" s="4">
        <f>VLOOKUP(Googleadssales[[#This Row],[Ad_ID]],'[1]pre processed data'!A:C,3,0)</f>
        <v>98</v>
      </c>
      <c r="D2468" s="4">
        <f>VLOOKUP(Googleadssales[[#This Row],[Ad_ID]],'[1]pre processed data'!A:E,5,0)</f>
        <v>4655</v>
      </c>
      <c r="E2468" s="5" t="str">
        <f>VLOOKUP(Googleadssales[[#This Row],[Ad_ID]],[1]!Table3[[Ad_ID]:[Cost-imputed]],7,0)</f>
        <v>$182.99</v>
      </c>
      <c r="F2468" s="4">
        <f>VLOOKUP(Googleadssales[[#This Row],[Ad_ID]],'[1]pre processed data'!A:I,9,0)</f>
        <v>21</v>
      </c>
      <c r="G2468" s="4">
        <f>VLOOKUP(Googleadssales[[#This Row],[Ad_ID]],'[1]pre processed data'!A:K,11,0)</f>
        <v>10</v>
      </c>
      <c r="H2468" s="2">
        <f>Googleadssales[[#This Row],[Conversions]]/Googleadssales[[#This Row],[Clicks]]</f>
        <v>0.10204081632653061</v>
      </c>
      <c r="I2468" t="str">
        <f>VLOOKUP(Googleadssales[[#This Row],[Ad_ID]],'[1]pre processed data'!A:O,15,0)</f>
        <v>$1918</v>
      </c>
      <c r="J2468" s="3">
        <f>VLOOKUP(Googleadssales[[#This Row],[Ad_ID]],'[1]pre processed data'!A:Q,17,0)</f>
        <v>45621</v>
      </c>
      <c r="K2468" t="str">
        <f>VLOOKUP(Googleadssales[[#This Row],[Ad_ID]],'[1]pre processed data'!A:R,18,0)</f>
        <v>Hyderabad</v>
      </c>
      <c r="L2468" t="str">
        <f>VLOOKUP(Googleadssales[[#This Row],[Ad_ID]],'[1]pre processed data'!A:S,19,0)</f>
        <v>Desktop</v>
      </c>
      <c r="M2468" t="str">
        <f>VLOOKUP(Googleadssales[[#This Row],[Ad_ID]],'[1]pre processed data'!A:T,20,0)</f>
        <v>data analytics course</v>
      </c>
    </row>
    <row r="2469" spans="1:13" x14ac:dyDescent="0.3">
      <c r="A2469" t="s">
        <v>2482</v>
      </c>
      <c r="B2469" t="s">
        <v>14</v>
      </c>
      <c r="C2469" s="4">
        <f>VLOOKUP(Googleadssales[[#This Row],[Ad_ID]],'[1]pre processed data'!A:C,3,0)</f>
        <v>92</v>
      </c>
      <c r="D2469" s="4">
        <f>VLOOKUP(Googleadssales[[#This Row],[Ad_ID]],'[1]pre processed data'!A:E,5,0)</f>
        <v>3226</v>
      </c>
      <c r="E2469" s="5" t="str">
        <f>VLOOKUP(Googleadssales[[#This Row],[Ad_ID]],[1]!Table3[[Ad_ID]:[Cost-imputed]],7,0)</f>
        <v>$236.27</v>
      </c>
      <c r="F2469" s="4">
        <f>VLOOKUP(Googleadssales[[#This Row],[Ad_ID]],'[1]pre processed data'!A:I,9,0)</f>
        <v>17</v>
      </c>
      <c r="G2469" s="4">
        <f>VLOOKUP(Googleadssales[[#This Row],[Ad_ID]],'[1]pre processed data'!A:K,11,0)</f>
        <v>6</v>
      </c>
      <c r="H2469" s="2">
        <f>Googleadssales[[#This Row],[Conversions]]/Googleadssales[[#This Row],[Clicks]]</f>
        <v>6.5217391304347824E-2</v>
      </c>
      <c r="I2469" t="str">
        <f>VLOOKUP(Googleadssales[[#This Row],[Ad_ID]],'[1]pre processed data'!A:O,15,0)</f>
        <v>$1473</v>
      </c>
      <c r="J2469" s="3">
        <f>VLOOKUP(Googleadssales[[#This Row],[Ad_ID]],'[1]pre processed data'!A:Q,17,0)</f>
        <v>45606</v>
      </c>
      <c r="K2469" t="str">
        <f>VLOOKUP(Googleadssales[[#This Row],[Ad_ID]],'[1]pre processed data'!A:R,18,0)</f>
        <v>Bangaluru</v>
      </c>
      <c r="L2469" t="str">
        <f>VLOOKUP(Googleadssales[[#This Row],[Ad_ID]],'[1]pre processed data'!A:S,19,0)</f>
        <v>Tablet</v>
      </c>
      <c r="M2469" t="str">
        <f>VLOOKUP(Googleadssales[[#This Row],[Ad_ID]],'[1]pre processed data'!A:T,20,0)</f>
        <v>data analytics training</v>
      </c>
    </row>
    <row r="2470" spans="1:13" x14ac:dyDescent="0.3">
      <c r="A2470" t="s">
        <v>2483</v>
      </c>
      <c r="B2470" t="s">
        <v>18</v>
      </c>
      <c r="C2470" s="4">
        <f>VLOOKUP(Googleadssales[[#This Row],[Ad_ID]],'[1]pre processed data'!A:C,3,0)</f>
        <v>102</v>
      </c>
      <c r="D2470" s="4">
        <f>VLOOKUP(Googleadssales[[#This Row],[Ad_ID]],'[1]pre processed data'!A:E,5,0)</f>
        <v>5246</v>
      </c>
      <c r="E2470" s="5" t="str">
        <f>VLOOKUP(Googleadssales[[#This Row],[Ad_ID]],[1]!Table3[[Ad_ID]:[Cost-imputed]],7,0)</f>
        <v>$234.71</v>
      </c>
      <c r="F2470" s="4">
        <f>VLOOKUP(Googleadssales[[#This Row],[Ad_ID]],'[1]pre processed data'!A:I,9,0)</f>
        <v>20</v>
      </c>
      <c r="G2470" s="4">
        <f>VLOOKUP(Googleadssales[[#This Row],[Ad_ID]],'[1]pre processed data'!A:K,11,0)</f>
        <v>4</v>
      </c>
      <c r="H2470" s="2">
        <f>Googleadssales[[#This Row],[Conversions]]/Googleadssales[[#This Row],[Clicks]]</f>
        <v>3.9215686274509803E-2</v>
      </c>
      <c r="I2470" t="str">
        <f>VLOOKUP(Googleadssales[[#This Row],[Ad_ID]],'[1]pre processed data'!A:O,15,0)</f>
        <v>$1903</v>
      </c>
      <c r="J2470" s="3">
        <f>VLOOKUP(Googleadssales[[#This Row],[Ad_ID]],'[1]pre processed data'!A:Q,17,0)</f>
        <v>45621</v>
      </c>
      <c r="K2470" t="str">
        <f>VLOOKUP(Googleadssales[[#This Row],[Ad_ID]],'[1]pre processed data'!A:R,18,0)</f>
        <v>Bangaluru</v>
      </c>
      <c r="L2470" t="str">
        <f>VLOOKUP(Googleadssales[[#This Row],[Ad_ID]],'[1]pre processed data'!A:S,19,0)</f>
        <v>Tablet</v>
      </c>
      <c r="M2470" t="str">
        <f>VLOOKUP(Googleadssales[[#This Row],[Ad_ID]],'[1]pre processed data'!A:T,20,0)</f>
        <v>data analytics training</v>
      </c>
    </row>
    <row r="2471" spans="1:13" x14ac:dyDescent="0.3">
      <c r="A2471" t="s">
        <v>2484</v>
      </c>
      <c r="B2471" t="s">
        <v>18</v>
      </c>
      <c r="C2471" s="4">
        <f>VLOOKUP(Googleadssales[[#This Row],[Ad_ID]],'[1]pre processed data'!A:C,3,0)</f>
        <v>143</v>
      </c>
      <c r="D2471" s="4">
        <f>VLOOKUP(Googleadssales[[#This Row],[Ad_ID]],'[1]pre processed data'!A:E,5,0)</f>
        <v>5545</v>
      </c>
      <c r="E2471" s="5" t="str">
        <f>VLOOKUP(Googleadssales[[#This Row],[Ad_ID]],[1]!Table3[[Ad_ID]:[Cost-imputed]],7,0)</f>
        <v>$246.64</v>
      </c>
      <c r="F2471" s="4">
        <f>VLOOKUP(Googleadssales[[#This Row],[Ad_ID]],'[1]pre processed data'!A:I,9,0)</f>
        <v>26</v>
      </c>
      <c r="G2471" s="4">
        <f>VLOOKUP(Googleadssales[[#This Row],[Ad_ID]],'[1]pre processed data'!A:K,11,0)</f>
        <v>9</v>
      </c>
      <c r="H2471" s="2">
        <f>Googleadssales[[#This Row],[Conversions]]/Googleadssales[[#This Row],[Clicks]]</f>
        <v>6.2937062937062943E-2</v>
      </c>
      <c r="I2471" t="str">
        <f>VLOOKUP(Googleadssales[[#This Row],[Ad_ID]],'[1]pre processed data'!A:O,15,0)</f>
        <v>$1105</v>
      </c>
      <c r="J2471" s="3">
        <f>VLOOKUP(Googleadssales[[#This Row],[Ad_ID]],'[1]pre processed data'!A:Q,17,0)</f>
        <v>45604</v>
      </c>
      <c r="K2471" t="str">
        <f>VLOOKUP(Googleadssales[[#This Row],[Ad_ID]],'[1]pre processed data'!A:R,18,0)</f>
        <v>Hyderabad</v>
      </c>
      <c r="L2471" t="str">
        <f>VLOOKUP(Googleadssales[[#This Row],[Ad_ID]],'[1]pre processed data'!A:S,19,0)</f>
        <v>Mobile</v>
      </c>
      <c r="M2471" t="str">
        <f>VLOOKUP(Googleadssales[[#This Row],[Ad_ID]],'[1]pre processed data'!A:T,20,0)</f>
        <v>learn data analytics</v>
      </c>
    </row>
    <row r="2472" spans="1:13" x14ac:dyDescent="0.3">
      <c r="A2472" t="s">
        <v>2485</v>
      </c>
      <c r="B2472" t="s">
        <v>14</v>
      </c>
      <c r="C2472" s="4">
        <f>VLOOKUP(Googleadssales[[#This Row],[Ad_ID]],'[1]pre processed data'!A:C,3,0)</f>
        <v>111</v>
      </c>
      <c r="D2472" s="4">
        <f>VLOOKUP(Googleadssales[[#This Row],[Ad_ID]],'[1]pre processed data'!A:E,5,0)</f>
        <v>4069</v>
      </c>
      <c r="E2472" s="5" t="str">
        <f>VLOOKUP(Googleadssales[[#This Row],[Ad_ID]],[1]!Table3[[Ad_ID]:[Cost-imputed]],7,0)</f>
        <v>$203.57</v>
      </c>
      <c r="F2472" s="4">
        <f>VLOOKUP(Googleadssales[[#This Row],[Ad_ID]],'[1]pre processed data'!A:I,9,0)</f>
        <v>25</v>
      </c>
      <c r="G2472" s="4">
        <f>VLOOKUP(Googleadssales[[#This Row],[Ad_ID]],'[1]pre processed data'!A:K,11,0)</f>
        <v>4</v>
      </c>
      <c r="H2472" s="2">
        <f>Googleadssales[[#This Row],[Conversions]]/Googleadssales[[#This Row],[Clicks]]</f>
        <v>3.6036036036036036E-2</v>
      </c>
      <c r="I2472" t="str">
        <f>VLOOKUP(Googleadssales[[#This Row],[Ad_ID]],'[1]pre processed data'!A:O,15,0)</f>
        <v>$1724</v>
      </c>
      <c r="J2472" s="3">
        <f>VLOOKUP(Googleadssales[[#This Row],[Ad_ID]],'[1]pre processed data'!A:Q,17,0)</f>
        <v>45603</v>
      </c>
      <c r="K2472" t="str">
        <f>VLOOKUP(Googleadssales[[#This Row],[Ad_ID]],'[1]pre processed data'!A:R,18,0)</f>
        <v>Bangaluru</v>
      </c>
      <c r="L2472" t="str">
        <f>VLOOKUP(Googleadssales[[#This Row],[Ad_ID]],'[1]pre processed data'!A:S,19,0)</f>
        <v>Mobile</v>
      </c>
      <c r="M2472" t="str">
        <f>VLOOKUP(Googleadssales[[#This Row],[Ad_ID]],'[1]pre processed data'!A:T,20,0)</f>
        <v>data analytics training</v>
      </c>
    </row>
    <row r="2473" spans="1:13" x14ac:dyDescent="0.3">
      <c r="A2473" t="s">
        <v>2486</v>
      </c>
      <c r="B2473" t="s">
        <v>14</v>
      </c>
      <c r="C2473" s="4">
        <f>VLOOKUP(Googleadssales[[#This Row],[Ad_ID]],'[1]pre processed data'!A:C,3,0)</f>
        <v>116</v>
      </c>
      <c r="D2473" s="4">
        <f>VLOOKUP(Googleadssales[[#This Row],[Ad_ID]],'[1]pre processed data'!A:E,5,0)</f>
        <v>4689</v>
      </c>
      <c r="E2473" s="5" t="str">
        <f>VLOOKUP(Googleadssales[[#This Row],[Ad_ID]],[1]!Table3[[Ad_ID]:[Cost-imputed]],7,0)</f>
        <v>$198.9</v>
      </c>
      <c r="F2473" s="4">
        <f>VLOOKUP(Googleadssales[[#This Row],[Ad_ID]],'[1]pre processed data'!A:I,9,0)</f>
        <v>27</v>
      </c>
      <c r="G2473" s="4">
        <f>VLOOKUP(Googleadssales[[#This Row],[Ad_ID]],'[1]pre processed data'!A:K,11,0)</f>
        <v>3</v>
      </c>
      <c r="H2473" s="2">
        <f>Googleadssales[[#This Row],[Conversions]]/Googleadssales[[#This Row],[Clicks]]</f>
        <v>2.5862068965517241E-2</v>
      </c>
      <c r="I2473" t="str">
        <f>VLOOKUP(Googleadssales[[#This Row],[Ad_ID]],'[1]pre processed data'!A:O,15,0)</f>
        <v>$1553</v>
      </c>
      <c r="J2473" s="3">
        <f>VLOOKUP(Googleadssales[[#This Row],[Ad_ID]],'[1]pre processed data'!A:Q,17,0)</f>
        <v>45620</v>
      </c>
      <c r="K2473" t="str">
        <f>VLOOKUP(Googleadssales[[#This Row],[Ad_ID]],'[1]pre processed data'!A:R,18,0)</f>
        <v>Hyderabad</v>
      </c>
      <c r="L2473" t="str">
        <f>VLOOKUP(Googleadssales[[#This Row],[Ad_ID]],'[1]pre processed data'!A:S,19,0)</f>
        <v>Mobile</v>
      </c>
      <c r="M2473" t="str">
        <f>VLOOKUP(Googleadssales[[#This Row],[Ad_ID]],'[1]pre processed data'!A:T,20,0)</f>
        <v>data analytics training</v>
      </c>
    </row>
    <row r="2474" spans="1:13" x14ac:dyDescent="0.3">
      <c r="A2474" t="s">
        <v>2487</v>
      </c>
      <c r="B2474" t="s">
        <v>18</v>
      </c>
      <c r="C2474" s="4">
        <f>VLOOKUP(Googleadssales[[#This Row],[Ad_ID]],'[1]pre processed data'!A:C,3,0)</f>
        <v>148</v>
      </c>
      <c r="D2474" s="4">
        <f>VLOOKUP(Googleadssales[[#This Row],[Ad_ID]],'[1]pre processed data'!A:E,5,0)</f>
        <v>3907</v>
      </c>
      <c r="E2474" s="5" t="str">
        <f>VLOOKUP(Googleadssales[[#This Row],[Ad_ID]],[1]!Table3[[Ad_ID]:[Cost-imputed]],7,0)</f>
        <v>$199.43</v>
      </c>
      <c r="F2474" s="4">
        <f>VLOOKUP(Googleadssales[[#This Row],[Ad_ID]],'[1]pre processed data'!A:I,9,0)</f>
        <v>11</v>
      </c>
      <c r="G2474" s="4">
        <f>VLOOKUP(Googleadssales[[#This Row],[Ad_ID]],'[1]pre processed data'!A:K,11,0)</f>
        <v>7</v>
      </c>
      <c r="H2474" s="2">
        <f>Googleadssales[[#This Row],[Conversions]]/Googleadssales[[#This Row],[Clicks]]</f>
        <v>4.72972972972973E-2</v>
      </c>
      <c r="I2474" t="str">
        <f>VLOOKUP(Googleadssales[[#This Row],[Ad_ID]],'[1]pre processed data'!A:O,15,0)</f>
        <v>$1253</v>
      </c>
      <c r="J2474" s="3">
        <f>VLOOKUP(Googleadssales[[#This Row],[Ad_ID]],'[1]pre processed data'!A:Q,17,0)</f>
        <v>45616</v>
      </c>
      <c r="K2474" t="str">
        <f>VLOOKUP(Googleadssales[[#This Row],[Ad_ID]],'[1]pre processed data'!A:R,18,0)</f>
        <v>Chennai</v>
      </c>
      <c r="L2474" t="str">
        <f>VLOOKUP(Googleadssales[[#This Row],[Ad_ID]],'[1]pre processed data'!A:S,19,0)</f>
        <v>Desktop</v>
      </c>
      <c r="M2474" t="str">
        <f>VLOOKUP(Googleadssales[[#This Row],[Ad_ID]],'[1]pre processed data'!A:T,20,0)</f>
        <v>data analytics online</v>
      </c>
    </row>
    <row r="2475" spans="1:13" x14ac:dyDescent="0.3">
      <c r="A2475" t="s">
        <v>2488</v>
      </c>
      <c r="B2475" t="s">
        <v>14</v>
      </c>
      <c r="C2475" s="4">
        <f>VLOOKUP(Googleadssales[[#This Row],[Ad_ID]],'[1]pre processed data'!A:C,3,0)</f>
        <v>90</v>
      </c>
      <c r="D2475" s="4">
        <f>VLOOKUP(Googleadssales[[#This Row],[Ad_ID]],'[1]pre processed data'!A:E,5,0)</f>
        <v>5137</v>
      </c>
      <c r="E2475" s="5" t="str">
        <f>VLOOKUP(Googleadssales[[#This Row],[Ad_ID]],[1]!Table3[[Ad_ID]:[Cost-imputed]],7,0)</f>
        <v>$219.64</v>
      </c>
      <c r="F2475" s="4">
        <f>VLOOKUP(Googleadssales[[#This Row],[Ad_ID]],'[1]pre processed data'!A:I,9,0)</f>
        <v>21</v>
      </c>
      <c r="G2475" s="4">
        <f>VLOOKUP(Googleadssales[[#This Row],[Ad_ID]],'[1]pre processed data'!A:K,11,0)</f>
        <v>7</v>
      </c>
      <c r="H2475" s="2">
        <f>Googleadssales[[#This Row],[Conversions]]/Googleadssales[[#This Row],[Clicks]]</f>
        <v>7.7777777777777779E-2</v>
      </c>
      <c r="I2475" t="str">
        <f>VLOOKUP(Googleadssales[[#This Row],[Ad_ID]],'[1]pre processed data'!A:O,15,0)</f>
        <v>$1958</v>
      </c>
      <c r="J2475" s="3">
        <f>VLOOKUP(Googleadssales[[#This Row],[Ad_ID]],'[1]pre processed data'!A:Q,17,0)</f>
        <v>45626</v>
      </c>
      <c r="K2475" t="str">
        <f>VLOOKUP(Googleadssales[[#This Row],[Ad_ID]],'[1]pre processed data'!A:R,18,0)</f>
        <v>Bangaluru</v>
      </c>
      <c r="L2475" t="str">
        <f>VLOOKUP(Googleadssales[[#This Row],[Ad_ID]],'[1]pre processed data'!A:S,19,0)</f>
        <v>Mobile</v>
      </c>
      <c r="M2475" t="str">
        <f>VLOOKUP(Googleadssales[[#This Row],[Ad_ID]],'[1]pre processed data'!A:T,20,0)</f>
        <v>online data analytic</v>
      </c>
    </row>
    <row r="2476" spans="1:13" x14ac:dyDescent="0.3">
      <c r="A2476" t="s">
        <v>2489</v>
      </c>
      <c r="B2476" t="s">
        <v>18</v>
      </c>
      <c r="C2476" s="4">
        <f>VLOOKUP(Googleadssales[[#This Row],[Ad_ID]],'[1]pre processed data'!A:C,3,0)</f>
        <v>80</v>
      </c>
      <c r="D2476" s="4">
        <f>VLOOKUP(Googleadssales[[#This Row],[Ad_ID]],'[1]pre processed data'!A:E,5,0)</f>
        <v>3836</v>
      </c>
      <c r="E2476" s="5" t="str">
        <f>VLOOKUP(Googleadssales[[#This Row],[Ad_ID]],[1]!Table3[[Ad_ID]:[Cost-imputed]],7,0)</f>
        <v>$209.37</v>
      </c>
      <c r="F2476" s="4">
        <f>VLOOKUP(Googleadssales[[#This Row],[Ad_ID]],'[1]pre processed data'!A:I,9,0)</f>
        <v>20</v>
      </c>
      <c r="G2476" s="4">
        <f>VLOOKUP(Googleadssales[[#This Row],[Ad_ID]],'[1]pre processed data'!A:K,11,0)</f>
        <v>7</v>
      </c>
      <c r="H2476" s="2">
        <f>Googleadssales[[#This Row],[Conversions]]/Googleadssales[[#This Row],[Clicks]]</f>
        <v>8.7499999999999994E-2</v>
      </c>
      <c r="I2476" t="str">
        <f>VLOOKUP(Googleadssales[[#This Row],[Ad_ID]],'[1]pre processed data'!A:O,15,0)</f>
        <v>$1937</v>
      </c>
      <c r="J2476" s="3">
        <f>VLOOKUP(Googleadssales[[#This Row],[Ad_ID]],'[1]pre processed data'!A:Q,17,0)</f>
        <v>45624</v>
      </c>
      <c r="K2476" t="str">
        <f>VLOOKUP(Googleadssales[[#This Row],[Ad_ID]],'[1]pre processed data'!A:R,18,0)</f>
        <v>Hyderabad</v>
      </c>
      <c r="L2476" t="str">
        <f>VLOOKUP(Googleadssales[[#This Row],[Ad_ID]],'[1]pre processed data'!A:S,19,0)</f>
        <v>Tablet</v>
      </c>
      <c r="M2476" t="str">
        <f>VLOOKUP(Googleadssales[[#This Row],[Ad_ID]],'[1]pre processed data'!A:T,20,0)</f>
        <v>online data analytic</v>
      </c>
    </row>
    <row r="2477" spans="1:13" x14ac:dyDescent="0.3">
      <c r="A2477" t="s">
        <v>2490</v>
      </c>
      <c r="B2477" t="s">
        <v>14</v>
      </c>
      <c r="C2477" s="4">
        <f>VLOOKUP(Googleadssales[[#This Row],[Ad_ID]],'[1]pre processed data'!A:C,3,0)</f>
        <v>188</v>
      </c>
      <c r="D2477" s="4">
        <f>VLOOKUP(Googleadssales[[#This Row],[Ad_ID]],'[1]pre processed data'!A:E,5,0)</f>
        <v>4727</v>
      </c>
      <c r="E2477" s="5" t="str">
        <f>VLOOKUP(Googleadssales[[#This Row],[Ad_ID]],[1]!Table3[[Ad_ID]:[Cost-imputed]],7,0)</f>
        <v>$245.59</v>
      </c>
      <c r="F2477" s="4">
        <f>VLOOKUP(Googleadssales[[#This Row],[Ad_ID]],'[1]pre processed data'!A:I,9,0)</f>
        <v>12</v>
      </c>
      <c r="G2477" s="4">
        <f>VLOOKUP(Googleadssales[[#This Row],[Ad_ID]],'[1]pre processed data'!A:K,11,0)</f>
        <v>6</v>
      </c>
      <c r="H2477" s="2">
        <f>Googleadssales[[#This Row],[Conversions]]/Googleadssales[[#This Row],[Clicks]]</f>
        <v>3.1914893617021274E-2</v>
      </c>
      <c r="I2477" t="str">
        <f>VLOOKUP(Googleadssales[[#This Row],[Ad_ID]],'[1]pre processed data'!A:O,15,0)</f>
        <v>$1321</v>
      </c>
      <c r="J2477" s="3">
        <f>VLOOKUP(Googleadssales[[#This Row],[Ad_ID]],'[1]pre processed data'!A:Q,17,0)</f>
        <v>45620</v>
      </c>
      <c r="K2477" t="str">
        <f>VLOOKUP(Googleadssales[[#This Row],[Ad_ID]],'[1]pre processed data'!A:R,18,0)</f>
        <v>Chennai</v>
      </c>
      <c r="L2477" t="str">
        <f>VLOOKUP(Googleadssales[[#This Row],[Ad_ID]],'[1]pre processed data'!A:S,19,0)</f>
        <v>Mobile</v>
      </c>
      <c r="M2477" t="str">
        <f>VLOOKUP(Googleadssales[[#This Row],[Ad_ID]],'[1]pre processed data'!A:T,20,0)</f>
        <v>learn data analytics</v>
      </c>
    </row>
    <row r="2478" spans="1:13" x14ac:dyDescent="0.3">
      <c r="A2478" t="s">
        <v>2491</v>
      </c>
      <c r="B2478" t="s">
        <v>14</v>
      </c>
      <c r="C2478" s="4">
        <f>VLOOKUP(Googleadssales[[#This Row],[Ad_ID]],'[1]pre processed data'!A:C,3,0)</f>
        <v>114</v>
      </c>
      <c r="D2478" s="4">
        <f>VLOOKUP(Googleadssales[[#This Row],[Ad_ID]],'[1]pre processed data'!A:E,5,0)</f>
        <v>3880</v>
      </c>
      <c r="E2478" s="5" t="str">
        <f>VLOOKUP(Googleadssales[[#This Row],[Ad_ID]],[1]!Table3[[Ad_ID]:[Cost-imputed]],7,0)</f>
        <v>$200.00</v>
      </c>
      <c r="F2478" s="4">
        <f>VLOOKUP(Googleadssales[[#This Row],[Ad_ID]],'[1]pre processed data'!A:I,9,0)</f>
        <v>18</v>
      </c>
      <c r="G2478" s="4">
        <f>VLOOKUP(Googleadssales[[#This Row],[Ad_ID]],'[1]pre processed data'!A:K,11,0)</f>
        <v>3</v>
      </c>
      <c r="H2478" s="2">
        <f>Googleadssales[[#This Row],[Conversions]]/Googleadssales[[#This Row],[Clicks]]</f>
        <v>2.6315789473684209E-2</v>
      </c>
      <c r="I2478" t="str">
        <f>VLOOKUP(Googleadssales[[#This Row],[Ad_ID]],'[1]pre processed data'!A:O,15,0)</f>
        <v>$1217</v>
      </c>
      <c r="J2478" s="3">
        <f>VLOOKUP(Googleadssales[[#This Row],[Ad_ID]],'[1]pre processed data'!A:Q,17,0)</f>
        <v>45614</v>
      </c>
      <c r="K2478" t="str">
        <f>VLOOKUP(Googleadssales[[#This Row],[Ad_ID]],'[1]pre processed data'!A:R,18,0)</f>
        <v>Chennai</v>
      </c>
      <c r="L2478" t="str">
        <f>VLOOKUP(Googleadssales[[#This Row],[Ad_ID]],'[1]pre processed data'!A:S,19,0)</f>
        <v>Mobile</v>
      </c>
      <c r="M2478" t="str">
        <f>VLOOKUP(Googleadssales[[#This Row],[Ad_ID]],'[1]pre processed data'!A:T,20,0)</f>
        <v>data analytics online</v>
      </c>
    </row>
    <row r="2479" spans="1:13" x14ac:dyDescent="0.3">
      <c r="A2479" t="s">
        <v>2492</v>
      </c>
      <c r="B2479" t="s">
        <v>14</v>
      </c>
      <c r="C2479" s="4">
        <f>VLOOKUP(Googleadssales[[#This Row],[Ad_ID]],'[1]pre processed data'!A:C,3,0)</f>
        <v>112</v>
      </c>
      <c r="D2479" s="4">
        <f>VLOOKUP(Googleadssales[[#This Row],[Ad_ID]],'[1]pre processed data'!A:E,5,0)</f>
        <v>3639</v>
      </c>
      <c r="E2479" s="5" t="str">
        <f>VLOOKUP(Googleadssales[[#This Row],[Ad_ID]],[1]!Table3[[Ad_ID]:[Cost-imputed]],7,0)</f>
        <v>$185.6</v>
      </c>
      <c r="F2479" s="4">
        <f>VLOOKUP(Googleadssales[[#This Row],[Ad_ID]],'[1]pre processed data'!A:I,9,0)</f>
        <v>27</v>
      </c>
      <c r="G2479" s="4">
        <f>VLOOKUP(Googleadssales[[#This Row],[Ad_ID]],'[1]pre processed data'!A:K,11,0)</f>
        <v>7</v>
      </c>
      <c r="H2479" s="2">
        <f>Googleadssales[[#This Row],[Conversions]]/Googleadssales[[#This Row],[Clicks]]</f>
        <v>6.25E-2</v>
      </c>
      <c r="I2479" t="str">
        <f>VLOOKUP(Googleadssales[[#This Row],[Ad_ID]],'[1]pre processed data'!A:O,15,0)</f>
        <v>$1517</v>
      </c>
      <c r="J2479" s="3">
        <f>VLOOKUP(Googleadssales[[#This Row],[Ad_ID]],'[1]pre processed data'!A:Q,17,0)</f>
        <v>45613</v>
      </c>
      <c r="K2479" t="str">
        <f>VLOOKUP(Googleadssales[[#This Row],[Ad_ID]],'[1]pre processed data'!A:R,18,0)</f>
        <v>Chennai</v>
      </c>
      <c r="L2479" t="str">
        <f>VLOOKUP(Googleadssales[[#This Row],[Ad_ID]],'[1]pre processed data'!A:S,19,0)</f>
        <v>Tablet</v>
      </c>
      <c r="M2479" t="str">
        <f>VLOOKUP(Googleadssales[[#This Row],[Ad_ID]],'[1]pre processed data'!A:T,20,0)</f>
        <v>analytics for data</v>
      </c>
    </row>
    <row r="2480" spans="1:13" x14ac:dyDescent="0.3">
      <c r="A2480" t="s">
        <v>2493</v>
      </c>
      <c r="B2480" t="s">
        <v>18</v>
      </c>
      <c r="C2480" s="4">
        <f>VLOOKUP(Googleadssales[[#This Row],[Ad_ID]],'[1]pre processed data'!A:C,3,0)</f>
        <v>96</v>
      </c>
      <c r="D2480" s="4">
        <f>VLOOKUP(Googleadssales[[#This Row],[Ad_ID]],'[1]pre processed data'!A:E,5,0)</f>
        <v>3858</v>
      </c>
      <c r="E2480" s="5" t="str">
        <f>VLOOKUP(Googleadssales[[#This Row],[Ad_ID]],[1]!Table3[[Ad_ID]:[Cost-imputed]],7,0)</f>
        <v>$199.81</v>
      </c>
      <c r="F2480" s="4">
        <f>VLOOKUP(Googleadssales[[#This Row],[Ad_ID]],'[1]pre processed data'!A:I,9,0)</f>
        <v>15</v>
      </c>
      <c r="G2480" s="4">
        <f>VLOOKUP(Googleadssales[[#This Row],[Ad_ID]],'[1]pre processed data'!A:K,11,0)</f>
        <v>7</v>
      </c>
      <c r="H2480" s="2">
        <f>Googleadssales[[#This Row],[Conversions]]/Googleadssales[[#This Row],[Clicks]]</f>
        <v>7.2916666666666671E-2</v>
      </c>
      <c r="I2480" t="str">
        <f>VLOOKUP(Googleadssales[[#This Row],[Ad_ID]],'[1]pre processed data'!A:O,15,0)</f>
        <v>$1672</v>
      </c>
      <c r="J2480" s="3">
        <f>VLOOKUP(Googleadssales[[#This Row],[Ad_ID]],'[1]pre processed data'!A:Q,17,0)</f>
        <v>45611</v>
      </c>
      <c r="K2480" t="str">
        <f>VLOOKUP(Googleadssales[[#This Row],[Ad_ID]],'[1]pre processed data'!A:R,18,0)</f>
        <v>Chennai</v>
      </c>
      <c r="L2480" t="str">
        <f>VLOOKUP(Googleadssales[[#This Row],[Ad_ID]],'[1]pre processed data'!A:S,19,0)</f>
        <v>Mobile</v>
      </c>
      <c r="M2480" t="str">
        <f>VLOOKUP(Googleadssales[[#This Row],[Ad_ID]],'[1]pre processed data'!A:T,20,0)</f>
        <v>data analytics online</v>
      </c>
    </row>
    <row r="2481" spans="1:13" x14ac:dyDescent="0.3">
      <c r="A2481" t="s">
        <v>2494</v>
      </c>
      <c r="B2481" t="s">
        <v>14</v>
      </c>
      <c r="C2481" s="4">
        <f>VLOOKUP(Googleadssales[[#This Row],[Ad_ID]],'[1]pre processed data'!A:C,3,0)</f>
        <v>138.95699356913184</v>
      </c>
      <c r="D2481" s="4">
        <f>VLOOKUP(Googleadssales[[#This Row],[Ad_ID]],'[1]pre processed data'!A:E,5,0)</f>
        <v>3699</v>
      </c>
      <c r="E2481" s="5" t="str">
        <f>VLOOKUP(Googleadssales[[#This Row],[Ad_ID]],[1]!Table3[[Ad_ID]:[Cost-imputed]],7,0)</f>
        <v>$186.22</v>
      </c>
      <c r="F2481" s="4">
        <f>VLOOKUP(Googleadssales[[#This Row],[Ad_ID]],'[1]pre processed data'!A:I,9,0)</f>
        <v>23</v>
      </c>
      <c r="G2481" s="4">
        <f>VLOOKUP(Googleadssales[[#This Row],[Ad_ID]],'[1]pre processed data'!A:K,11,0)</f>
        <v>6.0909090909090908</v>
      </c>
      <c r="H2481" s="2">
        <f>Googleadssales[[#This Row],[Conversions]]/Googleadssales[[#This Row],[Clicks]]</f>
        <v>4.3833051755533495E-2</v>
      </c>
      <c r="I2481" t="str">
        <f>VLOOKUP(Googleadssales[[#This Row],[Ad_ID]],'[1]pre processed data'!A:O,15,0)</f>
        <v>$1218</v>
      </c>
      <c r="J2481" s="3">
        <f>VLOOKUP(Googleadssales[[#This Row],[Ad_ID]],'[1]pre processed data'!A:Q,17,0)</f>
        <v>45619</v>
      </c>
      <c r="K2481" t="str">
        <f>VLOOKUP(Googleadssales[[#This Row],[Ad_ID]],'[1]pre processed data'!A:R,18,0)</f>
        <v>Bangaluru</v>
      </c>
      <c r="L2481" t="str">
        <f>VLOOKUP(Googleadssales[[#This Row],[Ad_ID]],'[1]pre processed data'!A:S,19,0)</f>
        <v>Tablet</v>
      </c>
      <c r="M2481" t="str">
        <f>VLOOKUP(Googleadssales[[#This Row],[Ad_ID]],'[1]pre processed data'!A:T,20,0)</f>
        <v>analytics for data</v>
      </c>
    </row>
    <row r="2482" spans="1:13" x14ac:dyDescent="0.3">
      <c r="A2482" t="s">
        <v>2495</v>
      </c>
      <c r="B2482" t="s">
        <v>14</v>
      </c>
      <c r="C2482" s="4">
        <f>VLOOKUP(Googleadssales[[#This Row],[Ad_ID]],'[1]pre processed data'!A:C,3,0)</f>
        <v>172</v>
      </c>
      <c r="D2482" s="4">
        <f>VLOOKUP(Googleadssales[[#This Row],[Ad_ID]],'[1]pre processed data'!A:E,5,0)</f>
        <v>5955</v>
      </c>
      <c r="E2482" s="5" t="str">
        <f>VLOOKUP(Googleadssales[[#This Row],[Ad_ID]],[1]!Table3[[Ad_ID]:[Cost-imputed]],7,0)</f>
        <v>$216.07</v>
      </c>
      <c r="F2482" s="4">
        <f>VLOOKUP(Googleadssales[[#This Row],[Ad_ID]],'[1]pre processed data'!A:I,9,0)</f>
        <v>15</v>
      </c>
      <c r="G2482" s="4">
        <f>VLOOKUP(Googleadssales[[#This Row],[Ad_ID]],'[1]pre processed data'!A:K,11,0)</f>
        <v>7</v>
      </c>
      <c r="H2482" s="2">
        <f>Googleadssales[[#This Row],[Conversions]]/Googleadssales[[#This Row],[Clicks]]</f>
        <v>4.0697674418604654E-2</v>
      </c>
      <c r="I2482" t="str">
        <f>VLOOKUP(Googleadssales[[#This Row],[Ad_ID]],'[1]pre processed data'!A:O,15,0)</f>
        <v>$1323</v>
      </c>
      <c r="J2482" s="3">
        <f>VLOOKUP(Googleadssales[[#This Row],[Ad_ID]],'[1]pre processed data'!A:Q,17,0)</f>
        <v>45598</v>
      </c>
      <c r="K2482" t="str">
        <f>VLOOKUP(Googleadssales[[#This Row],[Ad_ID]],'[1]pre processed data'!A:R,18,0)</f>
        <v>Hyderabad</v>
      </c>
      <c r="L2482" t="str">
        <f>VLOOKUP(Googleadssales[[#This Row],[Ad_ID]],'[1]pre processed data'!A:S,19,0)</f>
        <v>Mobile</v>
      </c>
      <c r="M2482" t="str">
        <f>VLOOKUP(Googleadssales[[#This Row],[Ad_ID]],'[1]pre processed data'!A:T,20,0)</f>
        <v>learn data analytics</v>
      </c>
    </row>
    <row r="2483" spans="1:13" x14ac:dyDescent="0.3">
      <c r="A2483" t="s">
        <v>2496</v>
      </c>
      <c r="B2483" t="s">
        <v>14</v>
      </c>
      <c r="C2483" s="4">
        <f>VLOOKUP(Googleadssales[[#This Row],[Ad_ID]],'[1]pre processed data'!A:C,3,0)</f>
        <v>134</v>
      </c>
      <c r="D2483" s="4">
        <f>VLOOKUP(Googleadssales[[#This Row],[Ad_ID]],'[1]pre processed data'!A:E,5,0)</f>
        <v>5520</v>
      </c>
      <c r="E2483" s="5" t="str">
        <f>VLOOKUP(Googleadssales[[#This Row],[Ad_ID]],[1]!Table3[[Ad_ID]:[Cost-imputed]],7,0)</f>
        <v>$189.43</v>
      </c>
      <c r="F2483" s="4">
        <f>VLOOKUP(Googleadssales[[#This Row],[Ad_ID]],'[1]pre processed data'!A:I,9,0)</f>
        <v>22</v>
      </c>
      <c r="G2483" s="4">
        <f>VLOOKUP(Googleadssales[[#This Row],[Ad_ID]],'[1]pre processed data'!A:K,11,0)</f>
        <v>10</v>
      </c>
      <c r="H2483" s="2">
        <f>Googleadssales[[#This Row],[Conversions]]/Googleadssales[[#This Row],[Clicks]]</f>
        <v>7.4626865671641784E-2</v>
      </c>
      <c r="I2483" t="str">
        <f>VLOOKUP(Googleadssales[[#This Row],[Ad_ID]],'[1]pre processed data'!A:O,15,0)</f>
        <v>$1319</v>
      </c>
      <c r="J2483" s="3">
        <f>VLOOKUP(Googleadssales[[#This Row],[Ad_ID]],'[1]pre processed data'!A:Q,17,0)</f>
        <v>45626</v>
      </c>
      <c r="K2483" t="str">
        <f>VLOOKUP(Googleadssales[[#This Row],[Ad_ID]],'[1]pre processed data'!A:R,18,0)</f>
        <v>Chennai</v>
      </c>
      <c r="L2483" t="str">
        <f>VLOOKUP(Googleadssales[[#This Row],[Ad_ID]],'[1]pre processed data'!A:S,19,0)</f>
        <v>Desktop</v>
      </c>
      <c r="M2483" t="str">
        <f>VLOOKUP(Googleadssales[[#This Row],[Ad_ID]],'[1]pre processed data'!A:T,20,0)</f>
        <v>data analytics online</v>
      </c>
    </row>
    <row r="2484" spans="1:13" x14ac:dyDescent="0.3">
      <c r="A2484" t="s">
        <v>2497</v>
      </c>
      <c r="B2484" t="s">
        <v>14</v>
      </c>
      <c r="C2484" s="4">
        <f>VLOOKUP(Googleadssales[[#This Row],[Ad_ID]],'[1]pre processed data'!A:C,3,0)</f>
        <v>148</v>
      </c>
      <c r="D2484" s="4">
        <f>VLOOKUP(Googleadssales[[#This Row],[Ad_ID]],'[1]pre processed data'!A:E,5,0)</f>
        <v>3884</v>
      </c>
      <c r="E2484" s="5" t="str">
        <f>VLOOKUP(Googleadssales[[#This Row],[Ad_ID]],[1]!Table3[[Ad_ID]:[Cost-imputed]],7,0)</f>
        <v>$233.46</v>
      </c>
      <c r="F2484" s="4">
        <f>VLOOKUP(Googleadssales[[#This Row],[Ad_ID]],'[1]pre processed data'!A:I,9,0)</f>
        <v>14</v>
      </c>
      <c r="G2484" s="4">
        <f>VLOOKUP(Googleadssales[[#This Row],[Ad_ID]],'[1]pre processed data'!A:K,11,0)</f>
        <v>5</v>
      </c>
      <c r="H2484" s="2">
        <f>Googleadssales[[#This Row],[Conversions]]/Googleadssales[[#This Row],[Clicks]]</f>
        <v>3.3783783783783786E-2</v>
      </c>
      <c r="I2484" t="str">
        <f>VLOOKUP(Googleadssales[[#This Row],[Ad_ID]],'[1]pre processed data'!A:O,15,0)</f>
        <v>$1138</v>
      </c>
      <c r="J2484" s="3">
        <f>VLOOKUP(Googleadssales[[#This Row],[Ad_ID]],'[1]pre processed data'!A:Q,17,0)</f>
        <v>45607</v>
      </c>
      <c r="K2484" t="str">
        <f>VLOOKUP(Googleadssales[[#This Row],[Ad_ID]],'[1]pre processed data'!A:R,18,0)</f>
        <v>Hyderabad</v>
      </c>
      <c r="L2484" t="str">
        <f>VLOOKUP(Googleadssales[[#This Row],[Ad_ID]],'[1]pre processed data'!A:S,19,0)</f>
        <v>Mobile</v>
      </c>
      <c r="M2484" t="str">
        <f>VLOOKUP(Googleadssales[[#This Row],[Ad_ID]],'[1]pre processed data'!A:T,20,0)</f>
        <v>data analytics online</v>
      </c>
    </row>
    <row r="2485" spans="1:13" x14ac:dyDescent="0.3">
      <c r="A2485" t="s">
        <v>2498</v>
      </c>
      <c r="B2485" t="s">
        <v>14</v>
      </c>
      <c r="C2485" s="4">
        <f>VLOOKUP(Googleadssales[[#This Row],[Ad_ID]],'[1]pre processed data'!A:C,3,0)</f>
        <v>191</v>
      </c>
      <c r="D2485" s="4">
        <f>VLOOKUP(Googleadssales[[#This Row],[Ad_ID]],'[1]pre processed data'!A:E,5,0)</f>
        <v>5361</v>
      </c>
      <c r="E2485" s="5" t="str">
        <f>VLOOKUP(Googleadssales[[#This Row],[Ad_ID]],[1]!Table3[[Ad_ID]:[Cost-imputed]],7,0)</f>
        <v>$220.04</v>
      </c>
      <c r="F2485" s="4">
        <f>VLOOKUP(Googleadssales[[#This Row],[Ad_ID]],'[1]pre processed data'!A:I,9,0)</f>
        <v>17</v>
      </c>
      <c r="G2485" s="4">
        <f>VLOOKUP(Googleadssales[[#This Row],[Ad_ID]],'[1]pre processed data'!A:K,11,0)</f>
        <v>10</v>
      </c>
      <c r="H2485" s="2">
        <f>Googleadssales[[#This Row],[Conversions]]/Googleadssales[[#This Row],[Clicks]]</f>
        <v>5.2356020942408377E-2</v>
      </c>
      <c r="I2485" t="str">
        <f>VLOOKUP(Googleadssales[[#This Row],[Ad_ID]],'[1]pre processed data'!A:O,15,0)</f>
        <v>$1034</v>
      </c>
      <c r="J2485" s="3">
        <f>VLOOKUP(Googleadssales[[#This Row],[Ad_ID]],'[1]pre processed data'!A:Q,17,0)</f>
        <v>45605</v>
      </c>
      <c r="K2485" t="str">
        <f>VLOOKUP(Googleadssales[[#This Row],[Ad_ID]],'[1]pre processed data'!A:R,18,0)</f>
        <v>Chennai</v>
      </c>
      <c r="L2485" t="str">
        <f>VLOOKUP(Googleadssales[[#This Row],[Ad_ID]],'[1]pre processed data'!A:S,19,0)</f>
        <v>Mobile</v>
      </c>
      <c r="M2485" t="str">
        <f>VLOOKUP(Googleadssales[[#This Row],[Ad_ID]],'[1]pre processed data'!A:T,20,0)</f>
        <v>analytics for data</v>
      </c>
    </row>
    <row r="2486" spans="1:13" x14ac:dyDescent="0.3">
      <c r="A2486" t="s">
        <v>2499</v>
      </c>
      <c r="B2486" t="s">
        <v>14</v>
      </c>
      <c r="C2486" s="4">
        <f>VLOOKUP(Googleadssales[[#This Row],[Ad_ID]],'[1]pre processed data'!A:C,3,0)</f>
        <v>168</v>
      </c>
      <c r="D2486" s="4">
        <f>VLOOKUP(Googleadssales[[#This Row],[Ad_ID]],'[1]pre processed data'!A:E,5,0)</f>
        <v>5384</v>
      </c>
      <c r="E2486" s="5" t="str">
        <f>VLOOKUP(Googleadssales[[#This Row],[Ad_ID]],[1]!Table3[[Ad_ID]:[Cost-imputed]],7,0)</f>
        <v>$235.64</v>
      </c>
      <c r="F2486" s="4">
        <f>VLOOKUP(Googleadssales[[#This Row],[Ad_ID]],'[1]pre processed data'!A:I,9,0)</f>
        <v>28</v>
      </c>
      <c r="G2486" s="4">
        <f>VLOOKUP(Googleadssales[[#This Row],[Ad_ID]],'[1]pre processed data'!A:K,11,0)</f>
        <v>3</v>
      </c>
      <c r="H2486" s="2">
        <f>Googleadssales[[#This Row],[Conversions]]/Googleadssales[[#This Row],[Clicks]]</f>
        <v>1.7857142857142856E-2</v>
      </c>
      <c r="I2486" t="str">
        <f>VLOOKUP(Googleadssales[[#This Row],[Ad_ID]],'[1]pre processed data'!A:O,15,0)</f>
        <v>$1500</v>
      </c>
      <c r="J2486" s="3">
        <f>VLOOKUP(Googleadssales[[#This Row],[Ad_ID]],'[1]pre processed data'!A:Q,17,0)</f>
        <v>45612</v>
      </c>
      <c r="K2486" t="str">
        <f>VLOOKUP(Googleadssales[[#This Row],[Ad_ID]],'[1]pre processed data'!A:R,18,0)</f>
        <v>Hyderabad</v>
      </c>
      <c r="L2486" t="str">
        <f>VLOOKUP(Googleadssales[[#This Row],[Ad_ID]],'[1]pre processed data'!A:S,19,0)</f>
        <v>Mobile</v>
      </c>
      <c r="M2486" t="str">
        <f>VLOOKUP(Googleadssales[[#This Row],[Ad_ID]],'[1]pre processed data'!A:T,20,0)</f>
        <v>data analytics course</v>
      </c>
    </row>
    <row r="2487" spans="1:13" x14ac:dyDescent="0.3">
      <c r="A2487" t="s">
        <v>2500</v>
      </c>
      <c r="B2487" t="s">
        <v>14</v>
      </c>
      <c r="C2487" s="4">
        <f>VLOOKUP(Googleadssales[[#This Row],[Ad_ID]],'[1]pre processed data'!A:C,3,0)</f>
        <v>84</v>
      </c>
      <c r="D2487" s="4">
        <f>VLOOKUP(Googleadssales[[#This Row],[Ad_ID]],'[1]pre processed data'!A:E,5,0)</f>
        <v>4388</v>
      </c>
      <c r="E2487" s="5" t="str">
        <f>VLOOKUP(Googleadssales[[#This Row],[Ad_ID]],[1]!Table3[[Ad_ID]:[Cost-imputed]],7,0)</f>
        <v>$238.98</v>
      </c>
      <c r="F2487" s="4">
        <f>VLOOKUP(Googleadssales[[#This Row],[Ad_ID]],'[1]pre processed data'!A:I,9,0)</f>
        <v>29</v>
      </c>
      <c r="G2487" s="4">
        <f>VLOOKUP(Googleadssales[[#This Row],[Ad_ID]],'[1]pre processed data'!A:K,11,0)</f>
        <v>4</v>
      </c>
      <c r="H2487" s="2">
        <f>Googleadssales[[#This Row],[Conversions]]/Googleadssales[[#This Row],[Clicks]]</f>
        <v>4.7619047619047616E-2</v>
      </c>
      <c r="I2487" t="str">
        <f>VLOOKUP(Googleadssales[[#This Row],[Ad_ID]],'[1]pre processed data'!A:O,15,0)</f>
        <v>$1271</v>
      </c>
      <c r="J2487" s="3">
        <f>VLOOKUP(Googleadssales[[#This Row],[Ad_ID]],'[1]pre processed data'!A:Q,17,0)</f>
        <v>45610</v>
      </c>
      <c r="K2487" t="str">
        <f>VLOOKUP(Googleadssales[[#This Row],[Ad_ID]],'[1]pre processed data'!A:R,18,0)</f>
        <v>Bangaluru</v>
      </c>
      <c r="L2487" t="str">
        <f>VLOOKUP(Googleadssales[[#This Row],[Ad_ID]],'[1]pre processed data'!A:S,19,0)</f>
        <v>Mobile</v>
      </c>
      <c r="M2487" t="str">
        <f>VLOOKUP(Googleadssales[[#This Row],[Ad_ID]],'[1]pre processed data'!A:T,20,0)</f>
        <v>analytics for data</v>
      </c>
    </row>
    <row r="2488" spans="1:13" x14ac:dyDescent="0.3">
      <c r="A2488" t="s">
        <v>2501</v>
      </c>
      <c r="B2488" t="s">
        <v>14</v>
      </c>
      <c r="C2488" s="4">
        <f>VLOOKUP(Googleadssales[[#This Row],[Ad_ID]],'[1]pre processed data'!A:C,3,0)</f>
        <v>80</v>
      </c>
      <c r="D2488" s="4">
        <f>VLOOKUP(Googleadssales[[#This Row],[Ad_ID]],'[1]pre processed data'!A:E,5,0)</f>
        <v>5699</v>
      </c>
      <c r="E2488" s="5" t="str">
        <f>VLOOKUP(Googleadssales[[#This Row],[Ad_ID]],[1]!Table3[[Ad_ID]:[Cost-imputed]],7,0)</f>
        <v>$213.94</v>
      </c>
      <c r="F2488" s="4">
        <f>VLOOKUP(Googleadssales[[#This Row],[Ad_ID]],'[1]pre processed data'!A:I,9,0)</f>
        <v>17</v>
      </c>
      <c r="G2488" s="4">
        <f>VLOOKUP(Googleadssales[[#This Row],[Ad_ID]],'[1]pre processed data'!A:K,11,0)</f>
        <v>6</v>
      </c>
      <c r="H2488" s="2">
        <f>Googleadssales[[#This Row],[Conversions]]/Googleadssales[[#This Row],[Clicks]]</f>
        <v>7.4999999999999997E-2</v>
      </c>
      <c r="I2488" t="str">
        <f>VLOOKUP(Googleadssales[[#This Row],[Ad_ID]],'[1]pre processed data'!A:O,15,0)</f>
        <v>$1511</v>
      </c>
      <c r="J2488" s="3">
        <f>VLOOKUP(Googleadssales[[#This Row],[Ad_ID]],'[1]pre processed data'!A:Q,17,0)</f>
        <v>45621</v>
      </c>
      <c r="K2488" t="str">
        <f>VLOOKUP(Googleadssales[[#This Row],[Ad_ID]],'[1]pre processed data'!A:R,18,0)</f>
        <v>Hyderabad</v>
      </c>
      <c r="L2488" t="str">
        <f>VLOOKUP(Googleadssales[[#This Row],[Ad_ID]],'[1]pre processed data'!A:S,19,0)</f>
        <v>Mobile</v>
      </c>
      <c r="M2488" t="str">
        <f>VLOOKUP(Googleadssales[[#This Row],[Ad_ID]],'[1]pre processed data'!A:T,20,0)</f>
        <v>learn data analytics</v>
      </c>
    </row>
    <row r="2489" spans="1:13" x14ac:dyDescent="0.3">
      <c r="A2489" t="s">
        <v>2502</v>
      </c>
      <c r="B2489" t="s">
        <v>18</v>
      </c>
      <c r="C2489" s="4">
        <f>VLOOKUP(Googleadssales[[#This Row],[Ad_ID]],'[1]pre processed data'!A:C,3,0)</f>
        <v>136</v>
      </c>
      <c r="D2489" s="4">
        <f>VLOOKUP(Googleadssales[[#This Row],[Ad_ID]],'[1]pre processed data'!A:E,5,0)</f>
        <v>3705</v>
      </c>
      <c r="E2489" s="5" t="str">
        <f>VLOOKUP(Googleadssales[[#This Row],[Ad_ID]],[1]!Table3[[Ad_ID]:[Cost-imputed]],7,0)</f>
        <v>$212.05</v>
      </c>
      <c r="F2489" s="4">
        <f>VLOOKUP(Googleadssales[[#This Row],[Ad_ID]],'[1]pre processed data'!A:I,9,0)</f>
        <v>16</v>
      </c>
      <c r="G2489" s="4">
        <f>VLOOKUP(Googleadssales[[#This Row],[Ad_ID]],'[1]pre processed data'!A:K,11,0)</f>
        <v>9</v>
      </c>
      <c r="H2489" s="2">
        <f>Googleadssales[[#This Row],[Conversions]]/Googleadssales[[#This Row],[Clicks]]</f>
        <v>6.6176470588235295E-2</v>
      </c>
      <c r="I2489" t="str">
        <f>VLOOKUP(Googleadssales[[#This Row],[Ad_ID]],'[1]pre processed data'!A:O,15,0)</f>
        <v>$1471</v>
      </c>
      <c r="J2489" s="3">
        <f>VLOOKUP(Googleadssales[[#This Row],[Ad_ID]],'[1]pre processed data'!A:Q,17,0)</f>
        <v>45610</v>
      </c>
      <c r="K2489" t="str">
        <f>VLOOKUP(Googleadssales[[#This Row],[Ad_ID]],'[1]pre processed data'!A:R,18,0)</f>
        <v>Bangaluru</v>
      </c>
      <c r="L2489" t="str">
        <f>VLOOKUP(Googleadssales[[#This Row],[Ad_ID]],'[1]pre processed data'!A:S,19,0)</f>
        <v>Desktop</v>
      </c>
      <c r="M2489" t="str">
        <f>VLOOKUP(Googleadssales[[#This Row],[Ad_ID]],'[1]pre processed data'!A:T,20,0)</f>
        <v>analytics for data</v>
      </c>
    </row>
    <row r="2490" spans="1:13" x14ac:dyDescent="0.3">
      <c r="A2490" t="s">
        <v>2503</v>
      </c>
      <c r="B2490" t="s">
        <v>18</v>
      </c>
      <c r="C2490" s="4">
        <f>VLOOKUP(Googleadssales[[#This Row],[Ad_ID]],'[1]pre processed data'!A:C,3,0)</f>
        <v>138.95699356913184</v>
      </c>
      <c r="D2490" s="4">
        <f>VLOOKUP(Googleadssales[[#This Row],[Ad_ID]],'[1]pre processed data'!A:E,5,0)</f>
        <v>3256</v>
      </c>
      <c r="E2490" s="5" t="str">
        <f>VLOOKUP(Googleadssales[[#This Row],[Ad_ID]],[1]!Table3[[Ad_ID]:[Cost-imputed]],7,0)</f>
        <v>$233.35</v>
      </c>
      <c r="F2490" s="4">
        <f>VLOOKUP(Googleadssales[[#This Row],[Ad_ID]],'[1]pre processed data'!A:I,9,0)</f>
        <v>15</v>
      </c>
      <c r="G2490" s="4">
        <f>VLOOKUP(Googleadssales[[#This Row],[Ad_ID]],'[1]pre processed data'!A:K,11,0)</f>
        <v>7</v>
      </c>
      <c r="H2490" s="2">
        <f>Googleadssales[[#This Row],[Conversions]]/Googleadssales[[#This Row],[Clicks]]</f>
        <v>5.0375298286210138E-2</v>
      </c>
      <c r="I2490" t="str">
        <f>VLOOKUP(Googleadssales[[#This Row],[Ad_ID]],'[1]pre processed data'!A:O,15,0)</f>
        <v>$1106</v>
      </c>
      <c r="J2490" s="3">
        <f>VLOOKUP(Googleadssales[[#This Row],[Ad_ID]],'[1]pre processed data'!A:Q,17,0)</f>
        <v>45606</v>
      </c>
      <c r="K2490" t="str">
        <f>VLOOKUP(Googleadssales[[#This Row],[Ad_ID]],'[1]pre processed data'!A:R,18,0)</f>
        <v>Chennai</v>
      </c>
      <c r="L2490" t="str">
        <f>VLOOKUP(Googleadssales[[#This Row],[Ad_ID]],'[1]pre processed data'!A:S,19,0)</f>
        <v>Tablet</v>
      </c>
      <c r="M2490" t="str">
        <f>VLOOKUP(Googleadssales[[#This Row],[Ad_ID]],'[1]pre processed data'!A:T,20,0)</f>
        <v>analytics for data</v>
      </c>
    </row>
    <row r="2491" spans="1:13" x14ac:dyDescent="0.3">
      <c r="A2491" t="s">
        <v>2504</v>
      </c>
      <c r="B2491" t="s">
        <v>14</v>
      </c>
      <c r="C2491" s="4">
        <f>VLOOKUP(Googleadssales[[#This Row],[Ad_ID]],'[1]pre processed data'!A:C,3,0)</f>
        <v>157</v>
      </c>
      <c r="D2491" s="4">
        <f>VLOOKUP(Googleadssales[[#This Row],[Ad_ID]],'[1]pre processed data'!A:E,5,0)</f>
        <v>4026</v>
      </c>
      <c r="E2491" s="5" t="str">
        <f>VLOOKUP(Googleadssales[[#This Row],[Ad_ID]],[1]!Table3[[Ad_ID]:[Cost-imputed]],7,0)</f>
        <v>$192.69</v>
      </c>
      <c r="F2491" s="4">
        <f>VLOOKUP(Googleadssales[[#This Row],[Ad_ID]],'[1]pre processed data'!A:I,9,0)</f>
        <v>19</v>
      </c>
      <c r="G2491" s="4">
        <f>VLOOKUP(Googleadssales[[#This Row],[Ad_ID]],'[1]pre processed data'!A:K,11,0)</f>
        <v>3</v>
      </c>
      <c r="H2491" s="2">
        <f>Googleadssales[[#This Row],[Conversions]]/Googleadssales[[#This Row],[Clicks]]</f>
        <v>1.9108280254777069E-2</v>
      </c>
      <c r="I2491" t="str">
        <f>VLOOKUP(Googleadssales[[#This Row],[Ad_ID]],'[1]pre processed data'!A:O,15,0)</f>
        <v>$1028</v>
      </c>
      <c r="J2491" s="3">
        <f>VLOOKUP(Googleadssales[[#This Row],[Ad_ID]],'[1]pre processed data'!A:Q,17,0)</f>
        <v>45605</v>
      </c>
      <c r="K2491" t="str">
        <f>VLOOKUP(Googleadssales[[#This Row],[Ad_ID]],'[1]pre processed data'!A:R,18,0)</f>
        <v>Chennai</v>
      </c>
      <c r="L2491" t="str">
        <f>VLOOKUP(Googleadssales[[#This Row],[Ad_ID]],'[1]pre processed data'!A:S,19,0)</f>
        <v>Tablet</v>
      </c>
      <c r="M2491" t="str">
        <f>VLOOKUP(Googleadssales[[#This Row],[Ad_ID]],'[1]pre processed data'!A:T,20,0)</f>
        <v>analytics for data</v>
      </c>
    </row>
    <row r="2492" spans="1:13" x14ac:dyDescent="0.3">
      <c r="A2492" t="s">
        <v>2505</v>
      </c>
      <c r="B2492" t="s">
        <v>14</v>
      </c>
      <c r="C2492" s="4">
        <f>VLOOKUP(Googleadssales[[#This Row],[Ad_ID]],'[1]pre processed data'!A:C,3,0)</f>
        <v>138.95699356913184</v>
      </c>
      <c r="D2492" s="4">
        <f>VLOOKUP(Googleadssales[[#This Row],[Ad_ID]],'[1]pre processed data'!A:E,5,0)</f>
        <v>3148</v>
      </c>
      <c r="E2492" s="5" t="str">
        <f>VLOOKUP(Googleadssales[[#This Row],[Ad_ID]],[1]!Table3[[Ad_ID]:[Cost-imputed]],7,0)</f>
        <v>$182.49</v>
      </c>
      <c r="F2492" s="4">
        <f>VLOOKUP(Googleadssales[[#This Row],[Ad_ID]],'[1]pre processed data'!A:I,9,0)</f>
        <v>21</v>
      </c>
      <c r="G2492" s="4">
        <f>VLOOKUP(Googleadssales[[#This Row],[Ad_ID]],'[1]pre processed data'!A:K,11,0)</f>
        <v>3</v>
      </c>
      <c r="H2492" s="2">
        <f>Googleadssales[[#This Row],[Conversions]]/Googleadssales[[#This Row],[Clicks]]</f>
        <v>2.1589413551232915E-2</v>
      </c>
      <c r="I2492" t="str">
        <f>VLOOKUP(Googleadssales[[#This Row],[Ad_ID]],'[1]pre processed data'!A:O,15,0)</f>
        <v>$1493</v>
      </c>
      <c r="J2492" s="3">
        <f>VLOOKUP(Googleadssales[[#This Row],[Ad_ID]],'[1]pre processed data'!A:Q,17,0)</f>
        <v>45618</v>
      </c>
      <c r="K2492" t="str">
        <f>VLOOKUP(Googleadssales[[#This Row],[Ad_ID]],'[1]pre processed data'!A:R,18,0)</f>
        <v>Chennai</v>
      </c>
      <c r="L2492" t="str">
        <f>VLOOKUP(Googleadssales[[#This Row],[Ad_ID]],'[1]pre processed data'!A:S,19,0)</f>
        <v>Tablet</v>
      </c>
      <c r="M2492" t="str">
        <f>VLOOKUP(Googleadssales[[#This Row],[Ad_ID]],'[1]pre processed data'!A:T,20,0)</f>
        <v>data analytics course</v>
      </c>
    </row>
    <row r="2493" spans="1:13" x14ac:dyDescent="0.3">
      <c r="A2493" t="s">
        <v>2506</v>
      </c>
      <c r="B2493" t="s">
        <v>18</v>
      </c>
      <c r="C2493" s="4">
        <f>VLOOKUP(Googleadssales[[#This Row],[Ad_ID]],'[1]pre processed data'!A:C,3,0)</f>
        <v>137</v>
      </c>
      <c r="D2493" s="4">
        <f>VLOOKUP(Googleadssales[[#This Row],[Ad_ID]],'[1]pre processed data'!A:E,5,0)</f>
        <v>5244</v>
      </c>
      <c r="E2493" s="5" t="str">
        <f>VLOOKUP(Googleadssales[[#This Row],[Ad_ID]],[1]!Table3[[Ad_ID]:[Cost-imputed]],7,0)</f>
        <v>$187.79</v>
      </c>
      <c r="F2493" s="4">
        <f>VLOOKUP(Googleadssales[[#This Row],[Ad_ID]],'[1]pre processed data'!A:I,9,0)</f>
        <v>20</v>
      </c>
      <c r="G2493" s="4">
        <f>VLOOKUP(Googleadssales[[#This Row],[Ad_ID]],'[1]pre processed data'!A:K,11,0)</f>
        <v>6.0909090909090908</v>
      </c>
      <c r="H2493" s="2">
        <f>Googleadssales[[#This Row],[Conversions]]/Googleadssales[[#This Row],[Clicks]]</f>
        <v>4.4459190444591901E-2</v>
      </c>
      <c r="I2493" t="str">
        <f>VLOOKUP(Googleadssales[[#This Row],[Ad_ID]],'[1]pre processed data'!A:O,15,0)</f>
        <v>$1915</v>
      </c>
      <c r="J2493" s="3">
        <f>VLOOKUP(Googleadssales[[#This Row],[Ad_ID]],'[1]pre processed data'!A:Q,17,0)</f>
        <v>45607</v>
      </c>
      <c r="K2493" t="str">
        <f>VLOOKUP(Googleadssales[[#This Row],[Ad_ID]],'[1]pre processed data'!A:R,18,0)</f>
        <v>Chennai</v>
      </c>
      <c r="L2493" t="str">
        <f>VLOOKUP(Googleadssales[[#This Row],[Ad_ID]],'[1]pre processed data'!A:S,19,0)</f>
        <v>Tablet</v>
      </c>
      <c r="M2493" t="str">
        <f>VLOOKUP(Googleadssales[[#This Row],[Ad_ID]],'[1]pre processed data'!A:T,20,0)</f>
        <v>online data analytic</v>
      </c>
    </row>
    <row r="2494" spans="1:13" x14ac:dyDescent="0.3">
      <c r="A2494" t="s">
        <v>2507</v>
      </c>
      <c r="B2494" t="s">
        <v>14</v>
      </c>
      <c r="C2494" s="4">
        <f>VLOOKUP(Googleadssales[[#This Row],[Ad_ID]],'[1]pre processed data'!A:C,3,0)</f>
        <v>121</v>
      </c>
      <c r="D2494" s="4">
        <f>VLOOKUP(Googleadssales[[#This Row],[Ad_ID]],'[1]pre processed data'!A:E,5,0)</f>
        <v>5220</v>
      </c>
      <c r="E2494" s="5" t="str">
        <f>VLOOKUP(Googleadssales[[#This Row],[Ad_ID]],[1]!Table3[[Ad_ID]:[Cost-imputed]],7,0)</f>
        <v>$200.98</v>
      </c>
      <c r="F2494" s="4">
        <f>VLOOKUP(Googleadssales[[#This Row],[Ad_ID]],'[1]pre processed data'!A:I,9,0)</f>
        <v>21</v>
      </c>
      <c r="G2494" s="4">
        <f>VLOOKUP(Googleadssales[[#This Row],[Ad_ID]],'[1]pre processed data'!A:K,11,0)</f>
        <v>5</v>
      </c>
      <c r="H2494" s="2">
        <f>Googleadssales[[#This Row],[Conversions]]/Googleadssales[[#This Row],[Clicks]]</f>
        <v>4.1322314049586778E-2</v>
      </c>
      <c r="I2494" t="str">
        <f>VLOOKUP(Googleadssales[[#This Row],[Ad_ID]],'[1]pre processed data'!A:O,15,0)</f>
        <v>$1773</v>
      </c>
      <c r="J2494" s="3">
        <f>VLOOKUP(Googleadssales[[#This Row],[Ad_ID]],'[1]pre processed data'!A:Q,17,0)</f>
        <v>45609</v>
      </c>
      <c r="K2494" t="str">
        <f>VLOOKUP(Googleadssales[[#This Row],[Ad_ID]],'[1]pre processed data'!A:R,18,0)</f>
        <v>Chennai</v>
      </c>
      <c r="L2494" t="str">
        <f>VLOOKUP(Googleadssales[[#This Row],[Ad_ID]],'[1]pre processed data'!A:S,19,0)</f>
        <v>Desktop</v>
      </c>
      <c r="M2494" t="str">
        <f>VLOOKUP(Googleadssales[[#This Row],[Ad_ID]],'[1]pre processed data'!A:T,20,0)</f>
        <v>data analytics online</v>
      </c>
    </row>
    <row r="2495" spans="1:13" x14ac:dyDescent="0.3">
      <c r="A2495" t="s">
        <v>2508</v>
      </c>
      <c r="B2495" t="s">
        <v>18</v>
      </c>
      <c r="C2495" s="4">
        <f>VLOOKUP(Googleadssales[[#This Row],[Ad_ID]],'[1]pre processed data'!A:C,3,0)</f>
        <v>169</v>
      </c>
      <c r="D2495" s="4">
        <f>VLOOKUP(Googleadssales[[#This Row],[Ad_ID]],'[1]pre processed data'!A:E,5,0)</f>
        <v>5430</v>
      </c>
      <c r="E2495" s="5" t="str">
        <f>VLOOKUP(Googleadssales[[#This Row],[Ad_ID]],[1]!Table3[[Ad_ID]:[Cost-imputed]],7,0)</f>
        <v>$233.01</v>
      </c>
      <c r="F2495" s="4">
        <f>VLOOKUP(Googleadssales[[#This Row],[Ad_ID]],'[1]pre processed data'!A:I,9,0)</f>
        <v>27</v>
      </c>
      <c r="G2495" s="4">
        <f>VLOOKUP(Googleadssales[[#This Row],[Ad_ID]],'[1]pre processed data'!A:K,11,0)</f>
        <v>6.1020408163265305</v>
      </c>
      <c r="H2495" s="2">
        <f>Googleadssales[[#This Row],[Conversions]]/Googleadssales[[#This Row],[Clicks]]</f>
        <v>3.6106750392464679E-2</v>
      </c>
      <c r="I2495" t="str">
        <f>VLOOKUP(Googleadssales[[#This Row],[Ad_ID]],'[1]pre processed data'!A:O,15,0)</f>
        <v>$2000</v>
      </c>
      <c r="J2495" s="3">
        <f>VLOOKUP(Googleadssales[[#This Row],[Ad_ID]],'[1]pre processed data'!A:Q,17,0)</f>
        <v>45606</v>
      </c>
      <c r="K2495" t="str">
        <f>VLOOKUP(Googleadssales[[#This Row],[Ad_ID]],'[1]pre processed data'!A:R,18,0)</f>
        <v>Hyderabad</v>
      </c>
      <c r="L2495" t="str">
        <f>VLOOKUP(Googleadssales[[#This Row],[Ad_ID]],'[1]pre processed data'!A:S,19,0)</f>
        <v>Mobile</v>
      </c>
      <c r="M2495" t="str">
        <f>VLOOKUP(Googleadssales[[#This Row],[Ad_ID]],'[1]pre processed data'!A:T,20,0)</f>
        <v>learn data analytics</v>
      </c>
    </row>
    <row r="2496" spans="1:13" x14ac:dyDescent="0.3">
      <c r="A2496" t="s">
        <v>2509</v>
      </c>
      <c r="B2496" t="s">
        <v>14</v>
      </c>
      <c r="C2496" s="4">
        <f>VLOOKUP(Googleadssales[[#This Row],[Ad_ID]],'[1]pre processed data'!A:C,3,0)</f>
        <v>83</v>
      </c>
      <c r="D2496" s="4">
        <f>VLOOKUP(Googleadssales[[#This Row],[Ad_ID]],'[1]pre processed data'!A:E,5,0)</f>
        <v>4693</v>
      </c>
      <c r="E2496" s="5" t="str">
        <f>VLOOKUP(Googleadssales[[#This Row],[Ad_ID]],[1]!Table3[[Ad_ID]:[Cost-imputed]],7,0)</f>
        <v>$188.45</v>
      </c>
      <c r="F2496" s="4">
        <f>VLOOKUP(Googleadssales[[#This Row],[Ad_ID]],'[1]pre processed data'!A:I,9,0)</f>
        <v>24</v>
      </c>
      <c r="G2496" s="4">
        <f>VLOOKUP(Googleadssales[[#This Row],[Ad_ID]],'[1]pre processed data'!A:K,11,0)</f>
        <v>6</v>
      </c>
      <c r="H2496" s="2">
        <f>Googleadssales[[#This Row],[Conversions]]/Googleadssales[[#This Row],[Clicks]]</f>
        <v>7.2289156626506021E-2</v>
      </c>
      <c r="I2496" t="str">
        <f>VLOOKUP(Googleadssales[[#This Row],[Ad_ID]],'[1]pre processed data'!A:O,15,0)</f>
        <v>$1539</v>
      </c>
      <c r="J2496" s="3">
        <f>VLOOKUP(Googleadssales[[#This Row],[Ad_ID]],'[1]pre processed data'!A:Q,17,0)</f>
        <v>45612</v>
      </c>
      <c r="K2496" t="str">
        <f>VLOOKUP(Googleadssales[[#This Row],[Ad_ID]],'[1]pre processed data'!A:R,18,0)</f>
        <v>Bangaluru</v>
      </c>
      <c r="L2496" t="str">
        <f>VLOOKUP(Googleadssales[[#This Row],[Ad_ID]],'[1]pre processed data'!A:S,19,0)</f>
        <v>Mobile</v>
      </c>
      <c r="M2496" t="str">
        <f>VLOOKUP(Googleadssales[[#This Row],[Ad_ID]],'[1]pre processed data'!A:T,20,0)</f>
        <v>analytics for data</v>
      </c>
    </row>
    <row r="2497" spans="1:13" x14ac:dyDescent="0.3">
      <c r="A2497" t="s">
        <v>2510</v>
      </c>
      <c r="B2497" t="s">
        <v>14</v>
      </c>
      <c r="C2497" s="4">
        <f>VLOOKUP(Googleadssales[[#This Row],[Ad_ID]],'[1]pre processed data'!A:C,3,0)</f>
        <v>175</v>
      </c>
      <c r="D2497" s="4">
        <f>VLOOKUP(Googleadssales[[#This Row],[Ad_ID]],'[1]pre processed data'!A:E,5,0)</f>
        <v>4723</v>
      </c>
      <c r="E2497" s="5" t="str">
        <f>VLOOKUP(Googleadssales[[#This Row],[Ad_ID]],[1]!Table3[[Ad_ID]:[Cost-imputed]],7,0)</f>
        <v>$237.92</v>
      </c>
      <c r="F2497" s="4">
        <f>VLOOKUP(Googleadssales[[#This Row],[Ad_ID]],'[1]pre processed data'!A:I,9,0)</f>
        <v>19</v>
      </c>
      <c r="G2497" s="4">
        <f>VLOOKUP(Googleadssales[[#This Row],[Ad_ID]],'[1]pre processed data'!A:K,11,0)</f>
        <v>6.1030927835051543</v>
      </c>
      <c r="H2497" s="2">
        <f>Googleadssales[[#This Row],[Conversions]]/Googleadssales[[#This Row],[Clicks]]</f>
        <v>3.487481590574374E-2</v>
      </c>
      <c r="I2497" t="str">
        <f>VLOOKUP(Googleadssales[[#This Row],[Ad_ID]],'[1]pre processed data'!A:O,15,0)</f>
        <v>$1906</v>
      </c>
      <c r="J2497" s="3">
        <f>VLOOKUP(Googleadssales[[#This Row],[Ad_ID]],'[1]pre processed data'!A:Q,17,0)</f>
        <v>45608</v>
      </c>
      <c r="K2497" t="str">
        <f>VLOOKUP(Googleadssales[[#This Row],[Ad_ID]],'[1]pre processed data'!A:R,18,0)</f>
        <v>Hyderabad</v>
      </c>
      <c r="L2497" t="str">
        <f>VLOOKUP(Googleadssales[[#This Row],[Ad_ID]],'[1]pre processed data'!A:S,19,0)</f>
        <v>Mobile</v>
      </c>
      <c r="M2497" t="str">
        <f>VLOOKUP(Googleadssales[[#This Row],[Ad_ID]],'[1]pre processed data'!A:T,20,0)</f>
        <v>online data analytic</v>
      </c>
    </row>
    <row r="2498" spans="1:13" x14ac:dyDescent="0.3">
      <c r="A2498" t="s">
        <v>2511</v>
      </c>
      <c r="B2498" t="s">
        <v>14</v>
      </c>
      <c r="C2498" s="4">
        <f>VLOOKUP(Googleadssales[[#This Row],[Ad_ID]],'[1]pre processed data'!A:C,3,0)</f>
        <v>123</v>
      </c>
      <c r="D2498" s="4">
        <f>VLOOKUP(Googleadssales[[#This Row],[Ad_ID]],'[1]pre processed data'!A:E,5,0)</f>
        <v>5812</v>
      </c>
      <c r="E2498" s="5" t="str">
        <f>VLOOKUP(Googleadssales[[#This Row],[Ad_ID]],[1]!Table3[[Ad_ID]:[Cost-imputed]],7,0)</f>
        <v>$180.11</v>
      </c>
      <c r="F2498" s="4">
        <f>VLOOKUP(Googleadssales[[#This Row],[Ad_ID]],'[1]pre processed data'!A:I,9,0)</f>
        <v>25</v>
      </c>
      <c r="G2498" s="4">
        <f>VLOOKUP(Googleadssales[[#This Row],[Ad_ID]],'[1]pre processed data'!A:K,11,0)</f>
        <v>4</v>
      </c>
      <c r="H2498" s="2">
        <f>Googleadssales[[#This Row],[Conversions]]/Googleadssales[[#This Row],[Clicks]]</f>
        <v>3.2520325203252036E-2</v>
      </c>
      <c r="I2498" t="str">
        <f>VLOOKUP(Googleadssales[[#This Row],[Ad_ID]],'[1]pre processed data'!A:O,15,0)</f>
        <v>$1293</v>
      </c>
      <c r="J2498" s="3">
        <f>VLOOKUP(Googleadssales[[#This Row],[Ad_ID]],'[1]pre processed data'!A:Q,17,0)</f>
        <v>45617</v>
      </c>
      <c r="K2498" t="str">
        <f>VLOOKUP(Googleadssales[[#This Row],[Ad_ID]],'[1]pre processed data'!A:R,18,0)</f>
        <v>Hyderabad</v>
      </c>
      <c r="L2498" t="str">
        <f>VLOOKUP(Googleadssales[[#This Row],[Ad_ID]],'[1]pre processed data'!A:S,19,0)</f>
        <v>Tablet</v>
      </c>
      <c r="M2498" t="str">
        <f>VLOOKUP(Googleadssales[[#This Row],[Ad_ID]],'[1]pre processed data'!A:T,20,0)</f>
        <v>data analytics online</v>
      </c>
    </row>
    <row r="2499" spans="1:13" x14ac:dyDescent="0.3">
      <c r="A2499" t="s">
        <v>2512</v>
      </c>
      <c r="B2499" t="s">
        <v>14</v>
      </c>
      <c r="C2499" s="4">
        <f>VLOOKUP(Googleadssales[[#This Row],[Ad_ID]],'[1]pre processed data'!A:C,3,0)</f>
        <v>135</v>
      </c>
      <c r="D2499" s="4">
        <f>VLOOKUP(Googleadssales[[#This Row],[Ad_ID]],'[1]pre processed data'!A:E,5,0)</f>
        <v>4611</v>
      </c>
      <c r="E2499" s="5" t="str">
        <f>VLOOKUP(Googleadssales[[#This Row],[Ad_ID]],[1]!Table3[[Ad_ID]:[Cost-imputed]],7,0)</f>
        <v>$200.00</v>
      </c>
      <c r="F2499" s="4">
        <f>VLOOKUP(Googleadssales[[#This Row],[Ad_ID]],'[1]pre processed data'!A:I,9,0)</f>
        <v>17</v>
      </c>
      <c r="G2499" s="4">
        <f>VLOOKUP(Googleadssales[[#This Row],[Ad_ID]],'[1]pre processed data'!A:K,11,0)</f>
        <v>7</v>
      </c>
      <c r="H2499" s="2">
        <f>Googleadssales[[#This Row],[Conversions]]/Googleadssales[[#This Row],[Clicks]]</f>
        <v>5.185185185185185E-2</v>
      </c>
      <c r="I2499" t="str">
        <f>VLOOKUP(Googleadssales[[#This Row],[Ad_ID]],'[1]pre processed data'!A:O,15,0)</f>
        <v>$1697</v>
      </c>
      <c r="J2499" s="3">
        <f>VLOOKUP(Googleadssales[[#This Row],[Ad_ID]],'[1]pre processed data'!A:Q,17,0)</f>
        <v>45610</v>
      </c>
      <c r="K2499" t="str">
        <f>VLOOKUP(Googleadssales[[#This Row],[Ad_ID]],'[1]pre processed data'!A:R,18,0)</f>
        <v>Bangaluru</v>
      </c>
      <c r="L2499" t="str">
        <f>VLOOKUP(Googleadssales[[#This Row],[Ad_ID]],'[1]pre processed data'!A:S,19,0)</f>
        <v>Desktop</v>
      </c>
      <c r="M2499" t="str">
        <f>VLOOKUP(Googleadssales[[#This Row],[Ad_ID]],'[1]pre processed data'!A:T,20,0)</f>
        <v>online data analytic</v>
      </c>
    </row>
    <row r="2500" spans="1:13" x14ac:dyDescent="0.3">
      <c r="A2500" t="s">
        <v>2513</v>
      </c>
      <c r="B2500" t="s">
        <v>14</v>
      </c>
      <c r="C2500" s="4">
        <f>VLOOKUP(Googleadssales[[#This Row],[Ad_ID]],'[1]pre processed data'!A:C,3,0)</f>
        <v>126</v>
      </c>
      <c r="D2500" s="4">
        <f>VLOOKUP(Googleadssales[[#This Row],[Ad_ID]],'[1]pre processed data'!A:E,5,0)</f>
        <v>4960</v>
      </c>
      <c r="E2500" s="5" t="str">
        <f>VLOOKUP(Googleadssales[[#This Row],[Ad_ID]],[1]!Table3[[Ad_ID]:[Cost-imputed]],7,0)</f>
        <v>$228.68</v>
      </c>
      <c r="F2500" s="4">
        <f>VLOOKUP(Googleadssales[[#This Row],[Ad_ID]],'[1]pre processed data'!A:I,9,0)</f>
        <v>30</v>
      </c>
      <c r="G2500" s="4">
        <f>VLOOKUP(Googleadssales[[#This Row],[Ad_ID]],'[1]pre processed data'!A:K,11,0)</f>
        <v>3</v>
      </c>
      <c r="H2500" s="2">
        <f>Googleadssales[[#This Row],[Conversions]]/Googleadssales[[#This Row],[Clicks]]</f>
        <v>2.3809523809523808E-2</v>
      </c>
      <c r="I2500" t="str">
        <f>VLOOKUP(Googleadssales[[#This Row],[Ad_ID]],'[1]pre processed data'!A:O,15,0)</f>
        <v>$1114</v>
      </c>
      <c r="J2500" s="3">
        <f>VLOOKUP(Googleadssales[[#This Row],[Ad_ID]],'[1]pre processed data'!A:Q,17,0)</f>
        <v>45622</v>
      </c>
      <c r="K2500" t="str">
        <f>VLOOKUP(Googleadssales[[#This Row],[Ad_ID]],'[1]pre processed data'!A:R,18,0)</f>
        <v>Hyderabad</v>
      </c>
      <c r="L2500" t="str">
        <f>VLOOKUP(Googleadssales[[#This Row],[Ad_ID]],'[1]pre processed data'!A:S,19,0)</f>
        <v>Mobile</v>
      </c>
      <c r="M2500" t="str">
        <f>VLOOKUP(Googleadssales[[#This Row],[Ad_ID]],'[1]pre processed data'!A:T,20,0)</f>
        <v>online data analytic</v>
      </c>
    </row>
    <row r="2501" spans="1:13" x14ac:dyDescent="0.3">
      <c r="A2501" t="s">
        <v>2514</v>
      </c>
      <c r="B2501" t="s">
        <v>14</v>
      </c>
      <c r="C2501" s="4">
        <f>VLOOKUP(Googleadssales[[#This Row],[Ad_ID]],'[1]pre processed data'!A:C,3,0)</f>
        <v>171</v>
      </c>
      <c r="D2501" s="4">
        <f>VLOOKUP(Googleadssales[[#This Row],[Ad_ID]],'[1]pre processed data'!A:E,5,0)</f>
        <v>4549</v>
      </c>
      <c r="E2501" s="5" t="str">
        <f>VLOOKUP(Googleadssales[[#This Row],[Ad_ID]],[1]!Table3[[Ad_ID]:[Cost-imputed]],7,0)</f>
        <v>$181.87</v>
      </c>
      <c r="F2501" s="4">
        <f>VLOOKUP(Googleadssales[[#This Row],[Ad_ID]],'[1]pre processed data'!A:I,9,0)</f>
        <v>18</v>
      </c>
      <c r="G2501" s="4">
        <f>VLOOKUP(Googleadssales[[#This Row],[Ad_ID]],'[1]pre processed data'!A:K,11,0)</f>
        <v>3</v>
      </c>
      <c r="H2501" s="2">
        <f>Googleadssales[[#This Row],[Conversions]]/Googleadssales[[#This Row],[Clicks]]</f>
        <v>1.7543859649122806E-2</v>
      </c>
      <c r="I2501" t="str">
        <f>VLOOKUP(Googleadssales[[#This Row],[Ad_ID]],'[1]pre processed data'!A:O,15,0)</f>
        <v>$1965</v>
      </c>
      <c r="J2501" s="3">
        <f>VLOOKUP(Googleadssales[[#This Row],[Ad_ID]],'[1]pre processed data'!A:Q,17,0)</f>
        <v>45605</v>
      </c>
      <c r="K2501" t="str">
        <f>VLOOKUP(Googleadssales[[#This Row],[Ad_ID]],'[1]pre processed data'!A:R,18,0)</f>
        <v>Bangaluru</v>
      </c>
      <c r="L2501" t="str">
        <f>VLOOKUP(Googleadssales[[#This Row],[Ad_ID]],'[1]pre processed data'!A:S,19,0)</f>
        <v>Mobile</v>
      </c>
      <c r="M2501" t="str">
        <f>VLOOKUP(Googleadssales[[#This Row],[Ad_ID]],'[1]pre processed data'!A:T,20,0)</f>
        <v>analytics for data</v>
      </c>
    </row>
    <row r="2502" spans="1:13" x14ac:dyDescent="0.3">
      <c r="A2502" t="s">
        <v>2515</v>
      </c>
      <c r="B2502" t="s">
        <v>14</v>
      </c>
      <c r="C2502" s="4">
        <f>VLOOKUP(Googleadssales[[#This Row],[Ad_ID]],'[1]pre processed data'!A:C,3,0)</f>
        <v>185</v>
      </c>
      <c r="D2502" s="4">
        <f>VLOOKUP(Googleadssales[[#This Row],[Ad_ID]],'[1]pre processed data'!A:E,5,0)</f>
        <v>4803</v>
      </c>
      <c r="E2502" s="5" t="str">
        <f>VLOOKUP(Googleadssales[[#This Row],[Ad_ID]],[1]!Table3[[Ad_ID]:[Cost-imputed]],7,0)</f>
        <v>$248.77</v>
      </c>
      <c r="F2502" s="4">
        <f>VLOOKUP(Googleadssales[[#This Row],[Ad_ID]],'[1]pre processed data'!A:I,9,0)</f>
        <v>30</v>
      </c>
      <c r="G2502" s="4">
        <f>VLOOKUP(Googleadssales[[#This Row],[Ad_ID]],'[1]pre processed data'!A:K,11,0)</f>
        <v>5</v>
      </c>
      <c r="H2502" s="2">
        <f>Googleadssales[[#This Row],[Conversions]]/Googleadssales[[#This Row],[Clicks]]</f>
        <v>2.7027027027027029E-2</v>
      </c>
      <c r="I2502" t="str">
        <f>VLOOKUP(Googleadssales[[#This Row],[Ad_ID]],'[1]pre processed data'!A:O,15,0)</f>
        <v>$1806</v>
      </c>
      <c r="J2502" s="3">
        <f>VLOOKUP(Googleadssales[[#This Row],[Ad_ID]],'[1]pre processed data'!A:Q,17,0)</f>
        <v>45601</v>
      </c>
      <c r="K2502" t="str">
        <f>VLOOKUP(Googleadssales[[#This Row],[Ad_ID]],'[1]pre processed data'!A:R,18,0)</f>
        <v>Bangaluru</v>
      </c>
      <c r="L2502" t="str">
        <f>VLOOKUP(Googleadssales[[#This Row],[Ad_ID]],'[1]pre processed data'!A:S,19,0)</f>
        <v>Mobile</v>
      </c>
      <c r="M2502" t="str">
        <f>VLOOKUP(Googleadssales[[#This Row],[Ad_ID]],'[1]pre processed data'!A:T,20,0)</f>
        <v>learn data analytics</v>
      </c>
    </row>
    <row r="2503" spans="1:13" x14ac:dyDescent="0.3">
      <c r="A2503" t="s">
        <v>2516</v>
      </c>
      <c r="B2503" t="s">
        <v>14</v>
      </c>
      <c r="C2503" s="4">
        <f>VLOOKUP(Googleadssales[[#This Row],[Ad_ID]],'[1]pre processed data'!A:C,3,0)</f>
        <v>157</v>
      </c>
      <c r="D2503" s="4">
        <f>VLOOKUP(Googleadssales[[#This Row],[Ad_ID]],'[1]pre processed data'!A:E,5,0)</f>
        <v>3164</v>
      </c>
      <c r="E2503" s="5" t="str">
        <f>VLOOKUP(Googleadssales[[#This Row],[Ad_ID]],[1]!Table3[[Ad_ID]:[Cost-imputed]],7,0)</f>
        <v>$227.73</v>
      </c>
      <c r="F2503" s="4">
        <f>VLOOKUP(Googleadssales[[#This Row],[Ad_ID]],'[1]pre processed data'!A:I,9,0)</f>
        <v>20</v>
      </c>
      <c r="G2503" s="4">
        <f>VLOOKUP(Googleadssales[[#This Row],[Ad_ID]],'[1]pre processed data'!A:K,11,0)</f>
        <v>3</v>
      </c>
      <c r="H2503" s="2">
        <f>Googleadssales[[#This Row],[Conversions]]/Googleadssales[[#This Row],[Clicks]]</f>
        <v>1.9108280254777069E-2</v>
      </c>
      <c r="I2503" t="str">
        <f>VLOOKUP(Googleadssales[[#This Row],[Ad_ID]],'[1]pre processed data'!A:O,15,0)</f>
        <v>$1500</v>
      </c>
      <c r="J2503" s="3">
        <f>VLOOKUP(Googleadssales[[#This Row],[Ad_ID]],'[1]pre processed data'!A:Q,17,0)</f>
        <v>45616</v>
      </c>
      <c r="K2503" t="str">
        <f>VLOOKUP(Googleadssales[[#This Row],[Ad_ID]],'[1]pre processed data'!A:R,18,0)</f>
        <v>Hyderabad</v>
      </c>
      <c r="L2503" t="str">
        <f>VLOOKUP(Googleadssales[[#This Row],[Ad_ID]],'[1]pre processed data'!A:S,19,0)</f>
        <v>Mobile</v>
      </c>
      <c r="M2503" t="str">
        <f>VLOOKUP(Googleadssales[[#This Row],[Ad_ID]],'[1]pre processed data'!A:T,20,0)</f>
        <v>data analytics training</v>
      </c>
    </row>
    <row r="2504" spans="1:13" x14ac:dyDescent="0.3">
      <c r="A2504" t="s">
        <v>2517</v>
      </c>
      <c r="B2504" t="s">
        <v>14</v>
      </c>
      <c r="C2504" s="4">
        <f>VLOOKUP(Googleadssales[[#This Row],[Ad_ID]],'[1]pre processed data'!A:C,3,0)</f>
        <v>123</v>
      </c>
      <c r="D2504" s="4">
        <f>VLOOKUP(Googleadssales[[#This Row],[Ad_ID]],'[1]pre processed data'!A:E,5,0)</f>
        <v>3343</v>
      </c>
      <c r="E2504" s="5" t="str">
        <f>VLOOKUP(Googleadssales[[#This Row],[Ad_ID]],[1]!Table3[[Ad_ID]:[Cost-imputed]],7,0)</f>
        <v>$190.66</v>
      </c>
      <c r="F2504" s="4">
        <f>VLOOKUP(Googleadssales[[#This Row],[Ad_ID]],'[1]pre processed data'!A:I,9,0)</f>
        <v>14</v>
      </c>
      <c r="G2504" s="4">
        <f>VLOOKUP(Googleadssales[[#This Row],[Ad_ID]],'[1]pre processed data'!A:K,11,0)</f>
        <v>5</v>
      </c>
      <c r="H2504" s="2">
        <f>Googleadssales[[#This Row],[Conversions]]/Googleadssales[[#This Row],[Clicks]]</f>
        <v>4.065040650406504E-2</v>
      </c>
      <c r="I2504" t="str">
        <f>VLOOKUP(Googleadssales[[#This Row],[Ad_ID]],'[1]pre processed data'!A:O,15,0)</f>
        <v>$1562</v>
      </c>
      <c r="J2504" s="3">
        <f>VLOOKUP(Googleadssales[[#This Row],[Ad_ID]],'[1]pre processed data'!A:Q,17,0)</f>
        <v>45613</v>
      </c>
      <c r="K2504" t="str">
        <f>VLOOKUP(Googleadssales[[#This Row],[Ad_ID]],'[1]pre processed data'!A:R,18,0)</f>
        <v>Chennai</v>
      </c>
      <c r="L2504" t="str">
        <f>VLOOKUP(Googleadssales[[#This Row],[Ad_ID]],'[1]pre processed data'!A:S,19,0)</f>
        <v>Mobile</v>
      </c>
      <c r="M2504" t="str">
        <f>VLOOKUP(Googleadssales[[#This Row],[Ad_ID]],'[1]pre processed data'!A:T,20,0)</f>
        <v>data analytics course</v>
      </c>
    </row>
    <row r="2505" spans="1:13" x14ac:dyDescent="0.3">
      <c r="A2505" t="s">
        <v>2518</v>
      </c>
      <c r="B2505" t="s">
        <v>14</v>
      </c>
      <c r="C2505" s="4">
        <f>VLOOKUP(Googleadssales[[#This Row],[Ad_ID]],'[1]pre processed data'!A:C,3,0)</f>
        <v>122</v>
      </c>
      <c r="D2505" s="4">
        <f>VLOOKUP(Googleadssales[[#This Row],[Ad_ID]],'[1]pre processed data'!A:E,5,0)</f>
        <v>5718</v>
      </c>
      <c r="E2505" s="5" t="str">
        <f>VLOOKUP(Googleadssales[[#This Row],[Ad_ID]],[1]!Table3[[Ad_ID]:[Cost-imputed]],7,0)</f>
        <v>$211.65</v>
      </c>
      <c r="F2505" s="4">
        <f>VLOOKUP(Googleadssales[[#This Row],[Ad_ID]],'[1]pre processed data'!A:I,9,0)</f>
        <v>14</v>
      </c>
      <c r="G2505" s="4">
        <f>VLOOKUP(Googleadssales[[#This Row],[Ad_ID]],'[1]pre processed data'!A:K,11,0)</f>
        <v>4</v>
      </c>
      <c r="H2505" s="2">
        <f>Googleadssales[[#This Row],[Conversions]]/Googleadssales[[#This Row],[Clicks]]</f>
        <v>3.2786885245901641E-2</v>
      </c>
      <c r="I2505" t="str">
        <f>VLOOKUP(Googleadssales[[#This Row],[Ad_ID]],'[1]pre processed data'!A:O,15,0)</f>
        <v>$1857</v>
      </c>
      <c r="J2505" s="3">
        <f>VLOOKUP(Googleadssales[[#This Row],[Ad_ID]],'[1]pre processed data'!A:Q,17,0)</f>
        <v>45615</v>
      </c>
      <c r="K2505" t="str">
        <f>VLOOKUP(Googleadssales[[#This Row],[Ad_ID]],'[1]pre processed data'!A:R,18,0)</f>
        <v>Hyderabad</v>
      </c>
      <c r="L2505" t="str">
        <f>VLOOKUP(Googleadssales[[#This Row],[Ad_ID]],'[1]pre processed data'!A:S,19,0)</f>
        <v>Tablet</v>
      </c>
      <c r="M2505" t="str">
        <f>VLOOKUP(Googleadssales[[#This Row],[Ad_ID]],'[1]pre processed data'!A:T,20,0)</f>
        <v>data analytics online</v>
      </c>
    </row>
    <row r="2506" spans="1:13" x14ac:dyDescent="0.3">
      <c r="A2506" t="s">
        <v>2519</v>
      </c>
      <c r="B2506" t="s">
        <v>14</v>
      </c>
      <c r="C2506" s="4">
        <f>VLOOKUP(Googleadssales[[#This Row],[Ad_ID]],'[1]pre processed data'!A:C,3,0)</f>
        <v>97</v>
      </c>
      <c r="D2506" s="4">
        <f>VLOOKUP(Googleadssales[[#This Row],[Ad_ID]],'[1]pre processed data'!A:E,5,0)</f>
        <v>3754</v>
      </c>
      <c r="E2506" s="5" t="str">
        <f>VLOOKUP(Googleadssales[[#This Row],[Ad_ID]],[1]!Table3[[Ad_ID]:[Cost-imputed]],7,0)</f>
        <v>$180.42</v>
      </c>
      <c r="F2506" s="4">
        <f>VLOOKUP(Googleadssales[[#This Row],[Ad_ID]],'[1]pre processed data'!A:I,9,0)</f>
        <v>24</v>
      </c>
      <c r="G2506" s="4">
        <f>VLOOKUP(Googleadssales[[#This Row],[Ad_ID]],'[1]pre processed data'!A:K,11,0)</f>
        <v>10</v>
      </c>
      <c r="H2506" s="2">
        <f>Googleadssales[[#This Row],[Conversions]]/Googleadssales[[#This Row],[Clicks]]</f>
        <v>0.10309278350515463</v>
      </c>
      <c r="I2506" t="str">
        <f>VLOOKUP(Googleadssales[[#This Row],[Ad_ID]],'[1]pre processed data'!A:O,15,0)</f>
        <v>$1011</v>
      </c>
      <c r="J2506" s="3">
        <f>VLOOKUP(Googleadssales[[#This Row],[Ad_ID]],'[1]pre processed data'!A:Q,17,0)</f>
        <v>45612</v>
      </c>
      <c r="K2506" t="str">
        <f>VLOOKUP(Googleadssales[[#This Row],[Ad_ID]],'[1]pre processed data'!A:R,18,0)</f>
        <v>Bangaluru</v>
      </c>
      <c r="L2506" t="str">
        <f>VLOOKUP(Googleadssales[[#This Row],[Ad_ID]],'[1]pre processed data'!A:S,19,0)</f>
        <v>Tablet</v>
      </c>
      <c r="M2506" t="str">
        <f>VLOOKUP(Googleadssales[[#This Row],[Ad_ID]],'[1]pre processed data'!A:T,20,0)</f>
        <v>analytics for data</v>
      </c>
    </row>
    <row r="2507" spans="1:13" x14ac:dyDescent="0.3">
      <c r="A2507" t="s">
        <v>2520</v>
      </c>
      <c r="B2507" t="s">
        <v>14</v>
      </c>
      <c r="C2507" s="4">
        <f>VLOOKUP(Googleadssales[[#This Row],[Ad_ID]],'[1]pre processed data'!A:C,3,0)</f>
        <v>88</v>
      </c>
      <c r="D2507" s="4">
        <f>VLOOKUP(Googleadssales[[#This Row],[Ad_ID]],'[1]pre processed data'!A:E,5,0)</f>
        <v>3684</v>
      </c>
      <c r="E2507" s="5" t="str">
        <f>VLOOKUP(Googleadssales[[#This Row],[Ad_ID]],[1]!Table3[[Ad_ID]:[Cost-imputed]],7,0)</f>
        <v>$198.73</v>
      </c>
      <c r="F2507" s="4">
        <f>VLOOKUP(Googleadssales[[#This Row],[Ad_ID]],'[1]pre processed data'!A:I,9,0)</f>
        <v>30</v>
      </c>
      <c r="G2507" s="4">
        <f>VLOOKUP(Googleadssales[[#This Row],[Ad_ID]],'[1]pre processed data'!A:K,11,0)</f>
        <v>4</v>
      </c>
      <c r="H2507" s="2">
        <f>Googleadssales[[#This Row],[Conversions]]/Googleadssales[[#This Row],[Clicks]]</f>
        <v>4.5454545454545456E-2</v>
      </c>
      <c r="I2507" t="str">
        <f>VLOOKUP(Googleadssales[[#This Row],[Ad_ID]],'[1]pre processed data'!A:O,15,0)</f>
        <v>$1195</v>
      </c>
      <c r="J2507" s="3">
        <f>VLOOKUP(Googleadssales[[#This Row],[Ad_ID]],'[1]pre processed data'!A:Q,17,0)</f>
        <v>45598</v>
      </c>
      <c r="K2507" t="str">
        <f>VLOOKUP(Googleadssales[[#This Row],[Ad_ID]],'[1]pre processed data'!A:R,18,0)</f>
        <v>Bangaluru</v>
      </c>
      <c r="L2507" t="str">
        <f>VLOOKUP(Googleadssales[[#This Row],[Ad_ID]],'[1]pre processed data'!A:S,19,0)</f>
        <v>Mobile</v>
      </c>
      <c r="M2507" t="str">
        <f>VLOOKUP(Googleadssales[[#This Row],[Ad_ID]],'[1]pre processed data'!A:T,20,0)</f>
        <v>online data analytic</v>
      </c>
    </row>
    <row r="2508" spans="1:13" x14ac:dyDescent="0.3">
      <c r="A2508" t="s">
        <v>2521</v>
      </c>
      <c r="B2508" t="s">
        <v>14</v>
      </c>
      <c r="C2508" s="4">
        <f>VLOOKUP(Googleadssales[[#This Row],[Ad_ID]],'[1]pre processed data'!A:C,3,0)</f>
        <v>81</v>
      </c>
      <c r="D2508" s="4">
        <f>VLOOKUP(Googleadssales[[#This Row],[Ad_ID]],'[1]pre processed data'!A:E,5,0)</f>
        <v>5068</v>
      </c>
      <c r="E2508" s="5" t="str">
        <f>VLOOKUP(Googleadssales[[#This Row],[Ad_ID]],[1]!Table3[[Ad_ID]:[Cost-imputed]],7,0)</f>
        <v>$204.53</v>
      </c>
      <c r="F2508" s="4">
        <f>VLOOKUP(Googleadssales[[#This Row],[Ad_ID]],'[1]pre processed data'!A:I,9,0)</f>
        <v>20.978260869565219</v>
      </c>
      <c r="G2508" s="4">
        <f>VLOOKUP(Googleadssales[[#This Row],[Ad_ID]],'[1]pre processed data'!A:K,11,0)</f>
        <v>9</v>
      </c>
      <c r="H2508" s="2">
        <f>Googleadssales[[#This Row],[Conversions]]/Googleadssales[[#This Row],[Clicks]]</f>
        <v>0.1111111111111111</v>
      </c>
      <c r="I2508" t="str">
        <f>VLOOKUP(Googleadssales[[#This Row],[Ad_ID]],'[1]pre processed data'!A:O,15,0)</f>
        <v>$1773</v>
      </c>
      <c r="J2508" s="3">
        <f>VLOOKUP(Googleadssales[[#This Row],[Ad_ID]],'[1]pre processed data'!A:Q,17,0)</f>
        <v>45599</v>
      </c>
      <c r="K2508" t="str">
        <f>VLOOKUP(Googleadssales[[#This Row],[Ad_ID]],'[1]pre processed data'!A:R,18,0)</f>
        <v>Hyderabad</v>
      </c>
      <c r="L2508" t="str">
        <f>VLOOKUP(Googleadssales[[#This Row],[Ad_ID]],'[1]pre processed data'!A:S,19,0)</f>
        <v>Tablet</v>
      </c>
      <c r="M2508" t="str">
        <f>VLOOKUP(Googleadssales[[#This Row],[Ad_ID]],'[1]pre processed data'!A:T,20,0)</f>
        <v>data analytics online</v>
      </c>
    </row>
    <row r="2509" spans="1:13" x14ac:dyDescent="0.3">
      <c r="A2509" t="s">
        <v>2522</v>
      </c>
      <c r="B2509" t="s">
        <v>14</v>
      </c>
      <c r="C2509" s="4">
        <f>VLOOKUP(Googleadssales[[#This Row],[Ad_ID]],'[1]pre processed data'!A:C,3,0)</f>
        <v>96</v>
      </c>
      <c r="D2509" s="4">
        <f>VLOOKUP(Googleadssales[[#This Row],[Ad_ID]],'[1]pre processed data'!A:E,5,0)</f>
        <v>5538</v>
      </c>
      <c r="E2509" s="5" t="str">
        <f>VLOOKUP(Googleadssales[[#This Row],[Ad_ID]],[1]!Table3[[Ad_ID]:[Cost-imputed]],7,0)</f>
        <v>$188.79</v>
      </c>
      <c r="F2509" s="4">
        <f>VLOOKUP(Googleadssales[[#This Row],[Ad_ID]],'[1]pre processed data'!A:I,9,0)</f>
        <v>28</v>
      </c>
      <c r="G2509" s="4">
        <f>VLOOKUP(Googleadssales[[#This Row],[Ad_ID]],'[1]pre processed data'!A:K,11,0)</f>
        <v>6</v>
      </c>
      <c r="H2509" s="2">
        <f>Googleadssales[[#This Row],[Conversions]]/Googleadssales[[#This Row],[Clicks]]</f>
        <v>6.25E-2</v>
      </c>
      <c r="I2509" t="str">
        <f>VLOOKUP(Googleadssales[[#This Row],[Ad_ID]],'[1]pre processed data'!A:O,15,0)</f>
        <v>$1181</v>
      </c>
      <c r="J2509" s="3">
        <f>VLOOKUP(Googleadssales[[#This Row],[Ad_ID]],'[1]pre processed data'!A:Q,17,0)</f>
        <v>45614</v>
      </c>
      <c r="K2509" t="str">
        <f>VLOOKUP(Googleadssales[[#This Row],[Ad_ID]],'[1]pre processed data'!A:R,18,0)</f>
        <v>Hyderabad</v>
      </c>
      <c r="L2509" t="str">
        <f>VLOOKUP(Googleadssales[[#This Row],[Ad_ID]],'[1]pre processed data'!A:S,19,0)</f>
        <v>Mobile</v>
      </c>
      <c r="M2509" t="str">
        <f>VLOOKUP(Googleadssales[[#This Row],[Ad_ID]],'[1]pre processed data'!A:T,20,0)</f>
        <v>online data analytic</v>
      </c>
    </row>
    <row r="2510" spans="1:13" x14ac:dyDescent="0.3">
      <c r="A2510" t="s">
        <v>2523</v>
      </c>
      <c r="B2510" t="s">
        <v>18</v>
      </c>
      <c r="C2510" s="4">
        <f>VLOOKUP(Googleadssales[[#This Row],[Ad_ID]],'[1]pre processed data'!A:C,3,0)</f>
        <v>163</v>
      </c>
      <c r="D2510" s="4">
        <f>VLOOKUP(Googleadssales[[#This Row],[Ad_ID]],'[1]pre processed data'!A:E,5,0)</f>
        <v>4813</v>
      </c>
      <c r="E2510" s="5" t="str">
        <f>VLOOKUP(Googleadssales[[#This Row],[Ad_ID]],[1]!Table3[[Ad_ID]:[Cost-imputed]],7,0)</f>
        <v>$190.77</v>
      </c>
      <c r="F2510" s="4">
        <f>VLOOKUP(Googleadssales[[#This Row],[Ad_ID]],'[1]pre processed data'!A:I,9,0)</f>
        <v>22</v>
      </c>
      <c r="G2510" s="4">
        <f>VLOOKUP(Googleadssales[[#This Row],[Ad_ID]],'[1]pre processed data'!A:K,11,0)</f>
        <v>8</v>
      </c>
      <c r="H2510" s="2">
        <f>Googleadssales[[#This Row],[Conversions]]/Googleadssales[[#This Row],[Clicks]]</f>
        <v>4.9079754601226995E-2</v>
      </c>
      <c r="I2510" t="str">
        <f>VLOOKUP(Googleadssales[[#This Row],[Ad_ID]],'[1]pre processed data'!A:O,15,0)</f>
        <v>$1500</v>
      </c>
      <c r="J2510" s="3">
        <f>VLOOKUP(Googleadssales[[#This Row],[Ad_ID]],'[1]pre processed data'!A:Q,17,0)</f>
        <v>45621</v>
      </c>
      <c r="K2510" t="str">
        <f>VLOOKUP(Googleadssales[[#This Row],[Ad_ID]],'[1]pre processed data'!A:R,18,0)</f>
        <v>Hyderabad</v>
      </c>
      <c r="L2510" t="str">
        <f>VLOOKUP(Googleadssales[[#This Row],[Ad_ID]],'[1]pre processed data'!A:S,19,0)</f>
        <v>Desktop</v>
      </c>
      <c r="M2510" t="str">
        <f>VLOOKUP(Googleadssales[[#This Row],[Ad_ID]],'[1]pre processed data'!A:T,20,0)</f>
        <v>online data analytic</v>
      </c>
    </row>
    <row r="2511" spans="1:13" x14ac:dyDescent="0.3">
      <c r="A2511" t="s">
        <v>2524</v>
      </c>
      <c r="B2511" t="s">
        <v>18</v>
      </c>
      <c r="C2511" s="4">
        <f>VLOOKUP(Googleadssales[[#This Row],[Ad_ID]],'[1]pre processed data'!A:C,3,0)</f>
        <v>138.95699356913184</v>
      </c>
      <c r="D2511" s="4">
        <f>VLOOKUP(Googleadssales[[#This Row],[Ad_ID]],'[1]pre processed data'!A:E,5,0)</f>
        <v>3003</v>
      </c>
      <c r="E2511" s="5" t="str">
        <f>VLOOKUP(Googleadssales[[#This Row],[Ad_ID]],[1]!Table3[[Ad_ID]:[Cost-imputed]],7,0)</f>
        <v>$210.63</v>
      </c>
      <c r="F2511" s="4">
        <f>VLOOKUP(Googleadssales[[#This Row],[Ad_ID]],'[1]pre processed data'!A:I,9,0)</f>
        <v>16</v>
      </c>
      <c r="G2511" s="4">
        <f>VLOOKUP(Googleadssales[[#This Row],[Ad_ID]],'[1]pre processed data'!A:K,11,0)</f>
        <v>10</v>
      </c>
      <c r="H2511" s="2">
        <f>Googleadssales[[#This Row],[Conversions]]/Googleadssales[[#This Row],[Clicks]]</f>
        <v>7.1964711837443046E-2</v>
      </c>
      <c r="I2511" t="str">
        <f>VLOOKUP(Googleadssales[[#This Row],[Ad_ID]],'[1]pre processed data'!A:O,15,0)</f>
        <v>$1756</v>
      </c>
      <c r="J2511" s="3">
        <f>VLOOKUP(Googleadssales[[#This Row],[Ad_ID]],'[1]pre processed data'!A:Q,17,0)</f>
        <v>45612</v>
      </c>
      <c r="K2511" t="str">
        <f>VLOOKUP(Googleadssales[[#This Row],[Ad_ID]],'[1]pre processed data'!A:R,18,0)</f>
        <v>Chennai</v>
      </c>
      <c r="L2511" t="str">
        <f>VLOOKUP(Googleadssales[[#This Row],[Ad_ID]],'[1]pre processed data'!A:S,19,0)</f>
        <v>Tablet</v>
      </c>
      <c r="M2511" t="str">
        <f>VLOOKUP(Googleadssales[[#This Row],[Ad_ID]],'[1]pre processed data'!A:T,20,0)</f>
        <v>data analytics training</v>
      </c>
    </row>
    <row r="2512" spans="1:13" x14ac:dyDescent="0.3">
      <c r="A2512" t="s">
        <v>2525</v>
      </c>
      <c r="B2512" t="s">
        <v>14</v>
      </c>
      <c r="C2512" s="4">
        <f>VLOOKUP(Googleadssales[[#This Row],[Ad_ID]],'[1]pre processed data'!A:C,3,0)</f>
        <v>142</v>
      </c>
      <c r="D2512" s="4">
        <f>VLOOKUP(Googleadssales[[#This Row],[Ad_ID]],'[1]pre processed data'!A:E,5,0)</f>
        <v>3348</v>
      </c>
      <c r="E2512" s="5" t="str">
        <f>VLOOKUP(Googleadssales[[#This Row],[Ad_ID]],[1]!Table3[[Ad_ID]:[Cost-imputed]],7,0)</f>
        <v>$242.31</v>
      </c>
      <c r="F2512" s="4">
        <f>VLOOKUP(Googleadssales[[#This Row],[Ad_ID]],'[1]pre processed data'!A:I,9,0)</f>
        <v>12</v>
      </c>
      <c r="G2512" s="4">
        <f>VLOOKUP(Googleadssales[[#This Row],[Ad_ID]],'[1]pre processed data'!A:K,11,0)</f>
        <v>8</v>
      </c>
      <c r="H2512" s="2">
        <f>Googleadssales[[#This Row],[Conversions]]/Googleadssales[[#This Row],[Clicks]]</f>
        <v>5.6338028169014086E-2</v>
      </c>
      <c r="I2512" t="str">
        <f>VLOOKUP(Googleadssales[[#This Row],[Ad_ID]],'[1]pre processed data'!A:O,15,0)</f>
        <v>$1220</v>
      </c>
      <c r="J2512" s="3">
        <f>VLOOKUP(Googleadssales[[#This Row],[Ad_ID]],'[1]pre processed data'!A:Q,17,0)</f>
        <v>45617</v>
      </c>
      <c r="K2512" t="str">
        <f>VLOOKUP(Googleadssales[[#This Row],[Ad_ID]],'[1]pre processed data'!A:R,18,0)</f>
        <v>Bangaluru</v>
      </c>
      <c r="L2512" t="str">
        <f>VLOOKUP(Googleadssales[[#This Row],[Ad_ID]],'[1]pre processed data'!A:S,19,0)</f>
        <v>Tablet</v>
      </c>
      <c r="M2512" t="str">
        <f>VLOOKUP(Googleadssales[[#This Row],[Ad_ID]],'[1]pre processed data'!A:T,20,0)</f>
        <v>online data analytic</v>
      </c>
    </row>
    <row r="2513" spans="1:13" x14ac:dyDescent="0.3">
      <c r="A2513" t="s">
        <v>2526</v>
      </c>
      <c r="B2513" t="s">
        <v>14</v>
      </c>
      <c r="C2513" s="4">
        <f>VLOOKUP(Googleadssales[[#This Row],[Ad_ID]],'[1]pre processed data'!A:C,3,0)</f>
        <v>83</v>
      </c>
      <c r="D2513" s="4">
        <f>VLOOKUP(Googleadssales[[#This Row],[Ad_ID]],'[1]pre processed data'!A:E,5,0)</f>
        <v>3926</v>
      </c>
      <c r="E2513" s="5" t="str">
        <f>VLOOKUP(Googleadssales[[#This Row],[Ad_ID]],[1]!Table3[[Ad_ID]:[Cost-imputed]],7,0)</f>
        <v>$186.63</v>
      </c>
      <c r="F2513" s="4">
        <f>VLOOKUP(Googleadssales[[#This Row],[Ad_ID]],'[1]pre processed data'!A:I,9,0)</f>
        <v>21</v>
      </c>
      <c r="G2513" s="4">
        <f>VLOOKUP(Googleadssales[[#This Row],[Ad_ID]],'[1]pre processed data'!A:K,11,0)</f>
        <v>5</v>
      </c>
      <c r="H2513" s="2">
        <f>Googleadssales[[#This Row],[Conversions]]/Googleadssales[[#This Row],[Clicks]]</f>
        <v>6.0240963855421686E-2</v>
      </c>
      <c r="I2513" t="str">
        <f>VLOOKUP(Googleadssales[[#This Row],[Ad_ID]],'[1]pre processed data'!A:O,15,0)</f>
        <v>$1407</v>
      </c>
      <c r="J2513" s="3">
        <f>VLOOKUP(Googleadssales[[#This Row],[Ad_ID]],'[1]pre processed data'!A:Q,17,0)</f>
        <v>45602</v>
      </c>
      <c r="K2513" t="str">
        <f>VLOOKUP(Googleadssales[[#This Row],[Ad_ID]],'[1]pre processed data'!A:R,18,0)</f>
        <v>Bangaluru</v>
      </c>
      <c r="L2513" t="str">
        <f>VLOOKUP(Googleadssales[[#This Row],[Ad_ID]],'[1]pre processed data'!A:S,19,0)</f>
        <v>Tablet</v>
      </c>
      <c r="M2513" t="str">
        <f>VLOOKUP(Googleadssales[[#This Row],[Ad_ID]],'[1]pre processed data'!A:T,20,0)</f>
        <v>data analytics online</v>
      </c>
    </row>
    <row r="2514" spans="1:13" x14ac:dyDescent="0.3">
      <c r="A2514" t="s">
        <v>2527</v>
      </c>
      <c r="B2514" t="s">
        <v>14</v>
      </c>
      <c r="C2514" s="4">
        <f>VLOOKUP(Googleadssales[[#This Row],[Ad_ID]],'[1]pre processed data'!A:C,3,0)</f>
        <v>188</v>
      </c>
      <c r="D2514" s="4">
        <f>VLOOKUP(Googleadssales[[#This Row],[Ad_ID]],'[1]pre processed data'!A:E,5,0)</f>
        <v>3069</v>
      </c>
      <c r="E2514" s="5" t="str">
        <f>VLOOKUP(Googleadssales[[#This Row],[Ad_ID]],[1]!Table3[[Ad_ID]:[Cost-imputed]],7,0)</f>
        <v>$214.16</v>
      </c>
      <c r="F2514" s="4">
        <f>VLOOKUP(Googleadssales[[#This Row],[Ad_ID]],'[1]pre processed data'!A:I,9,0)</f>
        <v>26</v>
      </c>
      <c r="G2514" s="4">
        <f>VLOOKUP(Googleadssales[[#This Row],[Ad_ID]],'[1]pre processed data'!A:K,11,0)</f>
        <v>4</v>
      </c>
      <c r="H2514" s="2">
        <f>Googleadssales[[#This Row],[Conversions]]/Googleadssales[[#This Row],[Clicks]]</f>
        <v>2.1276595744680851E-2</v>
      </c>
      <c r="I2514" t="str">
        <f>VLOOKUP(Googleadssales[[#This Row],[Ad_ID]],'[1]pre processed data'!A:O,15,0)</f>
        <v>$1563</v>
      </c>
      <c r="J2514" s="3">
        <f>VLOOKUP(Googleadssales[[#This Row],[Ad_ID]],'[1]pre processed data'!A:Q,17,0)</f>
        <v>45610</v>
      </c>
      <c r="K2514" t="str">
        <f>VLOOKUP(Googleadssales[[#This Row],[Ad_ID]],'[1]pre processed data'!A:R,18,0)</f>
        <v>Hyderabad</v>
      </c>
      <c r="L2514" t="str">
        <f>VLOOKUP(Googleadssales[[#This Row],[Ad_ID]],'[1]pre processed data'!A:S,19,0)</f>
        <v>Desktop</v>
      </c>
      <c r="M2514" t="str">
        <f>VLOOKUP(Googleadssales[[#This Row],[Ad_ID]],'[1]pre processed data'!A:T,20,0)</f>
        <v>learn data analytics</v>
      </c>
    </row>
    <row r="2515" spans="1:13" x14ac:dyDescent="0.3">
      <c r="A2515" t="s">
        <v>2528</v>
      </c>
      <c r="B2515" t="s">
        <v>18</v>
      </c>
      <c r="C2515" s="4">
        <f>VLOOKUP(Googleadssales[[#This Row],[Ad_ID]],'[1]pre processed data'!A:C,3,0)</f>
        <v>193</v>
      </c>
      <c r="D2515" s="4">
        <f>VLOOKUP(Googleadssales[[#This Row],[Ad_ID]],'[1]pre processed data'!A:E,5,0)</f>
        <v>3978</v>
      </c>
      <c r="E2515" s="5" t="str">
        <f>VLOOKUP(Googleadssales[[#This Row],[Ad_ID]],[1]!Table3[[Ad_ID]:[Cost-imputed]],7,0)</f>
        <v>$231.8</v>
      </c>
      <c r="F2515" s="4">
        <f>VLOOKUP(Googleadssales[[#This Row],[Ad_ID]],'[1]pre processed data'!A:I,9,0)</f>
        <v>20</v>
      </c>
      <c r="G2515" s="4">
        <f>VLOOKUP(Googleadssales[[#This Row],[Ad_ID]],'[1]pre processed data'!A:K,11,0)</f>
        <v>3</v>
      </c>
      <c r="H2515" s="2">
        <f>Googleadssales[[#This Row],[Conversions]]/Googleadssales[[#This Row],[Clicks]]</f>
        <v>1.5544041450777202E-2</v>
      </c>
      <c r="I2515" t="str">
        <f>VLOOKUP(Googleadssales[[#This Row],[Ad_ID]],'[1]pre processed data'!A:O,15,0)</f>
        <v>$1126</v>
      </c>
      <c r="J2515" s="3">
        <f>VLOOKUP(Googleadssales[[#This Row],[Ad_ID]],'[1]pre processed data'!A:Q,17,0)</f>
        <v>45612</v>
      </c>
      <c r="K2515" t="str">
        <f>VLOOKUP(Googleadssales[[#This Row],[Ad_ID]],'[1]pre processed data'!A:R,18,0)</f>
        <v>Bangaluru</v>
      </c>
      <c r="L2515" t="str">
        <f>VLOOKUP(Googleadssales[[#This Row],[Ad_ID]],'[1]pre processed data'!A:S,19,0)</f>
        <v>Mobile</v>
      </c>
      <c r="M2515" t="str">
        <f>VLOOKUP(Googleadssales[[#This Row],[Ad_ID]],'[1]pre processed data'!A:T,20,0)</f>
        <v>online data analytic</v>
      </c>
    </row>
    <row r="2516" spans="1:13" x14ac:dyDescent="0.3">
      <c r="A2516" t="s">
        <v>2529</v>
      </c>
      <c r="B2516" t="s">
        <v>18</v>
      </c>
      <c r="C2516" s="4">
        <f>VLOOKUP(Googleadssales[[#This Row],[Ad_ID]],'[1]pre processed data'!A:C,3,0)</f>
        <v>181</v>
      </c>
      <c r="D2516" s="4">
        <f>VLOOKUP(Googleadssales[[#This Row],[Ad_ID]],'[1]pre processed data'!A:E,5,0)</f>
        <v>3652</v>
      </c>
      <c r="E2516" s="5" t="str">
        <f>VLOOKUP(Googleadssales[[#This Row],[Ad_ID]],[1]!Table3[[Ad_ID]:[Cost-imputed]],7,0)</f>
        <v>$206.2</v>
      </c>
      <c r="F2516" s="4">
        <f>VLOOKUP(Googleadssales[[#This Row],[Ad_ID]],'[1]pre processed data'!A:I,9,0)</f>
        <v>27</v>
      </c>
      <c r="G2516" s="4">
        <f>VLOOKUP(Googleadssales[[#This Row],[Ad_ID]],'[1]pre processed data'!A:K,11,0)</f>
        <v>7</v>
      </c>
      <c r="H2516" s="2">
        <f>Googleadssales[[#This Row],[Conversions]]/Googleadssales[[#This Row],[Clicks]]</f>
        <v>3.8674033149171269E-2</v>
      </c>
      <c r="I2516" t="str">
        <f>VLOOKUP(Googleadssales[[#This Row],[Ad_ID]],'[1]pre processed data'!A:O,15,0)</f>
        <v>$1690</v>
      </c>
      <c r="J2516" s="3">
        <f>VLOOKUP(Googleadssales[[#This Row],[Ad_ID]],'[1]pre processed data'!A:Q,17,0)</f>
        <v>45599</v>
      </c>
      <c r="K2516" t="str">
        <f>VLOOKUP(Googleadssales[[#This Row],[Ad_ID]],'[1]pre processed data'!A:R,18,0)</f>
        <v>Bangaluru</v>
      </c>
      <c r="L2516" t="str">
        <f>VLOOKUP(Googleadssales[[#This Row],[Ad_ID]],'[1]pre processed data'!A:S,19,0)</f>
        <v>Tablet</v>
      </c>
      <c r="M2516" t="str">
        <f>VLOOKUP(Googleadssales[[#This Row],[Ad_ID]],'[1]pre processed data'!A:T,20,0)</f>
        <v>analytics for data</v>
      </c>
    </row>
    <row r="2517" spans="1:13" x14ac:dyDescent="0.3">
      <c r="A2517" t="s">
        <v>2530</v>
      </c>
      <c r="B2517" t="s">
        <v>14</v>
      </c>
      <c r="C2517" s="4">
        <f>VLOOKUP(Googleadssales[[#This Row],[Ad_ID]],'[1]pre processed data'!A:C,3,0)</f>
        <v>199</v>
      </c>
      <c r="D2517" s="4">
        <f>VLOOKUP(Googleadssales[[#This Row],[Ad_ID]],'[1]pre processed data'!A:E,5,0)</f>
        <v>4400</v>
      </c>
      <c r="E2517" s="5" t="str">
        <f>VLOOKUP(Googleadssales[[#This Row],[Ad_ID]],[1]!Table3[[Ad_ID]:[Cost-imputed]],7,0)</f>
        <v>$228.05</v>
      </c>
      <c r="F2517" s="4">
        <f>VLOOKUP(Googleadssales[[#This Row],[Ad_ID]],'[1]pre processed data'!A:I,9,0)</f>
        <v>26</v>
      </c>
      <c r="G2517" s="4">
        <f>VLOOKUP(Googleadssales[[#This Row],[Ad_ID]],'[1]pre processed data'!A:K,11,0)</f>
        <v>8</v>
      </c>
      <c r="H2517" s="2">
        <f>Googleadssales[[#This Row],[Conversions]]/Googleadssales[[#This Row],[Clicks]]</f>
        <v>4.0201005025125629E-2</v>
      </c>
      <c r="I2517" t="str">
        <f>VLOOKUP(Googleadssales[[#This Row],[Ad_ID]],'[1]pre processed data'!A:O,15,0)</f>
        <v>$1025</v>
      </c>
      <c r="J2517" s="3">
        <f>VLOOKUP(Googleadssales[[#This Row],[Ad_ID]],'[1]pre processed data'!A:Q,17,0)</f>
        <v>45605</v>
      </c>
      <c r="K2517" t="str">
        <f>VLOOKUP(Googleadssales[[#This Row],[Ad_ID]],'[1]pre processed data'!A:R,18,0)</f>
        <v>Chennai</v>
      </c>
      <c r="L2517" t="str">
        <f>VLOOKUP(Googleadssales[[#This Row],[Ad_ID]],'[1]pre processed data'!A:S,19,0)</f>
        <v>Tablet</v>
      </c>
      <c r="M2517" t="str">
        <f>VLOOKUP(Googleadssales[[#This Row],[Ad_ID]],'[1]pre processed data'!A:T,20,0)</f>
        <v>learn data analytics</v>
      </c>
    </row>
    <row r="2518" spans="1:13" x14ac:dyDescent="0.3">
      <c r="A2518" t="s">
        <v>2531</v>
      </c>
      <c r="B2518" t="s">
        <v>18</v>
      </c>
      <c r="C2518" s="4">
        <f>VLOOKUP(Googleadssales[[#This Row],[Ad_ID]],'[1]pre processed data'!A:C,3,0)</f>
        <v>167</v>
      </c>
      <c r="D2518" s="4">
        <f>VLOOKUP(Googleadssales[[#This Row],[Ad_ID]],'[1]pre processed data'!A:E,5,0)</f>
        <v>5503</v>
      </c>
      <c r="E2518" s="5" t="str">
        <f>VLOOKUP(Googleadssales[[#This Row],[Ad_ID]],[1]!Table3[[Ad_ID]:[Cost-imputed]],7,0)</f>
        <v>$232.28</v>
      </c>
      <c r="F2518" s="4">
        <f>VLOOKUP(Googleadssales[[#This Row],[Ad_ID]],'[1]pre processed data'!A:I,9,0)</f>
        <v>19</v>
      </c>
      <c r="G2518" s="4">
        <f>VLOOKUP(Googleadssales[[#This Row],[Ad_ID]],'[1]pre processed data'!A:K,11,0)</f>
        <v>9</v>
      </c>
      <c r="H2518" s="2">
        <f>Googleadssales[[#This Row],[Conversions]]/Googleadssales[[#This Row],[Clicks]]</f>
        <v>5.3892215568862277E-2</v>
      </c>
      <c r="I2518" t="str">
        <f>VLOOKUP(Googleadssales[[#This Row],[Ad_ID]],'[1]pre processed data'!A:O,15,0)</f>
        <v>$1644</v>
      </c>
      <c r="J2518" s="3">
        <f>VLOOKUP(Googleadssales[[#This Row],[Ad_ID]],'[1]pre processed data'!A:Q,17,0)</f>
        <v>45601</v>
      </c>
      <c r="K2518" t="str">
        <f>VLOOKUP(Googleadssales[[#This Row],[Ad_ID]],'[1]pre processed data'!A:R,18,0)</f>
        <v>Hyderabad</v>
      </c>
      <c r="L2518" t="str">
        <f>VLOOKUP(Googleadssales[[#This Row],[Ad_ID]],'[1]pre processed data'!A:S,19,0)</f>
        <v>Mobile</v>
      </c>
      <c r="M2518" t="str">
        <f>VLOOKUP(Googleadssales[[#This Row],[Ad_ID]],'[1]pre processed data'!A:T,20,0)</f>
        <v>data analytics training</v>
      </c>
    </row>
    <row r="2519" spans="1:13" x14ac:dyDescent="0.3">
      <c r="A2519" t="s">
        <v>2532</v>
      </c>
      <c r="B2519" t="s">
        <v>14</v>
      </c>
      <c r="C2519" s="4">
        <f>VLOOKUP(Googleadssales[[#This Row],[Ad_ID]],'[1]pre processed data'!A:C,3,0)</f>
        <v>189</v>
      </c>
      <c r="D2519" s="4">
        <f>VLOOKUP(Googleadssales[[#This Row],[Ad_ID]],'[1]pre processed data'!A:E,5,0)</f>
        <v>4955</v>
      </c>
      <c r="E2519" s="5" t="str">
        <f>VLOOKUP(Googleadssales[[#This Row],[Ad_ID]],[1]!Table3[[Ad_ID]:[Cost-imputed]],7,0)</f>
        <v>$215.87</v>
      </c>
      <c r="F2519" s="4">
        <f>VLOOKUP(Googleadssales[[#This Row],[Ad_ID]],'[1]pre processed data'!A:I,9,0)</f>
        <v>21</v>
      </c>
      <c r="G2519" s="4">
        <f>VLOOKUP(Googleadssales[[#This Row],[Ad_ID]],'[1]pre processed data'!A:K,11,0)</f>
        <v>3</v>
      </c>
      <c r="H2519" s="2">
        <f>Googleadssales[[#This Row],[Conversions]]/Googleadssales[[#This Row],[Clicks]]</f>
        <v>1.5873015873015872E-2</v>
      </c>
      <c r="I2519" t="str">
        <f>VLOOKUP(Googleadssales[[#This Row],[Ad_ID]],'[1]pre processed data'!A:O,15,0)</f>
        <v>$1238</v>
      </c>
      <c r="J2519" s="3">
        <f>VLOOKUP(Googleadssales[[#This Row],[Ad_ID]],'[1]pre processed data'!A:Q,17,0)</f>
        <v>45613</v>
      </c>
      <c r="K2519" t="str">
        <f>VLOOKUP(Googleadssales[[#This Row],[Ad_ID]],'[1]pre processed data'!A:R,18,0)</f>
        <v>Bangaluru</v>
      </c>
      <c r="L2519" t="str">
        <f>VLOOKUP(Googleadssales[[#This Row],[Ad_ID]],'[1]pre processed data'!A:S,19,0)</f>
        <v>Mobile</v>
      </c>
      <c r="M2519" t="str">
        <f>VLOOKUP(Googleadssales[[#This Row],[Ad_ID]],'[1]pre processed data'!A:T,20,0)</f>
        <v>data analytics online</v>
      </c>
    </row>
    <row r="2520" spans="1:13" x14ac:dyDescent="0.3">
      <c r="A2520" t="s">
        <v>2533</v>
      </c>
      <c r="B2520" t="s">
        <v>14</v>
      </c>
      <c r="C2520" s="4">
        <f>VLOOKUP(Googleadssales[[#This Row],[Ad_ID]],'[1]pre processed data'!A:C,3,0)</f>
        <v>125</v>
      </c>
      <c r="D2520" s="4">
        <f>VLOOKUP(Googleadssales[[#This Row],[Ad_ID]],'[1]pre processed data'!A:E,5,0)</f>
        <v>3469</v>
      </c>
      <c r="E2520" s="5" t="str">
        <f>VLOOKUP(Googleadssales[[#This Row],[Ad_ID]],[1]!Table3[[Ad_ID]:[Cost-imputed]],7,0)</f>
        <v>$192.84</v>
      </c>
      <c r="F2520" s="4">
        <f>VLOOKUP(Googleadssales[[#This Row],[Ad_ID]],'[1]pre processed data'!A:I,9,0)</f>
        <v>16</v>
      </c>
      <c r="G2520" s="4">
        <f>VLOOKUP(Googleadssales[[#This Row],[Ad_ID]],'[1]pre processed data'!A:K,11,0)</f>
        <v>8</v>
      </c>
      <c r="H2520" s="2">
        <f>Googleadssales[[#This Row],[Conversions]]/Googleadssales[[#This Row],[Clicks]]</f>
        <v>6.4000000000000001E-2</v>
      </c>
      <c r="I2520" t="str">
        <f>VLOOKUP(Googleadssales[[#This Row],[Ad_ID]],'[1]pre processed data'!A:O,15,0)</f>
        <v>$1259</v>
      </c>
      <c r="J2520" s="3">
        <f>VLOOKUP(Googleadssales[[#This Row],[Ad_ID]],'[1]pre processed data'!A:Q,17,0)</f>
        <v>45613</v>
      </c>
      <c r="K2520" t="str">
        <f>VLOOKUP(Googleadssales[[#This Row],[Ad_ID]],'[1]pre processed data'!A:R,18,0)</f>
        <v>Hyderabad</v>
      </c>
      <c r="L2520" t="str">
        <f>VLOOKUP(Googleadssales[[#This Row],[Ad_ID]],'[1]pre processed data'!A:S,19,0)</f>
        <v>Desktop</v>
      </c>
      <c r="M2520" t="str">
        <f>VLOOKUP(Googleadssales[[#This Row],[Ad_ID]],'[1]pre processed data'!A:T,20,0)</f>
        <v>data analytics course</v>
      </c>
    </row>
    <row r="2521" spans="1:13" x14ac:dyDescent="0.3">
      <c r="A2521" t="s">
        <v>2534</v>
      </c>
      <c r="B2521" t="s">
        <v>14</v>
      </c>
      <c r="C2521" s="4">
        <f>VLOOKUP(Googleadssales[[#This Row],[Ad_ID]],'[1]pre processed data'!A:C,3,0)</f>
        <v>166</v>
      </c>
      <c r="D2521" s="4">
        <f>VLOOKUP(Googleadssales[[#This Row],[Ad_ID]],'[1]pre processed data'!A:E,5,0)</f>
        <v>4096</v>
      </c>
      <c r="E2521" s="5" t="str">
        <f>VLOOKUP(Googleadssales[[#This Row],[Ad_ID]],[1]!Table3[[Ad_ID]:[Cost-imputed]],7,0)</f>
        <v>$204.43</v>
      </c>
      <c r="F2521" s="4">
        <f>VLOOKUP(Googleadssales[[#This Row],[Ad_ID]],'[1]pre processed data'!A:I,9,0)</f>
        <v>28</v>
      </c>
      <c r="G2521" s="4">
        <f>VLOOKUP(Googleadssales[[#This Row],[Ad_ID]],'[1]pre processed data'!A:K,11,0)</f>
        <v>5</v>
      </c>
      <c r="H2521" s="2">
        <f>Googleadssales[[#This Row],[Conversions]]/Googleadssales[[#This Row],[Clicks]]</f>
        <v>3.0120481927710843E-2</v>
      </c>
      <c r="I2521" t="str">
        <f>VLOOKUP(Googleadssales[[#This Row],[Ad_ID]],'[1]pre processed data'!A:O,15,0)</f>
        <v>$1579</v>
      </c>
      <c r="J2521" s="3">
        <f>VLOOKUP(Googleadssales[[#This Row],[Ad_ID]],'[1]pre processed data'!A:Q,17,0)</f>
        <v>45602</v>
      </c>
      <c r="K2521" t="str">
        <f>VLOOKUP(Googleadssales[[#This Row],[Ad_ID]],'[1]pre processed data'!A:R,18,0)</f>
        <v>Hyderabad</v>
      </c>
      <c r="L2521" t="str">
        <f>VLOOKUP(Googleadssales[[#This Row],[Ad_ID]],'[1]pre processed data'!A:S,19,0)</f>
        <v>Desktop</v>
      </c>
      <c r="M2521" t="str">
        <f>VLOOKUP(Googleadssales[[#This Row],[Ad_ID]],'[1]pre processed data'!A:T,20,0)</f>
        <v>learn data analytics</v>
      </c>
    </row>
    <row r="2522" spans="1:13" x14ac:dyDescent="0.3">
      <c r="A2522" t="s">
        <v>2535</v>
      </c>
      <c r="B2522" t="s">
        <v>18</v>
      </c>
      <c r="C2522" s="4">
        <f>VLOOKUP(Googleadssales[[#This Row],[Ad_ID]],'[1]pre processed data'!A:C,3,0)</f>
        <v>181</v>
      </c>
      <c r="D2522" s="4">
        <f>VLOOKUP(Googleadssales[[#This Row],[Ad_ID]],'[1]pre processed data'!A:E,5,0)</f>
        <v>5171</v>
      </c>
      <c r="E2522" s="5" t="str">
        <f>VLOOKUP(Googleadssales[[#This Row],[Ad_ID]],[1]!Table3[[Ad_ID]:[Cost-imputed]],7,0)</f>
        <v>$208.69</v>
      </c>
      <c r="F2522" s="4">
        <f>VLOOKUP(Googleadssales[[#This Row],[Ad_ID]],'[1]pre processed data'!A:I,9,0)</f>
        <v>14</v>
      </c>
      <c r="G2522" s="4">
        <f>VLOOKUP(Googleadssales[[#This Row],[Ad_ID]],'[1]pre processed data'!A:K,11,0)</f>
        <v>4</v>
      </c>
      <c r="H2522" s="2">
        <f>Googleadssales[[#This Row],[Conversions]]/Googleadssales[[#This Row],[Clicks]]</f>
        <v>2.2099447513812154E-2</v>
      </c>
      <c r="I2522" t="str">
        <f>VLOOKUP(Googleadssales[[#This Row],[Ad_ID]],'[1]pre processed data'!A:O,15,0)</f>
        <v>$1628</v>
      </c>
      <c r="J2522" s="3">
        <f>VLOOKUP(Googleadssales[[#This Row],[Ad_ID]],'[1]pre processed data'!A:Q,17,0)</f>
        <v>45619</v>
      </c>
      <c r="K2522" t="str">
        <f>VLOOKUP(Googleadssales[[#This Row],[Ad_ID]],'[1]pre processed data'!A:R,18,0)</f>
        <v>Hyderabad</v>
      </c>
      <c r="L2522" t="str">
        <f>VLOOKUP(Googleadssales[[#This Row],[Ad_ID]],'[1]pre processed data'!A:S,19,0)</f>
        <v>Mobile</v>
      </c>
      <c r="M2522" t="str">
        <f>VLOOKUP(Googleadssales[[#This Row],[Ad_ID]],'[1]pre processed data'!A:T,20,0)</f>
        <v>data analytics course</v>
      </c>
    </row>
    <row r="2523" spans="1:13" x14ac:dyDescent="0.3">
      <c r="A2523" t="s">
        <v>2536</v>
      </c>
      <c r="B2523" t="s">
        <v>14</v>
      </c>
      <c r="C2523" s="4">
        <f>VLOOKUP(Googleadssales[[#This Row],[Ad_ID]],'[1]pre processed data'!A:C,3,0)</f>
        <v>138.95699356913184</v>
      </c>
      <c r="D2523" s="4">
        <f>VLOOKUP(Googleadssales[[#This Row],[Ad_ID]],'[1]pre processed data'!A:E,5,0)</f>
        <v>4878</v>
      </c>
      <c r="E2523" s="5" t="str">
        <f>VLOOKUP(Googleadssales[[#This Row],[Ad_ID]],[1]!Table3[[Ad_ID]:[Cost-imputed]],7,0)</f>
        <v>$183.26</v>
      </c>
      <c r="F2523" s="4">
        <f>VLOOKUP(Googleadssales[[#This Row],[Ad_ID]],'[1]pre processed data'!A:I,9,0)</f>
        <v>25</v>
      </c>
      <c r="G2523" s="4">
        <f>VLOOKUP(Googleadssales[[#This Row],[Ad_ID]],'[1]pre processed data'!A:K,11,0)</f>
        <v>3</v>
      </c>
      <c r="H2523" s="2">
        <f>Googleadssales[[#This Row],[Conversions]]/Googleadssales[[#This Row],[Clicks]]</f>
        <v>2.1589413551232915E-2</v>
      </c>
      <c r="I2523" t="str">
        <f>VLOOKUP(Googleadssales[[#This Row],[Ad_ID]],'[1]pre processed data'!A:O,15,0)</f>
        <v>$1986</v>
      </c>
      <c r="J2523" s="3">
        <f>VLOOKUP(Googleadssales[[#This Row],[Ad_ID]],'[1]pre processed data'!A:Q,17,0)</f>
        <v>45619</v>
      </c>
      <c r="K2523" t="str">
        <f>VLOOKUP(Googleadssales[[#This Row],[Ad_ID]],'[1]pre processed data'!A:R,18,0)</f>
        <v>Hyderabad</v>
      </c>
      <c r="L2523" t="str">
        <f>VLOOKUP(Googleadssales[[#This Row],[Ad_ID]],'[1]pre processed data'!A:S,19,0)</f>
        <v>Desktop</v>
      </c>
      <c r="M2523" t="str">
        <f>VLOOKUP(Googleadssales[[#This Row],[Ad_ID]],'[1]pre processed data'!A:T,20,0)</f>
        <v>learn data analytics</v>
      </c>
    </row>
    <row r="2524" spans="1:13" x14ac:dyDescent="0.3">
      <c r="A2524" t="s">
        <v>2537</v>
      </c>
      <c r="B2524" t="s">
        <v>14</v>
      </c>
      <c r="C2524" s="4">
        <f>VLOOKUP(Googleadssales[[#This Row],[Ad_ID]],'[1]pre processed data'!A:C,3,0)</f>
        <v>127</v>
      </c>
      <c r="D2524" s="4">
        <f>VLOOKUP(Googleadssales[[#This Row],[Ad_ID]],'[1]pre processed data'!A:E,5,0)</f>
        <v>3682</v>
      </c>
      <c r="E2524" s="5" t="str">
        <f>VLOOKUP(Googleadssales[[#This Row],[Ad_ID]],[1]!Table3[[Ad_ID]:[Cost-imputed]],7,0)</f>
        <v>$200.00</v>
      </c>
      <c r="F2524" s="4">
        <f>VLOOKUP(Googleadssales[[#This Row],[Ad_ID]],'[1]pre processed data'!A:I,9,0)</f>
        <v>21</v>
      </c>
      <c r="G2524" s="4">
        <f>VLOOKUP(Googleadssales[[#This Row],[Ad_ID]],'[1]pre processed data'!A:K,11,0)</f>
        <v>9</v>
      </c>
      <c r="H2524" s="2">
        <f>Googleadssales[[#This Row],[Conversions]]/Googleadssales[[#This Row],[Clicks]]</f>
        <v>7.0866141732283464E-2</v>
      </c>
      <c r="I2524" t="str">
        <f>VLOOKUP(Googleadssales[[#This Row],[Ad_ID]],'[1]pre processed data'!A:O,15,0)</f>
        <v>$1384</v>
      </c>
      <c r="J2524" s="3">
        <f>VLOOKUP(Googleadssales[[#This Row],[Ad_ID]],'[1]pre processed data'!A:Q,17,0)</f>
        <v>45618</v>
      </c>
      <c r="K2524" t="str">
        <f>VLOOKUP(Googleadssales[[#This Row],[Ad_ID]],'[1]pre processed data'!A:R,18,0)</f>
        <v>Hyderabad</v>
      </c>
      <c r="L2524" t="str">
        <f>VLOOKUP(Googleadssales[[#This Row],[Ad_ID]],'[1]pre processed data'!A:S,19,0)</f>
        <v>Tablet</v>
      </c>
      <c r="M2524" t="str">
        <f>VLOOKUP(Googleadssales[[#This Row],[Ad_ID]],'[1]pre processed data'!A:T,20,0)</f>
        <v>data analytics training</v>
      </c>
    </row>
    <row r="2525" spans="1:13" x14ac:dyDescent="0.3">
      <c r="A2525" t="s">
        <v>2538</v>
      </c>
      <c r="B2525" t="s">
        <v>14</v>
      </c>
      <c r="C2525" s="4">
        <f>VLOOKUP(Googleadssales[[#This Row],[Ad_ID]],'[1]pre processed data'!A:C,3,0)</f>
        <v>83</v>
      </c>
      <c r="D2525" s="4">
        <f>VLOOKUP(Googleadssales[[#This Row],[Ad_ID]],'[1]pre processed data'!A:E,5,0)</f>
        <v>3933</v>
      </c>
      <c r="E2525" s="5" t="str">
        <f>VLOOKUP(Googleadssales[[#This Row],[Ad_ID]],[1]!Table3[[Ad_ID]:[Cost-imputed]],7,0)</f>
        <v>$214.61</v>
      </c>
      <c r="F2525" s="4">
        <f>VLOOKUP(Googleadssales[[#This Row],[Ad_ID]],'[1]pre processed data'!A:I,9,0)</f>
        <v>29</v>
      </c>
      <c r="G2525" s="4">
        <f>VLOOKUP(Googleadssales[[#This Row],[Ad_ID]],'[1]pre processed data'!A:K,11,0)</f>
        <v>6</v>
      </c>
      <c r="H2525" s="2">
        <f>Googleadssales[[#This Row],[Conversions]]/Googleadssales[[#This Row],[Clicks]]</f>
        <v>7.2289156626506021E-2</v>
      </c>
      <c r="I2525" t="str">
        <f>VLOOKUP(Googleadssales[[#This Row],[Ad_ID]],'[1]pre processed data'!A:O,15,0)</f>
        <v>$1427</v>
      </c>
      <c r="J2525" s="3">
        <f>VLOOKUP(Googleadssales[[#This Row],[Ad_ID]],'[1]pre processed data'!A:Q,17,0)</f>
        <v>45616</v>
      </c>
      <c r="K2525" t="str">
        <f>VLOOKUP(Googleadssales[[#This Row],[Ad_ID]],'[1]pre processed data'!A:R,18,0)</f>
        <v>Hyderabad</v>
      </c>
      <c r="L2525" t="str">
        <f>VLOOKUP(Googleadssales[[#This Row],[Ad_ID]],'[1]pre processed data'!A:S,19,0)</f>
        <v>Tablet</v>
      </c>
      <c r="M2525" t="str">
        <f>VLOOKUP(Googleadssales[[#This Row],[Ad_ID]],'[1]pre processed data'!A:T,20,0)</f>
        <v>data analytics training</v>
      </c>
    </row>
    <row r="2526" spans="1:13" x14ac:dyDescent="0.3">
      <c r="A2526" t="s">
        <v>2539</v>
      </c>
      <c r="B2526" t="s">
        <v>14</v>
      </c>
      <c r="C2526" s="4">
        <f>VLOOKUP(Googleadssales[[#This Row],[Ad_ID]],'[1]pre processed data'!A:C,3,0)</f>
        <v>80</v>
      </c>
      <c r="D2526" s="4">
        <f>VLOOKUP(Googleadssales[[#This Row],[Ad_ID]],'[1]pre processed data'!A:E,5,0)</f>
        <v>3240</v>
      </c>
      <c r="E2526" s="5" t="str">
        <f>VLOOKUP(Googleadssales[[#This Row],[Ad_ID]],[1]!Table3[[Ad_ID]:[Cost-imputed]],7,0)</f>
        <v>$221.11</v>
      </c>
      <c r="F2526" s="4">
        <f>VLOOKUP(Googleadssales[[#This Row],[Ad_ID]],'[1]pre processed data'!A:I,9,0)</f>
        <v>29</v>
      </c>
      <c r="G2526" s="4">
        <f>VLOOKUP(Googleadssales[[#This Row],[Ad_ID]],'[1]pre processed data'!A:K,11,0)</f>
        <v>6.2173913043478262</v>
      </c>
      <c r="H2526" s="2">
        <f>Googleadssales[[#This Row],[Conversions]]/Googleadssales[[#This Row],[Clicks]]</f>
        <v>7.7717391304347822E-2</v>
      </c>
      <c r="I2526" t="str">
        <f>VLOOKUP(Googleadssales[[#This Row],[Ad_ID]],'[1]pre processed data'!A:O,15,0)</f>
        <v>$1263</v>
      </c>
      <c r="J2526" s="3">
        <f>VLOOKUP(Googleadssales[[#This Row],[Ad_ID]],'[1]pre processed data'!A:Q,17,0)</f>
        <v>45610</v>
      </c>
      <c r="K2526" t="str">
        <f>VLOOKUP(Googleadssales[[#This Row],[Ad_ID]],'[1]pre processed data'!A:R,18,0)</f>
        <v>Hyderabad</v>
      </c>
      <c r="L2526" t="str">
        <f>VLOOKUP(Googleadssales[[#This Row],[Ad_ID]],'[1]pre processed data'!A:S,19,0)</f>
        <v>Desktop</v>
      </c>
      <c r="M2526" t="str">
        <f>VLOOKUP(Googleadssales[[#This Row],[Ad_ID]],'[1]pre processed data'!A:T,20,0)</f>
        <v>learn data analytics</v>
      </c>
    </row>
    <row r="2527" spans="1:13" x14ac:dyDescent="0.3">
      <c r="A2527" t="s">
        <v>2540</v>
      </c>
      <c r="B2527" t="s">
        <v>14</v>
      </c>
      <c r="C2527" s="4">
        <f>VLOOKUP(Googleadssales[[#This Row],[Ad_ID]],'[1]pre processed data'!A:C,3,0)</f>
        <v>105</v>
      </c>
      <c r="D2527" s="4">
        <f>VLOOKUP(Googleadssales[[#This Row],[Ad_ID]],'[1]pre processed data'!A:E,5,0)</f>
        <v>3030</v>
      </c>
      <c r="E2527" s="5" t="str">
        <f>VLOOKUP(Googleadssales[[#This Row],[Ad_ID]],[1]!Table3[[Ad_ID]:[Cost-imputed]],7,0)</f>
        <v>$185.91</v>
      </c>
      <c r="F2527" s="4">
        <f>VLOOKUP(Googleadssales[[#This Row],[Ad_ID]],'[1]pre processed data'!A:I,9,0)</f>
        <v>24</v>
      </c>
      <c r="G2527" s="4">
        <f>VLOOKUP(Googleadssales[[#This Row],[Ad_ID]],'[1]pre processed data'!A:K,11,0)</f>
        <v>5</v>
      </c>
      <c r="H2527" s="2">
        <f>Googleadssales[[#This Row],[Conversions]]/Googleadssales[[#This Row],[Clicks]]</f>
        <v>4.7619047619047616E-2</v>
      </c>
      <c r="I2527" t="str">
        <f>VLOOKUP(Googleadssales[[#This Row],[Ad_ID]],'[1]pre processed data'!A:O,15,0)</f>
        <v>$1263</v>
      </c>
      <c r="J2527" s="3">
        <f>VLOOKUP(Googleadssales[[#This Row],[Ad_ID]],'[1]pre processed data'!A:Q,17,0)</f>
        <v>45598</v>
      </c>
      <c r="K2527" t="str">
        <f>VLOOKUP(Googleadssales[[#This Row],[Ad_ID]],'[1]pre processed data'!A:R,18,0)</f>
        <v>Bangaluru</v>
      </c>
      <c r="L2527" t="str">
        <f>VLOOKUP(Googleadssales[[#This Row],[Ad_ID]],'[1]pre processed data'!A:S,19,0)</f>
        <v>Desktop</v>
      </c>
      <c r="M2527" t="str">
        <f>VLOOKUP(Googleadssales[[#This Row],[Ad_ID]],'[1]pre processed data'!A:T,20,0)</f>
        <v>data analytics course</v>
      </c>
    </row>
    <row r="2528" spans="1:13" x14ac:dyDescent="0.3">
      <c r="A2528" t="s">
        <v>2541</v>
      </c>
      <c r="B2528" t="s">
        <v>14</v>
      </c>
      <c r="C2528" s="4">
        <f>VLOOKUP(Googleadssales[[#This Row],[Ad_ID]],'[1]pre processed data'!A:C,3,0)</f>
        <v>155</v>
      </c>
      <c r="D2528" s="4">
        <f>VLOOKUP(Googleadssales[[#This Row],[Ad_ID]],'[1]pre processed data'!A:E,5,0)</f>
        <v>4676</v>
      </c>
      <c r="E2528" s="5" t="str">
        <f>VLOOKUP(Googleadssales[[#This Row],[Ad_ID]],[1]!Table3[[Ad_ID]:[Cost-imputed]],7,0)</f>
        <v>$219.3</v>
      </c>
      <c r="F2528" s="4">
        <f>VLOOKUP(Googleadssales[[#This Row],[Ad_ID]],'[1]pre processed data'!A:I,9,0)</f>
        <v>26</v>
      </c>
      <c r="G2528" s="4">
        <f>VLOOKUP(Googleadssales[[#This Row],[Ad_ID]],'[1]pre processed data'!A:K,11,0)</f>
        <v>6.2352941176470589</v>
      </c>
      <c r="H2528" s="2">
        <f>Googleadssales[[#This Row],[Conversions]]/Googleadssales[[#This Row],[Clicks]]</f>
        <v>4.0227703984819736E-2</v>
      </c>
      <c r="I2528" t="str">
        <f>VLOOKUP(Googleadssales[[#This Row],[Ad_ID]],'[1]pre processed data'!A:O,15,0)</f>
        <v>$1787</v>
      </c>
      <c r="J2528" s="3">
        <f>VLOOKUP(Googleadssales[[#This Row],[Ad_ID]],'[1]pre processed data'!A:Q,17,0)</f>
        <v>45598</v>
      </c>
      <c r="K2528" t="str">
        <f>VLOOKUP(Googleadssales[[#This Row],[Ad_ID]],'[1]pre processed data'!A:R,18,0)</f>
        <v>Bangaluru</v>
      </c>
      <c r="L2528" t="str">
        <f>VLOOKUP(Googleadssales[[#This Row],[Ad_ID]],'[1]pre processed data'!A:S,19,0)</f>
        <v>Tablet</v>
      </c>
      <c r="M2528" t="str">
        <f>VLOOKUP(Googleadssales[[#This Row],[Ad_ID]],'[1]pre processed data'!A:T,20,0)</f>
        <v>learn data analytics</v>
      </c>
    </row>
    <row r="2529" spans="1:13" x14ac:dyDescent="0.3">
      <c r="A2529" t="s">
        <v>2542</v>
      </c>
      <c r="B2529" t="s">
        <v>18</v>
      </c>
      <c r="C2529" s="4">
        <f>VLOOKUP(Googleadssales[[#This Row],[Ad_ID]],'[1]pre processed data'!A:C,3,0)</f>
        <v>185</v>
      </c>
      <c r="D2529" s="4">
        <f>VLOOKUP(Googleadssales[[#This Row],[Ad_ID]],'[1]pre processed data'!A:E,5,0)</f>
        <v>4523.2808326787117</v>
      </c>
      <c r="E2529" s="5" t="str">
        <f>VLOOKUP(Googleadssales[[#This Row],[Ad_ID]],[1]!Table3[[Ad_ID]:[Cost-imputed]],7,0)</f>
        <v>$208.41</v>
      </c>
      <c r="F2529" s="4">
        <f>VLOOKUP(Googleadssales[[#This Row],[Ad_ID]],'[1]pre processed data'!A:I,9,0)</f>
        <v>25</v>
      </c>
      <c r="G2529" s="4">
        <f>VLOOKUP(Googleadssales[[#This Row],[Ad_ID]],'[1]pre processed data'!A:K,11,0)</f>
        <v>3</v>
      </c>
      <c r="H2529" s="2">
        <f>Googleadssales[[#This Row],[Conversions]]/Googleadssales[[#This Row],[Clicks]]</f>
        <v>1.6216216216216217E-2</v>
      </c>
      <c r="I2529" t="str">
        <f>VLOOKUP(Googleadssales[[#This Row],[Ad_ID]],'[1]pre processed data'!A:O,15,0)</f>
        <v>$1006</v>
      </c>
      <c r="J2529" s="3">
        <f>VLOOKUP(Googleadssales[[#This Row],[Ad_ID]],'[1]pre processed data'!A:Q,17,0)</f>
        <v>45609</v>
      </c>
      <c r="K2529" t="str">
        <f>VLOOKUP(Googleadssales[[#This Row],[Ad_ID]],'[1]pre processed data'!A:R,18,0)</f>
        <v>Hyderabad</v>
      </c>
      <c r="L2529" t="str">
        <f>VLOOKUP(Googleadssales[[#This Row],[Ad_ID]],'[1]pre processed data'!A:S,19,0)</f>
        <v>Mobile</v>
      </c>
      <c r="M2529" t="str">
        <f>VLOOKUP(Googleadssales[[#This Row],[Ad_ID]],'[1]pre processed data'!A:T,20,0)</f>
        <v>data analytics training</v>
      </c>
    </row>
    <row r="2530" spans="1:13" x14ac:dyDescent="0.3">
      <c r="A2530" t="s">
        <v>2543</v>
      </c>
      <c r="B2530" t="s">
        <v>14</v>
      </c>
      <c r="C2530" s="4">
        <f>VLOOKUP(Googleadssales[[#This Row],[Ad_ID]],'[1]pre processed data'!A:C,3,0)</f>
        <v>132</v>
      </c>
      <c r="D2530" s="4">
        <f>VLOOKUP(Googleadssales[[#This Row],[Ad_ID]],'[1]pre processed data'!A:E,5,0)</f>
        <v>5616</v>
      </c>
      <c r="E2530" s="5" t="str">
        <f>VLOOKUP(Googleadssales[[#This Row],[Ad_ID]],[1]!Table3[[Ad_ID]:[Cost-imputed]],7,0)</f>
        <v>$200.00</v>
      </c>
      <c r="F2530" s="4">
        <f>VLOOKUP(Googleadssales[[#This Row],[Ad_ID]],'[1]pre processed data'!A:I,9,0)</f>
        <v>28</v>
      </c>
      <c r="G2530" s="4">
        <f>VLOOKUP(Googleadssales[[#This Row],[Ad_ID]],'[1]pre processed data'!A:K,11,0)</f>
        <v>7</v>
      </c>
      <c r="H2530" s="2">
        <f>Googleadssales[[#This Row],[Conversions]]/Googleadssales[[#This Row],[Clicks]]</f>
        <v>5.3030303030303032E-2</v>
      </c>
      <c r="I2530" t="str">
        <f>VLOOKUP(Googleadssales[[#This Row],[Ad_ID]],'[1]pre processed data'!A:O,15,0)</f>
        <v>$1491</v>
      </c>
      <c r="J2530" s="3">
        <f>VLOOKUP(Googleadssales[[#This Row],[Ad_ID]],'[1]pre processed data'!A:Q,17,0)</f>
        <v>45622</v>
      </c>
      <c r="K2530" t="str">
        <f>VLOOKUP(Googleadssales[[#This Row],[Ad_ID]],'[1]pre processed data'!A:R,18,0)</f>
        <v>Hyderabad</v>
      </c>
      <c r="L2530" t="str">
        <f>VLOOKUP(Googleadssales[[#This Row],[Ad_ID]],'[1]pre processed data'!A:S,19,0)</f>
        <v>Desktop</v>
      </c>
      <c r="M2530" t="str">
        <f>VLOOKUP(Googleadssales[[#This Row],[Ad_ID]],'[1]pre processed data'!A:T,20,0)</f>
        <v>data analytics online</v>
      </c>
    </row>
    <row r="2531" spans="1:13" x14ac:dyDescent="0.3">
      <c r="A2531" t="s">
        <v>2544</v>
      </c>
      <c r="B2531" t="s">
        <v>14</v>
      </c>
      <c r="C2531" s="4">
        <f>VLOOKUP(Googleadssales[[#This Row],[Ad_ID]],'[1]pre processed data'!A:C,3,0)</f>
        <v>198</v>
      </c>
      <c r="D2531" s="4">
        <f>VLOOKUP(Googleadssales[[#This Row],[Ad_ID]],'[1]pre processed data'!A:E,5,0)</f>
        <v>5736</v>
      </c>
      <c r="E2531" s="5" t="str">
        <f>VLOOKUP(Googleadssales[[#This Row],[Ad_ID]],[1]!Table3[[Ad_ID]:[Cost-imputed]],7,0)</f>
        <v>$227.53</v>
      </c>
      <c r="F2531" s="4">
        <f>VLOOKUP(Googleadssales[[#This Row],[Ad_ID]],'[1]pre processed data'!A:I,9,0)</f>
        <v>14</v>
      </c>
      <c r="G2531" s="4">
        <f>VLOOKUP(Googleadssales[[#This Row],[Ad_ID]],'[1]pre processed data'!A:K,11,0)</f>
        <v>9</v>
      </c>
      <c r="H2531" s="2">
        <f>Googleadssales[[#This Row],[Conversions]]/Googleadssales[[#This Row],[Clicks]]</f>
        <v>4.5454545454545456E-2</v>
      </c>
      <c r="I2531" t="str">
        <f>VLOOKUP(Googleadssales[[#This Row],[Ad_ID]],'[1]pre processed data'!A:O,15,0)</f>
        <v>$1607</v>
      </c>
      <c r="J2531" s="3">
        <f>VLOOKUP(Googleadssales[[#This Row],[Ad_ID]],'[1]pre processed data'!A:Q,17,0)</f>
        <v>45614</v>
      </c>
      <c r="K2531" t="str">
        <f>VLOOKUP(Googleadssales[[#This Row],[Ad_ID]],'[1]pre processed data'!A:R,18,0)</f>
        <v>Chennai</v>
      </c>
      <c r="L2531" t="str">
        <f>VLOOKUP(Googleadssales[[#This Row],[Ad_ID]],'[1]pre processed data'!A:S,19,0)</f>
        <v>Mobile</v>
      </c>
      <c r="M2531" t="str">
        <f>VLOOKUP(Googleadssales[[#This Row],[Ad_ID]],'[1]pre processed data'!A:T,20,0)</f>
        <v>learn data analytics</v>
      </c>
    </row>
    <row r="2532" spans="1:13" x14ac:dyDescent="0.3">
      <c r="A2532" t="s">
        <v>2545</v>
      </c>
      <c r="B2532" t="s">
        <v>14</v>
      </c>
      <c r="C2532" s="4">
        <f>VLOOKUP(Googleadssales[[#This Row],[Ad_ID]],'[1]pre processed data'!A:C,3,0)</f>
        <v>184</v>
      </c>
      <c r="D2532" s="4">
        <f>VLOOKUP(Googleadssales[[#This Row],[Ad_ID]],'[1]pre processed data'!A:E,5,0)</f>
        <v>3641</v>
      </c>
      <c r="E2532" s="5" t="str">
        <f>VLOOKUP(Googleadssales[[#This Row],[Ad_ID]],[1]!Table3[[Ad_ID]:[Cost-imputed]],7,0)</f>
        <v>$189.0</v>
      </c>
      <c r="F2532" s="4">
        <f>VLOOKUP(Googleadssales[[#This Row],[Ad_ID]],'[1]pre processed data'!A:I,9,0)</f>
        <v>22</v>
      </c>
      <c r="G2532" s="4">
        <f>VLOOKUP(Googleadssales[[#This Row],[Ad_ID]],'[1]pre processed data'!A:K,11,0)</f>
        <v>7</v>
      </c>
      <c r="H2532" s="2">
        <f>Googleadssales[[#This Row],[Conversions]]/Googleadssales[[#This Row],[Clicks]]</f>
        <v>3.8043478260869568E-2</v>
      </c>
      <c r="I2532" t="str">
        <f>VLOOKUP(Googleadssales[[#This Row],[Ad_ID]],'[1]pre processed data'!A:O,15,0)</f>
        <v>$1905</v>
      </c>
      <c r="J2532" s="3">
        <f>VLOOKUP(Googleadssales[[#This Row],[Ad_ID]],'[1]pre processed data'!A:Q,17,0)</f>
        <v>45611</v>
      </c>
      <c r="K2532" t="str">
        <f>VLOOKUP(Googleadssales[[#This Row],[Ad_ID]],'[1]pre processed data'!A:R,18,0)</f>
        <v>Hyderabad</v>
      </c>
      <c r="L2532" t="str">
        <f>VLOOKUP(Googleadssales[[#This Row],[Ad_ID]],'[1]pre processed data'!A:S,19,0)</f>
        <v>Tablet</v>
      </c>
      <c r="M2532" t="str">
        <f>VLOOKUP(Googleadssales[[#This Row],[Ad_ID]],'[1]pre processed data'!A:T,20,0)</f>
        <v>data analytics training</v>
      </c>
    </row>
    <row r="2533" spans="1:13" x14ac:dyDescent="0.3">
      <c r="A2533" t="s">
        <v>2546</v>
      </c>
      <c r="B2533" t="s">
        <v>14</v>
      </c>
      <c r="C2533" s="4">
        <f>VLOOKUP(Googleadssales[[#This Row],[Ad_ID]],'[1]pre processed data'!A:C,3,0)</f>
        <v>190</v>
      </c>
      <c r="D2533" s="4">
        <f>VLOOKUP(Googleadssales[[#This Row],[Ad_ID]],'[1]pre processed data'!A:E,5,0)</f>
        <v>5429</v>
      </c>
      <c r="E2533" s="5" t="str">
        <f>VLOOKUP(Googleadssales[[#This Row],[Ad_ID]],[1]!Table3[[Ad_ID]:[Cost-imputed]],7,0)</f>
        <v>$243.6</v>
      </c>
      <c r="F2533" s="4">
        <f>VLOOKUP(Googleadssales[[#This Row],[Ad_ID]],'[1]pre processed data'!A:I,9,0)</f>
        <v>23</v>
      </c>
      <c r="G2533" s="4">
        <f>VLOOKUP(Googleadssales[[#This Row],[Ad_ID]],'[1]pre processed data'!A:K,11,0)</f>
        <v>8</v>
      </c>
      <c r="H2533" s="2">
        <f>Googleadssales[[#This Row],[Conversions]]/Googleadssales[[#This Row],[Clicks]]</f>
        <v>4.2105263157894736E-2</v>
      </c>
      <c r="I2533" t="str">
        <f>VLOOKUP(Googleadssales[[#This Row],[Ad_ID]],'[1]pre processed data'!A:O,15,0)</f>
        <v>$1500</v>
      </c>
      <c r="J2533" s="3">
        <f>VLOOKUP(Googleadssales[[#This Row],[Ad_ID]],'[1]pre processed data'!A:Q,17,0)</f>
        <v>45619</v>
      </c>
      <c r="K2533" t="str">
        <f>VLOOKUP(Googleadssales[[#This Row],[Ad_ID]],'[1]pre processed data'!A:R,18,0)</f>
        <v>Hyderabad</v>
      </c>
      <c r="L2533" t="str">
        <f>VLOOKUP(Googleadssales[[#This Row],[Ad_ID]],'[1]pre processed data'!A:S,19,0)</f>
        <v>Tablet</v>
      </c>
      <c r="M2533" t="str">
        <f>VLOOKUP(Googleadssales[[#This Row],[Ad_ID]],'[1]pre processed data'!A:T,20,0)</f>
        <v>data analytics course</v>
      </c>
    </row>
    <row r="2534" spans="1:13" x14ac:dyDescent="0.3">
      <c r="A2534" t="s">
        <v>2547</v>
      </c>
      <c r="B2534" t="s">
        <v>14</v>
      </c>
      <c r="C2534" s="4">
        <f>VLOOKUP(Googleadssales[[#This Row],[Ad_ID]],'[1]pre processed data'!A:C,3,0)</f>
        <v>127</v>
      </c>
      <c r="D2534" s="4">
        <f>VLOOKUP(Googleadssales[[#This Row],[Ad_ID]],'[1]pre processed data'!A:E,5,0)</f>
        <v>4327</v>
      </c>
      <c r="E2534" s="5" t="str">
        <f>VLOOKUP(Googleadssales[[#This Row],[Ad_ID]],[1]!Table3[[Ad_ID]:[Cost-imputed]],7,0)</f>
        <v>$220.57</v>
      </c>
      <c r="F2534" s="4">
        <f>VLOOKUP(Googleadssales[[#This Row],[Ad_ID]],'[1]pre processed data'!A:I,9,0)</f>
        <v>24</v>
      </c>
      <c r="G2534" s="4">
        <f>VLOOKUP(Googleadssales[[#This Row],[Ad_ID]],'[1]pre processed data'!A:K,11,0)</f>
        <v>5</v>
      </c>
      <c r="H2534" s="2">
        <f>Googleadssales[[#This Row],[Conversions]]/Googleadssales[[#This Row],[Clicks]]</f>
        <v>3.937007874015748E-2</v>
      </c>
      <c r="I2534" t="str">
        <f>VLOOKUP(Googleadssales[[#This Row],[Ad_ID]],'[1]pre processed data'!A:O,15,0)</f>
        <v>$1017</v>
      </c>
      <c r="J2534" s="3">
        <f>VLOOKUP(Googleadssales[[#This Row],[Ad_ID]],'[1]pre processed data'!A:Q,17,0)</f>
        <v>45617</v>
      </c>
      <c r="K2534" t="str">
        <f>VLOOKUP(Googleadssales[[#This Row],[Ad_ID]],'[1]pre processed data'!A:R,18,0)</f>
        <v>Chennai</v>
      </c>
      <c r="L2534" t="str">
        <f>VLOOKUP(Googleadssales[[#This Row],[Ad_ID]],'[1]pre processed data'!A:S,19,0)</f>
        <v>Mobile</v>
      </c>
      <c r="M2534" t="str">
        <f>VLOOKUP(Googleadssales[[#This Row],[Ad_ID]],'[1]pre processed data'!A:T,20,0)</f>
        <v>data analytics course</v>
      </c>
    </row>
    <row r="2535" spans="1:13" x14ac:dyDescent="0.3">
      <c r="A2535" t="s">
        <v>2548</v>
      </c>
      <c r="B2535" t="s">
        <v>14</v>
      </c>
      <c r="C2535" s="4">
        <f>VLOOKUP(Googleadssales[[#This Row],[Ad_ID]],'[1]pre processed data'!A:C,3,0)</f>
        <v>130</v>
      </c>
      <c r="D2535" s="4">
        <f>VLOOKUP(Googleadssales[[#This Row],[Ad_ID]],'[1]pre processed data'!A:E,5,0)</f>
        <v>5340</v>
      </c>
      <c r="E2535" s="5" t="str">
        <f>VLOOKUP(Googleadssales[[#This Row],[Ad_ID]],[1]!Table3[[Ad_ID]:[Cost-imputed]],7,0)</f>
        <v>$221.95</v>
      </c>
      <c r="F2535" s="4">
        <f>VLOOKUP(Googleadssales[[#This Row],[Ad_ID]],'[1]pre processed data'!A:I,9,0)</f>
        <v>27</v>
      </c>
      <c r="G2535" s="4">
        <f>VLOOKUP(Googleadssales[[#This Row],[Ad_ID]],'[1]pre processed data'!A:K,11,0)</f>
        <v>6.209677419354839</v>
      </c>
      <c r="H2535" s="2">
        <f>Googleadssales[[#This Row],[Conversions]]/Googleadssales[[#This Row],[Clicks]]</f>
        <v>4.7766749379652605E-2</v>
      </c>
      <c r="I2535" t="str">
        <f>VLOOKUP(Googleadssales[[#This Row],[Ad_ID]],'[1]pre processed data'!A:O,15,0)</f>
        <v>$1488</v>
      </c>
      <c r="J2535" s="3">
        <f>VLOOKUP(Googleadssales[[#This Row],[Ad_ID]],'[1]pre processed data'!A:Q,17,0)</f>
        <v>45598</v>
      </c>
      <c r="K2535" t="str">
        <f>VLOOKUP(Googleadssales[[#This Row],[Ad_ID]],'[1]pre processed data'!A:R,18,0)</f>
        <v>Chennai</v>
      </c>
      <c r="L2535" t="str">
        <f>VLOOKUP(Googleadssales[[#This Row],[Ad_ID]],'[1]pre processed data'!A:S,19,0)</f>
        <v>Tablet</v>
      </c>
      <c r="M2535" t="str">
        <f>VLOOKUP(Googleadssales[[#This Row],[Ad_ID]],'[1]pre processed data'!A:T,20,0)</f>
        <v>data analytics online</v>
      </c>
    </row>
    <row r="2536" spans="1:13" x14ac:dyDescent="0.3">
      <c r="A2536" t="s">
        <v>2549</v>
      </c>
      <c r="B2536" t="s">
        <v>14</v>
      </c>
      <c r="C2536" s="4">
        <f>VLOOKUP(Googleadssales[[#This Row],[Ad_ID]],'[1]pre processed data'!A:C,3,0)</f>
        <v>172</v>
      </c>
      <c r="D2536" s="4">
        <f>VLOOKUP(Googleadssales[[#This Row],[Ad_ID]],'[1]pre processed data'!A:E,5,0)</f>
        <v>3612</v>
      </c>
      <c r="E2536" s="5" t="str">
        <f>VLOOKUP(Googleadssales[[#This Row],[Ad_ID]],[1]!Table3[[Ad_ID]:[Cost-imputed]],7,0)</f>
        <v>$191.27</v>
      </c>
      <c r="F2536" s="4">
        <f>VLOOKUP(Googleadssales[[#This Row],[Ad_ID]],'[1]pre processed data'!A:I,9,0)</f>
        <v>25</v>
      </c>
      <c r="G2536" s="4">
        <f>VLOOKUP(Googleadssales[[#This Row],[Ad_ID]],'[1]pre processed data'!A:K,11,0)</f>
        <v>10</v>
      </c>
      <c r="H2536" s="2">
        <f>Googleadssales[[#This Row],[Conversions]]/Googleadssales[[#This Row],[Clicks]]</f>
        <v>5.8139534883720929E-2</v>
      </c>
      <c r="I2536" t="str">
        <f>VLOOKUP(Googleadssales[[#This Row],[Ad_ID]],'[1]pre processed data'!A:O,15,0)</f>
        <v>$1243</v>
      </c>
      <c r="J2536" s="3">
        <f>VLOOKUP(Googleadssales[[#This Row],[Ad_ID]],'[1]pre processed data'!A:Q,17,0)</f>
        <v>45614</v>
      </c>
      <c r="K2536" t="str">
        <f>VLOOKUP(Googleadssales[[#This Row],[Ad_ID]],'[1]pre processed data'!A:R,18,0)</f>
        <v>Hyderabad</v>
      </c>
      <c r="L2536" t="str">
        <f>VLOOKUP(Googleadssales[[#This Row],[Ad_ID]],'[1]pre processed data'!A:S,19,0)</f>
        <v>Mobile</v>
      </c>
      <c r="M2536" t="str">
        <f>VLOOKUP(Googleadssales[[#This Row],[Ad_ID]],'[1]pre processed data'!A:T,20,0)</f>
        <v>analytics for data</v>
      </c>
    </row>
    <row r="2537" spans="1:13" x14ac:dyDescent="0.3">
      <c r="A2537" t="s">
        <v>2550</v>
      </c>
      <c r="B2537" t="s">
        <v>14</v>
      </c>
      <c r="C2537" s="4">
        <f>VLOOKUP(Googleadssales[[#This Row],[Ad_ID]],'[1]pre processed data'!A:C,3,0)</f>
        <v>138.95699356913184</v>
      </c>
      <c r="D2537" s="4">
        <f>VLOOKUP(Googleadssales[[#This Row],[Ad_ID]],'[1]pre processed data'!A:E,5,0)</f>
        <v>4195</v>
      </c>
      <c r="E2537" s="5" t="str">
        <f>VLOOKUP(Googleadssales[[#This Row],[Ad_ID]],[1]!Table3[[Ad_ID]:[Cost-imputed]],7,0)</f>
        <v>$226.79</v>
      </c>
      <c r="F2537" s="4">
        <f>VLOOKUP(Googleadssales[[#This Row],[Ad_ID]],'[1]pre processed data'!A:I,9,0)</f>
        <v>27</v>
      </c>
      <c r="G2537" s="4">
        <f>VLOOKUP(Googleadssales[[#This Row],[Ad_ID]],'[1]pre processed data'!A:K,11,0)</f>
        <v>3</v>
      </c>
      <c r="H2537" s="2">
        <f>Googleadssales[[#This Row],[Conversions]]/Googleadssales[[#This Row],[Clicks]]</f>
        <v>2.1589413551232915E-2</v>
      </c>
      <c r="I2537" t="str">
        <f>VLOOKUP(Googleadssales[[#This Row],[Ad_ID]],'[1]pre processed data'!A:O,15,0)</f>
        <v>$1117</v>
      </c>
      <c r="J2537" s="3">
        <f>VLOOKUP(Googleadssales[[#This Row],[Ad_ID]],'[1]pre processed data'!A:Q,17,0)</f>
        <v>45609</v>
      </c>
      <c r="K2537" t="str">
        <f>VLOOKUP(Googleadssales[[#This Row],[Ad_ID]],'[1]pre processed data'!A:R,18,0)</f>
        <v>Hyderabad</v>
      </c>
      <c r="L2537" t="str">
        <f>VLOOKUP(Googleadssales[[#This Row],[Ad_ID]],'[1]pre processed data'!A:S,19,0)</f>
        <v>Desktop</v>
      </c>
      <c r="M2537" t="str">
        <f>VLOOKUP(Googleadssales[[#This Row],[Ad_ID]],'[1]pre processed data'!A:T,20,0)</f>
        <v>data analytics course</v>
      </c>
    </row>
    <row r="2538" spans="1:13" x14ac:dyDescent="0.3">
      <c r="A2538" t="s">
        <v>2551</v>
      </c>
      <c r="B2538" t="s">
        <v>14</v>
      </c>
      <c r="C2538" s="4">
        <f>VLOOKUP(Googleadssales[[#This Row],[Ad_ID]],'[1]pre processed data'!A:C,3,0)</f>
        <v>144</v>
      </c>
      <c r="D2538" s="4">
        <f>VLOOKUP(Googleadssales[[#This Row],[Ad_ID]],'[1]pre processed data'!A:E,5,0)</f>
        <v>5968</v>
      </c>
      <c r="E2538" s="5" t="str">
        <f>VLOOKUP(Googleadssales[[#This Row],[Ad_ID]],[1]!Table3[[Ad_ID]:[Cost-imputed]],7,0)</f>
        <v>$224.21</v>
      </c>
      <c r="F2538" s="4">
        <f>VLOOKUP(Googleadssales[[#This Row],[Ad_ID]],'[1]pre processed data'!A:I,9,0)</f>
        <v>21</v>
      </c>
      <c r="G2538" s="4">
        <f>VLOOKUP(Googleadssales[[#This Row],[Ad_ID]],'[1]pre processed data'!A:K,11,0)</f>
        <v>6</v>
      </c>
      <c r="H2538" s="2">
        <f>Googleadssales[[#This Row],[Conversions]]/Googleadssales[[#This Row],[Clicks]]</f>
        <v>4.1666666666666664E-2</v>
      </c>
      <c r="I2538" t="str">
        <f>VLOOKUP(Googleadssales[[#This Row],[Ad_ID]],'[1]pre processed data'!A:O,15,0)</f>
        <v>$1993</v>
      </c>
      <c r="J2538" s="3">
        <f>VLOOKUP(Googleadssales[[#This Row],[Ad_ID]],'[1]pre processed data'!A:Q,17,0)</f>
        <v>45606</v>
      </c>
      <c r="K2538" t="str">
        <f>VLOOKUP(Googleadssales[[#This Row],[Ad_ID]],'[1]pre processed data'!A:R,18,0)</f>
        <v>Hyderabad</v>
      </c>
      <c r="L2538" t="str">
        <f>VLOOKUP(Googleadssales[[#This Row],[Ad_ID]],'[1]pre processed data'!A:S,19,0)</f>
        <v>Desktop</v>
      </c>
      <c r="M2538" t="str">
        <f>VLOOKUP(Googleadssales[[#This Row],[Ad_ID]],'[1]pre processed data'!A:T,20,0)</f>
        <v>online data analytic</v>
      </c>
    </row>
    <row r="2539" spans="1:13" x14ac:dyDescent="0.3">
      <c r="A2539" t="s">
        <v>2552</v>
      </c>
      <c r="B2539" t="s">
        <v>14</v>
      </c>
      <c r="C2539" s="4">
        <f>VLOOKUP(Googleadssales[[#This Row],[Ad_ID]],'[1]pre processed data'!A:C,3,0)</f>
        <v>148</v>
      </c>
      <c r="D2539" s="4">
        <f>VLOOKUP(Googleadssales[[#This Row],[Ad_ID]],'[1]pre processed data'!A:E,5,0)</f>
        <v>5431</v>
      </c>
      <c r="E2539" s="5" t="str">
        <f>VLOOKUP(Googleadssales[[#This Row],[Ad_ID]],[1]!Table3[[Ad_ID]:[Cost-imputed]],7,0)</f>
        <v>$216.71</v>
      </c>
      <c r="F2539" s="4">
        <f>VLOOKUP(Googleadssales[[#This Row],[Ad_ID]],'[1]pre processed data'!A:I,9,0)</f>
        <v>20</v>
      </c>
      <c r="G2539" s="4">
        <f>VLOOKUP(Googleadssales[[#This Row],[Ad_ID]],'[1]pre processed data'!A:K,11,0)</f>
        <v>6</v>
      </c>
      <c r="H2539" s="2">
        <f>Googleadssales[[#This Row],[Conversions]]/Googleadssales[[#This Row],[Clicks]]</f>
        <v>4.0540540540540543E-2</v>
      </c>
      <c r="I2539" t="str">
        <f>VLOOKUP(Googleadssales[[#This Row],[Ad_ID]],'[1]pre processed data'!A:O,15,0)</f>
        <v>$1200</v>
      </c>
      <c r="J2539" s="3">
        <f>VLOOKUP(Googleadssales[[#This Row],[Ad_ID]],'[1]pre processed data'!A:Q,17,0)</f>
        <v>45616</v>
      </c>
      <c r="K2539" t="str">
        <f>VLOOKUP(Googleadssales[[#This Row],[Ad_ID]],'[1]pre processed data'!A:R,18,0)</f>
        <v>Bangaluru</v>
      </c>
      <c r="L2539" t="str">
        <f>VLOOKUP(Googleadssales[[#This Row],[Ad_ID]],'[1]pre processed data'!A:S,19,0)</f>
        <v>Mobile</v>
      </c>
      <c r="M2539" t="str">
        <f>VLOOKUP(Googleadssales[[#This Row],[Ad_ID]],'[1]pre processed data'!A:T,20,0)</f>
        <v>online data analytic</v>
      </c>
    </row>
    <row r="2540" spans="1:13" x14ac:dyDescent="0.3">
      <c r="A2540" t="s">
        <v>2553</v>
      </c>
      <c r="B2540" t="s">
        <v>14</v>
      </c>
      <c r="C2540" s="4">
        <f>VLOOKUP(Googleadssales[[#This Row],[Ad_ID]],'[1]pre processed data'!A:C,3,0)</f>
        <v>189</v>
      </c>
      <c r="D2540" s="4">
        <f>VLOOKUP(Googleadssales[[#This Row],[Ad_ID]],'[1]pre processed data'!A:E,5,0)</f>
        <v>3420</v>
      </c>
      <c r="E2540" s="5" t="str">
        <f>VLOOKUP(Googleadssales[[#This Row],[Ad_ID]],[1]!Table3[[Ad_ID]:[Cost-imputed]],7,0)</f>
        <v>$181.35</v>
      </c>
      <c r="F2540" s="4">
        <f>VLOOKUP(Googleadssales[[#This Row],[Ad_ID]],'[1]pre processed data'!A:I,9,0)</f>
        <v>26</v>
      </c>
      <c r="G2540" s="4">
        <f>VLOOKUP(Googleadssales[[#This Row],[Ad_ID]],'[1]pre processed data'!A:K,11,0)</f>
        <v>6</v>
      </c>
      <c r="H2540" s="2">
        <f>Googleadssales[[#This Row],[Conversions]]/Googleadssales[[#This Row],[Clicks]]</f>
        <v>3.1746031746031744E-2</v>
      </c>
      <c r="I2540" t="str">
        <f>VLOOKUP(Googleadssales[[#This Row],[Ad_ID]],'[1]pre processed data'!A:O,15,0)</f>
        <v>$1692</v>
      </c>
      <c r="J2540" s="3">
        <f>VLOOKUP(Googleadssales[[#This Row],[Ad_ID]],'[1]pre processed data'!A:Q,17,0)</f>
        <v>45614</v>
      </c>
      <c r="K2540" t="str">
        <f>VLOOKUP(Googleadssales[[#This Row],[Ad_ID]],'[1]pre processed data'!A:R,18,0)</f>
        <v>Chennai</v>
      </c>
      <c r="L2540" t="str">
        <f>VLOOKUP(Googleadssales[[#This Row],[Ad_ID]],'[1]pre processed data'!A:S,19,0)</f>
        <v>Desktop</v>
      </c>
      <c r="M2540" t="str">
        <f>VLOOKUP(Googleadssales[[#This Row],[Ad_ID]],'[1]pre processed data'!A:T,20,0)</f>
        <v>data analytics training</v>
      </c>
    </row>
    <row r="2541" spans="1:13" x14ac:dyDescent="0.3">
      <c r="A2541" t="s">
        <v>2554</v>
      </c>
      <c r="B2541" t="s">
        <v>14</v>
      </c>
      <c r="C2541" s="4">
        <f>VLOOKUP(Googleadssales[[#This Row],[Ad_ID]],'[1]pre processed data'!A:C,3,0)</f>
        <v>143</v>
      </c>
      <c r="D2541" s="4">
        <f>VLOOKUP(Googleadssales[[#This Row],[Ad_ID]],'[1]pre processed data'!A:E,5,0)</f>
        <v>4701</v>
      </c>
      <c r="E2541" s="5" t="str">
        <f>VLOOKUP(Googleadssales[[#This Row],[Ad_ID]],[1]!Table3[[Ad_ID]:[Cost-imputed]],7,0)</f>
        <v>$222.43</v>
      </c>
      <c r="F2541" s="4">
        <f>VLOOKUP(Googleadssales[[#This Row],[Ad_ID]],'[1]pre processed data'!A:I,9,0)</f>
        <v>29</v>
      </c>
      <c r="G2541" s="4">
        <f>VLOOKUP(Googleadssales[[#This Row],[Ad_ID]],'[1]pre processed data'!A:K,11,0)</f>
        <v>4</v>
      </c>
      <c r="H2541" s="2">
        <f>Googleadssales[[#This Row],[Conversions]]/Googleadssales[[#This Row],[Clicks]]</f>
        <v>2.7972027972027972E-2</v>
      </c>
      <c r="I2541" t="str">
        <f>VLOOKUP(Googleadssales[[#This Row],[Ad_ID]],'[1]pre processed data'!A:O,15,0)</f>
        <v>$1953</v>
      </c>
      <c r="J2541" s="3">
        <f>VLOOKUP(Googleadssales[[#This Row],[Ad_ID]],'[1]pre processed data'!A:Q,17,0)</f>
        <v>45603</v>
      </c>
      <c r="K2541" t="str">
        <f>VLOOKUP(Googleadssales[[#This Row],[Ad_ID]],'[1]pre processed data'!A:R,18,0)</f>
        <v>Bangaluru</v>
      </c>
      <c r="L2541" t="str">
        <f>VLOOKUP(Googleadssales[[#This Row],[Ad_ID]],'[1]pre processed data'!A:S,19,0)</f>
        <v>Tablet</v>
      </c>
      <c r="M2541" t="str">
        <f>VLOOKUP(Googleadssales[[#This Row],[Ad_ID]],'[1]pre processed data'!A:T,20,0)</f>
        <v>data analytics online</v>
      </c>
    </row>
    <row r="2542" spans="1:13" x14ac:dyDescent="0.3">
      <c r="A2542" t="s">
        <v>2555</v>
      </c>
      <c r="B2542" t="s">
        <v>14</v>
      </c>
      <c r="C2542" s="4">
        <f>VLOOKUP(Googleadssales[[#This Row],[Ad_ID]],'[1]pre processed data'!A:C,3,0)</f>
        <v>185</v>
      </c>
      <c r="D2542" s="4">
        <f>VLOOKUP(Googleadssales[[#This Row],[Ad_ID]],'[1]pre processed data'!A:E,5,0)</f>
        <v>4958</v>
      </c>
      <c r="E2542" s="5" t="str">
        <f>VLOOKUP(Googleadssales[[#This Row],[Ad_ID]],[1]!Table3[[Ad_ID]:[Cost-imputed]],7,0)</f>
        <v>$201.3</v>
      </c>
      <c r="F2542" s="4">
        <f>VLOOKUP(Googleadssales[[#This Row],[Ad_ID]],'[1]pre processed data'!A:I,9,0)</f>
        <v>21</v>
      </c>
      <c r="G2542" s="4">
        <f>VLOOKUP(Googleadssales[[#This Row],[Ad_ID]],'[1]pre processed data'!A:K,11,0)</f>
        <v>5</v>
      </c>
      <c r="H2542" s="2">
        <f>Googleadssales[[#This Row],[Conversions]]/Googleadssales[[#This Row],[Clicks]]</f>
        <v>2.7027027027027029E-2</v>
      </c>
      <c r="I2542" t="str">
        <f>VLOOKUP(Googleadssales[[#This Row],[Ad_ID]],'[1]pre processed data'!A:O,15,0)</f>
        <v>$1965</v>
      </c>
      <c r="J2542" s="3">
        <f>VLOOKUP(Googleadssales[[#This Row],[Ad_ID]],'[1]pre processed data'!A:Q,17,0)</f>
        <v>45602</v>
      </c>
      <c r="K2542" t="str">
        <f>VLOOKUP(Googleadssales[[#This Row],[Ad_ID]],'[1]pre processed data'!A:R,18,0)</f>
        <v>Hyderabad</v>
      </c>
      <c r="L2542" t="str">
        <f>VLOOKUP(Googleadssales[[#This Row],[Ad_ID]],'[1]pre processed data'!A:S,19,0)</f>
        <v>Desktop</v>
      </c>
      <c r="M2542" t="str">
        <f>VLOOKUP(Googleadssales[[#This Row],[Ad_ID]],'[1]pre processed data'!A:T,20,0)</f>
        <v>analytics for data</v>
      </c>
    </row>
    <row r="2543" spans="1:13" x14ac:dyDescent="0.3">
      <c r="A2543" t="s">
        <v>2556</v>
      </c>
      <c r="B2543" t="s">
        <v>14</v>
      </c>
      <c r="C2543" s="4">
        <f>VLOOKUP(Googleadssales[[#This Row],[Ad_ID]],'[1]pre processed data'!A:C,3,0)</f>
        <v>172</v>
      </c>
      <c r="D2543" s="4">
        <f>VLOOKUP(Googleadssales[[#This Row],[Ad_ID]],'[1]pre processed data'!A:E,5,0)</f>
        <v>5295</v>
      </c>
      <c r="E2543" s="5" t="str">
        <f>VLOOKUP(Googleadssales[[#This Row],[Ad_ID]],[1]!Table3[[Ad_ID]:[Cost-imputed]],7,0)</f>
        <v>$204.31</v>
      </c>
      <c r="F2543" s="4">
        <f>VLOOKUP(Googleadssales[[#This Row],[Ad_ID]],'[1]pre processed data'!A:I,9,0)</f>
        <v>26</v>
      </c>
      <c r="G2543" s="4">
        <f>VLOOKUP(Googleadssales[[#This Row],[Ad_ID]],'[1]pre processed data'!A:K,11,0)</f>
        <v>8</v>
      </c>
      <c r="H2543" s="2">
        <f>Googleadssales[[#This Row],[Conversions]]/Googleadssales[[#This Row],[Clicks]]</f>
        <v>4.6511627906976744E-2</v>
      </c>
      <c r="I2543" t="str">
        <f>VLOOKUP(Googleadssales[[#This Row],[Ad_ID]],'[1]pre processed data'!A:O,15,0)</f>
        <v>$1218</v>
      </c>
      <c r="J2543" s="3">
        <f>VLOOKUP(Googleadssales[[#This Row],[Ad_ID]],'[1]pre processed data'!A:Q,17,0)</f>
        <v>45625</v>
      </c>
      <c r="K2543" t="str">
        <f>VLOOKUP(Googleadssales[[#This Row],[Ad_ID]],'[1]pre processed data'!A:R,18,0)</f>
        <v>Hyderabad</v>
      </c>
      <c r="L2543" t="str">
        <f>VLOOKUP(Googleadssales[[#This Row],[Ad_ID]],'[1]pre processed data'!A:S,19,0)</f>
        <v>Tablet</v>
      </c>
      <c r="M2543" t="str">
        <f>VLOOKUP(Googleadssales[[#This Row],[Ad_ID]],'[1]pre processed data'!A:T,20,0)</f>
        <v>data analytics course</v>
      </c>
    </row>
    <row r="2544" spans="1:13" x14ac:dyDescent="0.3">
      <c r="A2544" t="s">
        <v>2557</v>
      </c>
      <c r="B2544" t="s">
        <v>14</v>
      </c>
      <c r="C2544" s="4">
        <f>VLOOKUP(Googleadssales[[#This Row],[Ad_ID]],'[1]pre processed data'!A:C,3,0)</f>
        <v>121</v>
      </c>
      <c r="D2544" s="4">
        <f>VLOOKUP(Googleadssales[[#This Row],[Ad_ID]],'[1]pre processed data'!A:E,5,0)</f>
        <v>3577</v>
      </c>
      <c r="E2544" s="5" t="str">
        <f>VLOOKUP(Googleadssales[[#This Row],[Ad_ID]],[1]!Table3[[Ad_ID]:[Cost-imputed]],7,0)</f>
        <v>$239.27</v>
      </c>
      <c r="F2544" s="4">
        <f>VLOOKUP(Googleadssales[[#This Row],[Ad_ID]],'[1]pre processed data'!A:I,9,0)</f>
        <v>29</v>
      </c>
      <c r="G2544" s="4">
        <f>VLOOKUP(Googleadssales[[#This Row],[Ad_ID]],'[1]pre processed data'!A:K,11,0)</f>
        <v>3</v>
      </c>
      <c r="H2544" s="2">
        <f>Googleadssales[[#This Row],[Conversions]]/Googleadssales[[#This Row],[Clicks]]</f>
        <v>2.4793388429752067E-2</v>
      </c>
      <c r="I2544" t="str">
        <f>VLOOKUP(Googleadssales[[#This Row],[Ad_ID]],'[1]pre processed data'!A:O,15,0)</f>
        <v>$1735</v>
      </c>
      <c r="J2544" s="3">
        <f>VLOOKUP(Googleadssales[[#This Row],[Ad_ID]],'[1]pre processed data'!A:Q,17,0)</f>
        <v>45622</v>
      </c>
      <c r="K2544" t="str">
        <f>VLOOKUP(Googleadssales[[#This Row],[Ad_ID]],'[1]pre processed data'!A:R,18,0)</f>
        <v>Bangaluru</v>
      </c>
      <c r="L2544" t="str">
        <f>VLOOKUP(Googleadssales[[#This Row],[Ad_ID]],'[1]pre processed data'!A:S,19,0)</f>
        <v>Desktop</v>
      </c>
      <c r="M2544" t="str">
        <f>VLOOKUP(Googleadssales[[#This Row],[Ad_ID]],'[1]pre processed data'!A:T,20,0)</f>
        <v>data analytics online</v>
      </c>
    </row>
    <row r="2545" spans="1:13" x14ac:dyDescent="0.3">
      <c r="A2545" t="s">
        <v>2558</v>
      </c>
      <c r="B2545" t="s">
        <v>18</v>
      </c>
      <c r="C2545" s="4">
        <f>VLOOKUP(Googleadssales[[#This Row],[Ad_ID]],'[1]pre processed data'!A:C,3,0)</f>
        <v>158</v>
      </c>
      <c r="D2545" s="4">
        <f>VLOOKUP(Googleadssales[[#This Row],[Ad_ID]],'[1]pre processed data'!A:E,5,0)</f>
        <v>3766</v>
      </c>
      <c r="E2545" s="5" t="str">
        <f>VLOOKUP(Googleadssales[[#This Row],[Ad_ID]],[1]!Table3[[Ad_ID]:[Cost-imputed]],7,0)</f>
        <v>$222.89</v>
      </c>
      <c r="F2545" s="4">
        <f>VLOOKUP(Googleadssales[[#This Row],[Ad_ID]],'[1]pre processed data'!A:I,9,0)</f>
        <v>27</v>
      </c>
      <c r="G2545" s="4">
        <f>VLOOKUP(Googleadssales[[#This Row],[Ad_ID]],'[1]pre processed data'!A:K,11,0)</f>
        <v>6.3018867924528301</v>
      </c>
      <c r="H2545" s="2">
        <f>Googleadssales[[#This Row],[Conversions]]/Googleadssales[[#This Row],[Clicks]]</f>
        <v>3.988535944590399E-2</v>
      </c>
      <c r="I2545" t="str">
        <f>VLOOKUP(Googleadssales[[#This Row],[Ad_ID]],'[1]pre processed data'!A:O,15,0)</f>
        <v>$1673</v>
      </c>
      <c r="J2545" s="3">
        <f>VLOOKUP(Googleadssales[[#This Row],[Ad_ID]],'[1]pre processed data'!A:Q,17,0)</f>
        <v>45618</v>
      </c>
      <c r="K2545" t="str">
        <f>VLOOKUP(Googleadssales[[#This Row],[Ad_ID]],'[1]pre processed data'!A:R,18,0)</f>
        <v>Chennai</v>
      </c>
      <c r="L2545" t="str">
        <f>VLOOKUP(Googleadssales[[#This Row],[Ad_ID]],'[1]pre processed data'!A:S,19,0)</f>
        <v>Mobile</v>
      </c>
      <c r="M2545" t="str">
        <f>VLOOKUP(Googleadssales[[#This Row],[Ad_ID]],'[1]pre processed data'!A:T,20,0)</f>
        <v>learn data analytics</v>
      </c>
    </row>
    <row r="2546" spans="1:13" x14ac:dyDescent="0.3">
      <c r="A2546" t="s">
        <v>2559</v>
      </c>
      <c r="B2546" t="s">
        <v>14</v>
      </c>
      <c r="C2546" s="4">
        <f>VLOOKUP(Googleadssales[[#This Row],[Ad_ID]],'[1]pre processed data'!A:C,3,0)</f>
        <v>137</v>
      </c>
      <c r="D2546" s="4">
        <f>VLOOKUP(Googleadssales[[#This Row],[Ad_ID]],'[1]pre processed data'!A:E,5,0)</f>
        <v>4287</v>
      </c>
      <c r="E2546" s="5" t="str">
        <f>VLOOKUP(Googleadssales[[#This Row],[Ad_ID]],[1]!Table3[[Ad_ID]:[Cost-imputed]],7,0)</f>
        <v>$231.9</v>
      </c>
      <c r="F2546" s="4">
        <f>VLOOKUP(Googleadssales[[#This Row],[Ad_ID]],'[1]pre processed data'!A:I,9,0)</f>
        <v>14</v>
      </c>
      <c r="G2546" s="4">
        <f>VLOOKUP(Googleadssales[[#This Row],[Ad_ID]],'[1]pre processed data'!A:K,11,0)</f>
        <v>7</v>
      </c>
      <c r="H2546" s="2">
        <f>Googleadssales[[#This Row],[Conversions]]/Googleadssales[[#This Row],[Clicks]]</f>
        <v>5.1094890510948905E-2</v>
      </c>
      <c r="I2546" t="str">
        <f>VLOOKUP(Googleadssales[[#This Row],[Ad_ID]],'[1]pre processed data'!A:O,15,0)</f>
        <v>$1829</v>
      </c>
      <c r="J2546" s="3">
        <f>VLOOKUP(Googleadssales[[#This Row],[Ad_ID]],'[1]pre processed data'!A:Q,17,0)</f>
        <v>45625</v>
      </c>
      <c r="K2546" t="str">
        <f>VLOOKUP(Googleadssales[[#This Row],[Ad_ID]],'[1]pre processed data'!A:R,18,0)</f>
        <v>Bangaluru</v>
      </c>
      <c r="L2546" t="str">
        <f>VLOOKUP(Googleadssales[[#This Row],[Ad_ID]],'[1]pre processed data'!A:S,19,0)</f>
        <v>Desktop</v>
      </c>
      <c r="M2546" t="str">
        <f>VLOOKUP(Googleadssales[[#This Row],[Ad_ID]],'[1]pre processed data'!A:T,20,0)</f>
        <v>analytics for data</v>
      </c>
    </row>
    <row r="2547" spans="1:13" x14ac:dyDescent="0.3">
      <c r="A2547" t="s">
        <v>2560</v>
      </c>
      <c r="B2547" t="s">
        <v>14</v>
      </c>
      <c r="C2547" s="4">
        <f>VLOOKUP(Googleadssales[[#This Row],[Ad_ID]],'[1]pre processed data'!A:C,3,0)</f>
        <v>150</v>
      </c>
      <c r="D2547" s="4">
        <f>VLOOKUP(Googleadssales[[#This Row],[Ad_ID]],'[1]pre processed data'!A:E,5,0)</f>
        <v>5630</v>
      </c>
      <c r="E2547" s="5" t="str">
        <f>VLOOKUP(Googleadssales[[#This Row],[Ad_ID]],[1]!Table3[[Ad_ID]:[Cost-imputed]],7,0)</f>
        <v>$239.21</v>
      </c>
      <c r="F2547" s="4">
        <f>VLOOKUP(Googleadssales[[#This Row],[Ad_ID]],'[1]pre processed data'!A:I,9,0)</f>
        <v>26</v>
      </c>
      <c r="G2547" s="4">
        <f>VLOOKUP(Googleadssales[[#This Row],[Ad_ID]],'[1]pre processed data'!A:K,11,0)</f>
        <v>4</v>
      </c>
      <c r="H2547" s="2">
        <f>Googleadssales[[#This Row],[Conversions]]/Googleadssales[[#This Row],[Clicks]]</f>
        <v>2.6666666666666668E-2</v>
      </c>
      <c r="I2547" t="str">
        <f>VLOOKUP(Googleadssales[[#This Row],[Ad_ID]],'[1]pre processed data'!A:O,15,0)</f>
        <v>$1302</v>
      </c>
      <c r="J2547" s="3">
        <f>VLOOKUP(Googleadssales[[#This Row],[Ad_ID]],'[1]pre processed data'!A:Q,17,0)</f>
        <v>45626</v>
      </c>
      <c r="K2547" t="str">
        <f>VLOOKUP(Googleadssales[[#This Row],[Ad_ID]],'[1]pre processed data'!A:R,18,0)</f>
        <v>Hyderabad</v>
      </c>
      <c r="L2547" t="str">
        <f>VLOOKUP(Googleadssales[[#This Row],[Ad_ID]],'[1]pre processed data'!A:S,19,0)</f>
        <v>Tablet</v>
      </c>
      <c r="M2547" t="str">
        <f>VLOOKUP(Googleadssales[[#This Row],[Ad_ID]],'[1]pre processed data'!A:T,20,0)</f>
        <v>analytics for data</v>
      </c>
    </row>
    <row r="2548" spans="1:13" x14ac:dyDescent="0.3">
      <c r="A2548" t="s">
        <v>2561</v>
      </c>
      <c r="B2548" t="s">
        <v>14</v>
      </c>
      <c r="C2548" s="4">
        <f>VLOOKUP(Googleadssales[[#This Row],[Ad_ID]],'[1]pre processed data'!A:C,3,0)</f>
        <v>93</v>
      </c>
      <c r="D2548" s="4">
        <f>VLOOKUP(Googleadssales[[#This Row],[Ad_ID]],'[1]pre processed data'!A:E,5,0)</f>
        <v>4157</v>
      </c>
      <c r="E2548" s="5" t="str">
        <f>VLOOKUP(Googleadssales[[#This Row],[Ad_ID]],[1]!Table3[[Ad_ID]:[Cost-imputed]],7,0)</f>
        <v>$206.1</v>
      </c>
      <c r="F2548" s="4">
        <f>VLOOKUP(Googleadssales[[#This Row],[Ad_ID]],'[1]pre processed data'!A:I,9,0)</f>
        <v>30</v>
      </c>
      <c r="G2548" s="4">
        <f>VLOOKUP(Googleadssales[[#This Row],[Ad_ID]],'[1]pre processed data'!A:K,11,0)</f>
        <v>8</v>
      </c>
      <c r="H2548" s="2">
        <f>Googleadssales[[#This Row],[Conversions]]/Googleadssales[[#This Row],[Clicks]]</f>
        <v>8.6021505376344093E-2</v>
      </c>
      <c r="I2548" t="str">
        <f>VLOOKUP(Googleadssales[[#This Row],[Ad_ID]],'[1]pre processed data'!A:O,15,0)</f>
        <v>$1129</v>
      </c>
      <c r="J2548" s="3">
        <f>VLOOKUP(Googleadssales[[#This Row],[Ad_ID]],'[1]pre processed data'!A:Q,17,0)</f>
        <v>45604</v>
      </c>
      <c r="K2548" t="str">
        <f>VLOOKUP(Googleadssales[[#This Row],[Ad_ID]],'[1]pre processed data'!A:R,18,0)</f>
        <v>Hyderabad</v>
      </c>
      <c r="L2548" t="str">
        <f>VLOOKUP(Googleadssales[[#This Row],[Ad_ID]],'[1]pre processed data'!A:S,19,0)</f>
        <v>Mobile</v>
      </c>
      <c r="M2548" t="str">
        <f>VLOOKUP(Googleadssales[[#This Row],[Ad_ID]],'[1]pre processed data'!A:T,20,0)</f>
        <v>learn data analytics</v>
      </c>
    </row>
    <row r="2549" spans="1:13" x14ac:dyDescent="0.3">
      <c r="A2549" t="s">
        <v>2562</v>
      </c>
      <c r="B2549" t="s">
        <v>14</v>
      </c>
      <c r="C2549" s="4">
        <f>VLOOKUP(Googleadssales[[#This Row],[Ad_ID]],'[1]pre processed data'!A:C,3,0)</f>
        <v>101</v>
      </c>
      <c r="D2549" s="4">
        <f>VLOOKUP(Googleadssales[[#This Row],[Ad_ID]],'[1]pre processed data'!A:E,5,0)</f>
        <v>5983</v>
      </c>
      <c r="E2549" s="5" t="str">
        <f>VLOOKUP(Googleadssales[[#This Row],[Ad_ID]],[1]!Table3[[Ad_ID]:[Cost-imputed]],7,0)</f>
        <v>$185.86</v>
      </c>
      <c r="F2549" s="4">
        <f>VLOOKUP(Googleadssales[[#This Row],[Ad_ID]],'[1]pre processed data'!A:I,9,0)</f>
        <v>10</v>
      </c>
      <c r="G2549" s="4">
        <f>VLOOKUP(Googleadssales[[#This Row],[Ad_ID]],'[1]pre processed data'!A:K,11,0)</f>
        <v>5</v>
      </c>
      <c r="H2549" s="2">
        <f>Googleadssales[[#This Row],[Conversions]]/Googleadssales[[#This Row],[Clicks]]</f>
        <v>4.9504950495049507E-2</v>
      </c>
      <c r="I2549" t="str">
        <f>VLOOKUP(Googleadssales[[#This Row],[Ad_ID]],'[1]pre processed data'!A:O,15,0)</f>
        <v>$1019</v>
      </c>
      <c r="J2549" s="3">
        <f>VLOOKUP(Googleadssales[[#This Row],[Ad_ID]],'[1]pre processed data'!A:Q,17,0)</f>
        <v>45602</v>
      </c>
      <c r="K2549" t="str">
        <f>VLOOKUP(Googleadssales[[#This Row],[Ad_ID]],'[1]pre processed data'!A:R,18,0)</f>
        <v>Hyderabad</v>
      </c>
      <c r="L2549" t="str">
        <f>VLOOKUP(Googleadssales[[#This Row],[Ad_ID]],'[1]pre processed data'!A:S,19,0)</f>
        <v>Tablet</v>
      </c>
      <c r="M2549" t="str">
        <f>VLOOKUP(Googleadssales[[#This Row],[Ad_ID]],'[1]pre processed data'!A:T,20,0)</f>
        <v>online data analytic</v>
      </c>
    </row>
    <row r="2550" spans="1:13" x14ac:dyDescent="0.3">
      <c r="A2550" t="s">
        <v>2563</v>
      </c>
      <c r="B2550" t="s">
        <v>14</v>
      </c>
      <c r="C2550" s="4">
        <f>VLOOKUP(Googleadssales[[#This Row],[Ad_ID]],'[1]pre processed data'!A:C,3,0)</f>
        <v>178</v>
      </c>
      <c r="D2550" s="4">
        <f>VLOOKUP(Googleadssales[[#This Row],[Ad_ID]],'[1]pre processed data'!A:E,5,0)</f>
        <v>3109</v>
      </c>
      <c r="E2550" s="5" t="str">
        <f>VLOOKUP(Googleadssales[[#This Row],[Ad_ID]],[1]!Table3[[Ad_ID]:[Cost-imputed]],7,0)</f>
        <v>$180.7</v>
      </c>
      <c r="F2550" s="4">
        <f>VLOOKUP(Googleadssales[[#This Row],[Ad_ID]],'[1]pre processed data'!A:I,9,0)</f>
        <v>25</v>
      </c>
      <c r="G2550" s="4">
        <f>VLOOKUP(Googleadssales[[#This Row],[Ad_ID]],'[1]pre processed data'!A:K,11,0)</f>
        <v>10</v>
      </c>
      <c r="H2550" s="2">
        <f>Googleadssales[[#This Row],[Conversions]]/Googleadssales[[#This Row],[Clicks]]</f>
        <v>5.6179775280898875E-2</v>
      </c>
      <c r="I2550" t="str">
        <f>VLOOKUP(Googleadssales[[#This Row],[Ad_ID]],'[1]pre processed data'!A:O,15,0)</f>
        <v>$1709</v>
      </c>
      <c r="J2550" s="3">
        <f>VLOOKUP(Googleadssales[[#This Row],[Ad_ID]],'[1]pre processed data'!A:Q,17,0)</f>
        <v>45608</v>
      </c>
      <c r="K2550" t="str">
        <f>VLOOKUP(Googleadssales[[#This Row],[Ad_ID]],'[1]pre processed data'!A:R,18,0)</f>
        <v>Hyderabad</v>
      </c>
      <c r="L2550" t="str">
        <f>VLOOKUP(Googleadssales[[#This Row],[Ad_ID]],'[1]pre processed data'!A:S,19,0)</f>
        <v>Desktop</v>
      </c>
      <c r="M2550" t="str">
        <f>VLOOKUP(Googleadssales[[#This Row],[Ad_ID]],'[1]pre processed data'!A:T,20,0)</f>
        <v>data analytics course</v>
      </c>
    </row>
    <row r="2551" spans="1:13" x14ac:dyDescent="0.3">
      <c r="A2551" t="s">
        <v>2564</v>
      </c>
      <c r="B2551" t="s">
        <v>14</v>
      </c>
      <c r="C2551" s="4">
        <f>VLOOKUP(Googleadssales[[#This Row],[Ad_ID]],'[1]pre processed data'!A:C,3,0)</f>
        <v>96</v>
      </c>
      <c r="D2551" s="4">
        <f>VLOOKUP(Googleadssales[[#This Row],[Ad_ID]],'[1]pre processed data'!A:E,5,0)</f>
        <v>3365</v>
      </c>
      <c r="E2551" s="5" t="str">
        <f>VLOOKUP(Googleadssales[[#This Row],[Ad_ID]],[1]!Table3[[Ad_ID]:[Cost-imputed]],7,0)</f>
        <v>$225.77</v>
      </c>
      <c r="F2551" s="4">
        <f>VLOOKUP(Googleadssales[[#This Row],[Ad_ID]],'[1]pre processed data'!A:I,9,0)</f>
        <v>27</v>
      </c>
      <c r="G2551" s="4">
        <f>VLOOKUP(Googleadssales[[#This Row],[Ad_ID]],'[1]pre processed data'!A:K,11,0)</f>
        <v>8</v>
      </c>
      <c r="H2551" s="2">
        <f>Googleadssales[[#This Row],[Conversions]]/Googleadssales[[#This Row],[Clicks]]</f>
        <v>8.3333333333333329E-2</v>
      </c>
      <c r="I2551" t="str">
        <f>VLOOKUP(Googleadssales[[#This Row],[Ad_ID]],'[1]pre processed data'!A:O,15,0)</f>
        <v>$1884</v>
      </c>
      <c r="J2551" s="3">
        <f>VLOOKUP(Googleadssales[[#This Row],[Ad_ID]],'[1]pre processed data'!A:Q,17,0)</f>
        <v>45626</v>
      </c>
      <c r="K2551" t="str">
        <f>VLOOKUP(Googleadssales[[#This Row],[Ad_ID]],'[1]pre processed data'!A:R,18,0)</f>
        <v>Chennai</v>
      </c>
      <c r="L2551" t="str">
        <f>VLOOKUP(Googleadssales[[#This Row],[Ad_ID]],'[1]pre processed data'!A:S,19,0)</f>
        <v>Tablet</v>
      </c>
      <c r="M2551" t="str">
        <f>VLOOKUP(Googleadssales[[#This Row],[Ad_ID]],'[1]pre processed data'!A:T,20,0)</f>
        <v>data analytics course</v>
      </c>
    </row>
    <row r="2552" spans="1:13" x14ac:dyDescent="0.3">
      <c r="A2552" t="s">
        <v>2565</v>
      </c>
      <c r="B2552" t="s">
        <v>14</v>
      </c>
      <c r="C2552" s="4">
        <f>VLOOKUP(Googleadssales[[#This Row],[Ad_ID]],'[1]pre processed data'!A:C,3,0)</f>
        <v>170</v>
      </c>
      <c r="D2552" s="4">
        <f>VLOOKUP(Googleadssales[[#This Row],[Ad_ID]],'[1]pre processed data'!A:E,5,0)</f>
        <v>5380</v>
      </c>
      <c r="E2552" s="5" t="str">
        <f>VLOOKUP(Googleadssales[[#This Row],[Ad_ID]],[1]!Table3[[Ad_ID]:[Cost-imputed]],7,0)</f>
        <v>$204.62</v>
      </c>
      <c r="F2552" s="4">
        <f>VLOOKUP(Googleadssales[[#This Row],[Ad_ID]],'[1]pre processed data'!A:I,9,0)</f>
        <v>20</v>
      </c>
      <c r="G2552" s="4">
        <f>VLOOKUP(Googleadssales[[#This Row],[Ad_ID]],'[1]pre processed data'!A:K,11,0)</f>
        <v>4</v>
      </c>
      <c r="H2552" s="2">
        <f>Googleadssales[[#This Row],[Conversions]]/Googleadssales[[#This Row],[Clicks]]</f>
        <v>2.3529411764705882E-2</v>
      </c>
      <c r="I2552" t="str">
        <f>VLOOKUP(Googleadssales[[#This Row],[Ad_ID]],'[1]pre processed data'!A:O,15,0)</f>
        <v>$1473</v>
      </c>
      <c r="J2552" s="3">
        <f>VLOOKUP(Googleadssales[[#This Row],[Ad_ID]],'[1]pre processed data'!A:Q,17,0)</f>
        <v>45611</v>
      </c>
      <c r="K2552" t="str">
        <f>VLOOKUP(Googleadssales[[#This Row],[Ad_ID]],'[1]pre processed data'!A:R,18,0)</f>
        <v>Chennai</v>
      </c>
      <c r="L2552" t="str">
        <f>VLOOKUP(Googleadssales[[#This Row],[Ad_ID]],'[1]pre processed data'!A:S,19,0)</f>
        <v>Desktop</v>
      </c>
      <c r="M2552" t="str">
        <f>VLOOKUP(Googleadssales[[#This Row],[Ad_ID]],'[1]pre processed data'!A:T,20,0)</f>
        <v>data analytics course</v>
      </c>
    </row>
    <row r="2553" spans="1:13" x14ac:dyDescent="0.3">
      <c r="A2553" t="s">
        <v>2566</v>
      </c>
      <c r="B2553" t="s">
        <v>14</v>
      </c>
      <c r="C2553" s="4">
        <f>VLOOKUP(Googleadssales[[#This Row],[Ad_ID]],'[1]pre processed data'!A:C,3,0)</f>
        <v>176</v>
      </c>
      <c r="D2553" s="4">
        <f>VLOOKUP(Googleadssales[[#This Row],[Ad_ID]],'[1]pre processed data'!A:E,5,0)</f>
        <v>5036</v>
      </c>
      <c r="E2553" s="5" t="str">
        <f>VLOOKUP(Googleadssales[[#This Row],[Ad_ID]],[1]!Table3[[Ad_ID]:[Cost-imputed]],7,0)</f>
        <v>$221.48</v>
      </c>
      <c r="F2553" s="4">
        <f>VLOOKUP(Googleadssales[[#This Row],[Ad_ID]],'[1]pre processed data'!A:I,9,0)</f>
        <v>13</v>
      </c>
      <c r="G2553" s="4">
        <f>VLOOKUP(Googleadssales[[#This Row],[Ad_ID]],'[1]pre processed data'!A:K,11,0)</f>
        <v>3</v>
      </c>
      <c r="H2553" s="2">
        <f>Googleadssales[[#This Row],[Conversions]]/Googleadssales[[#This Row],[Clicks]]</f>
        <v>1.7045454545454544E-2</v>
      </c>
      <c r="I2553" t="str">
        <f>VLOOKUP(Googleadssales[[#This Row],[Ad_ID]],'[1]pre processed data'!A:O,15,0)</f>
        <v>$1072</v>
      </c>
      <c r="J2553" s="3">
        <f>VLOOKUP(Googleadssales[[#This Row],[Ad_ID]],'[1]pre processed data'!A:Q,17,0)</f>
        <v>45618</v>
      </c>
      <c r="K2553" t="str">
        <f>VLOOKUP(Googleadssales[[#This Row],[Ad_ID]],'[1]pre processed data'!A:R,18,0)</f>
        <v>Bangaluru</v>
      </c>
      <c r="L2553" t="str">
        <f>VLOOKUP(Googleadssales[[#This Row],[Ad_ID]],'[1]pre processed data'!A:S,19,0)</f>
        <v>Mobile</v>
      </c>
      <c r="M2553" t="str">
        <f>VLOOKUP(Googleadssales[[#This Row],[Ad_ID]],'[1]pre processed data'!A:T,20,0)</f>
        <v>data analytics training</v>
      </c>
    </row>
    <row r="2554" spans="1:13" x14ac:dyDescent="0.3">
      <c r="A2554" t="s">
        <v>2567</v>
      </c>
      <c r="B2554" t="s">
        <v>14</v>
      </c>
      <c r="C2554" s="4">
        <f>VLOOKUP(Googleadssales[[#This Row],[Ad_ID]],'[1]pre processed data'!A:C,3,0)</f>
        <v>178</v>
      </c>
      <c r="D2554" s="4">
        <f>VLOOKUP(Googleadssales[[#This Row],[Ad_ID]],'[1]pre processed data'!A:E,5,0)</f>
        <v>4176</v>
      </c>
      <c r="E2554" s="5" t="str">
        <f>VLOOKUP(Googleadssales[[#This Row],[Ad_ID]],[1]!Table3[[Ad_ID]:[Cost-imputed]],7,0)</f>
        <v>$198.49</v>
      </c>
      <c r="F2554" s="4">
        <f>VLOOKUP(Googleadssales[[#This Row],[Ad_ID]],'[1]pre processed data'!A:I,9,0)</f>
        <v>30</v>
      </c>
      <c r="G2554" s="4">
        <f>VLOOKUP(Googleadssales[[#This Row],[Ad_ID]],'[1]pre processed data'!A:K,11,0)</f>
        <v>4</v>
      </c>
      <c r="H2554" s="2">
        <f>Googleadssales[[#This Row],[Conversions]]/Googleadssales[[#This Row],[Clicks]]</f>
        <v>2.247191011235955E-2</v>
      </c>
      <c r="I2554" t="str">
        <f>VLOOKUP(Googleadssales[[#This Row],[Ad_ID]],'[1]pre processed data'!A:O,15,0)</f>
        <v>$1717</v>
      </c>
      <c r="J2554" s="3">
        <f>VLOOKUP(Googleadssales[[#This Row],[Ad_ID]],'[1]pre processed data'!A:Q,17,0)</f>
        <v>45608</v>
      </c>
      <c r="K2554" t="str">
        <f>VLOOKUP(Googleadssales[[#This Row],[Ad_ID]],'[1]pre processed data'!A:R,18,0)</f>
        <v>Hyderabad</v>
      </c>
      <c r="L2554" t="str">
        <f>VLOOKUP(Googleadssales[[#This Row],[Ad_ID]],'[1]pre processed data'!A:S,19,0)</f>
        <v>Desktop</v>
      </c>
      <c r="M2554" t="str">
        <f>VLOOKUP(Googleadssales[[#This Row],[Ad_ID]],'[1]pre processed data'!A:T,20,0)</f>
        <v>learn data analytics</v>
      </c>
    </row>
    <row r="2555" spans="1:13" x14ac:dyDescent="0.3">
      <c r="A2555" t="s">
        <v>2568</v>
      </c>
      <c r="B2555" t="s">
        <v>14</v>
      </c>
      <c r="C2555" s="4">
        <f>VLOOKUP(Googleadssales[[#This Row],[Ad_ID]],'[1]pre processed data'!A:C,3,0)</f>
        <v>99</v>
      </c>
      <c r="D2555" s="4">
        <f>VLOOKUP(Googleadssales[[#This Row],[Ad_ID]],'[1]pre processed data'!A:E,5,0)</f>
        <v>5663</v>
      </c>
      <c r="E2555" s="5" t="str">
        <f>VLOOKUP(Googleadssales[[#This Row],[Ad_ID]],[1]!Table3[[Ad_ID]:[Cost-imputed]],7,0)</f>
        <v>$187.48</v>
      </c>
      <c r="F2555" s="4">
        <f>VLOOKUP(Googleadssales[[#This Row],[Ad_ID]],'[1]pre processed data'!A:I,9,0)</f>
        <v>22</v>
      </c>
      <c r="G2555" s="4">
        <f>VLOOKUP(Googleadssales[[#This Row],[Ad_ID]],'[1]pre processed data'!A:K,11,0)</f>
        <v>5</v>
      </c>
      <c r="H2555" s="2">
        <f>Googleadssales[[#This Row],[Conversions]]/Googleadssales[[#This Row],[Clicks]]</f>
        <v>5.0505050505050504E-2</v>
      </c>
      <c r="I2555" t="str">
        <f>VLOOKUP(Googleadssales[[#This Row],[Ad_ID]],'[1]pre processed data'!A:O,15,0)</f>
        <v>$1394</v>
      </c>
      <c r="J2555" s="3">
        <f>VLOOKUP(Googleadssales[[#This Row],[Ad_ID]],'[1]pre processed data'!A:Q,17,0)</f>
        <v>45625</v>
      </c>
      <c r="K2555" t="str">
        <f>VLOOKUP(Googleadssales[[#This Row],[Ad_ID]],'[1]pre processed data'!A:R,18,0)</f>
        <v>Hyderabad</v>
      </c>
      <c r="L2555" t="str">
        <f>VLOOKUP(Googleadssales[[#This Row],[Ad_ID]],'[1]pre processed data'!A:S,19,0)</f>
        <v>Desktop</v>
      </c>
      <c r="M2555" t="str">
        <f>VLOOKUP(Googleadssales[[#This Row],[Ad_ID]],'[1]pre processed data'!A:T,20,0)</f>
        <v>online data analytic</v>
      </c>
    </row>
    <row r="2556" spans="1:13" x14ac:dyDescent="0.3">
      <c r="A2556" t="s">
        <v>2569</v>
      </c>
      <c r="B2556" t="s">
        <v>14</v>
      </c>
      <c r="C2556" s="4">
        <f>VLOOKUP(Googleadssales[[#This Row],[Ad_ID]],'[1]pre processed data'!A:C,3,0)</f>
        <v>138.95699356913184</v>
      </c>
      <c r="D2556" s="4">
        <f>VLOOKUP(Googleadssales[[#This Row],[Ad_ID]],'[1]pre processed data'!A:E,5,0)</f>
        <v>5852</v>
      </c>
      <c r="E2556" s="5" t="str">
        <f>VLOOKUP(Googleadssales[[#This Row],[Ad_ID]],[1]!Table3[[Ad_ID]:[Cost-imputed]],7,0)</f>
        <v>$181.96</v>
      </c>
      <c r="F2556" s="4">
        <f>VLOOKUP(Googleadssales[[#This Row],[Ad_ID]],'[1]pre processed data'!A:I,9,0)</f>
        <v>19</v>
      </c>
      <c r="G2556" s="4">
        <f>VLOOKUP(Googleadssales[[#This Row],[Ad_ID]],'[1]pre processed data'!A:K,11,0)</f>
        <v>4</v>
      </c>
      <c r="H2556" s="2">
        <f>Googleadssales[[#This Row],[Conversions]]/Googleadssales[[#This Row],[Clicks]]</f>
        <v>2.8785884734977219E-2</v>
      </c>
      <c r="I2556" t="str">
        <f>VLOOKUP(Googleadssales[[#This Row],[Ad_ID]],'[1]pre processed data'!A:O,15,0)</f>
        <v>$1816</v>
      </c>
      <c r="J2556" s="3">
        <f>VLOOKUP(Googleadssales[[#This Row],[Ad_ID]],'[1]pre processed data'!A:Q,17,0)</f>
        <v>45618</v>
      </c>
      <c r="K2556" t="str">
        <f>VLOOKUP(Googleadssales[[#This Row],[Ad_ID]],'[1]pre processed data'!A:R,18,0)</f>
        <v>Hyderabad</v>
      </c>
      <c r="L2556" t="str">
        <f>VLOOKUP(Googleadssales[[#This Row],[Ad_ID]],'[1]pre processed data'!A:S,19,0)</f>
        <v>Tablet</v>
      </c>
      <c r="M2556" t="str">
        <f>VLOOKUP(Googleadssales[[#This Row],[Ad_ID]],'[1]pre processed data'!A:T,20,0)</f>
        <v>data analytics online</v>
      </c>
    </row>
    <row r="2557" spans="1:13" x14ac:dyDescent="0.3">
      <c r="A2557" t="s">
        <v>2570</v>
      </c>
      <c r="B2557" t="s">
        <v>14</v>
      </c>
      <c r="C2557" s="4">
        <f>VLOOKUP(Googleadssales[[#This Row],[Ad_ID]],'[1]pre processed data'!A:C,3,0)</f>
        <v>164</v>
      </c>
      <c r="D2557" s="4">
        <f>VLOOKUP(Googleadssales[[#This Row],[Ad_ID]],'[1]pre processed data'!A:E,5,0)</f>
        <v>4725</v>
      </c>
      <c r="E2557" s="5" t="str">
        <f>VLOOKUP(Googleadssales[[#This Row],[Ad_ID]],[1]!Table3[[Ad_ID]:[Cost-imputed]],7,0)</f>
        <v>$224.43</v>
      </c>
      <c r="F2557" s="4">
        <f>VLOOKUP(Googleadssales[[#This Row],[Ad_ID]],'[1]pre processed data'!A:I,9,0)</f>
        <v>18</v>
      </c>
      <c r="G2557" s="4">
        <f>VLOOKUP(Googleadssales[[#This Row],[Ad_ID]],'[1]pre processed data'!A:K,11,0)</f>
        <v>10</v>
      </c>
      <c r="H2557" s="2">
        <f>Googleadssales[[#This Row],[Conversions]]/Googleadssales[[#This Row],[Clicks]]</f>
        <v>6.097560975609756E-2</v>
      </c>
      <c r="I2557" t="str">
        <f>VLOOKUP(Googleadssales[[#This Row],[Ad_ID]],'[1]pre processed data'!A:O,15,0)</f>
        <v>$1140</v>
      </c>
      <c r="J2557" s="3">
        <f>VLOOKUP(Googleadssales[[#This Row],[Ad_ID]],'[1]pre processed data'!A:Q,17,0)</f>
        <v>45626</v>
      </c>
      <c r="K2557" t="str">
        <f>VLOOKUP(Googleadssales[[#This Row],[Ad_ID]],'[1]pre processed data'!A:R,18,0)</f>
        <v>Bangaluru</v>
      </c>
      <c r="L2557" t="str">
        <f>VLOOKUP(Googleadssales[[#This Row],[Ad_ID]],'[1]pre processed data'!A:S,19,0)</f>
        <v>Mobile</v>
      </c>
      <c r="M2557" t="str">
        <f>VLOOKUP(Googleadssales[[#This Row],[Ad_ID]],'[1]pre processed data'!A:T,20,0)</f>
        <v>data analytics training</v>
      </c>
    </row>
    <row r="2558" spans="1:13" x14ac:dyDescent="0.3">
      <c r="A2558" t="s">
        <v>2571</v>
      </c>
      <c r="B2558" t="s">
        <v>14</v>
      </c>
      <c r="C2558" s="4">
        <f>VLOOKUP(Googleadssales[[#This Row],[Ad_ID]],'[1]pre processed data'!A:C,3,0)</f>
        <v>94</v>
      </c>
      <c r="D2558" s="4">
        <f>VLOOKUP(Googleadssales[[#This Row],[Ad_ID]],'[1]pre processed data'!A:E,5,0)</f>
        <v>5762</v>
      </c>
      <c r="E2558" s="5" t="str">
        <f>VLOOKUP(Googleadssales[[#This Row],[Ad_ID]],[1]!Table3[[Ad_ID]:[Cost-imputed]],7,0)</f>
        <v>$202.12</v>
      </c>
      <c r="F2558" s="4">
        <f>VLOOKUP(Googleadssales[[#This Row],[Ad_ID]],'[1]pre processed data'!A:I,9,0)</f>
        <v>23</v>
      </c>
      <c r="G2558" s="4">
        <f>VLOOKUP(Googleadssales[[#This Row],[Ad_ID]],'[1]pre processed data'!A:K,11,0)</f>
        <v>5</v>
      </c>
      <c r="H2558" s="2">
        <f>Googleadssales[[#This Row],[Conversions]]/Googleadssales[[#This Row],[Clicks]]</f>
        <v>5.3191489361702128E-2</v>
      </c>
      <c r="I2558" t="str">
        <f>VLOOKUP(Googleadssales[[#This Row],[Ad_ID]],'[1]pre processed data'!A:O,15,0)</f>
        <v>$1694</v>
      </c>
      <c r="J2558" s="3">
        <f>VLOOKUP(Googleadssales[[#This Row],[Ad_ID]],'[1]pre processed data'!A:Q,17,0)</f>
        <v>45619</v>
      </c>
      <c r="K2558" t="str">
        <f>VLOOKUP(Googleadssales[[#This Row],[Ad_ID]],'[1]pre processed data'!A:R,18,0)</f>
        <v>Chennai</v>
      </c>
      <c r="L2558" t="str">
        <f>VLOOKUP(Googleadssales[[#This Row],[Ad_ID]],'[1]pre processed data'!A:S,19,0)</f>
        <v>Tablet</v>
      </c>
      <c r="M2558" t="str">
        <f>VLOOKUP(Googleadssales[[#This Row],[Ad_ID]],'[1]pre processed data'!A:T,20,0)</f>
        <v>online data analytic</v>
      </c>
    </row>
    <row r="2559" spans="1:13" x14ac:dyDescent="0.3">
      <c r="A2559" t="s">
        <v>2572</v>
      </c>
      <c r="B2559" t="s">
        <v>14</v>
      </c>
      <c r="C2559" s="4">
        <f>VLOOKUP(Googleadssales[[#This Row],[Ad_ID]],'[1]pre processed data'!A:C,3,0)</f>
        <v>82</v>
      </c>
      <c r="D2559" s="4">
        <f>VLOOKUP(Googleadssales[[#This Row],[Ad_ID]],'[1]pre processed data'!A:E,5,0)</f>
        <v>4773</v>
      </c>
      <c r="E2559" s="5" t="str">
        <f>VLOOKUP(Googleadssales[[#This Row],[Ad_ID]],[1]!Table3[[Ad_ID]:[Cost-imputed]],7,0)</f>
        <v>$226.66</v>
      </c>
      <c r="F2559" s="4">
        <f>VLOOKUP(Googleadssales[[#This Row],[Ad_ID]],'[1]pre processed data'!A:I,9,0)</f>
        <v>10</v>
      </c>
      <c r="G2559" s="4">
        <f>VLOOKUP(Googleadssales[[#This Row],[Ad_ID]],'[1]pre processed data'!A:K,11,0)</f>
        <v>6</v>
      </c>
      <c r="H2559" s="2">
        <f>Googleadssales[[#This Row],[Conversions]]/Googleadssales[[#This Row],[Clicks]]</f>
        <v>7.3170731707317069E-2</v>
      </c>
      <c r="I2559" t="str">
        <f>VLOOKUP(Googleadssales[[#This Row],[Ad_ID]],'[1]pre processed data'!A:O,15,0)</f>
        <v>$1189</v>
      </c>
      <c r="J2559" s="3">
        <f>VLOOKUP(Googleadssales[[#This Row],[Ad_ID]],'[1]pre processed data'!A:Q,17,0)</f>
        <v>45616</v>
      </c>
      <c r="K2559" t="str">
        <f>VLOOKUP(Googleadssales[[#This Row],[Ad_ID]],'[1]pre processed data'!A:R,18,0)</f>
        <v>Hyderabad</v>
      </c>
      <c r="L2559" t="str">
        <f>VLOOKUP(Googleadssales[[#This Row],[Ad_ID]],'[1]pre processed data'!A:S,19,0)</f>
        <v>Desktop</v>
      </c>
      <c r="M2559" t="str">
        <f>VLOOKUP(Googleadssales[[#This Row],[Ad_ID]],'[1]pre processed data'!A:T,20,0)</f>
        <v>data analytics training</v>
      </c>
    </row>
    <row r="2560" spans="1:13" x14ac:dyDescent="0.3">
      <c r="A2560" t="s">
        <v>2573</v>
      </c>
      <c r="B2560" t="s">
        <v>18</v>
      </c>
      <c r="C2560" s="4">
        <f>VLOOKUP(Googleadssales[[#This Row],[Ad_ID]],'[1]pre processed data'!A:C,3,0)</f>
        <v>194</v>
      </c>
      <c r="D2560" s="4">
        <f>VLOOKUP(Googleadssales[[#This Row],[Ad_ID]],'[1]pre processed data'!A:E,5,0)</f>
        <v>4198</v>
      </c>
      <c r="E2560" s="5" t="str">
        <f>VLOOKUP(Googleadssales[[#This Row],[Ad_ID]],[1]!Table3[[Ad_ID]:[Cost-imputed]],7,0)</f>
        <v>$217.66</v>
      </c>
      <c r="F2560" s="4">
        <f>VLOOKUP(Googleadssales[[#This Row],[Ad_ID]],'[1]pre processed data'!A:I,9,0)</f>
        <v>16</v>
      </c>
      <c r="G2560" s="4">
        <f>VLOOKUP(Googleadssales[[#This Row],[Ad_ID]],'[1]pre processed data'!A:K,11,0)</f>
        <v>10</v>
      </c>
      <c r="H2560" s="2">
        <f>Googleadssales[[#This Row],[Conversions]]/Googleadssales[[#This Row],[Clicks]]</f>
        <v>5.1546391752577317E-2</v>
      </c>
      <c r="I2560" t="str">
        <f>VLOOKUP(Googleadssales[[#This Row],[Ad_ID]],'[1]pre processed data'!A:O,15,0)</f>
        <v>$1619</v>
      </c>
      <c r="J2560" s="3">
        <f>VLOOKUP(Googleadssales[[#This Row],[Ad_ID]],'[1]pre processed data'!A:Q,17,0)</f>
        <v>45625</v>
      </c>
      <c r="K2560" t="str">
        <f>VLOOKUP(Googleadssales[[#This Row],[Ad_ID]],'[1]pre processed data'!A:R,18,0)</f>
        <v>Hyderabad</v>
      </c>
      <c r="L2560" t="str">
        <f>VLOOKUP(Googleadssales[[#This Row],[Ad_ID]],'[1]pre processed data'!A:S,19,0)</f>
        <v>Tablet</v>
      </c>
      <c r="M2560" t="str">
        <f>VLOOKUP(Googleadssales[[#This Row],[Ad_ID]],'[1]pre processed data'!A:T,20,0)</f>
        <v>online data analytic</v>
      </c>
    </row>
    <row r="2561" spans="1:13" x14ac:dyDescent="0.3">
      <c r="A2561" t="s">
        <v>2574</v>
      </c>
      <c r="B2561" t="s">
        <v>14</v>
      </c>
      <c r="C2561" s="4">
        <f>VLOOKUP(Googleadssales[[#This Row],[Ad_ID]],'[1]pre processed data'!A:C,3,0)</f>
        <v>176</v>
      </c>
      <c r="D2561" s="4">
        <f>VLOOKUP(Googleadssales[[#This Row],[Ad_ID]],'[1]pre processed data'!A:E,5,0)</f>
        <v>5314</v>
      </c>
      <c r="E2561" s="5" t="str">
        <f>VLOOKUP(Googleadssales[[#This Row],[Ad_ID]],[1]!Table3[[Ad_ID]:[Cost-imputed]],7,0)</f>
        <v>$188.23</v>
      </c>
      <c r="F2561" s="4">
        <f>VLOOKUP(Googleadssales[[#This Row],[Ad_ID]],'[1]pre processed data'!A:I,9,0)</f>
        <v>17</v>
      </c>
      <c r="G2561" s="4">
        <f>VLOOKUP(Googleadssales[[#This Row],[Ad_ID]],'[1]pre processed data'!A:K,11,0)</f>
        <v>8</v>
      </c>
      <c r="H2561" s="2">
        <f>Googleadssales[[#This Row],[Conversions]]/Googleadssales[[#This Row],[Clicks]]</f>
        <v>4.5454545454545456E-2</v>
      </c>
      <c r="I2561" t="str">
        <f>VLOOKUP(Googleadssales[[#This Row],[Ad_ID]],'[1]pre processed data'!A:O,15,0)</f>
        <v>$1725</v>
      </c>
      <c r="J2561" s="3">
        <f>VLOOKUP(Googleadssales[[#This Row],[Ad_ID]],'[1]pre processed data'!A:Q,17,0)</f>
        <v>45600</v>
      </c>
      <c r="K2561" t="str">
        <f>VLOOKUP(Googleadssales[[#This Row],[Ad_ID]],'[1]pre processed data'!A:R,18,0)</f>
        <v>Hyderabad</v>
      </c>
      <c r="L2561" t="str">
        <f>VLOOKUP(Googleadssales[[#This Row],[Ad_ID]],'[1]pre processed data'!A:S,19,0)</f>
        <v>Mobile</v>
      </c>
      <c r="M2561" t="str">
        <f>VLOOKUP(Googleadssales[[#This Row],[Ad_ID]],'[1]pre processed data'!A:T,20,0)</f>
        <v>analytics for data</v>
      </c>
    </row>
    <row r="2562" spans="1:13" x14ac:dyDescent="0.3">
      <c r="A2562" t="s">
        <v>2575</v>
      </c>
      <c r="B2562" t="s">
        <v>14</v>
      </c>
      <c r="C2562" s="4">
        <f>VLOOKUP(Googleadssales[[#This Row],[Ad_ID]],'[1]pre processed data'!A:C,3,0)</f>
        <v>170</v>
      </c>
      <c r="D2562" s="4">
        <f>VLOOKUP(Googleadssales[[#This Row],[Ad_ID]],'[1]pre processed data'!A:E,5,0)</f>
        <v>3401</v>
      </c>
      <c r="E2562" s="5" t="str">
        <f>VLOOKUP(Googleadssales[[#This Row],[Ad_ID]],[1]!Table3[[Ad_ID]:[Cost-imputed]],7,0)</f>
        <v>$235.7</v>
      </c>
      <c r="F2562" s="4">
        <f>VLOOKUP(Googleadssales[[#This Row],[Ad_ID]],'[1]pre processed data'!A:I,9,0)</f>
        <v>10</v>
      </c>
      <c r="G2562" s="4">
        <f>VLOOKUP(Googleadssales[[#This Row],[Ad_ID]],'[1]pre processed data'!A:K,11,0)</f>
        <v>6.2972972972972974</v>
      </c>
      <c r="H2562" s="2">
        <f>Googleadssales[[#This Row],[Conversions]]/Googleadssales[[#This Row],[Clicks]]</f>
        <v>3.7042925278219396E-2</v>
      </c>
      <c r="I2562" t="str">
        <f>VLOOKUP(Googleadssales[[#This Row],[Ad_ID]],'[1]pre processed data'!A:O,15,0)</f>
        <v>$1047</v>
      </c>
      <c r="J2562" s="3">
        <f>VLOOKUP(Googleadssales[[#This Row],[Ad_ID]],'[1]pre processed data'!A:Q,17,0)</f>
        <v>45611</v>
      </c>
      <c r="K2562" t="str">
        <f>VLOOKUP(Googleadssales[[#This Row],[Ad_ID]],'[1]pre processed data'!A:R,18,0)</f>
        <v>Hyderabad</v>
      </c>
      <c r="L2562" t="str">
        <f>VLOOKUP(Googleadssales[[#This Row],[Ad_ID]],'[1]pre processed data'!A:S,19,0)</f>
        <v>Mobile</v>
      </c>
      <c r="M2562" t="str">
        <f>VLOOKUP(Googleadssales[[#This Row],[Ad_ID]],'[1]pre processed data'!A:T,20,0)</f>
        <v>online data analytic</v>
      </c>
    </row>
    <row r="2563" spans="1:13" x14ac:dyDescent="0.3">
      <c r="A2563" t="s">
        <v>2576</v>
      </c>
      <c r="B2563" t="s">
        <v>14</v>
      </c>
      <c r="C2563" s="4">
        <f>VLOOKUP(Googleadssales[[#This Row],[Ad_ID]],'[1]pre processed data'!A:C,3,0)</f>
        <v>144</v>
      </c>
      <c r="D2563" s="4">
        <f>VLOOKUP(Googleadssales[[#This Row],[Ad_ID]],'[1]pre processed data'!A:E,5,0)</f>
        <v>3509</v>
      </c>
      <c r="E2563" s="5" t="str">
        <f>VLOOKUP(Googleadssales[[#This Row],[Ad_ID]],[1]!Table3[[Ad_ID]:[Cost-imputed]],7,0)</f>
        <v>$193.65</v>
      </c>
      <c r="F2563" s="4">
        <f>VLOOKUP(Googleadssales[[#This Row],[Ad_ID]],'[1]pre processed data'!A:I,9,0)</f>
        <v>28</v>
      </c>
      <c r="G2563" s="4">
        <f>VLOOKUP(Googleadssales[[#This Row],[Ad_ID]],'[1]pre processed data'!A:K,11,0)</f>
        <v>3</v>
      </c>
      <c r="H2563" s="2">
        <f>Googleadssales[[#This Row],[Conversions]]/Googleadssales[[#This Row],[Clicks]]</f>
        <v>2.0833333333333332E-2</v>
      </c>
      <c r="I2563" t="str">
        <f>VLOOKUP(Googleadssales[[#This Row],[Ad_ID]],'[1]pre processed data'!A:O,15,0)</f>
        <v>$1361</v>
      </c>
      <c r="J2563" s="3">
        <f>VLOOKUP(Googleadssales[[#This Row],[Ad_ID]],'[1]pre processed data'!A:Q,17,0)</f>
        <v>45612</v>
      </c>
      <c r="K2563" t="str">
        <f>VLOOKUP(Googleadssales[[#This Row],[Ad_ID]],'[1]pre processed data'!A:R,18,0)</f>
        <v>Hyderabad</v>
      </c>
      <c r="L2563" t="str">
        <f>VLOOKUP(Googleadssales[[#This Row],[Ad_ID]],'[1]pre processed data'!A:S,19,0)</f>
        <v>Tablet</v>
      </c>
      <c r="M2563" t="str">
        <f>VLOOKUP(Googleadssales[[#This Row],[Ad_ID]],'[1]pre processed data'!A:T,20,0)</f>
        <v>analytics for data</v>
      </c>
    </row>
    <row r="2564" spans="1:13" x14ac:dyDescent="0.3">
      <c r="A2564" t="s">
        <v>2577</v>
      </c>
      <c r="B2564" t="s">
        <v>14</v>
      </c>
      <c r="C2564" s="4">
        <f>VLOOKUP(Googleadssales[[#This Row],[Ad_ID]],'[1]pre processed data'!A:C,3,0)</f>
        <v>127</v>
      </c>
      <c r="D2564" s="4">
        <f>VLOOKUP(Googleadssales[[#This Row],[Ad_ID]],'[1]pre processed data'!A:E,5,0)</f>
        <v>4850</v>
      </c>
      <c r="E2564" s="5" t="str">
        <f>VLOOKUP(Googleadssales[[#This Row],[Ad_ID]],[1]!Table3[[Ad_ID]:[Cost-imputed]],7,0)</f>
        <v>$235.92</v>
      </c>
      <c r="F2564" s="4">
        <f>VLOOKUP(Googleadssales[[#This Row],[Ad_ID]],'[1]pre processed data'!A:I,9,0)</f>
        <v>25</v>
      </c>
      <c r="G2564" s="4">
        <f>VLOOKUP(Googleadssales[[#This Row],[Ad_ID]],'[1]pre processed data'!A:K,11,0)</f>
        <v>10</v>
      </c>
      <c r="H2564" s="2">
        <f>Googleadssales[[#This Row],[Conversions]]/Googleadssales[[#This Row],[Clicks]]</f>
        <v>7.874015748031496E-2</v>
      </c>
      <c r="I2564" t="str">
        <f>VLOOKUP(Googleadssales[[#This Row],[Ad_ID]],'[1]pre processed data'!A:O,15,0)</f>
        <v>$1057</v>
      </c>
      <c r="J2564" s="3">
        <f>VLOOKUP(Googleadssales[[#This Row],[Ad_ID]],'[1]pre processed data'!A:Q,17,0)</f>
        <v>45608</v>
      </c>
      <c r="K2564" t="str">
        <f>VLOOKUP(Googleadssales[[#This Row],[Ad_ID]],'[1]pre processed data'!A:R,18,0)</f>
        <v>Hyderabad</v>
      </c>
      <c r="L2564" t="str">
        <f>VLOOKUP(Googleadssales[[#This Row],[Ad_ID]],'[1]pre processed data'!A:S,19,0)</f>
        <v>Desktop</v>
      </c>
      <c r="M2564" t="str">
        <f>VLOOKUP(Googleadssales[[#This Row],[Ad_ID]],'[1]pre processed data'!A:T,20,0)</f>
        <v>data analytics course</v>
      </c>
    </row>
    <row r="2565" spans="1:13" x14ac:dyDescent="0.3">
      <c r="A2565" t="s">
        <v>2578</v>
      </c>
      <c r="B2565" t="s">
        <v>14</v>
      </c>
      <c r="C2565" s="4">
        <f>VLOOKUP(Googleadssales[[#This Row],[Ad_ID]],'[1]pre processed data'!A:C,3,0)</f>
        <v>108</v>
      </c>
      <c r="D2565" s="4">
        <f>VLOOKUP(Googleadssales[[#This Row],[Ad_ID]],'[1]pre processed data'!A:E,5,0)</f>
        <v>5245</v>
      </c>
      <c r="E2565" s="5" t="str">
        <f>VLOOKUP(Googleadssales[[#This Row],[Ad_ID]],[1]!Table3[[Ad_ID]:[Cost-imputed]],7,0)</f>
        <v>$227.35</v>
      </c>
      <c r="F2565" s="4">
        <f>VLOOKUP(Googleadssales[[#This Row],[Ad_ID]],'[1]pre processed data'!A:I,9,0)</f>
        <v>12</v>
      </c>
      <c r="G2565" s="4">
        <f>VLOOKUP(Googleadssales[[#This Row],[Ad_ID]],'[1]pre processed data'!A:K,11,0)</f>
        <v>5</v>
      </c>
      <c r="H2565" s="2">
        <f>Googleadssales[[#This Row],[Conversions]]/Googleadssales[[#This Row],[Clicks]]</f>
        <v>4.6296296296296294E-2</v>
      </c>
      <c r="I2565" t="str">
        <f>VLOOKUP(Googleadssales[[#This Row],[Ad_ID]],'[1]pre processed data'!A:O,15,0)</f>
        <v>$1384</v>
      </c>
      <c r="J2565" s="3">
        <f>VLOOKUP(Googleadssales[[#This Row],[Ad_ID]],'[1]pre processed data'!A:Q,17,0)</f>
        <v>45623</v>
      </c>
      <c r="K2565" t="str">
        <f>VLOOKUP(Googleadssales[[#This Row],[Ad_ID]],'[1]pre processed data'!A:R,18,0)</f>
        <v>Hyderabad</v>
      </c>
      <c r="L2565" t="str">
        <f>VLOOKUP(Googleadssales[[#This Row],[Ad_ID]],'[1]pre processed data'!A:S,19,0)</f>
        <v>Tablet</v>
      </c>
      <c r="M2565" t="str">
        <f>VLOOKUP(Googleadssales[[#This Row],[Ad_ID]],'[1]pre processed data'!A:T,20,0)</f>
        <v>data analytics training</v>
      </c>
    </row>
    <row r="2566" spans="1:13" x14ac:dyDescent="0.3">
      <c r="A2566" t="s">
        <v>2579</v>
      </c>
      <c r="B2566" t="s">
        <v>18</v>
      </c>
      <c r="C2566" s="4">
        <f>VLOOKUP(Googleadssales[[#This Row],[Ad_ID]],'[1]pre processed data'!A:C,3,0)</f>
        <v>96</v>
      </c>
      <c r="D2566" s="4">
        <f>VLOOKUP(Googleadssales[[#This Row],[Ad_ID]],'[1]pre processed data'!A:E,5,0)</f>
        <v>5474</v>
      </c>
      <c r="E2566" s="5" t="str">
        <f>VLOOKUP(Googleadssales[[#This Row],[Ad_ID]],[1]!Table3[[Ad_ID]:[Cost-imputed]],7,0)</f>
        <v>$201.65</v>
      </c>
      <c r="F2566" s="4">
        <f>VLOOKUP(Googleadssales[[#This Row],[Ad_ID]],'[1]pre processed data'!A:I,9,0)</f>
        <v>16</v>
      </c>
      <c r="G2566" s="4">
        <f>VLOOKUP(Googleadssales[[#This Row],[Ad_ID]],'[1]pre processed data'!A:K,11,0)</f>
        <v>8</v>
      </c>
      <c r="H2566" s="2">
        <f>Googleadssales[[#This Row],[Conversions]]/Googleadssales[[#This Row],[Clicks]]</f>
        <v>8.3333333333333329E-2</v>
      </c>
      <c r="I2566" t="str">
        <f>VLOOKUP(Googleadssales[[#This Row],[Ad_ID]],'[1]pre processed data'!A:O,15,0)</f>
        <v>$1376</v>
      </c>
      <c r="J2566" s="3">
        <f>VLOOKUP(Googleadssales[[#This Row],[Ad_ID]],'[1]pre processed data'!A:Q,17,0)</f>
        <v>45625</v>
      </c>
      <c r="K2566" t="str">
        <f>VLOOKUP(Googleadssales[[#This Row],[Ad_ID]],'[1]pre processed data'!A:R,18,0)</f>
        <v>Hyderabad</v>
      </c>
      <c r="L2566" t="str">
        <f>VLOOKUP(Googleadssales[[#This Row],[Ad_ID]],'[1]pre processed data'!A:S,19,0)</f>
        <v>Mobile</v>
      </c>
      <c r="M2566" t="str">
        <f>VLOOKUP(Googleadssales[[#This Row],[Ad_ID]],'[1]pre processed data'!A:T,20,0)</f>
        <v>learn data analytics</v>
      </c>
    </row>
    <row r="2567" spans="1:13" x14ac:dyDescent="0.3">
      <c r="A2567" t="s">
        <v>2580</v>
      </c>
      <c r="B2567" t="s">
        <v>14</v>
      </c>
      <c r="C2567" s="4">
        <f>VLOOKUP(Googleadssales[[#This Row],[Ad_ID]],'[1]pre processed data'!A:C,3,0)</f>
        <v>103</v>
      </c>
      <c r="D2567" s="4">
        <f>VLOOKUP(Googleadssales[[#This Row],[Ad_ID]],'[1]pre processed data'!A:E,5,0)</f>
        <v>4913</v>
      </c>
      <c r="E2567" s="5" t="str">
        <f>VLOOKUP(Googleadssales[[#This Row],[Ad_ID]],[1]!Table3[[Ad_ID]:[Cost-imputed]],7,0)</f>
        <v>$180.45</v>
      </c>
      <c r="F2567" s="4">
        <f>VLOOKUP(Googleadssales[[#This Row],[Ad_ID]],'[1]pre processed data'!A:I,9,0)</f>
        <v>12</v>
      </c>
      <c r="G2567" s="4">
        <f>VLOOKUP(Googleadssales[[#This Row],[Ad_ID]],'[1]pre processed data'!A:K,11,0)</f>
        <v>3</v>
      </c>
      <c r="H2567" s="2">
        <f>Googleadssales[[#This Row],[Conversions]]/Googleadssales[[#This Row],[Clicks]]</f>
        <v>2.9126213592233011E-2</v>
      </c>
      <c r="I2567" t="str">
        <f>VLOOKUP(Googleadssales[[#This Row],[Ad_ID]],'[1]pre processed data'!A:O,15,0)</f>
        <v>$1178</v>
      </c>
      <c r="J2567" s="3">
        <f>VLOOKUP(Googleadssales[[#This Row],[Ad_ID]],'[1]pre processed data'!A:Q,17,0)</f>
        <v>45624</v>
      </c>
      <c r="K2567" t="str">
        <f>VLOOKUP(Googleadssales[[#This Row],[Ad_ID]],'[1]pre processed data'!A:R,18,0)</f>
        <v>Chennai</v>
      </c>
      <c r="L2567" t="str">
        <f>VLOOKUP(Googleadssales[[#This Row],[Ad_ID]],'[1]pre processed data'!A:S,19,0)</f>
        <v>Mobile</v>
      </c>
      <c r="M2567" t="str">
        <f>VLOOKUP(Googleadssales[[#This Row],[Ad_ID]],'[1]pre processed data'!A:T,20,0)</f>
        <v>learn data analytics</v>
      </c>
    </row>
    <row r="2568" spans="1:13" x14ac:dyDescent="0.3">
      <c r="A2568" t="s">
        <v>2581</v>
      </c>
      <c r="B2568" t="s">
        <v>18</v>
      </c>
      <c r="C2568" s="4">
        <f>VLOOKUP(Googleadssales[[#This Row],[Ad_ID]],'[1]pre processed data'!A:C,3,0)</f>
        <v>160</v>
      </c>
      <c r="D2568" s="4">
        <f>VLOOKUP(Googleadssales[[#This Row],[Ad_ID]],'[1]pre processed data'!A:E,5,0)</f>
        <v>5975</v>
      </c>
      <c r="E2568" s="5" t="str">
        <f>VLOOKUP(Googleadssales[[#This Row],[Ad_ID]],[1]!Table3[[Ad_ID]:[Cost-imputed]],7,0)</f>
        <v>$212.18</v>
      </c>
      <c r="F2568" s="4">
        <f>VLOOKUP(Googleadssales[[#This Row],[Ad_ID]],'[1]pre processed data'!A:I,9,0)</f>
        <v>14</v>
      </c>
      <c r="G2568" s="4">
        <f>VLOOKUP(Googleadssales[[#This Row],[Ad_ID]],'[1]pre processed data'!A:K,11,0)</f>
        <v>6.375</v>
      </c>
      <c r="H2568" s="2">
        <f>Googleadssales[[#This Row],[Conversions]]/Googleadssales[[#This Row],[Clicks]]</f>
        <v>3.9843749999999997E-2</v>
      </c>
      <c r="I2568" t="str">
        <f>VLOOKUP(Googleadssales[[#This Row],[Ad_ID]],'[1]pre processed data'!A:O,15,0)</f>
        <v>$1507</v>
      </c>
      <c r="J2568" s="3">
        <f>VLOOKUP(Googleadssales[[#This Row],[Ad_ID]],'[1]pre processed data'!A:Q,17,0)</f>
        <v>45600</v>
      </c>
      <c r="K2568" t="str">
        <f>VLOOKUP(Googleadssales[[#This Row],[Ad_ID]],'[1]pre processed data'!A:R,18,0)</f>
        <v>Bangaluru</v>
      </c>
      <c r="L2568" t="str">
        <f>VLOOKUP(Googleadssales[[#This Row],[Ad_ID]],'[1]pre processed data'!A:S,19,0)</f>
        <v>Tablet</v>
      </c>
      <c r="M2568" t="str">
        <f>VLOOKUP(Googleadssales[[#This Row],[Ad_ID]],'[1]pre processed data'!A:T,20,0)</f>
        <v>data analytics course</v>
      </c>
    </row>
    <row r="2569" spans="1:13" x14ac:dyDescent="0.3">
      <c r="A2569" t="s">
        <v>2582</v>
      </c>
      <c r="B2569" t="s">
        <v>14</v>
      </c>
      <c r="C2569" s="4">
        <f>VLOOKUP(Googleadssales[[#This Row],[Ad_ID]],'[1]pre processed data'!A:C,3,0)</f>
        <v>141</v>
      </c>
      <c r="D2569" s="4">
        <f>VLOOKUP(Googleadssales[[#This Row],[Ad_ID]],'[1]pre processed data'!A:E,5,0)</f>
        <v>5451</v>
      </c>
      <c r="E2569" s="5" t="str">
        <f>VLOOKUP(Googleadssales[[#This Row],[Ad_ID]],[1]!Table3[[Ad_ID]:[Cost-imputed]],7,0)</f>
        <v>$246.96</v>
      </c>
      <c r="F2569" s="4">
        <f>VLOOKUP(Googleadssales[[#This Row],[Ad_ID]],'[1]pre processed data'!A:I,9,0)</f>
        <v>13</v>
      </c>
      <c r="G2569" s="4">
        <f>VLOOKUP(Googleadssales[[#This Row],[Ad_ID]],'[1]pre processed data'!A:K,11,0)</f>
        <v>4</v>
      </c>
      <c r="H2569" s="2">
        <f>Googleadssales[[#This Row],[Conversions]]/Googleadssales[[#This Row],[Clicks]]</f>
        <v>2.8368794326241134E-2</v>
      </c>
      <c r="I2569" t="str">
        <f>VLOOKUP(Googleadssales[[#This Row],[Ad_ID]],'[1]pre processed data'!A:O,15,0)</f>
        <v>$1725</v>
      </c>
      <c r="J2569" s="3">
        <f>VLOOKUP(Googleadssales[[#This Row],[Ad_ID]],'[1]pre processed data'!A:Q,17,0)</f>
        <v>45608</v>
      </c>
      <c r="K2569" t="str">
        <f>VLOOKUP(Googleadssales[[#This Row],[Ad_ID]],'[1]pre processed data'!A:R,18,0)</f>
        <v>Chennai</v>
      </c>
      <c r="L2569" t="str">
        <f>VLOOKUP(Googleadssales[[#This Row],[Ad_ID]],'[1]pre processed data'!A:S,19,0)</f>
        <v>Tablet</v>
      </c>
      <c r="M2569" t="str">
        <f>VLOOKUP(Googleadssales[[#This Row],[Ad_ID]],'[1]pre processed data'!A:T,20,0)</f>
        <v>learn data analytics</v>
      </c>
    </row>
    <row r="2570" spans="1:13" x14ac:dyDescent="0.3">
      <c r="A2570" t="s">
        <v>2583</v>
      </c>
      <c r="B2570" t="s">
        <v>18</v>
      </c>
      <c r="C2570" s="4">
        <f>VLOOKUP(Googleadssales[[#This Row],[Ad_ID]],'[1]pre processed data'!A:C,3,0)</f>
        <v>121</v>
      </c>
      <c r="D2570" s="4">
        <f>VLOOKUP(Googleadssales[[#This Row],[Ad_ID]],'[1]pre processed data'!A:E,5,0)</f>
        <v>4538</v>
      </c>
      <c r="E2570" s="5" t="str">
        <f>VLOOKUP(Googleadssales[[#This Row],[Ad_ID]],[1]!Table3[[Ad_ID]:[Cost-imputed]],7,0)</f>
        <v>$216.98</v>
      </c>
      <c r="F2570" s="4">
        <f>VLOOKUP(Googleadssales[[#This Row],[Ad_ID]],'[1]pre processed data'!A:I,9,0)</f>
        <v>27</v>
      </c>
      <c r="G2570" s="4">
        <f>VLOOKUP(Googleadssales[[#This Row],[Ad_ID]],'[1]pre processed data'!A:K,11,0)</f>
        <v>4</v>
      </c>
      <c r="H2570" s="2">
        <f>Googleadssales[[#This Row],[Conversions]]/Googleadssales[[#This Row],[Clicks]]</f>
        <v>3.3057851239669422E-2</v>
      </c>
      <c r="I2570" t="str">
        <f>VLOOKUP(Googleadssales[[#This Row],[Ad_ID]],'[1]pre processed data'!A:O,15,0)</f>
        <v>$1874</v>
      </c>
      <c r="J2570" s="3">
        <f>VLOOKUP(Googleadssales[[#This Row],[Ad_ID]],'[1]pre processed data'!A:Q,17,0)</f>
        <v>45615</v>
      </c>
      <c r="K2570" t="str">
        <f>VLOOKUP(Googleadssales[[#This Row],[Ad_ID]],'[1]pre processed data'!A:R,18,0)</f>
        <v>Bangaluru</v>
      </c>
      <c r="L2570" t="str">
        <f>VLOOKUP(Googleadssales[[#This Row],[Ad_ID]],'[1]pre processed data'!A:S,19,0)</f>
        <v>Desktop</v>
      </c>
      <c r="M2570" t="str">
        <f>VLOOKUP(Googleadssales[[#This Row],[Ad_ID]],'[1]pre processed data'!A:T,20,0)</f>
        <v>data analytics course</v>
      </c>
    </row>
    <row r="2571" spans="1:13" x14ac:dyDescent="0.3">
      <c r="A2571" t="s">
        <v>2584</v>
      </c>
      <c r="B2571" t="s">
        <v>14</v>
      </c>
      <c r="C2571" s="4">
        <f>VLOOKUP(Googleadssales[[#This Row],[Ad_ID]],'[1]pre processed data'!A:C,3,0)</f>
        <v>176</v>
      </c>
      <c r="D2571" s="4">
        <f>VLOOKUP(Googleadssales[[#This Row],[Ad_ID]],'[1]pre processed data'!A:E,5,0)</f>
        <v>4285</v>
      </c>
      <c r="E2571" s="5" t="str">
        <f>VLOOKUP(Googleadssales[[#This Row],[Ad_ID]],[1]!Table3[[Ad_ID]:[Cost-imputed]],7,0)</f>
        <v>$245.13</v>
      </c>
      <c r="F2571" s="4">
        <f>VLOOKUP(Googleadssales[[#This Row],[Ad_ID]],'[1]pre processed data'!A:I,9,0)</f>
        <v>28</v>
      </c>
      <c r="G2571" s="4">
        <f>VLOOKUP(Googleadssales[[#This Row],[Ad_ID]],'[1]pre processed data'!A:K,11,0)</f>
        <v>9</v>
      </c>
      <c r="H2571" s="2">
        <f>Googleadssales[[#This Row],[Conversions]]/Googleadssales[[#This Row],[Clicks]]</f>
        <v>5.113636363636364E-2</v>
      </c>
      <c r="I2571" t="str">
        <f>VLOOKUP(Googleadssales[[#This Row],[Ad_ID]],'[1]pre processed data'!A:O,15,0)</f>
        <v>$1321</v>
      </c>
      <c r="J2571" s="3">
        <f>VLOOKUP(Googleadssales[[#This Row],[Ad_ID]],'[1]pre processed data'!A:Q,17,0)</f>
        <v>45604</v>
      </c>
      <c r="K2571" t="str">
        <f>VLOOKUP(Googleadssales[[#This Row],[Ad_ID]],'[1]pre processed data'!A:R,18,0)</f>
        <v>Hyderabad</v>
      </c>
      <c r="L2571" t="str">
        <f>VLOOKUP(Googleadssales[[#This Row],[Ad_ID]],'[1]pre processed data'!A:S,19,0)</f>
        <v>Mobile</v>
      </c>
      <c r="M2571" t="str">
        <f>VLOOKUP(Googleadssales[[#This Row],[Ad_ID]],'[1]pre processed data'!A:T,20,0)</f>
        <v>learn data analytics</v>
      </c>
    </row>
    <row r="2572" spans="1:13" x14ac:dyDescent="0.3">
      <c r="A2572" t="s">
        <v>2585</v>
      </c>
      <c r="B2572" t="s">
        <v>14</v>
      </c>
      <c r="C2572" s="4">
        <f>VLOOKUP(Googleadssales[[#This Row],[Ad_ID]],'[1]pre processed data'!A:C,3,0)</f>
        <v>125</v>
      </c>
      <c r="D2572" s="4">
        <f>VLOOKUP(Googleadssales[[#This Row],[Ad_ID]],'[1]pre processed data'!A:E,5,0)</f>
        <v>5041</v>
      </c>
      <c r="E2572" s="5" t="str">
        <f>VLOOKUP(Googleadssales[[#This Row],[Ad_ID]],[1]!Table3[[Ad_ID]:[Cost-imputed]],7,0)</f>
        <v>$228.64</v>
      </c>
      <c r="F2572" s="4">
        <f>VLOOKUP(Googleadssales[[#This Row],[Ad_ID]],'[1]pre processed data'!A:I,9,0)</f>
        <v>21</v>
      </c>
      <c r="G2572" s="4">
        <f>VLOOKUP(Googleadssales[[#This Row],[Ad_ID]],'[1]pre processed data'!A:K,11,0)</f>
        <v>6</v>
      </c>
      <c r="H2572" s="2">
        <f>Googleadssales[[#This Row],[Conversions]]/Googleadssales[[#This Row],[Clicks]]</f>
        <v>4.8000000000000001E-2</v>
      </c>
      <c r="I2572" t="str">
        <f>VLOOKUP(Googleadssales[[#This Row],[Ad_ID]],'[1]pre processed data'!A:O,15,0)</f>
        <v>$1403</v>
      </c>
      <c r="J2572" s="3">
        <f>VLOOKUP(Googleadssales[[#This Row],[Ad_ID]],'[1]pre processed data'!A:Q,17,0)</f>
        <v>45625</v>
      </c>
      <c r="K2572" t="str">
        <f>VLOOKUP(Googleadssales[[#This Row],[Ad_ID]],'[1]pre processed data'!A:R,18,0)</f>
        <v>Hyderabad</v>
      </c>
      <c r="L2572" t="str">
        <f>VLOOKUP(Googleadssales[[#This Row],[Ad_ID]],'[1]pre processed data'!A:S,19,0)</f>
        <v>Desktop</v>
      </c>
      <c r="M2572" t="str">
        <f>VLOOKUP(Googleadssales[[#This Row],[Ad_ID]],'[1]pre processed data'!A:T,20,0)</f>
        <v>online data analytic</v>
      </c>
    </row>
    <row r="2573" spans="1:13" x14ac:dyDescent="0.3">
      <c r="A2573" t="s">
        <v>2586</v>
      </c>
      <c r="B2573" t="s">
        <v>14</v>
      </c>
      <c r="C2573" s="4">
        <f>VLOOKUP(Googleadssales[[#This Row],[Ad_ID]],'[1]pre processed data'!A:C,3,0)</f>
        <v>138.95699356913184</v>
      </c>
      <c r="D2573" s="4">
        <f>VLOOKUP(Googleadssales[[#This Row],[Ad_ID]],'[1]pre processed data'!A:E,5,0)</f>
        <v>5386</v>
      </c>
      <c r="E2573" s="5" t="str">
        <f>VLOOKUP(Googleadssales[[#This Row],[Ad_ID]],[1]!Table3[[Ad_ID]:[Cost-imputed]],7,0)</f>
        <v>$220.23</v>
      </c>
      <c r="F2573" s="4">
        <f>VLOOKUP(Googleadssales[[#This Row],[Ad_ID]],'[1]pre processed data'!A:I,9,0)</f>
        <v>23</v>
      </c>
      <c r="G2573" s="4">
        <f>VLOOKUP(Googleadssales[[#This Row],[Ad_ID]],'[1]pre processed data'!A:K,11,0)</f>
        <v>5</v>
      </c>
      <c r="H2573" s="2">
        <f>Googleadssales[[#This Row],[Conversions]]/Googleadssales[[#This Row],[Clicks]]</f>
        <v>3.5982355918721523E-2</v>
      </c>
      <c r="I2573" t="str">
        <f>VLOOKUP(Googleadssales[[#This Row],[Ad_ID]],'[1]pre processed data'!A:O,15,0)</f>
        <v>$1462</v>
      </c>
      <c r="J2573" s="3">
        <f>VLOOKUP(Googleadssales[[#This Row],[Ad_ID]],'[1]pre processed data'!A:Q,17,0)</f>
        <v>45604</v>
      </c>
      <c r="K2573" t="str">
        <f>VLOOKUP(Googleadssales[[#This Row],[Ad_ID]],'[1]pre processed data'!A:R,18,0)</f>
        <v>Chennai</v>
      </c>
      <c r="L2573" t="str">
        <f>VLOOKUP(Googleadssales[[#This Row],[Ad_ID]],'[1]pre processed data'!A:S,19,0)</f>
        <v>Desktop</v>
      </c>
      <c r="M2573" t="str">
        <f>VLOOKUP(Googleadssales[[#This Row],[Ad_ID]],'[1]pre processed data'!A:T,20,0)</f>
        <v>data analytics online</v>
      </c>
    </row>
    <row r="2574" spans="1:13" x14ac:dyDescent="0.3">
      <c r="A2574" t="s">
        <v>2587</v>
      </c>
      <c r="B2574" t="s">
        <v>14</v>
      </c>
      <c r="C2574" s="4">
        <f>VLOOKUP(Googleadssales[[#This Row],[Ad_ID]],'[1]pre processed data'!A:C,3,0)</f>
        <v>137</v>
      </c>
      <c r="D2574" s="4">
        <f>VLOOKUP(Googleadssales[[#This Row],[Ad_ID]],'[1]pre processed data'!A:E,5,0)</f>
        <v>5168</v>
      </c>
      <c r="E2574" s="5" t="str">
        <f>VLOOKUP(Googleadssales[[#This Row],[Ad_ID]],[1]!Table3[[Ad_ID]:[Cost-imputed]],7,0)</f>
        <v>$230.04</v>
      </c>
      <c r="F2574" s="4">
        <f>VLOOKUP(Googleadssales[[#This Row],[Ad_ID]],'[1]pre processed data'!A:I,9,0)</f>
        <v>19.148148148148149</v>
      </c>
      <c r="G2574" s="4">
        <f>VLOOKUP(Googleadssales[[#This Row],[Ad_ID]],'[1]pre processed data'!A:K,11,0)</f>
        <v>7</v>
      </c>
      <c r="H2574" s="2">
        <f>Googleadssales[[#This Row],[Conversions]]/Googleadssales[[#This Row],[Clicks]]</f>
        <v>5.1094890510948905E-2</v>
      </c>
      <c r="I2574" t="str">
        <f>VLOOKUP(Googleadssales[[#This Row],[Ad_ID]],'[1]pre processed data'!A:O,15,0)</f>
        <v>$1377</v>
      </c>
      <c r="J2574" s="3">
        <f>VLOOKUP(Googleadssales[[#This Row],[Ad_ID]],'[1]pre processed data'!A:Q,17,0)</f>
        <v>45609</v>
      </c>
      <c r="K2574" t="str">
        <f>VLOOKUP(Googleadssales[[#This Row],[Ad_ID]],'[1]pre processed data'!A:R,18,0)</f>
        <v>Hyderabad</v>
      </c>
      <c r="L2574" t="str">
        <f>VLOOKUP(Googleadssales[[#This Row],[Ad_ID]],'[1]pre processed data'!A:S,19,0)</f>
        <v>Desktop</v>
      </c>
      <c r="M2574" t="str">
        <f>VLOOKUP(Googleadssales[[#This Row],[Ad_ID]],'[1]pre processed data'!A:T,20,0)</f>
        <v>data analytics course</v>
      </c>
    </row>
    <row r="2575" spans="1:13" x14ac:dyDescent="0.3">
      <c r="A2575" t="s">
        <v>2588</v>
      </c>
      <c r="B2575" t="s">
        <v>14</v>
      </c>
      <c r="C2575" s="4">
        <f>VLOOKUP(Googleadssales[[#This Row],[Ad_ID]],'[1]pre processed data'!A:C,3,0)</f>
        <v>174</v>
      </c>
      <c r="D2575" s="4">
        <f>VLOOKUP(Googleadssales[[#This Row],[Ad_ID]],'[1]pre processed data'!A:E,5,0)</f>
        <v>4308</v>
      </c>
      <c r="E2575" s="5" t="str">
        <f>VLOOKUP(Googleadssales[[#This Row],[Ad_ID]],[1]!Table3[[Ad_ID]:[Cost-imputed]],7,0)</f>
        <v>$190.54</v>
      </c>
      <c r="F2575" s="4">
        <f>VLOOKUP(Googleadssales[[#This Row],[Ad_ID]],'[1]pre processed data'!A:I,9,0)</f>
        <v>24</v>
      </c>
      <c r="G2575" s="4">
        <f>VLOOKUP(Googleadssales[[#This Row],[Ad_ID]],'[1]pre processed data'!A:K,11,0)</f>
        <v>10</v>
      </c>
      <c r="H2575" s="2">
        <f>Googleadssales[[#This Row],[Conversions]]/Googleadssales[[#This Row],[Clicks]]</f>
        <v>5.7471264367816091E-2</v>
      </c>
      <c r="I2575" t="str">
        <f>VLOOKUP(Googleadssales[[#This Row],[Ad_ID]],'[1]pre processed data'!A:O,15,0)</f>
        <v>$1948</v>
      </c>
      <c r="J2575" s="3">
        <f>VLOOKUP(Googleadssales[[#This Row],[Ad_ID]],'[1]pre processed data'!A:Q,17,0)</f>
        <v>45617</v>
      </c>
      <c r="K2575" t="str">
        <f>VLOOKUP(Googleadssales[[#This Row],[Ad_ID]],'[1]pre processed data'!A:R,18,0)</f>
        <v>Bangaluru</v>
      </c>
      <c r="L2575" t="str">
        <f>VLOOKUP(Googleadssales[[#This Row],[Ad_ID]],'[1]pre processed data'!A:S,19,0)</f>
        <v>Tablet</v>
      </c>
      <c r="M2575" t="str">
        <f>VLOOKUP(Googleadssales[[#This Row],[Ad_ID]],'[1]pre processed data'!A:T,20,0)</f>
        <v>data analytics online</v>
      </c>
    </row>
    <row r="2576" spans="1:13" x14ac:dyDescent="0.3">
      <c r="A2576" t="s">
        <v>2589</v>
      </c>
      <c r="B2576" t="s">
        <v>14</v>
      </c>
      <c r="C2576" s="4">
        <f>VLOOKUP(Googleadssales[[#This Row],[Ad_ID]],'[1]pre processed data'!A:C,3,0)</f>
        <v>177</v>
      </c>
      <c r="D2576" s="4">
        <f>VLOOKUP(Googleadssales[[#This Row],[Ad_ID]],'[1]pre processed data'!A:E,5,0)</f>
        <v>3884</v>
      </c>
      <c r="E2576" s="5" t="str">
        <f>VLOOKUP(Googleadssales[[#This Row],[Ad_ID]],[1]!Table3[[Ad_ID]:[Cost-imputed]],7,0)</f>
        <v>$219.75</v>
      </c>
      <c r="F2576" s="4">
        <f>VLOOKUP(Googleadssales[[#This Row],[Ad_ID]],'[1]pre processed data'!A:I,9,0)</f>
        <v>29</v>
      </c>
      <c r="G2576" s="4">
        <f>VLOOKUP(Googleadssales[[#This Row],[Ad_ID]],'[1]pre processed data'!A:K,11,0)</f>
        <v>5</v>
      </c>
      <c r="H2576" s="2">
        <f>Googleadssales[[#This Row],[Conversions]]/Googleadssales[[#This Row],[Clicks]]</f>
        <v>2.8248587570621469E-2</v>
      </c>
      <c r="I2576" t="str">
        <f>VLOOKUP(Googleadssales[[#This Row],[Ad_ID]],'[1]pre processed data'!A:O,15,0)</f>
        <v>$1626</v>
      </c>
      <c r="J2576" s="3">
        <f>VLOOKUP(Googleadssales[[#This Row],[Ad_ID]],'[1]pre processed data'!A:Q,17,0)</f>
        <v>45601</v>
      </c>
      <c r="K2576" t="str">
        <f>VLOOKUP(Googleadssales[[#This Row],[Ad_ID]],'[1]pre processed data'!A:R,18,0)</f>
        <v>Hyderabad</v>
      </c>
      <c r="L2576" t="str">
        <f>VLOOKUP(Googleadssales[[#This Row],[Ad_ID]],'[1]pre processed data'!A:S,19,0)</f>
        <v>Desktop</v>
      </c>
      <c r="M2576" t="str">
        <f>VLOOKUP(Googleadssales[[#This Row],[Ad_ID]],'[1]pre processed data'!A:T,20,0)</f>
        <v>analytics for data</v>
      </c>
    </row>
    <row r="2577" spans="1:13" x14ac:dyDescent="0.3">
      <c r="A2577" t="s">
        <v>2590</v>
      </c>
      <c r="B2577" t="s">
        <v>18</v>
      </c>
      <c r="C2577" s="4">
        <f>VLOOKUP(Googleadssales[[#This Row],[Ad_ID]],'[1]pre processed data'!A:C,3,0)</f>
        <v>155</v>
      </c>
      <c r="D2577" s="4">
        <f>VLOOKUP(Googleadssales[[#This Row],[Ad_ID]],'[1]pre processed data'!A:E,5,0)</f>
        <v>4312</v>
      </c>
      <c r="E2577" s="5" t="str">
        <f>VLOOKUP(Googleadssales[[#This Row],[Ad_ID]],[1]!Table3[[Ad_ID]:[Cost-imputed]],7,0)</f>
        <v>$231.52</v>
      </c>
      <c r="F2577" s="4">
        <f>VLOOKUP(Googleadssales[[#This Row],[Ad_ID]],'[1]pre processed data'!A:I,9,0)</f>
        <v>30</v>
      </c>
      <c r="G2577" s="4">
        <f>VLOOKUP(Googleadssales[[#This Row],[Ad_ID]],'[1]pre processed data'!A:K,11,0)</f>
        <v>3</v>
      </c>
      <c r="H2577" s="2">
        <f>Googleadssales[[#This Row],[Conversions]]/Googleadssales[[#This Row],[Clicks]]</f>
        <v>1.935483870967742E-2</v>
      </c>
      <c r="I2577" t="str">
        <f>VLOOKUP(Googleadssales[[#This Row],[Ad_ID]],'[1]pre processed data'!A:O,15,0)</f>
        <v>$1003</v>
      </c>
      <c r="J2577" s="3">
        <f>VLOOKUP(Googleadssales[[#This Row],[Ad_ID]],'[1]pre processed data'!A:Q,17,0)</f>
        <v>45602</v>
      </c>
      <c r="K2577" t="str">
        <f>VLOOKUP(Googleadssales[[#This Row],[Ad_ID]],'[1]pre processed data'!A:R,18,0)</f>
        <v>Hyderabad</v>
      </c>
      <c r="L2577" t="str">
        <f>VLOOKUP(Googleadssales[[#This Row],[Ad_ID]],'[1]pre processed data'!A:S,19,0)</f>
        <v>Mobile</v>
      </c>
      <c r="M2577" t="str">
        <f>VLOOKUP(Googleadssales[[#This Row],[Ad_ID]],'[1]pre processed data'!A:T,20,0)</f>
        <v>data analytics course</v>
      </c>
    </row>
    <row r="2578" spans="1:13" x14ac:dyDescent="0.3">
      <c r="A2578" t="s">
        <v>2591</v>
      </c>
      <c r="B2578" t="s">
        <v>14</v>
      </c>
      <c r="C2578" s="4">
        <f>VLOOKUP(Googleadssales[[#This Row],[Ad_ID]],'[1]pre processed data'!A:C,3,0)</f>
        <v>129</v>
      </c>
      <c r="D2578" s="4">
        <f>VLOOKUP(Googleadssales[[#This Row],[Ad_ID]],'[1]pre processed data'!A:E,5,0)</f>
        <v>3482</v>
      </c>
      <c r="E2578" s="5" t="str">
        <f>VLOOKUP(Googleadssales[[#This Row],[Ad_ID]],[1]!Table3[[Ad_ID]:[Cost-imputed]],7,0)</f>
        <v>$184.89</v>
      </c>
      <c r="F2578" s="4">
        <f>VLOOKUP(Googleadssales[[#This Row],[Ad_ID]],'[1]pre processed data'!A:I,9,0)</f>
        <v>23</v>
      </c>
      <c r="G2578" s="4">
        <f>VLOOKUP(Googleadssales[[#This Row],[Ad_ID]],'[1]pre processed data'!A:K,11,0)</f>
        <v>9</v>
      </c>
      <c r="H2578" s="2">
        <f>Googleadssales[[#This Row],[Conversions]]/Googleadssales[[#This Row],[Clicks]]</f>
        <v>6.9767441860465115E-2</v>
      </c>
      <c r="I2578" t="str">
        <f>VLOOKUP(Googleadssales[[#This Row],[Ad_ID]],'[1]pre processed data'!A:O,15,0)</f>
        <v>$1667</v>
      </c>
      <c r="J2578" s="3">
        <f>VLOOKUP(Googleadssales[[#This Row],[Ad_ID]],'[1]pre processed data'!A:Q,17,0)</f>
        <v>45625</v>
      </c>
      <c r="K2578" t="str">
        <f>VLOOKUP(Googleadssales[[#This Row],[Ad_ID]],'[1]pre processed data'!A:R,18,0)</f>
        <v>Chennai</v>
      </c>
      <c r="L2578" t="str">
        <f>VLOOKUP(Googleadssales[[#This Row],[Ad_ID]],'[1]pre processed data'!A:S,19,0)</f>
        <v>Mobile</v>
      </c>
      <c r="M2578" t="str">
        <f>VLOOKUP(Googleadssales[[#This Row],[Ad_ID]],'[1]pre processed data'!A:T,20,0)</f>
        <v>online data analytic</v>
      </c>
    </row>
    <row r="2579" spans="1:13" x14ac:dyDescent="0.3">
      <c r="A2579" t="s">
        <v>2592</v>
      </c>
      <c r="B2579" t="s">
        <v>18</v>
      </c>
      <c r="C2579" s="4">
        <f>VLOOKUP(Googleadssales[[#This Row],[Ad_ID]],'[1]pre processed data'!A:C,3,0)</f>
        <v>91</v>
      </c>
      <c r="D2579" s="4">
        <f>VLOOKUP(Googleadssales[[#This Row],[Ad_ID]],'[1]pre processed data'!A:E,5,0)</f>
        <v>4893</v>
      </c>
      <c r="E2579" s="5" t="str">
        <f>VLOOKUP(Googleadssales[[#This Row],[Ad_ID]],[1]!Table3[[Ad_ID]:[Cost-imputed]],7,0)</f>
        <v>$222.3</v>
      </c>
      <c r="F2579" s="4">
        <f>VLOOKUP(Googleadssales[[#This Row],[Ad_ID]],'[1]pre processed data'!A:I,9,0)</f>
        <v>29</v>
      </c>
      <c r="G2579" s="4">
        <f>VLOOKUP(Googleadssales[[#This Row],[Ad_ID]],'[1]pre processed data'!A:K,11,0)</f>
        <v>10</v>
      </c>
      <c r="H2579" s="2">
        <f>Googleadssales[[#This Row],[Conversions]]/Googleadssales[[#This Row],[Clicks]]</f>
        <v>0.10989010989010989</v>
      </c>
      <c r="I2579" t="str">
        <f>VLOOKUP(Googleadssales[[#This Row],[Ad_ID]],'[1]pre processed data'!A:O,15,0)</f>
        <v>$1430</v>
      </c>
      <c r="J2579" s="3">
        <f>VLOOKUP(Googleadssales[[#This Row],[Ad_ID]],'[1]pre processed data'!A:Q,17,0)</f>
        <v>45617</v>
      </c>
      <c r="K2579" t="str">
        <f>VLOOKUP(Googleadssales[[#This Row],[Ad_ID]],'[1]pre processed data'!A:R,18,0)</f>
        <v>Bangaluru</v>
      </c>
      <c r="L2579" t="str">
        <f>VLOOKUP(Googleadssales[[#This Row],[Ad_ID]],'[1]pre processed data'!A:S,19,0)</f>
        <v>Mobile</v>
      </c>
      <c r="M2579" t="str">
        <f>VLOOKUP(Googleadssales[[#This Row],[Ad_ID]],'[1]pre processed data'!A:T,20,0)</f>
        <v>learn data analytics</v>
      </c>
    </row>
    <row r="2580" spans="1:13" x14ac:dyDescent="0.3">
      <c r="A2580" t="s">
        <v>2593</v>
      </c>
      <c r="B2580" t="s">
        <v>14</v>
      </c>
      <c r="C2580" s="4">
        <f>VLOOKUP(Googleadssales[[#This Row],[Ad_ID]],'[1]pre processed data'!A:C,3,0)</f>
        <v>138.95699356913184</v>
      </c>
      <c r="D2580" s="4">
        <f>VLOOKUP(Googleadssales[[#This Row],[Ad_ID]],'[1]pre processed data'!A:E,5,0)</f>
        <v>3075</v>
      </c>
      <c r="E2580" s="5" t="str">
        <f>VLOOKUP(Googleadssales[[#This Row],[Ad_ID]],[1]!Table3[[Ad_ID]:[Cost-imputed]],7,0)</f>
        <v>$239.32</v>
      </c>
      <c r="F2580" s="4">
        <f>VLOOKUP(Googleadssales[[#This Row],[Ad_ID]],'[1]pre processed data'!A:I,9,0)</f>
        <v>12</v>
      </c>
      <c r="G2580" s="4">
        <f>VLOOKUP(Googleadssales[[#This Row],[Ad_ID]],'[1]pre processed data'!A:K,11,0)</f>
        <v>10</v>
      </c>
      <c r="H2580" s="2">
        <f>Googleadssales[[#This Row],[Conversions]]/Googleadssales[[#This Row],[Clicks]]</f>
        <v>7.1964711837443046E-2</v>
      </c>
      <c r="I2580" t="str">
        <f>VLOOKUP(Googleadssales[[#This Row],[Ad_ID]],'[1]pre processed data'!A:O,15,0)</f>
        <v>$1966</v>
      </c>
      <c r="J2580" s="3">
        <f>VLOOKUP(Googleadssales[[#This Row],[Ad_ID]],'[1]pre processed data'!A:Q,17,0)</f>
        <v>45618</v>
      </c>
      <c r="K2580" t="str">
        <f>VLOOKUP(Googleadssales[[#This Row],[Ad_ID]],'[1]pre processed data'!A:R,18,0)</f>
        <v>Chennai</v>
      </c>
      <c r="L2580" t="str">
        <f>VLOOKUP(Googleadssales[[#This Row],[Ad_ID]],'[1]pre processed data'!A:S,19,0)</f>
        <v>Mobile</v>
      </c>
      <c r="M2580" t="str">
        <f>VLOOKUP(Googleadssales[[#This Row],[Ad_ID]],'[1]pre processed data'!A:T,20,0)</f>
        <v>data analytics course</v>
      </c>
    </row>
    <row r="2581" spans="1:13" x14ac:dyDescent="0.3">
      <c r="A2581" t="s">
        <v>2594</v>
      </c>
      <c r="B2581" t="s">
        <v>14</v>
      </c>
      <c r="C2581" s="4">
        <f>VLOOKUP(Googleadssales[[#This Row],[Ad_ID]],'[1]pre processed data'!A:C,3,0)</f>
        <v>126</v>
      </c>
      <c r="D2581" s="4">
        <f>VLOOKUP(Googleadssales[[#This Row],[Ad_ID]],'[1]pre processed data'!A:E,5,0)</f>
        <v>4558</v>
      </c>
      <c r="E2581" s="5" t="str">
        <f>VLOOKUP(Googleadssales[[#This Row],[Ad_ID]],[1]!Table3[[Ad_ID]:[Cost-imputed]],7,0)</f>
        <v>$195.36</v>
      </c>
      <c r="F2581" s="4">
        <f>VLOOKUP(Googleadssales[[#This Row],[Ad_ID]],'[1]pre processed data'!A:I,9,0)</f>
        <v>23</v>
      </c>
      <c r="G2581" s="4">
        <f>VLOOKUP(Googleadssales[[#This Row],[Ad_ID]],'[1]pre processed data'!A:K,11,0)</f>
        <v>3</v>
      </c>
      <c r="H2581" s="2">
        <f>Googleadssales[[#This Row],[Conversions]]/Googleadssales[[#This Row],[Clicks]]</f>
        <v>2.3809523809523808E-2</v>
      </c>
      <c r="I2581" t="str">
        <f>VLOOKUP(Googleadssales[[#This Row],[Ad_ID]],'[1]pre processed data'!A:O,15,0)</f>
        <v>$1020</v>
      </c>
      <c r="J2581" s="3">
        <f>VLOOKUP(Googleadssales[[#This Row],[Ad_ID]],'[1]pre processed data'!A:Q,17,0)</f>
        <v>45622</v>
      </c>
      <c r="K2581" t="str">
        <f>VLOOKUP(Googleadssales[[#This Row],[Ad_ID]],'[1]pre processed data'!A:R,18,0)</f>
        <v>Chennai</v>
      </c>
      <c r="L2581" t="str">
        <f>VLOOKUP(Googleadssales[[#This Row],[Ad_ID]],'[1]pre processed data'!A:S,19,0)</f>
        <v>Desktop</v>
      </c>
      <c r="M2581" t="str">
        <f>VLOOKUP(Googleadssales[[#This Row],[Ad_ID]],'[1]pre processed data'!A:T,20,0)</f>
        <v>online data analytic</v>
      </c>
    </row>
    <row r="2582" spans="1:13" x14ac:dyDescent="0.3">
      <c r="A2582" t="s">
        <v>2595</v>
      </c>
      <c r="B2582" t="s">
        <v>14</v>
      </c>
      <c r="C2582" s="4">
        <f>VLOOKUP(Googleadssales[[#This Row],[Ad_ID]],'[1]pre processed data'!A:C,3,0)</f>
        <v>87</v>
      </c>
      <c r="D2582" s="4">
        <f>VLOOKUP(Googleadssales[[#This Row],[Ad_ID]],'[1]pre processed data'!A:E,5,0)</f>
        <v>3248</v>
      </c>
      <c r="E2582" s="5" t="str">
        <f>VLOOKUP(Googleadssales[[#This Row],[Ad_ID]],[1]!Table3[[Ad_ID]:[Cost-imputed]],7,0)</f>
        <v>$220.5</v>
      </c>
      <c r="F2582" s="4">
        <f>VLOOKUP(Googleadssales[[#This Row],[Ad_ID]],'[1]pre processed data'!A:I,9,0)</f>
        <v>13</v>
      </c>
      <c r="G2582" s="4">
        <f>VLOOKUP(Googleadssales[[#This Row],[Ad_ID]],'[1]pre processed data'!A:K,11,0)</f>
        <v>6</v>
      </c>
      <c r="H2582" s="2">
        <f>Googleadssales[[#This Row],[Conversions]]/Googleadssales[[#This Row],[Clicks]]</f>
        <v>6.8965517241379309E-2</v>
      </c>
      <c r="I2582" t="str">
        <f>VLOOKUP(Googleadssales[[#This Row],[Ad_ID]],'[1]pre processed data'!A:O,15,0)</f>
        <v>$1871</v>
      </c>
      <c r="J2582" s="3">
        <f>VLOOKUP(Googleadssales[[#This Row],[Ad_ID]],'[1]pre processed data'!A:Q,17,0)</f>
        <v>45624</v>
      </c>
      <c r="K2582" t="str">
        <f>VLOOKUP(Googleadssales[[#This Row],[Ad_ID]],'[1]pre processed data'!A:R,18,0)</f>
        <v>Hyderabad</v>
      </c>
      <c r="L2582" t="str">
        <f>VLOOKUP(Googleadssales[[#This Row],[Ad_ID]],'[1]pre processed data'!A:S,19,0)</f>
        <v>Mobile</v>
      </c>
      <c r="M2582" t="str">
        <f>VLOOKUP(Googleadssales[[#This Row],[Ad_ID]],'[1]pre processed data'!A:T,20,0)</f>
        <v>data analytics online</v>
      </c>
    </row>
    <row r="2583" spans="1:13" x14ac:dyDescent="0.3">
      <c r="A2583" t="s">
        <v>2596</v>
      </c>
      <c r="B2583" t="s">
        <v>18</v>
      </c>
      <c r="C2583" s="4">
        <f>VLOOKUP(Googleadssales[[#This Row],[Ad_ID]],'[1]pre processed data'!A:C,3,0)</f>
        <v>138.95699356913184</v>
      </c>
      <c r="D2583" s="4">
        <f>VLOOKUP(Googleadssales[[#This Row],[Ad_ID]],'[1]pre processed data'!A:E,5,0)</f>
        <v>5297</v>
      </c>
      <c r="E2583" s="5" t="str">
        <f>VLOOKUP(Googleadssales[[#This Row],[Ad_ID]],[1]!Table3[[Ad_ID]:[Cost-imputed]],7,0)</f>
        <v>$200.00</v>
      </c>
      <c r="F2583" s="4">
        <f>VLOOKUP(Googleadssales[[#This Row],[Ad_ID]],'[1]pre processed data'!A:I,9,0)</f>
        <v>27</v>
      </c>
      <c r="G2583" s="4">
        <f>VLOOKUP(Googleadssales[[#This Row],[Ad_ID]],'[1]pre processed data'!A:K,11,0)</f>
        <v>9</v>
      </c>
      <c r="H2583" s="2">
        <f>Googleadssales[[#This Row],[Conversions]]/Googleadssales[[#This Row],[Clicks]]</f>
        <v>6.4768240653698753E-2</v>
      </c>
      <c r="I2583" t="str">
        <f>VLOOKUP(Googleadssales[[#This Row],[Ad_ID]],'[1]pre processed data'!A:O,15,0)</f>
        <v>$1268</v>
      </c>
      <c r="J2583" s="3">
        <f>VLOOKUP(Googleadssales[[#This Row],[Ad_ID]],'[1]pre processed data'!A:Q,17,0)</f>
        <v>45619</v>
      </c>
      <c r="K2583" t="str">
        <f>VLOOKUP(Googleadssales[[#This Row],[Ad_ID]],'[1]pre processed data'!A:R,18,0)</f>
        <v>Hyderabad</v>
      </c>
      <c r="L2583" t="str">
        <f>VLOOKUP(Googleadssales[[#This Row],[Ad_ID]],'[1]pre processed data'!A:S,19,0)</f>
        <v>Desktop</v>
      </c>
      <c r="M2583" t="str">
        <f>VLOOKUP(Googleadssales[[#This Row],[Ad_ID]],'[1]pre processed data'!A:T,20,0)</f>
        <v>data analytics course</v>
      </c>
    </row>
    <row r="2584" spans="1:13" x14ac:dyDescent="0.3">
      <c r="A2584" t="s">
        <v>2597</v>
      </c>
      <c r="B2584" t="s">
        <v>14</v>
      </c>
      <c r="C2584" s="4">
        <f>VLOOKUP(Googleadssales[[#This Row],[Ad_ID]],'[1]pre processed data'!A:C,3,0)</f>
        <v>107</v>
      </c>
      <c r="D2584" s="4">
        <f>VLOOKUP(Googleadssales[[#This Row],[Ad_ID]],'[1]pre processed data'!A:E,5,0)</f>
        <v>3589</v>
      </c>
      <c r="E2584" s="5" t="str">
        <f>VLOOKUP(Googleadssales[[#This Row],[Ad_ID]],[1]!Table3[[Ad_ID]:[Cost-imputed]],7,0)</f>
        <v>$183.25</v>
      </c>
      <c r="F2584" s="4">
        <f>VLOOKUP(Googleadssales[[#This Row],[Ad_ID]],'[1]pre processed data'!A:I,9,0)</f>
        <v>19</v>
      </c>
      <c r="G2584" s="4">
        <f>VLOOKUP(Googleadssales[[#This Row],[Ad_ID]],'[1]pre processed data'!A:K,11,0)</f>
        <v>6.117647058823529</v>
      </c>
      <c r="H2584" s="2">
        <f>Googleadssales[[#This Row],[Conversions]]/Googleadssales[[#This Row],[Clicks]]</f>
        <v>5.7174271577789988E-2</v>
      </c>
      <c r="I2584" t="str">
        <f>VLOOKUP(Googleadssales[[#This Row],[Ad_ID]],'[1]pre processed data'!A:O,15,0)</f>
        <v>$1571</v>
      </c>
      <c r="J2584" s="3">
        <f>VLOOKUP(Googleadssales[[#This Row],[Ad_ID]],'[1]pre processed data'!A:Q,17,0)</f>
        <v>45625</v>
      </c>
      <c r="K2584" t="str">
        <f>VLOOKUP(Googleadssales[[#This Row],[Ad_ID]],'[1]pre processed data'!A:R,18,0)</f>
        <v>Hyderabad</v>
      </c>
      <c r="L2584" t="str">
        <f>VLOOKUP(Googleadssales[[#This Row],[Ad_ID]],'[1]pre processed data'!A:S,19,0)</f>
        <v>Desktop</v>
      </c>
      <c r="M2584" t="str">
        <f>VLOOKUP(Googleadssales[[#This Row],[Ad_ID]],'[1]pre processed data'!A:T,20,0)</f>
        <v>data analytics course</v>
      </c>
    </row>
    <row r="2585" spans="1:13" x14ac:dyDescent="0.3">
      <c r="A2585" t="s">
        <v>2598</v>
      </c>
      <c r="B2585" t="s">
        <v>14</v>
      </c>
      <c r="C2585" s="4">
        <f>VLOOKUP(Googleadssales[[#This Row],[Ad_ID]],'[1]pre processed data'!A:C,3,0)</f>
        <v>124</v>
      </c>
      <c r="D2585" s="4">
        <f>VLOOKUP(Googleadssales[[#This Row],[Ad_ID]],'[1]pre processed data'!A:E,5,0)</f>
        <v>3383</v>
      </c>
      <c r="E2585" s="5" t="str">
        <f>VLOOKUP(Googleadssales[[#This Row],[Ad_ID]],[1]!Table3[[Ad_ID]:[Cost-imputed]],7,0)</f>
        <v>$224.63</v>
      </c>
      <c r="F2585" s="4">
        <f>VLOOKUP(Googleadssales[[#This Row],[Ad_ID]],'[1]pre processed data'!A:I,9,0)</f>
        <v>21</v>
      </c>
      <c r="G2585" s="4">
        <f>VLOOKUP(Googleadssales[[#This Row],[Ad_ID]],'[1]pre processed data'!A:K,11,0)</f>
        <v>7</v>
      </c>
      <c r="H2585" s="2">
        <f>Googleadssales[[#This Row],[Conversions]]/Googleadssales[[#This Row],[Clicks]]</f>
        <v>5.6451612903225805E-2</v>
      </c>
      <c r="I2585" t="str">
        <f>VLOOKUP(Googleadssales[[#This Row],[Ad_ID]],'[1]pre processed data'!A:O,15,0)</f>
        <v>$1263</v>
      </c>
      <c r="J2585" s="3">
        <f>VLOOKUP(Googleadssales[[#This Row],[Ad_ID]],'[1]pre processed data'!A:Q,17,0)</f>
        <v>45606</v>
      </c>
      <c r="K2585" t="str">
        <f>VLOOKUP(Googleadssales[[#This Row],[Ad_ID]],'[1]pre processed data'!A:R,18,0)</f>
        <v>Bangaluru</v>
      </c>
      <c r="L2585" t="str">
        <f>VLOOKUP(Googleadssales[[#This Row],[Ad_ID]],'[1]pre processed data'!A:S,19,0)</f>
        <v>Desktop</v>
      </c>
      <c r="M2585" t="str">
        <f>VLOOKUP(Googleadssales[[#This Row],[Ad_ID]],'[1]pre processed data'!A:T,20,0)</f>
        <v>data analytics online</v>
      </c>
    </row>
    <row r="2586" spans="1:13" x14ac:dyDescent="0.3">
      <c r="A2586" t="s">
        <v>2599</v>
      </c>
      <c r="B2586" t="s">
        <v>14</v>
      </c>
      <c r="C2586" s="4">
        <f>VLOOKUP(Googleadssales[[#This Row],[Ad_ID]],'[1]pre processed data'!A:C,3,0)</f>
        <v>124</v>
      </c>
      <c r="D2586" s="4">
        <f>VLOOKUP(Googleadssales[[#This Row],[Ad_ID]],'[1]pre processed data'!A:E,5,0)</f>
        <v>5629</v>
      </c>
      <c r="E2586" s="5" t="str">
        <f>VLOOKUP(Googleadssales[[#This Row],[Ad_ID]],[1]!Table3[[Ad_ID]:[Cost-imputed]],7,0)</f>
        <v>$189.62</v>
      </c>
      <c r="F2586" s="4">
        <f>VLOOKUP(Googleadssales[[#This Row],[Ad_ID]],'[1]pre processed data'!A:I,9,0)</f>
        <v>14</v>
      </c>
      <c r="G2586" s="4">
        <f>VLOOKUP(Googleadssales[[#This Row],[Ad_ID]],'[1]pre processed data'!A:K,11,0)</f>
        <v>9</v>
      </c>
      <c r="H2586" s="2">
        <f>Googleadssales[[#This Row],[Conversions]]/Googleadssales[[#This Row],[Clicks]]</f>
        <v>7.2580645161290328E-2</v>
      </c>
      <c r="I2586" t="str">
        <f>VLOOKUP(Googleadssales[[#This Row],[Ad_ID]],'[1]pre processed data'!A:O,15,0)</f>
        <v>$1626</v>
      </c>
      <c r="J2586" s="3">
        <f>VLOOKUP(Googleadssales[[#This Row],[Ad_ID]],'[1]pre processed data'!A:Q,17,0)</f>
        <v>45623</v>
      </c>
      <c r="K2586" t="str">
        <f>VLOOKUP(Googleadssales[[#This Row],[Ad_ID]],'[1]pre processed data'!A:R,18,0)</f>
        <v>Bangaluru</v>
      </c>
      <c r="L2586" t="str">
        <f>VLOOKUP(Googleadssales[[#This Row],[Ad_ID]],'[1]pre processed data'!A:S,19,0)</f>
        <v>Desktop</v>
      </c>
      <c r="M2586" t="str">
        <f>VLOOKUP(Googleadssales[[#This Row],[Ad_ID]],'[1]pre processed data'!A:T,20,0)</f>
        <v>data analytics training</v>
      </c>
    </row>
    <row r="2587" spans="1:13" x14ac:dyDescent="0.3">
      <c r="A2587" t="s">
        <v>2600</v>
      </c>
      <c r="B2587" t="s">
        <v>18</v>
      </c>
      <c r="C2587" s="4">
        <f>VLOOKUP(Googleadssales[[#This Row],[Ad_ID]],'[1]pre processed data'!A:C,3,0)</f>
        <v>97</v>
      </c>
      <c r="D2587" s="4">
        <f>VLOOKUP(Googleadssales[[#This Row],[Ad_ID]],'[1]pre processed data'!A:E,5,0)</f>
        <v>5914</v>
      </c>
      <c r="E2587" s="5" t="str">
        <f>VLOOKUP(Googleadssales[[#This Row],[Ad_ID]],[1]!Table3[[Ad_ID]:[Cost-imputed]],7,0)</f>
        <v>$226.47</v>
      </c>
      <c r="F2587" s="4">
        <f>VLOOKUP(Googleadssales[[#This Row],[Ad_ID]],'[1]pre processed data'!A:I,9,0)</f>
        <v>15</v>
      </c>
      <c r="G2587" s="4">
        <f>VLOOKUP(Googleadssales[[#This Row],[Ad_ID]],'[1]pre processed data'!A:K,11,0)</f>
        <v>7</v>
      </c>
      <c r="H2587" s="2">
        <f>Googleadssales[[#This Row],[Conversions]]/Googleadssales[[#This Row],[Clicks]]</f>
        <v>7.2164948453608241E-2</v>
      </c>
      <c r="I2587" t="str">
        <f>VLOOKUP(Googleadssales[[#This Row],[Ad_ID]],'[1]pre processed data'!A:O,15,0)</f>
        <v>$1889</v>
      </c>
      <c r="J2587" s="3">
        <f>VLOOKUP(Googleadssales[[#This Row],[Ad_ID]],'[1]pre processed data'!A:Q,17,0)</f>
        <v>45604</v>
      </c>
      <c r="K2587" t="str">
        <f>VLOOKUP(Googleadssales[[#This Row],[Ad_ID]],'[1]pre processed data'!A:R,18,0)</f>
        <v>Hyderabad</v>
      </c>
      <c r="L2587" t="str">
        <f>VLOOKUP(Googleadssales[[#This Row],[Ad_ID]],'[1]pre processed data'!A:S,19,0)</f>
        <v>Tablet</v>
      </c>
      <c r="M2587" t="str">
        <f>VLOOKUP(Googleadssales[[#This Row],[Ad_ID]],'[1]pre processed data'!A:T,20,0)</f>
        <v>online data analytic</v>
      </c>
    </row>
    <row r="2588" spans="1:13" x14ac:dyDescent="0.3">
      <c r="A2588" t="s">
        <v>2601</v>
      </c>
      <c r="B2588" t="s">
        <v>14</v>
      </c>
      <c r="C2588" s="4">
        <f>VLOOKUP(Googleadssales[[#This Row],[Ad_ID]],'[1]pre processed data'!A:C,3,0)</f>
        <v>186</v>
      </c>
      <c r="D2588" s="4">
        <f>VLOOKUP(Googleadssales[[#This Row],[Ad_ID]],'[1]pre processed data'!A:E,5,0)</f>
        <v>3314</v>
      </c>
      <c r="E2588" s="5" t="str">
        <f>VLOOKUP(Googleadssales[[#This Row],[Ad_ID]],[1]!Table3[[Ad_ID]:[Cost-imputed]],7,0)</f>
        <v>$237.84</v>
      </c>
      <c r="F2588" s="4">
        <f>VLOOKUP(Googleadssales[[#This Row],[Ad_ID]],'[1]pre processed data'!A:I,9,0)</f>
        <v>11</v>
      </c>
      <c r="G2588" s="4">
        <f>VLOOKUP(Googleadssales[[#This Row],[Ad_ID]],'[1]pre processed data'!A:K,11,0)</f>
        <v>5</v>
      </c>
      <c r="H2588" s="2">
        <f>Googleadssales[[#This Row],[Conversions]]/Googleadssales[[#This Row],[Clicks]]</f>
        <v>2.6881720430107527E-2</v>
      </c>
      <c r="I2588" t="str">
        <f>VLOOKUP(Googleadssales[[#This Row],[Ad_ID]],'[1]pre processed data'!A:O,15,0)</f>
        <v>$1864</v>
      </c>
      <c r="J2588" s="3">
        <f>VLOOKUP(Googleadssales[[#This Row],[Ad_ID]],'[1]pre processed data'!A:Q,17,0)</f>
        <v>45601</v>
      </c>
      <c r="K2588" t="str">
        <f>VLOOKUP(Googleadssales[[#This Row],[Ad_ID]],'[1]pre processed data'!A:R,18,0)</f>
        <v>Hyderabad</v>
      </c>
      <c r="L2588" t="str">
        <f>VLOOKUP(Googleadssales[[#This Row],[Ad_ID]],'[1]pre processed data'!A:S,19,0)</f>
        <v>Tablet</v>
      </c>
      <c r="M2588" t="str">
        <f>VLOOKUP(Googleadssales[[#This Row],[Ad_ID]],'[1]pre processed data'!A:T,20,0)</f>
        <v>data analytics online</v>
      </c>
    </row>
    <row r="2589" spans="1:13" x14ac:dyDescent="0.3">
      <c r="A2589" t="s">
        <v>2602</v>
      </c>
      <c r="B2589" t="s">
        <v>14</v>
      </c>
      <c r="C2589" s="4">
        <f>VLOOKUP(Googleadssales[[#This Row],[Ad_ID]],'[1]pre processed data'!A:C,3,0)</f>
        <v>165</v>
      </c>
      <c r="D2589" s="4">
        <f>VLOOKUP(Googleadssales[[#This Row],[Ad_ID]],'[1]pre processed data'!A:E,5,0)</f>
        <v>5262</v>
      </c>
      <c r="E2589" s="5" t="str">
        <f>VLOOKUP(Googleadssales[[#This Row],[Ad_ID]],[1]!Table3[[Ad_ID]:[Cost-imputed]],7,0)</f>
        <v>$211.33</v>
      </c>
      <c r="F2589" s="4">
        <f>VLOOKUP(Googleadssales[[#This Row],[Ad_ID]],'[1]pre processed data'!A:I,9,0)</f>
        <v>24</v>
      </c>
      <c r="G2589" s="4">
        <f>VLOOKUP(Googleadssales[[#This Row],[Ad_ID]],'[1]pre processed data'!A:K,11,0)</f>
        <v>3</v>
      </c>
      <c r="H2589" s="2">
        <f>Googleadssales[[#This Row],[Conversions]]/Googleadssales[[#This Row],[Clicks]]</f>
        <v>1.8181818181818181E-2</v>
      </c>
      <c r="I2589" t="str">
        <f>VLOOKUP(Googleadssales[[#This Row],[Ad_ID]],'[1]pre processed data'!A:O,15,0)</f>
        <v>$1075</v>
      </c>
      <c r="J2589" s="3">
        <f>VLOOKUP(Googleadssales[[#This Row],[Ad_ID]],'[1]pre processed data'!A:Q,17,0)</f>
        <v>45616</v>
      </c>
      <c r="K2589" t="str">
        <f>VLOOKUP(Googleadssales[[#This Row],[Ad_ID]],'[1]pre processed data'!A:R,18,0)</f>
        <v>Hyderabad</v>
      </c>
      <c r="L2589" t="str">
        <f>VLOOKUP(Googleadssales[[#This Row],[Ad_ID]],'[1]pre processed data'!A:S,19,0)</f>
        <v>Desktop</v>
      </c>
      <c r="M2589" t="str">
        <f>VLOOKUP(Googleadssales[[#This Row],[Ad_ID]],'[1]pre processed data'!A:T,20,0)</f>
        <v>data analytics online</v>
      </c>
    </row>
    <row r="2590" spans="1:13" x14ac:dyDescent="0.3">
      <c r="A2590" t="s">
        <v>2603</v>
      </c>
      <c r="B2590" t="s">
        <v>14</v>
      </c>
      <c r="C2590" s="4">
        <f>VLOOKUP(Googleadssales[[#This Row],[Ad_ID]],'[1]pre processed data'!A:C,3,0)</f>
        <v>110</v>
      </c>
      <c r="D2590" s="4">
        <f>VLOOKUP(Googleadssales[[#This Row],[Ad_ID]],'[1]pre processed data'!A:E,5,0)</f>
        <v>3088</v>
      </c>
      <c r="E2590" s="5" t="str">
        <f>VLOOKUP(Googleadssales[[#This Row],[Ad_ID]],[1]!Table3[[Ad_ID]:[Cost-imputed]],7,0)</f>
        <v>$205.09</v>
      </c>
      <c r="F2590" s="4">
        <f>VLOOKUP(Googleadssales[[#This Row],[Ad_ID]],'[1]pre processed data'!A:I,9,0)</f>
        <v>13</v>
      </c>
      <c r="G2590" s="4">
        <f>VLOOKUP(Googleadssales[[#This Row],[Ad_ID]],'[1]pre processed data'!A:K,11,0)</f>
        <v>7</v>
      </c>
      <c r="H2590" s="2">
        <f>Googleadssales[[#This Row],[Conversions]]/Googleadssales[[#This Row],[Clicks]]</f>
        <v>6.363636363636363E-2</v>
      </c>
      <c r="I2590" t="str">
        <f>VLOOKUP(Googleadssales[[#This Row],[Ad_ID]],'[1]pre processed data'!A:O,15,0)</f>
        <v>$1061</v>
      </c>
      <c r="J2590" s="3">
        <f>VLOOKUP(Googleadssales[[#This Row],[Ad_ID]],'[1]pre processed data'!A:Q,17,0)</f>
        <v>45601</v>
      </c>
      <c r="K2590" t="str">
        <f>VLOOKUP(Googleadssales[[#This Row],[Ad_ID]],'[1]pre processed data'!A:R,18,0)</f>
        <v>Hyderabad</v>
      </c>
      <c r="L2590" t="str">
        <f>VLOOKUP(Googleadssales[[#This Row],[Ad_ID]],'[1]pre processed data'!A:S,19,0)</f>
        <v>Tablet</v>
      </c>
      <c r="M2590" t="str">
        <f>VLOOKUP(Googleadssales[[#This Row],[Ad_ID]],'[1]pre processed data'!A:T,20,0)</f>
        <v>data analytics course</v>
      </c>
    </row>
    <row r="2591" spans="1:13" x14ac:dyDescent="0.3">
      <c r="A2591" t="s">
        <v>2604</v>
      </c>
      <c r="B2591" t="s">
        <v>14</v>
      </c>
      <c r="C2591" s="4">
        <f>VLOOKUP(Googleadssales[[#This Row],[Ad_ID]],'[1]pre processed data'!A:C,3,0)</f>
        <v>191</v>
      </c>
      <c r="D2591" s="4">
        <f>VLOOKUP(Googleadssales[[#This Row],[Ad_ID]],'[1]pre processed data'!A:E,5,0)</f>
        <v>4753</v>
      </c>
      <c r="E2591" s="5" t="str">
        <f>VLOOKUP(Googleadssales[[#This Row],[Ad_ID]],[1]!Table3[[Ad_ID]:[Cost-imputed]],7,0)</f>
        <v>$200.39</v>
      </c>
      <c r="F2591" s="4">
        <f>VLOOKUP(Googleadssales[[#This Row],[Ad_ID]],'[1]pre processed data'!A:I,9,0)</f>
        <v>24</v>
      </c>
      <c r="G2591" s="4">
        <f>VLOOKUP(Googleadssales[[#This Row],[Ad_ID]],'[1]pre processed data'!A:K,11,0)</f>
        <v>9</v>
      </c>
      <c r="H2591" s="2">
        <f>Googleadssales[[#This Row],[Conversions]]/Googleadssales[[#This Row],[Clicks]]</f>
        <v>4.712041884816754E-2</v>
      </c>
      <c r="I2591" t="str">
        <f>VLOOKUP(Googleadssales[[#This Row],[Ad_ID]],'[1]pre processed data'!A:O,15,0)</f>
        <v>$1702</v>
      </c>
      <c r="J2591" s="3">
        <f>VLOOKUP(Googleadssales[[#This Row],[Ad_ID]],'[1]pre processed data'!A:Q,17,0)</f>
        <v>45601</v>
      </c>
      <c r="K2591" t="str">
        <f>VLOOKUP(Googleadssales[[#This Row],[Ad_ID]],'[1]pre processed data'!A:R,18,0)</f>
        <v>Hyderabad</v>
      </c>
      <c r="L2591" t="str">
        <f>VLOOKUP(Googleadssales[[#This Row],[Ad_ID]],'[1]pre processed data'!A:S,19,0)</f>
        <v>Mobile</v>
      </c>
      <c r="M2591" t="str">
        <f>VLOOKUP(Googleadssales[[#This Row],[Ad_ID]],'[1]pre processed data'!A:T,20,0)</f>
        <v>analytics for data</v>
      </c>
    </row>
    <row r="2592" spans="1:13" x14ac:dyDescent="0.3">
      <c r="A2592" t="s">
        <v>2605</v>
      </c>
      <c r="B2592" t="s">
        <v>18</v>
      </c>
      <c r="C2592" s="4">
        <f>VLOOKUP(Googleadssales[[#This Row],[Ad_ID]],'[1]pre processed data'!A:C,3,0)</f>
        <v>136</v>
      </c>
      <c r="D2592" s="4">
        <f>VLOOKUP(Googleadssales[[#This Row],[Ad_ID]],'[1]pre processed data'!A:E,5,0)</f>
        <v>3036</v>
      </c>
      <c r="E2592" s="5" t="str">
        <f>VLOOKUP(Googleadssales[[#This Row],[Ad_ID]],[1]!Table3[[Ad_ID]:[Cost-imputed]],7,0)</f>
        <v>$201.48</v>
      </c>
      <c r="F2592" s="4">
        <f>VLOOKUP(Googleadssales[[#This Row],[Ad_ID]],'[1]pre processed data'!A:I,9,0)</f>
        <v>20</v>
      </c>
      <c r="G2592" s="4">
        <f>VLOOKUP(Googleadssales[[#This Row],[Ad_ID]],'[1]pre processed data'!A:K,11,0)</f>
        <v>7</v>
      </c>
      <c r="H2592" s="2">
        <f>Googleadssales[[#This Row],[Conversions]]/Googleadssales[[#This Row],[Clicks]]</f>
        <v>5.1470588235294115E-2</v>
      </c>
      <c r="I2592" t="str">
        <f>VLOOKUP(Googleadssales[[#This Row],[Ad_ID]],'[1]pre processed data'!A:O,15,0)</f>
        <v>$1811</v>
      </c>
      <c r="J2592" s="3">
        <f>VLOOKUP(Googleadssales[[#This Row],[Ad_ID]],'[1]pre processed data'!A:Q,17,0)</f>
        <v>45609</v>
      </c>
      <c r="K2592" t="str">
        <f>VLOOKUP(Googleadssales[[#This Row],[Ad_ID]],'[1]pre processed data'!A:R,18,0)</f>
        <v>Bangaluru</v>
      </c>
      <c r="L2592" t="str">
        <f>VLOOKUP(Googleadssales[[#This Row],[Ad_ID]],'[1]pre processed data'!A:S,19,0)</f>
        <v>Tablet</v>
      </c>
      <c r="M2592" t="str">
        <f>VLOOKUP(Googleadssales[[#This Row],[Ad_ID]],'[1]pre processed data'!A:T,20,0)</f>
        <v>data analytics training</v>
      </c>
    </row>
    <row r="2593" spans="1:13" x14ac:dyDescent="0.3">
      <c r="A2593" t="s">
        <v>2606</v>
      </c>
      <c r="B2593" t="s">
        <v>14</v>
      </c>
      <c r="C2593" s="4">
        <f>VLOOKUP(Googleadssales[[#This Row],[Ad_ID]],'[1]pre processed data'!A:C,3,0)</f>
        <v>146</v>
      </c>
      <c r="D2593" s="4">
        <f>VLOOKUP(Googleadssales[[#This Row],[Ad_ID]],'[1]pre processed data'!A:E,5,0)</f>
        <v>5743</v>
      </c>
      <c r="E2593" s="5" t="str">
        <f>VLOOKUP(Googleadssales[[#This Row],[Ad_ID]],[1]!Table3[[Ad_ID]:[Cost-imputed]],7,0)</f>
        <v>$190.39</v>
      </c>
      <c r="F2593" s="4">
        <f>VLOOKUP(Googleadssales[[#This Row],[Ad_ID]],'[1]pre processed data'!A:I,9,0)</f>
        <v>18</v>
      </c>
      <c r="G2593" s="4">
        <f>VLOOKUP(Googleadssales[[#This Row],[Ad_ID]],'[1]pre processed data'!A:K,11,0)</f>
        <v>3</v>
      </c>
      <c r="H2593" s="2">
        <f>Googleadssales[[#This Row],[Conversions]]/Googleadssales[[#This Row],[Clicks]]</f>
        <v>2.0547945205479451E-2</v>
      </c>
      <c r="I2593" t="str">
        <f>VLOOKUP(Googleadssales[[#This Row],[Ad_ID]],'[1]pre processed data'!A:O,15,0)</f>
        <v>$1108</v>
      </c>
      <c r="J2593" s="3">
        <f>VLOOKUP(Googleadssales[[#This Row],[Ad_ID]],'[1]pre processed data'!A:Q,17,0)</f>
        <v>45609</v>
      </c>
      <c r="K2593" t="str">
        <f>VLOOKUP(Googleadssales[[#This Row],[Ad_ID]],'[1]pre processed data'!A:R,18,0)</f>
        <v>Hyderabad</v>
      </c>
      <c r="L2593" t="str">
        <f>VLOOKUP(Googleadssales[[#This Row],[Ad_ID]],'[1]pre processed data'!A:S,19,0)</f>
        <v>Mobile</v>
      </c>
      <c r="M2593" t="str">
        <f>VLOOKUP(Googleadssales[[#This Row],[Ad_ID]],'[1]pre processed data'!A:T,20,0)</f>
        <v>data analytics training</v>
      </c>
    </row>
    <row r="2594" spans="1:13" x14ac:dyDescent="0.3">
      <c r="A2594" t="s">
        <v>2607</v>
      </c>
      <c r="B2594" t="s">
        <v>14</v>
      </c>
      <c r="C2594" s="4">
        <f>VLOOKUP(Googleadssales[[#This Row],[Ad_ID]],'[1]pre processed data'!A:C,3,0)</f>
        <v>152</v>
      </c>
      <c r="D2594" s="4">
        <f>VLOOKUP(Googleadssales[[#This Row],[Ad_ID]],'[1]pre processed data'!A:E,5,0)</f>
        <v>5061</v>
      </c>
      <c r="E2594" s="5" t="str">
        <f>VLOOKUP(Googleadssales[[#This Row],[Ad_ID]],[1]!Table3[[Ad_ID]:[Cost-imputed]],7,0)</f>
        <v>$234.42</v>
      </c>
      <c r="F2594" s="4">
        <f>VLOOKUP(Googleadssales[[#This Row],[Ad_ID]],'[1]pre processed data'!A:I,9,0)</f>
        <v>12</v>
      </c>
      <c r="G2594" s="4">
        <f>VLOOKUP(Googleadssales[[#This Row],[Ad_ID]],'[1]pre processed data'!A:K,11,0)</f>
        <v>5</v>
      </c>
      <c r="H2594" s="2">
        <f>Googleadssales[[#This Row],[Conversions]]/Googleadssales[[#This Row],[Clicks]]</f>
        <v>3.2894736842105261E-2</v>
      </c>
      <c r="I2594" t="str">
        <f>VLOOKUP(Googleadssales[[#This Row],[Ad_ID]],'[1]pre processed data'!A:O,15,0)</f>
        <v>$1566</v>
      </c>
      <c r="J2594" s="3">
        <f>VLOOKUP(Googleadssales[[#This Row],[Ad_ID]],'[1]pre processed data'!A:Q,17,0)</f>
        <v>45606</v>
      </c>
      <c r="K2594" t="str">
        <f>VLOOKUP(Googleadssales[[#This Row],[Ad_ID]],'[1]pre processed data'!A:R,18,0)</f>
        <v>Chennai</v>
      </c>
      <c r="L2594" t="str">
        <f>VLOOKUP(Googleadssales[[#This Row],[Ad_ID]],'[1]pre processed data'!A:S,19,0)</f>
        <v>Tablet</v>
      </c>
      <c r="M2594" t="str">
        <f>VLOOKUP(Googleadssales[[#This Row],[Ad_ID]],'[1]pre processed data'!A:T,20,0)</f>
        <v>online data analytic</v>
      </c>
    </row>
    <row r="2595" spans="1:13" x14ac:dyDescent="0.3">
      <c r="A2595" t="s">
        <v>2608</v>
      </c>
      <c r="B2595" t="s">
        <v>14</v>
      </c>
      <c r="C2595" s="4">
        <f>VLOOKUP(Googleadssales[[#This Row],[Ad_ID]],'[1]pre processed data'!A:C,3,0)</f>
        <v>189</v>
      </c>
      <c r="D2595" s="4">
        <f>VLOOKUP(Googleadssales[[#This Row],[Ad_ID]],'[1]pre processed data'!A:E,5,0)</f>
        <v>5944</v>
      </c>
      <c r="E2595" s="5" t="str">
        <f>VLOOKUP(Googleadssales[[#This Row],[Ad_ID]],[1]!Table3[[Ad_ID]:[Cost-imputed]],7,0)</f>
        <v>$202.89</v>
      </c>
      <c r="F2595" s="4">
        <f>VLOOKUP(Googleadssales[[#This Row],[Ad_ID]],'[1]pre processed data'!A:I,9,0)</f>
        <v>28</v>
      </c>
      <c r="G2595" s="4">
        <f>VLOOKUP(Googleadssales[[#This Row],[Ad_ID]],'[1]pre processed data'!A:K,11,0)</f>
        <v>5</v>
      </c>
      <c r="H2595" s="2">
        <f>Googleadssales[[#This Row],[Conversions]]/Googleadssales[[#This Row],[Clicks]]</f>
        <v>2.6455026455026454E-2</v>
      </c>
      <c r="I2595" t="str">
        <f>VLOOKUP(Googleadssales[[#This Row],[Ad_ID]],'[1]pre processed data'!A:O,15,0)</f>
        <v>$1360</v>
      </c>
      <c r="J2595" s="3">
        <f>VLOOKUP(Googleadssales[[#This Row],[Ad_ID]],'[1]pre processed data'!A:Q,17,0)</f>
        <v>45604</v>
      </c>
      <c r="K2595" t="str">
        <f>VLOOKUP(Googleadssales[[#This Row],[Ad_ID]],'[1]pre processed data'!A:R,18,0)</f>
        <v>Hyderabad</v>
      </c>
      <c r="L2595" t="str">
        <f>VLOOKUP(Googleadssales[[#This Row],[Ad_ID]],'[1]pre processed data'!A:S,19,0)</f>
        <v>Mobile</v>
      </c>
      <c r="M2595" t="str">
        <f>VLOOKUP(Googleadssales[[#This Row],[Ad_ID]],'[1]pre processed data'!A:T,20,0)</f>
        <v>data analytics course</v>
      </c>
    </row>
    <row r="2596" spans="1:13" x14ac:dyDescent="0.3">
      <c r="A2596" t="s">
        <v>2609</v>
      </c>
      <c r="B2596" t="s">
        <v>14</v>
      </c>
      <c r="C2596" s="4">
        <f>VLOOKUP(Googleadssales[[#This Row],[Ad_ID]],'[1]pre processed data'!A:C,3,0)</f>
        <v>99</v>
      </c>
      <c r="D2596" s="4">
        <f>VLOOKUP(Googleadssales[[#This Row],[Ad_ID]],'[1]pre processed data'!A:E,5,0)</f>
        <v>4446</v>
      </c>
      <c r="E2596" s="5" t="str">
        <f>VLOOKUP(Googleadssales[[#This Row],[Ad_ID]],[1]!Table3[[Ad_ID]:[Cost-imputed]],7,0)</f>
        <v>$233.53</v>
      </c>
      <c r="F2596" s="4">
        <f>VLOOKUP(Googleadssales[[#This Row],[Ad_ID]],'[1]pre processed data'!A:I,9,0)</f>
        <v>11</v>
      </c>
      <c r="G2596" s="4">
        <f>VLOOKUP(Googleadssales[[#This Row],[Ad_ID]],'[1]pre processed data'!A:K,11,0)</f>
        <v>6</v>
      </c>
      <c r="H2596" s="2">
        <f>Googleadssales[[#This Row],[Conversions]]/Googleadssales[[#This Row],[Clicks]]</f>
        <v>6.0606060606060608E-2</v>
      </c>
      <c r="I2596" t="str">
        <f>VLOOKUP(Googleadssales[[#This Row],[Ad_ID]],'[1]pre processed data'!A:O,15,0)</f>
        <v>$1189</v>
      </c>
      <c r="J2596" s="3">
        <f>VLOOKUP(Googleadssales[[#This Row],[Ad_ID]],'[1]pre processed data'!A:Q,17,0)</f>
        <v>45601</v>
      </c>
      <c r="K2596" t="str">
        <f>VLOOKUP(Googleadssales[[#This Row],[Ad_ID]],'[1]pre processed data'!A:R,18,0)</f>
        <v>Hyderabad</v>
      </c>
      <c r="L2596" t="str">
        <f>VLOOKUP(Googleadssales[[#This Row],[Ad_ID]],'[1]pre processed data'!A:S,19,0)</f>
        <v>Tablet</v>
      </c>
      <c r="M2596" t="str">
        <f>VLOOKUP(Googleadssales[[#This Row],[Ad_ID]],'[1]pre processed data'!A:T,20,0)</f>
        <v>data analytics training</v>
      </c>
    </row>
    <row r="2597" spans="1:13" x14ac:dyDescent="0.3">
      <c r="A2597" t="s">
        <v>2610</v>
      </c>
      <c r="B2597" t="s">
        <v>14</v>
      </c>
      <c r="C2597" s="4">
        <f>VLOOKUP(Googleadssales[[#This Row],[Ad_ID]],'[1]pre processed data'!A:C,3,0)</f>
        <v>88</v>
      </c>
      <c r="D2597" s="4">
        <f>VLOOKUP(Googleadssales[[#This Row],[Ad_ID]],'[1]pre processed data'!A:E,5,0)</f>
        <v>5344</v>
      </c>
      <c r="E2597" s="5" t="str">
        <f>VLOOKUP(Googleadssales[[#This Row],[Ad_ID]],[1]!Table3[[Ad_ID]:[Cost-imputed]],7,0)</f>
        <v>$242.07</v>
      </c>
      <c r="F2597" s="4">
        <f>VLOOKUP(Googleadssales[[#This Row],[Ad_ID]],'[1]pre processed data'!A:I,9,0)</f>
        <v>17</v>
      </c>
      <c r="G2597" s="4">
        <f>VLOOKUP(Googleadssales[[#This Row],[Ad_ID]],'[1]pre processed data'!A:K,11,0)</f>
        <v>9</v>
      </c>
      <c r="H2597" s="2">
        <f>Googleadssales[[#This Row],[Conversions]]/Googleadssales[[#This Row],[Clicks]]</f>
        <v>0.10227272727272728</v>
      </c>
      <c r="I2597" t="str">
        <f>VLOOKUP(Googleadssales[[#This Row],[Ad_ID]],'[1]pre processed data'!A:O,15,0)</f>
        <v>$1418</v>
      </c>
      <c r="J2597" s="3">
        <f>VLOOKUP(Googleadssales[[#This Row],[Ad_ID]],'[1]pre processed data'!A:Q,17,0)</f>
        <v>45625</v>
      </c>
      <c r="K2597" t="str">
        <f>VLOOKUP(Googleadssales[[#This Row],[Ad_ID]],'[1]pre processed data'!A:R,18,0)</f>
        <v>Hyderabad</v>
      </c>
      <c r="L2597" t="str">
        <f>VLOOKUP(Googleadssales[[#This Row],[Ad_ID]],'[1]pre processed data'!A:S,19,0)</f>
        <v>Mobile</v>
      </c>
      <c r="M2597" t="str">
        <f>VLOOKUP(Googleadssales[[#This Row],[Ad_ID]],'[1]pre processed data'!A:T,20,0)</f>
        <v>online data analytic</v>
      </c>
    </row>
    <row r="2598" spans="1:13" x14ac:dyDescent="0.3">
      <c r="A2598" t="s">
        <v>2611</v>
      </c>
      <c r="B2598" t="s">
        <v>14</v>
      </c>
      <c r="C2598" s="4">
        <f>VLOOKUP(Googleadssales[[#This Row],[Ad_ID]],'[1]pre processed data'!A:C,3,0)</f>
        <v>154</v>
      </c>
      <c r="D2598" s="4">
        <f>VLOOKUP(Googleadssales[[#This Row],[Ad_ID]],'[1]pre processed data'!A:E,5,0)</f>
        <v>3211</v>
      </c>
      <c r="E2598" s="5" t="str">
        <f>VLOOKUP(Googleadssales[[#This Row],[Ad_ID]],[1]!Table3[[Ad_ID]:[Cost-imputed]],7,0)</f>
        <v>$248.28</v>
      </c>
      <c r="F2598" s="4">
        <f>VLOOKUP(Googleadssales[[#This Row],[Ad_ID]],'[1]pre processed data'!A:I,9,0)</f>
        <v>14</v>
      </c>
      <c r="G2598" s="4">
        <f>VLOOKUP(Googleadssales[[#This Row],[Ad_ID]],'[1]pre processed data'!A:K,11,0)</f>
        <v>6</v>
      </c>
      <c r="H2598" s="2">
        <f>Googleadssales[[#This Row],[Conversions]]/Googleadssales[[#This Row],[Clicks]]</f>
        <v>3.896103896103896E-2</v>
      </c>
      <c r="I2598" t="str">
        <f>VLOOKUP(Googleadssales[[#This Row],[Ad_ID]],'[1]pre processed data'!A:O,15,0)</f>
        <v>$1950</v>
      </c>
      <c r="J2598" s="3">
        <f>VLOOKUP(Googleadssales[[#This Row],[Ad_ID]],'[1]pre processed data'!A:Q,17,0)</f>
        <v>45624</v>
      </c>
      <c r="K2598" t="str">
        <f>VLOOKUP(Googleadssales[[#This Row],[Ad_ID]],'[1]pre processed data'!A:R,18,0)</f>
        <v>Hyderabad</v>
      </c>
      <c r="L2598" t="str">
        <f>VLOOKUP(Googleadssales[[#This Row],[Ad_ID]],'[1]pre processed data'!A:S,19,0)</f>
        <v>Tablet</v>
      </c>
      <c r="M2598" t="str">
        <f>VLOOKUP(Googleadssales[[#This Row],[Ad_ID]],'[1]pre processed data'!A:T,20,0)</f>
        <v>data analytics online</v>
      </c>
    </row>
    <row r="2599" spans="1:13" x14ac:dyDescent="0.3">
      <c r="A2599" t="s">
        <v>2612</v>
      </c>
      <c r="B2599" t="s">
        <v>14</v>
      </c>
      <c r="C2599" s="4">
        <f>VLOOKUP(Googleadssales[[#This Row],[Ad_ID]],'[1]pre processed data'!A:C,3,0)</f>
        <v>113</v>
      </c>
      <c r="D2599" s="4">
        <f>VLOOKUP(Googleadssales[[#This Row],[Ad_ID]],'[1]pre processed data'!A:E,5,0)</f>
        <v>3808</v>
      </c>
      <c r="E2599" s="5" t="str">
        <f>VLOOKUP(Googleadssales[[#This Row],[Ad_ID]],[1]!Table3[[Ad_ID]:[Cost-imputed]],7,0)</f>
        <v>$233.25</v>
      </c>
      <c r="F2599" s="4">
        <f>VLOOKUP(Googleadssales[[#This Row],[Ad_ID]],'[1]pre processed data'!A:I,9,0)</f>
        <v>18</v>
      </c>
      <c r="G2599" s="4">
        <f>VLOOKUP(Googleadssales[[#This Row],[Ad_ID]],'[1]pre processed data'!A:K,11,0)</f>
        <v>4</v>
      </c>
      <c r="H2599" s="2">
        <f>Googleadssales[[#This Row],[Conversions]]/Googleadssales[[#This Row],[Clicks]]</f>
        <v>3.5398230088495575E-2</v>
      </c>
      <c r="I2599" t="str">
        <f>VLOOKUP(Googleadssales[[#This Row],[Ad_ID]],'[1]pre processed data'!A:O,15,0)</f>
        <v>$1085</v>
      </c>
      <c r="J2599" s="3">
        <f>VLOOKUP(Googleadssales[[#This Row],[Ad_ID]],'[1]pre processed data'!A:Q,17,0)</f>
        <v>45598</v>
      </c>
      <c r="K2599" t="str">
        <f>VLOOKUP(Googleadssales[[#This Row],[Ad_ID]],'[1]pre processed data'!A:R,18,0)</f>
        <v>Chennai</v>
      </c>
      <c r="L2599" t="str">
        <f>VLOOKUP(Googleadssales[[#This Row],[Ad_ID]],'[1]pre processed data'!A:S,19,0)</f>
        <v>Desktop</v>
      </c>
      <c r="M2599" t="str">
        <f>VLOOKUP(Googleadssales[[#This Row],[Ad_ID]],'[1]pre processed data'!A:T,20,0)</f>
        <v>data analytics training</v>
      </c>
    </row>
    <row r="2600" spans="1:13" x14ac:dyDescent="0.3">
      <c r="A2600" t="s">
        <v>2613</v>
      </c>
      <c r="B2600" t="s">
        <v>14</v>
      </c>
      <c r="C2600" s="4">
        <f>VLOOKUP(Googleadssales[[#This Row],[Ad_ID]],'[1]pre processed data'!A:C,3,0)</f>
        <v>196</v>
      </c>
      <c r="D2600" s="4">
        <f>VLOOKUP(Googleadssales[[#This Row],[Ad_ID]],'[1]pre processed data'!A:E,5,0)</f>
        <v>5853</v>
      </c>
      <c r="E2600" s="5" t="str">
        <f>VLOOKUP(Googleadssales[[#This Row],[Ad_ID]],[1]!Table3[[Ad_ID]:[Cost-imputed]],7,0)</f>
        <v>$220.13</v>
      </c>
      <c r="F2600" s="4">
        <f>VLOOKUP(Googleadssales[[#This Row],[Ad_ID]],'[1]pre processed data'!A:I,9,0)</f>
        <v>16</v>
      </c>
      <c r="G2600" s="4">
        <f>VLOOKUP(Googleadssales[[#This Row],[Ad_ID]],'[1]pre processed data'!A:K,11,0)</f>
        <v>7</v>
      </c>
      <c r="H2600" s="2">
        <f>Googleadssales[[#This Row],[Conversions]]/Googleadssales[[#This Row],[Clicks]]</f>
        <v>3.5714285714285712E-2</v>
      </c>
      <c r="I2600" t="str">
        <f>VLOOKUP(Googleadssales[[#This Row],[Ad_ID]],'[1]pre processed data'!A:O,15,0)</f>
        <v>$1558</v>
      </c>
      <c r="J2600" s="3">
        <f>VLOOKUP(Googleadssales[[#This Row],[Ad_ID]],'[1]pre processed data'!A:Q,17,0)</f>
        <v>45604</v>
      </c>
      <c r="K2600" t="str">
        <f>VLOOKUP(Googleadssales[[#This Row],[Ad_ID]],'[1]pre processed data'!A:R,18,0)</f>
        <v>Bangaluru</v>
      </c>
      <c r="L2600" t="str">
        <f>VLOOKUP(Googleadssales[[#This Row],[Ad_ID]],'[1]pre processed data'!A:S,19,0)</f>
        <v>Tablet</v>
      </c>
      <c r="M2600" t="str">
        <f>VLOOKUP(Googleadssales[[#This Row],[Ad_ID]],'[1]pre processed data'!A:T,20,0)</f>
        <v>data analytics training</v>
      </c>
    </row>
    <row r="2601" spans="1:13" x14ac:dyDescent="0.3">
      <c r="A2601" t="s">
        <v>2614</v>
      </c>
      <c r="B2601" t="s">
        <v>14</v>
      </c>
      <c r="C2601" s="4">
        <f>VLOOKUP(Googleadssales[[#This Row],[Ad_ID]],'[1]pre processed data'!A:C,3,0)</f>
        <v>138.95699356913184</v>
      </c>
      <c r="D2601" s="4">
        <f>VLOOKUP(Googleadssales[[#This Row],[Ad_ID]],'[1]pre processed data'!A:E,5,0)</f>
        <v>5453</v>
      </c>
      <c r="E2601" s="5" t="str">
        <f>VLOOKUP(Googleadssales[[#This Row],[Ad_ID]],[1]!Table3[[Ad_ID]:[Cost-imputed]],7,0)</f>
        <v>$200.00</v>
      </c>
      <c r="F2601" s="4">
        <f>VLOOKUP(Googleadssales[[#This Row],[Ad_ID]],'[1]pre processed data'!A:I,9,0)</f>
        <v>12</v>
      </c>
      <c r="G2601" s="4">
        <f>VLOOKUP(Googleadssales[[#This Row],[Ad_ID]],'[1]pre processed data'!A:K,11,0)</f>
        <v>5</v>
      </c>
      <c r="H2601" s="2">
        <f>Googleadssales[[#This Row],[Conversions]]/Googleadssales[[#This Row],[Clicks]]</f>
        <v>3.5982355918721523E-2</v>
      </c>
      <c r="I2601" t="str">
        <f>VLOOKUP(Googleadssales[[#This Row],[Ad_ID]],'[1]pre processed data'!A:O,15,0)</f>
        <v>$1174</v>
      </c>
      <c r="J2601" s="3">
        <f>VLOOKUP(Googleadssales[[#This Row],[Ad_ID]],'[1]pre processed data'!A:Q,17,0)</f>
        <v>45618</v>
      </c>
      <c r="K2601" t="str">
        <f>VLOOKUP(Googleadssales[[#This Row],[Ad_ID]],'[1]pre processed data'!A:R,18,0)</f>
        <v>Hyderabad</v>
      </c>
      <c r="L2601" t="str">
        <f>VLOOKUP(Googleadssales[[#This Row],[Ad_ID]],'[1]pre processed data'!A:S,19,0)</f>
        <v>Desktop</v>
      </c>
      <c r="M2601" t="str">
        <f>VLOOKUP(Googleadssales[[#This Row],[Ad_ID]],'[1]pre processed data'!A:T,20,0)</f>
        <v>analytics for data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ssk</dc:creator>
  <cp:lastModifiedBy>sarath ssk</cp:lastModifiedBy>
  <dcterms:created xsi:type="dcterms:W3CDTF">2026-07-27T16:55:39Z</dcterms:created>
  <dcterms:modified xsi:type="dcterms:W3CDTF">2026-07-27T16:58:20Z</dcterms:modified>
</cp:coreProperties>
</file>